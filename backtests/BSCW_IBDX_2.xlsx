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7199B545-DE32-4EB9-8A65-D4CF9D443940}" xr6:coauthVersionLast="47" xr6:coauthVersionMax="47" xr10:uidLastSave="{00000000-0000-0000-0000-000000000000}"/>
  <bookViews>
    <workbookView xWindow="29250" yWindow="2445" windowWidth="28440" windowHeight="12225" xr2:uid="{E62F410E-BF4D-460F-A17B-FB5AC278FC36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X172" i="1"/>
  <c r="AV172" i="1"/>
  <c r="AU172" i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X169" i="1"/>
  <c r="AV169" i="1"/>
  <c r="AU169" i="1"/>
  <c r="AM169" i="1"/>
  <c r="AK169" i="1"/>
  <c r="AJ169" i="1"/>
  <c r="AN170" i="1" s="1"/>
  <c r="AX168" i="1"/>
  <c r="AV168" i="1"/>
  <c r="AU168" i="1"/>
  <c r="AY169" i="1" s="1"/>
  <c r="AM168" i="1"/>
  <c r="AK168" i="1"/>
  <c r="AJ168" i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X165" i="1"/>
  <c r="AV165" i="1"/>
  <c r="AU165" i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M159" i="1"/>
  <c r="AK159" i="1"/>
  <c r="AJ159" i="1"/>
  <c r="AN160" i="1" s="1"/>
  <c r="AX158" i="1"/>
  <c r="AV158" i="1"/>
  <c r="AU158" i="1"/>
  <c r="AM158" i="1"/>
  <c r="AK158" i="1"/>
  <c r="AJ158" i="1"/>
  <c r="AN159" i="1" s="1"/>
  <c r="AX157" i="1"/>
  <c r="AV157" i="1"/>
  <c r="AU157" i="1"/>
  <c r="AM157" i="1"/>
  <c r="AK157" i="1"/>
  <c r="AJ157" i="1"/>
  <c r="AN158" i="1" s="1"/>
  <c r="AX156" i="1"/>
  <c r="AV156" i="1"/>
  <c r="AU156" i="1"/>
  <c r="AM156" i="1"/>
  <c r="AK156" i="1"/>
  <c r="AJ156" i="1"/>
  <c r="AN157" i="1" s="1"/>
  <c r="AX155" i="1"/>
  <c r="AV155" i="1"/>
  <c r="AU155" i="1"/>
  <c r="AM155" i="1"/>
  <c r="AK155" i="1"/>
  <c r="AJ155" i="1"/>
  <c r="AN156" i="1" s="1"/>
  <c r="AX154" i="1"/>
  <c r="AV154" i="1"/>
  <c r="AU154" i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X150" i="1"/>
  <c r="AV150" i="1"/>
  <c r="AU150" i="1"/>
  <c r="AM150" i="1"/>
  <c r="AK150" i="1"/>
  <c r="AJ150" i="1"/>
  <c r="AN151" i="1" s="1"/>
  <c r="AX149" i="1"/>
  <c r="AV149" i="1"/>
  <c r="AU149" i="1"/>
  <c r="AY150" i="1" s="1"/>
  <c r="AM149" i="1"/>
  <c r="AK149" i="1"/>
  <c r="AJ149" i="1"/>
  <c r="AN150" i="1" s="1"/>
  <c r="AX148" i="1"/>
  <c r="AV148" i="1"/>
  <c r="AU148" i="1"/>
  <c r="AY149" i="1" s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M145" i="1"/>
  <c r="AK145" i="1"/>
  <c r="AJ145" i="1"/>
  <c r="AN146" i="1" s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X142" i="1"/>
  <c r="AV142" i="1"/>
  <c r="AU142" i="1"/>
  <c r="AY143" i="1" s="1"/>
  <c r="AM142" i="1"/>
  <c r="AK142" i="1"/>
  <c r="AJ142" i="1"/>
  <c r="AX141" i="1"/>
  <c r="AV141" i="1"/>
  <c r="AU141" i="1"/>
  <c r="AY142" i="1" s="1"/>
  <c r="AM141" i="1"/>
  <c r="AK141" i="1"/>
  <c r="AJ141" i="1"/>
  <c r="AX140" i="1"/>
  <c r="AV140" i="1"/>
  <c r="AU140" i="1"/>
  <c r="AY141" i="1" s="1"/>
  <c r="AM140" i="1"/>
  <c r="AK140" i="1"/>
  <c r="AJ140" i="1"/>
  <c r="AX139" i="1"/>
  <c r="AV139" i="1"/>
  <c r="AU139" i="1"/>
  <c r="AM139" i="1"/>
  <c r="AK139" i="1"/>
  <c r="AJ139" i="1"/>
  <c r="AN140" i="1" s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X136" i="1"/>
  <c r="AV136" i="1"/>
  <c r="AU136" i="1"/>
  <c r="AY137" i="1" s="1"/>
  <c r="AM136" i="1"/>
  <c r="AK136" i="1"/>
  <c r="AJ136" i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Y134" i="1" s="1"/>
  <c r="AM133" i="1"/>
  <c r="AK133" i="1"/>
  <c r="AJ133" i="1"/>
  <c r="AX132" i="1"/>
  <c r="AV132" i="1"/>
  <c r="AU132" i="1"/>
  <c r="AM132" i="1"/>
  <c r="AK132" i="1"/>
  <c r="AJ132" i="1"/>
  <c r="AN133" i="1" s="1"/>
  <c r="AX131" i="1"/>
  <c r="AV131" i="1"/>
  <c r="AU131" i="1"/>
  <c r="AM131" i="1"/>
  <c r="AK131" i="1"/>
  <c r="AJ131" i="1"/>
  <c r="AN132" i="1" s="1"/>
  <c r="AX130" i="1"/>
  <c r="AV130" i="1"/>
  <c r="AU130" i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X123" i="1"/>
  <c r="AV123" i="1"/>
  <c r="AU123" i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X117" i="1"/>
  <c r="AV117" i="1"/>
  <c r="AU117" i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Y116" i="1" s="1"/>
  <c r="AM115" i="1"/>
  <c r="AK115" i="1"/>
  <c r="AJ115" i="1"/>
  <c r="AX114" i="1"/>
  <c r="AV114" i="1"/>
  <c r="AU114" i="1"/>
  <c r="AM114" i="1"/>
  <c r="AK114" i="1"/>
  <c r="AJ114" i="1"/>
  <c r="AN115" i="1" s="1"/>
  <c r="AX113" i="1"/>
  <c r="AV113" i="1"/>
  <c r="AU113" i="1"/>
  <c r="AY114" i="1" s="1"/>
  <c r="AM113" i="1"/>
  <c r="AK113" i="1"/>
  <c r="AJ113" i="1"/>
  <c r="AN114" i="1" s="1"/>
  <c r="AX112" i="1"/>
  <c r="AV112" i="1"/>
  <c r="AU112" i="1"/>
  <c r="AY113" i="1" s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N112" i="1" s="1"/>
  <c r="AX110" i="1"/>
  <c r="AV110" i="1"/>
  <c r="AU110" i="1"/>
  <c r="AY111" i="1" s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N110" i="1" s="1"/>
  <c r="AX108" i="1"/>
  <c r="AV108" i="1"/>
  <c r="AU108" i="1"/>
  <c r="AY109" i="1" s="1"/>
  <c r="AM108" i="1"/>
  <c r="AK108" i="1"/>
  <c r="AJ108" i="1"/>
  <c r="AN109" i="1" s="1"/>
  <c r="AX107" i="1"/>
  <c r="AV107" i="1"/>
  <c r="AU107" i="1"/>
  <c r="AY108" i="1" s="1"/>
  <c r="AM107" i="1"/>
  <c r="AK107" i="1"/>
  <c r="AJ107" i="1"/>
  <c r="AN108" i="1" s="1"/>
  <c r="AX106" i="1"/>
  <c r="AV106" i="1"/>
  <c r="AU106" i="1"/>
  <c r="AY107" i="1" s="1"/>
  <c r="AM106" i="1"/>
  <c r="AK106" i="1"/>
  <c r="AJ106" i="1"/>
  <c r="AN107" i="1" s="1"/>
  <c r="AX105" i="1"/>
  <c r="AV105" i="1"/>
  <c r="AU105" i="1"/>
  <c r="AY106" i="1" s="1"/>
  <c r="AM105" i="1"/>
  <c r="AK105" i="1"/>
  <c r="AJ105" i="1"/>
  <c r="AN106" i="1" s="1"/>
  <c r="AX104" i="1"/>
  <c r="AV104" i="1"/>
  <c r="AU104" i="1"/>
  <c r="AY105" i="1" s="1"/>
  <c r="AM104" i="1"/>
  <c r="AK104" i="1"/>
  <c r="AJ104" i="1"/>
  <c r="AN105" i="1" s="1"/>
  <c r="AX103" i="1"/>
  <c r="AV103" i="1"/>
  <c r="AU103" i="1"/>
  <c r="AM103" i="1"/>
  <c r="AK103" i="1"/>
  <c r="AJ103" i="1"/>
  <c r="AN104" i="1" s="1"/>
  <c r="AX102" i="1"/>
  <c r="AV102" i="1"/>
  <c r="AU102" i="1"/>
  <c r="AY103" i="1" s="1"/>
  <c r="AM102" i="1"/>
  <c r="AK102" i="1"/>
  <c r="AJ102" i="1"/>
  <c r="AN103" i="1" s="1"/>
  <c r="AX101" i="1"/>
  <c r="AV101" i="1"/>
  <c r="AU101" i="1"/>
  <c r="AY102" i="1" s="1"/>
  <c r="AM101" i="1"/>
  <c r="AK101" i="1"/>
  <c r="AJ101" i="1"/>
  <c r="AX100" i="1"/>
  <c r="AV100" i="1"/>
  <c r="AU100" i="1"/>
  <c r="AY101" i="1" s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Y99" i="1" s="1"/>
  <c r="AM98" i="1"/>
  <c r="AK98" i="1"/>
  <c r="AJ98" i="1"/>
  <c r="AN99" i="1" s="1"/>
  <c r="AX97" i="1"/>
  <c r="AV97" i="1"/>
  <c r="AU97" i="1"/>
  <c r="AY98" i="1" s="1"/>
  <c r="AM97" i="1"/>
  <c r="AK97" i="1"/>
  <c r="AJ97" i="1"/>
  <c r="AN98" i="1" s="1"/>
  <c r="AX96" i="1"/>
  <c r="AV96" i="1"/>
  <c r="AU96" i="1"/>
  <c r="AY97" i="1" s="1"/>
  <c r="AM96" i="1"/>
  <c r="AK96" i="1"/>
  <c r="AJ96" i="1"/>
  <c r="AN97" i="1" s="1"/>
  <c r="AX95" i="1"/>
  <c r="AV95" i="1"/>
  <c r="AU95" i="1"/>
  <c r="AY96" i="1" s="1"/>
  <c r="AM95" i="1"/>
  <c r="AK95" i="1"/>
  <c r="AJ95" i="1"/>
  <c r="AN96" i="1" s="1"/>
  <c r="AX94" i="1"/>
  <c r="AV94" i="1"/>
  <c r="AU94" i="1"/>
  <c r="AY95" i="1" s="1"/>
  <c r="AM94" i="1"/>
  <c r="AK94" i="1"/>
  <c r="AJ94" i="1"/>
  <c r="AN95" i="1" s="1"/>
  <c r="AX93" i="1"/>
  <c r="AV93" i="1"/>
  <c r="AU93" i="1"/>
  <c r="AY94" i="1" s="1"/>
  <c r="AM93" i="1"/>
  <c r="AK93" i="1"/>
  <c r="AJ93" i="1"/>
  <c r="AN94" i="1" s="1"/>
  <c r="AX92" i="1"/>
  <c r="AV92" i="1"/>
  <c r="AU92" i="1"/>
  <c r="AY93" i="1" s="1"/>
  <c r="AM92" i="1"/>
  <c r="AK92" i="1"/>
  <c r="AJ92" i="1"/>
  <c r="AX91" i="1"/>
  <c r="AV91" i="1"/>
  <c r="AU91" i="1"/>
  <c r="AY92" i="1" s="1"/>
  <c r="AM91" i="1"/>
  <c r="AK91" i="1"/>
  <c r="AJ91" i="1"/>
  <c r="AX90" i="1"/>
  <c r="AV90" i="1"/>
  <c r="AU90" i="1"/>
  <c r="AM90" i="1"/>
  <c r="AK90" i="1"/>
  <c r="AJ90" i="1"/>
  <c r="AN91" i="1" s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Y88" i="1" s="1"/>
  <c r="AM87" i="1"/>
  <c r="AK87" i="1"/>
  <c r="AJ87" i="1"/>
  <c r="AN88" i="1" s="1"/>
  <c r="AX86" i="1"/>
  <c r="AV86" i="1"/>
  <c r="AU86" i="1"/>
  <c r="AY87" i="1" s="1"/>
  <c r="AM86" i="1"/>
  <c r="AK86" i="1"/>
  <c r="AJ86" i="1"/>
  <c r="AN87" i="1" s="1"/>
  <c r="AX85" i="1"/>
  <c r="AV85" i="1"/>
  <c r="AU85" i="1"/>
  <c r="AY86" i="1" s="1"/>
  <c r="AM85" i="1"/>
  <c r="AK85" i="1"/>
  <c r="AJ85" i="1"/>
  <c r="AX84" i="1"/>
  <c r="AV84" i="1"/>
  <c r="AU84" i="1"/>
  <c r="AY85" i="1" s="1"/>
  <c r="AM84" i="1"/>
  <c r="AK84" i="1"/>
  <c r="AJ84" i="1"/>
  <c r="AN85" i="1" s="1"/>
  <c r="AX83" i="1"/>
  <c r="AV83" i="1"/>
  <c r="AU83" i="1"/>
  <c r="AY84" i="1" s="1"/>
  <c r="AM83" i="1"/>
  <c r="AK83" i="1"/>
  <c r="AJ83" i="1"/>
  <c r="AX82" i="1"/>
  <c r="AV82" i="1"/>
  <c r="AU82" i="1"/>
  <c r="AY83" i="1" s="1"/>
  <c r="AM82" i="1"/>
  <c r="AK82" i="1"/>
  <c r="AJ82" i="1"/>
  <c r="AN83" i="1" s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N81" i="1" s="1"/>
  <c r="AX79" i="1"/>
  <c r="AV79" i="1"/>
  <c r="AU79" i="1"/>
  <c r="AM79" i="1"/>
  <c r="AK79" i="1"/>
  <c r="AJ79" i="1"/>
  <c r="AN80" i="1" s="1"/>
  <c r="AX78" i="1"/>
  <c r="AV78" i="1"/>
  <c r="AU78" i="1"/>
  <c r="AY79" i="1" s="1"/>
  <c r="AM78" i="1"/>
  <c r="AK78" i="1"/>
  <c r="AJ78" i="1"/>
  <c r="AN79" i="1" s="1"/>
  <c r="AX77" i="1"/>
  <c r="AV77" i="1"/>
  <c r="AU77" i="1"/>
  <c r="AY78" i="1" s="1"/>
  <c r="AM77" i="1"/>
  <c r="AK77" i="1"/>
  <c r="AJ77" i="1"/>
  <c r="AN78" i="1" s="1"/>
  <c r="AX76" i="1"/>
  <c r="AV76" i="1"/>
  <c r="AU76" i="1"/>
  <c r="AY77" i="1" s="1"/>
  <c r="AM76" i="1"/>
  <c r="AK76" i="1"/>
  <c r="AJ76" i="1"/>
  <c r="AN77" i="1" s="1"/>
  <c r="AX75" i="1"/>
  <c r="AV75" i="1"/>
  <c r="AU75" i="1"/>
  <c r="AM75" i="1"/>
  <c r="AK75" i="1"/>
  <c r="AJ75" i="1"/>
  <c r="AN76" i="1" s="1"/>
  <c r="AX74" i="1"/>
  <c r="AV74" i="1"/>
  <c r="AU74" i="1"/>
  <c r="AM74" i="1"/>
  <c r="AK74" i="1"/>
  <c r="AJ74" i="1"/>
  <c r="AN75" i="1" s="1"/>
  <c r="AX73" i="1"/>
  <c r="AV73" i="1"/>
  <c r="AU73" i="1"/>
  <c r="AY74" i="1" s="1"/>
  <c r="AM73" i="1"/>
  <c r="AK73" i="1"/>
  <c r="AJ73" i="1"/>
  <c r="AN74" i="1" s="1"/>
  <c r="AX72" i="1"/>
  <c r="AV72" i="1"/>
  <c r="AU72" i="1"/>
  <c r="AM72" i="1"/>
  <c r="AK72" i="1"/>
  <c r="AJ72" i="1"/>
  <c r="AN73" i="1" s="1"/>
  <c r="AX71" i="1"/>
  <c r="AV71" i="1"/>
  <c r="AU71" i="1"/>
  <c r="AY72" i="1" s="1"/>
  <c r="AM71" i="1"/>
  <c r="AK71" i="1"/>
  <c r="AJ71" i="1"/>
  <c r="AN72" i="1" s="1"/>
  <c r="AX70" i="1"/>
  <c r="AV70" i="1"/>
  <c r="AU70" i="1"/>
  <c r="AM70" i="1"/>
  <c r="AK70" i="1"/>
  <c r="AJ70" i="1"/>
  <c r="AN71" i="1" s="1"/>
  <c r="AX69" i="1"/>
  <c r="AV69" i="1"/>
  <c r="AU69" i="1"/>
  <c r="AY70" i="1" s="1"/>
  <c r="AM69" i="1"/>
  <c r="AK69" i="1"/>
  <c r="AJ69" i="1"/>
  <c r="AN70" i="1" s="1"/>
  <c r="AX68" i="1"/>
  <c r="AV68" i="1"/>
  <c r="AU68" i="1"/>
  <c r="AM68" i="1"/>
  <c r="AK68" i="1"/>
  <c r="AJ68" i="1"/>
  <c r="AN69" i="1" s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N67" i="1" s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X63" i="1"/>
  <c r="AV63" i="1"/>
  <c r="AU63" i="1"/>
  <c r="AY64" i="1" s="1"/>
  <c r="AM63" i="1"/>
  <c r="AK63" i="1"/>
  <c r="AJ63" i="1"/>
  <c r="AN64" i="1" s="1"/>
  <c r="AX62" i="1"/>
  <c r="AV62" i="1"/>
  <c r="AU62" i="1"/>
  <c r="AM62" i="1"/>
  <c r="AK62" i="1"/>
  <c r="AJ62" i="1"/>
  <c r="AN63" i="1" s="1"/>
  <c r="AX61" i="1"/>
  <c r="AV61" i="1"/>
  <c r="AU61" i="1"/>
  <c r="AY62" i="1" s="1"/>
  <c r="AM61" i="1"/>
  <c r="AK61" i="1"/>
  <c r="AJ61" i="1"/>
  <c r="AN62" i="1" s="1"/>
  <c r="AX60" i="1"/>
  <c r="AV60" i="1"/>
  <c r="AU60" i="1"/>
  <c r="AY61" i="1" s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Y57" i="1" s="1"/>
  <c r="AM56" i="1"/>
  <c r="AK56" i="1"/>
  <c r="AJ56" i="1"/>
  <c r="AN57" i="1" s="1"/>
  <c r="AX55" i="1"/>
  <c r="AV55" i="1"/>
  <c r="AU55" i="1"/>
  <c r="AM55" i="1"/>
  <c r="AK55" i="1"/>
  <c r="AJ55" i="1"/>
  <c r="AN56" i="1" s="1"/>
  <c r="AX54" i="1"/>
  <c r="AV54" i="1"/>
  <c r="AU54" i="1"/>
  <c r="AY55" i="1" s="1"/>
  <c r="AM54" i="1"/>
  <c r="AK54" i="1"/>
  <c r="AJ54" i="1"/>
  <c r="AX53" i="1"/>
  <c r="AV53" i="1"/>
  <c r="AU53" i="1"/>
  <c r="AY54" i="1" s="1"/>
  <c r="AM53" i="1"/>
  <c r="AK53" i="1"/>
  <c r="AJ53" i="1"/>
  <c r="AX52" i="1"/>
  <c r="AV52" i="1"/>
  <c r="AU52" i="1"/>
  <c r="AY53" i="1" s="1"/>
  <c r="AM52" i="1"/>
  <c r="AK52" i="1"/>
  <c r="AJ52" i="1"/>
  <c r="AX51" i="1"/>
  <c r="AV51" i="1"/>
  <c r="AU51" i="1"/>
  <c r="AY52" i="1" s="1"/>
  <c r="AM51" i="1"/>
  <c r="AK51" i="1"/>
  <c r="AJ51" i="1"/>
  <c r="AN52" i="1" s="1"/>
  <c r="AX50" i="1"/>
  <c r="AV50" i="1"/>
  <c r="AU50" i="1"/>
  <c r="AM50" i="1"/>
  <c r="AK50" i="1"/>
  <c r="AJ50" i="1"/>
  <c r="AX49" i="1"/>
  <c r="AV49" i="1"/>
  <c r="AU49" i="1"/>
  <c r="AY50" i="1" s="1"/>
  <c r="AM49" i="1"/>
  <c r="AK49" i="1"/>
  <c r="AJ49" i="1"/>
  <c r="AX48" i="1"/>
  <c r="AV48" i="1"/>
  <c r="AU48" i="1"/>
  <c r="AY49" i="1" s="1"/>
  <c r="AM48" i="1"/>
  <c r="AK48" i="1"/>
  <c r="AJ48" i="1"/>
  <c r="AX47" i="1"/>
  <c r="AV47" i="1"/>
  <c r="AU47" i="1"/>
  <c r="AY48" i="1" s="1"/>
  <c r="AM47" i="1"/>
  <c r="AK47" i="1"/>
  <c r="AJ47" i="1"/>
  <c r="AX46" i="1"/>
  <c r="AV46" i="1"/>
  <c r="AU46" i="1"/>
  <c r="AY47" i="1" s="1"/>
  <c r="AM46" i="1"/>
  <c r="AK46" i="1"/>
  <c r="AJ46" i="1"/>
  <c r="AN47" i="1" s="1"/>
  <c r="AX45" i="1"/>
  <c r="AV45" i="1"/>
  <c r="AU45" i="1"/>
  <c r="AM45" i="1"/>
  <c r="AK45" i="1"/>
  <c r="AJ45" i="1"/>
  <c r="AN46" i="1" s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N44" i="1" s="1"/>
  <c r="AX42" i="1"/>
  <c r="AV42" i="1"/>
  <c r="AU42" i="1"/>
  <c r="AY43" i="1" s="1"/>
  <c r="AM42" i="1"/>
  <c r="AK42" i="1"/>
  <c r="AJ42" i="1"/>
  <c r="AN43" i="1" s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N41" i="1" s="1"/>
  <c r="AX39" i="1"/>
  <c r="AV39" i="1"/>
  <c r="AU39" i="1"/>
  <c r="AY40" i="1" s="1"/>
  <c r="AM39" i="1"/>
  <c r="AK39" i="1"/>
  <c r="AJ39" i="1"/>
  <c r="AN40" i="1" s="1"/>
  <c r="AX38" i="1"/>
  <c r="AV38" i="1"/>
  <c r="AU38" i="1"/>
  <c r="AM38" i="1"/>
  <c r="AK38" i="1"/>
  <c r="AJ38" i="1"/>
  <c r="AN39" i="1" s="1"/>
  <c r="AX37" i="1"/>
  <c r="AV37" i="1"/>
  <c r="AU37" i="1"/>
  <c r="AY38" i="1" s="1"/>
  <c r="AM37" i="1"/>
  <c r="AK37" i="1"/>
  <c r="AJ37" i="1"/>
  <c r="AX36" i="1"/>
  <c r="AV36" i="1"/>
  <c r="AU36" i="1"/>
  <c r="AM36" i="1"/>
  <c r="AK36" i="1"/>
  <c r="AJ36" i="1"/>
  <c r="AN37" i="1" s="1"/>
  <c r="AX35" i="1"/>
  <c r="AV35" i="1"/>
  <c r="AU35" i="1"/>
  <c r="AY36" i="1" s="1"/>
  <c r="AM35" i="1"/>
  <c r="AK35" i="1"/>
  <c r="AJ35" i="1"/>
  <c r="AX34" i="1"/>
  <c r="AV34" i="1"/>
  <c r="AU34" i="1"/>
  <c r="AY35" i="1" s="1"/>
  <c r="AM34" i="1"/>
  <c r="AK34" i="1"/>
  <c r="AJ34" i="1"/>
  <c r="AN35" i="1" s="1"/>
  <c r="AX33" i="1"/>
  <c r="AV33" i="1"/>
  <c r="AU33" i="1"/>
  <c r="AY34" i="1" s="1"/>
  <c r="AM33" i="1"/>
  <c r="AK33" i="1"/>
  <c r="AJ33" i="1"/>
  <c r="AN34" i="1" s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N32" i="1" s="1"/>
  <c r="AX30" i="1"/>
  <c r="AV30" i="1"/>
  <c r="AU30" i="1"/>
  <c r="AY31" i="1" s="1"/>
  <c r="AM30" i="1"/>
  <c r="AK30" i="1"/>
  <c r="AJ30" i="1"/>
  <c r="AX29" i="1"/>
  <c r="AV29" i="1"/>
  <c r="AU29" i="1"/>
  <c r="AY30" i="1" s="1"/>
  <c r="AM29" i="1"/>
  <c r="AK29" i="1"/>
  <c r="AJ29" i="1"/>
  <c r="AN30" i="1" s="1"/>
  <c r="AX28" i="1"/>
  <c r="AV28" i="1"/>
  <c r="AU28" i="1"/>
  <c r="AM28" i="1"/>
  <c r="AK28" i="1"/>
  <c r="AJ28" i="1"/>
  <c r="AN29" i="1" s="1"/>
  <c r="AX27" i="1"/>
  <c r="AV27" i="1"/>
  <c r="AU27" i="1"/>
  <c r="AY28" i="1" s="1"/>
  <c r="AM27" i="1"/>
  <c r="AK27" i="1"/>
  <c r="AJ27" i="1"/>
  <c r="AN28" i="1" s="1"/>
  <c r="AX26" i="1"/>
  <c r="AV26" i="1"/>
  <c r="AU26" i="1"/>
  <c r="AY27" i="1" s="1"/>
  <c r="AM26" i="1"/>
  <c r="AK26" i="1"/>
  <c r="AJ26" i="1"/>
  <c r="AN27" i="1" s="1"/>
  <c r="AX25" i="1"/>
  <c r="AV25" i="1"/>
  <c r="AU25" i="1"/>
  <c r="AY26" i="1" s="1"/>
  <c r="AW26" i="1" s="1"/>
  <c r="AM25" i="1"/>
  <c r="AK25" i="1"/>
  <c r="AJ25" i="1"/>
  <c r="AX24" i="1"/>
  <c r="AV24" i="1"/>
  <c r="AU24" i="1"/>
  <c r="AY25" i="1" s="1"/>
  <c r="AM24" i="1"/>
  <c r="AK24" i="1"/>
  <c r="AJ24" i="1"/>
  <c r="AX23" i="1"/>
  <c r="AV23" i="1"/>
  <c r="AU23" i="1"/>
  <c r="AY24" i="1" s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59" i="1" l="1"/>
  <c r="AY45" i="1"/>
  <c r="AN65" i="1"/>
  <c r="AY51" i="1"/>
  <c r="AN36" i="1"/>
  <c r="AN144" i="1"/>
  <c r="AN116" i="1"/>
  <c r="AY160" i="1"/>
  <c r="AN33" i="1"/>
  <c r="AZ176" i="1"/>
  <c r="AW176" i="1"/>
  <c r="BA176" i="1"/>
  <c r="AL175" i="1"/>
  <c r="AN176" i="1" s="1"/>
  <c r="AP175" i="1"/>
  <c r="AO175" i="1"/>
  <c r="AQ175" i="1" s="1"/>
  <c r="BA174" i="1"/>
  <c r="AZ174" i="1"/>
  <c r="BB174" i="1" s="1"/>
  <c r="AW174" i="1"/>
  <c r="AY175" i="1" s="1"/>
  <c r="AO173" i="1"/>
  <c r="AL173" i="1"/>
  <c r="AN174" i="1" s="1"/>
  <c r="AP173" i="1"/>
  <c r="AZ172" i="1"/>
  <c r="BA172" i="1"/>
  <c r="AW172" i="1"/>
  <c r="AY173" i="1" s="1"/>
  <c r="AW171" i="1"/>
  <c r="BA171" i="1"/>
  <c r="AZ171" i="1"/>
  <c r="BB171" i="1" s="1"/>
  <c r="AL170" i="1"/>
  <c r="AN171" i="1" s="1"/>
  <c r="AP170" i="1"/>
  <c r="AO170" i="1"/>
  <c r="AQ170" i="1" s="1"/>
  <c r="BA169" i="1"/>
  <c r="AW169" i="1"/>
  <c r="AY170" i="1" s="1"/>
  <c r="AZ169" i="1"/>
  <c r="BB169" i="1" s="1"/>
  <c r="AW168" i="1"/>
  <c r="AZ168" i="1"/>
  <c r="BA168" i="1"/>
  <c r="AL168" i="1"/>
  <c r="AN169" i="1" s="1"/>
  <c r="AP168" i="1"/>
  <c r="AO168" i="1"/>
  <c r="AQ168" i="1" s="1"/>
  <c r="AW167" i="1"/>
  <c r="AZ167" i="1"/>
  <c r="BA167" i="1"/>
  <c r="AO166" i="1"/>
  <c r="AP166" i="1"/>
  <c r="AL166" i="1"/>
  <c r="AN167" i="1" s="1"/>
  <c r="AW165" i="1"/>
  <c r="AY166" i="1" s="1"/>
  <c r="AZ165" i="1"/>
  <c r="BA165" i="1"/>
  <c r="AW164" i="1"/>
  <c r="BA164" i="1"/>
  <c r="AZ164" i="1"/>
  <c r="BB164" i="1" s="1"/>
  <c r="BA163" i="1"/>
  <c r="AW163" i="1"/>
  <c r="AZ163" i="1"/>
  <c r="BB163" i="1" s="1"/>
  <c r="BA162" i="1"/>
  <c r="AW162" i="1"/>
  <c r="AZ162" i="1"/>
  <c r="BB162" i="1" s="1"/>
  <c r="BA161" i="1"/>
  <c r="AW161" i="1"/>
  <c r="AZ161" i="1"/>
  <c r="BB161" i="1" s="1"/>
  <c r="BA160" i="1"/>
  <c r="AW160" i="1"/>
  <c r="AZ160" i="1"/>
  <c r="BB160" i="1" s="1"/>
  <c r="AO160" i="1"/>
  <c r="AP160" i="1"/>
  <c r="AL160" i="1"/>
  <c r="AN161" i="1" s="1"/>
  <c r="BA159" i="1"/>
  <c r="AZ159" i="1"/>
  <c r="BB159" i="1" s="1"/>
  <c r="AW159" i="1"/>
  <c r="AP159" i="1"/>
  <c r="AL159" i="1"/>
  <c r="AO159" i="1"/>
  <c r="AQ159" i="1" s="1"/>
  <c r="BE159" i="1" s="1"/>
  <c r="AO158" i="1"/>
  <c r="AP158" i="1"/>
  <c r="AL158" i="1"/>
  <c r="AO157" i="1"/>
  <c r="AP157" i="1"/>
  <c r="AL157" i="1"/>
  <c r="AP156" i="1"/>
  <c r="AO156" i="1"/>
  <c r="AQ156" i="1" s="1"/>
  <c r="AL156" i="1"/>
  <c r="AP155" i="1"/>
  <c r="AO155" i="1"/>
  <c r="AQ155" i="1" s="1"/>
  <c r="AL155" i="1"/>
  <c r="BA154" i="1"/>
  <c r="AZ154" i="1"/>
  <c r="BB154" i="1" s="1"/>
  <c r="AW154" i="1"/>
  <c r="AY155" i="1" s="1"/>
  <c r="AP154" i="1"/>
  <c r="AO154" i="1"/>
  <c r="AQ154" i="1" s="1"/>
  <c r="BE154" i="1" s="1"/>
  <c r="AL154" i="1"/>
  <c r="BA153" i="1"/>
  <c r="AW153" i="1"/>
  <c r="AZ153" i="1"/>
  <c r="BB153" i="1" s="1"/>
  <c r="AL153" i="1"/>
  <c r="AO153" i="1"/>
  <c r="AP153" i="1"/>
  <c r="BA152" i="1"/>
  <c r="AW152" i="1"/>
  <c r="AZ152" i="1"/>
  <c r="BB152" i="1" s="1"/>
  <c r="AL151" i="1"/>
  <c r="AN152" i="1" s="1"/>
  <c r="AO151" i="1"/>
  <c r="AP151" i="1"/>
  <c r="BA150" i="1"/>
  <c r="AW150" i="1"/>
  <c r="AY151" i="1" s="1"/>
  <c r="AZ150" i="1"/>
  <c r="BB150" i="1" s="1"/>
  <c r="AO150" i="1"/>
  <c r="AL150" i="1"/>
  <c r="AP150" i="1"/>
  <c r="AW149" i="1"/>
  <c r="BA149" i="1"/>
  <c r="AZ149" i="1"/>
  <c r="BB149" i="1" s="1"/>
  <c r="AP149" i="1"/>
  <c r="AL149" i="1"/>
  <c r="AO149" i="1"/>
  <c r="AQ149" i="1" s="1"/>
  <c r="BE149" i="1" s="1"/>
  <c r="AP148" i="1"/>
  <c r="AL148" i="1"/>
  <c r="AO148" i="1"/>
  <c r="AQ148" i="1" s="1"/>
  <c r="AZ147" i="1"/>
  <c r="AW147" i="1"/>
  <c r="AY148" i="1" s="1"/>
  <c r="BA147" i="1"/>
  <c r="AO146" i="1"/>
  <c r="AL146" i="1"/>
  <c r="AN147" i="1" s="1"/>
  <c r="AP146" i="1"/>
  <c r="AZ145" i="1"/>
  <c r="AW145" i="1"/>
  <c r="AY146" i="1" s="1"/>
  <c r="BA145" i="1"/>
  <c r="AO145" i="1"/>
  <c r="AL145" i="1"/>
  <c r="AP145" i="1"/>
  <c r="AW144" i="1"/>
  <c r="AZ144" i="1"/>
  <c r="BA144" i="1"/>
  <c r="AL144" i="1"/>
  <c r="AP144" i="1"/>
  <c r="AO144" i="1"/>
  <c r="AQ144" i="1" s="1"/>
  <c r="BA143" i="1"/>
  <c r="AW143" i="1"/>
  <c r="AZ143" i="1"/>
  <c r="BB143" i="1" s="1"/>
  <c r="BA142" i="1"/>
  <c r="AW142" i="1"/>
  <c r="AZ142" i="1"/>
  <c r="BB142" i="1" s="1"/>
  <c r="AW141" i="1"/>
  <c r="AZ141" i="1"/>
  <c r="BA141" i="1"/>
  <c r="AP140" i="1"/>
  <c r="AO140" i="1"/>
  <c r="AQ140" i="1" s="1"/>
  <c r="AL140" i="1"/>
  <c r="AN141" i="1" s="1"/>
  <c r="AO141" i="1" s="1"/>
  <c r="AP141" i="1"/>
  <c r="AL141" i="1"/>
  <c r="AN142" i="1" s="1"/>
  <c r="AZ139" i="1"/>
  <c r="BA139" i="1"/>
  <c r="AW139" i="1"/>
  <c r="AY140" i="1" s="1"/>
  <c r="AZ138" i="1"/>
  <c r="BA138" i="1"/>
  <c r="AW138" i="1"/>
  <c r="AZ137" i="1"/>
  <c r="BA137" i="1"/>
  <c r="AW137" i="1"/>
  <c r="AZ136" i="1"/>
  <c r="BA136" i="1"/>
  <c r="AW136" i="1"/>
  <c r="AZ135" i="1"/>
  <c r="BA135" i="1"/>
  <c r="AW135" i="1"/>
  <c r="AZ134" i="1"/>
  <c r="BA134" i="1"/>
  <c r="AW134" i="1"/>
  <c r="AO133" i="1"/>
  <c r="AP133" i="1"/>
  <c r="AL133" i="1"/>
  <c r="AN134" i="1" s="1"/>
  <c r="AO132" i="1"/>
  <c r="AP132" i="1"/>
  <c r="AL132" i="1"/>
  <c r="AO131" i="1"/>
  <c r="AP131" i="1"/>
  <c r="AL131" i="1"/>
  <c r="AZ130" i="1"/>
  <c r="BA130" i="1"/>
  <c r="AW130" i="1"/>
  <c r="AY131" i="1" s="1"/>
  <c r="AO130" i="1"/>
  <c r="AP130" i="1"/>
  <c r="AL130" i="1"/>
  <c r="AO129" i="1"/>
  <c r="AQ129" i="1" s="1"/>
  <c r="AP129" i="1"/>
  <c r="AL129" i="1"/>
  <c r="AZ128" i="1"/>
  <c r="BA128" i="1"/>
  <c r="AW128" i="1"/>
  <c r="AY129" i="1" s="1"/>
  <c r="AO128" i="1"/>
  <c r="AP128" i="1"/>
  <c r="AL128" i="1"/>
  <c r="AZ127" i="1"/>
  <c r="BA127" i="1"/>
  <c r="AW127" i="1"/>
  <c r="AO127" i="1"/>
  <c r="AP127" i="1"/>
  <c r="AL127" i="1"/>
  <c r="AZ126" i="1"/>
  <c r="BA126" i="1"/>
  <c r="AW126" i="1"/>
  <c r="AO126" i="1"/>
  <c r="AP126" i="1"/>
  <c r="AL126" i="1"/>
  <c r="AZ125" i="1"/>
  <c r="BA125" i="1"/>
  <c r="AW125" i="1"/>
  <c r="AP124" i="1"/>
  <c r="AL124" i="1"/>
  <c r="AN125" i="1" s="1"/>
  <c r="AO124" i="1"/>
  <c r="AQ124" i="1" s="1"/>
  <c r="AW123" i="1"/>
  <c r="AY124" i="1" s="1"/>
  <c r="BA123" i="1"/>
  <c r="AZ123" i="1"/>
  <c r="BB123" i="1" s="1"/>
  <c r="AP123" i="1"/>
  <c r="AO123" i="1"/>
  <c r="AQ123" i="1" s="1"/>
  <c r="BE123" i="1" s="1"/>
  <c r="AL123" i="1"/>
  <c r="AZ122" i="1"/>
  <c r="AW122" i="1"/>
  <c r="BA122" i="1"/>
  <c r="AP122" i="1"/>
  <c r="AL122" i="1"/>
  <c r="AO122" i="1"/>
  <c r="AQ122" i="1" s="1"/>
  <c r="AP121" i="1"/>
  <c r="AO121" i="1"/>
  <c r="AQ121" i="1" s="1"/>
  <c r="AL121" i="1"/>
  <c r="BA120" i="1"/>
  <c r="AW120" i="1"/>
  <c r="AY121" i="1" s="1"/>
  <c r="AZ120" i="1"/>
  <c r="AL120" i="1"/>
  <c r="AO120" i="1"/>
  <c r="AP120" i="1"/>
  <c r="AW119" i="1"/>
  <c r="AZ119" i="1"/>
  <c r="BA119" i="1"/>
  <c r="AL118" i="1"/>
  <c r="AN119" i="1" s="1"/>
  <c r="AP118" i="1"/>
  <c r="AO118" i="1"/>
  <c r="AQ118" i="1" s="1"/>
  <c r="AW117" i="1"/>
  <c r="AY118" i="1" s="1"/>
  <c r="AZ117" i="1"/>
  <c r="BA117" i="1"/>
  <c r="AP117" i="1"/>
  <c r="AO117" i="1"/>
  <c r="AL117" i="1"/>
  <c r="AW116" i="1"/>
  <c r="BA116" i="1"/>
  <c r="AZ116" i="1"/>
  <c r="BB116" i="1" s="1"/>
  <c r="AP116" i="1"/>
  <c r="AL116" i="1"/>
  <c r="AO116" i="1"/>
  <c r="AQ116" i="1" s="1"/>
  <c r="BE116" i="1" s="1"/>
  <c r="AL115" i="1"/>
  <c r="AO115" i="1"/>
  <c r="AP115" i="1"/>
  <c r="AW114" i="1"/>
  <c r="AY115" i="1" s="1"/>
  <c r="AZ114" i="1"/>
  <c r="BA114" i="1"/>
  <c r="AO114" i="1"/>
  <c r="AP114" i="1"/>
  <c r="AL114" i="1"/>
  <c r="AZ113" i="1"/>
  <c r="AW113" i="1"/>
  <c r="BA113" i="1"/>
  <c r="AL113" i="1"/>
  <c r="AP113" i="1"/>
  <c r="AO113" i="1"/>
  <c r="AQ113" i="1" s="1"/>
  <c r="BA112" i="1"/>
  <c r="AW112" i="1"/>
  <c r="AZ112" i="1"/>
  <c r="BB112" i="1" s="1"/>
  <c r="AO112" i="1"/>
  <c r="AL112" i="1"/>
  <c r="AP112" i="1"/>
  <c r="AW111" i="1"/>
  <c r="BA111" i="1"/>
  <c r="AZ111" i="1"/>
  <c r="BB111" i="1" s="1"/>
  <c r="AL111" i="1"/>
  <c r="AP111" i="1"/>
  <c r="AO111" i="1"/>
  <c r="AQ111" i="1" s="1"/>
  <c r="BE111" i="1" s="1"/>
  <c r="AW110" i="1"/>
  <c r="AZ110" i="1"/>
  <c r="BA110" i="1"/>
  <c r="AP110" i="1"/>
  <c r="AO110" i="1"/>
  <c r="AQ110" i="1" s="1"/>
  <c r="AL110" i="1"/>
  <c r="AW109" i="1"/>
  <c r="BA109" i="1"/>
  <c r="AZ109" i="1"/>
  <c r="BB109" i="1" s="1"/>
  <c r="AP109" i="1"/>
  <c r="AL109" i="1"/>
  <c r="AO109" i="1"/>
  <c r="AQ109" i="1" s="1"/>
  <c r="BE109" i="1" s="1"/>
  <c r="AW108" i="1"/>
  <c r="BA108" i="1"/>
  <c r="AZ108" i="1"/>
  <c r="BB108" i="1" s="1"/>
  <c r="AP108" i="1"/>
  <c r="AL108" i="1"/>
  <c r="AO108" i="1"/>
  <c r="AQ108" i="1" s="1"/>
  <c r="BE108" i="1" s="1"/>
  <c r="BA107" i="1"/>
  <c r="AZ107" i="1"/>
  <c r="BB107" i="1" s="1"/>
  <c r="AW107" i="1"/>
  <c r="AP107" i="1"/>
  <c r="AL107" i="1"/>
  <c r="AO107" i="1"/>
  <c r="AQ107" i="1" s="1"/>
  <c r="BE107" i="1" s="1"/>
  <c r="BA106" i="1"/>
  <c r="AW106" i="1"/>
  <c r="AZ106" i="1"/>
  <c r="BB106" i="1" s="1"/>
  <c r="AO106" i="1"/>
  <c r="AL106" i="1"/>
  <c r="AP106" i="1"/>
  <c r="BA105" i="1"/>
  <c r="AW105" i="1"/>
  <c r="AZ105" i="1"/>
  <c r="BB105" i="1" s="1"/>
  <c r="AP105" i="1"/>
  <c r="AL105" i="1"/>
  <c r="AO105" i="1"/>
  <c r="AQ105" i="1" s="1"/>
  <c r="BE105" i="1" s="1"/>
  <c r="AO104" i="1"/>
  <c r="AL104" i="1"/>
  <c r="AP104" i="1"/>
  <c r="BA103" i="1"/>
  <c r="AZ103" i="1"/>
  <c r="BB103" i="1" s="1"/>
  <c r="AW103" i="1"/>
  <c r="AY104" i="1" s="1"/>
  <c r="AL103" i="1"/>
  <c r="AO103" i="1"/>
  <c r="AP103" i="1"/>
  <c r="AW101" i="1"/>
  <c r="AZ101" i="1"/>
  <c r="BA101" i="1"/>
  <c r="AZ102" i="1"/>
  <c r="AW102" i="1"/>
  <c r="BA102" i="1"/>
  <c r="AZ100" i="1"/>
  <c r="BA100" i="1"/>
  <c r="AW100" i="1"/>
  <c r="AZ99" i="1"/>
  <c r="BA99" i="1"/>
  <c r="AW99" i="1"/>
  <c r="AO99" i="1"/>
  <c r="AP99" i="1"/>
  <c r="AL99" i="1"/>
  <c r="AN100" i="1" s="1"/>
  <c r="AZ98" i="1"/>
  <c r="BA98" i="1"/>
  <c r="AW98" i="1"/>
  <c r="AO98" i="1"/>
  <c r="AP98" i="1"/>
  <c r="AL98" i="1"/>
  <c r="AZ97" i="1"/>
  <c r="BA97" i="1"/>
  <c r="AW97" i="1"/>
  <c r="AO97" i="1"/>
  <c r="AP97" i="1"/>
  <c r="AL97" i="1"/>
  <c r="AZ96" i="1"/>
  <c r="BA96" i="1"/>
  <c r="AW96" i="1"/>
  <c r="AO96" i="1"/>
  <c r="AP96" i="1"/>
  <c r="AL96" i="1"/>
  <c r="AZ95" i="1"/>
  <c r="BA95" i="1"/>
  <c r="AW95" i="1"/>
  <c r="AO95" i="1"/>
  <c r="AP95" i="1"/>
  <c r="AL95" i="1"/>
  <c r="AZ94" i="1"/>
  <c r="BA94" i="1"/>
  <c r="AW94" i="1"/>
  <c r="AO94" i="1"/>
  <c r="AP94" i="1"/>
  <c r="AL94" i="1"/>
  <c r="AZ93" i="1"/>
  <c r="BA93" i="1"/>
  <c r="AW93" i="1"/>
  <c r="AZ92" i="1"/>
  <c r="BA92" i="1"/>
  <c r="AW92" i="1"/>
  <c r="AO91" i="1"/>
  <c r="AP91" i="1"/>
  <c r="AL91" i="1"/>
  <c r="AN92" i="1" s="1"/>
  <c r="AZ90" i="1"/>
  <c r="BA90" i="1"/>
  <c r="AW90" i="1"/>
  <c r="AY91" i="1" s="1"/>
  <c r="AZ89" i="1"/>
  <c r="BA89" i="1"/>
  <c r="AW89" i="1"/>
  <c r="AZ88" i="1"/>
  <c r="BA88" i="1"/>
  <c r="AW88" i="1"/>
  <c r="AO88" i="1"/>
  <c r="AP88" i="1"/>
  <c r="AL88" i="1"/>
  <c r="AN89" i="1" s="1"/>
  <c r="AZ87" i="1"/>
  <c r="BA87" i="1"/>
  <c r="AW87" i="1"/>
  <c r="AO87" i="1"/>
  <c r="AP87" i="1"/>
  <c r="AL87" i="1"/>
  <c r="AZ86" i="1"/>
  <c r="BA86" i="1"/>
  <c r="AW86" i="1"/>
  <c r="AZ85" i="1"/>
  <c r="BA85" i="1"/>
  <c r="AW85" i="1"/>
  <c r="AO85" i="1"/>
  <c r="AP85" i="1"/>
  <c r="AL85" i="1"/>
  <c r="AN86" i="1" s="1"/>
  <c r="AZ84" i="1"/>
  <c r="BA84" i="1"/>
  <c r="AW84" i="1"/>
  <c r="AZ83" i="1"/>
  <c r="BA83" i="1"/>
  <c r="AW83" i="1"/>
  <c r="AO83" i="1"/>
  <c r="AP83" i="1"/>
  <c r="AL83" i="1"/>
  <c r="AN84" i="1" s="1"/>
  <c r="AZ82" i="1"/>
  <c r="BA82" i="1"/>
  <c r="AW82" i="1"/>
  <c r="AZ81" i="1"/>
  <c r="BA81" i="1"/>
  <c r="AW81" i="1"/>
  <c r="AO81" i="1"/>
  <c r="AP81" i="1"/>
  <c r="AL81" i="1"/>
  <c r="AN82" i="1" s="1"/>
  <c r="AO80" i="1"/>
  <c r="AP80" i="1"/>
  <c r="AL80" i="1"/>
  <c r="AZ79" i="1"/>
  <c r="BA79" i="1"/>
  <c r="AW79" i="1"/>
  <c r="AY80" i="1" s="1"/>
  <c r="AO79" i="1"/>
  <c r="AP79" i="1"/>
  <c r="AL79" i="1"/>
  <c r="AZ78" i="1"/>
  <c r="BA78" i="1"/>
  <c r="AW78" i="1"/>
  <c r="AO78" i="1"/>
  <c r="AP78" i="1"/>
  <c r="AL78" i="1"/>
  <c r="AZ77" i="1"/>
  <c r="BA77" i="1"/>
  <c r="AW77" i="1"/>
  <c r="AO77" i="1"/>
  <c r="AP77" i="1"/>
  <c r="AL77" i="1"/>
  <c r="AO76" i="1"/>
  <c r="AP76" i="1"/>
  <c r="AL76" i="1"/>
  <c r="AO75" i="1"/>
  <c r="AP75" i="1"/>
  <c r="AL75" i="1"/>
  <c r="AZ74" i="1"/>
  <c r="BA74" i="1"/>
  <c r="AW74" i="1"/>
  <c r="AY75" i="1" s="1"/>
  <c r="AO74" i="1"/>
  <c r="AP74" i="1"/>
  <c r="AL74" i="1"/>
  <c r="AO73" i="1"/>
  <c r="AP73" i="1"/>
  <c r="AL73" i="1"/>
  <c r="AZ72" i="1"/>
  <c r="BA72" i="1"/>
  <c r="AW72" i="1"/>
  <c r="AY73" i="1" s="1"/>
  <c r="AO72" i="1"/>
  <c r="AP72" i="1"/>
  <c r="AL72" i="1"/>
  <c r="AO71" i="1"/>
  <c r="AP71" i="1"/>
  <c r="AL71" i="1"/>
  <c r="AZ70" i="1"/>
  <c r="BA70" i="1"/>
  <c r="AW70" i="1"/>
  <c r="AY71" i="1" s="1"/>
  <c r="AO70" i="1"/>
  <c r="AP70" i="1"/>
  <c r="AL70" i="1"/>
  <c r="AO69" i="1"/>
  <c r="AP69" i="1"/>
  <c r="AL69" i="1"/>
  <c r="AZ68" i="1"/>
  <c r="BA68" i="1"/>
  <c r="AW68" i="1"/>
  <c r="AY69" i="1" s="1"/>
  <c r="AO68" i="1"/>
  <c r="AP68" i="1"/>
  <c r="AL68" i="1"/>
  <c r="AZ67" i="1"/>
  <c r="BA67" i="1"/>
  <c r="AW67" i="1"/>
  <c r="AO67" i="1"/>
  <c r="AP67" i="1"/>
  <c r="AL67" i="1"/>
  <c r="AO66" i="1"/>
  <c r="AP66" i="1"/>
  <c r="AL66" i="1"/>
  <c r="AZ64" i="1"/>
  <c r="AW64" i="1"/>
  <c r="AY65" i="1" s="1"/>
  <c r="BA64" i="1"/>
  <c r="AZ65" i="1"/>
  <c r="BA65" i="1"/>
  <c r="AW65" i="1"/>
  <c r="AY66" i="1" s="1"/>
  <c r="AP64" i="1"/>
  <c r="AL64" i="1"/>
  <c r="AO64" i="1"/>
  <c r="AQ64" i="1" s="1"/>
  <c r="AO65" i="1"/>
  <c r="AP65" i="1"/>
  <c r="AL65" i="1"/>
  <c r="AO63" i="1"/>
  <c r="AP63" i="1"/>
  <c r="AL63" i="1"/>
  <c r="AZ62" i="1"/>
  <c r="BA62" i="1"/>
  <c r="AW62" i="1"/>
  <c r="AY63" i="1" s="1"/>
  <c r="AO62" i="1"/>
  <c r="AP62" i="1"/>
  <c r="AL62" i="1"/>
  <c r="AZ61" i="1"/>
  <c r="BA61" i="1"/>
  <c r="AW61" i="1"/>
  <c r="AZ60" i="1"/>
  <c r="BA60" i="1"/>
  <c r="AW60" i="1"/>
  <c r="AZ59" i="1"/>
  <c r="BA59" i="1"/>
  <c r="AW59" i="1"/>
  <c r="AZ58" i="1"/>
  <c r="BA58" i="1"/>
  <c r="AW58" i="1"/>
  <c r="AZ57" i="1"/>
  <c r="BA57" i="1"/>
  <c r="AW57" i="1"/>
  <c r="AO57" i="1"/>
  <c r="AP57" i="1"/>
  <c r="AL57" i="1"/>
  <c r="AN58" i="1" s="1"/>
  <c r="AO56" i="1"/>
  <c r="AP56" i="1"/>
  <c r="AL56" i="1"/>
  <c r="AZ55" i="1"/>
  <c r="BA55" i="1"/>
  <c r="AW55" i="1"/>
  <c r="AY56" i="1" s="1"/>
  <c r="AZ54" i="1"/>
  <c r="BA54" i="1"/>
  <c r="AW54" i="1"/>
  <c r="AZ53" i="1"/>
  <c r="BA53" i="1"/>
  <c r="AW53" i="1"/>
  <c r="AZ52" i="1"/>
  <c r="BA52" i="1"/>
  <c r="AW52" i="1"/>
  <c r="AO52" i="1"/>
  <c r="AP52" i="1"/>
  <c r="AL52" i="1"/>
  <c r="AN53" i="1" s="1"/>
  <c r="AZ51" i="1"/>
  <c r="BA51" i="1"/>
  <c r="AW51" i="1"/>
  <c r="AZ50" i="1"/>
  <c r="BA50" i="1"/>
  <c r="AW50" i="1"/>
  <c r="AZ49" i="1"/>
  <c r="BA49" i="1"/>
  <c r="AW49" i="1"/>
  <c r="AZ48" i="1"/>
  <c r="BA48" i="1"/>
  <c r="AW48" i="1"/>
  <c r="AZ47" i="1"/>
  <c r="BA47" i="1"/>
  <c r="AW47" i="1"/>
  <c r="AO47" i="1"/>
  <c r="AP47" i="1"/>
  <c r="AL47" i="1"/>
  <c r="AN48" i="1" s="1"/>
  <c r="AO46" i="1"/>
  <c r="AP46" i="1"/>
  <c r="AL46" i="1"/>
  <c r="AZ45" i="1"/>
  <c r="BA45" i="1"/>
  <c r="AW45" i="1"/>
  <c r="AY46" i="1" s="1"/>
  <c r="AO44" i="1"/>
  <c r="AP44" i="1"/>
  <c r="AL44" i="1"/>
  <c r="AN45" i="1" s="1"/>
  <c r="AZ43" i="1"/>
  <c r="BA43" i="1"/>
  <c r="AW43" i="1"/>
  <c r="AY44" i="1" s="1"/>
  <c r="AO43" i="1"/>
  <c r="AP43" i="1"/>
  <c r="AL43" i="1"/>
  <c r="AZ42" i="1"/>
  <c r="BA42" i="1"/>
  <c r="AW42" i="1"/>
  <c r="AZ41" i="1"/>
  <c r="BA41" i="1"/>
  <c r="AW41" i="1"/>
  <c r="AO41" i="1"/>
  <c r="AP41" i="1"/>
  <c r="AL41" i="1"/>
  <c r="AN42" i="1" s="1"/>
  <c r="AZ40" i="1"/>
  <c r="BA40" i="1"/>
  <c r="AW40" i="1"/>
  <c r="AO40" i="1"/>
  <c r="AP40" i="1"/>
  <c r="AL40" i="1"/>
  <c r="AO39" i="1"/>
  <c r="AP39" i="1"/>
  <c r="AL39" i="1"/>
  <c r="AZ38" i="1"/>
  <c r="BA38" i="1"/>
  <c r="AW38" i="1"/>
  <c r="AY39" i="1" s="1"/>
  <c r="AO37" i="1"/>
  <c r="AP37" i="1"/>
  <c r="AL37" i="1"/>
  <c r="AN38" i="1" s="1"/>
  <c r="AZ36" i="1"/>
  <c r="BA36" i="1"/>
  <c r="AW36" i="1"/>
  <c r="AY37" i="1" s="1"/>
  <c r="AO36" i="1"/>
  <c r="AP36" i="1"/>
  <c r="AL36" i="1"/>
  <c r="AZ35" i="1"/>
  <c r="BA35" i="1"/>
  <c r="AW35" i="1"/>
  <c r="AO35" i="1"/>
  <c r="AP35" i="1"/>
  <c r="AL35" i="1"/>
  <c r="AZ34" i="1"/>
  <c r="BA34" i="1"/>
  <c r="AW34" i="1"/>
  <c r="AO34" i="1"/>
  <c r="AP34" i="1"/>
  <c r="AL34" i="1"/>
  <c r="AZ33" i="1"/>
  <c r="BA33" i="1"/>
  <c r="AW33" i="1"/>
  <c r="AO33" i="1"/>
  <c r="AP33" i="1"/>
  <c r="AL33" i="1"/>
  <c r="AZ32" i="1"/>
  <c r="BA32" i="1"/>
  <c r="AW32" i="1"/>
  <c r="AL32" i="1"/>
  <c r="AO32" i="1"/>
  <c r="AP32" i="1"/>
  <c r="AZ31" i="1"/>
  <c r="BA31" i="1"/>
  <c r="AW31" i="1"/>
  <c r="AZ30" i="1"/>
  <c r="AW30" i="1"/>
  <c r="BA30" i="1"/>
  <c r="AO30" i="1"/>
  <c r="AL30" i="1"/>
  <c r="AN31" i="1" s="1"/>
  <c r="AP30" i="1"/>
  <c r="AP29" i="1"/>
  <c r="AL29" i="1"/>
  <c r="AO29" i="1"/>
  <c r="AQ29" i="1" s="1"/>
  <c r="AZ28" i="1"/>
  <c r="BA28" i="1"/>
  <c r="AW28" i="1"/>
  <c r="AY29" i="1" s="1"/>
  <c r="AP28" i="1"/>
  <c r="AL28" i="1"/>
  <c r="AO28" i="1"/>
  <c r="AQ28" i="1" s="1"/>
  <c r="AZ26" i="1"/>
  <c r="BA26" i="1"/>
  <c r="AW27" i="1"/>
  <c r="AZ27" i="1"/>
  <c r="BA27" i="1"/>
  <c r="AL27" i="1"/>
  <c r="AP27" i="1"/>
  <c r="AO27" i="1"/>
  <c r="AQ27" i="1" s="1"/>
  <c r="AZ25" i="1"/>
  <c r="BA25" i="1"/>
  <c r="AW25" i="1"/>
  <c r="AZ24" i="1"/>
  <c r="BA24" i="1"/>
  <c r="AW24" i="1"/>
  <c r="AO24" i="1"/>
  <c r="AP24" i="1"/>
  <c r="AL24" i="1"/>
  <c r="AN25" i="1" s="1"/>
  <c r="AZ23" i="1"/>
  <c r="BA23" i="1"/>
  <c r="AW23" i="1"/>
  <c r="AO23" i="1"/>
  <c r="AP23" i="1"/>
  <c r="AL23" i="1"/>
  <c r="AZ22" i="1"/>
  <c r="BA22" i="1"/>
  <c r="AO22" i="1"/>
  <c r="AP22" i="1"/>
  <c r="BB141" i="1" l="1"/>
  <c r="AQ141" i="1"/>
  <c r="BE141" i="1" s="1"/>
  <c r="BB139" i="1"/>
  <c r="BB137" i="1"/>
  <c r="BB136" i="1"/>
  <c r="BB135" i="1"/>
  <c r="BB134" i="1"/>
  <c r="AQ132" i="1"/>
  <c r="AQ131" i="1"/>
  <c r="BB130" i="1"/>
  <c r="BB128" i="1"/>
  <c r="BB127" i="1"/>
  <c r="AQ127" i="1"/>
  <c r="BE127" i="1" s="1"/>
  <c r="BB126" i="1"/>
  <c r="BB120" i="1"/>
  <c r="AQ120" i="1"/>
  <c r="BE120" i="1" s="1"/>
  <c r="BB119" i="1"/>
  <c r="AQ117" i="1"/>
  <c r="BB114" i="1"/>
  <c r="AQ128" i="1"/>
  <c r="BE128" i="1" s="1"/>
  <c r="AP176" i="1"/>
  <c r="AL176" i="1"/>
  <c r="AO176" i="1"/>
  <c r="AQ176" i="1" s="1"/>
  <c r="AZ175" i="1"/>
  <c r="AW175" i="1"/>
  <c r="BA175" i="1"/>
  <c r="AO174" i="1"/>
  <c r="AL174" i="1"/>
  <c r="AP174" i="1"/>
  <c r="AZ173" i="1"/>
  <c r="AW173" i="1"/>
  <c r="BA173" i="1"/>
  <c r="AO171" i="1"/>
  <c r="AL171" i="1"/>
  <c r="AN172" i="1" s="1"/>
  <c r="AP171" i="1"/>
  <c r="AZ170" i="1"/>
  <c r="AW170" i="1"/>
  <c r="BA170" i="1"/>
  <c r="AO169" i="1"/>
  <c r="AL169" i="1"/>
  <c r="AP169" i="1"/>
  <c r="AP167" i="1"/>
  <c r="AL167" i="1"/>
  <c r="AO167" i="1"/>
  <c r="AQ167" i="1" s="1"/>
  <c r="AZ166" i="1"/>
  <c r="AW166" i="1"/>
  <c r="BA166" i="1"/>
  <c r="AO161" i="1"/>
  <c r="AP161" i="1"/>
  <c r="AL161" i="1"/>
  <c r="AN162" i="1" s="1"/>
  <c r="AW155" i="1"/>
  <c r="AY156" i="1" s="1"/>
  <c r="AZ155" i="1"/>
  <c r="BA155" i="1"/>
  <c r="AO152" i="1"/>
  <c r="AL152" i="1"/>
  <c r="AP152" i="1"/>
  <c r="AZ151" i="1"/>
  <c r="AW151" i="1"/>
  <c r="BA151" i="1"/>
  <c r="AZ148" i="1"/>
  <c r="AW148" i="1"/>
  <c r="BA148" i="1"/>
  <c r="AO147" i="1"/>
  <c r="AP147" i="1"/>
  <c r="AL147" i="1"/>
  <c r="AZ146" i="1"/>
  <c r="AW146" i="1"/>
  <c r="BA146" i="1"/>
  <c r="AP142" i="1"/>
  <c r="AL142" i="1"/>
  <c r="AN143" i="1" s="1"/>
  <c r="AO142" i="1"/>
  <c r="AQ142" i="1" s="1"/>
  <c r="BE142" i="1" s="1"/>
  <c r="AL134" i="1"/>
  <c r="AN135" i="1" s="1"/>
  <c r="AP134" i="1"/>
  <c r="AO134" i="1"/>
  <c r="AQ134" i="1" s="1"/>
  <c r="BE134" i="1" s="1"/>
  <c r="AW131" i="1"/>
  <c r="AY132" i="1" s="1"/>
  <c r="BA131" i="1"/>
  <c r="AZ131" i="1"/>
  <c r="BB131" i="1" s="1"/>
  <c r="BE131" i="1" s="1"/>
  <c r="AW129" i="1"/>
  <c r="BA129" i="1"/>
  <c r="AZ129" i="1"/>
  <c r="BB129" i="1" s="1"/>
  <c r="BE129" i="1" s="1"/>
  <c r="AL125" i="1"/>
  <c r="AP125" i="1"/>
  <c r="AO125" i="1"/>
  <c r="AQ125" i="1" s="1"/>
  <c r="AW124" i="1"/>
  <c r="BA124" i="1"/>
  <c r="AZ124" i="1"/>
  <c r="BB124" i="1" s="1"/>
  <c r="BE124" i="1" s="1"/>
  <c r="AZ121" i="1"/>
  <c r="BA121" i="1"/>
  <c r="AW121" i="1"/>
  <c r="AO119" i="1"/>
  <c r="AL119" i="1"/>
  <c r="AP119" i="1"/>
  <c r="AZ118" i="1"/>
  <c r="AW118" i="1"/>
  <c r="BA118" i="1"/>
  <c r="AZ115" i="1"/>
  <c r="AW115" i="1"/>
  <c r="BA115" i="1"/>
  <c r="AW104" i="1"/>
  <c r="AZ104" i="1"/>
  <c r="BA104" i="1"/>
  <c r="AL100" i="1"/>
  <c r="AN101" i="1" s="1"/>
  <c r="AP100" i="1"/>
  <c r="AO100" i="1"/>
  <c r="AQ100" i="1" s="1"/>
  <c r="BE100" i="1" s="1"/>
  <c r="AL92" i="1"/>
  <c r="AN93" i="1" s="1"/>
  <c r="AP92" i="1"/>
  <c r="AO92" i="1"/>
  <c r="AW91" i="1"/>
  <c r="BA91" i="1"/>
  <c r="AZ91" i="1"/>
  <c r="BB91" i="1" s="1"/>
  <c r="AL89" i="1"/>
  <c r="AN90" i="1" s="1"/>
  <c r="AP89" i="1"/>
  <c r="AO89" i="1"/>
  <c r="AQ89" i="1" s="1"/>
  <c r="BE89" i="1" s="1"/>
  <c r="AL86" i="1"/>
  <c r="AP86" i="1"/>
  <c r="AO86" i="1"/>
  <c r="AQ86" i="1" s="1"/>
  <c r="BE86" i="1" s="1"/>
  <c r="AL84" i="1"/>
  <c r="AP84" i="1"/>
  <c r="AO84" i="1"/>
  <c r="AQ84" i="1" s="1"/>
  <c r="BE84" i="1" s="1"/>
  <c r="AL82" i="1"/>
  <c r="AP82" i="1"/>
  <c r="AO82" i="1"/>
  <c r="AQ82" i="1" s="1"/>
  <c r="BE82" i="1" s="1"/>
  <c r="AW80" i="1"/>
  <c r="BA80" i="1"/>
  <c r="AZ80" i="1"/>
  <c r="BB80" i="1" s="1"/>
  <c r="AW75" i="1"/>
  <c r="AY76" i="1" s="1"/>
  <c r="BA75" i="1"/>
  <c r="AZ75" i="1"/>
  <c r="BB75" i="1" s="1"/>
  <c r="AW73" i="1"/>
  <c r="BA73" i="1"/>
  <c r="AZ73" i="1"/>
  <c r="AW71" i="1"/>
  <c r="BA71" i="1"/>
  <c r="AZ71" i="1"/>
  <c r="BB71" i="1" s="1"/>
  <c r="AW69" i="1"/>
  <c r="BA69" i="1"/>
  <c r="AZ69" i="1"/>
  <c r="BB69" i="1" s="1"/>
  <c r="AW66" i="1"/>
  <c r="BA66" i="1"/>
  <c r="AZ66" i="1"/>
  <c r="BB66" i="1" s="1"/>
  <c r="AW63" i="1"/>
  <c r="BA63" i="1"/>
  <c r="AZ63" i="1"/>
  <c r="BB63" i="1" s="1"/>
  <c r="AL58" i="1"/>
  <c r="AN59" i="1" s="1"/>
  <c r="AP58" i="1"/>
  <c r="AO58" i="1"/>
  <c r="AQ58" i="1" s="1"/>
  <c r="AW56" i="1"/>
  <c r="BA56" i="1"/>
  <c r="AZ56" i="1"/>
  <c r="BB56" i="1" s="1"/>
  <c r="AL53" i="1"/>
  <c r="AN54" i="1" s="1"/>
  <c r="AP53" i="1"/>
  <c r="AO53" i="1"/>
  <c r="AQ53" i="1" s="1"/>
  <c r="AL48" i="1"/>
  <c r="AN49" i="1" s="1"/>
  <c r="AP48" i="1"/>
  <c r="AO48" i="1"/>
  <c r="AQ48" i="1" s="1"/>
  <c r="AW46" i="1"/>
  <c r="BA46" i="1"/>
  <c r="AZ46" i="1"/>
  <c r="BB46" i="1" s="1"/>
  <c r="AL45" i="1"/>
  <c r="AP45" i="1"/>
  <c r="AO45" i="1"/>
  <c r="AQ45" i="1" s="1"/>
  <c r="AW44" i="1"/>
  <c r="BA44" i="1"/>
  <c r="AZ44" i="1"/>
  <c r="BB44" i="1" s="1"/>
  <c r="AL42" i="1"/>
  <c r="AP42" i="1"/>
  <c r="AO42" i="1"/>
  <c r="AQ42" i="1" s="1"/>
  <c r="AW39" i="1"/>
  <c r="BA39" i="1"/>
  <c r="AZ39" i="1"/>
  <c r="BB39" i="1" s="1"/>
  <c r="AL38" i="1"/>
  <c r="AP38" i="1"/>
  <c r="AO38" i="1"/>
  <c r="AQ38" i="1" s="1"/>
  <c r="AW37" i="1"/>
  <c r="BA37" i="1"/>
  <c r="AZ37" i="1"/>
  <c r="BB37" i="1" s="1"/>
  <c r="AP31" i="1"/>
  <c r="AL31" i="1"/>
  <c r="AO31" i="1"/>
  <c r="AQ31" i="1" s="1"/>
  <c r="AW29" i="1"/>
  <c r="BA29" i="1"/>
  <c r="AZ29" i="1"/>
  <c r="BB29" i="1" s="1"/>
  <c r="BE29" i="1" s="1"/>
  <c r="AL25" i="1"/>
  <c r="AN26" i="1" s="1"/>
  <c r="AP25" i="1"/>
  <c r="AO25" i="1"/>
  <c r="AQ25" i="1" s="1"/>
  <c r="BB176" i="1"/>
  <c r="AQ173" i="1"/>
  <c r="BB172" i="1"/>
  <c r="BB168" i="1"/>
  <c r="BE168" i="1" s="1"/>
  <c r="BB167" i="1"/>
  <c r="AQ166" i="1"/>
  <c r="BB165" i="1"/>
  <c r="AQ160" i="1"/>
  <c r="BE160" i="1" s="1"/>
  <c r="AQ158" i="1"/>
  <c r="AQ157" i="1"/>
  <c r="AQ153" i="1"/>
  <c r="BE153" i="1" s="1"/>
  <c r="AQ151" i="1"/>
  <c r="AQ150" i="1"/>
  <c r="BE150" i="1" s="1"/>
  <c r="BB147" i="1"/>
  <c r="AQ146" i="1"/>
  <c r="BB145" i="1"/>
  <c r="AQ145" i="1"/>
  <c r="BE145" i="1" s="1"/>
  <c r="BB144" i="1"/>
  <c r="BE144" i="1" s="1"/>
  <c r="BB138" i="1"/>
  <c r="BB122" i="1"/>
  <c r="BE122" i="1" s="1"/>
  <c r="AQ112" i="1"/>
  <c r="BE112" i="1" s="1"/>
  <c r="BB110" i="1"/>
  <c r="BE110" i="1" s="1"/>
  <c r="AQ106" i="1"/>
  <c r="BE106" i="1" s="1"/>
  <c r="AQ104" i="1"/>
  <c r="AQ103" i="1"/>
  <c r="BE103" i="1" s="1"/>
  <c r="BB101" i="1"/>
  <c r="BB102" i="1"/>
  <c r="BB100" i="1"/>
  <c r="BB99" i="1"/>
  <c r="AQ99" i="1"/>
  <c r="BE99" i="1" s="1"/>
  <c r="BB98" i="1"/>
  <c r="AQ98" i="1"/>
  <c r="BE98" i="1" s="1"/>
  <c r="BB97" i="1"/>
  <c r="AQ97" i="1"/>
  <c r="BE97" i="1" s="1"/>
  <c r="BB96" i="1"/>
  <c r="AQ96" i="1"/>
  <c r="BE96" i="1" s="1"/>
  <c r="BB95" i="1"/>
  <c r="AQ95" i="1"/>
  <c r="BE95" i="1" s="1"/>
  <c r="BB94" i="1"/>
  <c r="AQ94" i="1"/>
  <c r="BE94" i="1" s="1"/>
  <c r="BB93" i="1"/>
  <c r="BB92" i="1"/>
  <c r="AQ91" i="1"/>
  <c r="BB90" i="1"/>
  <c r="BB89" i="1"/>
  <c r="BB88" i="1"/>
  <c r="AQ88" i="1"/>
  <c r="BE88" i="1" s="1"/>
  <c r="BB87" i="1"/>
  <c r="AQ87" i="1"/>
  <c r="BE87" i="1" s="1"/>
  <c r="BB86" i="1"/>
  <c r="BB85" i="1"/>
  <c r="AQ85" i="1"/>
  <c r="BE85" i="1" s="1"/>
  <c r="BB84" i="1"/>
  <c r="BB83" i="1"/>
  <c r="AQ83" i="1"/>
  <c r="BE83" i="1" s="1"/>
  <c r="BB82" i="1"/>
  <c r="BB81" i="1"/>
  <c r="AQ81" i="1"/>
  <c r="BE81" i="1" s="1"/>
  <c r="AQ80" i="1"/>
  <c r="BB79" i="1"/>
  <c r="AQ79" i="1"/>
  <c r="BE79" i="1" s="1"/>
  <c r="BB78" i="1"/>
  <c r="AQ78" i="1"/>
  <c r="BE78" i="1" s="1"/>
  <c r="BB77" i="1"/>
  <c r="AQ77" i="1"/>
  <c r="BE77" i="1" s="1"/>
  <c r="AQ76" i="1"/>
  <c r="AQ75" i="1"/>
  <c r="BB74" i="1"/>
  <c r="AQ74" i="1"/>
  <c r="BE74" i="1" s="1"/>
  <c r="AQ73" i="1"/>
  <c r="BB72" i="1"/>
  <c r="AQ72" i="1"/>
  <c r="BE72" i="1" s="1"/>
  <c r="AQ71" i="1"/>
  <c r="BB70" i="1"/>
  <c r="AQ70" i="1"/>
  <c r="BE70" i="1" s="1"/>
  <c r="AQ69" i="1"/>
  <c r="BE69" i="1" s="1"/>
  <c r="BB68" i="1"/>
  <c r="AQ68" i="1"/>
  <c r="BB67" i="1"/>
  <c r="AQ67" i="1"/>
  <c r="BE67" i="1" s="1"/>
  <c r="AQ66" i="1"/>
  <c r="BE66" i="1" s="1"/>
  <c r="BB64" i="1"/>
  <c r="BE64" i="1" s="1"/>
  <c r="BB65" i="1"/>
  <c r="AQ65" i="1"/>
  <c r="BE65" i="1" s="1"/>
  <c r="AQ63" i="1"/>
  <c r="BE63" i="1" s="1"/>
  <c r="BB62" i="1"/>
  <c r="AQ62" i="1"/>
  <c r="BE62" i="1" s="1"/>
  <c r="BB61" i="1"/>
  <c r="BB60" i="1"/>
  <c r="BB59" i="1"/>
  <c r="BB58" i="1"/>
  <c r="BB57" i="1"/>
  <c r="AQ57" i="1"/>
  <c r="BE57" i="1" s="1"/>
  <c r="AQ130" i="1"/>
  <c r="AQ56" i="1"/>
  <c r="BE56" i="1" s="1"/>
  <c r="BB55" i="1"/>
  <c r="BB54" i="1"/>
  <c r="BB53" i="1"/>
  <c r="BB52" i="1"/>
  <c r="AQ52" i="1"/>
  <c r="BE52" i="1" s="1"/>
  <c r="BB51" i="1"/>
  <c r="BB50" i="1"/>
  <c r="BB49" i="1"/>
  <c r="BB48" i="1"/>
  <c r="BB47" i="1"/>
  <c r="AQ47" i="1"/>
  <c r="BE47" i="1" s="1"/>
  <c r="AQ46" i="1"/>
  <c r="BE46" i="1" s="1"/>
  <c r="BB45" i="1"/>
  <c r="AQ44" i="1"/>
  <c r="BE44" i="1" s="1"/>
  <c r="BB43" i="1"/>
  <c r="AQ43" i="1"/>
  <c r="BE43" i="1" s="1"/>
  <c r="BB42" i="1"/>
  <c r="BB41" i="1"/>
  <c r="AQ41" i="1"/>
  <c r="BE41" i="1" s="1"/>
  <c r="BB40" i="1"/>
  <c r="AQ40" i="1"/>
  <c r="BE40" i="1" s="1"/>
  <c r="AQ39" i="1"/>
  <c r="BE39" i="1" s="1"/>
  <c r="BB38" i="1"/>
  <c r="AQ37" i="1"/>
  <c r="BE37" i="1" s="1"/>
  <c r="BB36" i="1"/>
  <c r="AQ36" i="1"/>
  <c r="BE36" i="1" s="1"/>
  <c r="BB35" i="1"/>
  <c r="AQ35" i="1"/>
  <c r="BE35" i="1" s="1"/>
  <c r="BB34" i="1"/>
  <c r="AQ34" i="1"/>
  <c r="BE34" i="1" s="1"/>
  <c r="BB33" i="1"/>
  <c r="AQ33" i="1"/>
  <c r="BE33" i="1" s="1"/>
  <c r="BB32" i="1"/>
  <c r="AQ32" i="1"/>
  <c r="BE32" i="1" s="1"/>
  <c r="BB31" i="1"/>
  <c r="BB30" i="1"/>
  <c r="AQ30" i="1"/>
  <c r="BE30" i="1" s="1"/>
  <c r="BB28" i="1"/>
  <c r="BE28" i="1" s="1"/>
  <c r="BB26" i="1"/>
  <c r="BB27" i="1"/>
  <c r="BE27" i="1" s="1"/>
  <c r="BB25" i="1"/>
  <c r="BB24" i="1"/>
  <c r="AQ24" i="1"/>
  <c r="BE24" i="1" s="1"/>
  <c r="BB23" i="1"/>
  <c r="AQ23" i="1"/>
  <c r="BE23" i="1" s="1"/>
  <c r="BB22" i="1"/>
  <c r="AQ22" i="1"/>
  <c r="AQ126" i="1"/>
  <c r="BB125" i="1"/>
  <c r="AQ115" i="1"/>
  <c r="AQ114" i="1"/>
  <c r="AQ133" i="1"/>
  <c r="BB117" i="1"/>
  <c r="BB113" i="1"/>
  <c r="BE113" i="1" s="1"/>
  <c r="BA140" i="1"/>
  <c r="AW140" i="1"/>
  <c r="AZ140" i="1"/>
  <c r="BB140" i="1" s="1"/>
  <c r="BE140" i="1" s="1"/>
  <c r="BB155" i="1" l="1"/>
  <c r="BE155" i="1" s="1"/>
  <c r="BB104" i="1"/>
  <c r="BE71" i="1"/>
  <c r="BE68" i="1"/>
  <c r="BE130" i="1"/>
  <c r="BE126" i="1"/>
  <c r="BE114" i="1"/>
  <c r="BE117" i="1"/>
  <c r="AO172" i="1"/>
  <c r="AL172" i="1"/>
  <c r="AP172" i="1"/>
  <c r="AP162" i="1"/>
  <c r="AL162" i="1"/>
  <c r="AN163" i="1" s="1"/>
  <c r="AO162" i="1"/>
  <c r="AQ162" i="1" s="1"/>
  <c r="BE162" i="1" s="1"/>
  <c r="AW156" i="1"/>
  <c r="AY157" i="1" s="1"/>
  <c r="BA156" i="1"/>
  <c r="AZ156" i="1"/>
  <c r="BB156" i="1" s="1"/>
  <c r="BE156" i="1" s="1"/>
  <c r="AO143" i="1"/>
  <c r="AL143" i="1"/>
  <c r="AP143" i="1"/>
  <c r="AL135" i="1"/>
  <c r="AN136" i="1" s="1"/>
  <c r="AP135" i="1"/>
  <c r="AO135" i="1"/>
  <c r="AQ135" i="1" s="1"/>
  <c r="BE135" i="1" s="1"/>
  <c r="AW132" i="1"/>
  <c r="AY133" i="1" s="1"/>
  <c r="BA132" i="1"/>
  <c r="AZ132" i="1"/>
  <c r="BB132" i="1" s="1"/>
  <c r="BE132" i="1" s="1"/>
  <c r="AL101" i="1"/>
  <c r="AN102" i="1" s="1"/>
  <c r="AP101" i="1"/>
  <c r="AO101" i="1"/>
  <c r="AQ101" i="1" s="1"/>
  <c r="BE101" i="1" s="1"/>
  <c r="AL93" i="1"/>
  <c r="AP93" i="1"/>
  <c r="AO93" i="1"/>
  <c r="AQ93" i="1" s="1"/>
  <c r="BE93" i="1" s="1"/>
  <c r="AL90" i="1"/>
  <c r="AP90" i="1"/>
  <c r="AO90" i="1"/>
  <c r="AQ90" i="1" s="1"/>
  <c r="BE90" i="1" s="1"/>
  <c r="AW76" i="1"/>
  <c r="BA76" i="1"/>
  <c r="AZ76" i="1"/>
  <c r="BB76" i="1" s="1"/>
  <c r="BE76" i="1" s="1"/>
  <c r="AL59" i="1"/>
  <c r="AN60" i="1" s="1"/>
  <c r="AP59" i="1"/>
  <c r="AO59" i="1"/>
  <c r="AQ59" i="1" s="1"/>
  <c r="BE59" i="1" s="1"/>
  <c r="AL54" i="1"/>
  <c r="AN55" i="1" s="1"/>
  <c r="AP54" i="1"/>
  <c r="AO54" i="1"/>
  <c r="AQ54" i="1" s="1"/>
  <c r="BE54" i="1" s="1"/>
  <c r="AL49" i="1"/>
  <c r="AN50" i="1" s="1"/>
  <c r="AP49" i="1"/>
  <c r="AO49" i="1"/>
  <c r="AQ49" i="1" s="1"/>
  <c r="BE49" i="1" s="1"/>
  <c r="AP26" i="1"/>
  <c r="AL26" i="1"/>
  <c r="AO26" i="1"/>
  <c r="AQ26" i="1" s="1"/>
  <c r="BC22" i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E22" i="1"/>
  <c r="AR22" i="1"/>
  <c r="AR23" i="1" s="1"/>
  <c r="AR24" i="1" s="1"/>
  <c r="AR25" i="1" s="1"/>
  <c r="BB73" i="1"/>
  <c r="BE73" i="1" s="1"/>
  <c r="BE58" i="1"/>
  <c r="BE53" i="1"/>
  <c r="BE48" i="1"/>
  <c r="BE45" i="1"/>
  <c r="BE42" i="1"/>
  <c r="BE38" i="1"/>
  <c r="BE31" i="1"/>
  <c r="BE25" i="1"/>
  <c r="BE104" i="1"/>
  <c r="BE91" i="1"/>
  <c r="BE80" i="1"/>
  <c r="BE75" i="1"/>
  <c r="AQ92" i="1"/>
  <c r="BE92" i="1" s="1"/>
  <c r="BE176" i="1"/>
  <c r="BB175" i="1"/>
  <c r="BE175" i="1" s="1"/>
  <c r="AQ174" i="1"/>
  <c r="BE174" i="1" s="1"/>
  <c r="BB173" i="1"/>
  <c r="BE173" i="1" s="1"/>
  <c r="AQ171" i="1"/>
  <c r="BE171" i="1" s="1"/>
  <c r="BB170" i="1"/>
  <c r="BE170" i="1" s="1"/>
  <c r="AQ169" i="1"/>
  <c r="BE169" i="1" s="1"/>
  <c r="BE167" i="1"/>
  <c r="BB166" i="1"/>
  <c r="BE166" i="1" s="1"/>
  <c r="AQ161" i="1"/>
  <c r="BE161" i="1" s="1"/>
  <c r="AQ152" i="1"/>
  <c r="BE152" i="1" s="1"/>
  <c r="BB151" i="1"/>
  <c r="BE151" i="1" s="1"/>
  <c r="BB148" i="1"/>
  <c r="BE148" i="1" s="1"/>
  <c r="AQ147" i="1"/>
  <c r="BE147" i="1" s="1"/>
  <c r="BB146" i="1"/>
  <c r="BE146" i="1" s="1"/>
  <c r="BE125" i="1"/>
  <c r="BB121" i="1"/>
  <c r="BE121" i="1" s="1"/>
  <c r="AQ119" i="1"/>
  <c r="BE119" i="1" s="1"/>
  <c r="BB118" i="1"/>
  <c r="BE118" i="1" s="1"/>
  <c r="BB115" i="1"/>
  <c r="BE115" i="1" s="1"/>
  <c r="BC115" i="1" l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AL163" i="1"/>
  <c r="AN164" i="1" s="1"/>
  <c r="AP163" i="1"/>
  <c r="AO163" i="1"/>
  <c r="AQ163" i="1" s="1"/>
  <c r="BE163" i="1" s="1"/>
  <c r="AW157" i="1"/>
  <c r="AY158" i="1" s="1"/>
  <c r="BA157" i="1"/>
  <c r="AZ157" i="1"/>
  <c r="BB157" i="1" s="1"/>
  <c r="BE157" i="1" s="1"/>
  <c r="AL136" i="1"/>
  <c r="AN137" i="1" s="1"/>
  <c r="AP136" i="1"/>
  <c r="AO136" i="1"/>
  <c r="AQ136" i="1" s="1"/>
  <c r="BE136" i="1" s="1"/>
  <c r="AW133" i="1"/>
  <c r="BA133" i="1"/>
  <c r="AZ133" i="1"/>
  <c r="BB133" i="1" s="1"/>
  <c r="AL102" i="1"/>
  <c r="AP102" i="1"/>
  <c r="AO102" i="1"/>
  <c r="AQ102" i="1" s="1"/>
  <c r="BE102" i="1" s="1"/>
  <c r="AL60" i="1"/>
  <c r="AN61" i="1" s="1"/>
  <c r="AP60" i="1"/>
  <c r="AO60" i="1"/>
  <c r="AQ60" i="1" s="1"/>
  <c r="BE60" i="1" s="1"/>
  <c r="AL55" i="1"/>
  <c r="AP55" i="1"/>
  <c r="AO55" i="1"/>
  <c r="AQ55" i="1" s="1"/>
  <c r="BE55" i="1" s="1"/>
  <c r="AL50" i="1"/>
  <c r="AN51" i="1" s="1"/>
  <c r="AP50" i="1"/>
  <c r="AO50" i="1"/>
  <c r="AQ50" i="1" s="1"/>
  <c r="BE50" i="1" s="1"/>
  <c r="BF22" i="1"/>
  <c r="BF23" i="1" s="1"/>
  <c r="BF24" i="1" s="1"/>
  <c r="BF25" i="1" s="1"/>
  <c r="AR26" i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Q172" i="1"/>
  <c r="BE172" i="1" s="1"/>
  <c r="AQ143" i="1"/>
  <c r="BE143" i="1" s="1"/>
  <c r="BE26" i="1"/>
  <c r="BF26" i="1" l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AP164" i="1"/>
  <c r="AO164" i="1"/>
  <c r="AQ164" i="1" s="1"/>
  <c r="BE164" i="1" s="1"/>
  <c r="AL164" i="1"/>
  <c r="AN165" i="1" s="1"/>
  <c r="AW158" i="1"/>
  <c r="BA158" i="1"/>
  <c r="AZ158" i="1"/>
  <c r="BB158" i="1" s="1"/>
  <c r="BE158" i="1" s="1"/>
  <c r="AL137" i="1"/>
  <c r="AN138" i="1" s="1"/>
  <c r="AP137" i="1"/>
  <c r="AO137" i="1"/>
  <c r="AQ137" i="1" s="1"/>
  <c r="BE137" i="1" s="1"/>
  <c r="BC133" i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B14" i="1"/>
  <c r="BB15" i="1"/>
  <c r="BB19" i="1"/>
  <c r="BE133" i="1"/>
  <c r="AL61" i="1"/>
  <c r="AP61" i="1"/>
  <c r="AO61" i="1"/>
  <c r="AQ61" i="1" s="1"/>
  <c r="BE61" i="1" s="1"/>
  <c r="AL51" i="1"/>
  <c r="AP51" i="1"/>
  <c r="AO51" i="1"/>
  <c r="AQ51" i="1" s="1"/>
  <c r="AO165" i="1" l="1"/>
  <c r="AL165" i="1"/>
  <c r="AP165" i="1"/>
  <c r="AL138" i="1"/>
  <c r="AN139" i="1" s="1"/>
  <c r="AP138" i="1"/>
  <c r="AO138" i="1"/>
  <c r="AQ138" i="1" s="1"/>
  <c r="AR51" i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BE51" i="1"/>
  <c r="BB16" i="1"/>
  <c r="AT1" i="1" s="1"/>
  <c r="AL139" i="1" l="1"/>
  <c r="AP139" i="1"/>
  <c r="AO139" i="1"/>
  <c r="AQ139" i="1" s="1"/>
  <c r="BF51" i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AQ165" i="1"/>
  <c r="BE165" i="1" s="1"/>
  <c r="BE138" i="1"/>
  <c r="AR139" i="1" l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5" i="1"/>
  <c r="BE139" i="1"/>
  <c r="AQ14" i="1"/>
  <c r="AQ19" i="1"/>
  <c r="BF139" i="1" l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E14" i="1"/>
  <c r="BE18" i="1"/>
  <c r="AQ16" i="1"/>
  <c r="AI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<sst xmlns="http://schemas.openxmlformats.org/spreadsheetml/2006/main" count="74" uniqueCount="53">
  <si>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</si>
  <si>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BSCW</t>
  </si>
  <si>
    <t>IBDX</t>
  </si>
  <si>
    <t>BSCW log rtn</t>
  </si>
  <si>
    <t>IBDX log rtn</t>
  </si>
  <si>
    <t>BSCW div</t>
  </si>
  <si>
    <t>BSCW div cumsum</t>
  </si>
  <si>
    <t>IBDX div</t>
  </si>
  <si>
    <t>IBDX div cumsum</t>
  </si>
  <si>
    <t>BSCW div adjustment</t>
  </si>
  <si>
    <t>IBDX div adjustment</t>
  </si>
  <si>
    <t>BSCW*</t>
  </si>
  <si>
    <t>IBDX*</t>
  </si>
  <si>
    <t>IBDX/BSCW</t>
  </si>
  <si>
    <t>IBDX/BSCW avg</t>
  </si>
  <si>
    <t>IBDX/BSCW 10 dma</t>
  </si>
  <si>
    <t>IBDX/BSCW 20 dma</t>
  </si>
  <si>
    <t>BSCW x avg</t>
  </si>
  <si>
    <t>BSCW x 10 dma</t>
  </si>
  <si>
    <t>BSCW x 20 dma</t>
  </si>
  <si>
    <t>log diff BSCW x avg / IBDX</t>
  </si>
  <si>
    <t>log diff BSCW x 10 dma / IBDX</t>
  </si>
  <si>
    <t>log diff BSCW x 20 dma / IBDX</t>
  </si>
  <si>
    <t>IBDX*/BSCW*</t>
  </si>
  <si>
    <t>IBDX*/BSCW* avg</t>
  </si>
  <si>
    <t>IBDX*/BSCW* 10 dma</t>
  </si>
  <si>
    <t>IBDX*/BSCW* 20 dma</t>
  </si>
  <si>
    <t>BSCW* x avg</t>
  </si>
  <si>
    <t>BSCW* x 10 dma</t>
  </si>
  <si>
    <t>BSCW* x 20 dma</t>
  </si>
  <si>
    <t>log diff BSCW* x avg / IBDX*</t>
  </si>
  <si>
    <t>log diff BSCW* x 10 dma / IBDX*</t>
  </si>
  <si>
    <t>log diff BSCW* x 20 dma / IBDX*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</si>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</sst>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IBDX/BSCW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1.2246984145589499</c:v>
                </c:pt>
                <c:pt idx="1">
                  <c:v>1.2246984145589499</c:v>
                </c:pt>
                <c:pt idx="2">
                  <c:v>1.2246984145589499</c:v>
                </c:pt>
                <c:pt idx="3">
                  <c:v>1.2246984145589499</c:v>
                </c:pt>
                <c:pt idx="4">
                  <c:v>1.2246984145589499</c:v>
                </c:pt>
                <c:pt idx="5">
                  <c:v>1.2246984145589499</c:v>
                </c:pt>
                <c:pt idx="6">
                  <c:v>1.2246984145589499</c:v>
                </c:pt>
                <c:pt idx="7">
                  <c:v>1.2246984145589499</c:v>
                </c:pt>
                <c:pt idx="8">
                  <c:v>1.2246984145589499</c:v>
                </c:pt>
                <c:pt idx="9">
                  <c:v>1.2246984145589499</c:v>
                </c:pt>
                <c:pt idx="10">
                  <c:v>1.2246984145589499</c:v>
                </c:pt>
                <c:pt idx="11">
                  <c:v>1.2246984145589499</c:v>
                </c:pt>
                <c:pt idx="12">
                  <c:v>1.2246984145589499</c:v>
                </c:pt>
                <c:pt idx="13">
                  <c:v>1.2246984145589499</c:v>
                </c:pt>
                <c:pt idx="14">
                  <c:v>1.2246984145589499</c:v>
                </c:pt>
                <c:pt idx="15">
                  <c:v>1.2246984145589499</c:v>
                </c:pt>
                <c:pt idx="16">
                  <c:v>1.2246984145589499</c:v>
                </c:pt>
                <c:pt idx="17">
                  <c:v>1.2246984145589499</c:v>
                </c:pt>
                <c:pt idx="18">
                  <c:v>1.2246984145589499</c:v>
                </c:pt>
                <c:pt idx="19">
                  <c:v>1.2246984145589499</c:v>
                </c:pt>
                <c:pt idx="20">
                  <c:v>1.2246984145589499</c:v>
                </c:pt>
                <c:pt idx="21">
                  <c:v>1.2246984145589499</c:v>
                </c:pt>
                <c:pt idx="22">
                  <c:v>1.2246984145589499</c:v>
                </c:pt>
                <c:pt idx="23">
                  <c:v>1.2246984145589499</c:v>
                </c:pt>
                <c:pt idx="24">
                  <c:v>1.2246984145589499</c:v>
                </c:pt>
                <c:pt idx="25">
                  <c:v>1.2246984145589499</c:v>
                </c:pt>
                <c:pt idx="26">
                  <c:v>1.2246984145589499</c:v>
                </c:pt>
                <c:pt idx="27">
                  <c:v>1.2246984145589499</c:v>
                </c:pt>
                <c:pt idx="28">
                  <c:v>1.2246984145589499</c:v>
                </c:pt>
                <c:pt idx="29">
                  <c:v>1.2246984145589499</c:v>
                </c:pt>
                <c:pt idx="30">
                  <c:v>1.2246984145589499</c:v>
                </c:pt>
                <c:pt idx="31">
                  <c:v>1.2246984145589499</c:v>
                </c:pt>
                <c:pt idx="32">
                  <c:v>1.2246984145589499</c:v>
                </c:pt>
                <c:pt idx="33">
                  <c:v>1.2246984145589499</c:v>
                </c:pt>
                <c:pt idx="34">
                  <c:v>1.2246984145589499</c:v>
                </c:pt>
                <c:pt idx="35">
                  <c:v>1.2246984145589499</c:v>
                </c:pt>
                <c:pt idx="36">
                  <c:v>1.2246984145589499</c:v>
                </c:pt>
                <c:pt idx="37">
                  <c:v>1.2246984145589499</c:v>
                </c:pt>
                <c:pt idx="38">
                  <c:v>1.2246984145589499</c:v>
                </c:pt>
                <c:pt idx="39">
                  <c:v>1.2246984145589499</c:v>
                </c:pt>
                <c:pt idx="40">
                  <c:v>1.2246984145589499</c:v>
                </c:pt>
                <c:pt idx="41">
                  <c:v>1.2246984145589499</c:v>
                </c:pt>
                <c:pt idx="42">
                  <c:v>1.2246984145589499</c:v>
                </c:pt>
                <c:pt idx="43">
                  <c:v>1.2246984145589499</c:v>
                </c:pt>
                <c:pt idx="44">
                  <c:v>1.2246984145589499</c:v>
                </c:pt>
                <c:pt idx="45">
                  <c:v>1.2246984145589499</c:v>
                </c:pt>
                <c:pt idx="46">
                  <c:v>1.2246984145589499</c:v>
                </c:pt>
                <c:pt idx="47">
                  <c:v>1.2246984145589499</c:v>
                </c:pt>
                <c:pt idx="48">
                  <c:v>1.2246984145589499</c:v>
                </c:pt>
                <c:pt idx="49">
                  <c:v>1.2246984145589499</c:v>
                </c:pt>
                <c:pt idx="50">
                  <c:v>1.2246984145589499</c:v>
                </c:pt>
                <c:pt idx="51">
                  <c:v>1.2246984145589499</c:v>
                </c:pt>
                <c:pt idx="52">
                  <c:v>1.2246984145589499</c:v>
                </c:pt>
                <c:pt idx="53">
                  <c:v>1.2246984145589499</c:v>
                </c:pt>
                <c:pt idx="54">
                  <c:v>1.2246984145589499</c:v>
                </c:pt>
                <c:pt idx="55">
                  <c:v>1.2246984145589499</c:v>
                </c:pt>
                <c:pt idx="56">
                  <c:v>1.2246984145589499</c:v>
                </c:pt>
                <c:pt idx="57">
                  <c:v>1.2246984145589499</c:v>
                </c:pt>
                <c:pt idx="58">
                  <c:v>1.2246984145589499</c:v>
                </c:pt>
                <c:pt idx="59">
                  <c:v>1.2246984145589499</c:v>
                </c:pt>
                <c:pt idx="60">
                  <c:v>1.2246984145589499</c:v>
                </c:pt>
                <c:pt idx="61">
                  <c:v>1.2246984145589499</c:v>
                </c:pt>
                <c:pt idx="62">
                  <c:v>1.2246984145589499</c:v>
                </c:pt>
                <c:pt idx="63">
                  <c:v>1.2246984145589499</c:v>
                </c:pt>
                <c:pt idx="64">
                  <c:v>1.2246984145589499</c:v>
                </c:pt>
                <c:pt idx="65">
                  <c:v>1.2246984145589499</c:v>
                </c:pt>
                <c:pt idx="66">
                  <c:v>1.2246984145589499</c:v>
                </c:pt>
                <c:pt idx="67">
                  <c:v>1.2246984145589499</c:v>
                </c:pt>
                <c:pt idx="68">
                  <c:v>1.2246984145589499</c:v>
                </c:pt>
                <c:pt idx="69">
                  <c:v>1.2246984145589499</c:v>
                </c:pt>
                <c:pt idx="70">
                  <c:v>1.2246984145589499</c:v>
                </c:pt>
                <c:pt idx="71">
                  <c:v>1.2246984145589499</c:v>
                </c:pt>
                <c:pt idx="72">
                  <c:v>1.2246984145589499</c:v>
                </c:pt>
                <c:pt idx="73">
                  <c:v>1.2246984145589499</c:v>
                </c:pt>
                <c:pt idx="74">
                  <c:v>1.2246984145589499</c:v>
                </c:pt>
                <c:pt idx="75">
                  <c:v>1.2246984145589499</c:v>
                </c:pt>
                <c:pt idx="76">
                  <c:v>1.2246984145589499</c:v>
                </c:pt>
                <c:pt idx="77">
                  <c:v>1.2246984145589499</c:v>
                </c:pt>
                <c:pt idx="78">
                  <c:v>1.2246984145589499</c:v>
                </c:pt>
                <c:pt idx="79">
                  <c:v>1.2246984145589499</c:v>
                </c:pt>
                <c:pt idx="80">
                  <c:v>1.2246984145589499</c:v>
                </c:pt>
                <c:pt idx="81">
                  <c:v>1.2246984145589499</c:v>
                </c:pt>
                <c:pt idx="82">
                  <c:v>1.2246984145589499</c:v>
                </c:pt>
                <c:pt idx="83">
                  <c:v>1.2246984145589499</c:v>
                </c:pt>
                <c:pt idx="84">
                  <c:v>1.2246984145589499</c:v>
                </c:pt>
                <c:pt idx="85">
                  <c:v>1.2246984145589499</c:v>
                </c:pt>
                <c:pt idx="86">
                  <c:v>1.2246984145589499</c:v>
                </c:pt>
                <c:pt idx="87">
                  <c:v>1.2246984145589499</c:v>
                </c:pt>
                <c:pt idx="88">
                  <c:v>1.2246984145589499</c:v>
                </c:pt>
                <c:pt idx="89">
                  <c:v>1.2246984145589499</c:v>
                </c:pt>
                <c:pt idx="90">
                  <c:v>1.2246984145589499</c:v>
                </c:pt>
                <c:pt idx="91">
                  <c:v>1.2246984145589499</c:v>
                </c:pt>
                <c:pt idx="92">
                  <c:v>1.2246984145589499</c:v>
                </c:pt>
                <c:pt idx="93">
                  <c:v>1.2246984145589499</c:v>
                </c:pt>
                <c:pt idx="94">
                  <c:v>1.2246984145589499</c:v>
                </c:pt>
                <c:pt idx="95">
                  <c:v>1.2246984145589499</c:v>
                </c:pt>
                <c:pt idx="96">
                  <c:v>1.2246984145589499</c:v>
                </c:pt>
                <c:pt idx="97">
                  <c:v>1.2246984145589499</c:v>
                </c:pt>
                <c:pt idx="98">
                  <c:v>1.2246984145589499</c:v>
                </c:pt>
                <c:pt idx="99">
                  <c:v>1.2246984145589499</c:v>
                </c:pt>
                <c:pt idx="100">
                  <c:v>1.2246984145589499</c:v>
                </c:pt>
                <c:pt idx="101">
                  <c:v>1.2246984145589499</c:v>
                </c:pt>
                <c:pt idx="102">
                  <c:v>1.2246984145589499</c:v>
                </c:pt>
                <c:pt idx="103">
                  <c:v>1.2246984145589499</c:v>
                </c:pt>
                <c:pt idx="104">
                  <c:v>1.2246984145589499</c:v>
                </c:pt>
                <c:pt idx="105">
                  <c:v>1.2246984145589499</c:v>
                </c:pt>
                <c:pt idx="106">
                  <c:v>1.2246984145589499</c:v>
                </c:pt>
                <c:pt idx="107">
                  <c:v>1.2246984145589499</c:v>
                </c:pt>
                <c:pt idx="108">
                  <c:v>1.2246984145589499</c:v>
                </c:pt>
                <c:pt idx="109">
                  <c:v>1.2246984145589499</c:v>
                </c:pt>
                <c:pt idx="110">
                  <c:v>1.2246984145589499</c:v>
                </c:pt>
                <c:pt idx="111">
                  <c:v>1.2246984145589499</c:v>
                </c:pt>
                <c:pt idx="112">
                  <c:v>1.2246984145589499</c:v>
                </c:pt>
                <c:pt idx="113">
                  <c:v>1.2246984145589499</c:v>
                </c:pt>
                <c:pt idx="114">
                  <c:v>1.2246984145589499</c:v>
                </c:pt>
                <c:pt idx="115">
                  <c:v>1.2246984145589499</c:v>
                </c:pt>
                <c:pt idx="116">
                  <c:v>1.2246984145589499</c:v>
                </c:pt>
                <c:pt idx="117">
                  <c:v>1.2246984145589499</c:v>
                </c:pt>
                <c:pt idx="118">
                  <c:v>1.2246984145589499</c:v>
                </c:pt>
                <c:pt idx="119">
                  <c:v>1.2246984145589499</c:v>
                </c:pt>
                <c:pt idx="120">
                  <c:v>1.2246984145589499</c:v>
                </c:pt>
                <c:pt idx="121">
                  <c:v>1.2246984145589499</c:v>
                </c:pt>
                <c:pt idx="122">
                  <c:v>1.2246984145589499</c:v>
                </c:pt>
                <c:pt idx="123">
                  <c:v>1.2246984145589499</c:v>
                </c:pt>
                <c:pt idx="124">
                  <c:v>1.2246984145589499</c:v>
                </c:pt>
                <c:pt idx="125">
                  <c:v>1.2246984145589499</c:v>
                </c:pt>
                <c:pt idx="126">
                  <c:v>1.2246984145589499</c:v>
                </c:pt>
                <c:pt idx="127">
                  <c:v>1.2246984145589499</c:v>
                </c:pt>
                <c:pt idx="128">
                  <c:v>1.2246984145589499</c:v>
                </c:pt>
                <c:pt idx="129">
                  <c:v>1.2246984145589499</c:v>
                </c:pt>
                <c:pt idx="130">
                  <c:v>1.2246984145589499</c:v>
                </c:pt>
                <c:pt idx="131">
                  <c:v>1.2246984145589499</c:v>
                </c:pt>
                <c:pt idx="132">
                  <c:v>1.2246984145589499</c:v>
                </c:pt>
                <c:pt idx="133">
                  <c:v>1.2246984145589499</c:v>
                </c:pt>
                <c:pt idx="134">
                  <c:v>1.2246984145589499</c:v>
                </c:pt>
                <c:pt idx="135">
                  <c:v>1.2246984145589499</c:v>
                </c:pt>
                <c:pt idx="136">
                  <c:v>1.2246984145589499</c:v>
                </c:pt>
                <c:pt idx="137">
                  <c:v>1.2246984145589499</c:v>
                </c:pt>
                <c:pt idx="138">
                  <c:v>1.2246984145589499</c:v>
                </c:pt>
                <c:pt idx="139">
                  <c:v>1.2246984145589499</c:v>
                </c:pt>
                <c:pt idx="140">
                  <c:v>1.2246984145589499</c:v>
                </c:pt>
                <c:pt idx="141">
                  <c:v>1.2246984145589499</c:v>
                </c:pt>
                <c:pt idx="142">
                  <c:v>1.2246984145589499</c:v>
                </c:pt>
                <c:pt idx="143">
                  <c:v>1.2246984145589499</c:v>
                </c:pt>
                <c:pt idx="144">
                  <c:v>1.2246984145589499</c:v>
                </c:pt>
                <c:pt idx="145">
                  <c:v>1.2246984145589499</c:v>
                </c:pt>
                <c:pt idx="146">
                  <c:v>1.2246984145589499</c:v>
                </c:pt>
                <c:pt idx="147">
                  <c:v>1.2246984145589499</c:v>
                </c:pt>
                <c:pt idx="148">
                  <c:v>1.2246984145589499</c:v>
                </c:pt>
                <c:pt idx="149">
                  <c:v>1.2246984145589499</c:v>
                </c:pt>
                <c:pt idx="150">
                  <c:v>1.2246984145589499</c:v>
                </c:pt>
                <c:pt idx="151">
                  <c:v>1.2246984145589499</c:v>
                </c:pt>
                <c:pt idx="152">
                  <c:v>1.2246984145589499</c:v>
                </c:pt>
                <c:pt idx="153">
                  <c:v>1.2246984145589499</c:v>
                </c:pt>
                <c:pt idx="154">
                  <c:v>1.2246984145589499</c:v>
                </c:pt>
                <c:pt idx="155">
                  <c:v>1.2246984145589499</c:v>
                </c:pt>
                <c:pt idx="156">
                  <c:v>1.2246984145589499</c:v>
                </c:pt>
                <c:pt idx="157">
                  <c:v>1.2246984145589499</c:v>
                </c:pt>
                <c:pt idx="158">
                  <c:v>1.2246984145589499</c:v>
                </c:pt>
                <c:pt idx="159">
                  <c:v>1.2246984145589499</c:v>
                </c:pt>
                <c:pt idx="160">
                  <c:v>1.2246984145589499</c:v>
                </c:pt>
                <c:pt idx="161">
                  <c:v>1.2246984145589499</c:v>
                </c:pt>
                <c:pt idx="162">
                  <c:v>1.2246984145589499</c:v>
                </c:pt>
                <c:pt idx="163">
                  <c:v>1.2246984145589499</c:v>
                </c:pt>
                <c:pt idx="164">
                  <c:v>1.2246984145589499</c:v>
                </c:pt>
                <c:pt idx="165">
                  <c:v>1.2246984145589499</c:v>
                </c:pt>
                <c:pt idx="166">
                  <c:v>1.2246984145589499</c:v>
                </c:pt>
                <c:pt idx="167">
                  <c:v>1.2246984145589499</c:v>
                </c:pt>
                <c:pt idx="168">
                  <c:v>1.2246984145589499</c:v>
                </c:pt>
                <c:pt idx="169">
                  <c:v>1.2246984145589499</c:v>
                </c:pt>
                <c:pt idx="170">
                  <c:v>1.2246984145589499</c:v>
                </c:pt>
                <c:pt idx="171">
                  <c:v>1.2246984145589499</c:v>
                </c:pt>
                <c:pt idx="172">
                  <c:v>1.2246984145589499</c:v>
                </c:pt>
                <c:pt idx="173">
                  <c:v>1.2246984145589499</c:v>
                </c:pt>
                <c:pt idx="174">
                  <c:v>1.2246984145589499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A-48D8-B0AC-B534AD58129F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IBDX/BSCW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1.22298238093895</c:v>
                </c:pt>
                <c:pt idx="10">
                  <c:v>1.22298238093895</c:v>
                </c:pt>
                <c:pt idx="11">
                  <c:v>1.22329917177518</c:v>
                </c:pt>
                <c:pt idx="12">
                  <c:v>1.2237057456848</c:v>
                </c:pt>
                <c:pt idx="13">
                  <c:v>1.22426634297565</c:v>
                </c:pt>
                <c:pt idx="14">
                  <c:v>1.2247042120954501</c:v>
                </c:pt>
                <c:pt idx="15">
                  <c:v>1.22504594493362</c:v>
                </c:pt>
                <c:pt idx="16">
                  <c:v>1.2255688077004301</c:v>
                </c:pt>
                <c:pt idx="17">
                  <c:v>1.22604932052895</c:v>
                </c:pt>
                <c:pt idx="18">
                  <c:v>1.2265399256582099</c:v>
                </c:pt>
                <c:pt idx="19">
                  <c:v>1.2270619751382299</c:v>
                </c:pt>
                <c:pt idx="20">
                  <c:v>1.2271046281559299</c:v>
                </c:pt>
                <c:pt idx="21">
                  <c:v>1.22672958983654</c:v>
                </c:pt>
                <c:pt idx="22">
                  <c:v>1.22627565079592</c:v>
                </c:pt>
                <c:pt idx="23">
                  <c:v>1.22587977556487</c:v>
                </c:pt>
                <c:pt idx="24">
                  <c:v>1.22538853956771</c:v>
                </c:pt>
                <c:pt idx="25">
                  <c:v>1.22494559817631</c:v>
                </c:pt>
                <c:pt idx="26">
                  <c:v>1.2243270640963499</c:v>
                </c:pt>
                <c:pt idx="27">
                  <c:v>1.2237881073424901</c:v>
                </c:pt>
                <c:pt idx="28">
                  <c:v>1.2233132917707299</c:v>
                </c:pt>
                <c:pt idx="29">
                  <c:v>1.22282272349859</c:v>
                </c:pt>
                <c:pt idx="30">
                  <c:v>1.2228381332942999</c:v>
                </c:pt>
                <c:pt idx="31">
                  <c:v>1.2228534437287599</c:v>
                </c:pt>
                <c:pt idx="32">
                  <c:v>1.22279957756031</c:v>
                </c:pt>
                <c:pt idx="33">
                  <c:v>1.2226876475822901</c:v>
                </c:pt>
                <c:pt idx="34">
                  <c:v>1.22309419599851</c:v>
                </c:pt>
                <c:pt idx="35">
                  <c:v>1.22363902797813</c:v>
                </c:pt>
                <c:pt idx="36">
                  <c:v>1.2241681991886</c:v>
                </c:pt>
                <c:pt idx="37">
                  <c:v>1.2245010335242399</c:v>
                </c:pt>
                <c:pt idx="38">
                  <c:v>1.22494941893372</c:v>
                </c:pt>
                <c:pt idx="39">
                  <c:v>1.22497609290667</c:v>
                </c:pt>
                <c:pt idx="40">
                  <c:v>1.22496571726541</c:v>
                </c:pt>
                <c:pt idx="41">
                  <c:v>1.22490766716818</c:v>
                </c:pt>
                <c:pt idx="42">
                  <c:v>1.2249239491308901</c:v>
                </c:pt>
                <c:pt idx="43">
                  <c:v>1.2248871136763899</c:v>
                </c:pt>
                <c:pt idx="44">
                  <c:v>1.2244699224820501</c:v>
                </c:pt>
                <c:pt idx="45">
                  <c:v>1.2239625569459101</c:v>
                </c:pt>
                <c:pt idx="46">
                  <c:v>1.22354003820322</c:v>
                </c:pt>
                <c:pt idx="47">
                  <c:v>1.22322933374309</c:v>
                </c:pt>
                <c:pt idx="48">
                  <c:v>1.2228149315299901</c:v>
                </c:pt>
                <c:pt idx="49">
                  <c:v>1.2229184275068901</c:v>
                </c:pt>
                <c:pt idx="50">
                  <c:v>1.22300996389565</c:v>
                </c:pt>
                <c:pt idx="51">
                  <c:v>1.2231124107860001</c:v>
                </c:pt>
                <c:pt idx="52">
                  <c:v>1.2231668487521501</c:v>
                </c:pt>
                <c:pt idx="53">
                  <c:v>1.22314537655783</c:v>
                </c:pt>
                <c:pt idx="54">
                  <c:v>1.2236168093627799</c:v>
                </c:pt>
                <c:pt idx="55">
                  <c:v>1.2241285250512901</c:v>
                </c:pt>
                <c:pt idx="56">
                  <c:v>1.22463266650639</c:v>
                </c:pt>
                <c:pt idx="57">
                  <c:v>1.2251623315526801</c:v>
                </c:pt>
                <c:pt idx="58">
                  <c:v>1.2256266860617999</c:v>
                </c:pt>
                <c:pt idx="59">
                  <c:v>1.2259812530597201</c:v>
                </c:pt>
                <c:pt idx="60">
                  <c:v>1.22634928760684</c:v>
                </c:pt>
                <c:pt idx="61">
                  <c:v>1.2262955696870701</c:v>
                </c:pt>
                <c:pt idx="62">
                  <c:v>1.2261935162481801</c:v>
                </c:pt>
                <c:pt idx="63">
                  <c:v>1.2261935634928001</c:v>
                </c:pt>
                <c:pt idx="64">
                  <c:v>1.22572268571177</c:v>
                </c:pt>
                <c:pt idx="65">
                  <c:v>1.2252168754871899</c:v>
                </c:pt>
                <c:pt idx="66">
                  <c:v>1.2246485466169099</c:v>
                </c:pt>
                <c:pt idx="67">
                  <c:v>1.2241025912661601</c:v>
                </c:pt>
                <c:pt idx="68">
                  <c:v>1.2235034602553601</c:v>
                </c:pt>
                <c:pt idx="69">
                  <c:v>1.22288060926141</c:v>
                </c:pt>
                <c:pt idx="70">
                  <c:v>1.2223626673926899</c:v>
                </c:pt>
                <c:pt idx="71">
                  <c:v>1.2223461742355901</c:v>
                </c:pt>
                <c:pt idx="72">
                  <c:v>1.2223246927375799</c:v>
                </c:pt>
                <c:pt idx="73">
                  <c:v>1.22280110881042</c:v>
                </c:pt>
                <c:pt idx="74">
                  <c:v>1.22326313468387</c:v>
                </c:pt>
                <c:pt idx="75">
                  <c:v>1.22370869413495</c:v>
                </c:pt>
                <c:pt idx="76">
                  <c:v>1.22423038853788</c:v>
                </c:pt>
                <c:pt idx="77">
                  <c:v>1.2246168619678299</c:v>
                </c:pt>
                <c:pt idx="78">
                  <c:v>1.2251115675133399</c:v>
                </c:pt>
                <c:pt idx="79">
                  <c:v>1.22580022541388</c:v>
                </c:pt>
                <c:pt idx="80">
                  <c:v>1.2264820137911101</c:v>
                </c:pt>
                <c:pt idx="81">
                  <c:v>1.2269839438414101</c:v>
                </c:pt>
                <c:pt idx="82">
                  <c:v>1.22698927546862</c:v>
                </c:pt>
                <c:pt idx="83">
                  <c:v>1.22658851881982</c:v>
                </c:pt>
                <c:pt idx="84">
                  <c:v>1.22610505376617</c:v>
                </c:pt>
                <c:pt idx="85">
                  <c:v>1.22560590566243</c:v>
                </c:pt>
                <c:pt idx="86">
                  <c:v>1.2251273740611699</c:v>
                </c:pt>
                <c:pt idx="87">
                  <c:v>1.22483242150518</c:v>
                </c:pt>
                <c:pt idx="88">
                  <c:v>1.22433222887975</c:v>
                </c:pt>
                <c:pt idx="89">
                  <c:v>1.2238154495765601</c:v>
                </c:pt>
                <c:pt idx="90">
                  <c:v>1.22321449767708</c:v>
                </c:pt>
                <c:pt idx="91">
                  <c:v>1.2227129424854799</c:v>
                </c:pt>
                <c:pt idx="92">
                  <c:v>1.2227563452632599</c:v>
                </c:pt>
                <c:pt idx="93">
                  <c:v>1.22324783661486</c:v>
                </c:pt>
                <c:pt idx="94">
                  <c:v>1.22376264963088</c:v>
                </c:pt>
                <c:pt idx="95">
                  <c:v>1.2242911240807599</c:v>
                </c:pt>
                <c:pt idx="96">
                  <c:v>1.22480333125723</c:v>
                </c:pt>
                <c:pt idx="97">
                  <c:v>1.2253222196976301</c:v>
                </c:pt>
                <c:pt idx="98">
                  <c:v>1.22602193169927</c:v>
                </c:pt>
                <c:pt idx="99">
                  <c:v>1.2265970963633499</c:v>
                </c:pt>
                <c:pt idx="100">
                  <c:v>1.22708953155064</c:v>
                </c:pt>
                <c:pt idx="101">
                  <c:v>1.22757567642181</c:v>
                </c:pt>
                <c:pt idx="102">
                  <c:v>1.2276188677880999</c:v>
                </c:pt>
                <c:pt idx="103">
                  <c:v>1.22713822702298</c:v>
                </c:pt>
                <c:pt idx="104">
                  <c:v>1.22667228926015</c:v>
                </c:pt>
                <c:pt idx="105">
                  <c:v>1.2261981560919</c:v>
                </c:pt>
                <c:pt idx="106">
                  <c:v>1.22570820018793</c:v>
                </c:pt>
                <c:pt idx="107">
                  <c:v>1.22500053406878</c:v>
                </c:pt>
                <c:pt idx="108">
                  <c:v>1.22438753347311</c:v>
                </c:pt>
                <c:pt idx="109">
                  <c:v>1.22380751687392</c:v>
                </c:pt>
                <c:pt idx="110">
                  <c:v>1.2232989713387701</c:v>
                </c:pt>
                <c:pt idx="111">
                  <c:v>1.2228453465772899</c:v>
                </c:pt>
                <c:pt idx="112">
                  <c:v>1.22275335082354</c:v>
                </c:pt>
                <c:pt idx="113">
                  <c:v>1.22275860261128</c:v>
                </c:pt>
                <c:pt idx="114">
                  <c:v>1.2227533097137699</c:v>
                </c:pt>
                <c:pt idx="115">
                  <c:v>1.2226558913016901</c:v>
                </c:pt>
                <c:pt idx="116">
                  <c:v>1.2232662816828901</c:v>
                </c:pt>
                <c:pt idx="117">
                  <c:v>1.22390260082141</c:v>
                </c:pt>
                <c:pt idx="118">
                  <c:v>1.22434691810916</c:v>
                </c:pt>
                <c:pt idx="119">
                  <c:v>1.2248447380013601</c:v>
                </c:pt>
                <c:pt idx="120">
                  <c:v>1.22534219603765</c:v>
                </c:pt>
                <c:pt idx="121">
                  <c:v>1.22579582079914</c:v>
                </c:pt>
                <c:pt idx="122">
                  <c:v>1.2263971376805001</c:v>
                </c:pt>
                <c:pt idx="123">
                  <c:v>1.2263974933969299</c:v>
                </c:pt>
                <c:pt idx="124">
                  <c:v>1.2263810585332999</c:v>
                </c:pt>
                <c:pt idx="125">
                  <c:v>1.22646761578843</c:v>
                </c:pt>
                <c:pt idx="126">
                  <c:v>1.2258136205297201</c:v>
                </c:pt>
                <c:pt idx="127">
                  <c:v>1.2252861031907101</c:v>
                </c:pt>
                <c:pt idx="128">
                  <c:v>1.2248037846266899</c:v>
                </c:pt>
                <c:pt idx="129">
                  <c:v>1.2242298718820499</c:v>
                </c:pt>
                <c:pt idx="130">
                  <c:v>1.22367837147653</c:v>
                </c:pt>
                <c:pt idx="131">
                  <c:v>1.2232906953801499</c:v>
                </c:pt>
                <c:pt idx="132">
                  <c:v>1.2228088237709001</c:v>
                </c:pt>
                <c:pt idx="133">
                  <c:v>1.2228524493214401</c:v>
                </c:pt>
                <c:pt idx="134">
                  <c:v>1.2229286824198</c:v>
                </c:pt>
                <c:pt idx="135">
                  <c:v>1.2235145854781699</c:v>
                </c:pt>
                <c:pt idx="136">
                  <c:v>1.22414488114326</c:v>
                </c:pt>
                <c:pt idx="137">
                  <c:v>1.2246282368463399</c:v>
                </c:pt>
                <c:pt idx="138">
                  <c:v>1.2252728025035899</c:v>
                </c:pt>
                <c:pt idx="139">
                  <c:v>1.22591098483308</c:v>
                </c:pt>
                <c:pt idx="140">
                  <c:v>1.2265755643903999</c:v>
                </c:pt>
                <c:pt idx="141">
                  <c:v>1.2270420352694</c:v>
                </c:pt>
                <c:pt idx="142">
                  <c:v>1.22752058419956</c:v>
                </c:pt>
                <c:pt idx="143">
                  <c:v>1.2279544610242601</c:v>
                </c:pt>
                <c:pt idx="144">
                  <c:v>1.2284940745397399</c:v>
                </c:pt>
                <c:pt idx="145">
                  <c:v>1.22788720000785</c:v>
                </c:pt>
                <c:pt idx="146">
                  <c:v>1.2273552562576799</c:v>
                </c:pt>
                <c:pt idx="147">
                  <c:v>1.22692659391837</c:v>
                </c:pt>
                <c:pt idx="148">
                  <c:v>1.2263259465946701</c:v>
                </c:pt>
                <c:pt idx="149">
                  <c:v>1.2258735385220101</c:v>
                </c:pt>
                <c:pt idx="150">
                  <c:v>1.2253130058405499</c:v>
                </c:pt>
                <c:pt idx="151">
                  <c:v>1.2246884410329399</c:v>
                </c:pt>
                <c:pt idx="152">
                  <c:v>1.22416693330474</c:v>
                </c:pt>
                <c:pt idx="153">
                  <c:v>1.2236516847927299</c:v>
                </c:pt>
                <c:pt idx="154">
                  <c:v>1.2230362694438801</c:v>
                </c:pt>
                <c:pt idx="155">
                  <c:v>1.2230033801962401</c:v>
                </c:pt>
                <c:pt idx="156">
                  <c:v>1.2229981592132999</c:v>
                </c:pt>
                <c:pt idx="157">
                  <c:v>1.2229600142082699</c:v>
                </c:pt>
                <c:pt idx="158">
                  <c:v>1.22303123914136</c:v>
                </c:pt>
                <c:pt idx="159">
                  <c:v>1.2229879145456399</c:v>
                </c:pt>
                <c:pt idx="160">
                  <c:v>1.2235216157592901</c:v>
                </c:pt>
                <c:pt idx="161">
                  <c:v>1.2241729486705899</c:v>
                </c:pt>
                <c:pt idx="162">
                  <c:v>1.2247706134636001</c:v>
                </c:pt>
                <c:pt idx="163">
                  <c:v>1.2252365523109101</c:v>
                </c:pt>
                <c:pt idx="164">
                  <c:v>1.22585912029054</c:v>
                </c:pt>
                <c:pt idx="165">
                  <c:v>1.22645942619878</c:v>
                </c:pt>
                <c:pt idx="166">
                  <c:v>1.2265161100976201</c:v>
                </c:pt>
                <c:pt idx="167">
                  <c:v>1.2264838869336501</c:v>
                </c:pt>
                <c:pt idx="168">
                  <c:v>1.22656225461603</c:v>
                </c:pt>
                <c:pt idx="169">
                  <c:v>1.22660220711396</c:v>
                </c:pt>
                <c:pt idx="170">
                  <c:v>1.22600863839269</c:v>
                </c:pt>
                <c:pt idx="171">
                  <c:v>1.2255120533044701</c:v>
                </c:pt>
                <c:pt idx="172">
                  <c:v>1.2248767205225899</c:v>
                </c:pt>
                <c:pt idx="173">
                  <c:v>1.2245457687148</c:v>
                </c:pt>
                <c:pt idx="174">
                  <c:v>1.22402486608931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A-48D8-B0AC-B534AD58129F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IBDX/BSCW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1.2250221780385899</c:v>
                </c:pt>
                <c:pt idx="20">
                  <c:v>1.2250435045474399</c:v>
                </c:pt>
                <c:pt idx="21">
                  <c:v>1.22501438080586</c:v>
                </c:pt>
                <c:pt idx="22">
                  <c:v>1.22499069824036</c:v>
                </c:pt>
                <c:pt idx="23">
                  <c:v>1.2250730592702599</c:v>
                </c:pt>
                <c:pt idx="24">
                  <c:v>1.2250463758315799</c:v>
                </c:pt>
                <c:pt idx="25">
                  <c:v>1.22499577155496</c:v>
                </c:pt>
                <c:pt idx="26">
                  <c:v>1.2249479358983899</c:v>
                </c:pt>
                <c:pt idx="27">
                  <c:v>1.22491871393572</c:v>
                </c:pt>
                <c:pt idx="28">
                  <c:v>1.2249266087144699</c:v>
                </c:pt>
                <c:pt idx="29">
                  <c:v>1.22494234931841</c:v>
                </c:pt>
                <c:pt idx="30">
                  <c:v>1.2249713807251099</c:v>
                </c:pt>
                <c:pt idx="31">
                  <c:v>1.22479151678265</c:v>
                </c:pt>
                <c:pt idx="32">
                  <c:v>1.2245376141781199</c:v>
                </c:pt>
                <c:pt idx="33">
                  <c:v>1.2242837115735801</c:v>
                </c:pt>
                <c:pt idx="34">
                  <c:v>1.2242413677831101</c:v>
                </c:pt>
                <c:pt idx="35">
                  <c:v>1.2242923130772201</c:v>
                </c:pt>
                <c:pt idx="36">
                  <c:v>1.22424763164247</c:v>
                </c:pt>
                <c:pt idx="37">
                  <c:v>1.22414457043336</c:v>
                </c:pt>
                <c:pt idx="38">
                  <c:v>1.22413135535222</c:v>
                </c:pt>
                <c:pt idx="39">
                  <c:v>1.22389940820263</c:v>
                </c:pt>
                <c:pt idx="40">
                  <c:v>1.22390192527985</c:v>
                </c:pt>
                <c:pt idx="41">
                  <c:v>1.22388055544847</c:v>
                </c:pt>
                <c:pt idx="42">
                  <c:v>1.2238617633455999</c:v>
                </c:pt>
                <c:pt idx="43">
                  <c:v>1.22378738062934</c:v>
                </c:pt>
                <c:pt idx="44">
                  <c:v>1.2237820592402799</c:v>
                </c:pt>
                <c:pt idx="45">
                  <c:v>1.22380079246202</c:v>
                </c:pt>
                <c:pt idx="46">
                  <c:v>1.22385411869591</c:v>
                </c:pt>
                <c:pt idx="47">
                  <c:v>1.22386518363367</c:v>
                </c:pt>
                <c:pt idx="48">
                  <c:v>1.2238821752318501</c:v>
                </c:pt>
                <c:pt idx="49">
                  <c:v>1.22394726020678</c:v>
                </c:pt>
                <c:pt idx="50">
                  <c:v>1.22398784058053</c:v>
                </c:pt>
                <c:pt idx="51">
                  <c:v>1.22401003897709</c:v>
                </c:pt>
                <c:pt idx="52">
                  <c:v>1.2240453989415201</c:v>
                </c:pt>
                <c:pt idx="53">
                  <c:v>1.2240162451171099</c:v>
                </c:pt>
                <c:pt idx="54">
                  <c:v>1.2240433659224199</c:v>
                </c:pt>
                <c:pt idx="55">
                  <c:v>1.2240455409986</c:v>
                </c:pt>
                <c:pt idx="56">
                  <c:v>1.2240863523548</c:v>
                </c:pt>
                <c:pt idx="57">
                  <c:v>1.2241958326478899</c:v>
                </c:pt>
                <c:pt idx="58">
                  <c:v>1.2242208087958999</c:v>
                </c:pt>
                <c:pt idx="59">
                  <c:v>1.2244498402833</c:v>
                </c:pt>
                <c:pt idx="60">
                  <c:v>1.22467962575124</c:v>
                </c:pt>
                <c:pt idx="61">
                  <c:v>1.22470399023653</c:v>
                </c:pt>
                <c:pt idx="62">
                  <c:v>1.2246801825001701</c:v>
                </c:pt>
                <c:pt idx="63">
                  <c:v>1.22466947002531</c:v>
                </c:pt>
                <c:pt idx="64">
                  <c:v>1.2246697475372701</c:v>
                </c:pt>
                <c:pt idx="65">
                  <c:v>1.2246727002692399</c:v>
                </c:pt>
                <c:pt idx="66">
                  <c:v>1.22464060656165</c:v>
                </c:pt>
                <c:pt idx="67">
                  <c:v>1.2246324614094199</c:v>
                </c:pt>
                <c:pt idx="68">
                  <c:v>1.22456507315858</c:v>
                </c:pt>
                <c:pt idx="69">
                  <c:v>1.2244309311605599</c:v>
                </c:pt>
                <c:pt idx="70">
                  <c:v>1.2243559774997601</c:v>
                </c:pt>
                <c:pt idx="71">
                  <c:v>1.2243208719613301</c:v>
                </c:pt>
                <c:pt idx="72">
                  <c:v>1.2242591044928799</c:v>
                </c:pt>
                <c:pt idx="73">
                  <c:v>1.22449733615161</c:v>
                </c:pt>
                <c:pt idx="74">
                  <c:v>1.2244929101978199</c:v>
                </c:pt>
                <c:pt idx="75">
                  <c:v>1.2244627848110701</c:v>
                </c:pt>
                <c:pt idx="76">
                  <c:v>1.2244394675774</c:v>
                </c:pt>
                <c:pt idx="77">
                  <c:v>1.2243597266170001</c:v>
                </c:pt>
                <c:pt idx="78">
                  <c:v>1.22430751388435</c:v>
                </c:pt>
                <c:pt idx="79">
                  <c:v>1.22434041733764</c:v>
                </c:pt>
                <c:pt idx="80">
                  <c:v>1.2244223405918999</c:v>
                </c:pt>
                <c:pt idx="81">
                  <c:v>1.2246650590385</c:v>
                </c:pt>
                <c:pt idx="82">
                  <c:v>1.2246569841031001</c:v>
                </c:pt>
                <c:pt idx="83">
                  <c:v>1.2246948138151199</c:v>
                </c:pt>
                <c:pt idx="84">
                  <c:v>1.2246840942250199</c:v>
                </c:pt>
                <c:pt idx="85">
                  <c:v>1.22465729989869</c:v>
                </c:pt>
                <c:pt idx="86">
                  <c:v>1.22467888129952</c:v>
                </c:pt>
                <c:pt idx="87">
                  <c:v>1.2247246417365001</c:v>
                </c:pt>
                <c:pt idx="88">
                  <c:v>1.22472189819655</c:v>
                </c:pt>
                <c:pt idx="89">
                  <c:v>1.22480783749522</c:v>
                </c:pt>
                <c:pt idx="90">
                  <c:v>1.2248482557341001</c:v>
                </c:pt>
                <c:pt idx="91">
                  <c:v>1.2248484431634401</c:v>
                </c:pt>
                <c:pt idx="92">
                  <c:v>1.2248728103659401</c:v>
                </c:pt>
                <c:pt idx="93">
                  <c:v>1.2249181777173399</c:v>
                </c:pt>
                <c:pt idx="94">
                  <c:v>1.22493385169853</c:v>
                </c:pt>
                <c:pt idx="95">
                  <c:v>1.2249485148715999</c:v>
                </c:pt>
                <c:pt idx="96">
                  <c:v>1.2249653526591999</c:v>
                </c:pt>
                <c:pt idx="97">
                  <c:v>1.2250773206014001</c:v>
                </c:pt>
                <c:pt idx="98">
                  <c:v>1.2251770802895099</c:v>
                </c:pt>
                <c:pt idx="99">
                  <c:v>1.22520627296995</c:v>
                </c:pt>
                <c:pt idx="100">
                  <c:v>1.2251520146138599</c:v>
                </c:pt>
                <c:pt idx="101">
                  <c:v>1.2251443094536401</c:v>
                </c:pt>
                <c:pt idx="102">
                  <c:v>1.2251876065256799</c:v>
                </c:pt>
                <c:pt idx="103">
                  <c:v>1.2251930318189199</c:v>
                </c:pt>
                <c:pt idx="104">
                  <c:v>1.22521746944552</c:v>
                </c:pt>
                <c:pt idx="105">
                  <c:v>1.2252446400863299</c:v>
                </c:pt>
                <c:pt idx="106">
                  <c:v>1.22525576572258</c:v>
                </c:pt>
                <c:pt idx="107">
                  <c:v>1.2251613768832099</c:v>
                </c:pt>
                <c:pt idx="108">
                  <c:v>1.2252047325861899</c:v>
                </c:pt>
                <c:pt idx="109">
                  <c:v>1.2252023066186299</c:v>
                </c:pt>
                <c:pt idx="110">
                  <c:v>1.2251942514447101</c:v>
                </c:pt>
                <c:pt idx="111">
                  <c:v>1.22521051149955</c:v>
                </c:pt>
                <c:pt idx="112">
                  <c:v>1.2251861093058201</c:v>
                </c:pt>
                <c:pt idx="113">
                  <c:v>1.2249484148171299</c:v>
                </c:pt>
                <c:pt idx="114">
                  <c:v>1.22471279948696</c:v>
                </c:pt>
                <c:pt idx="115">
                  <c:v>1.2244270236968</c:v>
                </c:pt>
                <c:pt idx="116">
                  <c:v>1.2244872409354099</c:v>
                </c:pt>
                <c:pt idx="117">
                  <c:v>1.2244515674451</c:v>
                </c:pt>
                <c:pt idx="118">
                  <c:v>1.22436722579113</c:v>
                </c:pt>
                <c:pt idx="119">
                  <c:v>1.22432612743764</c:v>
                </c:pt>
                <c:pt idx="120">
                  <c:v>1.2243205836882101</c:v>
                </c:pt>
                <c:pt idx="121">
                  <c:v>1.2243205836882101</c:v>
                </c:pt>
                <c:pt idx="122">
                  <c:v>1.2245752442520199</c:v>
                </c:pt>
                <c:pt idx="123">
                  <c:v>1.22457804800411</c:v>
                </c:pt>
                <c:pt idx="124">
                  <c:v>1.2245671841235399</c:v>
                </c:pt>
                <c:pt idx="125">
                  <c:v>1.2245617535450599</c:v>
                </c:pt>
                <c:pt idx="126">
                  <c:v>1.22453995110631</c:v>
                </c:pt>
                <c:pt idx="127">
                  <c:v>1.22459435200606</c:v>
                </c:pt>
                <c:pt idx="128">
                  <c:v>1.2245753513679201</c:v>
                </c:pt>
                <c:pt idx="129">
                  <c:v>1.2245373049417001</c:v>
                </c:pt>
                <c:pt idx="130">
                  <c:v>1.22451028375709</c:v>
                </c:pt>
                <c:pt idx="131">
                  <c:v>1.22454325808964</c:v>
                </c:pt>
                <c:pt idx="132">
                  <c:v>1.2246029807257</c:v>
                </c:pt>
                <c:pt idx="133">
                  <c:v>1.2246249713591899</c:v>
                </c:pt>
                <c:pt idx="134">
                  <c:v>1.2246548704765501</c:v>
                </c:pt>
                <c:pt idx="135">
                  <c:v>1.2249911006333001</c:v>
                </c:pt>
                <c:pt idx="136">
                  <c:v>1.2249792508364901</c:v>
                </c:pt>
                <c:pt idx="137">
                  <c:v>1.22495717001852</c:v>
                </c:pt>
                <c:pt idx="138">
                  <c:v>1.22503829356514</c:v>
                </c:pt>
                <c:pt idx="139">
                  <c:v>1.22507042835757</c:v>
                </c:pt>
                <c:pt idx="140">
                  <c:v>1.22512696793346</c:v>
                </c:pt>
                <c:pt idx="141">
                  <c:v>1.22516636532477</c:v>
                </c:pt>
                <c:pt idx="142">
                  <c:v>1.22516470398523</c:v>
                </c:pt>
                <c:pt idx="143">
                  <c:v>1.2254034551728501</c:v>
                </c:pt>
                <c:pt idx="144">
                  <c:v>1.22571137847977</c:v>
                </c:pt>
                <c:pt idx="145">
                  <c:v>1.22570089274301</c:v>
                </c:pt>
                <c:pt idx="146">
                  <c:v>1.2257500687004701</c:v>
                </c:pt>
                <c:pt idx="147">
                  <c:v>1.22577741538235</c:v>
                </c:pt>
                <c:pt idx="148">
                  <c:v>1.22579937454913</c:v>
                </c:pt>
                <c:pt idx="149">
                  <c:v>1.2258922616775501</c:v>
                </c:pt>
                <c:pt idx="150">
                  <c:v>1.22594428511547</c:v>
                </c:pt>
                <c:pt idx="151">
                  <c:v>1.2258652381511701</c:v>
                </c:pt>
                <c:pt idx="152">
                  <c:v>1.22584375875215</c:v>
                </c:pt>
                <c:pt idx="153">
                  <c:v>1.2258030729085001</c:v>
                </c:pt>
                <c:pt idx="154">
                  <c:v>1.2257651719918099</c:v>
                </c:pt>
                <c:pt idx="155">
                  <c:v>1.2254452901020401</c:v>
                </c:pt>
                <c:pt idx="156">
                  <c:v>1.22517670773549</c:v>
                </c:pt>
                <c:pt idx="157">
                  <c:v>1.22494330406332</c:v>
                </c:pt>
                <c:pt idx="158">
                  <c:v>1.2246785928680199</c:v>
                </c:pt>
                <c:pt idx="159">
                  <c:v>1.2244307265338199</c:v>
                </c:pt>
                <c:pt idx="160">
                  <c:v>1.2244173107999199</c:v>
                </c:pt>
                <c:pt idx="161">
                  <c:v>1.22443069485176</c:v>
                </c:pt>
                <c:pt idx="162">
                  <c:v>1.2244687733841699</c:v>
                </c:pt>
                <c:pt idx="163">
                  <c:v>1.22444411855182</c:v>
                </c:pt>
                <c:pt idx="164">
                  <c:v>1.2244476948672101</c:v>
                </c:pt>
                <c:pt idx="165">
                  <c:v>1.2247314031975101</c:v>
                </c:pt>
                <c:pt idx="166">
                  <c:v>1.22475713465546</c:v>
                </c:pt>
                <c:pt idx="167">
                  <c:v>1.2247219505709599</c:v>
                </c:pt>
                <c:pt idx="168">
                  <c:v>1.2247967468787</c:v>
                </c:pt>
                <c:pt idx="169">
                  <c:v>1.2247950608297999</c:v>
                </c:pt>
                <c:pt idx="170">
                  <c:v>1.2247651270759901</c:v>
                </c:pt>
                <c:pt idx="171">
                  <c:v>1.2248425009875299</c:v>
                </c:pt>
                <c:pt idx="172">
                  <c:v>1.2248236669930901</c:v>
                </c:pt>
                <c:pt idx="173">
                  <c:v>1.2248911605128501</c:v>
                </c:pt>
                <c:pt idx="174">
                  <c:v>1.2249419931899199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FA-48D8-B0AC-B534AD581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BSCW* x 10 dma / IBDX*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6.2175471143423896E-4</c:v>
                </c:pt>
                <c:pt idx="11">
                  <c:v>9.8104401217341606E-4</c:v>
                </c:pt>
                <c:pt idx="12">
                  <c:v>-1.9139016269063399E-4</c:v>
                </c:pt>
                <c:pt idx="13">
                  <c:v>-2.4441814656768902E-4</c:v>
                </c:pt>
                <c:pt idx="14">
                  <c:v>-8.4220967684264699E-5</c:v>
                </c:pt>
                <c:pt idx="15">
                  <c:v>3.66913590448404E-4</c:v>
                </c:pt>
                <c:pt idx="16">
                  <c:v>-5.2072358087973402E-4</c:v>
                </c:pt>
                <c:pt idx="17">
                  <c:v>-4.7836115763803398E-4</c:v>
                </c:pt>
                <c:pt idx="18">
                  <c:v>-2.9617683037554501E-4</c:v>
                </c:pt>
                <c:pt idx="19">
                  <c:v>-1.9264483013413101E-4</c:v>
                </c:pt>
                <c:pt idx="20">
                  <c:v>6.5078924900568205E-5</c:v>
                </c:pt>
                <c:pt idx="21">
                  <c:v>2.05112379862611E-5</c:v>
                </c:pt>
                <c:pt idx="22">
                  <c:v>-2.8333874919803998E-4</c:v>
                </c:pt>
                <c:pt idx="23">
                  <c:v>-7.3399061815849196E-4</c:v>
                </c:pt>
                <c:pt idx="24">
                  <c:v>2.00680005110085E-4</c:v>
                </c:pt>
                <c:pt idx="25">
                  <c:v>2.7860053887030802E-4</c:v>
                </c:pt>
                <c:pt idx="26">
                  <c:v>9.5757611684058204E-4</c:v>
                </c:pt>
                <c:pt idx="27">
                  <c:v>1.9622260423369999E-4</c:v>
                </c:pt>
                <c:pt idx="28">
                  <c:v>-1.9577651889524401E-4</c:v>
                </c:pt>
                <c:pt idx="29">
                  <c:v>2.5722592479772399E-5</c:v>
                </c:pt>
                <c:pt idx="30">
                  <c:v>1.6662742459615599E-5</c:v>
                </c:pt>
                <c:pt idx="31">
                  <c:v>-5.7157219202870301E-5</c:v>
                </c:pt>
                <c:pt idx="32">
                  <c:v>1.2775793886197101E-4</c:v>
                </c:pt>
                <c:pt idx="33">
                  <c:v>8.3796408767557599E-5</c:v>
                </c:pt>
                <c:pt idx="34">
                  <c:v>3.8669561695499501E-4</c:v>
                </c:pt>
                <c:pt idx="35">
                  <c:v>-6.8797548448571398E-4</c:v>
                </c:pt>
                <c:pt idx="36">
                  <c:v>1.52529503138862E-4</c:v>
                </c:pt>
                <c:pt idx="37">
                  <c:v>1.15253423495599E-3</c:v>
                </c:pt>
                <c:pt idx="38">
                  <c:v>-2.3818832934310399E-4</c:v>
                </c:pt>
                <c:pt idx="39">
                  <c:v>-4.5892366026598601E-4</c:v>
                </c:pt>
                <c:pt idx="40">
                  <c:v>-1.25342136802494E-4</c:v>
                </c:pt>
                <c:pt idx="41">
                  <c:v>1.7855192070931499E-4</c:v>
                </c:pt>
                <c:pt idx="42">
                  <c:v>-2.8911050993967998E-4</c:v>
                </c:pt>
                <c:pt idx="43">
                  <c:v>1.6632534121982E-4</c:v>
                </c:pt>
                <c:pt idx="44">
                  <c:v>-1.0977643911407E-4</c:v>
                </c:pt>
                <c:pt idx="45">
                  <c:v>-3.67697602478602E-4</c:v>
                </c:pt>
                <c:pt idx="46">
                  <c:v>-3.0989940900928801E-4</c:v>
                </c:pt>
                <c:pt idx="47">
                  <c:v>-2.27814290231751E-4</c:v>
                </c:pt>
                <c:pt idx="48">
                  <c:v>-5.3359919043986196E-4</c:v>
                </c:pt>
                <c:pt idx="49">
                  <c:v>-1.0475155883136E-3</c:v>
                </c:pt>
                <c:pt idx="50">
                  <c:v>-5.6514498780209301E-4</c:v>
                </c:pt>
                <c:pt idx="51">
                  <c:v>-2.79412876648864E-4</c:v>
                </c:pt>
                <c:pt idx="52">
                  <c:v>-2.3745023684860599E-4</c:v>
                </c:pt>
                <c:pt idx="53">
                  <c:v>8.5243384576864196E-4</c:v>
                </c:pt>
                <c:pt idx="54">
                  <c:v>4.28227315885929E-4</c:v>
                </c:pt>
                <c:pt idx="55">
                  <c:v>-1.89756546169228E-4</c:v>
                </c:pt>
                <c:pt idx="56">
                  <c:v>-2.63790971492781E-5</c:v>
                </c:pt>
                <c:pt idx="57">
                  <c:v>-1.41917001368466E-4</c:v>
                </c:pt>
                <c:pt idx="58">
                  <c:v>-1.1650902668319799E-5</c:v>
                </c:pt>
                <c:pt idx="59">
                  <c:v>2.8828372429891698E-4</c:v>
                </c:pt>
                <c:pt idx="60">
                  <c:v>4.5569380857566401E-4</c:v>
                </c:pt>
                <c:pt idx="61">
                  <c:v>1.9922704116854699E-5</c:v>
                </c:pt>
                <c:pt idx="62">
                  <c:v>3.40455034102737E-4</c:v>
                </c:pt>
                <c:pt idx="63">
                  <c:v>4.8958357917527895E-4</c:v>
                </c:pt>
                <c:pt idx="64">
                  <c:v>6.9844423533294201E-5</c:v>
                </c:pt>
                <c:pt idx="65">
                  <c:v>-2.5809189060383E-4</c:v>
                </c:pt>
                <c:pt idx="66">
                  <c:v>3.8314373198871298E-4</c:v>
                </c:pt>
                <c:pt idx="67">
                  <c:v>-2.6151345677391399E-5</c:v>
                </c:pt>
                <c:pt idx="68">
                  <c:v>4.5460065443009702E-4</c:v>
                </c:pt>
                <c:pt idx="69">
                  <c:v>8.8938557631275199E-4</c:v>
                </c:pt>
                <c:pt idx="70">
                  <c:v>2.23354892150019E-4</c:v>
                </c:pt>
                <c:pt idx="71">
                  <c:v>-2.3204310658288599E-4</c:v>
                </c:pt>
                <c:pt idx="72">
                  <c:v>1.45268292468937E-4</c:v>
                </c:pt>
                <c:pt idx="73">
                  <c:v>1.8497765669842899E-4</c:v>
                </c:pt>
                <c:pt idx="74">
                  <c:v>-1.2053014614085099E-4</c:v>
                </c:pt>
                <c:pt idx="75">
                  <c:v>-3.5086066893485498E-4</c:v>
                </c:pt>
                <c:pt idx="76">
                  <c:v>-3.3672575686582301E-4</c:v>
                </c:pt>
                <c:pt idx="77">
                  <c:v>4.3281299392114502E-4</c:v>
                </c:pt>
                <c:pt idx="78">
                  <c:v>1.1053235036492201E-5</c:v>
                </c:pt>
                <c:pt idx="79">
                  <c:v>-1.01837445688043E-3</c:v>
                </c:pt>
                <c:pt idx="80">
                  <c:v>-1.3361981780354399E-3</c:v>
                </c:pt>
                <c:pt idx="81">
                  <c:v>-1.7187785206508599E-4</c:v>
                </c:pt>
                <c:pt idx="82">
                  <c:v>2.9962252805812098E-4</c:v>
                </c:pt>
                <c:pt idx="83">
                  <c:v>-2.1416279447259001E-4</c:v>
                </c:pt>
                <c:pt idx="84">
                  <c:v>2.0292619003114699E-4</c:v>
                </c:pt>
                <c:pt idx="85">
                  <c:v>1.21007584666625E-4</c:v>
                </c:pt>
                <c:pt idx="86">
                  <c:v>-2.1694570451157698E-5</c:v>
                </c:pt>
                <c:pt idx="87">
                  <c:v>-7.4883709131666704E-4</c:v>
                </c:pt>
                <c:pt idx="88">
                  <c:v>7.0341212650378395E-4</c:v>
                </c:pt>
                <c:pt idx="89">
                  <c:v>-2.2116797770416899E-4</c:v>
                </c:pt>
                <c:pt idx="90">
                  <c:v>-6.9801050299004699E-5</c:v>
                </c:pt>
                <c:pt idx="91">
                  <c:v>5.7186167476926198E-5</c:v>
                </c:pt>
                <c:pt idx="92">
                  <c:v>4.3314973830934097E-5</c:v>
                </c:pt>
                <c:pt idx="93">
                  <c:v>1.2898297268981299E-5</c:v>
                </c:pt>
                <c:pt idx="94">
                  <c:v>1.7506487065495601E-4</c:v>
                </c:pt>
                <c:pt idx="95">
                  <c:v>-3.2733419671327E-5</c:v>
                </c:pt>
                <c:pt idx="96">
                  <c:v>-1.2637217143228201E-5</c:v>
                </c:pt>
                <c:pt idx="97">
                  <c:v>-7.9093510034528795E-4</c:v>
                </c:pt>
                <c:pt idx="98">
                  <c:v>-9.4724347197594797E-4</c:v>
                </c:pt>
                <c:pt idx="99">
                  <c:v>-7.0080452445490905E-4</c:v>
                </c:pt>
                <c:pt idx="100">
                  <c:v>1.85472930646246E-4</c:v>
                </c:pt>
                <c:pt idx="101">
                  <c:v>4.3985396965749501E-4</c:v>
                </c:pt>
                <c:pt idx="102">
                  <c:v>4.0646352582967898E-5</c:v>
                </c:pt>
                <c:pt idx="103">
                  <c:v>1.5511423066994599E-4</c:v>
                </c:pt>
                <c:pt idx="104">
                  <c:v>2.08763087936253E-4</c:v>
                </c:pt>
                <c:pt idx="105">
                  <c:v>1.04965437854423E-4</c:v>
                </c:pt>
                <c:pt idx="106">
                  <c:v>2.4649806536239702E-4</c:v>
                </c:pt>
                <c:pt idx="107">
                  <c:v>1.2108954450306001E-3</c:v>
                </c:pt>
                <c:pt idx="108">
                  <c:v>1.25634563255498E-4</c:v>
                </c:pt>
                <c:pt idx="109">
                  <c:v>-1.4543408210880801E-4</c:v>
                </c:pt>
                <c:pt idx="110">
                  <c:v>5.0676830695485198E-5</c:v>
                </c:pt>
                <c:pt idx="111">
                  <c:v>-1.3697178667366E-4</c:v>
                </c:pt>
                <c:pt idx="112">
                  <c:v>5.4418361687567397E-4</c:v>
                </c:pt>
                <c:pt idx="113">
                  <c:v>-2.2222200923684699E-4</c:v>
                </c:pt>
                <c:pt idx="114">
                  <c:v>-9.3059875652837395E-5</c:v>
                </c:pt>
                <c:pt idx="115">
                  <c:v>5.1321480443369295E-4</c:v>
                </c:pt>
                <c:pt idx="116">
                  <c:v>-1.1146577711208399E-3</c:v>
                </c:pt>
                <c:pt idx="117">
                  <c:v>-2.8403938139954702E-4</c:v>
                </c:pt>
                <c:pt idx="118">
                  <c:v>4.3666270893929398E-4</c:v>
                </c:pt>
                <c:pt idx="119">
                  <c:v>-2.0944549653816201E-4</c:v>
                </c:pt>
                <c:pt idx="120">
                  <c:v>5.2931244968092203E-5</c:v>
                </c:pt>
                <c:pt idx="121">
                  <c:v>2.2861863622518699E-4</c:v>
                </c:pt>
                <c:pt idx="122">
                  <c:v>-3.2457173626425899E-4</c:v>
                </c:pt>
                <c:pt idx="123">
                  <c:v>-1.9934501027333699E-5</c:v>
                </c:pt>
                <c:pt idx="124">
                  <c:v>2.34383778476269E-4</c:v>
                </c:pt>
                <c:pt idx="125">
                  <c:v>-9.9732283448579796E-7</c:v>
                </c:pt>
                <c:pt idx="126">
                  <c:v>4.4837879119925101E-4</c:v>
                </c:pt>
                <c:pt idx="127">
                  <c:v>5.58641811310415E-5</c:v>
                </c:pt>
                <c:pt idx="128">
                  <c:v>2.8646701850676301E-4</c:v>
                </c:pt>
                <c:pt idx="129">
                  <c:v>4.2017366463452198E-4</c:v>
                </c:pt>
                <c:pt idx="130">
                  <c:v>4.3665004228595302E-4</c:v>
                </c:pt>
                <c:pt idx="131">
                  <c:v>-7.4594283598923897E-4</c:v>
                </c:pt>
                <c:pt idx="132">
                  <c:v>-4.46184582008731E-4</c:v>
                </c:pt>
                <c:pt idx="133">
                  <c:v>-5.2931473014954295E-4</c:v>
                </c:pt>
                <c:pt idx="134">
                  <c:v>-4.9443198845033898E-4</c:v>
                </c:pt>
                <c:pt idx="135">
                  <c:v>-7.4660222204082796E-4</c:v>
                </c:pt>
                <c:pt idx="136">
                  <c:v>-6.3533244126925102E-4</c:v>
                </c:pt>
                <c:pt idx="137">
                  <c:v>3.83779788606788E-4</c:v>
                </c:pt>
                <c:pt idx="138">
                  <c:v>-6.3699110671613197E-4</c:v>
                </c:pt>
                <c:pt idx="139">
                  <c:v>-3.4578946255304398E-4</c:v>
                </c:pt>
                <c:pt idx="140">
                  <c:v>-3.6448746992612003E-4</c:v>
                </c:pt>
                <c:pt idx="141">
                  <c:v>2.06305564867437E-4</c:v>
                </c:pt>
                <c:pt idx="142">
                  <c:v>3.1018645481514399E-4</c:v>
                </c:pt>
                <c:pt idx="143">
                  <c:v>5.5689552820887005E-4</c:v>
                </c:pt>
                <c:pt idx="144">
                  <c:v>-3.25462077281806E-4</c:v>
                </c:pt>
                <c:pt idx="145">
                  <c:v>6.1480228453744603E-4</c:v>
                </c:pt>
                <c:pt idx="146">
                  <c:v>-3.7217461956754797E-5</c:v>
                </c:pt>
                <c:pt idx="147">
                  <c:v>2.0180159576163301E-5</c:v>
                </c:pt>
                <c:pt idx="148">
                  <c:v>4.1797230503413198E-4</c:v>
                </c:pt>
                <c:pt idx="149">
                  <c:v>-6.6255329934386596E-4</c:v>
                </c:pt>
                <c:pt idx="150">
                  <c:v>1.07766398145906E-4</c:v>
                </c:pt>
                <c:pt idx="151">
                  <c:v>1.0144248867395801E-3</c:v>
                </c:pt>
                <c:pt idx="152">
                  <c:v>2.1499998019672699E-4</c:v>
                </c:pt>
                <c:pt idx="153">
                  <c:v>4.1333998185919598E-4</c:v>
                </c:pt>
                <c:pt idx="154">
                  <c:v>3.5182408403951697E-4</c:v>
                </c:pt>
                <c:pt idx="155">
                  <c:v>4.7335703496838701E-4</c:v>
                </c:pt>
                <c:pt idx="156">
                  <c:v>-3.3552064068934903E-4</c:v>
                </c:pt>
                <c:pt idx="157">
                  <c:v>9.7605994257915295E-6</c:v>
                </c:pt>
                <c:pt idx="158">
                  <c:v>-5.4511089205177003E-4</c:v>
                </c:pt>
                <c:pt idx="159">
                  <c:v>-5.7614635665504798E-4</c:v>
                </c:pt>
                <c:pt idx="160">
                  <c:v>-4.02040677045516E-4</c:v>
                </c:pt>
                <c:pt idx="161">
                  <c:v>-3.7837927245169399E-4</c:v>
                </c:pt>
                <c:pt idx="162">
                  <c:v>-5.2688150212719202E-4</c:v>
                </c:pt>
                <c:pt idx="163">
                  <c:v>8.0232444818160097E-4</c:v>
                </c:pt>
                <c:pt idx="164">
                  <c:v>-4.9680864847305103E-4</c:v>
                </c:pt>
                <c:pt idx="165">
                  <c:v>-1.6278643105538399E-5</c:v>
                </c:pt>
                <c:pt idx="166">
                  <c:v>-3.4398118617706301E-4</c:v>
                </c:pt>
                <c:pt idx="167">
                  <c:v>7.3979572871519898E-4</c:v>
                </c:pt>
                <c:pt idx="168">
                  <c:v>-6.9490449504390104E-4</c:v>
                </c:pt>
                <c:pt idx="169">
                  <c:v>-4.2883072140036398E-4</c:v>
                </c:pt>
                <c:pt idx="170">
                  <c:v>7.7044272059300701E-4</c:v>
                </c:pt>
                <c:pt idx="171">
                  <c:v>-5.3337935826758901E-5</c:v>
                </c:pt>
                <c:pt idx="172">
                  <c:v>7.7359627595713798E-4</c:v>
                </c:pt>
                <c:pt idx="173">
                  <c:v>-4.8770429721037398E-4</c:v>
                </c:pt>
                <c:pt idx="174">
                  <c:v>-1.39785346948115E-4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0-48D2-ADA1-9FEC18E2578B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BSCW* x 20 dma / IBDX*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1.3062091998147701E-4</c:v>
                </c:pt>
                <c:pt idx="21">
                  <c:v>6.4778625247742695E-5</c:v>
                </c:pt>
                <c:pt idx="22">
                  <c:v>-3.4622449578169999E-4</c:v>
                </c:pt>
                <c:pt idx="23">
                  <c:v>-8.3427528785604498E-4</c:v>
                </c:pt>
                <c:pt idx="24">
                  <c:v>1.0234103956682801E-4</c:v>
                </c:pt>
                <c:pt idx="25">
                  <c:v>1.7106496436325E-4</c:v>
                </c:pt>
                <c:pt idx="26">
                  <c:v>7.8215185202168099E-4</c:v>
                </c:pt>
                <c:pt idx="27">
                  <c:v>9.8320953946968003E-5</c:v>
                </c:pt>
                <c:pt idx="28">
                  <c:v>-2.6587723367590201E-4</c:v>
                </c:pt>
                <c:pt idx="29">
                  <c:v>-3.81609200078265E-5</c:v>
                </c:pt>
                <c:pt idx="30">
                  <c:v>-2.1517585305646199E-5</c:v>
                </c:pt>
                <c:pt idx="31">
                  <c:v>-8.03029508513389E-5</c:v>
                </c:pt>
                <c:pt idx="32">
                  <c:v>1.41992287023617E-4</c:v>
                </c:pt>
                <c:pt idx="33">
                  <c:v>1.30900512769896E-4</c:v>
                </c:pt>
                <c:pt idx="34">
                  <c:v>5.1394524117367502E-4</c:v>
                </c:pt>
                <c:pt idx="35">
                  <c:v>-5.43111708694974E-4</c:v>
                </c:pt>
                <c:pt idx="36">
                  <c:v>2.7869961946129003E-4</c:v>
                </c:pt>
                <c:pt idx="37">
                  <c:v>1.1947217812315399E-3</c:v>
                </c:pt>
                <c:pt idx="38">
                  <c:v>-1.6793528713454601E-4</c:v>
                </c:pt>
                <c:pt idx="39">
                  <c:v>-3.8177356211534198E-4</c:v>
                </c:pt>
                <c:pt idx="40">
                  <c:v>-6.9245546390896102E-5</c:v>
                </c:pt>
                <c:pt idx="41">
                  <c:v>2.3939626672590399E-4</c:v>
                </c:pt>
                <c:pt idx="42">
                  <c:v>-2.0419642689609001E-4</c:v>
                </c:pt>
                <c:pt idx="43">
                  <c:v>2.1690206567313901E-4</c:v>
                </c:pt>
                <c:pt idx="44">
                  <c:v>-9.5636210903569799E-5</c:v>
                </c:pt>
                <c:pt idx="45">
                  <c:v>-3.9898486998805199E-4</c:v>
                </c:pt>
                <c:pt idx="46">
                  <c:v>-2.94441203223159E-4</c:v>
                </c:pt>
                <c:pt idx="47">
                  <c:v>-2.06309673708513E-4</c:v>
                </c:pt>
                <c:pt idx="48">
                  <c:v>-6.3092719059797597E-4</c:v>
                </c:pt>
                <c:pt idx="49">
                  <c:v>-1.17425648069763E-3</c:v>
                </c:pt>
                <c:pt idx="50">
                  <c:v>-7.1748922719573898E-4</c:v>
                </c:pt>
                <c:pt idx="51">
                  <c:v>-4.6749165020604E-4</c:v>
                </c:pt>
                <c:pt idx="52">
                  <c:v>-4.8508646674109599E-4</c:v>
                </c:pt>
                <c:pt idx="53">
                  <c:v>5.9497083544098105E-4</c:v>
                </c:pt>
                <c:pt idx="54">
                  <c:v>1.7013040091079501E-4</c:v>
                </c:pt>
                <c:pt idx="55">
                  <c:v>-4.2336663905413502E-4</c:v>
                </c:pt>
                <c:pt idx="56">
                  <c:v>-2.8734123691028998E-4</c:v>
                </c:pt>
                <c:pt idx="57">
                  <c:v>-3.9322676662692101E-4</c:v>
                </c:pt>
                <c:pt idx="58">
                  <c:v>-2.16975568452997E-4</c:v>
                </c:pt>
                <c:pt idx="59">
                  <c:v>1.1302686804767799E-4</c:v>
                </c:pt>
                <c:pt idx="60">
                  <c:v>3.71829451302983E-4</c:v>
                </c:pt>
                <c:pt idx="61">
                  <c:v>1.5942090781585199E-5</c:v>
                </c:pt>
                <c:pt idx="62">
                  <c:v>3.9274694871899803E-4</c:v>
                </c:pt>
                <c:pt idx="63">
                  <c:v>5.9818906466334299E-4</c:v>
                </c:pt>
                <c:pt idx="64">
                  <c:v>1.6262058515855701E-4</c:v>
                </c:pt>
                <c:pt idx="65">
                  <c:v>-1.75043830132307E-4</c:v>
                </c:pt>
                <c:pt idx="66">
                  <c:v>4.8554993460411702E-4</c:v>
                </c:pt>
                <c:pt idx="67">
                  <c:v>1.18897334587533E-4</c:v>
                </c:pt>
                <c:pt idx="68">
                  <c:v>6.4079075821127103E-4</c:v>
                </c:pt>
                <c:pt idx="69">
                  <c:v>1.1119500015465301E-3</c:v>
                </c:pt>
                <c:pt idx="70">
                  <c:v>4.4893739061640798E-4</c:v>
                </c:pt>
                <c:pt idx="71">
                  <c:v>-3.8185356152800002E-5</c:v>
                </c:pt>
                <c:pt idx="72">
                  <c:v>3.3134149012419901E-4</c:v>
                </c:pt>
                <c:pt idx="73">
                  <c:v>3.4576678767563198E-4</c:v>
                </c:pt>
                <c:pt idx="74">
                  <c:v>4.8385906829717497E-5</c:v>
                </c:pt>
                <c:pt idx="75">
                  <c:v>-1.6592831243542901E-4</c:v>
                </c:pt>
                <c:pt idx="76">
                  <c:v>-1.42820859356983E-4</c:v>
                </c:pt>
                <c:pt idx="77">
                  <c:v>5.7938756562296004E-4</c:v>
                </c:pt>
                <c:pt idx="78">
                  <c:v>1.7493721339705999E-4</c:v>
                </c:pt>
                <c:pt idx="79">
                  <c:v>-9.0221717719921903E-4</c:v>
                </c:pt>
                <c:pt idx="80">
                  <c:v>-1.35612115697001E-3</c:v>
                </c:pt>
                <c:pt idx="81">
                  <c:v>-2.82739010650588E-4</c:v>
                </c:pt>
                <c:pt idx="82">
                  <c:v>1.73896302644154E-4</c:v>
                </c:pt>
                <c:pt idx="83">
                  <c:v>-3.5358701840424302E-4</c:v>
                </c:pt>
                <c:pt idx="84">
                  <c:v>2.8765201272727499E-5</c:v>
                </c:pt>
                <c:pt idx="85">
                  <c:v>-6.1769332114009997E-5</c:v>
                </c:pt>
                <c:pt idx="86">
                  <c:v>-2.1301623100443301E-4</c:v>
                </c:pt>
                <c:pt idx="87">
                  <c:v>-9.2693615685139499E-4</c:v>
                </c:pt>
                <c:pt idx="88">
                  <c:v>4.1084958006636898E-4</c:v>
                </c:pt>
                <c:pt idx="89">
                  <c:v>-5.0258988238470904E-4</c:v>
                </c:pt>
                <c:pt idx="90">
                  <c:v>-2.5574592790557002E-4</c:v>
                </c:pt>
                <c:pt idx="91">
                  <c:v>-4.0188610862125098E-6</c:v>
                </c:pt>
                <c:pt idx="92">
                  <c:v>-4.4791286531735296E-6</c:v>
                </c:pt>
                <c:pt idx="93">
                  <c:v>-4.76318633785751E-5</c:v>
                </c:pt>
                <c:pt idx="94">
                  <c:v>1.5372823839848601E-4</c:v>
                </c:pt>
                <c:pt idx="95">
                  <c:v>-5.6351469142766102E-5</c:v>
                </c:pt>
                <c:pt idx="96">
                  <c:v>-5.16166049931487E-5</c:v>
                </c:pt>
                <c:pt idx="97">
                  <c:v>-8.2997716100632695E-4</c:v>
                </c:pt>
                <c:pt idx="98">
                  <c:v>-9.1541278115939097E-4</c:v>
                </c:pt>
                <c:pt idx="99">
                  <c:v>-7.5368257229319903E-4</c:v>
                </c:pt>
                <c:pt idx="100">
                  <c:v>9.1598755193531299E-5</c:v>
                </c:pt>
                <c:pt idx="101">
                  <c:v>3.0461110108575998E-4</c:v>
                </c:pt>
                <c:pt idx="102">
                  <c:v>-9.4323003431142805E-5</c:v>
                </c:pt>
                <c:pt idx="103">
                  <c:v>2.4106403082274199E-5</c:v>
                </c:pt>
                <c:pt idx="104">
                  <c:v>6.64671868077257E-5</c:v>
                </c:pt>
                <c:pt idx="105">
                  <c:v>-4.6344484109153801E-5</c:v>
                </c:pt>
                <c:pt idx="106">
                  <c:v>9.6990392967578296E-5</c:v>
                </c:pt>
                <c:pt idx="107">
                  <c:v>1.0628380314840001E-3</c:v>
                </c:pt>
                <c:pt idx="108">
                  <c:v>6.8842778826627298E-5</c:v>
                </c:pt>
                <c:pt idx="109">
                  <c:v>-7.4885468846175302E-5</c:v>
                </c:pt>
                <c:pt idx="110">
                  <c:v>1.85354430420458E-4</c:v>
                </c:pt>
                <c:pt idx="111">
                  <c:v>1.05813502999031E-6</c:v>
                </c:pt>
                <c:pt idx="112">
                  <c:v>6.6156601391529301E-4</c:v>
                </c:pt>
                <c:pt idx="113">
                  <c:v>-5.4294407016526201E-5</c:v>
                </c:pt>
                <c:pt idx="114">
                  <c:v>7.8782036442378201E-5</c:v>
                </c:pt>
                <c:pt idx="115">
                  <c:v>6.9969248976949202E-4</c:v>
                </c:pt>
                <c:pt idx="116">
                  <c:v>-8.8086933150570499E-4</c:v>
                </c:pt>
                <c:pt idx="117">
                  <c:v>-9.2974961976789806E-5</c:v>
                </c:pt>
                <c:pt idx="118">
                  <c:v>4.8682481934571997E-4</c:v>
                </c:pt>
                <c:pt idx="119">
                  <c:v>-1.8670506966972201E-4</c:v>
                </c:pt>
                <c:pt idx="120">
                  <c:v>3.9903215180707E-5</c:v>
                </c:pt>
                <c:pt idx="121">
                  <c:v>2.0767352366156999E-4</c:v>
                </c:pt>
                <c:pt idx="122">
                  <c:v>-3.1429402585314998E-4</c:v>
                </c:pt>
                <c:pt idx="123">
                  <c:v>-8.8967760963018798E-5</c:v>
                </c:pt>
                <c:pt idx="124">
                  <c:v>1.7063703146096801E-4</c:v>
                </c:pt>
                <c:pt idx="125">
                  <c:v>-5.6840290984086101E-5</c:v>
                </c:pt>
                <c:pt idx="126">
                  <c:v>3.22202669826421E-4</c:v>
                </c:pt>
                <c:pt idx="127">
                  <c:v>3.9941043337894901E-5</c:v>
                </c:pt>
                <c:pt idx="128">
                  <c:v>3.4157375255524302E-4</c:v>
                </c:pt>
                <c:pt idx="129">
                  <c:v>4.5271759836366802E-4</c:v>
                </c:pt>
                <c:pt idx="130">
                  <c:v>5.0485648714863798E-4</c:v>
                </c:pt>
                <c:pt idx="131">
                  <c:v>-6.5054171838844197E-4</c:v>
                </c:pt>
                <c:pt idx="132">
                  <c:v>-4.0617214212302299E-4</c:v>
                </c:pt>
                <c:pt idx="133">
                  <c:v>-4.4897623841128802E-4</c:v>
                </c:pt>
                <c:pt idx="134">
                  <c:v>-4.34747301949632E-4</c:v>
                </c:pt>
                <c:pt idx="135">
                  <c:v>-7.2739254393196402E-4</c:v>
                </c:pt>
                <c:pt idx="136">
                  <c:v>-6.2021045790481601E-4</c:v>
                </c:pt>
                <c:pt idx="137">
                  <c:v>2.8067936496637802E-4</c:v>
                </c:pt>
                <c:pt idx="138">
                  <c:v>-7.4941184823025205E-4</c:v>
                </c:pt>
                <c:pt idx="139">
                  <c:v>-5.1361971844298695E-4</c:v>
                </c:pt>
                <c:pt idx="140">
                  <c:v>-6.2210086495114001E-4</c:v>
                </c:pt>
                <c:pt idx="141">
                  <c:v>-1.4308027929797401E-4</c:v>
                </c:pt>
                <c:pt idx="142">
                  <c:v>1.26514711680295E-5</c:v>
                </c:pt>
                <c:pt idx="143">
                  <c:v>2.69496777953876E-4</c:v>
                </c:pt>
                <c:pt idx="144">
                  <c:v>-5.6987143220720905E-4</c:v>
                </c:pt>
                <c:pt idx="145">
                  <c:v>3.8486902666927001E-4</c:v>
                </c:pt>
                <c:pt idx="146">
                  <c:v>-1.86725144341318E-4</c:v>
                </c:pt>
                <c:pt idx="147">
                  <c:v>-6.17021456076532E-5</c:v>
                </c:pt>
                <c:pt idx="148">
                  <c:v>3.0364953550384203E-4</c:v>
                </c:pt>
                <c:pt idx="149">
                  <c:v>-6.7814980703245504E-4</c:v>
                </c:pt>
                <c:pt idx="150">
                  <c:v>1.29832226073939E-4</c:v>
                </c:pt>
                <c:pt idx="151">
                  <c:v>1.1281186154199201E-3</c:v>
                </c:pt>
                <c:pt idx="152">
                  <c:v>3.6778369855893297E-4</c:v>
                </c:pt>
                <c:pt idx="153">
                  <c:v>5.6858207508453905E-4</c:v>
                </c:pt>
                <c:pt idx="154">
                  <c:v>4.8984673704770005E-4</c:v>
                </c:pt>
                <c:pt idx="155">
                  <c:v>6.7506216781287301E-4</c:v>
                </c:pt>
                <c:pt idx="156">
                  <c:v>-1.6579843463683199E-4</c:v>
                </c:pt>
                <c:pt idx="157">
                  <c:v>1.6658017764076299E-4</c:v>
                </c:pt>
                <c:pt idx="158">
                  <c:v>-3.4676144145420398E-4</c:v>
                </c:pt>
                <c:pt idx="159">
                  <c:v>-4.4745284029771198E-4</c:v>
                </c:pt>
                <c:pt idx="160">
                  <c:v>-2.38734024709722E-4</c:v>
                </c:pt>
                <c:pt idx="161">
                  <c:v>-2.50065306568022E-4</c:v>
                </c:pt>
                <c:pt idx="162">
                  <c:v>-5.0712287138172799E-4</c:v>
                </c:pt>
                <c:pt idx="163">
                  <c:v>7.7644321351202699E-4</c:v>
                </c:pt>
                <c:pt idx="164">
                  <c:v>-5.1418194273969203E-4</c:v>
                </c:pt>
                <c:pt idx="165">
                  <c:v>-1.2548943641798099E-4</c:v>
                </c:pt>
                <c:pt idx="166">
                  <c:v>-5.0166766643718703E-4</c:v>
                </c:pt>
                <c:pt idx="167">
                  <c:v>5.6386033064653002E-4</c:v>
                </c:pt>
                <c:pt idx="168">
                  <c:v>-8.6710605759586599E-4</c:v>
                </c:pt>
                <c:pt idx="169">
                  <c:v>-5.9742687717107598E-4</c:v>
                </c:pt>
                <c:pt idx="170">
                  <c:v>5.7515105790997302E-4</c:v>
                </c:pt>
                <c:pt idx="171">
                  <c:v>-2.0039428416532501E-4</c:v>
                </c:pt>
                <c:pt idx="172">
                  <c:v>6.8487414360294597E-4</c:v>
                </c:pt>
                <c:pt idx="173">
                  <c:v>-4.8516466471927599E-4</c:v>
                </c:pt>
                <c:pt idx="174">
                  <c:v>-2.18326711553226E-4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E0-48D2-ADA1-9FEC18E25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IBDX*/BSCW*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1.2232106064414101</c:v>
                </c:pt>
                <c:pt idx="1">
                  <c:v>1.2232106064414101</c:v>
                </c:pt>
                <c:pt idx="2">
                  <c:v>1.2232106064414101</c:v>
                </c:pt>
                <c:pt idx="3">
                  <c:v>1.2232106064414101</c:v>
                </c:pt>
                <c:pt idx="4">
                  <c:v>1.2232106064414101</c:v>
                </c:pt>
                <c:pt idx="5">
                  <c:v>1.2232106064414101</c:v>
                </c:pt>
                <c:pt idx="6">
                  <c:v>1.2232106064414101</c:v>
                </c:pt>
                <c:pt idx="7">
                  <c:v>1.2232106064414101</c:v>
                </c:pt>
                <c:pt idx="8">
                  <c:v>1.2232106064414101</c:v>
                </c:pt>
                <c:pt idx="9">
                  <c:v>1.2232106064414101</c:v>
                </c:pt>
                <c:pt idx="10">
                  <c:v>1.2232106064414101</c:v>
                </c:pt>
                <c:pt idx="11">
                  <c:v>1.2232106064414101</c:v>
                </c:pt>
                <c:pt idx="12">
                  <c:v>1.2232106064414101</c:v>
                </c:pt>
                <c:pt idx="13">
                  <c:v>1.2232106064414101</c:v>
                </c:pt>
                <c:pt idx="14">
                  <c:v>1.2232106064414101</c:v>
                </c:pt>
                <c:pt idx="15">
                  <c:v>1.2232106064414101</c:v>
                </c:pt>
                <c:pt idx="16">
                  <c:v>1.2232106064414101</c:v>
                </c:pt>
                <c:pt idx="17">
                  <c:v>1.2232106064414101</c:v>
                </c:pt>
                <c:pt idx="18">
                  <c:v>1.2232106064414101</c:v>
                </c:pt>
                <c:pt idx="19">
                  <c:v>1.2232106064414101</c:v>
                </c:pt>
                <c:pt idx="20">
                  <c:v>1.2232106064414101</c:v>
                </c:pt>
                <c:pt idx="21">
                  <c:v>1.2232106064414101</c:v>
                </c:pt>
                <c:pt idx="22">
                  <c:v>1.2232106064414101</c:v>
                </c:pt>
                <c:pt idx="23">
                  <c:v>1.2232106064414101</c:v>
                </c:pt>
                <c:pt idx="24">
                  <c:v>1.2232106064414101</c:v>
                </c:pt>
                <c:pt idx="25">
                  <c:v>1.2232106064414101</c:v>
                </c:pt>
                <c:pt idx="26">
                  <c:v>1.2232106064414101</c:v>
                </c:pt>
                <c:pt idx="27">
                  <c:v>1.2232106064414101</c:v>
                </c:pt>
                <c:pt idx="28">
                  <c:v>1.2232106064414101</c:v>
                </c:pt>
                <c:pt idx="29">
                  <c:v>1.2232106064414101</c:v>
                </c:pt>
                <c:pt idx="30">
                  <c:v>1.2232106064414101</c:v>
                </c:pt>
                <c:pt idx="31">
                  <c:v>1.2232106064414101</c:v>
                </c:pt>
                <c:pt idx="32">
                  <c:v>1.2232106064414101</c:v>
                </c:pt>
                <c:pt idx="33">
                  <c:v>1.2232106064414101</c:v>
                </c:pt>
                <c:pt idx="34">
                  <c:v>1.2232106064414101</c:v>
                </c:pt>
                <c:pt idx="35">
                  <c:v>1.2232106064414101</c:v>
                </c:pt>
                <c:pt idx="36">
                  <c:v>1.2232106064414101</c:v>
                </c:pt>
                <c:pt idx="37">
                  <c:v>1.2232106064414101</c:v>
                </c:pt>
                <c:pt idx="38">
                  <c:v>1.2232106064414101</c:v>
                </c:pt>
                <c:pt idx="39">
                  <c:v>1.2232106064414101</c:v>
                </c:pt>
                <c:pt idx="40">
                  <c:v>1.2232106064414101</c:v>
                </c:pt>
                <c:pt idx="41">
                  <c:v>1.2232106064414101</c:v>
                </c:pt>
                <c:pt idx="42">
                  <c:v>1.2232106064414101</c:v>
                </c:pt>
                <c:pt idx="43">
                  <c:v>1.2232106064414101</c:v>
                </c:pt>
                <c:pt idx="44">
                  <c:v>1.2232106064414101</c:v>
                </c:pt>
                <c:pt idx="45">
                  <c:v>1.2232106064414101</c:v>
                </c:pt>
                <c:pt idx="46">
                  <c:v>1.2232106064414101</c:v>
                </c:pt>
                <c:pt idx="47">
                  <c:v>1.2232106064414101</c:v>
                </c:pt>
                <c:pt idx="48">
                  <c:v>1.2232106064414101</c:v>
                </c:pt>
                <c:pt idx="49">
                  <c:v>1.2232106064414101</c:v>
                </c:pt>
                <c:pt idx="50">
                  <c:v>1.2232106064414101</c:v>
                </c:pt>
                <c:pt idx="51">
                  <c:v>1.2232106064414101</c:v>
                </c:pt>
                <c:pt idx="52">
                  <c:v>1.2232106064414101</c:v>
                </c:pt>
                <c:pt idx="53">
                  <c:v>1.2232106064414101</c:v>
                </c:pt>
                <c:pt idx="54">
                  <c:v>1.2232106064414101</c:v>
                </c:pt>
                <c:pt idx="55">
                  <c:v>1.2232106064414101</c:v>
                </c:pt>
                <c:pt idx="56">
                  <c:v>1.2232106064414101</c:v>
                </c:pt>
                <c:pt idx="57">
                  <c:v>1.2232106064414101</c:v>
                </c:pt>
                <c:pt idx="58">
                  <c:v>1.2232106064414101</c:v>
                </c:pt>
                <c:pt idx="59">
                  <c:v>1.2232106064414101</c:v>
                </c:pt>
                <c:pt idx="60">
                  <c:v>1.2232106064414101</c:v>
                </c:pt>
                <c:pt idx="61">
                  <c:v>1.2232106064414101</c:v>
                </c:pt>
                <c:pt idx="62">
                  <c:v>1.2232106064414101</c:v>
                </c:pt>
                <c:pt idx="63">
                  <c:v>1.2232106064414101</c:v>
                </c:pt>
                <c:pt idx="64">
                  <c:v>1.2232106064414101</c:v>
                </c:pt>
                <c:pt idx="65">
                  <c:v>1.2232106064414101</c:v>
                </c:pt>
                <c:pt idx="66">
                  <c:v>1.2232106064414101</c:v>
                </c:pt>
                <c:pt idx="67">
                  <c:v>1.2232106064414101</c:v>
                </c:pt>
                <c:pt idx="68">
                  <c:v>1.2232106064414101</c:v>
                </c:pt>
                <c:pt idx="69">
                  <c:v>1.2232106064414101</c:v>
                </c:pt>
                <c:pt idx="70">
                  <c:v>1.2232106064414101</c:v>
                </c:pt>
                <c:pt idx="71">
                  <c:v>1.2232106064414101</c:v>
                </c:pt>
                <c:pt idx="72">
                  <c:v>1.2232106064414101</c:v>
                </c:pt>
                <c:pt idx="73">
                  <c:v>1.2232106064414101</c:v>
                </c:pt>
                <c:pt idx="74">
                  <c:v>1.2232106064414101</c:v>
                </c:pt>
                <c:pt idx="75">
                  <c:v>1.2232106064414101</c:v>
                </c:pt>
                <c:pt idx="76">
                  <c:v>1.2232106064414101</c:v>
                </c:pt>
                <c:pt idx="77">
                  <c:v>1.2232106064414101</c:v>
                </c:pt>
                <c:pt idx="78">
                  <c:v>1.2232106064414101</c:v>
                </c:pt>
                <c:pt idx="79">
                  <c:v>1.2232106064414101</c:v>
                </c:pt>
                <c:pt idx="80">
                  <c:v>1.2232106064414101</c:v>
                </c:pt>
                <c:pt idx="81">
                  <c:v>1.2232106064414101</c:v>
                </c:pt>
                <c:pt idx="82">
                  <c:v>1.2232106064414101</c:v>
                </c:pt>
                <c:pt idx="83">
                  <c:v>1.2232106064414101</c:v>
                </c:pt>
                <c:pt idx="84">
                  <c:v>1.2232106064414101</c:v>
                </c:pt>
                <c:pt idx="85">
                  <c:v>1.2232106064414101</c:v>
                </c:pt>
                <c:pt idx="86">
                  <c:v>1.2232106064414101</c:v>
                </c:pt>
                <c:pt idx="87">
                  <c:v>1.2232106064414101</c:v>
                </c:pt>
                <c:pt idx="88">
                  <c:v>1.2232106064414101</c:v>
                </c:pt>
                <c:pt idx="89">
                  <c:v>1.2232106064414101</c:v>
                </c:pt>
                <c:pt idx="90">
                  <c:v>1.2232106064414101</c:v>
                </c:pt>
                <c:pt idx="91">
                  <c:v>1.2232106064414101</c:v>
                </c:pt>
                <c:pt idx="92">
                  <c:v>1.2232106064414101</c:v>
                </c:pt>
                <c:pt idx="93">
                  <c:v>1.2232106064414101</c:v>
                </c:pt>
                <c:pt idx="94">
                  <c:v>1.2232106064414101</c:v>
                </c:pt>
                <c:pt idx="95">
                  <c:v>1.2232106064414101</c:v>
                </c:pt>
                <c:pt idx="96">
                  <c:v>1.2232106064414101</c:v>
                </c:pt>
                <c:pt idx="97">
                  <c:v>1.2232106064414101</c:v>
                </c:pt>
                <c:pt idx="98">
                  <c:v>1.2232106064414101</c:v>
                </c:pt>
                <c:pt idx="99">
                  <c:v>1.2232106064414101</c:v>
                </c:pt>
                <c:pt idx="100">
                  <c:v>1.2232106064414101</c:v>
                </c:pt>
                <c:pt idx="101">
                  <c:v>1.2232106064414101</c:v>
                </c:pt>
                <c:pt idx="102">
                  <c:v>1.2232106064414101</c:v>
                </c:pt>
                <c:pt idx="103">
                  <c:v>1.2232106064414101</c:v>
                </c:pt>
                <c:pt idx="104">
                  <c:v>1.2232106064414101</c:v>
                </c:pt>
                <c:pt idx="105">
                  <c:v>1.2232106064414101</c:v>
                </c:pt>
                <c:pt idx="106">
                  <c:v>1.2232106064414101</c:v>
                </c:pt>
                <c:pt idx="107">
                  <c:v>1.2232106064414101</c:v>
                </c:pt>
                <c:pt idx="108">
                  <c:v>1.2232106064414101</c:v>
                </c:pt>
                <c:pt idx="109">
                  <c:v>1.2232106064414101</c:v>
                </c:pt>
                <c:pt idx="110">
                  <c:v>1.2232106064414101</c:v>
                </c:pt>
                <c:pt idx="111">
                  <c:v>1.2232106064414101</c:v>
                </c:pt>
                <c:pt idx="112">
                  <c:v>1.2232106064414101</c:v>
                </c:pt>
                <c:pt idx="113">
                  <c:v>1.2232106064414101</c:v>
                </c:pt>
                <c:pt idx="114">
                  <c:v>1.2232106064414101</c:v>
                </c:pt>
                <c:pt idx="115">
                  <c:v>1.2232106064414101</c:v>
                </c:pt>
                <c:pt idx="116">
                  <c:v>1.2232106064414101</c:v>
                </c:pt>
                <c:pt idx="117">
                  <c:v>1.2232106064414101</c:v>
                </c:pt>
                <c:pt idx="118">
                  <c:v>1.2232106064414101</c:v>
                </c:pt>
                <c:pt idx="119">
                  <c:v>1.2232106064414101</c:v>
                </c:pt>
                <c:pt idx="120">
                  <c:v>1.2232106064414101</c:v>
                </c:pt>
                <c:pt idx="121">
                  <c:v>1.2232106064414101</c:v>
                </c:pt>
                <c:pt idx="122">
                  <c:v>1.2232106064414101</c:v>
                </c:pt>
                <c:pt idx="123">
                  <c:v>1.2232106064414101</c:v>
                </c:pt>
                <c:pt idx="124">
                  <c:v>1.2232106064414101</c:v>
                </c:pt>
                <c:pt idx="125">
                  <c:v>1.2232106064414101</c:v>
                </c:pt>
                <c:pt idx="126">
                  <c:v>1.2232106064414101</c:v>
                </c:pt>
                <c:pt idx="127">
                  <c:v>1.2232106064414101</c:v>
                </c:pt>
                <c:pt idx="128">
                  <c:v>1.2232106064414101</c:v>
                </c:pt>
                <c:pt idx="129">
                  <c:v>1.2232106064414101</c:v>
                </c:pt>
                <c:pt idx="130">
                  <c:v>1.2232106064414101</c:v>
                </c:pt>
                <c:pt idx="131">
                  <c:v>1.2232106064414101</c:v>
                </c:pt>
                <c:pt idx="132">
                  <c:v>1.2232106064414101</c:v>
                </c:pt>
                <c:pt idx="133">
                  <c:v>1.2232106064414101</c:v>
                </c:pt>
                <c:pt idx="134">
                  <c:v>1.2232106064414101</c:v>
                </c:pt>
                <c:pt idx="135">
                  <c:v>1.2232106064414101</c:v>
                </c:pt>
                <c:pt idx="136">
                  <c:v>1.2232106064414101</c:v>
                </c:pt>
                <c:pt idx="137">
                  <c:v>1.2232106064414101</c:v>
                </c:pt>
                <c:pt idx="138">
                  <c:v>1.2232106064414101</c:v>
                </c:pt>
                <c:pt idx="139">
                  <c:v>1.2232106064414101</c:v>
                </c:pt>
                <c:pt idx="140">
                  <c:v>1.2232106064414101</c:v>
                </c:pt>
                <c:pt idx="141">
                  <c:v>1.2232106064414101</c:v>
                </c:pt>
                <c:pt idx="142">
                  <c:v>1.2232106064414101</c:v>
                </c:pt>
                <c:pt idx="143">
                  <c:v>1.2232106064414101</c:v>
                </c:pt>
                <c:pt idx="144">
                  <c:v>1.2232106064414101</c:v>
                </c:pt>
                <c:pt idx="145">
                  <c:v>1.2232106064414101</c:v>
                </c:pt>
                <c:pt idx="146">
                  <c:v>1.2232106064414101</c:v>
                </c:pt>
                <c:pt idx="147">
                  <c:v>1.2232106064414101</c:v>
                </c:pt>
                <c:pt idx="148">
                  <c:v>1.2232106064414101</c:v>
                </c:pt>
                <c:pt idx="149">
                  <c:v>1.2232106064414101</c:v>
                </c:pt>
                <c:pt idx="150">
                  <c:v>1.2232106064414101</c:v>
                </c:pt>
                <c:pt idx="151">
                  <c:v>1.2232106064414101</c:v>
                </c:pt>
                <c:pt idx="152">
                  <c:v>1.2232106064414101</c:v>
                </c:pt>
                <c:pt idx="153">
                  <c:v>1.2232106064414101</c:v>
                </c:pt>
                <c:pt idx="154">
                  <c:v>1.2232106064414101</c:v>
                </c:pt>
                <c:pt idx="155">
                  <c:v>1.2232106064414101</c:v>
                </c:pt>
                <c:pt idx="156">
                  <c:v>1.2232106064414101</c:v>
                </c:pt>
                <c:pt idx="157">
                  <c:v>1.2232106064414101</c:v>
                </c:pt>
                <c:pt idx="158">
                  <c:v>1.2232106064414101</c:v>
                </c:pt>
                <c:pt idx="159">
                  <c:v>1.2232106064414101</c:v>
                </c:pt>
                <c:pt idx="160">
                  <c:v>1.2232106064414101</c:v>
                </c:pt>
                <c:pt idx="161">
                  <c:v>1.2232106064414101</c:v>
                </c:pt>
                <c:pt idx="162">
                  <c:v>1.2232106064414101</c:v>
                </c:pt>
                <c:pt idx="163">
                  <c:v>1.2232106064414101</c:v>
                </c:pt>
                <c:pt idx="164">
                  <c:v>1.2232106064414101</c:v>
                </c:pt>
                <c:pt idx="165">
                  <c:v>1.2232106064414101</c:v>
                </c:pt>
                <c:pt idx="166">
                  <c:v>1.2232106064414101</c:v>
                </c:pt>
                <c:pt idx="167">
                  <c:v>1.2232106064414101</c:v>
                </c:pt>
                <c:pt idx="168">
                  <c:v>1.2232106064414101</c:v>
                </c:pt>
                <c:pt idx="169">
                  <c:v>1.2232106064414101</c:v>
                </c:pt>
                <c:pt idx="170">
                  <c:v>1.2232106064414101</c:v>
                </c:pt>
                <c:pt idx="171">
                  <c:v>1.2232106064414101</c:v>
                </c:pt>
                <c:pt idx="172">
                  <c:v>1.2232106064414101</c:v>
                </c:pt>
                <c:pt idx="173">
                  <c:v>1.2232106064414101</c:v>
                </c:pt>
                <c:pt idx="174">
                  <c:v>1.2232106064414101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BE-4C7D-BEBF-617D16F35A35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IBDX*/BSCW*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1.22298238093895</c:v>
                </c:pt>
                <c:pt idx="10">
                  <c:v>1.22298238093895</c:v>
                </c:pt>
                <c:pt idx="11">
                  <c:v>1.2228268863388201</c:v>
                </c:pt>
                <c:pt idx="12">
                  <c:v>1.22276204401365</c:v>
                </c:pt>
                <c:pt idx="13">
                  <c:v>1.2228512250696999</c:v>
                </c:pt>
                <c:pt idx="14">
                  <c:v>1.2228179454963499</c:v>
                </c:pt>
                <c:pt idx="15">
                  <c:v>1.22268898104068</c:v>
                </c:pt>
                <c:pt idx="16">
                  <c:v>1.2227407782059001</c:v>
                </c:pt>
                <c:pt idx="17">
                  <c:v>1.22275022543284</c:v>
                </c:pt>
                <c:pt idx="18">
                  <c:v>1.22277029891721</c:v>
                </c:pt>
                <c:pt idx="19">
                  <c:v>1.2228220832879599</c:v>
                </c:pt>
                <c:pt idx="20">
                  <c:v>1.22287411165882</c:v>
                </c:pt>
                <c:pt idx="21">
                  <c:v>1.2229806976109501</c:v>
                </c:pt>
                <c:pt idx="22">
                  <c:v>1.2230073294864101</c:v>
                </c:pt>
                <c:pt idx="23">
                  <c:v>1.2230917684006599</c:v>
                </c:pt>
                <c:pt idx="24">
                  <c:v>1.2230809807851399</c:v>
                </c:pt>
                <c:pt idx="25">
                  <c:v>1.2231180725803801</c:v>
                </c:pt>
                <c:pt idx="26">
                  <c:v>1.22298023004993</c:v>
                </c:pt>
                <c:pt idx="27">
                  <c:v>1.2229216747904501</c:v>
                </c:pt>
                <c:pt idx="28">
                  <c:v>1.2229265436126699</c:v>
                </c:pt>
                <c:pt idx="29">
                  <c:v>1.2229154641317901</c:v>
                </c:pt>
                <c:pt idx="30">
                  <c:v>1.2229307222563099</c:v>
                </c:pt>
                <c:pt idx="31">
                  <c:v>1.2229458816882399</c:v>
                </c:pt>
                <c:pt idx="32">
                  <c:v>1.22289212029778</c:v>
                </c:pt>
                <c:pt idx="33">
                  <c:v>1.22278055186853</c:v>
                </c:pt>
                <c:pt idx="34">
                  <c:v>1.2227266975120299</c:v>
                </c:pt>
                <c:pt idx="35">
                  <c:v>1.22280948908283</c:v>
                </c:pt>
                <c:pt idx="36">
                  <c:v>1.22287704750937</c:v>
                </c:pt>
                <c:pt idx="37">
                  <c:v>1.22274986495969</c:v>
                </c:pt>
                <c:pt idx="38">
                  <c:v>1.2227378676415801</c:v>
                </c:pt>
                <c:pt idx="39">
                  <c:v>1.2227782728999701</c:v>
                </c:pt>
                <c:pt idx="40">
                  <c:v>1.2227819189970801</c:v>
                </c:pt>
                <c:pt idx="41">
                  <c:v>1.2227382174824699</c:v>
                </c:pt>
                <c:pt idx="42">
                  <c:v>1.22276842992598</c:v>
                </c:pt>
                <c:pt idx="43">
                  <c:v>1.2227459718098701</c:v>
                </c:pt>
                <c:pt idx="44">
                  <c:v>1.2228032126574999</c:v>
                </c:pt>
                <c:pt idx="45">
                  <c:v>1.22277168507796</c:v>
                </c:pt>
                <c:pt idx="46">
                  <c:v>1.22282445420195</c:v>
                </c:pt>
                <c:pt idx="47">
                  <c:v>1.2229879153110499</c:v>
                </c:pt>
                <c:pt idx="48">
                  <c:v>1.2230478683528001</c:v>
                </c:pt>
                <c:pt idx="49">
                  <c:v>1.2231509245081</c:v>
                </c:pt>
                <c:pt idx="50">
                  <c:v>1.22324200744233</c:v>
                </c:pt>
                <c:pt idx="51">
                  <c:v>1.2233440310761201</c:v>
                </c:pt>
                <c:pt idx="52">
                  <c:v>1.22339830845994</c:v>
                </c:pt>
                <c:pt idx="53">
                  <c:v>1.22337739018332</c:v>
                </c:pt>
                <c:pt idx="54">
                  <c:v>1.22337473126785</c:v>
                </c:pt>
                <c:pt idx="55">
                  <c:v>1.2234101292197199</c:v>
                </c:pt>
                <c:pt idx="56">
                  <c:v>1.22343930142746</c:v>
                </c:pt>
                <c:pt idx="57">
                  <c:v>1.2234902892038499</c:v>
                </c:pt>
                <c:pt idx="58">
                  <c:v>1.2234766761278699</c:v>
                </c:pt>
                <c:pt idx="59">
                  <c:v>1.22335610785159</c:v>
                </c:pt>
                <c:pt idx="60">
                  <c:v>1.22325174600738</c:v>
                </c:pt>
                <c:pt idx="61">
                  <c:v>1.22321609910762</c:v>
                </c:pt>
                <c:pt idx="62">
                  <c:v>1.22313261620918</c:v>
                </c:pt>
                <c:pt idx="63">
                  <c:v>1.22315042125248</c:v>
                </c:pt>
                <c:pt idx="64">
                  <c:v>1.2231715587802701</c:v>
                </c:pt>
                <c:pt idx="65">
                  <c:v>1.2231595981326899</c:v>
                </c:pt>
                <c:pt idx="66">
                  <c:v>1.2230844621194299</c:v>
                </c:pt>
                <c:pt idx="67">
                  <c:v>1.2230348128451101</c:v>
                </c:pt>
                <c:pt idx="68">
                  <c:v>1.22293225311749</c:v>
                </c:pt>
                <c:pt idx="69">
                  <c:v>1.22280435909658</c:v>
                </c:pt>
                <c:pt idx="70">
                  <c:v>1.2227776102178201</c:v>
                </c:pt>
                <c:pt idx="71">
                  <c:v>1.2227610106666</c:v>
                </c:pt>
                <c:pt idx="72">
                  <c:v>1.2227393781917699</c:v>
                </c:pt>
                <c:pt idx="73">
                  <c:v>1.22273730644335</c:v>
                </c:pt>
                <c:pt idx="74">
                  <c:v>1.22271927624653</c:v>
                </c:pt>
                <c:pt idx="75">
                  <c:v>1.22268538279017</c:v>
                </c:pt>
                <c:pt idx="76">
                  <c:v>1.2227259947709801</c:v>
                </c:pt>
                <c:pt idx="77">
                  <c:v>1.2226340397448401</c:v>
                </c:pt>
                <c:pt idx="78">
                  <c:v>1.22264819764296</c:v>
                </c:pt>
                <c:pt idx="79">
                  <c:v>1.22285308436368</c:v>
                </c:pt>
                <c:pt idx="80">
                  <c:v>1.2230487723946999</c:v>
                </c:pt>
                <c:pt idx="81">
                  <c:v>1.2230685349149</c:v>
                </c:pt>
                <c:pt idx="82">
                  <c:v>1.22308040849079</c:v>
                </c:pt>
                <c:pt idx="83">
                  <c:v>1.2231633240123001</c:v>
                </c:pt>
                <c:pt idx="84">
                  <c:v>1.2231663685413201</c:v>
                </c:pt>
                <c:pt idx="85">
                  <c:v>1.2231533694882699</c:v>
                </c:pt>
                <c:pt idx="86">
                  <c:v>1.2231616438670301</c:v>
                </c:pt>
                <c:pt idx="87">
                  <c:v>1.2233497476798001</c:v>
                </c:pt>
                <c:pt idx="88">
                  <c:v>1.2233366482251</c:v>
                </c:pt>
                <c:pt idx="89">
                  <c:v>1.2233079777742299</c:v>
                </c:pt>
                <c:pt idx="90">
                  <c:v>1.22319849961084</c:v>
                </c:pt>
                <c:pt idx="91">
                  <c:v>1.22318545422277</c:v>
                </c:pt>
                <c:pt idx="92">
                  <c:v>1.2232284884429301</c:v>
                </c:pt>
                <c:pt idx="93">
                  <c:v>1.2232155220549601</c:v>
                </c:pt>
                <c:pt idx="94">
                  <c:v>1.2232241481958901</c:v>
                </c:pt>
                <c:pt idx="95">
                  <c:v>1.2232487306031099</c:v>
                </c:pt>
                <c:pt idx="96">
                  <c:v>1.22325715896287</c:v>
                </c:pt>
                <c:pt idx="97">
                  <c:v>1.22327187126293</c:v>
                </c:pt>
                <c:pt idx="98">
                  <c:v>1.2234660337951699</c:v>
                </c:pt>
                <c:pt idx="99">
                  <c:v>1.22353768417478</c:v>
                </c:pt>
                <c:pt idx="100">
                  <c:v>1.22352942449102</c:v>
                </c:pt>
                <c:pt idx="101">
                  <c:v>1.2235157061891899</c:v>
                </c:pt>
                <c:pt idx="102">
                  <c:v>1.22354905645167</c:v>
                </c:pt>
                <c:pt idx="103">
                  <c:v>1.2235637134836601</c:v>
                </c:pt>
                <c:pt idx="104">
                  <c:v>1.22359440413109</c:v>
                </c:pt>
                <c:pt idx="105">
                  <c:v>1.2236145827899401</c:v>
                </c:pt>
                <c:pt idx="106">
                  <c:v>1.22361946400725</c:v>
                </c:pt>
                <c:pt idx="107">
                  <c:v>1.2234108266850101</c:v>
                </c:pt>
                <c:pt idx="108">
                  <c:v>1.2232934243971501</c:v>
                </c:pt>
                <c:pt idx="109">
                  <c:v>1.2232081845026701</c:v>
                </c:pt>
                <c:pt idx="110">
                  <c:v>1.22319172706875</c:v>
                </c:pt>
                <c:pt idx="111">
                  <c:v>1.2232285183428999</c:v>
                </c:pt>
                <c:pt idx="112">
                  <c:v>1.22313822461915</c:v>
                </c:pt>
                <c:pt idx="113">
                  <c:v>1.22314330279477</c:v>
                </c:pt>
                <c:pt idx="114">
                  <c:v>1.2231381856397201</c:v>
                </c:pt>
                <c:pt idx="115">
                  <c:v>1.22304264947164</c:v>
                </c:pt>
                <c:pt idx="116">
                  <c:v>1.2231520176922399</c:v>
                </c:pt>
                <c:pt idx="117">
                  <c:v>1.2232880981815899</c:v>
                </c:pt>
                <c:pt idx="118">
                  <c:v>1.22323778986557</c:v>
                </c:pt>
                <c:pt idx="119">
                  <c:v>1.2232400571108499</c:v>
                </c:pt>
                <c:pt idx="120">
                  <c:v>1.22324296845545</c:v>
                </c:pt>
                <c:pt idx="121">
                  <c:v>1.22320337475357</c:v>
                </c:pt>
                <c:pt idx="122">
                  <c:v>1.22330711654582</c:v>
                </c:pt>
                <c:pt idx="123">
                  <c:v>1.22329926052079</c:v>
                </c:pt>
                <c:pt idx="124">
                  <c:v>1.2232748044169699</c:v>
                </c:pt>
                <c:pt idx="125">
                  <c:v>1.2233513454518901</c:v>
                </c:pt>
                <c:pt idx="126">
                  <c:v>1.22319097145887</c:v>
                </c:pt>
                <c:pt idx="127">
                  <c:v>1.2231532865013901</c:v>
                </c:pt>
                <c:pt idx="128">
                  <c:v>1.22315817581287</c:v>
                </c:pt>
                <c:pt idx="129">
                  <c:v>1.2230732084701199</c:v>
                </c:pt>
                <c:pt idx="130">
                  <c:v>1.22300960435785</c:v>
                </c:pt>
                <c:pt idx="131">
                  <c:v>1.2231054939252599</c:v>
                </c:pt>
                <c:pt idx="132">
                  <c:v>1.2231105829323901</c:v>
                </c:pt>
                <c:pt idx="133">
                  <c:v>1.22315324912708</c:v>
                </c:pt>
                <c:pt idx="134">
                  <c:v>1.22322780834068</c:v>
                </c:pt>
                <c:pt idx="135">
                  <c:v>1.22331434729373</c:v>
                </c:pt>
                <c:pt idx="136">
                  <c:v>1.2234432334858301</c:v>
                </c:pt>
                <c:pt idx="137">
                  <c:v>1.22342834848402</c:v>
                </c:pt>
                <c:pt idx="138">
                  <c:v>1.22356884509529</c:v>
                </c:pt>
                <c:pt idx="139">
                  <c:v>1.2237036121504801</c:v>
                </c:pt>
                <c:pt idx="140">
                  <c:v>1.2238646569501399</c:v>
                </c:pt>
                <c:pt idx="141">
                  <c:v>1.2238336522450199</c:v>
                </c:pt>
                <c:pt idx="142">
                  <c:v>1.22381392704379</c:v>
                </c:pt>
                <c:pt idx="143">
                  <c:v>1.22375136859628</c:v>
                </c:pt>
                <c:pt idx="144">
                  <c:v>1.22379052392891</c:v>
                </c:pt>
                <c:pt idx="145">
                  <c:v>1.22368021912981</c:v>
                </c:pt>
                <c:pt idx="146">
                  <c:v>1.22364361480169</c:v>
                </c:pt>
                <c:pt idx="147">
                  <c:v>1.2237081278956901</c:v>
                </c:pt>
                <c:pt idx="148">
                  <c:v>1.2236070127900101</c:v>
                </c:pt>
                <c:pt idx="149">
                  <c:v>1.22364960987121</c:v>
                </c:pt>
                <c:pt idx="150">
                  <c:v>1.2235864129298399</c:v>
                </c:pt>
                <c:pt idx="151">
                  <c:v>1.2234597742173601</c:v>
                </c:pt>
                <c:pt idx="152">
                  <c:v>1.22343404063459</c:v>
                </c:pt>
                <c:pt idx="153">
                  <c:v>1.2234136276996199</c:v>
                </c:pt>
                <c:pt idx="154">
                  <c:v>1.2232969835946099</c:v>
                </c:pt>
                <c:pt idx="155">
                  <c:v>1.2232649534379301</c:v>
                </c:pt>
                <c:pt idx="156">
                  <c:v>1.22325992250705</c:v>
                </c:pt>
                <c:pt idx="157">
                  <c:v>1.22322282861583</c:v>
                </c:pt>
                <c:pt idx="158">
                  <c:v>1.2232921329966999</c:v>
                </c:pt>
                <c:pt idx="159">
                  <c:v>1.2232500475060499</c:v>
                </c:pt>
                <c:pt idx="160">
                  <c:v>1.2232724669052699</c:v>
                </c:pt>
                <c:pt idx="161">
                  <c:v>1.22341142787043</c:v>
                </c:pt>
                <c:pt idx="162">
                  <c:v>1.2234973710602099</c:v>
                </c:pt>
                <c:pt idx="163">
                  <c:v>1.2234561382573701</c:v>
                </c:pt>
                <c:pt idx="164">
                  <c:v>1.2235642218403699</c:v>
                </c:pt>
                <c:pt idx="165">
                  <c:v>1.2236508293981301</c:v>
                </c:pt>
                <c:pt idx="166">
                  <c:v>1.2236904655704</c:v>
                </c:pt>
                <c:pt idx="167">
                  <c:v>1.2236442192258501</c:v>
                </c:pt>
                <c:pt idx="168">
                  <c:v>1.22370472203912</c:v>
                </c:pt>
                <c:pt idx="169">
                  <c:v>1.2237279685768401</c:v>
                </c:pt>
                <c:pt idx="170">
                  <c:v>1.22363232624804</c:v>
                </c:pt>
                <c:pt idx="171">
                  <c:v>1.2236285441060699</c:v>
                </c:pt>
                <c:pt idx="172">
                  <c:v>1.2234911566165301</c:v>
                </c:pt>
                <c:pt idx="173">
                  <c:v>1.22364834473078</c:v>
                </c:pt>
                <c:pt idx="174">
                  <c:v>1.2236238739243599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E-4C7D-BEBF-617D16F35A35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IBDX*/BSCW*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1.2229022321134499</c:v>
                </c:pt>
                <c:pt idx="20">
                  <c:v>1.22292824629888</c:v>
                </c:pt>
                <c:pt idx="21">
                  <c:v>1.22290379197489</c:v>
                </c:pt>
                <c:pt idx="22">
                  <c:v>1.22288468675003</c:v>
                </c:pt>
                <c:pt idx="23">
                  <c:v>1.2229714967351799</c:v>
                </c:pt>
                <c:pt idx="24">
                  <c:v>1.22294946314074</c:v>
                </c:pt>
                <c:pt idx="25">
                  <c:v>1.2229035268105299</c:v>
                </c:pt>
                <c:pt idx="26">
                  <c:v>1.2228605041279199</c:v>
                </c:pt>
                <c:pt idx="27">
                  <c:v>1.2228359501116399</c:v>
                </c:pt>
                <c:pt idx="28">
                  <c:v>1.22284842126494</c:v>
                </c:pt>
                <c:pt idx="29">
                  <c:v>1.22286877370987</c:v>
                </c:pt>
                <c:pt idx="30">
                  <c:v>1.22290241695757</c:v>
                </c:pt>
                <c:pt idx="31">
                  <c:v>1.2229632896495899</c:v>
                </c:pt>
                <c:pt idx="32">
                  <c:v>1.22294972489209</c:v>
                </c:pt>
                <c:pt idx="33">
                  <c:v>1.2229361601345901</c:v>
                </c:pt>
                <c:pt idx="34">
                  <c:v>1.22290383914859</c:v>
                </c:pt>
                <c:pt idx="35">
                  <c:v>1.2229637808316001</c:v>
                </c:pt>
                <c:pt idx="36">
                  <c:v>1.2229286387796501</c:v>
                </c:pt>
                <c:pt idx="37">
                  <c:v>1.22283576987507</c:v>
                </c:pt>
                <c:pt idx="38">
                  <c:v>1.2228322056271199</c:v>
                </c:pt>
                <c:pt idx="39">
                  <c:v>1.22284686851588</c:v>
                </c:pt>
                <c:pt idx="40">
                  <c:v>1.2228563206267</c:v>
                </c:pt>
                <c:pt idx="41">
                  <c:v>1.22284204958536</c:v>
                </c:pt>
                <c:pt idx="42">
                  <c:v>1.22283027511188</c:v>
                </c:pt>
                <c:pt idx="43">
                  <c:v>1.2227632618391999</c:v>
                </c:pt>
                <c:pt idx="44">
                  <c:v>1.2227649550847699</c:v>
                </c:pt>
                <c:pt idx="45">
                  <c:v>1.2227905870803899</c:v>
                </c:pt>
                <c:pt idx="46">
                  <c:v>1.2228507508556601</c:v>
                </c:pt>
                <c:pt idx="47">
                  <c:v>1.2228688901353699</c:v>
                </c:pt>
                <c:pt idx="48">
                  <c:v>1.22289286799719</c:v>
                </c:pt>
                <c:pt idx="49">
                  <c:v>1.2229645987040301</c:v>
                </c:pt>
                <c:pt idx="50">
                  <c:v>1.2230119632197101</c:v>
                </c:pt>
                <c:pt idx="51">
                  <c:v>1.22304112427929</c:v>
                </c:pt>
                <c:pt idx="52">
                  <c:v>1.2230833691929599</c:v>
                </c:pt>
                <c:pt idx="53">
                  <c:v>1.2230616809966</c:v>
                </c:pt>
                <c:pt idx="54">
                  <c:v>1.2230889719626801</c:v>
                </c:pt>
                <c:pt idx="55">
                  <c:v>1.2230909071488401</c:v>
                </c:pt>
                <c:pt idx="56">
                  <c:v>1.2231318778147</c:v>
                </c:pt>
                <c:pt idx="57">
                  <c:v>1.22323910225745</c:v>
                </c:pt>
                <c:pt idx="58">
                  <c:v>1.2232622722403399</c:v>
                </c:pt>
                <c:pt idx="59">
                  <c:v>1.2232535161798499</c:v>
                </c:pt>
                <c:pt idx="60">
                  <c:v>1.2232468767248501</c:v>
                </c:pt>
                <c:pt idx="61">
                  <c:v>1.22328006509187</c:v>
                </c:pt>
                <c:pt idx="62">
                  <c:v>1.22326546233456</c:v>
                </c:pt>
                <c:pt idx="63">
                  <c:v>1.2232639057179</c:v>
                </c:pt>
                <c:pt idx="64">
                  <c:v>1.2232731450240599</c:v>
                </c:pt>
                <c:pt idx="65">
                  <c:v>1.2232848636761999</c:v>
                </c:pt>
                <c:pt idx="66">
                  <c:v>1.22326188177344</c:v>
                </c:pt>
                <c:pt idx="67">
                  <c:v>1.2232625510244799</c:v>
                </c:pt>
                <c:pt idx="68">
                  <c:v>1.2232044646226801</c:v>
                </c:pt>
                <c:pt idx="69">
                  <c:v>1.22308023347409</c:v>
                </c:pt>
                <c:pt idx="70">
                  <c:v>1.2230146781125999</c:v>
                </c:pt>
                <c:pt idx="71">
                  <c:v>1.22298855488711</c:v>
                </c:pt>
                <c:pt idx="72">
                  <c:v>1.2229359972004801</c:v>
                </c:pt>
                <c:pt idx="73">
                  <c:v>1.22294386384791</c:v>
                </c:pt>
                <c:pt idx="74">
                  <c:v>1.2229454175134</c:v>
                </c:pt>
                <c:pt idx="75">
                  <c:v>1.22292249046143</c:v>
                </c:pt>
                <c:pt idx="76">
                  <c:v>1.2229052284452</c:v>
                </c:pt>
                <c:pt idx="77">
                  <c:v>1.22283442629498</c:v>
                </c:pt>
                <c:pt idx="78">
                  <c:v>1.2227902253802201</c:v>
                </c:pt>
                <c:pt idx="79">
                  <c:v>1.2228287217301299</c:v>
                </c:pt>
                <c:pt idx="80">
                  <c:v>1.2229131913062601</c:v>
                </c:pt>
                <c:pt idx="81">
                  <c:v>1.2229147727907499</c:v>
                </c:pt>
                <c:pt idx="82">
                  <c:v>1.2229098933412801</c:v>
                </c:pt>
                <c:pt idx="83">
                  <c:v>1.2229503152278201</c:v>
                </c:pt>
                <c:pt idx="84">
                  <c:v>1.22294282239393</c:v>
                </c:pt>
                <c:pt idx="85">
                  <c:v>1.2229193761392201</c:v>
                </c:pt>
                <c:pt idx="86">
                  <c:v>1.2229438193190001</c:v>
                </c:pt>
                <c:pt idx="87">
                  <c:v>1.2229918937123201</c:v>
                </c:pt>
                <c:pt idx="88">
                  <c:v>1.2229924229340301</c:v>
                </c:pt>
                <c:pt idx="89">
                  <c:v>1.2230805310689601</c:v>
                </c:pt>
                <c:pt idx="90">
                  <c:v>1.22312363600277</c:v>
                </c:pt>
                <c:pt idx="91">
                  <c:v>1.2231269945688299</c:v>
                </c:pt>
                <c:pt idx="92">
                  <c:v>1.2231544484668599</c:v>
                </c:pt>
                <c:pt idx="93">
                  <c:v>1.22318942303363</c:v>
                </c:pt>
                <c:pt idx="94">
                  <c:v>1.2231952583686001</c:v>
                </c:pt>
                <c:pt idx="95">
                  <c:v>1.22320105004569</c:v>
                </c:pt>
                <c:pt idx="96">
                  <c:v>1.2232094014149499</c:v>
                </c:pt>
                <c:pt idx="97">
                  <c:v>1.2233108094713601</c:v>
                </c:pt>
                <c:pt idx="98">
                  <c:v>1.2234013410101301</c:v>
                </c:pt>
                <c:pt idx="99">
                  <c:v>1.2234228309745101</c:v>
                </c:pt>
                <c:pt idx="100">
                  <c:v>1.22336396205093</c:v>
                </c:pt>
                <c:pt idx="101">
                  <c:v>1.2233505802059801</c:v>
                </c:pt>
                <c:pt idx="102">
                  <c:v>1.2233887724473</c:v>
                </c:pt>
                <c:pt idx="103">
                  <c:v>1.22338961776931</c:v>
                </c:pt>
                <c:pt idx="104">
                  <c:v>1.22340927616349</c:v>
                </c:pt>
                <c:pt idx="105">
                  <c:v>1.22343165669653</c:v>
                </c:pt>
                <c:pt idx="106">
                  <c:v>1.22343831148506</c:v>
                </c:pt>
                <c:pt idx="107">
                  <c:v>1.22334134897397</c:v>
                </c:pt>
                <c:pt idx="108">
                  <c:v>1.2233797290961601</c:v>
                </c:pt>
                <c:pt idx="109">
                  <c:v>1.2233729343387201</c:v>
                </c:pt>
                <c:pt idx="110">
                  <c:v>1.22336057577988</c:v>
                </c:pt>
                <c:pt idx="111">
                  <c:v>1.2233721122660499</c:v>
                </c:pt>
                <c:pt idx="112">
                  <c:v>1.2233436405354099</c:v>
                </c:pt>
                <c:pt idx="113">
                  <c:v>1.2233535081392199</c:v>
                </c:pt>
                <c:pt idx="114">
                  <c:v>1.22336629488541</c:v>
                </c:pt>
                <c:pt idx="115">
                  <c:v>1.2233286161307899</c:v>
                </c:pt>
                <c:pt idx="116">
                  <c:v>1.2233857408497399</c:v>
                </c:pt>
                <c:pt idx="117">
                  <c:v>1.2233494624332999</c:v>
                </c:pt>
                <c:pt idx="118">
                  <c:v>1.2232656071313599</c:v>
                </c:pt>
                <c:pt idx="119">
                  <c:v>1.22322412080676</c:v>
                </c:pt>
                <c:pt idx="120">
                  <c:v>1.2232173477621</c:v>
                </c:pt>
                <c:pt idx="121">
                  <c:v>1.22321594654824</c:v>
                </c:pt>
                <c:pt idx="122">
                  <c:v>1.22322267058248</c:v>
                </c:pt>
                <c:pt idx="123">
                  <c:v>1.2232212816577801</c:v>
                </c:pt>
                <c:pt idx="124">
                  <c:v>1.2232064950283501</c:v>
                </c:pt>
                <c:pt idx="125">
                  <c:v>1.22319699746177</c:v>
                </c:pt>
                <c:pt idx="126">
                  <c:v>1.2231714945755501</c:v>
                </c:pt>
                <c:pt idx="127">
                  <c:v>1.2232206923414899</c:v>
                </c:pt>
                <c:pt idx="128">
                  <c:v>1.2231979828392201</c:v>
                </c:pt>
                <c:pt idx="129">
                  <c:v>1.2231566327904899</c:v>
                </c:pt>
                <c:pt idx="130">
                  <c:v>1.2231262864066501</c:v>
                </c:pt>
                <c:pt idx="131">
                  <c:v>1.2231544343394201</c:v>
                </c:pt>
                <c:pt idx="132">
                  <c:v>1.2232088497391</c:v>
                </c:pt>
                <c:pt idx="133">
                  <c:v>1.2232262548239301</c:v>
                </c:pt>
                <c:pt idx="134">
                  <c:v>1.22325130637882</c:v>
                </c:pt>
                <c:pt idx="135">
                  <c:v>1.2233328463728099</c:v>
                </c:pt>
                <c:pt idx="136">
                  <c:v>1.2233171024723499</c:v>
                </c:pt>
                <c:pt idx="137">
                  <c:v>1.22329081749271</c:v>
                </c:pt>
                <c:pt idx="138">
                  <c:v>1.2233635104540801</c:v>
                </c:pt>
                <c:pt idx="139">
                  <c:v>1.2233884103103001</c:v>
                </c:pt>
                <c:pt idx="140">
                  <c:v>1.22343713065399</c:v>
                </c:pt>
                <c:pt idx="141">
                  <c:v>1.2234695730851399</c:v>
                </c:pt>
                <c:pt idx="142">
                  <c:v>1.22346225498809</c:v>
                </c:pt>
                <c:pt idx="143">
                  <c:v>1.22345230886168</c:v>
                </c:pt>
                <c:pt idx="144">
                  <c:v>1.2235091661348001</c:v>
                </c:pt>
                <c:pt idx="145">
                  <c:v>1.2234972832117701</c:v>
                </c:pt>
                <c:pt idx="146">
                  <c:v>1.2235434241437599</c:v>
                </c:pt>
                <c:pt idx="147">
                  <c:v>1.22356823818986</c:v>
                </c:pt>
                <c:pt idx="148">
                  <c:v>1.2235879289426499</c:v>
                </c:pt>
                <c:pt idx="149">
                  <c:v>1.2236766110108499</c:v>
                </c:pt>
                <c:pt idx="150">
                  <c:v>1.22372553493999</c:v>
                </c:pt>
                <c:pt idx="151">
                  <c:v>1.2236467132311899</c:v>
                </c:pt>
                <c:pt idx="152">
                  <c:v>1.22362398383919</c:v>
                </c:pt>
                <c:pt idx="153">
                  <c:v>1.2235824981479499</c:v>
                </c:pt>
                <c:pt idx="154">
                  <c:v>1.2235437537617599</c:v>
                </c:pt>
                <c:pt idx="155">
                  <c:v>1.22347258628387</c:v>
                </c:pt>
                <c:pt idx="156">
                  <c:v>1.22345176865437</c:v>
                </c:pt>
                <c:pt idx="157">
                  <c:v>1.2234654782557599</c:v>
                </c:pt>
                <c:pt idx="158">
                  <c:v>1.2234495728933501</c:v>
                </c:pt>
                <c:pt idx="159">
                  <c:v>1.2234498286886299</c:v>
                </c:pt>
                <c:pt idx="160">
                  <c:v>1.22342943991756</c:v>
                </c:pt>
                <c:pt idx="161">
                  <c:v>1.2234356010439</c:v>
                </c:pt>
                <c:pt idx="162">
                  <c:v>1.2234657058474001</c:v>
                </c:pt>
                <c:pt idx="163">
                  <c:v>1.2234348829785</c:v>
                </c:pt>
                <c:pt idx="164">
                  <c:v>1.2234306027174899</c:v>
                </c:pt>
                <c:pt idx="165">
                  <c:v>1.2234578914180301</c:v>
                </c:pt>
                <c:pt idx="166">
                  <c:v>1.2234751940387301</c:v>
                </c:pt>
                <c:pt idx="167">
                  <c:v>1.22343352392084</c:v>
                </c:pt>
                <c:pt idx="168">
                  <c:v>1.2234984275179099</c:v>
                </c:pt>
                <c:pt idx="169">
                  <c:v>1.22348900804144</c:v>
                </c:pt>
                <c:pt idx="170">
                  <c:v>1.2234523965766599</c:v>
                </c:pt>
                <c:pt idx="171">
                  <c:v>1.22351998598825</c:v>
                </c:pt>
                <c:pt idx="172">
                  <c:v>1.2234942638383699</c:v>
                </c:pt>
                <c:pt idx="173">
                  <c:v>1.22355224149408</c:v>
                </c:pt>
                <c:pt idx="174">
                  <c:v>1.2235940478823599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BE-4C7D-BEBF-617D16F35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BSCW x avg / IBDX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1.11133877949208E-3</c:v>
                </c:pt>
                <c:pt idx="2">
                  <c:v>8.0790920085174495E-4</c:v>
                </c:pt>
                <c:pt idx="3">
                  <c:v>2.0673617968582502E-3</c:v>
                </c:pt>
                <c:pt idx="4">
                  <c:v>1.15311132536327E-3</c:v>
                </c:pt>
                <c:pt idx="5">
                  <c:v>8.49067854370949E-4</c:v>
                </c:pt>
                <c:pt idx="6">
                  <c:v>1.54488410216672E-3</c:v>
                </c:pt>
                <c:pt idx="7">
                  <c:v>1.19861051467124E-3</c:v>
                </c:pt>
                <c:pt idx="8">
                  <c:v>1.45997138920495E-3</c:v>
                </c:pt>
                <c:pt idx="9">
                  <c:v>1.80646381069814E-3</c:v>
                </c:pt>
                <c:pt idx="10">
                  <c:v>2.0239260274953E-3</c:v>
                </c:pt>
                <c:pt idx="11">
                  <c:v>-1.4748748301780701E-3</c:v>
                </c:pt>
                <c:pt idx="12">
                  <c:v>-2.5090547545240701E-3</c:v>
                </c:pt>
                <c:pt idx="13">
                  <c:v>-2.5090547545240701E-3</c:v>
                </c:pt>
                <c:pt idx="14">
                  <c:v>-2.4199448328648099E-3</c:v>
                </c:pt>
                <c:pt idx="15">
                  <c:v>-1.93975274680709E-3</c:v>
                </c:pt>
                <c:pt idx="16">
                  <c:v>-2.7219193881696602E-3</c:v>
                </c:pt>
                <c:pt idx="17">
                  <c:v>-2.7219193881696602E-3</c:v>
                </c:pt>
                <c:pt idx="18">
                  <c:v>-2.5437817510598898E-3</c:v>
                </c:pt>
                <c:pt idx="19">
                  <c:v>-2.4548291491610298E-3</c:v>
                </c:pt>
                <c:pt idx="20">
                  <c:v>1.6750076708499299E-3</c:v>
                </c:pt>
                <c:pt idx="21">
                  <c:v>1.5875877711612699E-3</c:v>
                </c:pt>
                <c:pt idx="22">
                  <c:v>1.1950460585643701E-3</c:v>
                </c:pt>
                <c:pt idx="23">
                  <c:v>7.2048475849113597E-4</c:v>
                </c:pt>
                <c:pt idx="24">
                  <c:v>1.58946453567214E-3</c:v>
                </c:pt>
                <c:pt idx="25">
                  <c:v>1.6765077758573901E-3</c:v>
                </c:pt>
                <c:pt idx="26">
                  <c:v>2.3275807310539202E-3</c:v>
                </c:pt>
                <c:pt idx="27">
                  <c:v>1.6765077758573901E-3</c:v>
                </c:pt>
                <c:pt idx="28">
                  <c:v>1.3308652703071301E-3</c:v>
                </c:pt>
                <c:pt idx="29">
                  <c:v>1.5489794500562299E-3</c:v>
                </c:pt>
                <c:pt idx="30">
                  <c:v>1.5489794500562299E-3</c:v>
                </c:pt>
                <c:pt idx="31">
                  <c:v>1.4623830655027101E-3</c:v>
                </c:pt>
                <c:pt idx="32">
                  <c:v>1.6355010857306701E-3</c:v>
                </c:pt>
                <c:pt idx="33">
                  <c:v>1.6355010857306701E-3</c:v>
                </c:pt>
                <c:pt idx="34">
                  <c:v>-1.72988072331697E-3</c:v>
                </c:pt>
                <c:pt idx="35">
                  <c:v>-2.7697606801839899E-3</c:v>
                </c:pt>
                <c:pt idx="36">
                  <c:v>-1.9939654512042301E-3</c:v>
                </c:pt>
                <c:pt idx="37">
                  <c:v>-1.0420377258222599E-3</c:v>
                </c:pt>
                <c:pt idx="38">
                  <c:v>-2.32849729636429E-3</c:v>
                </c:pt>
                <c:pt idx="39">
                  <c:v>1.3308652703071301E-3</c:v>
                </c:pt>
                <c:pt idx="40">
                  <c:v>1.63383435100562E-3</c:v>
                </c:pt>
                <c:pt idx="41">
                  <c:v>1.9371844738995301E-3</c:v>
                </c:pt>
                <c:pt idx="42">
                  <c:v>1.5023456270933E-3</c:v>
                </c:pt>
                <c:pt idx="43">
                  <c:v>1.93681042503585E-3</c:v>
                </c:pt>
                <c:pt idx="44">
                  <c:v>1.6765077758573901E-3</c:v>
                </c:pt>
                <c:pt idx="45">
                  <c:v>1.3701175700765299E-3</c:v>
                </c:pt>
                <c:pt idx="46">
                  <c:v>1.45508535317633E-3</c:v>
                </c:pt>
                <c:pt idx="47">
                  <c:v>1.495524429996E-3</c:v>
                </c:pt>
                <c:pt idx="48">
                  <c:v>1.05305216482555E-3</c:v>
                </c:pt>
                <c:pt idx="49">
                  <c:v>4.8502449926516401E-4</c:v>
                </c:pt>
                <c:pt idx="50">
                  <c:v>8.8547244976656199E-4</c:v>
                </c:pt>
                <c:pt idx="51">
                  <c:v>1.09940638163966E-3</c:v>
                </c:pt>
                <c:pt idx="52">
                  <c:v>1.05727539640025E-3</c:v>
                </c:pt>
                <c:pt idx="53">
                  <c:v>2.1124921421576798E-3</c:v>
                </c:pt>
                <c:pt idx="54">
                  <c:v>-2.1719152097700299E-3</c:v>
                </c:pt>
                <c:pt idx="55">
                  <c:v>-2.8051819992568699E-3</c:v>
                </c:pt>
                <c:pt idx="56">
                  <c:v>-2.6588886793399401E-3</c:v>
                </c:pt>
                <c:pt idx="57">
                  <c:v>-2.8264561594577801E-3</c:v>
                </c:pt>
                <c:pt idx="58">
                  <c:v>-2.7353401558874702E-3</c:v>
                </c:pt>
                <c:pt idx="59">
                  <c:v>-2.4073303926562301E-3</c:v>
                </c:pt>
                <c:pt idx="60">
                  <c:v>-2.1177788707583398E-3</c:v>
                </c:pt>
                <c:pt idx="61">
                  <c:v>1.53860692066306E-3</c:v>
                </c:pt>
                <c:pt idx="62">
                  <c:v>1.891799450042E-3</c:v>
                </c:pt>
                <c:pt idx="63">
                  <c:v>2.1121055610826499E-3</c:v>
                </c:pt>
                <c:pt idx="64">
                  <c:v>1.6719682587936901E-3</c:v>
                </c:pt>
                <c:pt idx="65">
                  <c:v>1.32183288355542E-3</c:v>
                </c:pt>
                <c:pt idx="66">
                  <c:v>1.9800942538353E-3</c:v>
                </c:pt>
                <c:pt idx="67">
                  <c:v>1.62874720393704E-3</c:v>
                </c:pt>
                <c:pt idx="68">
                  <c:v>2.15530617614369E-3</c:v>
                </c:pt>
                <c:pt idx="69">
                  <c:v>2.6791052424408601E-3</c:v>
                </c:pt>
                <c:pt idx="70">
                  <c:v>2.1113424356107098E-3</c:v>
                </c:pt>
                <c:pt idx="71">
                  <c:v>1.67349455516308E-3</c:v>
                </c:pt>
                <c:pt idx="72">
                  <c:v>2.0675493834469401E-3</c:v>
                </c:pt>
                <c:pt idx="73">
                  <c:v>-1.7786092040313001E-3</c:v>
                </c:pt>
                <c:pt idx="74">
                  <c:v>-2.09979115636675E-3</c:v>
                </c:pt>
                <c:pt idx="75">
                  <c:v>-2.3144755711029799E-3</c:v>
                </c:pt>
                <c:pt idx="76">
                  <c:v>-2.2790443878861902E-3</c:v>
                </c:pt>
                <c:pt idx="77">
                  <c:v>-1.5270739556172701E-3</c:v>
                </c:pt>
                <c:pt idx="78">
                  <c:v>-1.8846448560533499E-3</c:v>
                </c:pt>
                <c:pt idx="79">
                  <c:v>-2.9432263201860901E-3</c:v>
                </c:pt>
                <c:pt idx="80">
                  <c:v>-3.4519101324778198E-3</c:v>
                </c:pt>
                <c:pt idx="81">
                  <c:v>-2.4233633966918699E-3</c:v>
                </c:pt>
                <c:pt idx="82">
                  <c:v>2.0239260274953E-3</c:v>
                </c:pt>
                <c:pt idx="83">
                  <c:v>1.49321087638935E-3</c:v>
                </c:pt>
                <c:pt idx="84">
                  <c:v>1.84733338212007E-3</c:v>
                </c:pt>
                <c:pt idx="85">
                  <c:v>1.7600737832205E-3</c:v>
                </c:pt>
                <c:pt idx="86">
                  <c:v>1.62702187463655E-3</c:v>
                </c:pt>
                <c:pt idx="87">
                  <c:v>8.8051590248230396E-4</c:v>
                </c:pt>
                <c:pt idx="88">
                  <c:v>2.2002073729783999E-3</c:v>
                </c:pt>
                <c:pt idx="89">
                  <c:v>1.27289332227256E-3</c:v>
                </c:pt>
                <c:pt idx="90">
                  <c:v>1.45011391314344E-3</c:v>
                </c:pt>
                <c:pt idx="91">
                  <c:v>1.6704286087641401E-3</c:v>
                </c:pt>
                <c:pt idx="92">
                  <c:v>1.66887542905564E-3</c:v>
                </c:pt>
                <c:pt idx="93">
                  <c:v>-2.51789316116685E-3</c:v>
                </c:pt>
                <c:pt idx="94">
                  <c:v>-2.35518638186436E-3</c:v>
                </c:pt>
                <c:pt idx="95">
                  <c:v>-2.55335115652233E-3</c:v>
                </c:pt>
                <c:pt idx="96">
                  <c:v>-2.55335115652233E-3</c:v>
                </c:pt>
                <c:pt idx="97">
                  <c:v>-3.3511174533200501E-3</c:v>
                </c:pt>
                <c:pt idx="98">
                  <c:v>-3.5093874862710799E-3</c:v>
                </c:pt>
                <c:pt idx="99">
                  <c:v>-3.4184448757464199E-3</c:v>
                </c:pt>
                <c:pt idx="100">
                  <c:v>-2.5685045467149399E-3</c:v>
                </c:pt>
                <c:pt idx="101">
                  <c:v>-2.2978305668565702E-3</c:v>
                </c:pt>
                <c:pt idx="102">
                  <c:v>1.3156793509950201E-3</c:v>
                </c:pt>
                <c:pt idx="103">
                  <c:v>1.4044843900606E-3</c:v>
                </c:pt>
                <c:pt idx="104">
                  <c:v>1.4475954638067899E-3</c:v>
                </c:pt>
                <c:pt idx="105">
                  <c:v>1.3156793509950201E-3</c:v>
                </c:pt>
                <c:pt idx="106">
                  <c:v>1.44505481017289E-3</c:v>
                </c:pt>
                <c:pt idx="107">
                  <c:v>2.4244868179500198E-3</c:v>
                </c:pt>
                <c:pt idx="108">
                  <c:v>1.4908769743617099E-3</c:v>
                </c:pt>
                <c:pt idx="109">
                  <c:v>1.31256195694938E-3</c:v>
                </c:pt>
                <c:pt idx="110">
                  <c:v>1.58185891450927E-3</c:v>
                </c:pt>
                <c:pt idx="111">
                  <c:v>1.4044843900606E-3</c:v>
                </c:pt>
                <c:pt idx="112">
                  <c:v>2.0681219924109599E-3</c:v>
                </c:pt>
                <c:pt idx="113">
                  <c:v>1.3615427483253399E-3</c:v>
                </c:pt>
                <c:pt idx="114">
                  <c:v>1.4908769743617099E-3</c:v>
                </c:pt>
                <c:pt idx="115">
                  <c:v>2.1124921421576798E-3</c:v>
                </c:pt>
                <c:pt idx="116">
                  <c:v>-3.5337433919119302E-3</c:v>
                </c:pt>
                <c:pt idx="117">
                  <c:v>-2.7703300591538698E-3</c:v>
                </c:pt>
                <c:pt idx="118">
                  <c:v>-2.1359241982308701E-3</c:v>
                </c:pt>
                <c:pt idx="119">
                  <c:v>-2.74935272516248E-3</c:v>
                </c:pt>
                <c:pt idx="120">
                  <c:v>-2.4782002210762201E-3</c:v>
                </c:pt>
                <c:pt idx="121">
                  <c:v>-2.2978305668565702E-3</c:v>
                </c:pt>
                <c:pt idx="122">
                  <c:v>-2.8398967905831599E-3</c:v>
                </c:pt>
                <c:pt idx="123">
                  <c:v>1.35863427253253E-3</c:v>
                </c:pt>
                <c:pt idx="124">
                  <c:v>1.6252814138841901E-3</c:v>
                </c:pt>
                <c:pt idx="125">
                  <c:v>1.4044843900606E-3</c:v>
                </c:pt>
                <c:pt idx="126">
                  <c:v>1.80167911025632E-3</c:v>
                </c:pt>
                <c:pt idx="127">
                  <c:v>1.53432993448418E-3</c:v>
                </c:pt>
                <c:pt idx="128">
                  <c:v>1.80167911025632E-3</c:v>
                </c:pt>
                <c:pt idx="129">
                  <c:v>1.9348907249391199E-3</c:v>
                </c:pt>
                <c:pt idx="130">
                  <c:v>2.0239260274953E-3</c:v>
                </c:pt>
                <c:pt idx="131">
                  <c:v>8.6538387848261104E-4</c:v>
                </c:pt>
                <c:pt idx="132">
                  <c:v>1.0912765694439E-3</c:v>
                </c:pt>
                <c:pt idx="133">
                  <c:v>1.00199893969194E-3</c:v>
                </c:pt>
                <c:pt idx="134">
                  <c:v>1.00199893969194E-3</c:v>
                </c:pt>
                <c:pt idx="135">
                  <c:v>-3.3748600917542101E-3</c:v>
                </c:pt>
                <c:pt idx="136">
                  <c:v>-3.3408937066235602E-3</c:v>
                </c:pt>
                <c:pt idx="137">
                  <c:v>-2.4106710403705199E-3</c:v>
                </c:pt>
                <c:pt idx="138">
                  <c:v>-3.4570167558272999E-3</c:v>
                </c:pt>
                <c:pt idx="139">
                  <c:v>-3.2725538796557299E-3</c:v>
                </c:pt>
                <c:pt idx="140">
                  <c:v>-3.3988134132645902E-3</c:v>
                </c:pt>
                <c:pt idx="141">
                  <c:v>-2.9395290614601401E-3</c:v>
                </c:pt>
                <c:pt idx="142">
                  <c:v>-2.81284277311887E-3</c:v>
                </c:pt>
                <c:pt idx="143">
                  <c:v>-2.5380032580328798E-3</c:v>
                </c:pt>
                <c:pt idx="144">
                  <c:v>-3.3988134132645902E-3</c:v>
                </c:pt>
                <c:pt idx="145">
                  <c:v>1.5759776236599801E-3</c:v>
                </c:pt>
                <c:pt idx="146">
                  <c:v>9.9748389787924401E-4</c:v>
                </c:pt>
                <c:pt idx="147">
                  <c:v>1.08715780910836E-3</c:v>
                </c:pt>
                <c:pt idx="148">
                  <c:v>1.44249165728973E-3</c:v>
                </c:pt>
                <c:pt idx="149">
                  <c:v>4.16208639398485E-4</c:v>
                </c:pt>
                <c:pt idx="150">
                  <c:v>1.1729955509085599E-3</c:v>
                </c:pt>
                <c:pt idx="151">
                  <c:v>2.1582173054786298E-3</c:v>
                </c:pt>
                <c:pt idx="152">
                  <c:v>1.44249165728973E-3</c:v>
                </c:pt>
                <c:pt idx="153">
                  <c:v>1.6673085405436499E-3</c:v>
                </c:pt>
                <c:pt idx="154">
                  <c:v>1.6217542947469001E-3</c:v>
                </c:pt>
                <c:pt idx="155">
                  <c:v>1.84498713464951E-3</c:v>
                </c:pt>
                <c:pt idx="156">
                  <c:v>1.0401581173625301E-3</c:v>
                </c:pt>
                <c:pt idx="157">
                  <c:v>1.39900970130647E-3</c:v>
                </c:pt>
                <c:pt idx="158">
                  <c:v>8.6025047211012195E-4</c:v>
                </c:pt>
                <c:pt idx="159">
                  <c:v>7.7017580729440505E-4</c:v>
                </c:pt>
                <c:pt idx="160">
                  <c:v>-3.1804466148991498E-3</c:v>
                </c:pt>
                <c:pt idx="161">
                  <c:v>-3.1574327145023201E-3</c:v>
                </c:pt>
                <c:pt idx="162">
                  <c:v>-3.4327473205340601E-3</c:v>
                </c:pt>
                <c:pt idx="163">
                  <c:v>-2.1363161668717201E-3</c:v>
                </c:pt>
                <c:pt idx="164">
                  <c:v>-3.4570167558272999E-3</c:v>
                </c:pt>
                <c:pt idx="165">
                  <c:v>-3.0537096319897799E-3</c:v>
                </c:pt>
                <c:pt idx="166">
                  <c:v>5.7694408838832305E-4</c:v>
                </c:pt>
                <c:pt idx="167">
                  <c:v>1.6625237828677101E-3</c:v>
                </c:pt>
                <c:pt idx="168">
                  <c:v>2.2001104386449601E-4</c:v>
                </c:pt>
                <c:pt idx="169">
                  <c:v>4.43754588738363E-4</c:v>
                </c:pt>
                <c:pt idx="170">
                  <c:v>1.6625237828677101E-3</c:v>
                </c:pt>
                <c:pt idx="171">
                  <c:v>8.9272978008702404E-4</c:v>
                </c:pt>
                <c:pt idx="172">
                  <c:v>1.7505525976899299E-3</c:v>
                </c:pt>
                <c:pt idx="173">
                  <c:v>5.6387192863630899E-4</c:v>
                </c:pt>
                <c:pt idx="174">
                  <c:v>7.9062679614615205E-4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4-4D07-A536-D0B27062DAC3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BSCW x 10 dma / IBDX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6.2175471143423896E-4</c:v>
                </c:pt>
                <c:pt idx="11">
                  <c:v>-2.8770461462389102E-3</c:v>
                </c:pt>
                <c:pt idx="12">
                  <c:v>-3.6522282151271101E-3</c:v>
                </c:pt>
                <c:pt idx="13">
                  <c:v>-3.3199249079581801E-3</c:v>
                </c:pt>
                <c:pt idx="14">
                  <c:v>-2.7728054336207098E-3</c:v>
                </c:pt>
                <c:pt idx="15">
                  <c:v>-1.93501890971992E-3</c:v>
                </c:pt>
                <c:pt idx="16">
                  <c:v>-2.4381915161928599E-3</c:v>
                </c:pt>
                <c:pt idx="17">
                  <c:v>-2.0114718335635801E-3</c:v>
                </c:pt>
                <c:pt idx="18">
                  <c:v>-1.44133771940439E-3</c:v>
                </c:pt>
                <c:pt idx="19">
                  <c:v>-9.5231393838898705E-4</c:v>
                </c:pt>
                <c:pt idx="20">
                  <c:v>3.6030601195277002E-3</c:v>
                </c:pt>
                <c:pt idx="21">
                  <c:v>3.5503998956068501E-3</c:v>
                </c:pt>
                <c:pt idx="22">
                  <c:v>2.8521828284530201E-3</c:v>
                </c:pt>
                <c:pt idx="23">
                  <c:v>2.0075130277631701E-3</c:v>
                </c:pt>
                <c:pt idx="24">
                  <c:v>2.5536134064918698E-3</c:v>
                </c:pt>
                <c:pt idx="25">
                  <c:v>2.23985515081484E-3</c:v>
                </c:pt>
                <c:pt idx="26">
                  <c:v>2.5293925999690602E-3</c:v>
                </c:pt>
                <c:pt idx="27">
                  <c:v>1.37324391136555E-3</c:v>
                </c:pt>
                <c:pt idx="28">
                  <c:v>5.87297968412375E-4</c:v>
                </c:pt>
                <c:pt idx="29">
                  <c:v>4.1734847586187199E-4</c:v>
                </c:pt>
                <c:pt idx="30">
                  <c:v>1.62519909146349E-5</c:v>
                </c:pt>
                <c:pt idx="31">
                  <c:v>-5.7742649890355903E-5</c:v>
                </c:pt>
                <c:pt idx="32">
                  <c:v>1.2789570168634501E-4</c:v>
                </c:pt>
                <c:pt idx="33">
                  <c:v>8.3845161413996597E-5</c:v>
                </c:pt>
                <c:pt idx="34">
                  <c:v>-3.3730766703741E-3</c:v>
                </c:pt>
                <c:pt idx="35">
                  <c:v>-4.0805079903920198E-3</c:v>
                </c:pt>
                <c:pt idx="36">
                  <c:v>-2.8593581283195601E-3</c:v>
                </c:pt>
                <c:pt idx="37">
                  <c:v>-1.47506692852717E-3</c:v>
                </c:pt>
                <c:pt idx="38">
                  <c:v>-2.4896773385120999E-3</c:v>
                </c:pt>
                <c:pt idx="39">
                  <c:v>1.53579625851803E-3</c:v>
                </c:pt>
                <c:pt idx="40">
                  <c:v>1.8605406730557801E-3</c:v>
                </c:pt>
                <c:pt idx="41">
                  <c:v>2.1554206835468202E-3</c:v>
                </c:pt>
                <c:pt idx="42">
                  <c:v>1.67319155313344E-3</c:v>
                </c:pt>
                <c:pt idx="43">
                  <c:v>2.1209486627687302E-3</c:v>
                </c:pt>
                <c:pt idx="44">
                  <c:v>1.83057393573679E-3</c:v>
                </c:pt>
                <c:pt idx="45">
                  <c:v>1.1835300872104701E-3</c:v>
                </c:pt>
                <c:pt idx="46">
                  <c:v>8.5405675529684401E-4</c:v>
                </c:pt>
                <c:pt idx="47">
                  <c:v>5.4923062363284496E-4</c:v>
                </c:pt>
                <c:pt idx="48">
                  <c:v>-1.47212829311027E-4</c:v>
                </c:pt>
                <c:pt idx="49">
                  <c:v>-1.0540750964740701E-3</c:v>
                </c:pt>
                <c:pt idx="50">
                  <c:v>-5.6899324540530703E-4</c:v>
                </c:pt>
                <c:pt idx="51">
                  <c:v>-2.8021134241120002E-4</c:v>
                </c:pt>
                <c:pt idx="52">
                  <c:v>-2.3857964147517199E-4</c:v>
                </c:pt>
                <c:pt idx="53">
                  <c:v>8.6114385137889195E-4</c:v>
                </c:pt>
                <c:pt idx="54">
                  <c:v>-3.44081824609886E-3</c:v>
                </c:pt>
                <c:pt idx="55">
                  <c:v>-3.6887326597022001E-3</c:v>
                </c:pt>
                <c:pt idx="56">
                  <c:v>-3.1243274645222901E-3</c:v>
                </c:pt>
                <c:pt idx="57">
                  <c:v>-2.8801426970469098E-3</c:v>
                </c:pt>
                <c:pt idx="58">
                  <c:v>-2.35661087503947E-3</c:v>
                </c:pt>
                <c:pt idx="59">
                  <c:v>-1.6496582396633699E-3</c:v>
                </c:pt>
                <c:pt idx="60">
                  <c:v>-1.0708541054489499E-3</c:v>
                </c:pt>
                <c:pt idx="61">
                  <c:v>2.88568253740548E-3</c:v>
                </c:pt>
                <c:pt idx="62">
                  <c:v>3.1950709916692098E-3</c:v>
                </c:pt>
                <c:pt idx="63">
                  <c:v>3.3321527250473899E-3</c:v>
                </c:pt>
                <c:pt idx="64">
                  <c:v>2.89205395225741E-3</c:v>
                </c:pt>
                <c:pt idx="65">
                  <c:v>2.1578289597847101E-3</c:v>
                </c:pt>
                <c:pt idx="66">
                  <c:v>2.40334230497355E-3</c:v>
                </c:pt>
                <c:pt idx="67">
                  <c:v>1.58802782621378E-3</c:v>
                </c:pt>
                <c:pt idx="68">
                  <c:v>1.6686816581625199E-3</c:v>
                </c:pt>
                <c:pt idx="69">
                  <c:v>1.7029158106993899E-3</c:v>
                </c:pt>
                <c:pt idx="70">
                  <c:v>6.2595167675445404E-4</c:v>
                </c:pt>
                <c:pt idx="71">
                  <c:v>-2.35528389014035E-4</c:v>
                </c:pt>
                <c:pt idx="72">
                  <c:v>1.4503349744040701E-4</c:v>
                </c:pt>
                <c:pt idx="73">
                  <c:v>-3.7186992332928401E-3</c:v>
                </c:pt>
                <c:pt idx="74">
                  <c:v>-3.6501948320121899E-3</c:v>
                </c:pt>
                <c:pt idx="75">
                  <c:v>-3.4871084010543001E-3</c:v>
                </c:pt>
                <c:pt idx="76">
                  <c:v>-3.0875051004820202E-3</c:v>
                </c:pt>
                <c:pt idx="77">
                  <c:v>-1.9093031377638201E-3</c:v>
                </c:pt>
                <c:pt idx="78">
                  <c:v>-1.95123701095735E-3</c:v>
                </c:pt>
                <c:pt idx="79">
                  <c:v>-2.6059324391641699E-3</c:v>
                </c:pt>
                <c:pt idx="80">
                  <c:v>-2.5526556614065398E-3</c:v>
                </c:pt>
                <c:pt idx="81">
                  <c:v>-9.6806494022542403E-4</c:v>
                </c:pt>
                <c:pt idx="82">
                  <c:v>3.8883844771860198E-3</c:v>
                </c:pt>
                <c:pt idx="83">
                  <c:v>3.3620146279528299E-3</c:v>
                </c:pt>
                <c:pt idx="84">
                  <c:v>3.3894658919549699E-3</c:v>
                </c:pt>
                <c:pt idx="85">
                  <c:v>2.9079743634657399E-3</c:v>
                </c:pt>
                <c:pt idx="86">
                  <c:v>2.3677389663721801E-3</c:v>
                </c:pt>
                <c:pt idx="87">
                  <c:v>1.2307118295495801E-3</c:v>
                </c:pt>
                <c:pt idx="88">
                  <c:v>2.30962175093686E-3</c:v>
                </c:pt>
                <c:pt idx="89">
                  <c:v>9.7384791595163595E-4</c:v>
                </c:pt>
                <c:pt idx="90">
                  <c:v>7.2888865598063897E-4</c:v>
                </c:pt>
                <c:pt idx="91">
                  <c:v>4.5803493558936901E-4</c:v>
                </c:pt>
                <c:pt idx="92">
                  <c:v>4.6367219859577001E-5</c:v>
                </c:pt>
                <c:pt idx="93">
                  <c:v>-4.1049048887676701E-3</c:v>
                </c:pt>
                <c:pt idx="94">
                  <c:v>-3.5403252411706E-3</c:v>
                </c:pt>
                <c:pt idx="95">
                  <c:v>-3.3177210599811902E-3</c:v>
                </c:pt>
                <c:pt idx="96">
                  <c:v>-2.8859703658074901E-3</c:v>
                </c:pt>
                <c:pt idx="97">
                  <c:v>-3.2654537476159702E-3</c:v>
                </c:pt>
                <c:pt idx="98">
                  <c:v>-3.0001630793909302E-3</c:v>
                </c:pt>
                <c:pt idx="99">
                  <c:v>-2.3383401865197401E-3</c:v>
                </c:pt>
                <c:pt idx="100">
                  <c:v>-1.0193790531642501E-3</c:v>
                </c:pt>
                <c:pt idx="101">
                  <c:v>-3.4732114081794199E-4</c:v>
                </c:pt>
                <c:pt idx="102">
                  <c:v>3.6622875003534199E-3</c:v>
                </c:pt>
                <c:pt idx="103">
                  <c:v>3.7862762004445302E-3</c:v>
                </c:pt>
                <c:pt idx="104">
                  <c:v>3.4377878183565998E-3</c:v>
                </c:pt>
                <c:pt idx="105">
                  <c:v>2.9261049995713E-3</c:v>
                </c:pt>
                <c:pt idx="106">
                  <c:v>2.66888590782031E-3</c:v>
                </c:pt>
                <c:pt idx="107">
                  <c:v>3.2486648789021898E-3</c:v>
                </c:pt>
                <c:pt idx="108">
                  <c:v>1.73753545583017E-3</c:v>
                </c:pt>
                <c:pt idx="109">
                  <c:v>1.05868676096922E-3</c:v>
                </c:pt>
                <c:pt idx="110">
                  <c:v>8.5415169280042905E-4</c:v>
                </c:pt>
                <c:pt idx="111">
                  <c:v>2.6114708039820902E-4</c:v>
                </c:pt>
                <c:pt idx="112">
                  <c:v>5.53895064044113E-4</c:v>
                </c:pt>
                <c:pt idx="113">
                  <c:v>-2.27917908200951E-4</c:v>
                </c:pt>
                <c:pt idx="114">
                  <c:v>-9.4288640605170895E-5</c:v>
                </c:pt>
                <c:pt idx="115">
                  <c:v>5.2299786497727999E-4</c:v>
                </c:pt>
                <c:pt idx="116">
                  <c:v>-5.2029121972579301E-3</c:v>
                </c:pt>
                <c:pt idx="117">
                  <c:v>-3.9403902660248499E-3</c:v>
                </c:pt>
                <c:pt idx="118">
                  <c:v>-2.7859392562675799E-3</c:v>
                </c:pt>
                <c:pt idx="119">
                  <c:v>-3.0364004555716098E-3</c:v>
                </c:pt>
                <c:pt idx="120">
                  <c:v>-2.3587302354794301E-3</c:v>
                </c:pt>
                <c:pt idx="121">
                  <c:v>-1.77230336479014E-3</c:v>
                </c:pt>
                <c:pt idx="122">
                  <c:v>-1.9442355825597E-3</c:v>
                </c:pt>
                <c:pt idx="123">
                  <c:v>2.7447274356236198E-3</c:v>
                </c:pt>
                <c:pt idx="124">
                  <c:v>3.0116646268880699E-3</c:v>
                </c:pt>
                <c:pt idx="125">
                  <c:v>2.77746658598474E-3</c:v>
                </c:pt>
                <c:pt idx="126">
                  <c:v>3.2452382284963999E-3</c:v>
                </c:pt>
                <c:pt idx="127">
                  <c:v>2.4445119958571098E-3</c:v>
                </c:pt>
                <c:pt idx="128">
                  <c:v>2.2814279729692602E-3</c:v>
                </c:pt>
                <c:pt idx="129">
                  <c:v>2.02092458752429E-3</c:v>
                </c:pt>
                <c:pt idx="130">
                  <c:v>1.64127482025811E-3</c:v>
                </c:pt>
                <c:pt idx="131">
                  <c:v>3.21435477826362E-5</c:v>
                </c:pt>
                <c:pt idx="132">
                  <c:v>-5.8826041925904503E-5</c:v>
                </c:pt>
                <c:pt idx="133">
                  <c:v>-5.4209550374593096E-4</c:v>
                </c:pt>
                <c:pt idx="134">
                  <c:v>-5.0641963070127401E-4</c:v>
                </c:pt>
                <c:pt idx="135">
                  <c:v>-4.8209402154224699E-3</c:v>
                </c:pt>
                <c:pt idx="136">
                  <c:v>-4.30799025666153E-3</c:v>
                </c:pt>
                <c:pt idx="137">
                  <c:v>-2.8627484975837498E-3</c:v>
                </c:pt>
                <c:pt idx="138">
                  <c:v>-3.5143204336312798E-3</c:v>
                </c:pt>
                <c:pt idx="139">
                  <c:v>-2.8036602443677898E-3</c:v>
                </c:pt>
                <c:pt idx="140">
                  <c:v>-2.4092061968787799E-3</c:v>
                </c:pt>
                <c:pt idx="141">
                  <c:v>-1.4079579563915201E-3</c:v>
                </c:pt>
                <c:pt idx="142">
                  <c:v>-9.0104054752980002E-4</c:v>
                </c:pt>
                <c:pt idx="143">
                  <c:v>-2.3627499639222E-4</c:v>
                </c:pt>
                <c:pt idx="144">
                  <c:v>-7.4368972204446303E-4</c:v>
                </c:pt>
                <c:pt idx="145">
                  <c:v>4.6704457720053404E-3</c:v>
                </c:pt>
                <c:pt idx="146">
                  <c:v>3.5978312429745798E-3</c:v>
                </c:pt>
                <c:pt idx="147">
                  <c:v>3.2541925441718499E-3</c:v>
                </c:pt>
                <c:pt idx="148">
                  <c:v>3.2602084493928499E-3</c:v>
                </c:pt>
                <c:pt idx="149">
                  <c:v>1.74425115151948E-3</c:v>
                </c:pt>
                <c:pt idx="150">
                  <c:v>2.1320565992095598E-3</c:v>
                </c:pt>
                <c:pt idx="151">
                  <c:v>2.6599221460136902E-3</c:v>
                </c:pt>
                <c:pt idx="152">
                  <c:v>1.4343479653365001E-3</c:v>
                </c:pt>
                <c:pt idx="153">
                  <c:v>1.2332452605661099E-3</c:v>
                </c:pt>
                <c:pt idx="154">
                  <c:v>7.6670514939141397E-4</c:v>
                </c:pt>
                <c:pt idx="155">
                  <c:v>4.8687803776266999E-4</c:v>
                </c:pt>
                <c:pt idx="156">
                  <c:v>-3.4484281478000197E-4</c:v>
                </c:pt>
                <c:pt idx="157">
                  <c:v>9.73977517289546E-6</c:v>
                </c:pt>
                <c:pt idx="158">
                  <c:v>-5.6020968895663197E-4</c:v>
                </c:pt>
                <c:pt idx="159">
                  <c:v>-5.9204626071860604E-4</c:v>
                </c:pt>
                <c:pt idx="160">
                  <c:v>-4.5780932589308898E-3</c:v>
                </c:pt>
                <c:pt idx="161">
                  <c:v>-4.1187833085869902E-3</c:v>
                </c:pt>
                <c:pt idx="162">
                  <c:v>-3.8618967681668002E-3</c:v>
                </c:pt>
                <c:pt idx="163">
                  <c:v>-2.0773655095305001E-3</c:v>
                </c:pt>
                <c:pt idx="164">
                  <c:v>-3.01770896366953E-3</c:v>
                </c:pt>
                <c:pt idx="165">
                  <c:v>-2.10641025062066E-3</c:v>
                </c:pt>
                <c:pt idx="166">
                  <c:v>2.0138258048852001E-3</c:v>
                </c:pt>
                <c:pt idx="167">
                  <c:v>3.1456219397690598E-3</c:v>
                </c:pt>
                <c:pt idx="168">
                  <c:v>1.6768367474400299E-3</c:v>
                </c:pt>
                <c:pt idx="169">
                  <c:v>1.9644744695004801E-3</c:v>
                </c:pt>
                <c:pt idx="170">
                  <c:v>3.2158158768280701E-3</c:v>
                </c:pt>
                <c:pt idx="171">
                  <c:v>1.9619917769402198E-3</c:v>
                </c:pt>
                <c:pt idx="172">
                  <c:v>2.4146904634743701E-3</c:v>
                </c:pt>
                <c:pt idx="173">
                  <c:v>7.0945306342093102E-4</c:v>
                </c:pt>
                <c:pt idx="174">
                  <c:v>6.6597949034266505E-4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54-4D07-A536-D0B27062DAC3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BSCW x 20 dma / IBDX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1.93933453530824E-3</c:v>
                </c:pt>
                <c:pt idx="21">
                  <c:v>1.86932356388034E-3</c:v>
                </c:pt>
                <c:pt idx="22">
                  <c:v>1.45300793006033E-3</c:v>
                </c:pt>
                <c:pt idx="23">
                  <c:v>9.5911396353336805E-4</c:v>
                </c:pt>
                <c:pt idx="24">
                  <c:v>1.89532548493206E-3</c:v>
                </c:pt>
                <c:pt idx="25">
                  <c:v>1.9605873880145499E-3</c:v>
                </c:pt>
                <c:pt idx="26">
                  <c:v>2.57035144027872E-3</c:v>
                </c:pt>
                <c:pt idx="27">
                  <c:v>1.8802280722637699E-3</c:v>
                </c:pt>
                <c:pt idx="28">
                  <c:v>1.5107296048575401E-3</c:v>
                </c:pt>
                <c:pt idx="29">
                  <c:v>1.7352889088600399E-3</c:v>
                </c:pt>
                <c:pt idx="30">
                  <c:v>1.7481390687735701E-3</c:v>
                </c:pt>
                <c:pt idx="31">
                  <c:v>1.68524262626189E-3</c:v>
                </c:pt>
                <c:pt idx="32">
                  <c:v>1.7115187272431201E-3</c:v>
                </c:pt>
                <c:pt idx="33">
                  <c:v>1.5041945238638099E-3</c:v>
                </c:pt>
                <c:pt idx="34">
                  <c:v>-2.0685544808013499E-3</c:v>
                </c:pt>
                <c:pt idx="35">
                  <c:v>-3.1430216190124201E-3</c:v>
                </c:pt>
                <c:pt idx="36">
                  <c:v>-2.3256134896181501E-3</c:v>
                </c:pt>
                <c:pt idx="37">
                  <c:v>-1.41018215454017E-3</c:v>
                </c:pt>
                <c:pt idx="38">
                  <c:v>-2.7808285715211602E-3</c:v>
                </c:pt>
                <c:pt idx="39">
                  <c:v>8.6773857703366201E-4</c:v>
                </c:pt>
                <c:pt idx="40">
                  <c:v>9.8121073331400993E-4</c:v>
                </c:pt>
                <c:pt idx="41">
                  <c:v>1.2866174587517301E-3</c:v>
                </c:pt>
                <c:pt idx="42">
                  <c:v>8.3431804789998803E-4</c:v>
                </c:pt>
                <c:pt idx="43">
                  <c:v>1.2534282043681099E-3</c:v>
                </c:pt>
                <c:pt idx="44">
                  <c:v>9.3234665109940195E-4</c:v>
                </c:pt>
                <c:pt idx="45">
                  <c:v>6.2160814044592903E-4</c:v>
                </c:pt>
                <c:pt idx="46">
                  <c:v>7.21883451724707E-4</c:v>
                </c:pt>
                <c:pt idx="47">
                  <c:v>8.0589585553104102E-4</c:v>
                </c:pt>
                <c:pt idx="48">
                  <c:v>3.7246460886931101E-4</c:v>
                </c:pt>
                <c:pt idx="49">
                  <c:v>-1.8167959921279301E-4</c:v>
                </c:pt>
                <c:pt idx="50">
                  <c:v>2.7194605558310801E-4</c:v>
                </c:pt>
                <c:pt idx="51">
                  <c:v>5.1903476655314499E-4</c:v>
                </c:pt>
                <c:pt idx="52">
                  <c:v>4.9503974192314202E-4</c:v>
                </c:pt>
                <c:pt idx="53">
                  <c:v>1.5791446933094699E-3</c:v>
                </c:pt>
                <c:pt idx="54">
                  <c:v>-2.7290805428492899E-3</c:v>
                </c:pt>
                <c:pt idx="55">
                  <c:v>-3.3401903512048298E-3</c:v>
                </c:pt>
                <c:pt idx="56">
                  <c:v>-3.1921200727961299E-3</c:v>
                </c:pt>
                <c:pt idx="57">
                  <c:v>-3.32634673797027E-3</c:v>
                </c:pt>
                <c:pt idx="58">
                  <c:v>-3.1457963596991201E-3</c:v>
                </c:pt>
                <c:pt idx="59">
                  <c:v>-2.7973847191161698E-3</c:v>
                </c:pt>
                <c:pt idx="60">
                  <c:v>-2.3207672166139599E-3</c:v>
                </c:pt>
                <c:pt idx="61">
                  <c:v>1.52326522379281E-3</c:v>
                </c:pt>
                <c:pt idx="62">
                  <c:v>1.89635213405241E-3</c:v>
                </c:pt>
                <c:pt idx="63">
                  <c:v>2.0972184719180798E-3</c:v>
                </c:pt>
                <c:pt idx="64">
                  <c:v>1.64833397027326E-3</c:v>
                </c:pt>
                <c:pt idx="65">
                  <c:v>1.2984251965242799E-3</c:v>
                </c:pt>
                <c:pt idx="66">
                  <c:v>1.95909760734645E-3</c:v>
                </c:pt>
                <c:pt idx="67">
                  <c:v>1.5815442672994101E-3</c:v>
                </c:pt>
                <c:pt idx="68">
                  <c:v>2.10145216222383E-3</c:v>
                </c:pt>
                <c:pt idx="69">
                  <c:v>2.5702223875189701E-3</c:v>
                </c:pt>
                <c:pt idx="70">
                  <c:v>1.89291101636226E-3</c:v>
                </c:pt>
                <c:pt idx="71">
                  <c:v>1.39384616309002E-3</c:v>
                </c:pt>
                <c:pt idx="72">
                  <c:v>1.7592279237595499E-3</c:v>
                </c:pt>
                <c:pt idx="73">
                  <c:v>-2.1373823288142E-3</c:v>
                </c:pt>
                <c:pt idx="74">
                  <c:v>-2.2639906963463899E-3</c:v>
                </c:pt>
                <c:pt idx="75">
                  <c:v>-2.4822896242882898E-3</c:v>
                </c:pt>
                <c:pt idx="76">
                  <c:v>-2.4714610803173E-3</c:v>
                </c:pt>
                <c:pt idx="77">
                  <c:v>-1.7385336569340701E-3</c:v>
                </c:pt>
                <c:pt idx="78">
                  <c:v>-2.1612311390977702E-3</c:v>
                </c:pt>
                <c:pt idx="79">
                  <c:v>-3.26245844075978E-3</c:v>
                </c:pt>
                <c:pt idx="80">
                  <c:v>-3.7442674599296099E-3</c:v>
                </c:pt>
                <c:pt idx="81">
                  <c:v>-2.6488108089037202E-3</c:v>
                </c:pt>
                <c:pt idx="82">
                  <c:v>1.9966899550936698E-3</c:v>
                </c:pt>
                <c:pt idx="83">
                  <c:v>1.45938119542321E-3</c:v>
                </c:pt>
                <c:pt idx="84">
                  <c:v>1.84439327124566E-3</c:v>
                </c:pt>
                <c:pt idx="85">
                  <c:v>1.7483807676299699E-3</c:v>
                </c:pt>
                <c:pt idx="86">
                  <c:v>1.59345005815999E-3</c:v>
                </c:pt>
                <c:pt idx="87">
                  <c:v>8.6456633075846997E-4</c:v>
                </c:pt>
                <c:pt idx="88">
                  <c:v>2.2216223567929302E-3</c:v>
                </c:pt>
                <c:pt idx="89">
                  <c:v>1.2920681755831001E-3</c:v>
                </c:pt>
                <c:pt idx="90">
                  <c:v>1.5394567643803199E-3</c:v>
                </c:pt>
                <c:pt idx="91">
                  <c:v>1.79277057280834E-3</c:v>
                </c:pt>
                <c:pt idx="92">
                  <c:v>1.79137041559298E-3</c:v>
                </c:pt>
                <c:pt idx="93">
                  <c:v>-2.3755043173501701E-3</c:v>
                </c:pt>
                <c:pt idx="94">
                  <c:v>-2.1757598057480102E-3</c:v>
                </c:pt>
                <c:pt idx="95">
                  <c:v>-2.36112872089845E-3</c:v>
                </c:pt>
                <c:pt idx="96">
                  <c:v>-2.3491582089520601E-3</c:v>
                </c:pt>
                <c:pt idx="97">
                  <c:v>-3.1331788897722098E-3</c:v>
                </c:pt>
                <c:pt idx="98">
                  <c:v>-3.2000481128446698E-3</c:v>
                </c:pt>
                <c:pt idx="99">
                  <c:v>-3.0276774774389802E-3</c:v>
                </c:pt>
                <c:pt idx="100">
                  <c:v>-2.1539101170930499E-3</c:v>
                </c:pt>
                <c:pt idx="101">
                  <c:v>-1.92752219644411E-3</c:v>
                </c:pt>
                <c:pt idx="102">
                  <c:v>1.6796985553668999E-3</c:v>
                </c:pt>
                <c:pt idx="103">
                  <c:v>1.80384335535023E-3</c:v>
                </c:pt>
                <c:pt idx="104">
                  <c:v>1.85138255193861E-3</c:v>
                </c:pt>
                <c:pt idx="105">
                  <c:v>1.7394121801274399E-3</c:v>
                </c:pt>
                <c:pt idx="106">
                  <c:v>1.8909635715182299E-3</c:v>
                </c:pt>
                <c:pt idx="107">
                  <c:v>2.87947587670846E-3</c:v>
                </c:pt>
                <c:pt idx="108">
                  <c:v>1.86882703614404E-3</c:v>
                </c:pt>
                <c:pt idx="109">
                  <c:v>1.72589914134811E-3</c:v>
                </c:pt>
                <c:pt idx="110">
                  <c:v>1.9932160461918198E-3</c:v>
                </c:pt>
                <c:pt idx="111">
                  <c:v>1.8092669337244701E-3</c:v>
                </c:pt>
                <c:pt idx="112">
                  <c:v>2.48617585768688E-3</c:v>
                </c:pt>
                <c:pt idx="113">
                  <c:v>1.7596796797281801E-3</c:v>
                </c:pt>
                <c:pt idx="114">
                  <c:v>1.6949882413783001E-3</c:v>
                </c:pt>
                <c:pt idx="115">
                  <c:v>2.1242377632510199E-3</c:v>
                </c:pt>
                <c:pt idx="116">
                  <c:v>-3.7553660650711399E-3</c:v>
                </c:pt>
                <c:pt idx="117">
                  <c:v>-2.94277400891202E-3</c:v>
                </c:pt>
                <c:pt idx="118">
                  <c:v>-2.3375019835887201E-3</c:v>
                </c:pt>
                <c:pt idx="119">
                  <c:v>-3.0198140508048898E-3</c:v>
                </c:pt>
                <c:pt idx="120">
                  <c:v>-2.7822291254823699E-3</c:v>
                </c:pt>
                <c:pt idx="121">
                  <c:v>-2.6063874821001401E-3</c:v>
                </c:pt>
                <c:pt idx="122">
                  <c:v>-3.1484537058266201E-3</c:v>
                </c:pt>
                <c:pt idx="123">
                  <c:v>1.2580572654733E-3</c:v>
                </c:pt>
                <c:pt idx="124">
                  <c:v>1.5269939753011601E-3</c:v>
                </c:pt>
                <c:pt idx="125">
                  <c:v>1.29732538238782E-3</c:v>
                </c:pt>
                <c:pt idx="126">
                  <c:v>1.6900854006052699E-3</c:v>
                </c:pt>
                <c:pt idx="127">
                  <c:v>1.40493178762416E-3</c:v>
                </c:pt>
                <c:pt idx="128">
                  <c:v>1.7167055584006901E-3</c:v>
                </c:pt>
                <c:pt idx="129">
                  <c:v>1.83440118976124E-3</c:v>
                </c:pt>
                <c:pt idx="130">
                  <c:v>1.8923669323862901E-3</c:v>
                </c:pt>
                <c:pt idx="131">
                  <c:v>7.1175809529919101E-4</c:v>
                </c:pt>
                <c:pt idx="132">
                  <c:v>9.6457901138004298E-4</c:v>
                </c:pt>
                <c:pt idx="133">
                  <c:v>9.2407154906066797E-4</c:v>
                </c:pt>
                <c:pt idx="134">
                  <c:v>9.4202874530215097E-4</c:v>
                </c:pt>
                <c:pt idx="135">
                  <c:v>-3.41041566691028E-3</c:v>
                </c:pt>
                <c:pt idx="136">
                  <c:v>-3.1019360151046701E-3</c:v>
                </c:pt>
                <c:pt idx="137">
                  <c:v>-2.1813867694341601E-3</c:v>
                </c:pt>
                <c:pt idx="138">
                  <c:v>-3.2457581101943901E-3</c:v>
                </c:pt>
                <c:pt idx="139">
                  <c:v>-2.99507180801849E-3</c:v>
                </c:pt>
                <c:pt idx="140">
                  <c:v>-3.09510002206105E-3</c:v>
                </c:pt>
                <c:pt idx="141">
                  <c:v>-2.5896646327978399E-3</c:v>
                </c:pt>
                <c:pt idx="142">
                  <c:v>-2.43082105881325E-3</c:v>
                </c:pt>
                <c:pt idx="143">
                  <c:v>-2.1573375560359799E-3</c:v>
                </c:pt>
                <c:pt idx="144">
                  <c:v>-2.8232939688956201E-3</c:v>
                </c:pt>
                <c:pt idx="145">
                  <c:v>2.4027487061111501E-3</c:v>
                </c:pt>
                <c:pt idx="146">
                  <c:v>1.8157001265574301E-3</c:v>
                </c:pt>
                <c:pt idx="147">
                  <c:v>1.9454939163728801E-3</c:v>
                </c:pt>
                <c:pt idx="148">
                  <c:v>2.3231376770954798E-3</c:v>
                </c:pt>
                <c:pt idx="149">
                  <c:v>1.3147689801991901E-3</c:v>
                </c:pt>
                <c:pt idx="150">
                  <c:v>2.1473297998854399E-3</c:v>
                </c:pt>
                <c:pt idx="151">
                  <c:v>3.1749878563399102E-3</c:v>
                </c:pt>
                <c:pt idx="152">
                  <c:v>2.3947816980776698E-3</c:v>
                </c:pt>
                <c:pt idx="153">
                  <c:v>2.6020766005034998E-3</c:v>
                </c:pt>
                <c:pt idx="154">
                  <c:v>2.5233317310565098E-3</c:v>
                </c:pt>
                <c:pt idx="155">
                  <c:v>2.71564483884743E-3</c:v>
                </c:pt>
                <c:pt idx="156">
                  <c:v>1.6498166976363E-3</c:v>
                </c:pt>
                <c:pt idx="157">
                  <c:v>1.78947301779383E-3</c:v>
                </c:pt>
                <c:pt idx="158">
                  <c:v>1.06018951080324E-3</c:v>
                </c:pt>
                <c:pt idx="159">
                  <c:v>7.5399071951444299E-4</c:v>
                </c:pt>
                <c:pt idx="160">
                  <c:v>-3.3990451540319802E-3</c:v>
                </c:pt>
                <c:pt idx="161">
                  <c:v>-3.3869880249006099E-3</c:v>
                </c:pt>
                <c:pt idx="162">
                  <c:v>-3.6513717345966201E-3</c:v>
                </c:pt>
                <c:pt idx="163">
                  <c:v>-2.3238420953474001E-3</c:v>
                </c:pt>
                <c:pt idx="164">
                  <c:v>-3.6646780124554501E-3</c:v>
                </c:pt>
                <c:pt idx="165">
                  <c:v>-3.2584501263643499E-3</c:v>
                </c:pt>
                <c:pt idx="166">
                  <c:v>6.0387985794549002E-4</c:v>
                </c:pt>
                <c:pt idx="167">
                  <c:v>1.7104692101975101E-3</c:v>
                </c:pt>
                <c:pt idx="168">
                  <c:v>2.39228661505331E-4</c:v>
                </c:pt>
                <c:pt idx="169">
                  <c:v>5.2404241403823605E-4</c:v>
                </c:pt>
                <c:pt idx="170">
                  <c:v>1.7414350123663501E-3</c:v>
                </c:pt>
                <c:pt idx="171">
                  <c:v>9.4720090481931695E-4</c:v>
                </c:pt>
                <c:pt idx="172">
                  <c:v>1.86819621640191E-3</c:v>
                </c:pt>
                <c:pt idx="173">
                  <c:v>6.66138762804117E-4</c:v>
                </c:pt>
                <c:pt idx="174">
                  <c:v>9.4799679499167795E-4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54-4D07-A536-D0B27062D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4.0044795050137982E-4</c:v>
                </c:pt>
                <c:pt idx="31">
                  <c:v>6.1438188237432009E-4</c:v>
                </c:pt>
                <c:pt idx="32">
                  <c:v>5.7225089713500003E-4</c:v>
                </c:pt>
                <c:pt idx="33">
                  <c:v>1.6274676428925498E-3</c:v>
                </c:pt>
                <c:pt idx="34">
                  <c:v>1.6274676428925498E-3</c:v>
                </c:pt>
                <c:pt idx="35">
                  <c:v>1.6274676428925498E-3</c:v>
                </c:pt>
                <c:pt idx="36">
                  <c:v>1.6274676428925498E-3</c:v>
                </c:pt>
                <c:pt idx="37">
                  <c:v>1.6274676428925498E-3</c:v>
                </c:pt>
                <c:pt idx="38">
                  <c:v>1.6274676428925498E-3</c:v>
                </c:pt>
                <c:pt idx="39">
                  <c:v>1.6274676428925498E-3</c:v>
                </c:pt>
                <c:pt idx="40">
                  <c:v>1.6274676428925498E-3</c:v>
                </c:pt>
                <c:pt idx="41">
                  <c:v>1.6274676428925498E-3</c:v>
                </c:pt>
                <c:pt idx="42">
                  <c:v>1.6274676428925498E-3</c:v>
                </c:pt>
                <c:pt idx="43">
                  <c:v>1.6274676428925498E-3</c:v>
                </c:pt>
                <c:pt idx="44">
                  <c:v>1.6274676428925498E-3</c:v>
                </c:pt>
                <c:pt idx="45">
                  <c:v>1.6274676428925498E-3</c:v>
                </c:pt>
                <c:pt idx="46">
                  <c:v>1.6274676428925498E-3</c:v>
                </c:pt>
                <c:pt idx="47">
                  <c:v>1.6274676428925498E-3</c:v>
                </c:pt>
                <c:pt idx="48">
                  <c:v>1.6274676428925498E-3</c:v>
                </c:pt>
                <c:pt idx="49">
                  <c:v>1.6274676428925498E-3</c:v>
                </c:pt>
                <c:pt idx="50">
                  <c:v>1.6274676428925498E-3</c:v>
                </c:pt>
                <c:pt idx="51">
                  <c:v>1.6274676428925498E-3</c:v>
                </c:pt>
                <c:pt idx="52">
                  <c:v>1.6274676428925498E-3</c:v>
                </c:pt>
                <c:pt idx="53">
                  <c:v>1.6274676428925498E-3</c:v>
                </c:pt>
                <c:pt idx="54">
                  <c:v>1.6274676428925498E-3</c:v>
                </c:pt>
                <c:pt idx="55">
                  <c:v>1.6274676428925498E-3</c:v>
                </c:pt>
                <c:pt idx="56">
                  <c:v>1.6274676428925498E-3</c:v>
                </c:pt>
                <c:pt idx="57">
                  <c:v>1.6274676428925498E-3</c:v>
                </c:pt>
                <c:pt idx="58">
                  <c:v>1.6274676428925498E-3</c:v>
                </c:pt>
                <c:pt idx="59">
                  <c:v>1.6274676428925498E-3</c:v>
                </c:pt>
                <c:pt idx="60">
                  <c:v>1.6274676428925498E-3</c:v>
                </c:pt>
                <c:pt idx="61">
                  <c:v>2.6560143786785798E-3</c:v>
                </c:pt>
                <c:pt idx="62">
                  <c:v>2.6560143786785798E-3</c:v>
                </c:pt>
                <c:pt idx="63">
                  <c:v>2.6560143786785798E-3</c:v>
                </c:pt>
                <c:pt idx="64">
                  <c:v>2.6560143786785798E-3</c:v>
                </c:pt>
                <c:pt idx="65">
                  <c:v>2.6560143786785798E-3</c:v>
                </c:pt>
                <c:pt idx="66">
                  <c:v>2.6560143786785798E-3</c:v>
                </c:pt>
                <c:pt idx="67">
                  <c:v>2.6560143786785798E-3</c:v>
                </c:pt>
                <c:pt idx="68">
                  <c:v>2.6560143786785798E-3</c:v>
                </c:pt>
                <c:pt idx="69">
                  <c:v>2.6560143786785798E-3</c:v>
                </c:pt>
                <c:pt idx="70">
                  <c:v>2.6560143786785798E-3</c:v>
                </c:pt>
                <c:pt idx="71">
                  <c:v>2.6560143786785798E-3</c:v>
                </c:pt>
                <c:pt idx="72">
                  <c:v>2.6560143786785798E-3</c:v>
                </c:pt>
                <c:pt idx="73">
                  <c:v>2.6560143786785798E-3</c:v>
                </c:pt>
                <c:pt idx="74">
                  <c:v>2.6560143786785798E-3</c:v>
                </c:pt>
                <c:pt idx="75">
                  <c:v>2.6560143786785798E-3</c:v>
                </c:pt>
                <c:pt idx="76">
                  <c:v>2.6560143786785798E-3</c:v>
                </c:pt>
                <c:pt idx="77">
                  <c:v>2.6560143786785798E-3</c:v>
                </c:pt>
                <c:pt idx="78">
                  <c:v>2.6560143786785798E-3</c:v>
                </c:pt>
                <c:pt idx="79">
                  <c:v>2.6560143786785798E-3</c:v>
                </c:pt>
                <c:pt idx="80">
                  <c:v>2.6560143786785798E-3</c:v>
                </c:pt>
                <c:pt idx="81">
                  <c:v>2.6560143786785798E-3</c:v>
                </c:pt>
                <c:pt idx="82">
                  <c:v>2.6560143786785798E-3</c:v>
                </c:pt>
                <c:pt idx="83">
                  <c:v>2.6560143786785798E-3</c:v>
                </c:pt>
                <c:pt idx="84">
                  <c:v>2.6560143786785798E-3</c:v>
                </c:pt>
                <c:pt idx="85">
                  <c:v>2.6560143786785798E-3</c:v>
                </c:pt>
                <c:pt idx="86">
                  <c:v>2.6560143786785798E-3</c:v>
                </c:pt>
                <c:pt idx="87">
                  <c:v>2.6560143786785798E-3</c:v>
                </c:pt>
                <c:pt idx="88">
                  <c:v>2.6560143786785798E-3</c:v>
                </c:pt>
                <c:pt idx="89">
                  <c:v>2.6560143786785798E-3</c:v>
                </c:pt>
                <c:pt idx="90">
                  <c:v>2.6560143786785798E-3</c:v>
                </c:pt>
                <c:pt idx="91">
                  <c:v>2.6560143786785798E-3</c:v>
                </c:pt>
                <c:pt idx="92">
                  <c:v>2.6560143786785798E-3</c:v>
                </c:pt>
                <c:pt idx="93">
                  <c:v>2.6560143786785798E-3</c:v>
                </c:pt>
                <c:pt idx="94">
                  <c:v>2.6560143786785798E-3</c:v>
                </c:pt>
                <c:pt idx="95">
                  <c:v>2.6560143786785798E-3</c:v>
                </c:pt>
                <c:pt idx="96">
                  <c:v>2.6560143786785798E-3</c:v>
                </c:pt>
                <c:pt idx="97">
                  <c:v>2.6560143786785798E-3</c:v>
                </c:pt>
                <c:pt idx="98">
                  <c:v>2.6560143786785798E-3</c:v>
                </c:pt>
                <c:pt idx="99">
                  <c:v>2.6560143786785798E-3</c:v>
                </c:pt>
                <c:pt idx="100">
                  <c:v>2.6560143786785798E-3</c:v>
                </c:pt>
                <c:pt idx="101">
                  <c:v>2.6560143786785798E-3</c:v>
                </c:pt>
                <c:pt idx="102">
                  <c:v>2.6560143786785798E-3</c:v>
                </c:pt>
                <c:pt idx="103">
                  <c:v>2.6560143786785798E-3</c:v>
                </c:pt>
                <c:pt idx="104">
                  <c:v>2.6560143786785798E-3</c:v>
                </c:pt>
                <c:pt idx="105">
                  <c:v>2.6560143786785798E-3</c:v>
                </c:pt>
                <c:pt idx="106">
                  <c:v>2.6560143786785798E-3</c:v>
                </c:pt>
                <c:pt idx="107">
                  <c:v>2.6560143786785798E-3</c:v>
                </c:pt>
                <c:pt idx="108">
                  <c:v>2.6560143786785798E-3</c:v>
                </c:pt>
                <c:pt idx="109">
                  <c:v>2.6560143786785798E-3</c:v>
                </c:pt>
                <c:pt idx="110">
                  <c:v>2.6560143786785798E-3</c:v>
                </c:pt>
                <c:pt idx="111">
                  <c:v>2.6560143786785798E-3</c:v>
                </c:pt>
                <c:pt idx="112">
                  <c:v>2.6560143786785798E-3</c:v>
                </c:pt>
                <c:pt idx="113">
                  <c:v>2.6560143786785798E-3</c:v>
                </c:pt>
                <c:pt idx="114">
                  <c:v>2.6560143786785798E-3</c:v>
                </c:pt>
                <c:pt idx="115">
                  <c:v>2.6560143786785798E-3</c:v>
                </c:pt>
                <c:pt idx="116">
                  <c:v>2.6560143786785798E-3</c:v>
                </c:pt>
                <c:pt idx="117">
                  <c:v>2.6560143786785798E-3</c:v>
                </c:pt>
                <c:pt idx="118">
                  <c:v>2.6560143786785798E-3</c:v>
                </c:pt>
                <c:pt idx="119">
                  <c:v>2.6560143786785798E-3</c:v>
                </c:pt>
                <c:pt idx="120">
                  <c:v>2.6560143786785798E-3</c:v>
                </c:pt>
                <c:pt idx="121">
                  <c:v>2.6560143786785798E-3</c:v>
                </c:pt>
                <c:pt idx="122">
                  <c:v>2.6560143786785798E-3</c:v>
                </c:pt>
                <c:pt idx="123">
                  <c:v>2.6560143786785798E-3</c:v>
                </c:pt>
                <c:pt idx="124">
                  <c:v>2.6560143786785798E-3</c:v>
                </c:pt>
                <c:pt idx="125">
                  <c:v>2.6560143786785798E-3</c:v>
                </c:pt>
                <c:pt idx="126">
                  <c:v>2.6560143786785798E-3</c:v>
                </c:pt>
                <c:pt idx="127">
                  <c:v>2.6560143786785798E-3</c:v>
                </c:pt>
                <c:pt idx="128">
                  <c:v>2.6560143786785798E-3</c:v>
                </c:pt>
                <c:pt idx="129">
                  <c:v>2.6560143786785798E-3</c:v>
                </c:pt>
                <c:pt idx="130">
                  <c:v>2.6560143786785798E-3</c:v>
                </c:pt>
                <c:pt idx="131">
                  <c:v>2.6560143786785798E-3</c:v>
                </c:pt>
                <c:pt idx="132">
                  <c:v>2.6560143786785798E-3</c:v>
                </c:pt>
                <c:pt idx="133">
                  <c:v>2.6560143786785798E-3</c:v>
                </c:pt>
                <c:pt idx="134">
                  <c:v>2.6560143786785798E-3</c:v>
                </c:pt>
                <c:pt idx="135">
                  <c:v>2.6560143786785798E-3</c:v>
                </c:pt>
                <c:pt idx="136">
                  <c:v>2.6560143786785798E-3</c:v>
                </c:pt>
                <c:pt idx="137">
                  <c:v>2.6560143786785798E-3</c:v>
                </c:pt>
                <c:pt idx="138">
                  <c:v>2.6560143786785798E-3</c:v>
                </c:pt>
                <c:pt idx="139">
                  <c:v>2.6560143786785798E-3</c:v>
                </c:pt>
                <c:pt idx="140">
                  <c:v>2.6560143786785798E-3</c:v>
                </c:pt>
                <c:pt idx="141">
                  <c:v>2.6560143786785798E-3</c:v>
                </c:pt>
                <c:pt idx="142">
                  <c:v>2.6560143786785798E-3</c:v>
                </c:pt>
                <c:pt idx="143">
                  <c:v>2.6560143786785798E-3</c:v>
                </c:pt>
                <c:pt idx="144">
                  <c:v>2.6560143786785798E-3</c:v>
                </c:pt>
                <c:pt idx="145">
                  <c:v>2.6560143786785798E-3</c:v>
                </c:pt>
                <c:pt idx="146">
                  <c:v>2.6560143786785798E-3</c:v>
                </c:pt>
                <c:pt idx="147">
                  <c:v>2.6560143786785798E-3</c:v>
                </c:pt>
                <c:pt idx="148">
                  <c:v>2.6560143786785798E-3</c:v>
                </c:pt>
                <c:pt idx="149">
                  <c:v>2.6560143786785798E-3</c:v>
                </c:pt>
                <c:pt idx="150">
                  <c:v>2.6560143786785798E-3</c:v>
                </c:pt>
                <c:pt idx="151">
                  <c:v>2.6560143786785798E-3</c:v>
                </c:pt>
                <c:pt idx="152">
                  <c:v>2.6560143786785798E-3</c:v>
                </c:pt>
                <c:pt idx="153">
                  <c:v>2.6560143786785798E-3</c:v>
                </c:pt>
                <c:pt idx="154">
                  <c:v>2.6560143786785798E-3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F-4AFB-B0A4-895B49B6A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1.2864595705418199E-3</c:v>
                </c:pt>
                <c:pt idx="19">
                  <c:v>1.2864595705418199E-3</c:v>
                </c:pt>
                <c:pt idx="20">
                  <c:v>1.2864595705418199E-3</c:v>
                </c:pt>
                <c:pt idx="21">
                  <c:v>1.2864595705418199E-3</c:v>
                </c:pt>
                <c:pt idx="22">
                  <c:v>1.2864595705418199E-3</c:v>
                </c:pt>
                <c:pt idx="23">
                  <c:v>1.2864595705418199E-3</c:v>
                </c:pt>
                <c:pt idx="24">
                  <c:v>1.2864595705418199E-3</c:v>
                </c:pt>
                <c:pt idx="25">
                  <c:v>1.2864595705418199E-3</c:v>
                </c:pt>
                <c:pt idx="26">
                  <c:v>1.2864595705418199E-3</c:v>
                </c:pt>
                <c:pt idx="27">
                  <c:v>1.2864595705418199E-3</c:v>
                </c:pt>
                <c:pt idx="28">
                  <c:v>1.2864595705418199E-3</c:v>
                </c:pt>
                <c:pt idx="29">
                  <c:v>1.2864595705418199E-3</c:v>
                </c:pt>
                <c:pt idx="30">
                  <c:v>1.2864595705418199E-3</c:v>
                </c:pt>
                <c:pt idx="31">
                  <c:v>1.2864595705418199E-3</c:v>
                </c:pt>
                <c:pt idx="32">
                  <c:v>1.2864595705418199E-3</c:v>
                </c:pt>
                <c:pt idx="33">
                  <c:v>1.2864595705418199E-3</c:v>
                </c:pt>
                <c:pt idx="34">
                  <c:v>1.2864595705418199E-3</c:v>
                </c:pt>
                <c:pt idx="35">
                  <c:v>1.2864595705418199E-3</c:v>
                </c:pt>
                <c:pt idx="36">
                  <c:v>1.2864595705418199E-3</c:v>
                </c:pt>
                <c:pt idx="37">
                  <c:v>1.2864595705418199E-3</c:v>
                </c:pt>
                <c:pt idx="38">
                  <c:v>1.2864595705418199E-3</c:v>
                </c:pt>
                <c:pt idx="39">
                  <c:v>1.2864595705418199E-3</c:v>
                </c:pt>
                <c:pt idx="40">
                  <c:v>1.2864595705418199E-3</c:v>
                </c:pt>
                <c:pt idx="41">
                  <c:v>1.2864595705418199E-3</c:v>
                </c:pt>
                <c:pt idx="42">
                  <c:v>1.2864595705418199E-3</c:v>
                </c:pt>
                <c:pt idx="43">
                  <c:v>1.2864595705418199E-3</c:v>
                </c:pt>
                <c:pt idx="44">
                  <c:v>1.2864595705418199E-3</c:v>
                </c:pt>
                <c:pt idx="45">
                  <c:v>1.2864595705418199E-3</c:v>
                </c:pt>
                <c:pt idx="46">
                  <c:v>1.2864595705418199E-3</c:v>
                </c:pt>
                <c:pt idx="47">
                  <c:v>1.2864595705418199E-3</c:v>
                </c:pt>
                <c:pt idx="48">
                  <c:v>1.2864595705418199E-3</c:v>
                </c:pt>
                <c:pt idx="49">
                  <c:v>1.2864595705418199E-3</c:v>
                </c:pt>
                <c:pt idx="50">
                  <c:v>1.8542223773720841E-3</c:v>
                </c:pt>
                <c:pt idx="51">
                  <c:v>2.292070257819584E-3</c:v>
                </c:pt>
                <c:pt idx="52">
                  <c:v>2.292070257819584E-3</c:v>
                </c:pt>
                <c:pt idx="53">
                  <c:v>2.292070257819584E-3</c:v>
                </c:pt>
                <c:pt idx="54">
                  <c:v>2.292070257819584E-3</c:v>
                </c:pt>
                <c:pt idx="55">
                  <c:v>2.292070257819584E-3</c:v>
                </c:pt>
                <c:pt idx="56">
                  <c:v>2.292070257819584E-3</c:v>
                </c:pt>
                <c:pt idx="57">
                  <c:v>2.292070257819584E-3</c:v>
                </c:pt>
                <c:pt idx="58">
                  <c:v>2.292070257819584E-3</c:v>
                </c:pt>
                <c:pt idx="59">
                  <c:v>2.292070257819584E-3</c:v>
                </c:pt>
                <c:pt idx="60">
                  <c:v>2.292070257819584E-3</c:v>
                </c:pt>
                <c:pt idx="61">
                  <c:v>2.292070257819584E-3</c:v>
                </c:pt>
                <c:pt idx="62">
                  <c:v>2.292070257819584E-3</c:v>
                </c:pt>
                <c:pt idx="63">
                  <c:v>2.292070257819584E-3</c:v>
                </c:pt>
                <c:pt idx="64">
                  <c:v>2.292070257819584E-3</c:v>
                </c:pt>
                <c:pt idx="65">
                  <c:v>2.292070257819584E-3</c:v>
                </c:pt>
                <c:pt idx="66">
                  <c:v>2.292070257819584E-3</c:v>
                </c:pt>
                <c:pt idx="67">
                  <c:v>2.292070257819584E-3</c:v>
                </c:pt>
                <c:pt idx="68">
                  <c:v>2.292070257819584E-3</c:v>
                </c:pt>
                <c:pt idx="69">
                  <c:v>2.292070257819584E-3</c:v>
                </c:pt>
                <c:pt idx="70">
                  <c:v>2.292070257819584E-3</c:v>
                </c:pt>
                <c:pt idx="71">
                  <c:v>2.292070257819584E-3</c:v>
                </c:pt>
                <c:pt idx="72">
                  <c:v>2.292070257819584E-3</c:v>
                </c:pt>
                <c:pt idx="73">
                  <c:v>2.292070257819584E-3</c:v>
                </c:pt>
                <c:pt idx="74">
                  <c:v>2.292070257819584E-3</c:v>
                </c:pt>
                <c:pt idx="75">
                  <c:v>2.292070257819584E-3</c:v>
                </c:pt>
                <c:pt idx="76">
                  <c:v>2.292070257819584E-3</c:v>
                </c:pt>
                <c:pt idx="77">
                  <c:v>2.292070257819584E-3</c:v>
                </c:pt>
                <c:pt idx="78">
                  <c:v>2.292070257819584E-3</c:v>
                </c:pt>
                <c:pt idx="79">
                  <c:v>2.292070257819584E-3</c:v>
                </c:pt>
                <c:pt idx="80">
                  <c:v>2.292070257819584E-3</c:v>
                </c:pt>
                <c:pt idx="81">
                  <c:v>2.292070257819584E-3</c:v>
                </c:pt>
                <c:pt idx="82">
                  <c:v>2.292070257819584E-3</c:v>
                </c:pt>
                <c:pt idx="83">
                  <c:v>2.292070257819584E-3</c:v>
                </c:pt>
                <c:pt idx="84">
                  <c:v>2.292070257819584E-3</c:v>
                </c:pt>
                <c:pt idx="85">
                  <c:v>2.292070257819584E-3</c:v>
                </c:pt>
                <c:pt idx="86">
                  <c:v>2.292070257819584E-3</c:v>
                </c:pt>
                <c:pt idx="87">
                  <c:v>2.292070257819584E-3</c:v>
                </c:pt>
                <c:pt idx="88">
                  <c:v>3.2256801014078841E-3</c:v>
                </c:pt>
                <c:pt idx="89">
                  <c:v>3.2256801014078841E-3</c:v>
                </c:pt>
                <c:pt idx="90">
                  <c:v>3.2256801014078841E-3</c:v>
                </c:pt>
                <c:pt idx="91">
                  <c:v>3.2256801014078841E-3</c:v>
                </c:pt>
                <c:pt idx="92">
                  <c:v>3.2256801014078841E-3</c:v>
                </c:pt>
                <c:pt idx="93">
                  <c:v>3.2256801014078841E-3</c:v>
                </c:pt>
                <c:pt idx="94">
                  <c:v>3.2256801014078841E-3</c:v>
                </c:pt>
                <c:pt idx="95">
                  <c:v>3.2256801014078841E-3</c:v>
                </c:pt>
                <c:pt idx="96">
                  <c:v>3.2256801014078841E-3</c:v>
                </c:pt>
                <c:pt idx="97">
                  <c:v>3.2256801014078841E-3</c:v>
                </c:pt>
                <c:pt idx="98">
                  <c:v>3.2256801014078841E-3</c:v>
                </c:pt>
                <c:pt idx="99">
                  <c:v>3.2256801014078841E-3</c:v>
                </c:pt>
                <c:pt idx="100">
                  <c:v>3.2256801014078841E-3</c:v>
                </c:pt>
                <c:pt idx="101">
                  <c:v>3.2256801014078841E-3</c:v>
                </c:pt>
                <c:pt idx="102">
                  <c:v>3.2256801014078841E-3</c:v>
                </c:pt>
                <c:pt idx="103">
                  <c:v>3.2256801014078841E-3</c:v>
                </c:pt>
                <c:pt idx="104">
                  <c:v>3.2256801014078841E-3</c:v>
                </c:pt>
                <c:pt idx="105">
                  <c:v>3.2256801014078841E-3</c:v>
                </c:pt>
                <c:pt idx="106">
                  <c:v>3.2256801014078841E-3</c:v>
                </c:pt>
                <c:pt idx="107">
                  <c:v>3.2256801014078841E-3</c:v>
                </c:pt>
                <c:pt idx="108">
                  <c:v>3.2256801014078841E-3</c:v>
                </c:pt>
                <c:pt idx="109">
                  <c:v>3.2256801014078841E-3</c:v>
                </c:pt>
                <c:pt idx="110">
                  <c:v>3.2256801014078841E-3</c:v>
                </c:pt>
                <c:pt idx="111">
                  <c:v>3.2256801014078841E-3</c:v>
                </c:pt>
                <c:pt idx="112">
                  <c:v>3.2256801014078841E-3</c:v>
                </c:pt>
                <c:pt idx="113">
                  <c:v>3.2256801014078841E-3</c:v>
                </c:pt>
                <c:pt idx="114">
                  <c:v>3.2256801014078841E-3</c:v>
                </c:pt>
                <c:pt idx="115">
                  <c:v>3.2256801014078841E-3</c:v>
                </c:pt>
                <c:pt idx="116">
                  <c:v>3.2256801014078841E-3</c:v>
                </c:pt>
                <c:pt idx="117">
                  <c:v>3.2256801014078841E-3</c:v>
                </c:pt>
                <c:pt idx="118">
                  <c:v>3.2256801014078841E-3</c:v>
                </c:pt>
                <c:pt idx="119">
                  <c:v>3.2256801014078841E-3</c:v>
                </c:pt>
                <c:pt idx="120">
                  <c:v>3.2256801014078841E-3</c:v>
                </c:pt>
                <c:pt idx="121">
                  <c:v>3.2256801014078841E-3</c:v>
                </c:pt>
                <c:pt idx="122">
                  <c:v>3.2256801014078841E-3</c:v>
                </c:pt>
                <c:pt idx="123">
                  <c:v>3.2256801014078841E-3</c:v>
                </c:pt>
                <c:pt idx="124">
                  <c:v>3.2256801014078841E-3</c:v>
                </c:pt>
                <c:pt idx="125">
                  <c:v>3.2256801014078841E-3</c:v>
                </c:pt>
                <c:pt idx="126">
                  <c:v>3.2256801014078841E-3</c:v>
                </c:pt>
                <c:pt idx="127">
                  <c:v>3.2256801014078841E-3</c:v>
                </c:pt>
                <c:pt idx="128">
                  <c:v>3.2256801014078841E-3</c:v>
                </c:pt>
                <c:pt idx="129">
                  <c:v>3.2256801014078841E-3</c:v>
                </c:pt>
                <c:pt idx="130">
                  <c:v>3.2256801014078841E-3</c:v>
                </c:pt>
                <c:pt idx="131">
                  <c:v>3.2256801014078841E-3</c:v>
                </c:pt>
                <c:pt idx="132">
                  <c:v>3.9414057495965301E-3</c:v>
                </c:pt>
                <c:pt idx="133">
                  <c:v>3.7165888663424798E-3</c:v>
                </c:pt>
                <c:pt idx="134">
                  <c:v>3.7621431121392795E-3</c:v>
                </c:pt>
                <c:pt idx="135">
                  <c:v>3.5389102722366765E-3</c:v>
                </c:pt>
                <c:pt idx="136">
                  <c:v>4.3437392895237176E-3</c:v>
                </c:pt>
                <c:pt idx="137">
                  <c:v>4.3437392895237176E-3</c:v>
                </c:pt>
                <c:pt idx="138">
                  <c:v>4.3437392895237176E-3</c:v>
                </c:pt>
                <c:pt idx="139">
                  <c:v>4.3437392895237176E-3</c:v>
                </c:pt>
                <c:pt idx="140">
                  <c:v>4.3437392895237176E-3</c:v>
                </c:pt>
                <c:pt idx="141">
                  <c:v>4.3437392895237176E-3</c:v>
                </c:pt>
                <c:pt idx="142">
                  <c:v>4.3437392895237176E-3</c:v>
                </c:pt>
                <c:pt idx="143">
                  <c:v>4.3437392895237176E-3</c:v>
                </c:pt>
                <c:pt idx="144">
                  <c:v>4.3437392895237176E-3</c:v>
                </c:pt>
                <c:pt idx="145">
                  <c:v>4.3437392895237176E-3</c:v>
                </c:pt>
                <c:pt idx="146">
                  <c:v>4.3437392895237176E-3</c:v>
                </c:pt>
                <c:pt idx="147">
                  <c:v>4.3437392895237176E-3</c:v>
                </c:pt>
                <c:pt idx="148">
                  <c:v>4.3437392895237176E-3</c:v>
                </c:pt>
                <c:pt idx="149">
                  <c:v>4.3437392895237176E-3</c:v>
                </c:pt>
                <c:pt idx="150">
                  <c:v>4.3437392895237176E-3</c:v>
                </c:pt>
                <c:pt idx="151">
                  <c:v>4.3437392895237176E-3</c:v>
                </c:pt>
                <c:pt idx="152">
                  <c:v>4.3437392895237176E-3</c:v>
                </c:pt>
                <c:pt idx="153">
                  <c:v>4.3437392895237176E-3</c:v>
                </c:pt>
                <c:pt idx="154">
                  <c:v>4.3437392895237176E-3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1-4BA9-84E6-1EEE1D823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1.2864595705418199E-3</c:v>
                </c:pt>
                <c:pt idx="19">
                  <c:v>1.2864595705418199E-3</c:v>
                </c:pt>
                <c:pt idx="20">
                  <c:v>1.2864595705418199E-3</c:v>
                </c:pt>
                <c:pt idx="21">
                  <c:v>1.2864595705418199E-3</c:v>
                </c:pt>
                <c:pt idx="22">
                  <c:v>1.2864595705418199E-3</c:v>
                </c:pt>
                <c:pt idx="23">
                  <c:v>1.2864595705418199E-3</c:v>
                </c:pt>
                <c:pt idx="24">
                  <c:v>1.2864595705418199E-3</c:v>
                </c:pt>
                <c:pt idx="25">
                  <c:v>1.2864595705418199E-3</c:v>
                </c:pt>
                <c:pt idx="26">
                  <c:v>1.2864595705418199E-3</c:v>
                </c:pt>
                <c:pt idx="27">
                  <c:v>1.2864595705418199E-3</c:v>
                </c:pt>
                <c:pt idx="28">
                  <c:v>1.2864595705418199E-3</c:v>
                </c:pt>
                <c:pt idx="29">
                  <c:v>1.2864595705418199E-3</c:v>
                </c:pt>
                <c:pt idx="30">
                  <c:v>1.6869075210431998E-3</c:v>
                </c:pt>
                <c:pt idx="31">
                  <c:v>1.90084145291614E-3</c:v>
                </c:pt>
                <c:pt idx="32">
                  <c:v>1.85871046767682E-3</c:v>
                </c:pt>
                <c:pt idx="33">
                  <c:v>2.9139272134343698E-3</c:v>
                </c:pt>
                <c:pt idx="34">
                  <c:v>2.9139272134343698E-3</c:v>
                </c:pt>
                <c:pt idx="35">
                  <c:v>2.9139272134343698E-3</c:v>
                </c:pt>
                <c:pt idx="36">
                  <c:v>2.9139272134343698E-3</c:v>
                </c:pt>
                <c:pt idx="37">
                  <c:v>2.9139272134343698E-3</c:v>
                </c:pt>
                <c:pt idx="38">
                  <c:v>2.9139272134343698E-3</c:v>
                </c:pt>
                <c:pt idx="39">
                  <c:v>2.9139272134343698E-3</c:v>
                </c:pt>
                <c:pt idx="40">
                  <c:v>2.9139272134343698E-3</c:v>
                </c:pt>
                <c:pt idx="41">
                  <c:v>2.9139272134343698E-3</c:v>
                </c:pt>
                <c:pt idx="42">
                  <c:v>2.9139272134343698E-3</c:v>
                </c:pt>
                <c:pt idx="43">
                  <c:v>2.9139272134343698E-3</c:v>
                </c:pt>
                <c:pt idx="44">
                  <c:v>2.9139272134343698E-3</c:v>
                </c:pt>
                <c:pt idx="45">
                  <c:v>2.9139272134343698E-3</c:v>
                </c:pt>
                <c:pt idx="46">
                  <c:v>2.9139272134343698E-3</c:v>
                </c:pt>
                <c:pt idx="47">
                  <c:v>2.9139272134343698E-3</c:v>
                </c:pt>
                <c:pt idx="48">
                  <c:v>2.9139272134343698E-3</c:v>
                </c:pt>
                <c:pt idx="49">
                  <c:v>2.9139272134343698E-3</c:v>
                </c:pt>
                <c:pt idx="50">
                  <c:v>3.4816900202646337E-3</c:v>
                </c:pt>
                <c:pt idx="51">
                  <c:v>3.9195379007121341E-3</c:v>
                </c:pt>
                <c:pt idx="52">
                  <c:v>3.9195379007121341E-3</c:v>
                </c:pt>
                <c:pt idx="53">
                  <c:v>3.9195379007121341E-3</c:v>
                </c:pt>
                <c:pt idx="54">
                  <c:v>3.9195379007121341E-3</c:v>
                </c:pt>
                <c:pt idx="55">
                  <c:v>3.9195379007121341E-3</c:v>
                </c:pt>
                <c:pt idx="56">
                  <c:v>3.9195379007121341E-3</c:v>
                </c:pt>
                <c:pt idx="57">
                  <c:v>3.9195379007121341E-3</c:v>
                </c:pt>
                <c:pt idx="58">
                  <c:v>3.9195379007121341E-3</c:v>
                </c:pt>
                <c:pt idx="59">
                  <c:v>3.9195379007121341E-3</c:v>
                </c:pt>
                <c:pt idx="60">
                  <c:v>3.9195379007121341E-3</c:v>
                </c:pt>
                <c:pt idx="61">
                  <c:v>4.9480846364981642E-3</c:v>
                </c:pt>
                <c:pt idx="62">
                  <c:v>4.9480846364981642E-3</c:v>
                </c:pt>
                <c:pt idx="63">
                  <c:v>4.9480846364981642E-3</c:v>
                </c:pt>
                <c:pt idx="64">
                  <c:v>4.9480846364981642E-3</c:v>
                </c:pt>
                <c:pt idx="65">
                  <c:v>4.9480846364981642E-3</c:v>
                </c:pt>
                <c:pt idx="66">
                  <c:v>4.9480846364981642E-3</c:v>
                </c:pt>
                <c:pt idx="67">
                  <c:v>4.9480846364981642E-3</c:v>
                </c:pt>
                <c:pt idx="68">
                  <c:v>4.9480846364981642E-3</c:v>
                </c:pt>
                <c:pt idx="69">
                  <c:v>4.9480846364981642E-3</c:v>
                </c:pt>
                <c:pt idx="70">
                  <c:v>4.9480846364981642E-3</c:v>
                </c:pt>
                <c:pt idx="71">
                  <c:v>4.9480846364981642E-3</c:v>
                </c:pt>
                <c:pt idx="72">
                  <c:v>4.9480846364981642E-3</c:v>
                </c:pt>
                <c:pt idx="73">
                  <c:v>4.9480846364981642E-3</c:v>
                </c:pt>
                <c:pt idx="74">
                  <c:v>4.9480846364981642E-3</c:v>
                </c:pt>
                <c:pt idx="75">
                  <c:v>4.9480846364981642E-3</c:v>
                </c:pt>
                <c:pt idx="76">
                  <c:v>4.9480846364981642E-3</c:v>
                </c:pt>
                <c:pt idx="77">
                  <c:v>4.9480846364981642E-3</c:v>
                </c:pt>
                <c:pt idx="78">
                  <c:v>4.9480846364981642E-3</c:v>
                </c:pt>
                <c:pt idx="79">
                  <c:v>4.9480846364981642E-3</c:v>
                </c:pt>
                <c:pt idx="80">
                  <c:v>4.9480846364981642E-3</c:v>
                </c:pt>
                <c:pt idx="81">
                  <c:v>4.9480846364981642E-3</c:v>
                </c:pt>
                <c:pt idx="82">
                  <c:v>4.9480846364981642E-3</c:v>
                </c:pt>
                <c:pt idx="83">
                  <c:v>4.9480846364981642E-3</c:v>
                </c:pt>
                <c:pt idx="84">
                  <c:v>4.9480846364981642E-3</c:v>
                </c:pt>
                <c:pt idx="85">
                  <c:v>4.9480846364981642E-3</c:v>
                </c:pt>
                <c:pt idx="86">
                  <c:v>4.9480846364981642E-3</c:v>
                </c:pt>
                <c:pt idx="87">
                  <c:v>4.9480846364981642E-3</c:v>
                </c:pt>
                <c:pt idx="88">
                  <c:v>5.8816944800864643E-3</c:v>
                </c:pt>
                <c:pt idx="89">
                  <c:v>5.8816944800864643E-3</c:v>
                </c:pt>
                <c:pt idx="90">
                  <c:v>5.8816944800864643E-3</c:v>
                </c:pt>
                <c:pt idx="91">
                  <c:v>5.8816944800864643E-3</c:v>
                </c:pt>
                <c:pt idx="92">
                  <c:v>5.8816944800864643E-3</c:v>
                </c:pt>
                <c:pt idx="93">
                  <c:v>5.8816944800864643E-3</c:v>
                </c:pt>
                <c:pt idx="94">
                  <c:v>5.8816944800864643E-3</c:v>
                </c:pt>
                <c:pt idx="95">
                  <c:v>5.8816944800864643E-3</c:v>
                </c:pt>
                <c:pt idx="96">
                  <c:v>5.8816944800864643E-3</c:v>
                </c:pt>
                <c:pt idx="97">
                  <c:v>5.8816944800864643E-3</c:v>
                </c:pt>
                <c:pt idx="98">
                  <c:v>5.8816944800864643E-3</c:v>
                </c:pt>
                <c:pt idx="99">
                  <c:v>5.8816944800864643E-3</c:v>
                </c:pt>
                <c:pt idx="100">
                  <c:v>5.8816944800864643E-3</c:v>
                </c:pt>
                <c:pt idx="101">
                  <c:v>5.8816944800864643E-3</c:v>
                </c:pt>
                <c:pt idx="102">
                  <c:v>5.8816944800864643E-3</c:v>
                </c:pt>
                <c:pt idx="103">
                  <c:v>5.8816944800864643E-3</c:v>
                </c:pt>
                <c:pt idx="104">
                  <c:v>5.8816944800864643E-3</c:v>
                </c:pt>
                <c:pt idx="105">
                  <c:v>5.8816944800864643E-3</c:v>
                </c:pt>
                <c:pt idx="106">
                  <c:v>5.8816944800864643E-3</c:v>
                </c:pt>
                <c:pt idx="107">
                  <c:v>5.8816944800864643E-3</c:v>
                </c:pt>
                <c:pt idx="108">
                  <c:v>5.8816944800864643E-3</c:v>
                </c:pt>
                <c:pt idx="109">
                  <c:v>5.8816944800864643E-3</c:v>
                </c:pt>
                <c:pt idx="110">
                  <c:v>5.8816944800864643E-3</c:v>
                </c:pt>
                <c:pt idx="111">
                  <c:v>5.8816944800864643E-3</c:v>
                </c:pt>
                <c:pt idx="112">
                  <c:v>5.8816944800864643E-3</c:v>
                </c:pt>
                <c:pt idx="113">
                  <c:v>5.8816944800864643E-3</c:v>
                </c:pt>
                <c:pt idx="114">
                  <c:v>5.8816944800864643E-3</c:v>
                </c:pt>
                <c:pt idx="115">
                  <c:v>5.8816944800864643E-3</c:v>
                </c:pt>
                <c:pt idx="116">
                  <c:v>5.8816944800864643E-3</c:v>
                </c:pt>
                <c:pt idx="117">
                  <c:v>5.8816944800864643E-3</c:v>
                </c:pt>
                <c:pt idx="118">
                  <c:v>5.8816944800864643E-3</c:v>
                </c:pt>
                <c:pt idx="119">
                  <c:v>5.8816944800864643E-3</c:v>
                </c:pt>
                <c:pt idx="120">
                  <c:v>5.8816944800864643E-3</c:v>
                </c:pt>
                <c:pt idx="121">
                  <c:v>5.8816944800864643E-3</c:v>
                </c:pt>
                <c:pt idx="122">
                  <c:v>5.8816944800864643E-3</c:v>
                </c:pt>
                <c:pt idx="123">
                  <c:v>5.8816944800864643E-3</c:v>
                </c:pt>
                <c:pt idx="124">
                  <c:v>5.8816944800864643E-3</c:v>
                </c:pt>
                <c:pt idx="125">
                  <c:v>5.8816944800864643E-3</c:v>
                </c:pt>
                <c:pt idx="126">
                  <c:v>5.8816944800864643E-3</c:v>
                </c:pt>
                <c:pt idx="127">
                  <c:v>5.8816944800864643E-3</c:v>
                </c:pt>
                <c:pt idx="128">
                  <c:v>5.8816944800864643E-3</c:v>
                </c:pt>
                <c:pt idx="129">
                  <c:v>5.8816944800864643E-3</c:v>
                </c:pt>
                <c:pt idx="130">
                  <c:v>5.8816944800864643E-3</c:v>
                </c:pt>
                <c:pt idx="131">
                  <c:v>5.8816944800864643E-3</c:v>
                </c:pt>
                <c:pt idx="132">
                  <c:v>6.5974201282751107E-3</c:v>
                </c:pt>
                <c:pt idx="133">
                  <c:v>6.37260324502106E-3</c:v>
                </c:pt>
                <c:pt idx="134">
                  <c:v>6.4181574908178593E-3</c:v>
                </c:pt>
                <c:pt idx="135">
                  <c:v>6.1949246509152567E-3</c:v>
                </c:pt>
                <c:pt idx="136">
                  <c:v>6.9997536682022974E-3</c:v>
                </c:pt>
                <c:pt idx="137">
                  <c:v>6.9997536682022974E-3</c:v>
                </c:pt>
                <c:pt idx="138">
                  <c:v>6.9997536682022974E-3</c:v>
                </c:pt>
                <c:pt idx="139">
                  <c:v>6.9997536682022974E-3</c:v>
                </c:pt>
                <c:pt idx="140">
                  <c:v>6.9997536682022974E-3</c:v>
                </c:pt>
                <c:pt idx="141">
                  <c:v>6.9997536682022974E-3</c:v>
                </c:pt>
                <c:pt idx="142">
                  <c:v>6.9997536682022974E-3</c:v>
                </c:pt>
                <c:pt idx="143">
                  <c:v>6.9997536682022974E-3</c:v>
                </c:pt>
                <c:pt idx="144">
                  <c:v>6.9997536682022974E-3</c:v>
                </c:pt>
                <c:pt idx="145">
                  <c:v>6.9997536682022974E-3</c:v>
                </c:pt>
                <c:pt idx="146">
                  <c:v>6.9997536682022974E-3</c:v>
                </c:pt>
                <c:pt idx="147">
                  <c:v>6.9997536682022974E-3</c:v>
                </c:pt>
                <c:pt idx="148">
                  <c:v>6.9997536682022974E-3</c:v>
                </c:pt>
                <c:pt idx="149">
                  <c:v>6.9997536682022974E-3</c:v>
                </c:pt>
                <c:pt idx="150">
                  <c:v>6.9997536682022974E-3</c:v>
                </c:pt>
                <c:pt idx="151">
                  <c:v>6.9997536682022974E-3</c:v>
                </c:pt>
                <c:pt idx="152">
                  <c:v>6.9997536682022974E-3</c:v>
                </c:pt>
                <c:pt idx="153">
                  <c:v>6.9997536682022974E-3</c:v>
                </c:pt>
                <c:pt idx="154">
                  <c:v>6.9997536682022974E-3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1-4FE2-A9FE-D6D8C75D4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E8093-43CB-4E48-BF28-3FB94069A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A24567-557F-4826-974D-F3C2C50E0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8E1153-3D45-4BC9-B516-3779D19A0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7A0AC0-6DCD-41D1-BA89-CE61B9CF6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5EE615-3B83-419A-BB71-E140117D9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74BB99-2B7C-44D3-8DB5-038791599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EC41E6-57AD-4DD9-89AB-F57461A50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SCQ_IBDR_2.xlsx" TargetMode="External"/><Relationship Id="rId1" Type="http://schemas.openxmlformats.org/officeDocument/2006/relationships/externalLinkPath" Target="BSCQ_IBDR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IBDR/BSCQ avg</v>
          </cell>
          <cell r="P1" t="str">
            <v>IBDR/BSCQ 10 dma</v>
          </cell>
          <cell r="Q1" t="str">
            <v>IBDR/BSCQ 20 dma</v>
          </cell>
          <cell r="U1" t="str">
            <v>log diff BSCQ x avg / IBDR</v>
          </cell>
          <cell r="V1" t="str">
            <v>log diff BSCQ x 10 dma / IBDR</v>
          </cell>
          <cell r="W1" t="str">
            <v>log diff BSCQ x 20 dma / IBDR</v>
          </cell>
          <cell r="Y1" t="str">
            <v>IBDR*/BSCQ* avg</v>
          </cell>
          <cell r="Z1" t="str">
            <v>IBDR*/BSCQ* 10 dma</v>
          </cell>
          <cell r="AA1" t="str">
            <v>IBDR*/BSCQ* 20 dma</v>
          </cell>
          <cell r="AF1" t="str">
            <v>log diff BSCQ* x 10 dma / IBDR*</v>
          </cell>
          <cell r="AG1" t="str">
            <v>log diff BSCQ* x 20 dma / IBDR*</v>
          </cell>
        </row>
        <row r="2">
          <cell r="O2">
            <v>1.2388993693114601</v>
          </cell>
          <cell r="Y2">
            <v>1.23733334869304</v>
          </cell>
        </row>
        <row r="3">
          <cell r="O3">
            <v>1.2388993693114601</v>
          </cell>
          <cell r="U3">
            <v>1.1404823419767301E-3</v>
          </cell>
          <cell r="Y3">
            <v>1.23733334869304</v>
          </cell>
        </row>
        <row r="4">
          <cell r="O4">
            <v>1.2388993693114601</v>
          </cell>
          <cell r="U4">
            <v>1.1404823419767301E-3</v>
          </cell>
          <cell r="Y4">
            <v>1.23733334869304</v>
          </cell>
        </row>
        <row r="5">
          <cell r="O5">
            <v>1.2388993693114601</v>
          </cell>
          <cell r="U5">
            <v>1.1404823419767301E-3</v>
          </cell>
          <cell r="Y5">
            <v>1.23733334869304</v>
          </cell>
        </row>
        <row r="6">
          <cell r="O6">
            <v>1.2388993693114601</v>
          </cell>
          <cell r="U6">
            <v>1.1404823419767301E-3</v>
          </cell>
          <cell r="Y6">
            <v>1.23733334869304</v>
          </cell>
        </row>
        <row r="7">
          <cell r="O7">
            <v>1.2388993693114601</v>
          </cell>
          <cell r="U7">
            <v>1.1404823419767301E-3</v>
          </cell>
          <cell r="Y7">
            <v>1.23733334869304</v>
          </cell>
        </row>
        <row r="8">
          <cell r="O8">
            <v>1.2388993693114601</v>
          </cell>
          <cell r="U8">
            <v>7.2785596929742901E-4</v>
          </cell>
          <cell r="Y8">
            <v>1.23733334869304</v>
          </cell>
        </row>
        <row r="9">
          <cell r="O9">
            <v>1.2388993693114601</v>
          </cell>
          <cell r="U9">
            <v>1.23845082338254E-3</v>
          </cell>
          <cell r="Y9">
            <v>1.23733334869304</v>
          </cell>
        </row>
        <row r="10">
          <cell r="O10">
            <v>1.2388993693114601</v>
          </cell>
          <cell r="U10">
            <v>1.33632892102614E-3</v>
          </cell>
          <cell r="Y10">
            <v>1.23733334869304</v>
          </cell>
        </row>
        <row r="11">
          <cell r="O11">
            <v>1.2388993693114601</v>
          </cell>
          <cell r="P11">
            <v>1.2376041055824401</v>
          </cell>
          <cell r="U11">
            <v>8.2599464100393801E-4</v>
          </cell>
          <cell r="Y11">
            <v>1.23733334869304</v>
          </cell>
          <cell r="Z11">
            <v>1.2376041055824401</v>
          </cell>
        </row>
        <row r="12">
          <cell r="O12">
            <v>1.2388993693114601</v>
          </cell>
          <cell r="P12">
            <v>1.2375045401422</v>
          </cell>
          <cell r="U12">
            <v>1.4341167603976E-3</v>
          </cell>
          <cell r="V12">
            <v>3.8807433787387598E-4</v>
          </cell>
          <cell r="Y12">
            <v>1.23733334869304</v>
          </cell>
          <cell r="Z12">
            <v>1.2375045401422</v>
          </cell>
          <cell r="AF12">
            <v>3.8807433787387598E-4</v>
          </cell>
        </row>
        <row r="13">
          <cell r="O13">
            <v>1.2388993693114601</v>
          </cell>
          <cell r="P13">
            <v>1.2378602181835201</v>
          </cell>
          <cell r="U13">
            <v>-1.7295907008089001E-3</v>
          </cell>
          <cell r="V13">
            <v>-2.85608651309739E-3</v>
          </cell>
          <cell r="Y13">
            <v>1.23733334869304</v>
          </cell>
          <cell r="Z13">
            <v>1.23743241362014</v>
          </cell>
          <cell r="AF13">
            <v>5.9700304674248199E-4</v>
          </cell>
        </row>
        <row r="14">
          <cell r="O14">
            <v>1.2388993693114601</v>
          </cell>
          <cell r="P14">
            <v>1.2383306450222</v>
          </cell>
          <cell r="U14">
            <v>-2.6537785592697901E-3</v>
          </cell>
          <cell r="V14">
            <v>-3.4929001229141699E-3</v>
          </cell>
          <cell r="Y14">
            <v>1.23733334869304</v>
          </cell>
          <cell r="Z14">
            <v>1.2374744218445699</v>
          </cell>
          <cell r="AF14">
            <v>-3.8370531041764398E-4</v>
          </cell>
        </row>
        <row r="15">
          <cell r="O15">
            <v>1.2388993693114601</v>
          </cell>
          <cell r="P15">
            <v>1.2386739934465301</v>
          </cell>
          <cell r="U15">
            <v>-1.63023701648254E-3</v>
          </cell>
          <cell r="V15">
            <v>-2.0893984960106099E-3</v>
          </cell>
          <cell r="Y15">
            <v>1.23733334869304</v>
          </cell>
          <cell r="Z15">
            <v>1.23739022625762</v>
          </cell>
          <cell r="AF15">
            <v>6.7025526419484897E-4</v>
          </cell>
        </row>
        <row r="16">
          <cell r="O16">
            <v>1.2388993693114601</v>
          </cell>
          <cell r="P16">
            <v>1.2390684927659901</v>
          </cell>
          <cell r="U16">
            <v>-2.0423532390884498E-3</v>
          </cell>
          <cell r="V16">
            <v>-2.2242859874348499E-3</v>
          </cell>
          <cell r="Y16">
            <v>1.23733334869304</v>
          </cell>
          <cell r="Z16">
            <v>1.23735700533168</v>
          </cell>
          <cell r="AF16">
            <v>1.9009848264600501E-4</v>
          </cell>
        </row>
        <row r="17">
          <cell r="O17">
            <v>1.2388993693114601</v>
          </cell>
          <cell r="P17">
            <v>1.2394629920854601</v>
          </cell>
          <cell r="U17">
            <v>-2.0423532390884498E-3</v>
          </cell>
          <cell r="V17">
            <v>-1.9058515052421501E-3</v>
          </cell>
          <cell r="Y17">
            <v>1.23733334869304</v>
          </cell>
          <cell r="Z17">
            <v>1.2373237844057301</v>
          </cell>
          <cell r="AF17">
            <v>1.6325054801882499E-4</v>
          </cell>
        </row>
        <row r="18">
          <cell r="O18">
            <v>1.2388993693114601</v>
          </cell>
          <cell r="P18">
            <v>1.2398575697770899</v>
          </cell>
          <cell r="U18">
            <v>-2.4542996918759299E-3</v>
          </cell>
          <cell r="V18">
            <v>-1.9994648440783201E-3</v>
          </cell>
          <cell r="Y18">
            <v>1.23733334869304</v>
          </cell>
          <cell r="Z18">
            <v>1.2372904656178101</v>
          </cell>
          <cell r="AF18">
            <v>-2.7554456022705698E-4</v>
          </cell>
        </row>
        <row r="19">
          <cell r="O19">
            <v>1.2388993693114601</v>
          </cell>
          <cell r="P19">
            <v>1.2402641919771999</v>
          </cell>
          <cell r="U19">
            <v>-2.0423532390884498E-3</v>
          </cell>
          <cell r="V19">
            <v>-1.26922337044733E-3</v>
          </cell>
          <cell r="Y19">
            <v>1.23733334869304</v>
          </cell>
          <cell r="Z19">
            <v>1.2372693675725099</v>
          </cell>
          <cell r="AF19">
            <v>1.0947342245814E-4</v>
          </cell>
        </row>
        <row r="20">
          <cell r="O20">
            <v>1.2388993693114601</v>
          </cell>
          <cell r="P20">
            <v>1.24068292468768</v>
          </cell>
          <cell r="U20">
            <v>-2.0423532390884498E-3</v>
          </cell>
          <cell r="V20">
            <v>-9.4131833769517696E-4</v>
          </cell>
          <cell r="Y20">
            <v>1.23733334869304</v>
          </cell>
          <cell r="Z20">
            <v>1.2372603800375801</v>
          </cell>
          <cell r="AF20">
            <v>9.2421464356506902E-5</v>
          </cell>
        </row>
        <row r="21">
          <cell r="O21">
            <v>1.2388993693114601</v>
          </cell>
          <cell r="P21">
            <v>1.24108965133066</v>
          </cell>
          <cell r="Q21">
            <v>1.23934687845655</v>
          </cell>
          <cell r="U21">
            <v>-2.4542996918759299E-3</v>
          </cell>
          <cell r="V21">
            <v>-1.0157060318630999E-3</v>
          </cell>
          <cell r="Y21">
            <v>1.23733334869304</v>
          </cell>
          <cell r="Z21">
            <v>1.2372392102010099</v>
          </cell>
          <cell r="AA21">
            <v>1.2374216578917301</v>
          </cell>
          <cell r="AF21">
            <v>-3.26789023099517E-4</v>
          </cell>
        </row>
        <row r="22">
          <cell r="O22">
            <v>1.2388993693114601</v>
          </cell>
          <cell r="P22">
            <v>1.24103592090989</v>
          </cell>
          <cell r="Q22">
            <v>1.2392702305260399</v>
          </cell>
          <cell r="U22">
            <v>1.8685283133910999E-3</v>
          </cell>
          <cell r="V22">
            <v>3.6348930597279098E-3</v>
          </cell>
          <cell r="W22">
            <v>2.22967817923236E-3</v>
          </cell>
          <cell r="Y22">
            <v>1.23733334869304</v>
          </cell>
          <cell r="Z22">
            <v>1.2371839373857001</v>
          </cell>
          <cell r="AA22">
            <v>1.2373442387639499</v>
          </cell>
          <cell r="AF22">
            <v>5.4007534418505502E-4</v>
          </cell>
          <cell r="AG22">
            <v>6.8752802620265004E-4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1.2388993693114601</v>
          </cell>
          <cell r="P23">
            <v>1.2407045258166101</v>
          </cell>
          <cell r="Q23">
            <v>1.2392823720000701</v>
          </cell>
          <cell r="U23">
            <v>9.4427372475070295E-4</v>
          </cell>
          <cell r="V23">
            <v>2.6673445931457598E-3</v>
          </cell>
          <cell r="W23">
            <v>1.24357625624403E-3</v>
          </cell>
          <cell r="Y23">
            <v>1.23733334869304</v>
          </cell>
          <cell r="Z23">
            <v>1.23727840991476</v>
          </cell>
          <cell r="AA23">
            <v>1.2373554117674499</v>
          </cell>
          <cell r="AF23">
            <v>-4.256783745556E-4</v>
          </cell>
          <cell r="AG23">
            <v>-2.9611720809329898E-4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1.2388993693114601</v>
          </cell>
          <cell r="P24">
            <v>1.24013195393197</v>
          </cell>
          <cell r="Q24">
            <v>1.23923129947708</v>
          </cell>
          <cell r="U24">
            <v>1.9662462204438399E-3</v>
          </cell>
          <cell r="V24">
            <v>3.4222504053041101E-3</v>
          </cell>
          <cell r="W24">
            <v>2.2753459811824298E-3</v>
          </cell>
          <cell r="Y24">
            <v>1.23733334869304</v>
          </cell>
          <cell r="Z24">
            <v>1.23713275660204</v>
          </cell>
          <cell r="AA24">
            <v>1.2373035892233</v>
          </cell>
          <cell r="AF24">
            <v>6.6913465089252601E-4</v>
          </cell>
          <cell r="AG24">
            <v>7.3136757766802303E-4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1.2388993693114601</v>
          </cell>
          <cell r="P25">
            <v>1.2397496421572001</v>
          </cell>
          <cell r="Q25">
            <v>1.2392118178018601</v>
          </cell>
          <cell r="U25">
            <v>1.45539052606444E-3</v>
          </cell>
          <cell r="V25">
            <v>2.4497988746157101E-3</v>
          </cell>
          <cell r="W25">
            <v>1.7232780687081899E-3</v>
          </cell>
          <cell r="Y25">
            <v>1.23733334869304</v>
          </cell>
          <cell r="Z25">
            <v>1.2371762705692799</v>
          </cell>
          <cell r="AA25">
            <v>1.2372832484134499</v>
          </cell>
          <cell r="AF25">
            <v>4.2309151409616403E-5</v>
          </cell>
          <cell r="AG25">
            <v>1.80387160024781E-4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1.2388993693114601</v>
          </cell>
          <cell r="P26">
            <v>1.2393551428377301</v>
          </cell>
          <cell r="Q26">
            <v>1.2392118178018601</v>
          </cell>
          <cell r="U26">
            <v>1.1404823419767301E-3</v>
          </cell>
          <cell r="V26">
            <v>1.8265600199017899E-3</v>
          </cell>
          <cell r="W26">
            <v>1.39264898702559E-3</v>
          </cell>
          <cell r="Y26">
            <v>1.23733334869304</v>
          </cell>
          <cell r="Z26">
            <v>1.23720764006204</v>
          </cell>
          <cell r="AA26">
            <v>1.2372823226968599</v>
          </cell>
          <cell r="AF26">
            <v>-2.36354685902751E-4</v>
          </cell>
          <cell r="AG26">
            <v>-1.4988906105323601E-4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1.2388993693114601</v>
          </cell>
          <cell r="P27">
            <v>1.2390117160412499</v>
          </cell>
          <cell r="Q27">
            <v>1.2392373540633499</v>
          </cell>
          <cell r="U27">
            <v>7.2785596929742901E-4</v>
          </cell>
          <cell r="V27">
            <v>1.0956741487245E-3</v>
          </cell>
          <cell r="W27">
            <v>9.800226143461641E-4</v>
          </cell>
          <cell r="Y27">
            <v>1.23733334869304</v>
          </cell>
          <cell r="Z27">
            <v>1.2372899063823399</v>
          </cell>
          <cell r="AA27">
            <v>1.2373068453940399</v>
          </cell>
          <cell r="AF27">
            <v>-6.2221262191337E-4</v>
          </cell>
          <cell r="AG27">
            <v>-5.6185057885260097E-4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1.2388993693114601</v>
          </cell>
          <cell r="P28">
            <v>1.23856606582664</v>
          </cell>
          <cell r="Q28">
            <v>1.2392118178018601</v>
          </cell>
          <cell r="U28">
            <v>1.1404823419767301E-3</v>
          </cell>
          <cell r="V28">
            <v>1.2311609224348501E-3</v>
          </cell>
          <cell r="W28">
            <v>1.4132556323279599E-3</v>
          </cell>
          <cell r="Y28">
            <v>1.23733334869304</v>
          </cell>
          <cell r="Z28">
            <v>1.23727030121409</v>
          </cell>
          <cell r="AA28">
            <v>1.23728038341595</v>
          </cell>
          <cell r="AF28">
            <v>-1.4450795613181499E-4</v>
          </cell>
          <cell r="AG28">
            <v>-1.3081763532822799E-4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1.2388993693114601</v>
          </cell>
          <cell r="P29">
            <v>1.23817156650717</v>
          </cell>
          <cell r="Q29">
            <v>1.23921787924219</v>
          </cell>
          <cell r="U29">
            <v>1.1404823419767301E-3</v>
          </cell>
          <cell r="V29">
            <v>8.7141421928231501E-4</v>
          </cell>
          <cell r="W29">
            <v>1.3926489870253701E-3</v>
          </cell>
          <cell r="Y29">
            <v>1.23733334869304</v>
          </cell>
          <cell r="Z29">
            <v>1.23730167070685</v>
          </cell>
          <cell r="AA29">
            <v>1.2372855191396801</v>
          </cell>
          <cell r="AF29">
            <v>-1.6035333196087501E-4</v>
          </cell>
          <cell r="AG29">
            <v>-1.52204618804579E-4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1.2388993693114601</v>
          </cell>
          <cell r="P30">
            <v>1.2377770671877</v>
          </cell>
          <cell r="Q30">
            <v>1.23922999593769</v>
          </cell>
          <cell r="U30">
            <v>1.1404823419767301E-3</v>
          </cell>
          <cell r="V30">
            <v>5.5285054289258399E-4</v>
          </cell>
          <cell r="W30">
            <v>1.3975403424919799E-3</v>
          </cell>
          <cell r="Y30">
            <v>1.23733334869304</v>
          </cell>
          <cell r="Z30">
            <v>1.2373330401996001</v>
          </cell>
          <cell r="AA30">
            <v>1.2372967101185901</v>
          </cell>
          <cell r="AF30">
            <v>-1.34999862259215E-4</v>
          </cell>
          <cell r="AG30">
            <v>-1.4805381100126499E-4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1.2388993693114601</v>
          </cell>
          <cell r="P31">
            <v>1.23731929409244</v>
          </cell>
          <cell r="Q31">
            <v>1.2392044727115501</v>
          </cell>
          <cell r="U31">
            <v>1.23845082338254E-3</v>
          </cell>
          <cell r="V31">
            <v>3.32153832752948E-4</v>
          </cell>
          <cell r="W31">
            <v>1.5052864719373399E-3</v>
          </cell>
          <cell r="Y31">
            <v>1.23733334869304</v>
          </cell>
          <cell r="Z31">
            <v>1.2373013547754601</v>
          </cell>
          <cell r="AA31">
            <v>1.23727028248823</v>
          </cell>
          <cell r="AF31">
            <v>-1.2021572920747701E-5</v>
          </cell>
          <cell r="AG31">
            <v>-4.1383606583385002E-5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1.2388993693114601</v>
          </cell>
          <cell r="P32">
            <v>1.23744827963485</v>
          </cell>
          <cell r="Q32">
            <v>1.2392421002723699</v>
          </cell>
          <cell r="U32">
            <v>8.2599464100393801E-4</v>
          </cell>
          <cell r="V32">
            <v>-4.5020560481751098E-4</v>
          </cell>
          <cell r="W32">
            <v>1.07223404103177E-3</v>
          </cell>
          <cell r="Y32">
            <v>1.23733334869304</v>
          </cell>
          <cell r="Z32">
            <v>1.23742989838754</v>
          </cell>
          <cell r="AA32">
            <v>1.2373069178866201</v>
          </cell>
          <cell r="AF32">
            <v>-4.4867404464796797E-4</v>
          </cell>
          <cell r="AG32">
            <v>-4.7378731011553301E-4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1.2388993693114601</v>
          </cell>
          <cell r="P33">
            <v>1.2373997632958</v>
          </cell>
          <cell r="Q33">
            <v>1.2390521445561999</v>
          </cell>
          <cell r="U33">
            <v>1.33632892102614E-3</v>
          </cell>
          <cell r="V33">
            <v>1.6436920582196899E-4</v>
          </cell>
          <cell r="W33">
            <v>1.6129321475154899E-3</v>
          </cell>
          <cell r="Y33">
            <v>1.23733334869304</v>
          </cell>
          <cell r="Z33">
            <v>1.2373815527199901</v>
          </cell>
          <cell r="AA33">
            <v>1.2373299813173799</v>
          </cell>
          <cell r="AF33">
            <v>1.6379087150834501E-4</v>
          </cell>
          <cell r="AG33">
            <v>6.4402120175465293E-5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1.2388993693114601</v>
          </cell>
          <cell r="P34">
            <v>1.2374776749507499</v>
          </cell>
          <cell r="Q34">
            <v>1.2388048144413599</v>
          </cell>
          <cell r="U34">
            <v>1.33632892102614E-3</v>
          </cell>
          <cell r="V34">
            <v>1.25161676134793E-4</v>
          </cell>
          <cell r="W34">
            <v>1.4596366161767401E-3</v>
          </cell>
          <cell r="Y34">
            <v>1.23733334869304</v>
          </cell>
          <cell r="Z34">
            <v>1.2374591981477201</v>
          </cell>
          <cell r="AA34">
            <v>1.23729597737488</v>
          </cell>
          <cell r="AF34">
            <v>1.2472068897764399E-4</v>
          </cell>
          <cell r="AG34">
            <v>8.3041970540373295E-5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1.2388993693114601</v>
          </cell>
          <cell r="P35">
            <v>1.2375434253183499</v>
          </cell>
          <cell r="Q35">
            <v>1.2386465337377801</v>
          </cell>
          <cell r="U35">
            <v>9.2404278861426897E-4</v>
          </cell>
          <cell r="V35">
            <v>-2.24162425285403E-4</v>
          </cell>
          <cell r="W35">
            <v>8.4771820494008098E-4</v>
          </cell>
          <cell r="Y35">
            <v>1.23733334869304</v>
          </cell>
          <cell r="Z35">
            <v>1.23752472517737</v>
          </cell>
          <cell r="AA35">
            <v>1.2373504978733201</v>
          </cell>
          <cell r="AF35">
            <v>-2.23406911382112E-4</v>
          </cell>
          <cell r="AG35">
            <v>-3.5531553385373399E-4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1.2388993693114601</v>
          </cell>
          <cell r="P36">
            <v>1.23800145750502</v>
          </cell>
          <cell r="Q36">
            <v>1.2386783001713799</v>
          </cell>
          <cell r="U36">
            <v>-2.5539930558266199E-3</v>
          </cell>
          <cell r="V36">
            <v>-3.6490671124963501E-3</v>
          </cell>
          <cell r="W36">
            <v>-2.7580946825634602E-3</v>
          </cell>
          <cell r="Y36">
            <v>1.23733334869304</v>
          </cell>
          <cell r="Z36">
            <v>1.23755928128783</v>
          </cell>
          <cell r="AA36">
            <v>1.2373834606749301</v>
          </cell>
          <cell r="AF36">
            <v>-2.3395055425920599E-4</v>
          </cell>
          <cell r="AG36">
            <v>-3.7474739339539702E-4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1.2388993693114601</v>
          </cell>
          <cell r="P37">
            <v>1.2383448843015099</v>
          </cell>
          <cell r="Q37">
            <v>1.2386783001713799</v>
          </cell>
          <cell r="U37">
            <v>-2.0423532390884498E-3</v>
          </cell>
          <cell r="V37">
            <v>-2.7673817392653002E-3</v>
          </cell>
          <cell r="W37">
            <v>-2.2208091102374401E-3</v>
          </cell>
          <cell r="Y37">
            <v>1.23733334869304</v>
          </cell>
          <cell r="Z37">
            <v>1.2374800576268401</v>
          </cell>
          <cell r="AA37">
            <v>1.2373849820045899</v>
          </cell>
          <cell r="AF37">
            <v>3.0211769569681902E-4</v>
          </cell>
          <cell r="AG37">
            <v>1.6003714553919501E-4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1.2388993693114601</v>
          </cell>
          <cell r="P38">
            <v>1.2387517394155001</v>
          </cell>
          <cell r="Q38">
            <v>1.2386589026210699</v>
          </cell>
          <cell r="U38">
            <v>-2.1418768332208201E-3</v>
          </cell>
          <cell r="V38">
            <v>-2.5895396088301899E-3</v>
          </cell>
          <cell r="W38">
            <v>-2.32033270436979E-3</v>
          </cell>
          <cell r="Y38">
            <v>1.23733334869304</v>
          </cell>
          <cell r="Z38">
            <v>1.23746378631774</v>
          </cell>
          <cell r="AA38">
            <v>1.2373670437659201</v>
          </cell>
          <cell r="AF38">
            <v>1.4066119364385899E-4</v>
          </cell>
          <cell r="AG38">
            <v>6.3828218289881599E-5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1.2388993693114601</v>
          </cell>
          <cell r="P39">
            <v>1.2391585945295001</v>
          </cell>
          <cell r="Q39">
            <v>1.2386650805183299</v>
          </cell>
          <cell r="U39">
            <v>-2.1418768332208201E-3</v>
          </cell>
          <cell r="V39">
            <v>-2.2610460702584901E-3</v>
          </cell>
          <cell r="W39">
            <v>-2.3359927043771502E-3</v>
          </cell>
          <cell r="Y39">
            <v>1.23733334869304</v>
          </cell>
          <cell r="Z39">
            <v>1.2374475150086499</v>
          </cell>
          <cell r="AA39">
            <v>1.23737459285775</v>
          </cell>
          <cell r="AF39">
            <v>1.2751236270090101E-4</v>
          </cell>
          <cell r="AG39">
            <v>4.93312194087988E-5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1.2388993693114601</v>
          </cell>
          <cell r="P40">
            <v>1.2395530938489701</v>
          </cell>
          <cell r="Q40">
            <v>1.2386650805183299</v>
          </cell>
          <cell r="U40">
            <v>-2.0423532390884498E-3</v>
          </cell>
          <cell r="V40">
            <v>-1.83313681012502E-3</v>
          </cell>
          <cell r="W40">
            <v>-2.23148155326356E-3</v>
          </cell>
          <cell r="Y40">
            <v>1.23733334869304</v>
          </cell>
          <cell r="Z40">
            <v>1.2374191881752099</v>
          </cell>
          <cell r="AA40">
            <v>1.23737611418741</v>
          </cell>
          <cell r="AF40">
            <v>2.11801758440102E-4</v>
          </cell>
          <cell r="AG40">
            <v>1.5287053207985499E-4</v>
          </cell>
          <cell r="AR40">
            <v>0</v>
          </cell>
          <cell r="BC40">
            <v>0</v>
          </cell>
          <cell r="BF40">
            <v>0</v>
          </cell>
        </row>
        <row r="41">
          <cell r="O41">
            <v>1.2388993693114601</v>
          </cell>
          <cell r="P41">
            <v>1.2395505088879599</v>
          </cell>
          <cell r="Q41">
            <v>1.2384349014902001</v>
          </cell>
          <cell r="U41">
            <v>1.2593418774856399E-3</v>
          </cell>
          <cell r="V41">
            <v>1.78686827743026E-3</v>
          </cell>
          <cell r="W41">
            <v>1.0702135633104E-3</v>
          </cell>
          <cell r="Y41">
            <v>1.23733334869304</v>
          </cell>
          <cell r="Z41">
            <v>1.2374072698938501</v>
          </cell>
          <cell r="AA41">
            <v>1.23735431233465</v>
          </cell>
          <cell r="AF41">
            <v>1.53925743693651E-4</v>
          </cell>
          <cell r="AG41">
            <v>1.19115601808295E-4</v>
          </cell>
          <cell r="AR41">
            <v>0</v>
          </cell>
          <cell r="BC41">
            <v>0</v>
          </cell>
          <cell r="BF41">
            <v>0</v>
          </cell>
        </row>
        <row r="42">
          <cell r="O42">
            <v>1.2388993693114601</v>
          </cell>
          <cell r="P42">
            <v>1.23956020092163</v>
          </cell>
          <cell r="Q42">
            <v>1.23850424027824</v>
          </cell>
          <cell r="U42">
            <v>7.4770206074728496E-4</v>
          </cell>
          <cell r="V42">
            <v>1.2731430609475001E-3</v>
          </cell>
          <cell r="W42">
            <v>3.7272817677926599E-4</v>
          </cell>
          <cell r="Y42">
            <v>1.23733334869304</v>
          </cell>
          <cell r="Z42">
            <v>1.2374073658205</v>
          </cell>
          <cell r="AA42">
            <v>1.2374186321040199</v>
          </cell>
          <cell r="AF42">
            <v>-3.6385093413912199E-4</v>
          </cell>
          <cell r="AG42">
            <v>-4.0664904413567198E-4</v>
          </cell>
          <cell r="AR42">
            <v>0</v>
          </cell>
          <cell r="BC42">
            <v>0</v>
          </cell>
          <cell r="BF42">
            <v>0</v>
          </cell>
        </row>
        <row r="43">
          <cell r="O43">
            <v>1.2388993693114601</v>
          </cell>
          <cell r="P43">
            <v>1.23963304991793</v>
          </cell>
          <cell r="Q43">
            <v>1.2385164066068599</v>
          </cell>
          <cell r="U43">
            <v>7.4770206074728496E-4</v>
          </cell>
          <cell r="V43">
            <v>1.28096202089354E-3</v>
          </cell>
          <cell r="W43">
            <v>4.2871565494196202E-4</v>
          </cell>
          <cell r="Y43">
            <v>1.23733334869304</v>
          </cell>
          <cell r="Z43">
            <v>1.2374704006544801</v>
          </cell>
          <cell r="AA43">
            <v>1.23742597668724</v>
          </cell>
          <cell r="AF43">
            <v>-3.63773411846778E-4</v>
          </cell>
          <cell r="AG43">
            <v>-3.54668704258658E-4</v>
          </cell>
          <cell r="AR43">
            <v>0</v>
          </cell>
          <cell r="BC43">
            <v>0</v>
          </cell>
          <cell r="BF43">
            <v>0</v>
          </cell>
        </row>
        <row r="44">
          <cell r="O44">
            <v>1.2388993693114601</v>
          </cell>
          <cell r="P44">
            <v>1.23964257546728</v>
          </cell>
          <cell r="Q44">
            <v>1.2385601252090199</v>
          </cell>
          <cell r="U44">
            <v>1.2593418774856399E-3</v>
          </cell>
          <cell r="V44">
            <v>1.8513701456682699E-3</v>
          </cell>
          <cell r="W44">
            <v>9.5017882833356502E-4</v>
          </cell>
          <cell r="Y44">
            <v>1.23733334869304</v>
          </cell>
          <cell r="Z44">
            <v>1.23747055034459</v>
          </cell>
          <cell r="AA44">
            <v>1.23746487424616</v>
          </cell>
          <cell r="AF44">
            <v>1.9531141157355799E-4</v>
          </cell>
          <cell r="AG44">
            <v>1.59411753181855E-4</v>
          </cell>
          <cell r="AR44">
            <v>0</v>
          </cell>
          <cell r="BC44">
            <v>0</v>
          </cell>
          <cell r="BF44">
            <v>0</v>
          </cell>
        </row>
        <row r="45">
          <cell r="O45">
            <v>1.2388993693114601</v>
          </cell>
          <cell r="P45">
            <v>1.23970338239875</v>
          </cell>
          <cell r="Q45">
            <v>1.23862340385855</v>
          </cell>
          <cell r="U45">
            <v>4.32895549454491E-4</v>
          </cell>
          <cell r="V45">
            <v>1.0326079567078499E-3</v>
          </cell>
          <cell r="W45">
            <v>1.59031048084125E-4</v>
          </cell>
          <cell r="Y45">
            <v>1.23733334869304</v>
          </cell>
          <cell r="Z45">
            <v>1.2375214581610601</v>
          </cell>
          <cell r="AA45">
            <v>1.2375230916692099</v>
          </cell>
          <cell r="AF45">
            <v>-6.2544656032993305E-4</v>
          </cell>
          <cell r="AG45">
            <v>-6.3003342621684004E-4</v>
          </cell>
          <cell r="AR45">
            <v>0</v>
          </cell>
          <cell r="BC45">
            <v>0</v>
          </cell>
          <cell r="BF45">
            <v>0</v>
          </cell>
        </row>
        <row r="46">
          <cell r="O46">
            <v>1.2388993693114601</v>
          </cell>
          <cell r="P46">
            <v>1.2392063868616401</v>
          </cell>
          <cell r="Q46">
            <v>1.23860392218333</v>
          </cell>
          <cell r="U46">
            <v>1.45539052606444E-3</v>
          </cell>
          <cell r="V46">
            <v>2.1041537172855501E-3</v>
          </cell>
          <cell r="W46">
            <v>1.23261521433547E-3</v>
          </cell>
          <cell r="Y46">
            <v>1.23733334869304</v>
          </cell>
          <cell r="Z46">
            <v>1.2374388247805299</v>
          </cell>
          <cell r="AA46">
            <v>1.2374990530341801</v>
          </cell>
          <cell r="AF46">
            <v>4.31207359275914E-4</v>
          </cell>
          <cell r="AG46">
            <v>4.32527342107143E-4</v>
          </cell>
          <cell r="AR46">
            <v>0</v>
          </cell>
          <cell r="BC46">
            <v>0</v>
          </cell>
          <cell r="BF46">
            <v>0</v>
          </cell>
        </row>
        <row r="47">
          <cell r="O47">
            <v>1.2388993693114601</v>
          </cell>
          <cell r="P47">
            <v>1.23878504574584</v>
          </cell>
          <cell r="Q47">
            <v>1.2385649650236701</v>
          </cell>
          <cell r="U47">
            <v>1.3574115120773399E-3</v>
          </cell>
          <cell r="V47">
            <v>1.6051955713187E-3</v>
          </cell>
          <cell r="W47">
            <v>1.1189075871391901E-3</v>
          </cell>
          <cell r="Y47">
            <v>1.23733334869304</v>
          </cell>
          <cell r="Z47">
            <v>1.23743110759722</v>
          </cell>
          <cell r="AA47">
            <v>1.2374555826120299</v>
          </cell>
          <cell r="AF47">
            <v>2.67157907220268E-4</v>
          </cell>
          <cell r="AG47">
            <v>3.1582842473389799E-4</v>
          </cell>
          <cell r="AR47">
            <v>0</v>
          </cell>
          <cell r="BC47">
            <v>0</v>
          </cell>
          <cell r="BF47">
            <v>0</v>
          </cell>
        </row>
        <row r="48">
          <cell r="O48">
            <v>1.2388993693114601</v>
          </cell>
          <cell r="P48">
            <v>1.2384146336853299</v>
          </cell>
          <cell r="Q48">
            <v>1.23858318655041</v>
          </cell>
          <cell r="U48">
            <v>8.4603333678089402E-4</v>
          </cell>
          <cell r="V48">
            <v>7.5375074823877603E-4</v>
          </cell>
          <cell r="W48">
            <v>5.7607644158965603E-4</v>
          </cell>
          <cell r="Y48">
            <v>1.23733334869304</v>
          </cell>
          <cell r="Z48">
            <v>1.2374741819674899</v>
          </cell>
          <cell r="AA48">
            <v>1.2374689841426201</v>
          </cell>
          <cell r="AF48">
            <v>-2.4696551602185402E-4</v>
          </cell>
          <cell r="AG48">
            <v>-2.2718682077354799E-4</v>
          </cell>
          <cell r="AR48">
            <v>0</v>
          </cell>
          <cell r="BC48">
            <v>0</v>
          </cell>
          <cell r="BF48">
            <v>0</v>
          </cell>
        </row>
        <row r="49">
          <cell r="O49">
            <v>1.2388993693114601</v>
          </cell>
          <cell r="P49">
            <v>1.23799307072967</v>
          </cell>
          <cell r="Q49">
            <v>1.2385758326295899</v>
          </cell>
          <cell r="U49">
            <v>1.2593418774856399E-3</v>
          </cell>
          <cell r="V49">
            <v>8.6800219932083999E-4</v>
          </cell>
          <cell r="W49">
            <v>1.0040966794780299E-3</v>
          </cell>
          <cell r="Y49">
            <v>1.23733334869304</v>
          </cell>
          <cell r="Z49">
            <v>1.2374664547393399</v>
          </cell>
          <cell r="AA49">
            <v>1.23745698487399</v>
          </cell>
          <cell r="AF49">
            <v>1.9836708646509799E-4</v>
          </cell>
          <cell r="AG49">
            <v>1.9416672748790101E-4</v>
          </cell>
          <cell r="AR49">
            <v>0</v>
          </cell>
          <cell r="BC49">
            <v>0</v>
          </cell>
          <cell r="BF49">
            <v>0</v>
          </cell>
        </row>
        <row r="50">
          <cell r="O50">
            <v>1.2388993693114601</v>
          </cell>
          <cell r="P50">
            <v>1.23750850943943</v>
          </cell>
          <cell r="Q50">
            <v>1.2385308016442</v>
          </cell>
          <cell r="U50">
            <v>1.8685283133910999E-3</v>
          </cell>
          <cell r="V50">
            <v>1.1367253431977E-3</v>
          </cell>
          <cell r="W50">
            <v>1.6073457324606399E-3</v>
          </cell>
          <cell r="Y50">
            <v>1.23733334869304</v>
          </cell>
          <cell r="Z50">
            <v>1.23739595426795</v>
          </cell>
          <cell r="AA50">
            <v>1.23740757122158</v>
          </cell>
          <cell r="AF50">
            <v>7.97115170703289E-4</v>
          </cell>
          <cell r="AG50">
            <v>7.8946251753980495E-4</v>
          </cell>
          <cell r="AR50">
            <v>0</v>
          </cell>
          <cell r="BC50">
            <v>0</v>
          </cell>
          <cell r="BF50">
            <v>0</v>
          </cell>
        </row>
        <row r="51">
          <cell r="O51">
            <v>1.2388993693114601</v>
          </cell>
          <cell r="P51">
            <v>1.2374963754847501</v>
          </cell>
          <cell r="Q51">
            <v>1.23852344218635</v>
          </cell>
          <cell r="U51">
            <v>1.3574115120773399E-3</v>
          </cell>
          <cell r="V51">
            <v>2.3412319578922899E-4</v>
          </cell>
          <cell r="W51">
            <v>1.05987120252046E-3</v>
          </cell>
          <cell r="Y51">
            <v>1.23733334869304</v>
          </cell>
          <cell r="Z51">
            <v>1.2373839087884599</v>
          </cell>
          <cell r="AA51">
            <v>1.2373955893411599</v>
          </cell>
          <cell r="AF51">
            <v>2.3251275599847401E-4</v>
          </cell>
          <cell r="AG51">
            <v>2.4190093854267801E-4</v>
          </cell>
          <cell r="AR51">
            <v>0</v>
          </cell>
          <cell r="BC51">
            <v>0</v>
          </cell>
          <cell r="BF51">
            <v>0</v>
          </cell>
        </row>
        <row r="52">
          <cell r="O52">
            <v>1.2388993693114601</v>
          </cell>
          <cell r="P52">
            <v>1.23735769790868</v>
          </cell>
          <cell r="Q52">
            <v>1.2384589494151499</v>
          </cell>
          <cell r="U52">
            <v>1.8685283133910999E-3</v>
          </cell>
          <cell r="V52">
            <v>7.3543480055601295E-4</v>
          </cell>
          <cell r="W52">
            <v>1.5650458991255799E-3</v>
          </cell>
          <cell r="Y52">
            <v>1.23733334869304</v>
          </cell>
          <cell r="Z52">
            <v>1.2372461948770199</v>
          </cell>
          <cell r="AA52">
            <v>1.23732678034876</v>
          </cell>
          <cell r="AF52">
            <v>7.3040733888949402E-4</v>
          </cell>
          <cell r="AG52">
            <v>7.3984701034693996E-4</v>
          </cell>
          <cell r="AR52">
            <v>0</v>
          </cell>
          <cell r="BC52">
            <v>0</v>
          </cell>
          <cell r="BF52">
            <v>0</v>
          </cell>
        </row>
        <row r="53">
          <cell r="O53">
            <v>1.2388993693114601</v>
          </cell>
          <cell r="P53">
            <v>1.23727011895294</v>
          </cell>
          <cell r="Q53">
            <v>1.23845158443543</v>
          </cell>
          <cell r="U53">
            <v>1.45539052606444E-3</v>
          </cell>
          <cell r="V53">
            <v>2.1022771774242401E-4</v>
          </cell>
          <cell r="W53">
            <v>1.0998344503676E-3</v>
          </cell>
          <cell r="Y53">
            <v>1.23733334869304</v>
          </cell>
          <cell r="Z53">
            <v>1.2371592310003501</v>
          </cell>
          <cell r="AA53">
            <v>1.2373148158274101</v>
          </cell>
          <cell r="AF53">
            <v>2.08751497747836E-4</v>
          </cell>
          <cell r="AG53">
            <v>2.7388230825583902E-4</v>
          </cell>
          <cell r="AR53">
            <v>0</v>
          </cell>
          <cell r="BC53">
            <v>0</v>
          </cell>
          <cell r="BF53">
            <v>0</v>
          </cell>
        </row>
        <row r="54">
          <cell r="O54">
            <v>1.2388993693114601</v>
          </cell>
          <cell r="P54">
            <v>1.2372579849982599</v>
          </cell>
          <cell r="Q54">
            <v>1.2384502802327699</v>
          </cell>
          <cell r="U54">
            <v>1.3574115120773399E-3</v>
          </cell>
          <cell r="V54">
            <v>4.1467186489152403E-5</v>
          </cell>
          <cell r="W54">
            <v>9.95908528232847E-4</v>
          </cell>
          <cell r="Y54">
            <v>1.23733334869304</v>
          </cell>
          <cell r="Z54">
            <v>1.23714718552086</v>
          </cell>
          <cell r="AA54">
            <v>1.23730886793273</v>
          </cell>
          <cell r="AF54">
            <v>4.1186840349336899E-5</v>
          </cell>
          <cell r="AG54">
            <v>1.6693867635762401E-4</v>
          </cell>
          <cell r="AR54">
            <v>0</v>
          </cell>
          <cell r="BC54">
            <v>0</v>
          </cell>
          <cell r="BF54">
            <v>0</v>
          </cell>
        </row>
        <row r="55">
          <cell r="O55">
            <v>1.2388993693114601</v>
          </cell>
          <cell r="P55">
            <v>1.2371314276992</v>
          </cell>
          <cell r="Q55">
            <v>1.23841740504897</v>
          </cell>
          <cell r="U55">
            <v>1.45539052606444E-3</v>
          </cell>
          <cell r="V55">
            <v>1.29639114708363E-4</v>
          </cell>
          <cell r="W55">
            <v>1.09283445030624E-3</v>
          </cell>
          <cell r="Y55">
            <v>1.23733334869304</v>
          </cell>
          <cell r="Z55">
            <v>1.23702150359121</v>
          </cell>
          <cell r="AA55">
            <v>1.23727148087613</v>
          </cell>
          <cell r="AF55">
            <v>1.2872432260199401E-4</v>
          </cell>
          <cell r="AG55">
            <v>2.5940549745873099E-4</v>
          </cell>
          <cell r="AR55">
            <v>0</v>
          </cell>
          <cell r="BC55">
            <v>0</v>
          </cell>
          <cell r="BF55">
            <v>0</v>
          </cell>
        </row>
        <row r="56">
          <cell r="O56">
            <v>1.2388993693114601</v>
          </cell>
          <cell r="P56">
            <v>1.23762679606784</v>
          </cell>
          <cell r="Q56">
            <v>1.23841659146474</v>
          </cell>
          <cell r="U56">
            <v>-2.5408924871983202E-3</v>
          </cell>
          <cell r="V56">
            <v>-3.9689376592101904E-3</v>
          </cell>
          <cell r="W56">
            <v>-2.9299943360682501E-3</v>
          </cell>
          <cell r="Y56">
            <v>1.23733334869304</v>
          </cell>
          <cell r="Z56">
            <v>1.2371024692144601</v>
          </cell>
          <cell r="AA56">
            <v>1.2372706469974899</v>
          </cell>
          <cell r="AF56">
            <v>-6.2719533886582102E-4</v>
          </cell>
          <cell r="AG56">
            <v>-4.2513577086455002E-4</v>
          </cell>
          <cell r="AR56">
            <v>0</v>
          </cell>
          <cell r="BC56">
            <v>0</v>
          </cell>
          <cell r="BF56">
            <v>0</v>
          </cell>
        </row>
        <row r="57">
          <cell r="O57">
            <v>1.2388993693114601</v>
          </cell>
          <cell r="P57">
            <v>1.2381100428823799</v>
          </cell>
          <cell r="Q57">
            <v>1.2384475443141101</v>
          </cell>
          <cell r="U57">
            <v>-2.5408924871983202E-3</v>
          </cell>
          <cell r="V57">
            <v>-3.5686008743862499E-3</v>
          </cell>
          <cell r="W57">
            <v>-2.9306512910626998E-3</v>
          </cell>
          <cell r="Y57">
            <v>1.23733334869304</v>
          </cell>
          <cell r="Z57">
            <v>1.23717140158439</v>
          </cell>
          <cell r="AA57">
            <v>1.23730125459081</v>
          </cell>
          <cell r="AF57">
            <v>-5.6174540654993304E-4</v>
          </cell>
          <cell r="AG57">
            <v>-4.2580973687084101E-4</v>
          </cell>
          <cell r="AR57">
            <v>0</v>
          </cell>
          <cell r="BC57">
            <v>0</v>
          </cell>
          <cell r="BF57">
            <v>0</v>
          </cell>
        </row>
        <row r="58">
          <cell r="O58">
            <v>1.2388993693114601</v>
          </cell>
          <cell r="P58">
            <v>1.2385300048471</v>
          </cell>
          <cell r="Q58">
            <v>1.2384723192662099</v>
          </cell>
          <cell r="U58">
            <v>-2.5408924871983202E-3</v>
          </cell>
          <cell r="V58">
            <v>-3.1782146159844101E-3</v>
          </cell>
          <cell r="W58">
            <v>-2.9056577123503101E-3</v>
          </cell>
          <cell r="Y58">
            <v>1.23733334869304</v>
          </cell>
          <cell r="Z58">
            <v>1.23717748687641</v>
          </cell>
          <cell r="AA58">
            <v>1.23732583442195</v>
          </cell>
          <cell r="AF58">
            <v>-5.0602613410920499E-4</v>
          </cell>
          <cell r="AG58">
            <v>-4.0107204927622398E-4</v>
          </cell>
          <cell r="AR58">
            <v>0</v>
          </cell>
          <cell r="BC58">
            <v>0</v>
          </cell>
          <cell r="BF58">
            <v>0</v>
          </cell>
        </row>
        <row r="59">
          <cell r="O59">
            <v>1.2388993693114601</v>
          </cell>
          <cell r="P59">
            <v>1.23900111770696</v>
          </cell>
          <cell r="Q59">
            <v>1.23849709421832</v>
          </cell>
          <cell r="U59">
            <v>-2.5408924871983202E-3</v>
          </cell>
          <cell r="V59">
            <v>-2.8390761375212499E-3</v>
          </cell>
          <cell r="W59">
            <v>-2.88565306668643E-3</v>
          </cell>
          <cell r="Y59">
            <v>1.23733334869304</v>
          </cell>
          <cell r="Z59">
            <v>1.2372343737668601</v>
          </cell>
          <cell r="AA59">
            <v>1.2373504142531</v>
          </cell>
          <cell r="AF59">
            <v>-5.0110743242563999E-4</v>
          </cell>
          <cell r="AG59">
            <v>-3.8120656630825402E-4</v>
          </cell>
          <cell r="AR59">
            <v>0</v>
          </cell>
          <cell r="BC59">
            <v>0</v>
          </cell>
          <cell r="BF59">
            <v>0</v>
          </cell>
        </row>
        <row r="60">
          <cell r="O60">
            <v>1.2388993693114601</v>
          </cell>
          <cell r="P60">
            <v>1.2394715548514701</v>
          </cell>
          <cell r="Q60">
            <v>1.2384900321454499</v>
          </cell>
          <cell r="U60">
            <v>-1.9285737754411701E-3</v>
          </cell>
          <cell r="V60">
            <v>-1.8464490928040199E-3</v>
          </cell>
          <cell r="W60">
            <v>-2.2533301094433298E-3</v>
          </cell>
          <cell r="Y60">
            <v>1.23733334869304</v>
          </cell>
          <cell r="Z60">
            <v>1.2372912606020801</v>
          </cell>
          <cell r="AA60">
            <v>1.2373436074350199</v>
          </cell>
          <cell r="AF60">
            <v>1.4958747602575499E-4</v>
          </cell>
          <cell r="AG60">
            <v>2.43373299721699E-4</v>
          </cell>
          <cell r="AR60">
            <v>0</v>
          </cell>
          <cell r="BC60">
            <v>0</v>
          </cell>
          <cell r="BF60">
            <v>0</v>
          </cell>
        </row>
        <row r="61">
          <cell r="O61">
            <v>1.2388993693114601</v>
          </cell>
          <cell r="P61">
            <v>1.2399423951420601</v>
          </cell>
          <cell r="Q61">
            <v>1.23871938531341</v>
          </cell>
          <cell r="U61">
            <v>-2.4410001253676599E-3</v>
          </cell>
          <cell r="V61">
            <v>-1.9792568531313E-3</v>
          </cell>
          <cell r="W61">
            <v>-2.7714586067844201E-3</v>
          </cell>
          <cell r="Y61">
            <v>1.23733334869304</v>
          </cell>
          <cell r="Z61">
            <v>1.23734812791334</v>
          </cell>
          <cell r="AA61">
            <v>1.2373660183509001</v>
          </cell>
          <cell r="AF61">
            <v>-3.1167259590483999E-4</v>
          </cell>
          <cell r="AG61">
            <v>-2.69365883414131E-4</v>
          </cell>
          <cell r="AR61">
            <v>0</v>
          </cell>
          <cell r="BC61">
            <v>0</v>
          </cell>
          <cell r="BF61">
            <v>0</v>
          </cell>
        </row>
        <row r="62">
          <cell r="O62">
            <v>1.2388993693114601</v>
          </cell>
          <cell r="P62">
            <v>1.2404004773974999</v>
          </cell>
          <cell r="Q62">
            <v>1.23887908765309</v>
          </cell>
          <cell r="U62">
            <v>-1.8290362444792899E-3</v>
          </cell>
          <cell r="V62">
            <v>-9.8749330526369094E-4</v>
          </cell>
          <cell r="W62">
            <v>-1.9743241327281201E-3</v>
          </cell>
          <cell r="Y62">
            <v>1.23733334869304</v>
          </cell>
          <cell r="Z62">
            <v>1.23739299984747</v>
          </cell>
          <cell r="AA62">
            <v>1.2373195973622499</v>
          </cell>
          <cell r="AF62">
            <v>3.3865572653845802E-4</v>
          </cell>
          <cell r="AG62">
            <v>3.5311431569389699E-4</v>
          </cell>
          <cell r="AR62">
            <v>0</v>
          </cell>
          <cell r="BC62">
            <v>0</v>
          </cell>
          <cell r="BF62">
            <v>0</v>
          </cell>
        </row>
        <row r="63">
          <cell r="O63">
            <v>1.2388993693114601</v>
          </cell>
          <cell r="P63">
            <v>1.2404612093642899</v>
          </cell>
          <cell r="Q63">
            <v>1.23886566415862</v>
          </cell>
          <cell r="U63">
            <v>9.64587986378991E-4</v>
          </cell>
          <cell r="V63">
            <v>2.17550103624735E-3</v>
          </cell>
          <cell r="W63">
            <v>9.4821714554044201E-4</v>
          </cell>
          <cell r="Y63">
            <v>1.23733334869304</v>
          </cell>
          <cell r="Z63">
            <v>1.2374550403904501</v>
          </cell>
          <cell r="AA63">
            <v>1.2373071356954</v>
          </cell>
          <cell r="AF63">
            <v>-1.7402044618527801E-4</v>
          </cell>
          <cell r="AG63">
            <v>-2.3334247439163301E-4</v>
          </cell>
          <cell r="AR63">
            <v>0</v>
          </cell>
          <cell r="BC63">
            <v>0</v>
          </cell>
          <cell r="BF63">
            <v>0</v>
          </cell>
        </row>
        <row r="64">
          <cell r="O64">
            <v>1.2388993693114601</v>
          </cell>
          <cell r="P64">
            <v>1.2404343126205799</v>
          </cell>
          <cell r="Q64">
            <v>1.23884614880942</v>
          </cell>
          <cell r="U64">
            <v>1.5748319672916301E-3</v>
          </cell>
          <cell r="V64">
            <v>2.83470539824902E-3</v>
          </cell>
          <cell r="W64">
            <v>1.5476258743864701E-3</v>
          </cell>
          <cell r="Y64">
            <v>1.23733334869304</v>
          </cell>
          <cell r="Z64">
            <v>1.2374303138479601</v>
          </cell>
          <cell r="AA64">
            <v>1.23728874968441</v>
          </cell>
          <cell r="AF64">
            <v>4.8015568285492599E-4</v>
          </cell>
          <cell r="AG64">
            <v>3.6062525147944902E-4</v>
          </cell>
          <cell r="AR64">
            <v>0</v>
          </cell>
          <cell r="BC64">
            <v>0</v>
          </cell>
          <cell r="BF64">
            <v>0</v>
          </cell>
        </row>
        <row r="65">
          <cell r="O65">
            <v>1.2388993693114601</v>
          </cell>
          <cell r="P65">
            <v>1.2404195374309701</v>
          </cell>
          <cell r="Q65">
            <v>1.2387754825650801</v>
          </cell>
          <cell r="U65">
            <v>1.5748319672916301E-3</v>
          </cell>
          <cell r="V65">
            <v>2.8130223056097399E-3</v>
          </cell>
          <cell r="W65">
            <v>1.5318731552094701E-3</v>
          </cell>
          <cell r="Y65">
            <v>1.23733334869304</v>
          </cell>
          <cell r="Z65">
            <v>1.2374176205587899</v>
          </cell>
          <cell r="AA65">
            <v>1.2372195620749999</v>
          </cell>
          <cell r="AF65">
            <v>4.6017371282107297E-4</v>
          </cell>
          <cell r="AG65">
            <v>3.4576544257137098E-4</v>
          </cell>
          <cell r="AR65">
            <v>0</v>
          </cell>
          <cell r="BC65">
            <v>0</v>
          </cell>
          <cell r="BF65">
            <v>0</v>
          </cell>
        </row>
        <row r="66">
          <cell r="O66">
            <v>1.2388993693114601</v>
          </cell>
          <cell r="P66">
            <v>1.23984612278083</v>
          </cell>
          <cell r="Q66">
            <v>1.23873645942434</v>
          </cell>
          <cell r="U66">
            <v>2.0864717840299199E-3</v>
          </cell>
          <cell r="V66">
            <v>3.3127507478780899E-3</v>
          </cell>
          <cell r="W66">
            <v>1.98646935926654E-3</v>
          </cell>
          <cell r="Y66">
            <v>1.23733334869304</v>
          </cell>
          <cell r="Z66">
            <v>1.23726133453566</v>
          </cell>
          <cell r="AA66">
            <v>1.2371819018750601</v>
          </cell>
          <cell r="AF66">
            <v>9.5638322465734795E-4</v>
          </cell>
          <cell r="AG66">
            <v>7.9631249945789396E-4</v>
          </cell>
          <cell r="AR66">
            <v>0</v>
          </cell>
          <cell r="BC66">
            <v>0</v>
          </cell>
          <cell r="BF66">
            <v>0</v>
          </cell>
        </row>
        <row r="67">
          <cell r="O67">
            <v>1.2388993693114601</v>
          </cell>
          <cell r="P67">
            <v>1.23943833336792</v>
          </cell>
          <cell r="Q67">
            <v>1.2387741881251499</v>
          </cell>
          <cell r="U67">
            <v>7.4770206074728496E-4</v>
          </cell>
          <cell r="V67">
            <v>1.51159937769722E-3</v>
          </cell>
          <cell r="W67">
            <v>6.1619775694967197E-4</v>
          </cell>
          <cell r="Y67">
            <v>1.23733334869304</v>
          </cell>
          <cell r="Z67">
            <v>1.2372689947475699</v>
          </cell>
          <cell r="AA67">
            <v>1.2372201981659801</v>
          </cell>
          <cell r="AF67">
            <v>-4.9522028667483295E-4</v>
          </cell>
          <cell r="AG67">
            <v>-5.5942273792311103E-4</v>
          </cell>
          <cell r="AR67">
            <v>0</v>
          </cell>
          <cell r="BC67">
            <v>0</v>
          </cell>
          <cell r="BF67">
            <v>0</v>
          </cell>
        </row>
        <row r="68">
          <cell r="O68">
            <v>1.2388993693114601</v>
          </cell>
          <cell r="P68">
            <v>1.23896722050806</v>
          </cell>
          <cell r="Q68">
            <v>1.23874861267758</v>
          </cell>
          <cell r="U68">
            <v>1.2593418774856399E-3</v>
          </cell>
          <cell r="V68">
            <v>1.6942818490423501E-3</v>
          </cell>
          <cell r="W68">
            <v>1.15829451711551E-3</v>
          </cell>
          <cell r="Y68">
            <v>1.23733334869304</v>
          </cell>
          <cell r="Z68">
            <v>1.2372139765469401</v>
          </cell>
          <cell r="AA68">
            <v>1.23719573171168</v>
          </cell>
          <cell r="AF68">
            <v>1.7438303902930098E-5</v>
          </cell>
          <cell r="AG68">
            <v>-2.2001417019361099E-5</v>
          </cell>
          <cell r="AR68">
            <v>0</v>
          </cell>
          <cell r="BC68">
            <v>0</v>
          </cell>
          <cell r="BF68">
            <v>0</v>
          </cell>
        </row>
        <row r="69">
          <cell r="O69">
            <v>1.2388993693114601</v>
          </cell>
          <cell r="P69">
            <v>1.2385472585433399</v>
          </cell>
          <cell r="Q69">
            <v>1.2387741881251499</v>
          </cell>
          <cell r="U69">
            <v>8.4603333678089402E-4</v>
          </cell>
          <cell r="V69">
            <v>9.0079915580852405E-4</v>
          </cell>
          <cell r="W69">
            <v>7.2433999279909495E-4</v>
          </cell>
          <cell r="Y69">
            <v>1.23733334869304</v>
          </cell>
          <cell r="Z69">
            <v>1.2372095922575601</v>
          </cell>
          <cell r="AA69">
            <v>1.23722198301221</v>
          </cell>
          <cell r="AF69">
            <v>-4.3619286790436102E-4</v>
          </cell>
          <cell r="AG69">
            <v>-4.5093968627017299E-4</v>
          </cell>
          <cell r="AR69">
            <v>0</v>
          </cell>
          <cell r="BC69">
            <v>0</v>
          </cell>
          <cell r="BF69">
            <v>0</v>
          </cell>
        </row>
        <row r="70">
          <cell r="O70">
            <v>1.2388993693114601</v>
          </cell>
          <cell r="P70">
            <v>1.2381279200191699</v>
          </cell>
          <cell r="Q70">
            <v>1.2387997374353199</v>
          </cell>
          <cell r="U70">
            <v>1.45539052606444E-3</v>
          </cell>
          <cell r="V70">
            <v>1.1711375645425E-3</v>
          </cell>
          <cell r="W70">
            <v>1.3543431656942201E-3</v>
          </cell>
          <cell r="Y70">
            <v>1.23733334869304</v>
          </cell>
          <cell r="Z70">
            <v>1.2372054016557199</v>
          </cell>
          <cell r="AA70">
            <v>1.2372483311289</v>
          </cell>
          <cell r="AF70">
            <v>1.63433874390905E-4</v>
          </cell>
          <cell r="AG70">
            <v>1.7344890553587701E-4</v>
          </cell>
          <cell r="AR70">
            <v>0</v>
          </cell>
          <cell r="BC70">
            <v>0</v>
          </cell>
          <cell r="BF70">
            <v>0</v>
          </cell>
        </row>
        <row r="71">
          <cell r="O71">
            <v>1.2388993693114601</v>
          </cell>
          <cell r="P71">
            <v>1.23759385955413</v>
          </cell>
          <cell r="Q71">
            <v>1.2387681273480999</v>
          </cell>
          <cell r="U71">
            <v>1.8685283133910999E-3</v>
          </cell>
          <cell r="V71">
            <v>1.24564513357631E-3</v>
          </cell>
          <cell r="W71">
            <v>1.7881054114120801E-3</v>
          </cell>
          <cell r="Y71">
            <v>1.23733334869304</v>
          </cell>
          <cell r="Z71">
            <v>1.2370878646024901</v>
          </cell>
          <cell r="AA71">
            <v>1.23721799625791</v>
          </cell>
          <cell r="AF71">
            <v>5.6904211348313897E-4</v>
          </cell>
          <cell r="AG71">
            <v>6.0374025523385496E-4</v>
          </cell>
          <cell r="AR71">
            <v>0</v>
          </cell>
          <cell r="BC71">
            <v>0</v>
          </cell>
          <cell r="BF71">
            <v>0</v>
          </cell>
        </row>
        <row r="72">
          <cell r="O72">
            <v>1.2388993693114601</v>
          </cell>
          <cell r="P72">
            <v>1.23713577729869</v>
          </cell>
          <cell r="Q72">
            <v>1.2387681273480999</v>
          </cell>
          <cell r="U72">
            <v>1.8685283133910999E-3</v>
          </cell>
          <cell r="V72">
            <v>8.1420693423362703E-4</v>
          </cell>
          <cell r="W72">
            <v>1.76258838104194E-3</v>
          </cell>
          <cell r="Y72">
            <v>1.23733334869304</v>
          </cell>
          <cell r="Z72">
            <v>1.2370451062144701</v>
          </cell>
          <cell r="AA72">
            <v>1.2372190530309699</v>
          </cell>
          <cell r="AF72">
            <v>4.7403554742957897E-4</v>
          </cell>
          <cell r="AG72">
            <v>5.7922194140541802E-4</v>
          </cell>
          <cell r="AR72">
            <v>0</v>
          </cell>
          <cell r="BC72">
            <v>0</v>
          </cell>
          <cell r="BF72">
            <v>0</v>
          </cell>
        </row>
        <row r="73">
          <cell r="O73">
            <v>1.2388993693114601</v>
          </cell>
          <cell r="P73">
            <v>1.2370871668860099</v>
          </cell>
          <cell r="Q73">
            <v>1.2387741881251499</v>
          </cell>
          <cell r="U73">
            <v>1.3574115120773399E-3</v>
          </cell>
          <cell r="V73">
            <v>-6.7117791085499301E-5</v>
          </cell>
          <cell r="W73">
            <v>1.2514715797284099E-3</v>
          </cell>
          <cell r="Y73">
            <v>1.23733334869304</v>
          </cell>
          <cell r="Z73">
            <v>1.2369970064088001</v>
          </cell>
          <cell r="AA73">
            <v>1.2372260233996299</v>
          </cell>
          <cell r="AF73">
            <v>-6.6483639944680303E-5</v>
          </cell>
          <cell r="AG73">
            <v>7.4121247483015096E-5</v>
          </cell>
          <cell r="AR73">
            <v>0</v>
          </cell>
          <cell r="BC73">
            <v>0</v>
          </cell>
          <cell r="BF73">
            <v>0</v>
          </cell>
        </row>
        <row r="74">
          <cell r="O74">
            <v>1.2388993693114601</v>
          </cell>
          <cell r="P74">
            <v>1.23710194207562</v>
          </cell>
          <cell r="Q74">
            <v>1.2387681273480999</v>
          </cell>
          <cell r="U74">
            <v>1.45539052606444E-3</v>
          </cell>
          <cell r="V74">
            <v>-8.4322553243452505E-6</v>
          </cell>
          <cell r="W74">
            <v>1.35434316569444E-3</v>
          </cell>
          <cell r="Y74">
            <v>1.23733334869304</v>
          </cell>
          <cell r="Z74">
            <v>1.2370116458965901</v>
          </cell>
          <cell r="AA74">
            <v>1.23722097987228</v>
          </cell>
          <cell r="AF74">
            <v>-8.4077571040091594E-6</v>
          </cell>
          <cell r="AG74">
            <v>1.76714593404864E-4</v>
          </cell>
          <cell r="AR74">
            <v>0</v>
          </cell>
          <cell r="BC74">
            <v>0</v>
          </cell>
          <cell r="BF74">
            <v>0</v>
          </cell>
        </row>
        <row r="75">
          <cell r="O75">
            <v>1.2388993693114601</v>
          </cell>
          <cell r="P75">
            <v>1.23754842334365</v>
          </cell>
          <cell r="Q75">
            <v>1.2389839803873099</v>
          </cell>
          <cell r="U75">
            <v>-2.02820342187942E-3</v>
          </cell>
          <cell r="V75">
            <v>-3.48008274304274E-3</v>
          </cell>
          <cell r="W75">
            <v>-2.1341433542283201E-3</v>
          </cell>
          <cell r="Y75">
            <v>1.23733334869304</v>
          </cell>
          <cell r="Z75">
            <v>1.23704795513223</v>
          </cell>
          <cell r="AA75">
            <v>1.2372327878455101</v>
          </cell>
          <cell r="AF75">
            <v>-1.7173659002962899E-4</v>
          </cell>
          <cell r="AG75">
            <v>-2.52535741877753E-6</v>
          </cell>
          <cell r="AR75">
            <v>0</v>
          </cell>
          <cell r="BC75">
            <v>0</v>
          </cell>
          <cell r="BF75">
            <v>0</v>
          </cell>
        </row>
        <row r="76">
          <cell r="O76">
            <v>1.2388993693114601</v>
          </cell>
          <cell r="P76">
            <v>1.23804580814932</v>
          </cell>
          <cell r="Q76">
            <v>1.2389459654650801</v>
          </cell>
          <cell r="U76">
            <v>-1.9285737754411701E-3</v>
          </cell>
          <cell r="V76">
            <v>-3.0196091736642201E-3</v>
          </cell>
          <cell r="W76">
            <v>-1.86028074954732E-3</v>
          </cell>
          <cell r="Y76">
            <v>1.23733334869304</v>
          </cell>
          <cell r="Z76">
            <v>1.23713490091315</v>
          </cell>
          <cell r="AA76">
            <v>1.2371981177244</v>
          </cell>
          <cell r="AF76">
            <v>-4.5464879591260698E-5</v>
          </cell>
          <cell r="AG76">
            <v>1.03938306889988E-4</v>
          </cell>
          <cell r="AR76">
            <v>0</v>
          </cell>
          <cell r="BC76">
            <v>0</v>
          </cell>
          <cell r="BF76">
            <v>0</v>
          </cell>
        </row>
        <row r="77">
          <cell r="O77">
            <v>1.2388993693114601</v>
          </cell>
          <cell r="P77">
            <v>1.23837756771776</v>
          </cell>
          <cell r="Q77">
            <v>1.23890795054284</v>
          </cell>
          <cell r="U77">
            <v>-1.9285737754411701E-3</v>
          </cell>
          <cell r="V77">
            <v>-2.6177785295032098E-3</v>
          </cell>
          <cell r="W77">
            <v>-1.89096355581697E-3</v>
          </cell>
          <cell r="Y77">
            <v>1.23733334869304</v>
          </cell>
          <cell r="Z77">
            <v>1.2370579004590201</v>
          </cell>
          <cell r="AA77">
            <v>1.23716344760329</v>
          </cell>
          <cell r="AF77">
            <v>2.4817541727373998E-5</v>
          </cell>
          <cell r="AG77">
            <v>7.5915603946790196E-5</v>
          </cell>
          <cell r="AR77">
            <v>0</v>
          </cell>
          <cell r="BC77">
            <v>0</v>
          </cell>
          <cell r="BF77">
            <v>0</v>
          </cell>
        </row>
        <row r="78">
          <cell r="O78">
            <v>1.2388993693114601</v>
          </cell>
          <cell r="P78">
            <v>1.23888752981995</v>
          </cell>
          <cell r="Q78">
            <v>1.23892737516401</v>
          </cell>
          <cell r="U78">
            <v>-2.8536264980468999E-3</v>
          </cell>
          <cell r="V78">
            <v>-3.2748967998238402E-3</v>
          </cell>
          <cell r="W78">
            <v>-2.8467000261558802E-3</v>
          </cell>
          <cell r="Y78">
            <v>1.23733334869304</v>
          </cell>
          <cell r="Z78">
            <v>1.2371567107213799</v>
          </cell>
          <cell r="AA78">
            <v>1.23718534363416</v>
          </cell>
          <cell r="AF78">
            <v>-9.5150038039851497E-4</v>
          </cell>
          <cell r="AG78">
            <v>-8.6618291725031895E-4</v>
          </cell>
          <cell r="AR78">
            <v>0</v>
          </cell>
          <cell r="BC78">
            <v>0</v>
          </cell>
          <cell r="BF78">
            <v>0</v>
          </cell>
        </row>
        <row r="79">
          <cell r="O79">
            <v>1.2388993693114601</v>
          </cell>
          <cell r="P79">
            <v>1.2393339209565899</v>
          </cell>
          <cell r="Q79">
            <v>1.2389405897499699</v>
          </cell>
          <cell r="U79">
            <v>-2.7536563304990402E-3</v>
          </cell>
          <cell r="V79">
            <v>-2.7632128355533098E-3</v>
          </cell>
          <cell r="W79">
            <v>-2.7310511563422598E-3</v>
          </cell>
          <cell r="Y79">
            <v>1.23733334869304</v>
          </cell>
          <cell r="Z79">
            <v>1.2371928453846499</v>
          </cell>
          <cell r="AA79">
            <v>1.2372012188211099</v>
          </cell>
          <cell r="AF79">
            <v>-7.7437486155852503E-4</v>
          </cell>
          <cell r="AG79">
            <v>-7.5123100177264604E-4</v>
          </cell>
          <cell r="AR79">
            <v>0</v>
          </cell>
          <cell r="BC79">
            <v>0</v>
          </cell>
          <cell r="BF79">
            <v>0</v>
          </cell>
        </row>
        <row r="80">
          <cell r="O80">
            <v>1.2388993693114601</v>
          </cell>
          <cell r="P80">
            <v>1.2398557184971499</v>
          </cell>
          <cell r="Q80">
            <v>1.2389918192581599</v>
          </cell>
          <cell r="U80">
            <v>-2.7536563304990402E-3</v>
          </cell>
          <cell r="V80">
            <v>-2.4029616228718699E-3</v>
          </cell>
          <cell r="W80">
            <v>-2.7203850626296802E-3</v>
          </cell>
          <cell r="Y80">
            <v>1.23733334869304</v>
          </cell>
          <cell r="Z80">
            <v>1.23730361518318</v>
          </cell>
          <cell r="AA80">
            <v>1.2372545084194499</v>
          </cell>
          <cell r="AF80">
            <v>-7.4516745778813599E-4</v>
          </cell>
          <cell r="AG80">
            <v>-7.3839938751361499E-4</v>
          </cell>
          <cell r="AR80">
            <v>0</v>
          </cell>
          <cell r="BC80">
            <v>0</v>
          </cell>
          <cell r="BF80">
            <v>0</v>
          </cell>
        </row>
        <row r="81">
          <cell r="O81">
            <v>1.2388993693114601</v>
          </cell>
          <cell r="P81">
            <v>1.2404286146580601</v>
          </cell>
          <cell r="Q81">
            <v>1.23901123710609</v>
          </cell>
          <cell r="U81">
            <v>-2.7536563304990402E-3</v>
          </cell>
          <cell r="V81">
            <v>-1.9820196021683402E-3</v>
          </cell>
          <cell r="W81">
            <v>-2.6790364705389798E-3</v>
          </cell>
          <cell r="Y81">
            <v>1.23733334869304</v>
          </cell>
          <cell r="Z81">
            <v>1.23746496766898</v>
          </cell>
          <cell r="AA81">
            <v>1.2372764161357299</v>
          </cell>
          <cell r="AF81">
            <v>-6.5563829468636196E-4</v>
          </cell>
          <cell r="AG81">
            <v>-6.9532761398087702E-4</v>
          </cell>
          <cell r="AR81">
            <v>0</v>
          </cell>
          <cell r="BC81">
            <v>0</v>
          </cell>
          <cell r="BF81">
            <v>0</v>
          </cell>
        </row>
        <row r="82">
          <cell r="O82">
            <v>1.2388993693114601</v>
          </cell>
          <cell r="P82">
            <v>1.2408743546701599</v>
          </cell>
          <cell r="Q82">
            <v>1.2390050659844301</v>
          </cell>
          <cell r="U82">
            <v>-1.7295907008089001E-3</v>
          </cell>
          <cell r="V82">
            <v>-4.9599389521422905E-4</v>
          </cell>
          <cell r="W82">
            <v>-1.63929866653042E-3</v>
          </cell>
          <cell r="Y82">
            <v>1.23733334869304</v>
          </cell>
          <cell r="Z82">
            <v>1.2375012847350899</v>
          </cell>
          <cell r="AA82">
            <v>1.23727319547478</v>
          </cell>
          <cell r="AF82">
            <v>4.8515528465419401E-4</v>
          </cell>
          <cell r="AG82">
            <v>3.3277448652568599E-4</v>
          </cell>
          <cell r="AR82">
            <v>0</v>
          </cell>
          <cell r="BC82">
            <v>0</v>
          </cell>
          <cell r="BF82">
            <v>0</v>
          </cell>
        </row>
        <row r="83">
          <cell r="O83">
            <v>1.2388993693114601</v>
          </cell>
          <cell r="P83">
            <v>1.2413716233051699</v>
          </cell>
          <cell r="Q83">
            <v>1.2392293950955899</v>
          </cell>
          <cell r="U83">
            <v>-2.6537785592697901E-3</v>
          </cell>
          <cell r="V83">
            <v>-1.0609027600116301E-3</v>
          </cell>
          <cell r="W83">
            <v>-2.5684672199596599E-3</v>
          </cell>
          <cell r="Y83">
            <v>1.23733334869304</v>
          </cell>
          <cell r="Z83">
            <v>1.2375880304739599</v>
          </cell>
          <cell r="AA83">
            <v>1.2372925184413801</v>
          </cell>
          <cell r="AF83">
            <v>-3.9872805384287102E-4</v>
          </cell>
          <cell r="AG83">
            <v>-5.8305940426060603E-4</v>
          </cell>
          <cell r="AR83">
            <v>0</v>
          </cell>
          <cell r="BC83">
            <v>0</v>
          </cell>
          <cell r="BF83">
            <v>0</v>
          </cell>
        </row>
        <row r="84">
          <cell r="O84">
            <v>1.2388993693114601</v>
          </cell>
          <cell r="P84">
            <v>1.24140802518823</v>
          </cell>
          <cell r="Q84">
            <v>1.23925498363192</v>
          </cell>
          <cell r="U84">
            <v>1.1611814960366799E-3</v>
          </cell>
          <cell r="V84">
            <v>3.1547175409538798E-3</v>
          </cell>
          <cell r="W84">
            <v>1.4275322933134499E-3</v>
          </cell>
          <cell r="Y84">
            <v>1.23733334869304</v>
          </cell>
          <cell r="Z84">
            <v>1.23762528414944</v>
          </cell>
          <cell r="AA84">
            <v>1.23731846502302</v>
          </cell>
          <cell r="AF84">
            <v>1.68153203537961E-4</v>
          </cell>
          <cell r="AG84">
            <v>-7.0655925341700298E-5</v>
          </cell>
          <cell r="AR84">
            <v>0</v>
          </cell>
          <cell r="BC84">
            <v>0</v>
          </cell>
          <cell r="BF84">
            <v>0</v>
          </cell>
        </row>
        <row r="85">
          <cell r="O85">
            <v>1.2388993693114601</v>
          </cell>
          <cell r="P85">
            <v>1.2410005746185899</v>
          </cell>
          <cell r="Q85">
            <v>1.23927449898112</v>
          </cell>
          <cell r="U85">
            <v>1.2593418774856399E-3</v>
          </cell>
          <cell r="V85">
            <v>3.2822014131844899E-3</v>
          </cell>
          <cell r="W85">
            <v>1.5463412102594901E-3</v>
          </cell>
          <cell r="Y85">
            <v>1.23733334869304</v>
          </cell>
          <cell r="Z85">
            <v>1.2376288878010999</v>
          </cell>
          <cell r="AA85">
            <v>1.2373384214666601</v>
          </cell>
          <cell r="AF85">
            <v>2.9507898056602301E-4</v>
          </cell>
          <cell r="AG85">
            <v>4.7138696589116997E-5</v>
          </cell>
          <cell r="AR85">
            <v>0</v>
          </cell>
          <cell r="BC85">
            <v>0</v>
          </cell>
          <cell r="BF85">
            <v>0</v>
          </cell>
        </row>
        <row r="86">
          <cell r="O86">
            <v>1.2388993693114601</v>
          </cell>
          <cell r="P86">
            <v>1.2406054916032001</v>
          </cell>
          <cell r="Q86">
            <v>1.2393256498762599</v>
          </cell>
          <cell r="U86">
            <v>1.2593418774856399E-3</v>
          </cell>
          <cell r="V86">
            <v>2.9539310604815099E-3</v>
          </cell>
          <cell r="W86">
            <v>1.56208873259677E-3</v>
          </cell>
          <cell r="Y86">
            <v>1.23733334869304</v>
          </cell>
          <cell r="Z86">
            <v>1.23764448201819</v>
          </cell>
          <cell r="AA86">
            <v>1.2373896914656699</v>
          </cell>
          <cell r="AF86">
            <v>2.9799072328650701E-4</v>
          </cell>
          <cell r="AG86">
            <v>6.3267351642677395E-5</v>
          </cell>
          <cell r="AR86">
            <v>0</v>
          </cell>
          <cell r="BC86">
            <v>0</v>
          </cell>
          <cell r="BF86">
            <v>0</v>
          </cell>
        </row>
        <row r="87">
          <cell r="O87">
            <v>1.2388993693114601</v>
          </cell>
          <cell r="P87">
            <v>1.2402104085878101</v>
          </cell>
          <cell r="Q87">
            <v>1.23929398815278</v>
          </cell>
          <cell r="U87">
            <v>1.2593418774856399E-3</v>
          </cell>
          <cell r="V87">
            <v>2.63552192689431E-3</v>
          </cell>
          <cell r="W87">
            <v>1.60336275186255E-3</v>
          </cell>
          <cell r="Y87">
            <v>1.23733334869304</v>
          </cell>
          <cell r="Z87">
            <v>1.2376600762352801</v>
          </cell>
          <cell r="AA87">
            <v>1.2373589883471501</v>
          </cell>
          <cell r="AF87">
            <v>3.10590719132271E-4</v>
          </cell>
          <cell r="AG87">
            <v>1.04702205631344E-4</v>
          </cell>
          <cell r="AR87">
            <v>0</v>
          </cell>
          <cell r="BC87">
            <v>0</v>
          </cell>
          <cell r="BF87">
            <v>0</v>
          </cell>
        </row>
        <row r="88">
          <cell r="O88">
            <v>1.2388993693114601</v>
          </cell>
          <cell r="P88">
            <v>1.23975159738076</v>
          </cell>
          <cell r="Q88">
            <v>1.23931956360035</v>
          </cell>
          <cell r="U88">
            <v>8.4603333678089402E-4</v>
          </cell>
          <cell r="V88">
            <v>1.90370283593313E-3</v>
          </cell>
          <cell r="W88">
            <v>1.16450634331043E-3</v>
          </cell>
          <cell r="Y88">
            <v>1.23733334869304</v>
          </cell>
          <cell r="Z88">
            <v>1.2376130069276801</v>
          </cell>
          <cell r="AA88">
            <v>1.23738485882453</v>
          </cell>
          <cell r="AF88">
            <v>-8.4633854272652103E-5</v>
          </cell>
          <cell r="AG88">
            <v>-3.27935325299257E-4</v>
          </cell>
          <cell r="AR88">
            <v>0</v>
          </cell>
          <cell r="BC88">
            <v>0</v>
          </cell>
          <cell r="BF88">
            <v>0</v>
          </cell>
        </row>
        <row r="89">
          <cell r="O89">
            <v>1.2388993693114601</v>
          </cell>
          <cell r="P89">
            <v>1.2393052062441201</v>
          </cell>
          <cell r="Q89">
            <v>1.23931956360035</v>
          </cell>
          <cell r="U89">
            <v>8.4603333678089402E-4</v>
          </cell>
          <cell r="V89">
            <v>1.53368812507546E-3</v>
          </cell>
          <cell r="W89">
            <v>1.18514324134819E-3</v>
          </cell>
          <cell r="Y89">
            <v>1.23733334869304</v>
          </cell>
          <cell r="Z89">
            <v>1.23757797930791</v>
          </cell>
          <cell r="AA89">
            <v>1.23738541234628</v>
          </cell>
          <cell r="AF89">
            <v>-1.2266546211962999E-4</v>
          </cell>
          <cell r="AG89">
            <v>-3.0702772517719599E-4</v>
          </cell>
          <cell r="AR89">
            <v>0</v>
          </cell>
          <cell r="BC89">
            <v>0</v>
          </cell>
          <cell r="BF89">
            <v>0</v>
          </cell>
        </row>
        <row r="90">
          <cell r="O90">
            <v>1.2388993693114601</v>
          </cell>
          <cell r="P90">
            <v>1.2389099660026199</v>
          </cell>
          <cell r="Q90">
            <v>1.23938284224989</v>
          </cell>
          <cell r="U90">
            <v>4.32895549454491E-4</v>
          </cell>
          <cell r="V90">
            <v>7.6042051675270295E-4</v>
          </cell>
          <cell r="W90">
            <v>7.7200545402180505E-4</v>
          </cell>
          <cell r="Y90">
            <v>1.23733334869304</v>
          </cell>
          <cell r="Z90">
            <v>1.2375934204674</v>
          </cell>
          <cell r="AA90">
            <v>1.2374485178252901</v>
          </cell>
          <cell r="AF90">
            <v>-5.5862658292036595E-4</v>
          </cell>
          <cell r="AG90">
            <v>-7.1423855089310703E-4</v>
          </cell>
          <cell r="AR90">
            <v>0</v>
          </cell>
          <cell r="BC90">
            <v>0</v>
          </cell>
          <cell r="BF90">
            <v>0</v>
          </cell>
        </row>
        <row r="91">
          <cell r="O91">
            <v>1.2388993693114601</v>
          </cell>
          <cell r="P91">
            <v>1.2384002900161599</v>
          </cell>
          <cell r="Q91">
            <v>1.23941445233711</v>
          </cell>
          <cell r="U91">
            <v>1.3574115120773399E-3</v>
          </cell>
          <cell r="V91">
            <v>1.3659647861373101E-3</v>
          </cell>
          <cell r="W91">
            <v>1.7475793003157399E-3</v>
          </cell>
          <cell r="Y91">
            <v>1.23733334869304</v>
          </cell>
          <cell r="Z91">
            <v>1.2374959558789</v>
          </cell>
          <cell r="AA91">
            <v>1.2374804617739401</v>
          </cell>
          <cell r="AF91">
            <v>3.6606889571876499E-4</v>
          </cell>
          <cell r="AG91">
            <v>2.4897783553861399E-4</v>
          </cell>
          <cell r="AR91">
            <v>0</v>
          </cell>
          <cell r="BC91">
            <v>0</v>
          </cell>
          <cell r="BF91">
            <v>0</v>
          </cell>
        </row>
        <row r="92">
          <cell r="O92">
            <v>1.2388993693114601</v>
          </cell>
          <cell r="P92">
            <v>1.2380056486244</v>
          </cell>
          <cell r="Q92">
            <v>1.23944000164728</v>
          </cell>
          <cell r="U92">
            <v>1.45539052606444E-3</v>
          </cell>
          <cell r="V92">
            <v>1.0524684974982199E-3</v>
          </cell>
          <cell r="W92">
            <v>1.8710626887779901E-3</v>
          </cell>
          <cell r="Y92">
            <v>1.23733334869304</v>
          </cell>
          <cell r="Z92">
            <v>1.23751157058883</v>
          </cell>
          <cell r="AA92">
            <v>1.2375064276619601</v>
          </cell>
          <cell r="AF92">
            <v>3.8396034634119501E-4</v>
          </cell>
          <cell r="AG92">
            <v>3.7143973818620503E-4</v>
          </cell>
          <cell r="AR92">
            <v>0</v>
          </cell>
          <cell r="BC92">
            <v>0</v>
          </cell>
          <cell r="BF92">
            <v>0</v>
          </cell>
        </row>
        <row r="93">
          <cell r="O93">
            <v>1.2388993693114601</v>
          </cell>
          <cell r="P93">
            <v>1.23755950473377</v>
          </cell>
          <cell r="Q93">
            <v>1.2394655640194701</v>
          </cell>
          <cell r="U93">
            <v>9.4427372475070295E-4</v>
          </cell>
          <cell r="V93">
            <v>2.2263061015560299E-4</v>
          </cell>
          <cell r="W93">
            <v>1.38055969165814E-3</v>
          </cell>
          <cell r="Y93">
            <v>1.23733334869304</v>
          </cell>
          <cell r="Z93">
            <v>1.23747657884243</v>
          </cell>
          <cell r="AA93">
            <v>1.2375323046581901</v>
          </cell>
          <cell r="AF93">
            <v>-1.0772777222400599E-4</v>
          </cell>
          <cell r="AG93">
            <v>-1.1188364250237099E-4</v>
          </cell>
          <cell r="AR93">
            <v>0</v>
          </cell>
          <cell r="BC93">
            <v>0</v>
          </cell>
          <cell r="BF93">
            <v>0</v>
          </cell>
        </row>
        <row r="94">
          <cell r="O94">
            <v>1.2388993693114601</v>
          </cell>
          <cell r="P94">
            <v>1.23745992115518</v>
          </cell>
          <cell r="Q94">
            <v>1.2394339731716999</v>
          </cell>
          <cell r="U94">
            <v>1.9662462204438399E-3</v>
          </cell>
          <cell r="V94">
            <v>8.8416509042618099E-4</v>
          </cell>
          <cell r="W94">
            <v>2.42315610505344E-3</v>
          </cell>
          <cell r="Y94">
            <v>1.23733334869304</v>
          </cell>
          <cell r="Z94">
            <v>1.23737833770259</v>
          </cell>
          <cell r="AA94">
            <v>1.2375018109260201</v>
          </cell>
          <cell r="AF94">
            <v>8.7235379251984497E-4</v>
          </cell>
          <cell r="AG94">
            <v>9.1738459313425301E-4</v>
          </cell>
          <cell r="AR94">
            <v>0</v>
          </cell>
          <cell r="BC94">
            <v>0</v>
          </cell>
          <cell r="BF94">
            <v>0</v>
          </cell>
        </row>
        <row r="95">
          <cell r="O95">
            <v>1.2388993693114601</v>
          </cell>
          <cell r="P95">
            <v>1.2378161159585499</v>
          </cell>
          <cell r="Q95">
            <v>1.23940834528857</v>
          </cell>
          <cell r="U95">
            <v>-1.6152362469004E-3</v>
          </cell>
          <cell r="V95">
            <v>-2.77778832401584E-3</v>
          </cell>
          <cell r="W95">
            <v>-1.1838141622519699E-3</v>
          </cell>
          <cell r="Y95">
            <v>1.23733334869304</v>
          </cell>
          <cell r="Z95">
            <v>1.23731631829024</v>
          </cell>
          <cell r="AA95">
            <v>1.23747260304567</v>
          </cell>
          <cell r="AF95">
            <v>5.9691638879070001E-4</v>
          </cell>
          <cell r="AG95">
            <v>6.9669756291717904E-4</v>
          </cell>
          <cell r="AR95">
            <v>0</v>
          </cell>
          <cell r="BC95">
            <v>0</v>
          </cell>
          <cell r="BF95">
            <v>0</v>
          </cell>
        </row>
        <row r="96">
          <cell r="O96">
            <v>1.2388993693114601</v>
          </cell>
          <cell r="P96">
            <v>1.2382872288184099</v>
          </cell>
          <cell r="Q96">
            <v>1.2394463602107999</v>
          </cell>
          <cell r="U96">
            <v>-2.5408924871983202E-3</v>
          </cell>
          <cell r="V96">
            <v>-3.41564247639203E-3</v>
          </cell>
          <cell r="W96">
            <v>-2.13014770255144E-3</v>
          </cell>
          <cell r="Y96">
            <v>1.23733334869304</v>
          </cell>
          <cell r="Z96">
            <v>1.23736708766248</v>
          </cell>
          <cell r="AA96">
            <v>1.2375057848403399</v>
          </cell>
          <cell r="AF96">
            <v>-3.6484921504720302E-4</v>
          </cell>
          <cell r="AG96">
            <v>-2.3854773188666201E-4</v>
          </cell>
          <cell r="AR96">
            <v>0</v>
          </cell>
          <cell r="BC96">
            <v>0</v>
          </cell>
          <cell r="BF96">
            <v>0</v>
          </cell>
        </row>
        <row r="97">
          <cell r="O97">
            <v>1.2388993693114601</v>
          </cell>
          <cell r="P97">
            <v>1.2387583416782699</v>
          </cell>
          <cell r="Q97">
            <v>1.23948437513304</v>
          </cell>
          <cell r="U97">
            <v>-2.5408924871983202E-3</v>
          </cell>
          <cell r="V97">
            <v>-3.0351148489501101E-3</v>
          </cell>
          <cell r="W97">
            <v>-2.0994763427860199E-3</v>
          </cell>
          <cell r="Y97">
            <v>1.23733334869304</v>
          </cell>
          <cell r="Z97">
            <v>1.2374178570347301</v>
          </cell>
          <cell r="AA97">
            <v>1.2375389666350001</v>
          </cell>
          <cell r="AF97">
            <v>-3.2381821114011897E-4</v>
          </cell>
          <cell r="AG97">
            <v>-2.1173392629588499E-4</v>
          </cell>
          <cell r="AR97">
            <v>0</v>
          </cell>
          <cell r="BC97">
            <v>0</v>
          </cell>
          <cell r="BF97">
            <v>0</v>
          </cell>
        </row>
        <row r="98">
          <cell r="O98">
            <v>1.2388993693114601</v>
          </cell>
          <cell r="P98">
            <v>1.2391146413527701</v>
          </cell>
          <cell r="Q98">
            <v>1.23943311936677</v>
          </cell>
          <cell r="U98">
            <v>-2.02820342187942E-3</v>
          </cell>
          <cell r="V98">
            <v>-2.1420429023862701E-3</v>
          </cell>
          <cell r="W98">
            <v>-1.5561168584055101E-3</v>
          </cell>
          <cell r="Y98">
            <v>1.23733334869304</v>
          </cell>
          <cell r="Z98">
            <v>1.2373557712051699</v>
          </cell>
          <cell r="AA98">
            <v>1.23748438906642</v>
          </cell>
          <cell r="AF98">
            <v>2.2136179245734499E-4</v>
          </cell>
          <cell r="AG98">
            <v>3.1922984349874403E-4</v>
          </cell>
          <cell r="AR98">
            <v>0</v>
          </cell>
          <cell r="BC98">
            <v>0</v>
          </cell>
          <cell r="BF98">
            <v>0</v>
          </cell>
        </row>
        <row r="99">
          <cell r="O99">
            <v>1.2388993693114601</v>
          </cell>
          <cell r="P99">
            <v>1.2395098029812199</v>
          </cell>
          <cell r="Q99">
            <v>1.23940750461267</v>
          </cell>
          <cell r="U99">
            <v>-2.3412001481204802E-3</v>
          </cell>
          <cell r="V99">
            <v>-2.1674545268873099E-3</v>
          </cell>
          <cell r="W99">
            <v>-1.9104669305281101E-3</v>
          </cell>
          <cell r="Y99">
            <v>1.23733334869304</v>
          </cell>
          <cell r="Z99">
            <v>1.23733211575161</v>
          </cell>
          <cell r="AA99">
            <v>1.2374550475297601</v>
          </cell>
          <cell r="AF99">
            <v>-1.39402789663994E-4</v>
          </cell>
          <cell r="AG99">
            <v>-3.54624516722461E-5</v>
          </cell>
          <cell r="AR99">
            <v>0</v>
          </cell>
          <cell r="BC99">
            <v>0</v>
          </cell>
          <cell r="BF99">
            <v>0</v>
          </cell>
        </row>
        <row r="100">
          <cell r="O100">
            <v>1.2388993693114601</v>
          </cell>
          <cell r="P100">
            <v>1.2397390260402401</v>
          </cell>
          <cell r="Q100">
            <v>1.23932449602143</v>
          </cell>
          <cell r="U100">
            <v>-1.41640987180001E-3</v>
          </cell>
          <cell r="V100">
            <v>-9.2380865895482097E-4</v>
          </cell>
          <cell r="W100">
            <v>-1.0063433754573599E-3</v>
          </cell>
          <cell r="Y100">
            <v>1.23733334869304</v>
          </cell>
          <cell r="Z100">
            <v>1.23714532837837</v>
          </cell>
          <cell r="AA100">
            <v>1.23736937442289</v>
          </cell>
          <cell r="AF100">
            <v>7.5228235177465905E-4</v>
          </cell>
          <cell r="AG100">
            <v>8.5162970582195504E-4</v>
          </cell>
          <cell r="AR100">
            <v>0</v>
          </cell>
          <cell r="BC100">
            <v>0</v>
          </cell>
          <cell r="BF100">
            <v>0</v>
          </cell>
        </row>
        <row r="101">
          <cell r="O101">
            <v>1.2388993693114601</v>
          </cell>
          <cell r="P101">
            <v>1.24013388812123</v>
          </cell>
          <cell r="Q101">
            <v>1.2392670890687001</v>
          </cell>
          <cell r="U101">
            <v>-1.8290362444792899E-3</v>
          </cell>
          <cell r="V101">
            <v>-1.15152171676823E-3</v>
          </cell>
          <cell r="W101">
            <v>-1.48594640494994E-3</v>
          </cell>
          <cell r="Y101">
            <v>1.23733334869304</v>
          </cell>
          <cell r="Z101">
            <v>1.23712179835839</v>
          </cell>
          <cell r="AA101">
            <v>1.23730887711864</v>
          </cell>
          <cell r="AF101">
            <v>1.9415097389580201E-4</v>
          </cell>
          <cell r="AG101">
            <v>3.7523378974604898E-4</v>
          </cell>
          <cell r="AR101">
            <v>0</v>
          </cell>
          <cell r="BC101">
            <v>0</v>
          </cell>
          <cell r="BF101">
            <v>0</v>
          </cell>
        </row>
        <row r="102">
          <cell r="O102">
            <v>1.2388993693114601</v>
          </cell>
          <cell r="P102">
            <v>1.2405920750333399</v>
          </cell>
          <cell r="Q102">
            <v>1.2392988618288701</v>
          </cell>
          <cell r="U102">
            <v>-2.2414924268578502E-3</v>
          </cell>
          <cell r="V102">
            <v>-1.2455244154452099E-3</v>
          </cell>
          <cell r="W102">
            <v>-1.9447248237867E-3</v>
          </cell>
          <cell r="Y102">
            <v>1.23733334869304</v>
          </cell>
          <cell r="Z102">
            <v>1.23716057606492</v>
          </cell>
          <cell r="AA102">
            <v>1.2373360733268699</v>
          </cell>
          <cell r="AF102">
            <v>-2.3186331465204101E-4</v>
          </cell>
          <cell r="AG102">
            <v>-8.0653775854545704E-5</v>
          </cell>
          <cell r="AR102">
            <v>0</v>
          </cell>
          <cell r="BC102">
            <v>0</v>
          </cell>
          <cell r="BF102">
            <v>0</v>
          </cell>
        </row>
        <row r="103">
          <cell r="O103">
            <v>1.2388993693114601</v>
          </cell>
          <cell r="P103">
            <v>1.24098701564696</v>
          </cell>
          <cell r="Q103">
            <v>1.23927326019036</v>
          </cell>
          <cell r="U103">
            <v>-2.2414924268578502E-3</v>
          </cell>
          <cell r="V103">
            <v>-8.7612696959836597E-4</v>
          </cell>
          <cell r="W103">
            <v>-1.91908680502714E-3</v>
          </cell>
          <cell r="Y103">
            <v>1.23733334869304</v>
          </cell>
          <cell r="Z103">
            <v>1.23713695432906</v>
          </cell>
          <cell r="AA103">
            <v>1.23730676658574</v>
          </cell>
          <cell r="AF103">
            <v>-2.00518705861524E-4</v>
          </cell>
          <cell r="AG103">
            <v>-5.8673888819357502E-5</v>
          </cell>
          <cell r="AR103">
            <v>0</v>
          </cell>
          <cell r="BC103">
            <v>0</v>
          </cell>
          <cell r="BF103">
            <v>0</v>
          </cell>
        </row>
        <row r="104">
          <cell r="O104">
            <v>1.2388993693114601</v>
          </cell>
          <cell r="P104">
            <v>1.2411499613155199</v>
          </cell>
          <cell r="Q104">
            <v>1.2393049412353501</v>
          </cell>
          <cell r="U104">
            <v>6.4927976998778295E-4</v>
          </cell>
          <cell r="V104">
            <v>2.3329430549815702E-3</v>
          </cell>
          <cell r="W104">
            <v>9.5102701494233395E-4</v>
          </cell>
          <cell r="Y104">
            <v>1.23733334869304</v>
          </cell>
          <cell r="Z104">
            <v>1.2372897746521601</v>
          </cell>
          <cell r="AA104">
            <v>1.23733405617738</v>
          </cell>
          <cell r="AF104">
            <v>-6.3738273077354804E-4</v>
          </cell>
          <cell r="AG104">
            <v>-5.0012985610447397E-4</v>
          </cell>
          <cell r="AR104">
            <v>0</v>
          </cell>
          <cell r="BC104">
            <v>0</v>
          </cell>
          <cell r="BF104">
            <v>0</v>
          </cell>
        </row>
        <row r="105">
          <cell r="O105">
            <v>1.2388993693114601</v>
          </cell>
          <cell r="P105">
            <v>1.2408692749764101</v>
          </cell>
          <cell r="Q105">
            <v>1.23934269546748</v>
          </cell>
          <cell r="U105">
            <v>6.4927976998778295E-4</v>
          </cell>
          <cell r="V105">
            <v>2.4642377178545299E-3</v>
          </cell>
          <cell r="W105">
            <v>9.7659090069784102E-4</v>
          </cell>
          <cell r="Y105">
            <v>1.23733334869304</v>
          </cell>
          <cell r="Z105">
            <v>1.23741835352375</v>
          </cell>
          <cell r="AA105">
            <v>1.2373673359070001</v>
          </cell>
          <cell r="AF105">
            <v>-5.1386295020887601E-4</v>
          </cell>
          <cell r="AG105">
            <v>-4.7807446011902599E-4</v>
          </cell>
          <cell r="AR105">
            <v>0</v>
          </cell>
          <cell r="BC105">
            <v>0</v>
          </cell>
          <cell r="BF105">
            <v>0</v>
          </cell>
        </row>
        <row r="106">
          <cell r="O106">
            <v>1.2388993693114601</v>
          </cell>
          <cell r="P106">
            <v>1.2402958603262599</v>
          </cell>
          <cell r="Q106">
            <v>1.23929154457234</v>
          </cell>
          <cell r="U106">
            <v>2.0864717840299199E-3</v>
          </cell>
          <cell r="V106">
            <v>3.6752539342154202E-3</v>
          </cell>
          <cell r="W106">
            <v>2.4442464881590902E-3</v>
          </cell>
          <cell r="Y106">
            <v>1.23733334869304</v>
          </cell>
          <cell r="Z106">
            <v>1.2372593049776599</v>
          </cell>
          <cell r="AA106">
            <v>1.2373131963200701</v>
          </cell>
          <cell r="AF106">
            <v>1.00340128099868E-3</v>
          </cell>
          <cell r="AG106">
            <v>9.6217135391555696E-4</v>
          </cell>
          <cell r="AR106">
            <v>0</v>
          </cell>
          <cell r="BC106">
            <v>0</v>
          </cell>
          <cell r="BF106">
            <v>0</v>
          </cell>
        </row>
        <row r="107">
          <cell r="O107">
            <v>1.2388993693114601</v>
          </cell>
          <cell r="P107">
            <v>1.23977359657126</v>
          </cell>
          <cell r="Q107">
            <v>1.2392659691247701</v>
          </cell>
          <cell r="U107">
            <v>1.67282131277501E-3</v>
          </cell>
          <cell r="V107">
            <v>2.7993894392412799E-3</v>
          </cell>
          <cell r="W107">
            <v>1.9893225653221098E-3</v>
          </cell>
          <cell r="Y107">
            <v>1.23733334869304</v>
          </cell>
          <cell r="Z107">
            <v>1.23715055738216</v>
          </cell>
          <cell r="AA107">
            <v>1.23728420720844</v>
          </cell>
          <cell r="AF107">
            <v>4.68035992426358E-4</v>
          </cell>
          <cell r="AG107">
            <v>5.1159207525770095E-4</v>
          </cell>
          <cell r="AR107">
            <v>0</v>
          </cell>
          <cell r="BC107">
            <v>0</v>
          </cell>
          <cell r="BF107">
            <v>0</v>
          </cell>
        </row>
        <row r="108">
          <cell r="O108">
            <v>1.2388993693114601</v>
          </cell>
          <cell r="P108">
            <v>1.2393661460016201</v>
          </cell>
          <cell r="Q108">
            <v>1.2392403936772001</v>
          </cell>
          <cell r="U108">
            <v>1.2593418774856399E-3</v>
          </cell>
          <cell r="V108">
            <v>1.9647413457374598E-3</v>
          </cell>
          <cell r="W108">
            <v>1.55520576541265E-3</v>
          </cell>
          <cell r="Y108">
            <v>1.23733334869304</v>
          </cell>
          <cell r="Z108">
            <v>1.2371544971597901</v>
          </cell>
          <cell r="AA108">
            <v>1.23725513418248</v>
          </cell>
          <cell r="AF108">
            <v>-2.6520841658495401E-5</v>
          </cell>
          <cell r="AG108">
            <v>8.1503688487677604E-5</v>
          </cell>
          <cell r="AR108">
            <v>0</v>
          </cell>
          <cell r="BC108">
            <v>0</v>
          </cell>
          <cell r="BF108">
            <v>0</v>
          </cell>
        </row>
        <row r="109">
          <cell r="O109">
            <v>1.2388993693114601</v>
          </cell>
          <cell r="P109">
            <v>1.23897098437317</v>
          </cell>
          <cell r="Q109">
            <v>1.2392403936772001</v>
          </cell>
          <cell r="U109">
            <v>8.4603333678089402E-4</v>
          </cell>
          <cell r="V109">
            <v>1.22272961309989E-3</v>
          </cell>
          <cell r="W109">
            <v>1.1212594341781E-3</v>
          </cell>
          <cell r="Y109">
            <v>1.23733334869304</v>
          </cell>
          <cell r="Z109">
            <v>1.23717030751202</v>
          </cell>
          <cell r="AA109">
            <v>1.23725121163181</v>
          </cell>
          <cell r="AF109">
            <v>-4.2983001532167603E-4</v>
          </cell>
          <cell r="AG109">
            <v>-3.48487765863573E-4</v>
          </cell>
          <cell r="AR109">
            <v>0</v>
          </cell>
          <cell r="BC109">
            <v>0</v>
          </cell>
          <cell r="BF109">
            <v>0</v>
          </cell>
        </row>
        <row r="110">
          <cell r="O110">
            <v>1.2388993693114601</v>
          </cell>
          <cell r="P110">
            <v>1.2386906104190101</v>
          </cell>
          <cell r="Q110">
            <v>1.2392148182296301</v>
          </cell>
          <cell r="U110">
            <v>8.4603333678089402E-4</v>
          </cell>
          <cell r="V110">
            <v>9.0383705651528399E-4</v>
          </cell>
          <cell r="W110">
            <v>1.1212594341781E-3</v>
          </cell>
          <cell r="Y110">
            <v>1.23733334869304</v>
          </cell>
          <cell r="Z110">
            <v>1.2372987810046601</v>
          </cell>
          <cell r="AA110">
            <v>1.23722205469152</v>
          </cell>
          <cell r="AF110">
            <v>-4.1705048678395199E-4</v>
          </cell>
          <cell r="AG110">
            <v>-3.5165813612815901E-4</v>
          </cell>
          <cell r="AR110">
            <v>0</v>
          </cell>
          <cell r="BC110">
            <v>0</v>
          </cell>
          <cell r="BF110">
            <v>0</v>
          </cell>
        </row>
        <row r="111">
          <cell r="O111">
            <v>1.2388993693114601</v>
          </cell>
          <cell r="P111">
            <v>1.23835903318784</v>
          </cell>
          <cell r="Q111">
            <v>1.2392464606545299</v>
          </cell>
          <cell r="U111">
            <v>8.4603333678089402E-4</v>
          </cell>
          <cell r="V111">
            <v>6.7751562831884797E-4</v>
          </cell>
          <cell r="W111">
            <v>1.1006212177207899E-3</v>
          </cell>
          <cell r="Y111">
            <v>1.23733334869304</v>
          </cell>
          <cell r="Z111">
            <v>1.2373769028920401</v>
          </cell>
          <cell r="AA111">
            <v>1.23724935062521</v>
          </cell>
          <cell r="AF111">
            <v>-3.1321124841896398E-4</v>
          </cell>
          <cell r="AG111">
            <v>-3.7522431539990499E-4</v>
          </cell>
          <cell r="AR111">
            <v>0</v>
          </cell>
          <cell r="BC111">
            <v>0</v>
          </cell>
          <cell r="BF111">
            <v>0</v>
          </cell>
        </row>
        <row r="112">
          <cell r="O112">
            <v>1.2388993693114601</v>
          </cell>
          <cell r="P112">
            <v>1.23786184308546</v>
          </cell>
          <cell r="Q112">
            <v>1.2392269590594001</v>
          </cell>
          <cell r="U112">
            <v>1.7707200527819599E-3</v>
          </cell>
          <cell r="V112">
            <v>1.3344828547175701E-3</v>
          </cell>
          <cell r="W112">
            <v>2.0508418609043802E-3</v>
          </cell>
          <cell r="Y112">
            <v>1.23733334869304</v>
          </cell>
          <cell r="Z112">
            <v>1.2372921720114001</v>
          </cell>
          <cell r="AA112">
            <v>1.2372263740381599</v>
          </cell>
          <cell r="AF112">
            <v>6.5930258829415998E-4</v>
          </cell>
          <cell r="AG112">
            <v>5.5621448215613302E-4</v>
          </cell>
          <cell r="AR112">
            <v>0</v>
          </cell>
          <cell r="BC112">
            <v>0</v>
          </cell>
          <cell r="BF112">
            <v>0</v>
          </cell>
        </row>
        <row r="113">
          <cell r="O113">
            <v>1.2388993693114601</v>
          </cell>
          <cell r="P113">
            <v>1.23753021347242</v>
          </cell>
          <cell r="Q113">
            <v>1.23925861455969</v>
          </cell>
          <cell r="U113">
            <v>4.32895549454491E-4</v>
          </cell>
          <cell r="V113">
            <v>-4.04913345077532E-4</v>
          </cell>
          <cell r="W113">
            <v>6.97280577848556E-4</v>
          </cell>
          <cell r="Y113">
            <v>1.23733334869304</v>
          </cell>
          <cell r="Z113">
            <v>1.23737024324411</v>
          </cell>
          <cell r="AA113">
            <v>1.23725359878658</v>
          </cell>
          <cell r="AF113">
            <v>-7.2488128834197901E-4</v>
          </cell>
          <cell r="AG113">
            <v>-7.7806171276309402E-4</v>
          </cell>
          <cell r="AR113">
            <v>0</v>
          </cell>
          <cell r="BC113">
            <v>0</v>
          </cell>
          <cell r="BF113">
            <v>0</v>
          </cell>
        </row>
        <row r="114">
          <cell r="O114">
            <v>1.2388993693114601</v>
          </cell>
          <cell r="P114">
            <v>1.2374936957978699</v>
          </cell>
          <cell r="Q114">
            <v>1.23932182855669</v>
          </cell>
          <cell r="U114">
            <v>9.4427372475070295E-4</v>
          </cell>
          <cell r="V114">
            <v>-1.6147625341458399E-4</v>
          </cell>
          <cell r="W114">
            <v>1.23420298114375E-3</v>
          </cell>
          <cell r="Y114">
            <v>1.23733334869304</v>
          </cell>
          <cell r="Z114">
            <v>1.2373343576229401</v>
          </cell>
          <cell r="AA114">
            <v>1.2373120661375501</v>
          </cell>
          <cell r="AF114">
            <v>-1.5890177828270399E-4</v>
          </cell>
          <cell r="AG114">
            <v>-2.5317425366241399E-4</v>
          </cell>
          <cell r="AR114">
            <v>0</v>
          </cell>
          <cell r="BC114">
            <v>0</v>
          </cell>
          <cell r="BF114">
            <v>0</v>
          </cell>
        </row>
        <row r="115">
          <cell r="O115">
            <v>1.2388993693114601</v>
          </cell>
          <cell r="P115">
            <v>1.2373939318248299</v>
          </cell>
          <cell r="Q115">
            <v>1.2391316034006199</v>
          </cell>
          <cell r="U115">
            <v>1.45539052606444E-3</v>
          </cell>
          <cell r="V115">
            <v>3.2013160099932098E-4</v>
          </cell>
          <cell r="W115">
            <v>1.7963280095204799E-3</v>
          </cell>
          <cell r="Y115">
            <v>1.23733334869304</v>
          </cell>
          <cell r="Z115">
            <v>1.23723628377386</v>
          </cell>
          <cell r="AA115">
            <v>1.2373273186488101</v>
          </cell>
          <cell r="AF115">
            <v>3.1472655323982898E-4</v>
          </cell>
          <cell r="AG115">
            <v>2.9671065797861598E-4</v>
          </cell>
          <cell r="AR115">
            <v>0</v>
          </cell>
          <cell r="BC115">
            <v>0</v>
          </cell>
          <cell r="BF115">
            <v>0</v>
          </cell>
        </row>
        <row r="116">
          <cell r="O116">
            <v>1.2388993693114601</v>
          </cell>
          <cell r="P116">
            <v>1.23742087948599</v>
          </cell>
          <cell r="Q116">
            <v>1.23885836990613</v>
          </cell>
          <cell r="U116">
            <v>1.8685283133910999E-3</v>
          </cell>
          <cell r="V116">
            <v>6.5264837589691497E-4</v>
          </cell>
          <cell r="W116">
            <v>2.05596268559269E-3</v>
          </cell>
          <cell r="Y116">
            <v>1.23733334869304</v>
          </cell>
          <cell r="Z116">
            <v>1.2372627981601401</v>
          </cell>
          <cell r="AA116">
            <v>1.2372610515689</v>
          </cell>
          <cell r="AF116">
            <v>6.4178976369546595E-4</v>
          </cell>
          <cell r="AG116">
            <v>7.1536627221145297E-4</v>
          </cell>
          <cell r="AR116">
            <v>0</v>
          </cell>
          <cell r="BC116">
            <v>0</v>
          </cell>
          <cell r="BF116">
            <v>0</v>
          </cell>
        </row>
        <row r="117">
          <cell r="O117">
            <v>1.2388993693114601</v>
          </cell>
          <cell r="P117">
            <v>1.23749887349268</v>
          </cell>
          <cell r="Q117">
            <v>1.23863623503197</v>
          </cell>
          <cell r="U117">
            <v>1.0424233510854899E-3</v>
          </cell>
          <cell r="V117">
            <v>-1.5167906912712099E-4</v>
          </cell>
          <cell r="W117">
            <v>1.0093293930348501E-3</v>
          </cell>
          <cell r="Y117">
            <v>1.23733334869304</v>
          </cell>
          <cell r="Z117">
            <v>1.2373395123913</v>
          </cell>
          <cell r="AA117">
            <v>1.2372450348867301</v>
          </cell>
          <cell r="AF117">
            <v>-1.4927220954730799E-4</v>
          </cell>
          <cell r="AG117">
            <v>-1.5068386798846E-4</v>
          </cell>
          <cell r="AR117">
            <v>0</v>
          </cell>
          <cell r="BC117">
            <v>0</v>
          </cell>
          <cell r="BF117">
            <v>0</v>
          </cell>
        </row>
        <row r="118">
          <cell r="O118">
            <v>1.2388993693114601</v>
          </cell>
          <cell r="P118">
            <v>1.23796998635254</v>
          </cell>
          <cell r="Q118">
            <v>1.2386680661770799</v>
          </cell>
          <cell r="U118">
            <v>-2.5408924871983202E-3</v>
          </cell>
          <cell r="V118">
            <v>-3.6719674038921202E-3</v>
          </cell>
          <cell r="W118">
            <v>-2.7533086317079502E-3</v>
          </cell>
          <cell r="Y118">
            <v>1.23733334869304</v>
          </cell>
          <cell r="Z118">
            <v>1.2373990776792301</v>
          </cell>
          <cell r="AA118">
            <v>1.2372767874195101</v>
          </cell>
          <cell r="AF118">
            <v>-3.5514144310866701E-4</v>
          </cell>
          <cell r="AG118">
            <v>-4.3149971885813497E-4</v>
          </cell>
          <cell r="AR118">
            <v>0</v>
          </cell>
          <cell r="BC118">
            <v>0</v>
          </cell>
          <cell r="BF118">
            <v>0</v>
          </cell>
        </row>
        <row r="119">
          <cell r="O119">
            <v>1.2388993693114601</v>
          </cell>
          <cell r="P119">
            <v>1.2384412303685399</v>
          </cell>
          <cell r="Q119">
            <v>1.2387061073708601</v>
          </cell>
          <cell r="U119">
            <v>-2.9536891906865202E-3</v>
          </cell>
          <cell r="V119">
            <v>-3.7041389472831101E-3</v>
          </cell>
          <cell r="W119">
            <v>-3.1404071235612199E-3</v>
          </cell>
          <cell r="Y119">
            <v>1.23733334869304</v>
          </cell>
          <cell r="Z119">
            <v>1.2374586058767001</v>
          </cell>
          <cell r="AA119">
            <v>1.2373144566943599</v>
          </cell>
          <cell r="AF119">
            <v>-7.1300141153143295E-4</v>
          </cell>
          <cell r="AG119">
            <v>-8.1183476707743498E-4</v>
          </cell>
          <cell r="AR119">
            <v>0</v>
          </cell>
          <cell r="BC119">
            <v>0</v>
          </cell>
          <cell r="BF119">
            <v>0</v>
          </cell>
        </row>
        <row r="120">
          <cell r="O120">
            <v>1.2388993693114601</v>
          </cell>
          <cell r="P120">
            <v>1.23886119233326</v>
          </cell>
          <cell r="Q120">
            <v>1.2387759013761399</v>
          </cell>
          <cell r="U120">
            <v>-2.5408924871983202E-3</v>
          </cell>
          <cell r="V120">
            <v>-2.91075599987286E-3</v>
          </cell>
          <cell r="W120">
            <v>-2.6968995212607802E-3</v>
          </cell>
          <cell r="Y120">
            <v>1.23733334869304</v>
          </cell>
          <cell r="Z120">
            <v>1.23746787021405</v>
          </cell>
          <cell r="AA120">
            <v>1.23738332560935</v>
          </cell>
          <cell r="AF120">
            <v>-2.5889643256163299E-4</v>
          </cell>
          <cell r="AG120">
            <v>-3.7539130208060102E-4</v>
          </cell>
          <cell r="AR120">
            <v>0</v>
          </cell>
          <cell r="BC120">
            <v>0</v>
          </cell>
          <cell r="BF120">
            <v>0</v>
          </cell>
        </row>
        <row r="121">
          <cell r="O121">
            <v>1.2388993693114601</v>
          </cell>
          <cell r="P121">
            <v>1.23915389494531</v>
          </cell>
          <cell r="Q121">
            <v>1.23875646406657</v>
          </cell>
          <cell r="U121">
            <v>-1.5157770719528901E-3</v>
          </cell>
          <cell r="V121">
            <v>-1.5465927841703301E-3</v>
          </cell>
          <cell r="W121">
            <v>-1.6154414120625399E-3</v>
          </cell>
          <cell r="Y121">
            <v>1.23733334869304</v>
          </cell>
          <cell r="Z121">
            <v>1.2373528284103401</v>
          </cell>
          <cell r="AA121">
            <v>1.23736486565119</v>
          </cell>
          <cell r="AF121">
            <v>7.5336237297626602E-4</v>
          </cell>
          <cell r="AG121">
            <v>6.85039392693085E-4</v>
          </cell>
          <cell r="AR121">
            <v>0</v>
          </cell>
          <cell r="BC121">
            <v>0</v>
          </cell>
          <cell r="BF121">
            <v>0</v>
          </cell>
        </row>
        <row r="122">
          <cell r="O122">
            <v>1.2388993693114601</v>
          </cell>
          <cell r="P122">
            <v>1.23954867849367</v>
          </cell>
          <cell r="Q122">
            <v>1.2387052607895599</v>
          </cell>
          <cell r="U122">
            <v>-1.41640987180001E-3</v>
          </cell>
          <cell r="V122">
            <v>-1.21098601072855E-3</v>
          </cell>
          <cell r="W122">
            <v>-1.53176507418294E-3</v>
          </cell>
          <cell r="Y122">
            <v>1.23733334869304</v>
          </cell>
          <cell r="Z122">
            <v>1.2373384164599499</v>
          </cell>
          <cell r="AA122">
            <v>1.23731529423567</v>
          </cell>
          <cell r="AF122">
            <v>7.5640173582455501E-4</v>
          </cell>
          <cell r="AG122">
            <v>7.6612990875880101E-4</v>
          </cell>
          <cell r="AR122">
            <v>0</v>
          </cell>
          <cell r="BC122">
            <v>0</v>
          </cell>
          <cell r="BF122">
            <v>0</v>
          </cell>
        </row>
        <row r="123">
          <cell r="O123">
            <v>1.2388993693114601</v>
          </cell>
          <cell r="P123">
            <v>1.23977790155269</v>
          </cell>
          <cell r="Q123">
            <v>1.23865405751255</v>
          </cell>
          <cell r="U123">
            <v>-1.41640987180001E-3</v>
          </cell>
          <cell r="V123">
            <v>-8.92445532395618E-4</v>
          </cell>
          <cell r="W123">
            <v>-1.5731003460891101E-3</v>
          </cell>
          <cell r="Y123">
            <v>1.23733334869304</v>
          </cell>
          <cell r="Z123">
            <v>1.2371612023962</v>
          </cell>
          <cell r="AA123">
            <v>1.23726572282016</v>
          </cell>
          <cell r="AF123">
            <v>7.4475426228318002E-4</v>
          </cell>
          <cell r="AG123">
            <v>7.2606702198488803E-4</v>
          </cell>
          <cell r="AR123">
            <v>0</v>
          </cell>
          <cell r="BC123">
            <v>0</v>
          </cell>
          <cell r="BF123">
            <v>0</v>
          </cell>
        </row>
        <row r="124">
          <cell r="O124">
            <v>1.2388993693114601</v>
          </cell>
          <cell r="P124">
            <v>1.24007043561229</v>
          </cell>
          <cell r="Q124">
            <v>1.2387820657050801</v>
          </cell>
          <cell r="U124">
            <v>-1.41640987180001E-3</v>
          </cell>
          <cell r="V124">
            <v>-7.0753801636251796E-4</v>
          </cell>
          <cell r="W124">
            <v>-1.61443732667071E-3</v>
          </cell>
          <cell r="Y124">
            <v>1.23733334869304</v>
          </cell>
          <cell r="Z124">
            <v>1.2370462391229</v>
          </cell>
          <cell r="AA124">
            <v>1.2371902983729199</v>
          </cell>
          <cell r="AF124">
            <v>6.0152202034289605E-4</v>
          </cell>
          <cell r="AG124">
            <v>6.8600253011199402E-4</v>
          </cell>
          <cell r="AR124">
            <v>0</v>
          </cell>
          <cell r="BC124">
            <v>0</v>
          </cell>
          <cell r="BF124">
            <v>0</v>
          </cell>
        </row>
        <row r="125">
          <cell r="O125">
            <v>1.2388993693114601</v>
          </cell>
          <cell r="P125">
            <v>1.24006779303131</v>
          </cell>
          <cell r="Q125">
            <v>1.23873086242807</v>
          </cell>
          <cell r="U125">
            <v>1.4767518900202299E-3</v>
          </cell>
          <cell r="V125">
            <v>2.4215527388367201E-3</v>
          </cell>
          <cell r="W125">
            <v>1.38206368288126E-3</v>
          </cell>
          <cell r="Y125">
            <v>1.23733334869304</v>
          </cell>
          <cell r="Z125">
            <v>1.23704367233335</v>
          </cell>
          <cell r="AA125">
            <v>1.2371399780536101</v>
          </cell>
          <cell r="AF125">
            <v>1.02596495663219E-4</v>
          </cell>
          <cell r="AG125">
            <v>2.1904393146546201E-4</v>
          </cell>
          <cell r="AR125">
            <v>0</v>
          </cell>
          <cell r="BC125">
            <v>0</v>
          </cell>
          <cell r="BF125">
            <v>0</v>
          </cell>
        </row>
        <row r="126">
          <cell r="O126">
            <v>1.2388993693114601</v>
          </cell>
          <cell r="P126">
            <v>1.24015529353471</v>
          </cell>
          <cell r="Q126">
            <v>1.23878808651035</v>
          </cell>
          <cell r="U126">
            <v>1.1611814960366799E-3</v>
          </cell>
          <cell r="V126">
            <v>2.1038513499356702E-3</v>
          </cell>
          <cell r="W126">
            <v>1.02515887127612E-3</v>
          </cell>
          <cell r="Y126">
            <v>1.23733334869304</v>
          </cell>
          <cell r="Z126">
            <v>1.23712963436081</v>
          </cell>
          <cell r="AA126">
            <v>1.2371962162604799</v>
          </cell>
          <cell r="AF126">
            <v>-2.0889633614542299E-4</v>
          </cell>
          <cell r="AG126">
            <v>-1.31047854454683E-4</v>
          </cell>
          <cell r="AR126">
            <v>0</v>
          </cell>
          <cell r="BC126">
            <v>0</v>
          </cell>
          <cell r="BF126">
            <v>0</v>
          </cell>
        </row>
        <row r="127">
          <cell r="O127">
            <v>1.2388993693114601</v>
          </cell>
          <cell r="P127">
            <v>1.24008941972477</v>
          </cell>
          <cell r="Q127">
            <v>1.23879414660873</v>
          </cell>
          <cell r="U127">
            <v>1.5748319672916301E-3</v>
          </cell>
          <cell r="V127">
            <v>2.5880603962741299E-3</v>
          </cell>
          <cell r="W127">
            <v>1.48500401023771E-3</v>
          </cell>
          <cell r="Y127">
            <v>1.23733334869304</v>
          </cell>
          <cell r="Z127">
            <v>1.23706493258812</v>
          </cell>
          <cell r="AA127">
            <v>1.2372022224897099</v>
          </cell>
          <cell r="AF127">
            <v>2.6609578853027601E-4</v>
          </cell>
          <cell r="AG127">
            <v>3.1991400302729302E-4</v>
          </cell>
          <cell r="AR127">
            <v>0</v>
          </cell>
          <cell r="BC127">
            <v>0</v>
          </cell>
          <cell r="BF127">
            <v>0</v>
          </cell>
        </row>
        <row r="128">
          <cell r="O128">
            <v>1.2388993693114601</v>
          </cell>
          <cell r="P128">
            <v>1.2396938153291699</v>
          </cell>
          <cell r="Q128">
            <v>1.2388319008408499</v>
          </cell>
          <cell r="U128">
            <v>6.4927976998778295E-4</v>
          </cell>
          <cell r="V128">
            <v>1.60938940016226E-3</v>
          </cell>
          <cell r="W128">
            <v>5.6434375822976405E-4</v>
          </cell>
          <cell r="Y128">
            <v>1.23733334869304</v>
          </cell>
          <cell r="Z128">
            <v>1.23707933975465</v>
          </cell>
          <cell r="AA128">
            <v>1.2372392087169399</v>
          </cell>
          <cell r="AF128">
            <v>-6.93466047801167E-4</v>
          </cell>
          <cell r="AG128">
            <v>-5.8249185372649898E-4</v>
          </cell>
          <cell r="AR128">
            <v>0</v>
          </cell>
          <cell r="BC128">
            <v>0</v>
          </cell>
          <cell r="BF128">
            <v>0</v>
          </cell>
        </row>
        <row r="129">
          <cell r="O129">
            <v>1.2388993693114601</v>
          </cell>
          <cell r="P129">
            <v>1.2391835667923099</v>
          </cell>
          <cell r="Q129">
            <v>1.23881239858042</v>
          </cell>
          <cell r="U129">
            <v>1.1611814960366799E-3</v>
          </cell>
          <cell r="V129">
            <v>1.8022274327657E-3</v>
          </cell>
          <cell r="W129">
            <v>1.1067216186165299E-3</v>
          </cell>
          <cell r="Y129">
            <v>1.23733334869304</v>
          </cell>
          <cell r="Z129">
            <v>1.23698138511914</v>
          </cell>
          <cell r="AA129">
            <v>1.2372199954979199</v>
          </cell>
          <cell r="AF129">
            <v>-1.8006396110229199E-4</v>
          </cell>
          <cell r="AG129">
            <v>-5.0841341312960103E-5</v>
          </cell>
          <cell r="AR129">
            <v>0</v>
          </cell>
          <cell r="BC129">
            <v>0</v>
          </cell>
          <cell r="BF129">
            <v>0</v>
          </cell>
        </row>
        <row r="130">
          <cell r="O130">
            <v>1.2388993693114601</v>
          </cell>
          <cell r="P130">
            <v>1.2387636048275901</v>
          </cell>
          <cell r="Q130">
            <v>1.23881239858042</v>
          </cell>
          <cell r="U130">
            <v>8.4603333678089402E-4</v>
          </cell>
          <cell r="V130">
            <v>1.07540215890374E-3</v>
          </cell>
          <cell r="W130">
            <v>7.7583087642838899E-4</v>
          </cell>
          <cell r="Y130">
            <v>1.23733334869304</v>
          </cell>
          <cell r="Z130">
            <v>1.2369719343790899</v>
          </cell>
          <cell r="AA130">
            <v>1.23721990229657</v>
          </cell>
          <cell r="AF130">
            <v>-5.6826133192910099E-4</v>
          </cell>
          <cell r="AG130">
            <v>-3.75382626590837E-4</v>
          </cell>
          <cell r="AR130">
            <v>0</v>
          </cell>
          <cell r="BC130">
            <v>0</v>
          </cell>
          <cell r="BF130">
            <v>0</v>
          </cell>
        </row>
        <row r="131">
          <cell r="O131">
            <v>1.2388993693114601</v>
          </cell>
          <cell r="P131">
            <v>1.2384197513204001</v>
          </cell>
          <cell r="Q131">
            <v>1.23878682313285</v>
          </cell>
          <cell r="U131">
            <v>1.2593418774856399E-3</v>
          </cell>
          <cell r="V131">
            <v>1.14975111762102E-3</v>
          </cell>
          <cell r="W131">
            <v>1.1891394171331499E-3</v>
          </cell>
          <cell r="Y131">
            <v>1.23733334869304</v>
          </cell>
          <cell r="Z131">
            <v>1.2370366519260501</v>
          </cell>
          <cell r="AA131">
            <v>1.2371947401682</v>
          </cell>
          <cell r="AF131">
            <v>-1.7072547617847701E-4</v>
          </cell>
          <cell r="AG131">
            <v>2.97180905912072E-5</v>
          </cell>
          <cell r="AR131">
            <v>0</v>
          </cell>
          <cell r="BC131">
            <v>0</v>
          </cell>
          <cell r="BF131">
            <v>0</v>
          </cell>
        </row>
        <row r="132">
          <cell r="O132">
            <v>1.2388993693114601</v>
          </cell>
          <cell r="P132">
            <v>1.23808822647109</v>
          </cell>
          <cell r="Q132">
            <v>1.23881845248238</v>
          </cell>
          <cell r="U132">
            <v>1.2593418774856399E-3</v>
          </cell>
          <cell r="V132">
            <v>8.72134599210621E-4</v>
          </cell>
          <cell r="W132">
            <v>1.16849407034155E-3</v>
          </cell>
          <cell r="Y132">
            <v>1.23733334869304</v>
          </cell>
          <cell r="Z132">
            <v>1.2371132407824701</v>
          </cell>
          <cell r="AA132">
            <v>1.2372258286212101</v>
          </cell>
          <cell r="AF132">
            <v>-1.18407511451797E-4</v>
          </cell>
          <cell r="AG132">
            <v>9.3802474995617895E-6</v>
          </cell>
          <cell r="AR132">
            <v>0</v>
          </cell>
          <cell r="BC132">
            <v>0</v>
          </cell>
          <cell r="BF132">
            <v>0</v>
          </cell>
        </row>
        <row r="133">
          <cell r="O133">
            <v>1.2388993693114601</v>
          </cell>
          <cell r="P133">
            <v>1.2377567016217901</v>
          </cell>
          <cell r="Q133">
            <v>1.23876730158724</v>
          </cell>
          <cell r="U133">
            <v>1.2593418774856399E-3</v>
          </cell>
          <cell r="V133">
            <v>6.0439885657843895E-4</v>
          </cell>
          <cell r="W133">
            <v>1.1940262645444299E-3</v>
          </cell>
          <cell r="Y133">
            <v>1.23733334869304</v>
          </cell>
          <cell r="Z133">
            <v>1.2371898296388799</v>
          </cell>
          <cell r="AA133">
            <v>1.2371755160175399</v>
          </cell>
          <cell r="AF133">
            <v>-5.64962613173881E-5</v>
          </cell>
          <cell r="AG133">
            <v>3.4508112504784198E-5</v>
          </cell>
          <cell r="AR133">
            <v>0</v>
          </cell>
          <cell r="BC133">
            <v>0</v>
          </cell>
          <cell r="BF133">
            <v>0</v>
          </cell>
        </row>
        <row r="134">
          <cell r="O134">
            <v>1.2388993693114601</v>
          </cell>
          <cell r="P134">
            <v>1.2375274785627699</v>
          </cell>
          <cell r="Q134">
            <v>1.23879895708753</v>
          </cell>
          <cell r="U134">
            <v>4.32895549454491E-4</v>
          </cell>
          <cell r="V134">
            <v>-4.8985491571047301E-4</v>
          </cell>
          <cell r="W134">
            <v>3.2628901847831302E-4</v>
          </cell>
          <cell r="Y134">
            <v>1.23733334869304</v>
          </cell>
          <cell r="Z134">
            <v>1.2373666942033501</v>
          </cell>
          <cell r="AA134">
            <v>1.2372064666631299</v>
          </cell>
          <cell r="AF134">
            <v>-8.0477683971798503E-4</v>
          </cell>
          <cell r="AG134">
            <v>-8.1634636914367301E-4</v>
          </cell>
          <cell r="AR134">
            <v>0</v>
          </cell>
          <cell r="BC134">
            <v>0</v>
          </cell>
          <cell r="BF134">
            <v>0</v>
          </cell>
        </row>
        <row r="135">
          <cell r="O135">
            <v>1.2388993693114601</v>
          </cell>
          <cell r="P135">
            <v>1.2376055275476701</v>
          </cell>
          <cell r="Q135">
            <v>1.23883666028949</v>
          </cell>
          <cell r="U135">
            <v>8.4603333678089402E-4</v>
          </cell>
          <cell r="V135">
            <v>-2.6192661787431698E-4</v>
          </cell>
          <cell r="W135">
            <v>7.6498051213342796E-4</v>
          </cell>
          <cell r="Y135">
            <v>1.23733334869304</v>
          </cell>
          <cell r="Z135">
            <v>1.23744321265794</v>
          </cell>
          <cell r="AA135">
            <v>1.23724344249565</v>
          </cell>
          <cell r="AF135">
            <v>-2.5681841850451898E-4</v>
          </cell>
          <cell r="AG135">
            <v>-3.8631755232208402E-4</v>
          </cell>
          <cell r="AR135">
            <v>0</v>
          </cell>
          <cell r="BC135">
            <v>0</v>
          </cell>
          <cell r="BF135">
            <v>0</v>
          </cell>
        </row>
        <row r="136">
          <cell r="O136">
            <v>1.2388993693114601</v>
          </cell>
          <cell r="P136">
            <v>1.2376202242849399</v>
          </cell>
          <cell r="Q136">
            <v>1.2388877589098299</v>
          </cell>
          <cell r="U136">
            <v>1.0424233510854899E-3</v>
          </cell>
          <cell r="V136">
            <v>-2.4701059407156499E-6</v>
          </cell>
          <cell r="W136">
            <v>9.9180535042984802E-4</v>
          </cell>
          <cell r="Y136">
            <v>1.23733334869304</v>
          </cell>
          <cell r="Z136">
            <v>1.2374576425861199</v>
          </cell>
          <cell r="AA136">
            <v>1.2372936384734601</v>
          </cell>
          <cell r="AF136">
            <v>-2.5858451924956501E-6</v>
          </cell>
          <cell r="AG136">
            <v>-1.64036720042937E-4</v>
          </cell>
          <cell r="AR136">
            <v>0</v>
          </cell>
          <cell r="BC136">
            <v>0</v>
          </cell>
          <cell r="BF136">
            <v>0</v>
          </cell>
        </row>
        <row r="137">
          <cell r="O137">
            <v>1.2388993693114601</v>
          </cell>
          <cell r="P137">
            <v>1.23801544978671</v>
          </cell>
          <cell r="Q137">
            <v>1.2390524347557399</v>
          </cell>
          <cell r="U137">
            <v>-1.6152362469004E-3</v>
          </cell>
          <cell r="V137">
            <v>-2.6482546357545198E-3</v>
          </cell>
          <cell r="W137">
            <v>-1.62460783617278E-3</v>
          </cell>
          <cell r="Y137">
            <v>1.23733334869304</v>
          </cell>
          <cell r="Z137">
            <v>1.23744563654803</v>
          </cell>
          <cell r="AA137">
            <v>1.23725528456808</v>
          </cell>
          <cell r="AF137">
            <v>6.2827522309568903E-4</v>
          </cell>
          <cell r="AG137">
            <v>4.9573332755327795E-4</v>
          </cell>
          <cell r="AR137">
            <v>0</v>
          </cell>
          <cell r="BC137">
            <v>0</v>
          </cell>
          <cell r="BF137">
            <v>0</v>
          </cell>
        </row>
        <row r="138">
          <cell r="O138">
            <v>1.2388993693114601</v>
          </cell>
          <cell r="P138">
            <v>1.23835977213103</v>
          </cell>
          <cell r="Q138">
            <v>1.2390267937301001</v>
          </cell>
          <cell r="U138">
            <v>-2.12792531221929E-3</v>
          </cell>
          <cell r="V138">
            <v>-2.8416515618782498E-3</v>
          </cell>
          <cell r="W138">
            <v>-2.0043834061831498E-3</v>
          </cell>
          <cell r="Y138">
            <v>1.23733334869304</v>
          </cell>
          <cell r="Z138">
            <v>1.2373833297043699</v>
          </cell>
          <cell r="AA138">
            <v>1.2372313347295101</v>
          </cell>
          <cell r="AF138">
            <v>1.17678637652996E-4</v>
          </cell>
          <cell r="AG138">
            <v>-3.6159734254675701E-5</v>
          </cell>
          <cell r="AR138">
            <v>0</v>
          </cell>
          <cell r="BC138">
            <v>0</v>
          </cell>
          <cell r="BF138">
            <v>0</v>
          </cell>
        </row>
        <row r="139">
          <cell r="O139">
            <v>1.2388993693114601</v>
          </cell>
          <cell r="P139">
            <v>1.2388187386166101</v>
          </cell>
          <cell r="Q139">
            <v>1.23900115270446</v>
          </cell>
          <cell r="U139">
            <v>-2.5408924871983202E-3</v>
          </cell>
          <cell r="V139">
            <v>-2.9765329738484802E-3</v>
          </cell>
          <cell r="W139">
            <v>-2.4380448554590802E-3</v>
          </cell>
          <cell r="Y139">
            <v>1.23733334869304</v>
          </cell>
          <cell r="Z139">
            <v>1.2374332227852001</v>
          </cell>
          <cell r="AA139">
            <v>1.23720730395217</v>
          </cell>
          <cell r="AF139">
            <v>-3.3752178555538102E-4</v>
          </cell>
          <cell r="AG139">
            <v>-4.6036513344305903E-4</v>
          </cell>
          <cell r="AR139">
            <v>0</v>
          </cell>
          <cell r="BC139">
            <v>0</v>
          </cell>
          <cell r="BF139">
            <v>0</v>
          </cell>
        </row>
        <row r="140">
          <cell r="O140">
            <v>1.2388993693114601</v>
          </cell>
          <cell r="P140">
            <v>1.23918741853004</v>
          </cell>
          <cell r="Q140">
            <v>1.2389755116788199</v>
          </cell>
          <cell r="U140">
            <v>-2.12792531221929E-3</v>
          </cell>
          <cell r="V140">
            <v>-2.1930099516918201E-3</v>
          </cell>
          <cell r="W140">
            <v>-2.0457723830388901E-3</v>
          </cell>
          <cell r="Y140">
            <v>1.23733334869304</v>
          </cell>
          <cell r="Z140">
            <v>1.2373947738481199</v>
          </cell>
          <cell r="AA140">
            <v>1.2371833541135999</v>
          </cell>
          <cell r="AF140">
            <v>1.07646823134252E-4</v>
          </cell>
          <cell r="AG140">
            <v>-7.4940369803881999E-5</v>
          </cell>
          <cell r="AR140">
            <v>0</v>
          </cell>
          <cell r="BC140">
            <v>0</v>
          </cell>
          <cell r="BF140">
            <v>0</v>
          </cell>
        </row>
        <row r="141">
          <cell r="O141">
            <v>1.2388993693114601</v>
          </cell>
          <cell r="P141">
            <v>1.23953127203723</v>
          </cell>
          <cell r="Q141">
            <v>1.2389755116788199</v>
          </cell>
          <cell r="U141">
            <v>-1.5157770719528901E-3</v>
          </cell>
          <cell r="V141">
            <v>-1.2832999680101899E-3</v>
          </cell>
          <cell r="W141">
            <v>-1.45431927361094E-3</v>
          </cell>
          <cell r="Y141">
            <v>1.23733334869304</v>
          </cell>
          <cell r="Z141">
            <v>1.23733265633609</v>
          </cell>
          <cell r="AA141">
            <v>1.23718465413107</v>
          </cell>
          <cell r="AF141">
            <v>6.7326478165788102E-4</v>
          </cell>
          <cell r="AG141">
            <v>5.0239142539760997E-4</v>
          </cell>
          <cell r="AR141">
            <v>0</v>
          </cell>
          <cell r="BC141">
            <v>0</v>
          </cell>
          <cell r="BF141">
            <v>0</v>
          </cell>
        </row>
        <row r="142">
          <cell r="O142">
            <v>1.2388993693114601</v>
          </cell>
          <cell r="P142">
            <v>1.2399263550526201</v>
          </cell>
          <cell r="Q142">
            <v>1.2390072907618599</v>
          </cell>
          <cell r="U142">
            <v>-1.9285737754411701E-3</v>
          </cell>
          <cell r="V142">
            <v>-1.4186521105608099E-3</v>
          </cell>
          <cell r="W142">
            <v>-1.8671159770991101E-3</v>
          </cell>
          <cell r="Y142">
            <v>1.23733334869304</v>
          </cell>
          <cell r="Z142">
            <v>1.23732059065273</v>
          </cell>
          <cell r="AA142">
            <v>1.2372169157176001</v>
          </cell>
          <cell r="AF142">
            <v>2.18379140196945E-4</v>
          </cell>
          <cell r="AG142">
            <v>9.8758069398414104E-5</v>
          </cell>
          <cell r="AR142">
            <v>0</v>
          </cell>
          <cell r="BC142">
            <v>0</v>
          </cell>
          <cell r="BF142">
            <v>0</v>
          </cell>
        </row>
        <row r="143">
          <cell r="O143">
            <v>1.2388993693114601</v>
          </cell>
          <cell r="P143">
            <v>1.2403726675762099</v>
          </cell>
          <cell r="Q143">
            <v>1.2390646845990001</v>
          </cell>
          <cell r="U143">
            <v>-2.3412001481204802E-3</v>
          </cell>
          <cell r="V143">
            <v>-1.5125934495339201E-3</v>
          </cell>
          <cell r="W143">
            <v>-2.25409319433479E-3</v>
          </cell>
          <cell r="Y143">
            <v>1.23733334869304</v>
          </cell>
          <cell r="Z143">
            <v>1.23735857679804</v>
          </cell>
          <cell r="AA143">
            <v>1.23727420321846</v>
          </cell>
          <cell r="AF143">
            <v>-1.9589271362922399E-4</v>
          </cell>
          <cell r="AG143">
            <v>-2.7968609718058098E-4</v>
          </cell>
          <cell r="AR143">
            <v>0</v>
          </cell>
          <cell r="BC143">
            <v>0</v>
          </cell>
          <cell r="BF143">
            <v>0</v>
          </cell>
        </row>
        <row r="144">
          <cell r="O144">
            <v>1.2388993693114601</v>
          </cell>
          <cell r="P144">
            <v>1.24078032788812</v>
          </cell>
          <cell r="Q144">
            <v>1.2391539032254399</v>
          </cell>
          <cell r="U144">
            <v>-2.8536264980468999E-3</v>
          </cell>
          <cell r="V144">
            <v>-1.66513373384562E-3</v>
          </cell>
          <cell r="W144">
            <v>-2.72019818013527E-3</v>
          </cell>
          <cell r="Y144">
            <v>1.23733334869304</v>
          </cell>
          <cell r="Z144">
            <v>1.2373582605451301</v>
          </cell>
          <cell r="AA144">
            <v>1.23736247737424</v>
          </cell>
          <cell r="AF144">
            <v>-6.6583644680398297E-4</v>
          </cell>
          <cell r="AG144">
            <v>-7.3402723478067195E-4</v>
          </cell>
          <cell r="AR144">
            <v>0</v>
          </cell>
          <cell r="BC144">
            <v>0</v>
          </cell>
          <cell r="BF144">
            <v>0</v>
          </cell>
        </row>
        <row r="145">
          <cell r="O145">
            <v>1.2388993693114601</v>
          </cell>
          <cell r="P145">
            <v>1.2411631083963</v>
          </cell>
          <cell r="Q145">
            <v>1.2393843179719899</v>
          </cell>
          <cell r="U145">
            <v>-2.2414924268578502E-3</v>
          </cell>
          <cell r="V145">
            <v>-7.2439411811582805E-4</v>
          </cell>
          <cell r="W145">
            <v>-2.0360618837012298E-3</v>
          </cell>
          <cell r="Y145">
            <v>1.23733334869304</v>
          </cell>
          <cell r="Z145">
            <v>1.2373342243224299</v>
          </cell>
          <cell r="AA145">
            <v>1.23738871849018</v>
          </cell>
          <cell r="AF145">
            <v>-6.9412246838343906E-5</v>
          </cell>
          <cell r="AG145">
            <v>-6.6004323634759305E-5</v>
          </cell>
          <cell r="AR145">
            <v>0</v>
          </cell>
          <cell r="BC145">
            <v>0</v>
          </cell>
          <cell r="BF145">
            <v>0</v>
          </cell>
        </row>
        <row r="146">
          <cell r="O146">
            <v>1.2388993693114601</v>
          </cell>
          <cell r="P146">
            <v>1.24151899341106</v>
          </cell>
          <cell r="Q146">
            <v>1.2395696088479999</v>
          </cell>
          <cell r="U146">
            <v>-1.8290362444792899E-3</v>
          </cell>
          <cell r="V146">
            <v>-3.4856917245787598E-6</v>
          </cell>
          <cell r="W146">
            <v>-1.4376777658668999E-3</v>
          </cell>
          <cell r="Y146">
            <v>1.23733334869304</v>
          </cell>
          <cell r="Z146">
            <v>1.2372839714175199</v>
          </cell>
          <cell r="AA146">
            <v>1.2373708070018199</v>
          </cell>
          <cell r="AF146">
            <v>3.1551899914317199E-4</v>
          </cell>
          <cell r="AG146">
            <v>3.5955962027600701E-4</v>
          </cell>
          <cell r="AR146">
            <v>0</v>
          </cell>
          <cell r="BC146">
            <v>0</v>
          </cell>
          <cell r="BF146">
            <v>0</v>
          </cell>
        </row>
        <row r="147">
          <cell r="O147">
            <v>1.2388993693114601</v>
          </cell>
          <cell r="P147">
            <v>1.2411237679092999</v>
          </cell>
          <cell r="Q147">
            <v>1.2395696088479999</v>
          </cell>
          <cell r="U147">
            <v>1.5748319672916301E-3</v>
          </cell>
          <cell r="V147">
            <v>3.6870765087283798E-3</v>
          </cell>
          <cell r="W147">
            <v>2.1156816279358399E-3</v>
          </cell>
          <cell r="Y147">
            <v>1.23733334869304</v>
          </cell>
          <cell r="Z147">
            <v>1.23729919989471</v>
          </cell>
          <cell r="AA147">
            <v>1.2373724182213699</v>
          </cell>
          <cell r="AF147">
            <v>3.6478785761736199E-4</v>
          </cell>
          <cell r="AG147">
            <v>4.3496781572094302E-4</v>
          </cell>
          <cell r="AR147">
            <v>0</v>
          </cell>
          <cell r="BC147">
            <v>0</v>
          </cell>
          <cell r="BF147">
            <v>0</v>
          </cell>
        </row>
        <row r="148">
          <cell r="O148">
            <v>1.2388993693114601</v>
          </cell>
          <cell r="P148">
            <v>1.2406649064023301</v>
          </cell>
          <cell r="Q148">
            <v>1.23951233926668</v>
          </cell>
          <cell r="U148">
            <v>1.5748319672916301E-3</v>
          </cell>
          <cell r="V148">
            <v>3.3686855494971801E-3</v>
          </cell>
          <cell r="W148">
            <v>2.1156816279358399E-3</v>
          </cell>
          <cell r="Y148">
            <v>1.23733334869304</v>
          </cell>
          <cell r="Z148">
            <v>1.2372524682309001</v>
          </cell>
          <cell r="AA148">
            <v>1.2373178989676401</v>
          </cell>
          <cell r="AF148">
            <v>3.7709577061778202E-4</v>
          </cell>
          <cell r="AG148">
            <v>4.3626994641187398E-4</v>
          </cell>
          <cell r="AR148">
            <v>0</v>
          </cell>
          <cell r="BC148">
            <v>0</v>
          </cell>
          <cell r="BF148">
            <v>0</v>
          </cell>
        </row>
        <row r="149">
          <cell r="O149">
            <v>1.2388993693114601</v>
          </cell>
          <cell r="P149">
            <v>1.2401547628440801</v>
          </cell>
          <cell r="Q149">
            <v>1.23948675073034</v>
          </cell>
          <cell r="U149">
            <v>1.5748319672916301E-3</v>
          </cell>
          <cell r="V149">
            <v>2.9989026449767E-3</v>
          </cell>
          <cell r="W149">
            <v>2.06947937844865E-3</v>
          </cell>
          <cell r="Y149">
            <v>1.23733334869304</v>
          </cell>
          <cell r="Z149">
            <v>1.2371556345845001</v>
          </cell>
          <cell r="AA149">
            <v>1.23729442868485</v>
          </cell>
          <cell r="AF149">
            <v>3.3932596817546598E-4</v>
          </cell>
          <cell r="AG149">
            <v>3.9220847062543203E-4</v>
          </cell>
          <cell r="AR149">
            <v>0</v>
          </cell>
          <cell r="BC149">
            <v>0</v>
          </cell>
          <cell r="BF149">
            <v>0</v>
          </cell>
        </row>
        <row r="150">
          <cell r="O150">
            <v>1.2388993693114601</v>
          </cell>
          <cell r="P150">
            <v>1.2397470784097799</v>
          </cell>
          <cell r="Q150">
            <v>1.2394672484699101</v>
          </cell>
          <cell r="U150">
            <v>1.1611814960366799E-3</v>
          </cell>
          <cell r="V150">
            <v>2.1739820022018E-3</v>
          </cell>
          <cell r="W150">
            <v>1.6351846589242899E-3</v>
          </cell>
          <cell r="Y150">
            <v>1.23733334869304</v>
          </cell>
          <cell r="Z150">
            <v>1.2371589046957501</v>
          </cell>
          <cell r="AA150">
            <v>1.23727683927193</v>
          </cell>
          <cell r="AF150">
            <v>-1.43133207185679E-4</v>
          </cell>
          <cell r="AG150">
            <v>-3.0951431885696201E-5</v>
          </cell>
          <cell r="AR150">
            <v>0</v>
          </cell>
          <cell r="BC150">
            <v>0</v>
          </cell>
          <cell r="BF150">
            <v>0</v>
          </cell>
        </row>
        <row r="151">
          <cell r="O151">
            <v>1.2388993693114601</v>
          </cell>
          <cell r="P151">
            <v>1.2394032249025899</v>
          </cell>
          <cell r="Q151">
            <v>1.2394672484699101</v>
          </cell>
          <cell r="U151">
            <v>1.2593418774856399E-3</v>
          </cell>
          <cell r="V151">
            <v>1.9433515975097E-3</v>
          </cell>
          <cell r="W151">
            <v>1.71761077468174E-3</v>
          </cell>
          <cell r="Y151">
            <v>1.23733334869304</v>
          </cell>
          <cell r="Z151">
            <v>1.2372241201092</v>
          </cell>
          <cell r="AA151">
            <v>1.2372783882226399</v>
          </cell>
          <cell r="AF151">
            <v>-4.46249194160678E-5</v>
          </cell>
          <cell r="AG151">
            <v>5.0697480093042902E-5</v>
          </cell>
          <cell r="AR151">
            <v>0</v>
          </cell>
          <cell r="BC151">
            <v>0</v>
          </cell>
          <cell r="BF151">
            <v>0</v>
          </cell>
        </row>
        <row r="152">
          <cell r="O152">
            <v>1.2388993693114601</v>
          </cell>
          <cell r="P152">
            <v>1.23902028826149</v>
          </cell>
          <cell r="Q152">
            <v>1.2394733216570499</v>
          </cell>
          <cell r="U152">
            <v>1.1611814960366799E-3</v>
          </cell>
          <cell r="V152">
            <v>1.5677949574023E-3</v>
          </cell>
          <cell r="W152">
            <v>1.6194503932330101E-3</v>
          </cell>
          <cell r="Y152">
            <v>1.23733334869304</v>
          </cell>
          <cell r="Z152">
            <v>1.2372511448207599</v>
          </cell>
          <cell r="AA152">
            <v>1.23728586773674</v>
          </cell>
          <cell r="AF152">
            <v>-8.7777496655960997E-5</v>
          </cell>
          <cell r="AG152">
            <v>-4.3915659160296498E-5</v>
          </cell>
          <cell r="AR152">
            <v>0</v>
          </cell>
          <cell r="BC152">
            <v>0</v>
          </cell>
          <cell r="BF152">
            <v>0</v>
          </cell>
        </row>
        <row r="153">
          <cell r="O153">
            <v>1.2388993693114601</v>
          </cell>
          <cell r="P153">
            <v>1.23852282484276</v>
          </cell>
          <cell r="Q153">
            <v>1.23944774620948</v>
          </cell>
          <cell r="U153">
            <v>1.67282131277501E-3</v>
          </cell>
          <cell r="V153">
            <v>1.77041846428119E-3</v>
          </cell>
          <cell r="W153">
            <v>2.1359900346896699E-3</v>
          </cell>
          <cell r="Y153">
            <v>1.23733334869304</v>
          </cell>
          <cell r="Z153">
            <v>1.2371662797910901</v>
          </cell>
          <cell r="AA153">
            <v>1.2372624282945699</v>
          </cell>
          <cell r="AF153">
            <v>4.3395806848806902E-4</v>
          </cell>
          <cell r="AG153">
            <v>4.6202224033976602E-4</v>
          </cell>
          <cell r="AR153">
            <v>0</v>
          </cell>
          <cell r="BC153">
            <v>0</v>
          </cell>
          <cell r="BF153">
            <v>0</v>
          </cell>
        </row>
        <row r="154">
          <cell r="O154">
            <v>1.2388993693114601</v>
          </cell>
          <cell r="P154">
            <v>1.2380640136357099</v>
          </cell>
          <cell r="Q154">
            <v>1.23942217076191</v>
          </cell>
          <cell r="U154">
            <v>8.4603333678089402E-4</v>
          </cell>
          <cell r="V154">
            <v>5.4205247111469696E-4</v>
          </cell>
          <cell r="W154">
            <v>1.2885677207145499E-3</v>
          </cell>
          <cell r="Y154">
            <v>1.23733334869304</v>
          </cell>
          <cell r="Z154">
            <v>1.23711939502315</v>
          </cell>
          <cell r="AA154">
            <v>1.23723882778414</v>
          </cell>
          <cell r="AF154">
            <v>-4.4252819039173599E-4</v>
          </cell>
          <cell r="AG154">
            <v>-3.6481449170522101E-4</v>
          </cell>
          <cell r="AR154">
            <v>0</v>
          </cell>
          <cell r="BC154">
            <v>0</v>
          </cell>
          <cell r="BF154">
            <v>0</v>
          </cell>
        </row>
        <row r="155">
          <cell r="O155">
            <v>1.2388993693114601</v>
          </cell>
          <cell r="P155">
            <v>1.23763008223239</v>
          </cell>
          <cell r="Q155">
            <v>1.23939659531434</v>
          </cell>
          <cell r="U155">
            <v>1.2593418774856399E-3</v>
          </cell>
          <cell r="V155">
            <v>5.8484203370465801E-4</v>
          </cell>
          <cell r="W155">
            <v>1.68124149765358E-3</v>
          </cell>
          <cell r="Y155">
            <v>1.23733334869304</v>
          </cell>
          <cell r="Z155">
            <v>1.23709639129325</v>
          </cell>
          <cell r="AA155">
            <v>1.2372153078078401</v>
          </cell>
          <cell r="AF155">
            <v>-7.6561240082889497E-5</v>
          </cell>
          <cell r="AG155">
            <v>1.9975114257820999E-5</v>
          </cell>
          <cell r="AR155">
            <v>0</v>
          </cell>
          <cell r="BC155">
            <v>0</v>
          </cell>
          <cell r="BF155">
            <v>0</v>
          </cell>
        </row>
        <row r="156">
          <cell r="O156">
            <v>1.2388993693114601</v>
          </cell>
          <cell r="P156">
            <v>1.23729850500121</v>
          </cell>
          <cell r="Q156">
            <v>1.2394087492061401</v>
          </cell>
          <cell r="U156">
            <v>8.4603333678089402E-4</v>
          </cell>
          <cell r="V156">
            <v>-1.79019839490762E-4</v>
          </cell>
          <cell r="W156">
            <v>1.2472977673809501E-3</v>
          </cell>
          <cell r="Y156">
            <v>1.23733334869304</v>
          </cell>
          <cell r="Z156">
            <v>1.2371733911384799</v>
          </cell>
          <cell r="AA156">
            <v>1.237228681278</v>
          </cell>
          <cell r="AF156">
            <v>-4.9902057390348504E-4</v>
          </cell>
          <cell r="AG156">
            <v>-4.0289968927627399E-4</v>
          </cell>
          <cell r="AR156">
            <v>0</v>
          </cell>
          <cell r="BC156">
            <v>0</v>
          </cell>
          <cell r="BF156">
            <v>0</v>
          </cell>
        </row>
        <row r="157">
          <cell r="O157">
            <v>1.2388993693114601</v>
          </cell>
          <cell r="P157">
            <v>1.23732540174493</v>
          </cell>
          <cell r="Q157">
            <v>1.23922458482711</v>
          </cell>
          <cell r="U157">
            <v>1.3574115120773399E-3</v>
          </cell>
          <cell r="V157">
            <v>6.4409405992442599E-5</v>
          </cell>
          <cell r="W157">
            <v>1.7684821921441899E-3</v>
          </cell>
          <cell r="Y157">
            <v>1.23733334869304</v>
          </cell>
          <cell r="Z157">
            <v>1.23719968250969</v>
          </cell>
          <cell r="AA157">
            <v>1.2372494412021999</v>
          </cell>
          <cell r="AF157">
            <v>6.2862902000553902E-5</v>
          </cell>
          <cell r="AG157">
            <v>1.0755259907661E-4</v>
          </cell>
          <cell r="AR157">
            <v>0</v>
          </cell>
          <cell r="BC157">
            <v>0</v>
          </cell>
          <cell r="BF157">
            <v>0</v>
          </cell>
        </row>
        <row r="158">
          <cell r="O158">
            <v>1.2388993693114601</v>
          </cell>
          <cell r="P158">
            <v>1.23740342323302</v>
          </cell>
          <cell r="Q158">
            <v>1.2390341648176699</v>
          </cell>
          <cell r="U158">
            <v>9.4427372475070295E-4</v>
          </cell>
          <cell r="V158">
            <v>-3.2699033569188801E-4</v>
          </cell>
          <cell r="W158">
            <v>1.2067428534430101E-3</v>
          </cell>
          <cell r="Y158">
            <v>1.23733334869304</v>
          </cell>
          <cell r="Z158">
            <v>1.23727592570238</v>
          </cell>
          <cell r="AA158">
            <v>1.23726419696664</v>
          </cell>
          <cell r="AF158">
            <v>-3.19587691162985E-4</v>
          </cell>
          <cell r="AG158">
            <v>-2.7936969513366402E-4</v>
          </cell>
          <cell r="AR158">
            <v>0</v>
          </cell>
          <cell r="BC158">
            <v>0</v>
          </cell>
          <cell r="BF158">
            <v>0</v>
          </cell>
        </row>
        <row r="159">
          <cell r="O159">
            <v>1.2388993693114601</v>
          </cell>
          <cell r="P159">
            <v>1.23741819842262</v>
          </cell>
          <cell r="Q159">
            <v>1.23878648063335</v>
          </cell>
          <cell r="U159">
            <v>1.45539052606444E-3</v>
          </cell>
          <cell r="V159">
            <v>2.4718104140360501E-4</v>
          </cell>
          <cell r="W159">
            <v>1.56418723468305E-3</v>
          </cell>
          <cell r="Y159">
            <v>1.23733334869304</v>
          </cell>
          <cell r="Z159">
            <v>1.23729037962847</v>
          </cell>
          <cell r="AA159">
            <v>1.23722300710648</v>
          </cell>
          <cell r="AF159">
            <v>2.4142952315512399E-4</v>
          </cell>
          <cell r="AG159">
            <v>2.31949995519072E-4</v>
          </cell>
          <cell r="AR159">
            <v>0</v>
          </cell>
          <cell r="BC159">
            <v>0</v>
          </cell>
          <cell r="BF159">
            <v>0</v>
          </cell>
        </row>
        <row r="160">
          <cell r="O160">
            <v>1.2388993693114601</v>
          </cell>
          <cell r="P160">
            <v>1.2374450428380399</v>
          </cell>
          <cell r="Q160">
            <v>1.2385960606239099</v>
          </cell>
          <cell r="U160">
            <v>9.4427372475070295E-4</v>
          </cell>
          <cell r="V160">
            <v>-2.5199535218370698E-4</v>
          </cell>
          <cell r="W160">
            <v>8.5314943779473697E-4</v>
          </cell>
          <cell r="Y160">
            <v>1.23733334869304</v>
          </cell>
          <cell r="Z160">
            <v>1.23731662104609</v>
          </cell>
          <cell r="AA160">
            <v>1.2372377628709199</v>
          </cell>
          <cell r="AF160">
            <v>-2.4628198652142298E-4</v>
          </cell>
          <cell r="AG160">
            <v>-3.0073513465407001E-4</v>
          </cell>
          <cell r="AR160">
            <v>0</v>
          </cell>
          <cell r="BC160">
            <v>0</v>
          </cell>
          <cell r="BF160">
            <v>0</v>
          </cell>
        </row>
        <row r="161">
          <cell r="O161">
            <v>1.2388993693114601</v>
          </cell>
          <cell r="P161">
            <v>1.23752298456993</v>
          </cell>
          <cell r="Q161">
            <v>1.23846310473626</v>
          </cell>
          <cell r="U161">
            <v>6.2962664759725403E-4</v>
          </cell>
          <cell r="V161">
            <v>-5.4494877372587402E-4</v>
          </cell>
          <cell r="W161">
            <v>3.8477558922643101E-4</v>
          </cell>
          <cell r="Y161">
            <v>1.23733334869304</v>
          </cell>
          <cell r="Z161">
            <v>1.23739278808805</v>
          </cell>
          <cell r="AA161">
            <v>1.2373084540986301</v>
          </cell>
          <cell r="AF161">
            <v>-5.3259439706761897E-4</v>
          </cell>
          <cell r="AG161">
            <v>-5.9632965034042001E-4</v>
          </cell>
          <cell r="AR161">
            <v>0</v>
          </cell>
          <cell r="BC161">
            <v>0</v>
          </cell>
          <cell r="BF161">
            <v>0</v>
          </cell>
        </row>
        <row r="162">
          <cell r="O162">
            <v>1.2388993693114601</v>
          </cell>
          <cell r="P162">
            <v>1.2379182887653</v>
          </cell>
          <cell r="Q162">
            <v>1.2384692885133901</v>
          </cell>
          <cell r="U162">
            <v>-2.02820342187942E-3</v>
          </cell>
          <cell r="V162">
            <v>-3.1397948118510699E-3</v>
          </cell>
          <cell r="W162">
            <v>-2.3804042679638699E-3</v>
          </cell>
          <cell r="Y162">
            <v>1.23733334869304</v>
          </cell>
          <cell r="Z162">
            <v>1.23739530585612</v>
          </cell>
          <cell r="AA162">
            <v>1.2373232253384401</v>
          </cell>
          <cell r="AF162">
            <v>2.8192816194069E-5</v>
          </cell>
          <cell r="AG162">
            <v>-3.99640893919122E-5</v>
          </cell>
          <cell r="AR162">
            <v>0</v>
          </cell>
          <cell r="BC162">
            <v>0</v>
          </cell>
          <cell r="BF162">
            <v>0</v>
          </cell>
        </row>
        <row r="163">
          <cell r="O163">
            <v>1.2388993693114601</v>
          </cell>
          <cell r="P163">
            <v>1.23836452267583</v>
          </cell>
          <cell r="Q163">
            <v>1.2384436737593001</v>
          </cell>
          <cell r="U163">
            <v>-1.9285737754411701E-3</v>
          </cell>
          <cell r="V163">
            <v>-2.72078437219109E-3</v>
          </cell>
          <cell r="W163">
            <v>-2.2757815283375401E-3</v>
          </cell>
          <cell r="Y163">
            <v>1.23733334869304</v>
          </cell>
          <cell r="Z163">
            <v>1.2374478180451001</v>
          </cell>
          <cell r="AA163">
            <v>1.2373070489180999</v>
          </cell>
          <cell r="AF163">
            <v>1.2594810510154999E-4</v>
          </cell>
          <cell r="AG163">
            <v>6.7694597245711199E-5</v>
          </cell>
          <cell r="AR163">
            <v>0</v>
          </cell>
          <cell r="BC163">
            <v>0</v>
          </cell>
          <cell r="BF163">
            <v>0</v>
          </cell>
        </row>
        <row r="164">
          <cell r="O164">
            <v>1.2388993693114601</v>
          </cell>
          <cell r="P164">
            <v>1.2386448966299901</v>
          </cell>
          <cell r="Q164">
            <v>1.23835445513285</v>
          </cell>
          <cell r="U164">
            <v>-1.41640987180001E-3</v>
          </cell>
          <cell r="V164">
            <v>-1.8482142069577E-3</v>
          </cell>
          <cell r="W164">
            <v>-1.7843004298571199E-3</v>
          </cell>
          <cell r="Y164">
            <v>1.23733334869304</v>
          </cell>
          <cell r="Z164">
            <v>1.23733867268215</v>
          </cell>
          <cell r="AA164">
            <v>1.2372290338526499</v>
          </cell>
          <cell r="AF164">
            <v>6.6723231043749605E-4</v>
          </cell>
          <cell r="AG164">
            <v>5.5346821280177901E-4</v>
          </cell>
          <cell r="AR164">
            <v>0</v>
          </cell>
          <cell r="BC164">
            <v>0</v>
          </cell>
          <cell r="BF164">
            <v>0</v>
          </cell>
        </row>
        <row r="165">
          <cell r="O165">
            <v>1.2388993693114601</v>
          </cell>
          <cell r="P165">
            <v>1.23909120915358</v>
          </cell>
          <cell r="Q165">
            <v>1.2383606456929801</v>
          </cell>
          <cell r="U165">
            <v>-2.3412001481204802E-3</v>
          </cell>
          <cell r="V165">
            <v>-2.5466234665768501E-3</v>
          </cell>
          <cell r="W165">
            <v>-2.7811342251408701E-3</v>
          </cell>
          <cell r="Y165">
            <v>1.23733334869304</v>
          </cell>
          <cell r="Z165">
            <v>1.2373911052722</v>
          </cell>
          <cell r="AA165">
            <v>1.2372437482827301</v>
          </cell>
          <cell r="AF165">
            <v>-3.2303419054851001E-4</v>
          </cell>
          <cell r="AG165">
            <v>-4.1164670196515999E-4</v>
          </cell>
          <cell r="AR165">
            <v>0</v>
          </cell>
          <cell r="BC165">
            <v>0</v>
          </cell>
          <cell r="BF165">
            <v>0</v>
          </cell>
        </row>
        <row r="166">
          <cell r="O166">
            <v>1.2388993693114601</v>
          </cell>
          <cell r="P166">
            <v>1.23942278638475</v>
          </cell>
          <cell r="Q166">
            <v>1.2383606456929801</v>
          </cell>
          <cell r="U166">
            <v>-1.8290362444792899E-3</v>
          </cell>
          <cell r="V166">
            <v>-1.6742012389200801E-3</v>
          </cell>
          <cell r="W166">
            <v>-2.2639713128304799E-3</v>
          </cell>
          <cell r="Y166">
            <v>1.23733334869304</v>
          </cell>
          <cell r="Z166">
            <v>1.2373318322112301</v>
          </cell>
          <cell r="AA166">
            <v>1.2372526116748499</v>
          </cell>
          <cell r="AF166">
            <v>2.1818762905259799E-4</v>
          </cell>
          <cell r="AG166">
            <v>9.9093703386589894E-5</v>
          </cell>
          <cell r="AR166">
            <v>0</v>
          </cell>
          <cell r="BC166">
            <v>0</v>
          </cell>
          <cell r="BF166">
            <v>0</v>
          </cell>
        </row>
        <row r="167">
          <cell r="O167">
            <v>1.2388993693114601</v>
          </cell>
          <cell r="P167">
            <v>1.2398688517427501</v>
          </cell>
          <cell r="Q167">
            <v>1.23859712674384</v>
          </cell>
          <cell r="U167">
            <v>-2.2414924268578502E-3</v>
          </cell>
          <cell r="V167">
            <v>-1.8190961053263801E-3</v>
          </cell>
          <cell r="W167">
            <v>-2.6764274952090499E-3</v>
          </cell>
          <cell r="Y167">
            <v>1.23733334869304</v>
          </cell>
          <cell r="Z167">
            <v>1.23738425751508</v>
          </cell>
          <cell r="AA167">
            <v>1.2372919700123901</v>
          </cell>
          <cell r="AF167">
            <v>-2.32765836305955E-4</v>
          </cell>
          <cell r="AG167">
            <v>-2.9679318166342497E-4</v>
          </cell>
          <cell r="AR167">
            <v>0</v>
          </cell>
          <cell r="BC167">
            <v>0</v>
          </cell>
          <cell r="BF167">
            <v>0</v>
          </cell>
        </row>
        <row r="168">
          <cell r="O168">
            <v>1.2388993693114601</v>
          </cell>
          <cell r="P168">
            <v>1.2398663374110599</v>
          </cell>
          <cell r="Q168">
            <v>1.2386348803220399</v>
          </cell>
          <cell r="U168">
            <v>9.64587986378991E-4</v>
          </cell>
          <cell r="V168">
            <v>1.7468172182078701E-3</v>
          </cell>
          <cell r="W168">
            <v>7.2059767631696403E-4</v>
          </cell>
          <cell r="Y168">
            <v>1.23733334869304</v>
          </cell>
          <cell r="Z168">
            <v>1.23739209094701</v>
          </cell>
          <cell r="AA168">
            <v>1.23733400832469</v>
          </cell>
          <cell r="AF168">
            <v>-2.33704684775651E-4</v>
          </cell>
          <cell r="AG168">
            <v>-3.0829020162879002E-4</v>
          </cell>
          <cell r="AR168">
            <v>0</v>
          </cell>
          <cell r="BC168">
            <v>0</v>
          </cell>
          <cell r="BF168">
            <v>0</v>
          </cell>
        </row>
        <row r="169">
          <cell r="O169">
            <v>1.2388993693114601</v>
          </cell>
          <cell r="P169">
            <v>1.23991489810709</v>
          </cell>
          <cell r="Q169">
            <v>1.23866654826486</v>
          </cell>
          <cell r="U169">
            <v>1.0629302412425499E-3</v>
          </cell>
          <cell r="V169">
            <v>1.8431315696876499E-3</v>
          </cell>
          <cell r="W169">
            <v>8.4942038524858502E-4</v>
          </cell>
          <cell r="Y169">
            <v>1.23733334869304</v>
          </cell>
          <cell r="Z169">
            <v>1.2374498603222699</v>
          </cell>
          <cell r="AA169">
            <v>1.2373701199753699</v>
          </cell>
          <cell r="AF169">
            <v>-1.3159847528652801E-4</v>
          </cell>
          <cell r="AG169">
            <v>-1.78539122449409E-4</v>
          </cell>
          <cell r="AR169">
            <v>0</v>
          </cell>
          <cell r="BC169">
            <v>0</v>
          </cell>
          <cell r="BF169">
            <v>0</v>
          </cell>
        </row>
        <row r="170">
          <cell r="O170">
            <v>1.2388993693114601</v>
          </cell>
          <cell r="P170">
            <v>1.2399002125046299</v>
          </cell>
          <cell r="Q170">
            <v>1.23867262767134</v>
          </cell>
          <cell r="U170">
            <v>1.0629302412425499E-3</v>
          </cell>
          <cell r="V170">
            <v>1.8822968761592299E-3</v>
          </cell>
          <cell r="W170">
            <v>8.74986868563124E-4</v>
          </cell>
          <cell r="Y170">
            <v>1.23733334869304</v>
          </cell>
          <cell r="Z170">
            <v>1.2374458404309401</v>
          </cell>
          <cell r="AA170">
            <v>1.2373812307385099</v>
          </cell>
          <cell r="AF170">
            <v>-8.4913170599504702E-5</v>
          </cell>
          <cell r="AG170">
            <v>-1.49354501737493E-4</v>
          </cell>
          <cell r="AR170">
            <v>0</v>
          </cell>
          <cell r="BC170">
            <v>0</v>
          </cell>
          <cell r="BF170">
            <v>0</v>
          </cell>
        </row>
        <row r="171">
          <cell r="O171">
            <v>1.2388993693114601</v>
          </cell>
          <cell r="P171">
            <v>1.23978324007435</v>
          </cell>
          <cell r="Q171">
            <v>1.23865311232214</v>
          </cell>
          <cell r="U171">
            <v>1.5748319672916301E-3</v>
          </cell>
          <cell r="V171">
            <v>2.3823544914174199E-3</v>
          </cell>
          <cell r="W171">
            <v>1.3917966076457901E-3</v>
          </cell>
          <cell r="Y171">
            <v>1.23733334869304</v>
          </cell>
          <cell r="Z171">
            <v>1.23734206709404</v>
          </cell>
          <cell r="AA171">
            <v>1.23736742759104</v>
          </cell>
          <cell r="AF171">
            <v>4.1043699418421198E-4</v>
          </cell>
          <cell r="AG171">
            <v>3.5822349353840298E-4</v>
          </cell>
          <cell r="AR171">
            <v>0</v>
          </cell>
          <cell r="BC171">
            <v>0</v>
          </cell>
          <cell r="BF171">
            <v>0</v>
          </cell>
        </row>
        <row r="172">
          <cell r="O172">
            <v>1.2388993693114601</v>
          </cell>
          <cell r="P172">
            <v>1.23943911295166</v>
          </cell>
          <cell r="Q172">
            <v>1.2386787008584801</v>
          </cell>
          <cell r="U172">
            <v>7.4770206074728496E-4</v>
          </cell>
          <cell r="V172">
            <v>1.46087993757904E-3</v>
          </cell>
          <cell r="W172">
            <v>5.4891152697945195E-4</v>
          </cell>
          <cell r="Y172">
            <v>1.23733334869304</v>
          </cell>
          <cell r="Z172">
            <v>1.23739977678807</v>
          </cell>
          <cell r="AA172">
            <v>1.2373975413220899</v>
          </cell>
          <cell r="AF172">
            <v>-4.7908402489867802E-4</v>
          </cell>
          <cell r="AG172">
            <v>-4.5858828827714598E-4</v>
          </cell>
          <cell r="AR172">
            <v>0</v>
          </cell>
          <cell r="BC172">
            <v>0</v>
          </cell>
          <cell r="BF172">
            <v>0</v>
          </cell>
        </row>
        <row r="173">
          <cell r="O173">
            <v>1.2388993693114601</v>
          </cell>
          <cell r="P173">
            <v>1.23910735338322</v>
          </cell>
          <cell r="Q173">
            <v>1.23873593802952</v>
          </cell>
          <cell r="U173">
            <v>7.4770206074728496E-4</v>
          </cell>
          <cell r="V173">
            <v>1.1832710135675801E-3</v>
          </cell>
          <cell r="W173">
            <v>5.69569669098654E-4</v>
          </cell>
          <cell r="Y173">
            <v>1.23733334869304</v>
          </cell>
          <cell r="Z173">
            <v>1.23746932997374</v>
          </cell>
          <cell r="AA173">
            <v>1.2374585740094199</v>
          </cell>
          <cell r="AF173">
            <v>-4.3244506400203398E-4</v>
          </cell>
          <cell r="AG173">
            <v>-4.34251649099179E-4</v>
          </cell>
          <cell r="AR173">
            <v>0</v>
          </cell>
          <cell r="BC173">
            <v>0</v>
          </cell>
          <cell r="BF173">
            <v>0</v>
          </cell>
        </row>
        <row r="174">
          <cell r="O174">
            <v>1.2388993693114601</v>
          </cell>
          <cell r="P174">
            <v>1.2387758285339201</v>
          </cell>
          <cell r="Q174">
            <v>1.23871036258195</v>
          </cell>
          <cell r="U174">
            <v>1.2593418774856399E-3</v>
          </cell>
          <cell r="V174">
            <v>1.4272058871689899E-3</v>
          </cell>
          <cell r="W174">
            <v>1.1274166650134499E-3</v>
          </cell>
          <cell r="Y174">
            <v>1.23733334869304</v>
          </cell>
          <cell r="Z174">
            <v>1.2375389099912599</v>
          </cell>
          <cell r="AA174">
            <v>1.23743879133671</v>
          </cell>
          <cell r="AF174">
            <v>1.2211272503228899E-4</v>
          </cell>
          <cell r="AG174">
            <v>1.13420783500006E-4</v>
          </cell>
          <cell r="AR174">
            <v>0</v>
          </cell>
          <cell r="BC174">
            <v>0</v>
          </cell>
          <cell r="BF174">
            <v>0</v>
          </cell>
        </row>
        <row r="175">
          <cell r="O175">
            <v>1.2388993693114601</v>
          </cell>
          <cell r="P175">
            <v>1.23832951601033</v>
          </cell>
          <cell r="Q175">
            <v>1.23871036258195</v>
          </cell>
          <cell r="U175">
            <v>1.2593418774856399E-3</v>
          </cell>
          <cell r="V175">
            <v>1.15961873560256E-3</v>
          </cell>
          <cell r="W175">
            <v>1.10677004388175E-3</v>
          </cell>
          <cell r="Y175">
            <v>1.23733334869304</v>
          </cell>
          <cell r="Z175">
            <v>1.2374968888415701</v>
          </cell>
          <cell r="AA175">
            <v>1.23744399705689</v>
          </cell>
          <cell r="AF175">
            <v>1.7833881463879701E-4</v>
          </cell>
          <cell r="AG175">
            <v>9.7434122404894803E-5</v>
          </cell>
          <cell r="AR175">
            <v>0</v>
          </cell>
          <cell r="BC175">
            <v>0</v>
          </cell>
          <cell r="BF175">
            <v>0</v>
          </cell>
        </row>
        <row r="176">
          <cell r="O176">
            <v>1.2388993693114601</v>
          </cell>
          <cell r="P176">
            <v>1.23794678788402</v>
          </cell>
          <cell r="Q176">
            <v>1.23868478713438</v>
          </cell>
          <cell r="U176">
            <v>1.2593418774856399E-3</v>
          </cell>
          <cell r="V176">
            <v>7.9926867669466797E-4</v>
          </cell>
          <cell r="W176">
            <v>1.10677004388175E-3</v>
          </cell>
          <cell r="Y176">
            <v>1.23733334869304</v>
          </cell>
          <cell r="Z176">
            <v>1.23751659655712</v>
          </cell>
          <cell r="AA176">
            <v>1.2374242143841701</v>
          </cell>
          <cell r="AF176">
            <v>1.4438282118449901E-4</v>
          </cell>
          <cell r="AG176">
            <v>1.01640964202407E-4</v>
          </cell>
          <cell r="AR176">
            <v>0</v>
          </cell>
          <cell r="BC176">
            <v>0</v>
          </cell>
          <cell r="BF1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6835-5D6A-4B61-B202-3293232A91E5}">
  <dimension ref="A1:DZ183"/>
  <sheetViews>
    <sheetView tabSelected="1" topLeftCell="AX1" workbookViewId="0">
      <selection activeCell="BA8" sqref="BA8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2.209680188591006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2.6997997974575352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20.88</v>
      </c>
      <c r="C2" s="33">
        <v>25.52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20.88</v>
      </c>
      <c r="M2" s="33">
        <v>25.52</v>
      </c>
      <c r="N2" s="34">
        <v>1.2222222222222201</v>
      </c>
      <c r="O2" s="34">
        <v>1.2246984145589499</v>
      </c>
      <c r="X2" s="34">
        <v>1.2222222222222201</v>
      </c>
      <c r="Y2" s="34">
        <v>1.2232106064414101</v>
      </c>
      <c r="AI2" s="4">
        <v>0</v>
      </c>
      <c r="AJ2" s="10">
        <v>4.9726253941699152</v>
      </c>
      <c r="AK2" s="10">
        <v>5.5499373561338494</v>
      </c>
      <c r="AL2" s="10">
        <v>4.6789532362431077</v>
      </c>
      <c r="AM2" s="10">
        <v>3.308870615782729</v>
      </c>
      <c r="AN2" s="10">
        <v>1.9308233468844676</v>
      </c>
      <c r="AO2" s="10">
        <v>1.2750711555097243</v>
      </c>
      <c r="AP2" s="10" t="e">
        <v>#DIV/0!</v>
      </c>
      <c r="AQ2" s="10" t="e">
        <v>#DIV/0!</v>
      </c>
      <c r="AR2"/>
      <c r="AT2" s="4">
        <v>0</v>
      </c>
      <c r="AU2" s="10">
        <v>6.0644983507490791</v>
      </c>
      <c r="AV2" s="11">
        <v>5.7806652793741193</v>
      </c>
      <c r="AW2" s="11">
        <v>4.1744531311271995</v>
      </c>
      <c r="AX2" s="11">
        <v>3.3591708175098658</v>
      </c>
      <c r="AY2" s="11">
        <v>1.2750711555097243</v>
      </c>
      <c r="AZ2" s="11">
        <v>1.2750711555097243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20.91</v>
      </c>
      <c r="C3" s="33">
        <v>25.58</v>
      </c>
      <c r="D3" s="15">
        <v>1.4357504261041901E-3</v>
      </c>
      <c r="E3" s="15">
        <v>2.3483376741074199E-3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20.91</v>
      </c>
      <c r="M3" s="33">
        <v>25.58</v>
      </c>
      <c r="N3" s="34">
        <v>1.2233381157340899</v>
      </c>
      <c r="O3" s="34">
        <v>1.2246984145589499</v>
      </c>
      <c r="R3" s="33">
        <v>25.608443848427701</v>
      </c>
      <c r="U3" s="15">
        <v>1.11133877949208E-3</v>
      </c>
      <c r="X3" s="34">
        <v>1.2233381157340899</v>
      </c>
      <c r="Y3" s="34">
        <v>1.2232106064414101</v>
      </c>
      <c r="AB3" s="33">
        <v>25.577333780690001</v>
      </c>
      <c r="AE3" s="15">
        <v>-1.04236054358498E-4</v>
      </c>
      <c r="AI3" s="4">
        <f t="shared" ref="AI3:AI9" si="2">AI2-AK$12</f>
        <v>-2.0000000000000001E-4</v>
      </c>
      <c r="AJ3" s="10">
        <v>4.9726253941699152</v>
      </c>
      <c r="AK3" s="10">
        <v>6.0316130915469648</v>
      </c>
      <c r="AL3" s="10">
        <v>4.9905736436251305</v>
      </c>
      <c r="AM3" s="10">
        <v>3.308870615782729</v>
      </c>
      <c r="AN3" s="10">
        <v>1.9308233468844676</v>
      </c>
      <c r="AO3" s="11">
        <v>1.2750711555097243</v>
      </c>
      <c r="AP3" s="10" t="e">
        <v>#DIV/0!</v>
      </c>
      <c r="AQ3" s="10" t="e">
        <v>#DIV/0!</v>
      </c>
      <c r="AR3"/>
      <c r="AT3" s="4">
        <f>AT2+AV$12</f>
        <v>2.0000000000000001E-4</v>
      </c>
      <c r="AU3" s="10">
        <v>6.0644983507490791</v>
      </c>
      <c r="AV3" s="11">
        <v>6.1517170629025344</v>
      </c>
      <c r="AW3" s="11">
        <v>3.8684684629709261</v>
      </c>
      <c r="AX3" s="11">
        <v>3.0442726066153996</v>
      </c>
      <c r="AY3" s="11">
        <v>1.2750711555097243</v>
      </c>
      <c r="AZ3" s="11">
        <v>1.2750711555097243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20.92</v>
      </c>
      <c r="C4" s="33">
        <v>25.6</v>
      </c>
      <c r="D4" s="15">
        <v>4.78125756179953E-4</v>
      </c>
      <c r="E4" s="15">
        <v>7.8155533482031001E-4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20.92</v>
      </c>
      <c r="M4" s="33">
        <v>25.6</v>
      </c>
      <c r="N4" s="34">
        <v>1.2237093690248499</v>
      </c>
      <c r="O4" s="34">
        <v>1.2246984145589499</v>
      </c>
      <c r="R4" s="33">
        <v>25.620690832573299</v>
      </c>
      <c r="U4" s="15">
        <v>8.0790920085174495E-4</v>
      </c>
      <c r="X4" s="34">
        <v>1.2237093690248499</v>
      </c>
      <c r="Y4" s="34">
        <v>1.2232106064414101</v>
      </c>
      <c r="AB4" s="33">
        <v>25.5895658867544</v>
      </c>
      <c r="AE4" s="15">
        <v>-4.0766563299870801E-4</v>
      </c>
      <c r="AG4"/>
      <c r="AI4" s="4">
        <f t="shared" si="2"/>
        <v>-4.0000000000000002E-4</v>
      </c>
      <c r="AJ4" s="10">
        <v>4.9726253941699152</v>
      </c>
      <c r="AK4" s="11">
        <v>6.0316130915469648</v>
      </c>
      <c r="AL4" s="11">
        <v>4.8548834221129722</v>
      </c>
      <c r="AM4" s="11">
        <v>2.9982522769160713</v>
      </c>
      <c r="AN4" s="10">
        <v>1.9308233468844676</v>
      </c>
      <c r="AO4" s="11">
        <v>1.2750711555097243</v>
      </c>
      <c r="AP4" s="11" t="e">
        <v>#DIV/0!</v>
      </c>
      <c r="AQ4" s="11" t="e">
        <v>#DIV/0!</v>
      </c>
      <c r="AR4"/>
      <c r="AT4" s="4">
        <f t="shared" ref="AT4:AT9" si="3">AT3+AV$12</f>
        <v>4.0000000000000002E-4</v>
      </c>
      <c r="AU4" s="10">
        <v>6.0644983507490791</v>
      </c>
      <c r="AV4" s="11">
        <v>6.1517170629025344</v>
      </c>
      <c r="AW4" s="11">
        <v>3.7774223583440243</v>
      </c>
      <c r="AX4" s="11">
        <v>2.6627809813420398</v>
      </c>
      <c r="AY4" s="11">
        <v>1.2750711555097243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20.93</v>
      </c>
      <c r="C5" s="33">
        <v>25.58</v>
      </c>
      <c r="D5" s="15">
        <v>4.7789726118620799E-4</v>
      </c>
      <c r="E5" s="15">
        <v>-7.8155533482022598E-4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20.93</v>
      </c>
      <c r="M5" s="33">
        <v>25.58</v>
      </c>
      <c r="N5" s="34">
        <v>1.2221691352126101</v>
      </c>
      <c r="O5" s="34">
        <v>1.2246984145589499</v>
      </c>
      <c r="R5" s="33">
        <v>25.632937816718901</v>
      </c>
      <c r="U5" s="15">
        <v>2.0673617968582502E-3</v>
      </c>
      <c r="X5" s="34">
        <v>1.2221691352126101</v>
      </c>
      <c r="Y5" s="34">
        <v>1.2232106064414101</v>
      </c>
      <c r="AB5" s="33">
        <v>25.601797992818799</v>
      </c>
      <c r="AE5" s="15">
        <v>8.5178696300751205E-4</v>
      </c>
      <c r="AG5" s="29"/>
      <c r="AI5" s="4">
        <f t="shared" si="2"/>
        <v>-6.0000000000000006E-4</v>
      </c>
      <c r="AJ5" s="10">
        <v>4.9726253941699152</v>
      </c>
      <c r="AK5" s="11">
        <v>6.0316130915469648</v>
      </c>
      <c r="AL5" s="11">
        <v>4.8548834221129722</v>
      </c>
      <c r="AM5" s="11">
        <v>3.1942535487532417</v>
      </c>
      <c r="AN5" s="11">
        <v>1.9308233468844676</v>
      </c>
      <c r="AO5" s="11">
        <v>1.2750711555097243</v>
      </c>
      <c r="AP5" s="10" t="e">
        <v>#DIV/0!</v>
      </c>
      <c r="AQ5" s="11" t="e">
        <v>#DIV/0!</v>
      </c>
      <c r="AR5"/>
      <c r="AT5" s="4">
        <f t="shared" si="3"/>
        <v>6.0000000000000006E-4</v>
      </c>
      <c r="AU5" s="10">
        <v>6.0644983507490791</v>
      </c>
      <c r="AV5" s="11">
        <v>6.1517170629025344</v>
      </c>
      <c r="AW5" s="11">
        <v>3.7774223583440243</v>
      </c>
      <c r="AX5" s="11">
        <v>2.33133009002148</v>
      </c>
      <c r="AY5" s="11">
        <v>1.2750711555097243</v>
      </c>
      <c r="AZ5" s="11">
        <v>1.2750711555097243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20.87</v>
      </c>
      <c r="C6" s="33">
        <v>25.53</v>
      </c>
      <c r="D6" s="15">
        <v>-2.87081536879888E-3</v>
      </c>
      <c r="E6" s="15">
        <v>-1.9565648973041E-3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20.87</v>
      </c>
      <c r="M6" s="33">
        <v>25.53</v>
      </c>
      <c r="N6" s="34">
        <v>1.2232870148538499</v>
      </c>
      <c r="O6" s="34">
        <v>1.2246984145589499</v>
      </c>
      <c r="R6" s="33">
        <v>25.559455911845401</v>
      </c>
      <c r="U6" s="15">
        <v>1.15311132536327E-3</v>
      </c>
      <c r="X6" s="34">
        <v>1.2232870148538499</v>
      </c>
      <c r="Y6" s="34">
        <v>1.2232106064414101</v>
      </c>
      <c r="AB6" s="33">
        <v>25.528405356432302</v>
      </c>
      <c r="AE6" s="15">
        <v>-6.2463508487297002E-5</v>
      </c>
      <c r="AG6" s="29"/>
      <c r="AI6" s="4">
        <f t="shared" si="2"/>
        <v>-8.0000000000000004E-4</v>
      </c>
      <c r="AJ6" s="10">
        <v>4.9726253941699152</v>
      </c>
      <c r="AK6" s="11">
        <v>6.0316130915469648</v>
      </c>
      <c r="AL6" s="11">
        <v>4.8548834221129722</v>
      </c>
      <c r="AM6" s="11">
        <v>3.1942535487532417</v>
      </c>
      <c r="AN6" s="11">
        <v>1.9308233468844676</v>
      </c>
      <c r="AO6" s="11">
        <v>1.2750711555097243</v>
      </c>
      <c r="AP6" s="11" t="e">
        <v>#DIV/0!</v>
      </c>
      <c r="AQ6" s="11" t="e">
        <v>#DIV/0!</v>
      </c>
      <c r="AR6"/>
      <c r="AT6" s="4">
        <f t="shared" si="3"/>
        <v>8.0000000000000004E-4</v>
      </c>
      <c r="AU6" s="10">
        <v>6.0644983507490791</v>
      </c>
      <c r="AV6" s="11">
        <v>6.1517170629025344</v>
      </c>
      <c r="AW6" s="11">
        <v>3.7774223583440243</v>
      </c>
      <c r="AX6" s="11">
        <v>2.33133009002148</v>
      </c>
      <c r="AY6" s="11">
        <v>1.2750711555097243</v>
      </c>
      <c r="AZ6" s="11">
        <v>1.2750711555097243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20.88</v>
      </c>
      <c r="C7" s="33">
        <v>25.55</v>
      </c>
      <c r="D7" s="15">
        <v>4.7904192532854798E-4</v>
      </c>
      <c r="E7" s="15">
        <v>7.8308539632087704E-4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20.88</v>
      </c>
      <c r="M7" s="33">
        <v>25.55</v>
      </c>
      <c r="N7" s="34">
        <v>1.2236590038314099</v>
      </c>
      <c r="O7" s="34">
        <v>1.2246984145589499</v>
      </c>
      <c r="R7" s="33">
        <v>25.571702895990999</v>
      </c>
      <c r="U7" s="15">
        <v>8.49067854370949E-4</v>
      </c>
      <c r="X7" s="34">
        <v>1.2236590038314099</v>
      </c>
      <c r="Y7" s="34">
        <v>1.2232106064414101</v>
      </c>
      <c r="AB7" s="33">
        <v>25.540637462496701</v>
      </c>
      <c r="AE7" s="15">
        <v>-3.6650697947974298E-4</v>
      </c>
      <c r="AG7"/>
      <c r="AI7" s="4">
        <f t="shared" si="2"/>
        <v>-1E-3</v>
      </c>
      <c r="AJ7" s="10">
        <v>4.9726253941699152</v>
      </c>
      <c r="AK7" s="11">
        <v>6.0316130915469648</v>
      </c>
      <c r="AL7" s="11">
        <v>4.8548834221129722</v>
      </c>
      <c r="AM7" s="11">
        <v>3.1942535487532417</v>
      </c>
      <c r="AN7" s="11">
        <v>1.9308233468844676</v>
      </c>
      <c r="AO7" s="11">
        <v>1.2750711555097243</v>
      </c>
      <c r="AP7" s="11" t="e">
        <v>#DIV/0!</v>
      </c>
      <c r="AQ7" s="11" t="e">
        <v>#DIV/0!</v>
      </c>
      <c r="AR7"/>
      <c r="AT7" s="4">
        <f t="shared" si="3"/>
        <v>1E-3</v>
      </c>
      <c r="AU7" s="10">
        <v>6.0644983507490791</v>
      </c>
      <c r="AV7" s="11">
        <v>6.1517170629025344</v>
      </c>
      <c r="AW7" s="11">
        <v>3.7774223583440243</v>
      </c>
      <c r="AX7" s="11">
        <v>2.33133009002148</v>
      </c>
      <c r="AY7" s="11">
        <v>1.2750711555097243</v>
      </c>
      <c r="AZ7" s="11">
        <v>1.2750711555097243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20.87</v>
      </c>
      <c r="C8" s="33">
        <v>25.52</v>
      </c>
      <c r="D8" s="15">
        <v>-4.7904192532853698E-4</v>
      </c>
      <c r="E8" s="15">
        <v>-1.17485817312432E-3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20.87</v>
      </c>
      <c r="M8" s="33">
        <v>25.52</v>
      </c>
      <c r="N8" s="34">
        <v>1.22280785816962</v>
      </c>
      <c r="O8" s="34">
        <v>1.2246984145589499</v>
      </c>
      <c r="R8" s="33">
        <v>25.559455911845401</v>
      </c>
      <c r="U8" s="15">
        <v>1.54488410216672E-3</v>
      </c>
      <c r="X8" s="34">
        <v>1.22280785816962</v>
      </c>
      <c r="Y8" s="34">
        <v>1.2232106064414101</v>
      </c>
      <c r="AB8" s="33">
        <v>25.528405356432302</v>
      </c>
      <c r="AE8" s="15">
        <v>3.2930926831620201E-4</v>
      </c>
      <c r="AG8"/>
      <c r="AI8" s="4">
        <f t="shared" si="2"/>
        <v>-1.2000000000000001E-3</v>
      </c>
      <c r="AJ8" s="10">
        <v>4.9726253941699152</v>
      </c>
      <c r="AK8" s="11">
        <v>6.0316130915469648</v>
      </c>
      <c r="AL8" s="11">
        <v>4.8548834221129722</v>
      </c>
      <c r="AM8" s="11">
        <v>3.1942535487532417</v>
      </c>
      <c r="AN8" s="11">
        <v>1.9308233468844676</v>
      </c>
      <c r="AO8" s="11">
        <v>1.2750711555097243</v>
      </c>
      <c r="AP8" s="11" t="e">
        <v>#DIV/0!</v>
      </c>
      <c r="AQ8" s="11" t="e">
        <v>#DIV/0!</v>
      </c>
      <c r="AR8"/>
      <c r="AT8" s="4">
        <f t="shared" si="3"/>
        <v>1.2000000000000001E-3</v>
      </c>
      <c r="AU8" s="10">
        <v>6.0644983507490791</v>
      </c>
      <c r="AV8" s="11">
        <v>6.1517170629025344</v>
      </c>
      <c r="AW8" s="11">
        <v>3.7774223583440243</v>
      </c>
      <c r="AX8" s="11">
        <v>2.33133009002148</v>
      </c>
      <c r="AY8" s="11">
        <v>1.2750711555097243</v>
      </c>
      <c r="AZ8" s="11">
        <v>1.2750711555097243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20.92</v>
      </c>
      <c r="C9" s="33">
        <v>25.59</v>
      </c>
      <c r="D9" s="15">
        <v>2.3929181076127802E-3</v>
      </c>
      <c r="E9" s="15">
        <v>2.7391916951082199E-3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20.92</v>
      </c>
      <c r="M9" s="33">
        <v>25.59</v>
      </c>
      <c r="N9" s="34">
        <v>1.2232313575525799</v>
      </c>
      <c r="O9" s="34">
        <v>1.2246984145589499</v>
      </c>
      <c r="R9" s="33">
        <v>25.620690832573299</v>
      </c>
      <c r="U9" s="15">
        <v>1.19861051467124E-3</v>
      </c>
      <c r="X9" s="34">
        <v>1.2232313575525799</v>
      </c>
      <c r="Y9" s="34">
        <v>1.2232106064414101</v>
      </c>
      <c r="AB9" s="33">
        <v>25.5895658867544</v>
      </c>
      <c r="AE9" s="15">
        <v>-1.6964319179320498E-5</v>
      </c>
      <c r="AF9"/>
      <c r="AI9" s="4">
        <f t="shared" si="2"/>
        <v>-1.4000000000000002E-3</v>
      </c>
      <c r="AJ9" s="10">
        <v>4.9726253941699152</v>
      </c>
      <c r="AK9" s="11">
        <v>6.0316130915469648</v>
      </c>
      <c r="AL9" s="11">
        <v>4.8548834221129722</v>
      </c>
      <c r="AM9" s="11">
        <v>3.1942535487532417</v>
      </c>
      <c r="AN9" s="11">
        <v>1.9308233468844676</v>
      </c>
      <c r="AO9" s="11">
        <v>1.2750711555097243</v>
      </c>
      <c r="AP9" s="11" t="e">
        <v>#DIV/0!</v>
      </c>
      <c r="AQ9" s="11" t="e">
        <v>#DIV/0!</v>
      </c>
      <c r="AR9"/>
      <c r="AT9" s="4">
        <f t="shared" si="3"/>
        <v>1.4000000000000002E-3</v>
      </c>
      <c r="AU9" s="10">
        <v>6.0644983507490791</v>
      </c>
      <c r="AV9" s="10">
        <v>6.1517170629025344</v>
      </c>
      <c r="AW9" s="10">
        <v>3.7774223583440243</v>
      </c>
      <c r="AX9" s="10">
        <v>2.33133009002148</v>
      </c>
      <c r="AY9" s="10">
        <v>1.2750711555097243</v>
      </c>
      <c r="AZ9" s="10">
        <v>1.2750711555097243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20.95</v>
      </c>
      <c r="C10" s="33">
        <v>25.62</v>
      </c>
      <c r="D10" s="15">
        <v>1.4330071714245701E-3</v>
      </c>
      <c r="E10" s="15">
        <v>1.17164629689075E-3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20.95</v>
      </c>
      <c r="M10" s="33">
        <v>25.62</v>
      </c>
      <c r="N10" s="34">
        <v>1.2229116945107299</v>
      </c>
      <c r="O10" s="34">
        <v>1.2246984145589499</v>
      </c>
      <c r="R10" s="33">
        <v>25.6574317850101</v>
      </c>
      <c r="U10" s="15">
        <v>1.45997138920495E-3</v>
      </c>
      <c r="X10" s="34">
        <v>1.2229116945107299</v>
      </c>
      <c r="Y10" s="34">
        <v>1.2232106064414101</v>
      </c>
      <c r="AB10" s="33">
        <v>25.626262204947601</v>
      </c>
      <c r="AE10" s="15">
        <v>2.44396555354327E-4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20.9</v>
      </c>
      <c r="C11" s="33">
        <v>25.55</v>
      </c>
      <c r="D11" s="15">
        <v>-2.3894873973814598E-3</v>
      </c>
      <c r="E11" s="15">
        <v>-2.7359798188747401E-3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20.9</v>
      </c>
      <c r="M11" s="33">
        <v>25.55</v>
      </c>
      <c r="N11" s="34">
        <v>1.2224880382775101</v>
      </c>
      <c r="O11" s="34">
        <v>1.2246984145589499</v>
      </c>
      <c r="P11" s="34">
        <v>1.22298238093895</v>
      </c>
      <c r="R11" s="33">
        <v>25.596196864282099</v>
      </c>
      <c r="U11" s="15">
        <v>1.80646381069814E-3</v>
      </c>
      <c r="X11" s="34">
        <v>1.2224880382775101</v>
      </c>
      <c r="Y11" s="34">
        <v>1.2232106064414101</v>
      </c>
      <c r="Z11" s="34">
        <v>1.22298238093895</v>
      </c>
      <c r="AB11" s="33">
        <v>25.565101674625499</v>
      </c>
      <c r="AE11" s="15">
        <v>5.9088897684768295E-4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20.88</v>
      </c>
      <c r="C12" s="33">
        <v>25.52</v>
      </c>
      <c r="D12" s="15">
        <v>-9.5739595632733199E-4</v>
      </c>
      <c r="E12" s="15">
        <v>-1.17485817312432E-3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20.88</v>
      </c>
      <c r="M12" s="33">
        <v>25.52</v>
      </c>
      <c r="N12" s="34">
        <v>1.2222222222222201</v>
      </c>
      <c r="O12" s="34">
        <v>1.2246984145589499</v>
      </c>
      <c r="P12" s="34">
        <v>1.22298238093895</v>
      </c>
      <c r="R12" s="33">
        <v>25.571702895990999</v>
      </c>
      <c r="S12" s="33">
        <v>25.535872114005301</v>
      </c>
      <c r="U12" s="15">
        <v>2.0239260274953E-3</v>
      </c>
      <c r="V12" s="15">
        <v>6.2175471143423896E-4</v>
      </c>
      <c r="X12" s="34">
        <v>1.2222222222222201</v>
      </c>
      <c r="Y12" s="34">
        <v>1.2232106064414101</v>
      </c>
      <c r="Z12" s="34">
        <v>1.22298238093895</v>
      </c>
      <c r="AB12" s="33">
        <v>25.540637462496701</v>
      </c>
      <c r="AC12" s="33">
        <v>25.535872114005301</v>
      </c>
      <c r="AE12" s="15">
        <v>8.0835119364462997E-4</v>
      </c>
      <c r="AF12" s="15">
        <v>6.2175471143423896E-4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20.75</v>
      </c>
      <c r="C13" s="33">
        <v>25.45</v>
      </c>
      <c r="D13" s="15">
        <v>-6.2455163377306598E-3</v>
      </c>
      <c r="E13" s="15">
        <v>-2.7467154800574099E-3</v>
      </c>
      <c r="F13" s="33">
        <v>8.0210000000000004E-2</v>
      </c>
      <c r="G13" s="33">
        <v>8.0210000000000004E-2</v>
      </c>
      <c r="H13" s="33">
        <v>0</v>
      </c>
      <c r="I13" s="33">
        <v>0</v>
      </c>
      <c r="J13" s="33">
        <v>8.0210000000000004E-2</v>
      </c>
      <c r="K13" s="33">
        <v>0</v>
      </c>
      <c r="L13" s="33">
        <v>20.830210000000001</v>
      </c>
      <c r="M13" s="33">
        <v>25.45</v>
      </c>
      <c r="N13" s="34">
        <v>1.2265060240963801</v>
      </c>
      <c r="O13" s="34">
        <v>1.2246984145589499</v>
      </c>
      <c r="P13" s="34">
        <v>1.22329917177518</v>
      </c>
      <c r="R13" s="33">
        <v>25.412492102098302</v>
      </c>
      <c r="S13" s="33">
        <v>25.376884404483199</v>
      </c>
      <c r="U13" s="15">
        <v>-1.4748748301780701E-3</v>
      </c>
      <c r="V13" s="15">
        <v>-2.8770461462389102E-3</v>
      </c>
      <c r="X13" s="34">
        <v>1.2217831697328001</v>
      </c>
      <c r="Y13" s="34">
        <v>1.2232106064414101</v>
      </c>
      <c r="Z13" s="34">
        <v>1.2228268863388201</v>
      </c>
      <c r="AB13" s="33">
        <v>25.479733806401999</v>
      </c>
      <c r="AC13" s="33">
        <v>25.474979821258302</v>
      </c>
      <c r="AE13" s="15">
        <v>1.1676404943836501E-3</v>
      </c>
      <c r="AF13" s="15">
        <v>9.8104401217341606E-4</v>
      </c>
    </row>
    <row r="14" spans="1:130" x14ac:dyDescent="0.25">
      <c r="A14" s="1">
        <v>46043</v>
      </c>
      <c r="B14" s="33">
        <v>20.81</v>
      </c>
      <c r="C14" s="33">
        <v>25.55</v>
      </c>
      <c r="D14" s="15">
        <v>2.88739372883566E-3</v>
      </c>
      <c r="E14" s="15">
        <v>3.9215736531816401E-3</v>
      </c>
      <c r="F14" s="33">
        <v>0</v>
      </c>
      <c r="G14" s="33">
        <v>8.0210000000000004E-2</v>
      </c>
      <c r="H14" s="33">
        <v>0</v>
      </c>
      <c r="I14" s="33">
        <v>0</v>
      </c>
      <c r="J14" s="33">
        <v>8.0210000000000004E-2</v>
      </c>
      <c r="K14" s="33">
        <v>0</v>
      </c>
      <c r="L14" s="33">
        <v>20.89021</v>
      </c>
      <c r="M14" s="33">
        <v>25.55</v>
      </c>
      <c r="N14" s="34">
        <v>1.2277751081210899</v>
      </c>
      <c r="O14" s="34">
        <v>1.2246984145589499</v>
      </c>
      <c r="P14" s="34">
        <v>1.2237057456848</v>
      </c>
      <c r="R14" s="33">
        <v>25.485974006971801</v>
      </c>
      <c r="S14" s="33">
        <v>25.456855764641499</v>
      </c>
      <c r="U14" s="15">
        <v>-2.5090547545240701E-3</v>
      </c>
      <c r="V14" s="15">
        <v>-3.6522282151271101E-3</v>
      </c>
      <c r="X14" s="34">
        <v>1.22306094577316</v>
      </c>
      <c r="Y14" s="34">
        <v>1.2232106064414101</v>
      </c>
      <c r="Z14" s="34">
        <v>1.22276204401365</v>
      </c>
      <c r="AB14" s="33">
        <v>25.5531264427885</v>
      </c>
      <c r="AC14" s="33">
        <v>25.545110449264101</v>
      </c>
      <c r="AE14" s="15">
        <v>1.22358180802765E-4</v>
      </c>
      <c r="AF14" s="15">
        <v>-1.9139016269063399E-4</v>
      </c>
      <c r="AQ14" s="20">
        <f>AVERAGE(AQ22:AQ176)</f>
        <v>1.7135576636635997E-5</v>
      </c>
      <c r="AR14" s="21" t="s">
        <v>41</v>
      </c>
      <c r="BB14" s="20">
        <f>AVERAGE(BB22:BB176)</f>
        <v>2.8024124448540114E-5</v>
      </c>
      <c r="BC14" s="21" t="s">
        <v>41</v>
      </c>
      <c r="BD14" s="22"/>
      <c r="BE14" s="20">
        <f>AVERAGE(BE22:BE176)</f>
        <v>4.5159701085176112E-5</v>
      </c>
      <c r="BF14" s="21" t="s">
        <v>41</v>
      </c>
    </row>
    <row r="15" spans="1:130" x14ac:dyDescent="0.25">
      <c r="A15" s="1">
        <v>46044</v>
      </c>
      <c r="B15" s="33">
        <v>20.81</v>
      </c>
      <c r="C15" s="33">
        <v>25.55</v>
      </c>
      <c r="D15" s="15">
        <v>0</v>
      </c>
      <c r="E15" s="15">
        <v>0</v>
      </c>
      <c r="F15" s="33">
        <v>0</v>
      </c>
      <c r="G15" s="33">
        <v>8.0210000000000004E-2</v>
      </c>
      <c r="H15" s="33">
        <v>0</v>
      </c>
      <c r="I15" s="33">
        <v>0</v>
      </c>
      <c r="J15" s="33">
        <v>8.0210000000000004E-2</v>
      </c>
      <c r="K15" s="33">
        <v>0</v>
      </c>
      <c r="L15" s="33">
        <v>20.89021</v>
      </c>
      <c r="M15" s="33">
        <v>25.55</v>
      </c>
      <c r="N15" s="34">
        <v>1.2277751081210899</v>
      </c>
      <c r="O15" s="34">
        <v>1.2246984145589499</v>
      </c>
      <c r="P15" s="34">
        <v>1.22426634297565</v>
      </c>
      <c r="R15" s="33">
        <v>25.485974006971801</v>
      </c>
      <c r="S15" s="33">
        <v>25.4653165677007</v>
      </c>
      <c r="U15" s="15">
        <v>-2.5090547545240701E-3</v>
      </c>
      <c r="V15" s="15">
        <v>-3.3199249079581801E-3</v>
      </c>
      <c r="X15" s="34">
        <v>1.22306094577316</v>
      </c>
      <c r="Y15" s="34">
        <v>1.2232106064414101</v>
      </c>
      <c r="Z15" s="34">
        <v>1.2228512250696999</v>
      </c>
      <c r="AB15" s="33">
        <v>25.5531264427885</v>
      </c>
      <c r="AC15" s="33">
        <v>25.5437558794744</v>
      </c>
      <c r="AE15" s="15">
        <v>1.22358180802765E-4</v>
      </c>
      <c r="AF15" s="15">
        <v>-2.4441814656768902E-4</v>
      </c>
      <c r="AQ15" s="20">
        <f>STDEV(AQ22:AQ176)</f>
        <v>1.2310326513214408E-4</v>
      </c>
      <c r="AR15" s="21" t="s">
        <v>42</v>
      </c>
      <c r="BB15" s="20">
        <f>STDEV(BB22:BB176)</f>
        <v>1.6477858262894799E-4</v>
      </c>
      <c r="BC15" s="21" t="s">
        <v>42</v>
      </c>
      <c r="BD15" s="22"/>
      <c r="BE15" s="20">
        <f>STDEV(BE22:BE176)</f>
        <v>2.0332176378254262E-4</v>
      </c>
      <c r="BF15" s="21" t="s">
        <v>42</v>
      </c>
    </row>
    <row r="16" spans="1:130" x14ac:dyDescent="0.25">
      <c r="A16" s="1">
        <v>46045</v>
      </c>
      <c r="B16" s="33">
        <v>20.82</v>
      </c>
      <c r="C16" s="33">
        <v>25.56</v>
      </c>
      <c r="D16" s="15">
        <v>4.80422781279908E-4</v>
      </c>
      <c r="E16" s="15">
        <v>3.9131285962046899E-4</v>
      </c>
      <c r="F16" s="33">
        <v>0</v>
      </c>
      <c r="G16" s="33">
        <v>8.0210000000000004E-2</v>
      </c>
      <c r="H16" s="33">
        <v>0</v>
      </c>
      <c r="I16" s="33">
        <v>0</v>
      </c>
      <c r="J16" s="33">
        <v>8.0210000000000004E-2</v>
      </c>
      <c r="K16" s="33">
        <v>0</v>
      </c>
      <c r="L16" s="33">
        <v>20.900210000000001</v>
      </c>
      <c r="M16" s="33">
        <v>25.56</v>
      </c>
      <c r="N16" s="34">
        <v>1.2276657060518701</v>
      </c>
      <c r="O16" s="34">
        <v>1.2246984145589499</v>
      </c>
      <c r="P16" s="34">
        <v>1.2247042120954501</v>
      </c>
      <c r="R16" s="33">
        <v>25.4982209911174</v>
      </c>
      <c r="S16" s="33">
        <v>25.489225260752999</v>
      </c>
      <c r="U16" s="15">
        <v>-2.4199448328648099E-3</v>
      </c>
      <c r="V16" s="15">
        <v>-2.7728054336207098E-3</v>
      </c>
      <c r="X16" s="34">
        <v>1.22295421912028</v>
      </c>
      <c r="Y16" s="34">
        <v>1.2232106064414101</v>
      </c>
      <c r="Z16" s="34">
        <v>1.2228179454963499</v>
      </c>
      <c r="AB16" s="33">
        <v>25.565358548852899</v>
      </c>
      <c r="AC16" s="33">
        <v>25.557847402714099</v>
      </c>
      <c r="AE16" s="15">
        <v>2.0962391363782101E-4</v>
      </c>
      <c r="AF16" s="15">
        <v>-8.4220967684264699E-5</v>
      </c>
      <c r="AQ16" s="23">
        <f>SQRT(252)*AQ14/AQ15</f>
        <v>2.209680188591006</v>
      </c>
      <c r="AR16" s="21" t="s">
        <v>43</v>
      </c>
      <c r="BB16" s="23">
        <f>SQRT(252)*BB14/BB15</f>
        <v>2.6997997974575352</v>
      </c>
      <c r="BC16" s="21" t="s">
        <v>43</v>
      </c>
      <c r="BD16" s="22"/>
      <c r="BE16" s="23">
        <f>SQRT(252)*BE14/BE15</f>
        <v>3.5258794571891814</v>
      </c>
      <c r="BF16" s="21" t="s">
        <v>43</v>
      </c>
    </row>
    <row r="17" spans="1:124" x14ac:dyDescent="0.25">
      <c r="A17" s="1">
        <v>46048</v>
      </c>
      <c r="B17" s="33">
        <v>20.83</v>
      </c>
      <c r="C17" s="33">
        <v>25.56</v>
      </c>
      <c r="D17" s="15">
        <v>4.8019208605777202E-4</v>
      </c>
      <c r="E17" s="15">
        <v>0</v>
      </c>
      <c r="F17" s="33">
        <v>0</v>
      </c>
      <c r="G17" s="33">
        <v>8.0210000000000004E-2</v>
      </c>
      <c r="H17" s="33">
        <v>0</v>
      </c>
      <c r="I17" s="33">
        <v>0</v>
      </c>
      <c r="J17" s="33">
        <v>8.0210000000000004E-2</v>
      </c>
      <c r="K17" s="33">
        <v>0</v>
      </c>
      <c r="L17" s="33">
        <v>20.910209999999999</v>
      </c>
      <c r="M17" s="33">
        <v>25.56</v>
      </c>
      <c r="N17" s="34">
        <v>1.2270763322131499</v>
      </c>
      <c r="O17" s="34">
        <v>1.2246984145589499</v>
      </c>
      <c r="P17" s="34">
        <v>1.22504594493362</v>
      </c>
      <c r="R17" s="33">
        <v>25.510467975263001</v>
      </c>
      <c r="S17" s="33">
        <v>25.5105887379483</v>
      </c>
      <c r="U17" s="15">
        <v>-1.93975274680709E-3</v>
      </c>
      <c r="V17" s="15">
        <v>-1.93501890971992E-3</v>
      </c>
      <c r="X17" s="34">
        <v>1.22236935927472</v>
      </c>
      <c r="Y17" s="34">
        <v>1.2232106064414101</v>
      </c>
      <c r="Z17" s="34">
        <v>1.22268898104068</v>
      </c>
      <c r="AB17" s="33">
        <v>25.577590654917302</v>
      </c>
      <c r="AC17" s="33">
        <v>25.5693800320972</v>
      </c>
      <c r="AE17" s="15">
        <v>6.87973578179745E-4</v>
      </c>
      <c r="AF17" s="15">
        <v>3.66913590448404E-4</v>
      </c>
    </row>
    <row r="18" spans="1:124" x14ac:dyDescent="0.25">
      <c r="A18" s="1">
        <v>46049</v>
      </c>
      <c r="B18" s="33">
        <v>20.83</v>
      </c>
      <c r="C18" s="33">
        <v>25.58</v>
      </c>
      <c r="D18" s="15">
        <v>0</v>
      </c>
      <c r="E18" s="15">
        <v>7.8216664136247598E-4</v>
      </c>
      <c r="F18" s="33">
        <v>0</v>
      </c>
      <c r="G18" s="33">
        <v>8.0210000000000004E-2</v>
      </c>
      <c r="H18" s="33">
        <v>0</v>
      </c>
      <c r="I18" s="33">
        <v>0</v>
      </c>
      <c r="J18" s="33">
        <v>8.0210000000000004E-2</v>
      </c>
      <c r="K18" s="33">
        <v>0</v>
      </c>
      <c r="L18" s="33">
        <v>20.910209999999999</v>
      </c>
      <c r="M18" s="33">
        <v>25.58</v>
      </c>
      <c r="N18" s="34">
        <v>1.22803648583773</v>
      </c>
      <c r="O18" s="34">
        <v>1.2246984145589499</v>
      </c>
      <c r="P18" s="34">
        <v>1.2255688077004301</v>
      </c>
      <c r="R18" s="33">
        <v>25.510467975263001</v>
      </c>
      <c r="S18" s="33">
        <v>25.517707032967401</v>
      </c>
      <c r="U18" s="15">
        <v>-2.7219193881696602E-3</v>
      </c>
      <c r="V18" s="15">
        <v>-2.4381915161928599E-3</v>
      </c>
      <c r="X18" s="34">
        <v>1.2233258298218901</v>
      </c>
      <c r="Y18" s="34">
        <v>1.2232106064414101</v>
      </c>
      <c r="Z18" s="34">
        <v>1.2227407782059001</v>
      </c>
      <c r="AB18" s="33">
        <v>25.577590654917302</v>
      </c>
      <c r="AC18" s="33">
        <v>25.5666833582466</v>
      </c>
      <c r="AE18" s="15">
        <v>-9.4193063182783005E-5</v>
      </c>
      <c r="AF18" s="15">
        <v>-5.2072358087973402E-4</v>
      </c>
      <c r="BE18" s="24">
        <f>SUM(BE22:BE176)</f>
        <v>6.9997536682022974E-3</v>
      </c>
      <c r="BF18" s="20">
        <f>BF176</f>
        <v>6.9997536682022974E-3</v>
      </c>
    </row>
    <row r="19" spans="1:124" x14ac:dyDescent="0.25">
      <c r="A19" s="1">
        <v>46050</v>
      </c>
      <c r="B19" s="33">
        <v>20.83</v>
      </c>
      <c r="C19" s="33">
        <v>25.58</v>
      </c>
      <c r="D19" s="15">
        <v>0</v>
      </c>
      <c r="E19" s="15">
        <v>0</v>
      </c>
      <c r="F19" s="33">
        <v>0</v>
      </c>
      <c r="G19" s="33">
        <v>8.0210000000000004E-2</v>
      </c>
      <c r="H19" s="33">
        <v>0</v>
      </c>
      <c r="I19" s="33">
        <v>0</v>
      </c>
      <c r="J19" s="33">
        <v>8.0210000000000004E-2</v>
      </c>
      <c r="K19" s="33">
        <v>0</v>
      </c>
      <c r="L19" s="33">
        <v>20.910209999999999</v>
      </c>
      <c r="M19" s="33">
        <v>25.58</v>
      </c>
      <c r="N19" s="34">
        <v>1.22803648583773</v>
      </c>
      <c r="O19" s="34">
        <v>1.2246984145589499</v>
      </c>
      <c r="P19" s="34">
        <v>1.22604932052895</v>
      </c>
      <c r="R19" s="33">
        <v>25.510467975263001</v>
      </c>
      <c r="S19" s="33">
        <v>25.528598264400099</v>
      </c>
      <c r="U19" s="15">
        <v>-2.7219193881696602E-3</v>
      </c>
      <c r="V19" s="15">
        <v>-2.0114718335635801E-3</v>
      </c>
      <c r="X19" s="34">
        <v>1.2233258298218901</v>
      </c>
      <c r="Y19" s="34">
        <v>1.2232106064414101</v>
      </c>
      <c r="Z19" s="34">
        <v>1.22275022543284</v>
      </c>
      <c r="AB19" s="33">
        <v>25.577590654917302</v>
      </c>
      <c r="AC19" s="33">
        <v>25.5677664478489</v>
      </c>
      <c r="AE19" s="15">
        <v>-9.4193063182783005E-5</v>
      </c>
      <c r="AF19" s="15">
        <v>-4.7836115763803398E-4</v>
      </c>
      <c r="AI19" s="12"/>
      <c r="AJ19"/>
      <c r="AK19"/>
      <c r="AL19"/>
      <c r="AM19"/>
      <c r="AN19"/>
      <c r="AO19"/>
      <c r="AP19"/>
      <c r="AQ19" s="24">
        <f>SUM(AQ22:AQ176)</f>
        <v>2.6560143786785798E-3</v>
      </c>
      <c r="AR19" s="24">
        <f>AR176</f>
        <v>2.6560143786785798E-3</v>
      </c>
      <c r="AU19"/>
      <c r="AV19"/>
      <c r="AW19"/>
      <c r="AX19"/>
      <c r="AY19"/>
      <c r="AZ19"/>
      <c r="BA19"/>
      <c r="BB19" s="24">
        <f>SUM(BB22:BB176)</f>
        <v>4.3437392895237176E-3</v>
      </c>
      <c r="BC19" s="24">
        <f>BC176</f>
        <v>4.3437392895237176E-3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20.85</v>
      </c>
      <c r="C20" s="33">
        <v>25.6</v>
      </c>
      <c r="D20" s="15">
        <v>9.5969297192991399E-4</v>
      </c>
      <c r="E20" s="15">
        <v>7.8155533482031001E-4</v>
      </c>
      <c r="F20" s="33">
        <v>0</v>
      </c>
      <c r="G20" s="33">
        <v>8.0210000000000004E-2</v>
      </c>
      <c r="H20" s="33">
        <v>0</v>
      </c>
      <c r="I20" s="33">
        <v>0</v>
      </c>
      <c r="J20" s="33">
        <v>8.0210000000000004E-2</v>
      </c>
      <c r="K20" s="33">
        <v>0</v>
      </c>
      <c r="L20" s="33">
        <v>20.930209999999999</v>
      </c>
      <c r="M20" s="33">
        <v>25.6</v>
      </c>
      <c r="N20" s="34">
        <v>1.2278177458033499</v>
      </c>
      <c r="O20" s="34">
        <v>1.2246984145589499</v>
      </c>
      <c r="P20" s="34">
        <v>1.2265399256582099</v>
      </c>
      <c r="R20" s="33">
        <v>25.534961943554201</v>
      </c>
      <c r="S20" s="33">
        <v>25.5631283330287</v>
      </c>
      <c r="U20" s="15">
        <v>-2.5437817510598898E-3</v>
      </c>
      <c r="V20" s="15">
        <v>-1.44133771940439E-3</v>
      </c>
      <c r="X20" s="34">
        <v>1.2231124293544999</v>
      </c>
      <c r="Y20" s="34">
        <v>1.2232106064414101</v>
      </c>
      <c r="Z20" s="34">
        <v>1.22277029891721</v>
      </c>
      <c r="AB20" s="33">
        <v>25.6020548670461</v>
      </c>
      <c r="AC20" s="33">
        <v>25.592418995856601</v>
      </c>
      <c r="AE20" s="15">
        <v>8.0265022668869702E-5</v>
      </c>
      <c r="AF20" s="15">
        <v>-2.9617683037554501E-4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BSCW log rtn</v>
      </c>
      <c r="AP20" s="7" t="str">
        <f>E1</f>
        <v>IBDX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BSCW log rtn</v>
      </c>
      <c r="BA20" s="24" t="str">
        <f>E1</f>
        <v>IBDX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20.86</v>
      </c>
      <c r="C21" s="33">
        <v>25.61</v>
      </c>
      <c r="D21" s="15">
        <v>4.7950132781575101E-4</v>
      </c>
      <c r="E21" s="15">
        <v>3.9054872591694998E-4</v>
      </c>
      <c r="F21" s="33">
        <v>0</v>
      </c>
      <c r="G21" s="33">
        <v>8.0210000000000004E-2</v>
      </c>
      <c r="H21" s="33">
        <v>0</v>
      </c>
      <c r="I21" s="33">
        <v>0</v>
      </c>
      <c r="J21" s="33">
        <v>8.0210000000000004E-2</v>
      </c>
      <c r="K21" s="33">
        <v>0</v>
      </c>
      <c r="L21" s="33">
        <v>20.94021</v>
      </c>
      <c r="M21" s="33">
        <v>25.61</v>
      </c>
      <c r="N21" s="34">
        <v>1.22770853307766</v>
      </c>
      <c r="O21" s="34">
        <v>1.2246984145589499</v>
      </c>
      <c r="P21" s="34">
        <v>1.2270619751382299</v>
      </c>
      <c r="Q21" s="34">
        <v>1.2250221780385899</v>
      </c>
      <c r="R21" s="33">
        <v>25.547208927699799</v>
      </c>
      <c r="S21" s="33">
        <v>25.585622849230301</v>
      </c>
      <c r="U21" s="15">
        <v>-2.4548291491610298E-3</v>
      </c>
      <c r="V21" s="15">
        <v>-9.5231393838898705E-4</v>
      </c>
      <c r="X21" s="34">
        <v>1.2230058819849401</v>
      </c>
      <c r="Y21" s="34">
        <v>1.2232106064414101</v>
      </c>
      <c r="Z21" s="34">
        <v>1.2228220832879599</v>
      </c>
      <c r="AA21" s="34">
        <v>1.2229022321134499</v>
      </c>
      <c r="AB21" s="33">
        <v>25.614286973110602</v>
      </c>
      <c r="AC21" s="33">
        <v>25.6050668410893</v>
      </c>
      <c r="AE21" s="15">
        <v>1.6738048976133201E-4</v>
      </c>
      <c r="AF21" s="15">
        <v>-1.9264483013413101E-4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20.84</v>
      </c>
      <c r="C22" s="33">
        <v>25.48</v>
      </c>
      <c r="D22" s="15">
        <v>-9.5923268746023302E-4</v>
      </c>
      <c r="E22" s="15">
        <v>-5.0890695074712897E-3</v>
      </c>
      <c r="F22" s="33">
        <v>0</v>
      </c>
      <c r="G22" s="33">
        <v>8.0210000000000004E-2</v>
      </c>
      <c r="H22" s="33">
        <v>0.10002999999999999</v>
      </c>
      <c r="I22" s="33">
        <v>0.10002999999999999</v>
      </c>
      <c r="J22" s="33">
        <v>8.0210000000000004E-2</v>
      </c>
      <c r="K22" s="33">
        <v>0.10002999999999999</v>
      </c>
      <c r="L22" s="33">
        <v>20.920210000000001</v>
      </c>
      <c r="M22" s="33">
        <v>25.580030000000001</v>
      </c>
      <c r="N22" s="34">
        <v>1.22264875239923</v>
      </c>
      <c r="O22" s="34">
        <v>1.2246984145589499</v>
      </c>
      <c r="P22" s="34">
        <v>1.2271046281559299</v>
      </c>
      <c r="Q22" s="34">
        <v>1.2250435045474399</v>
      </c>
      <c r="R22" s="33">
        <v>25.522714959408599</v>
      </c>
      <c r="S22" s="33">
        <v>25.571971561880702</v>
      </c>
      <c r="T22" s="33">
        <v>25.5294621903242</v>
      </c>
      <c r="U22" s="15">
        <v>1.6750076708499299E-3</v>
      </c>
      <c r="V22" s="15">
        <v>3.6030601195277002E-3</v>
      </c>
      <c r="W22" s="15">
        <v>1.93933453530824E-3</v>
      </c>
      <c r="X22" s="34">
        <v>1.2227425059308601</v>
      </c>
      <c r="Y22" s="34">
        <v>1.2232106064414101</v>
      </c>
      <c r="Z22" s="34">
        <v>1.22287411165882</v>
      </c>
      <c r="AA22" s="34">
        <v>1.22292824629888</v>
      </c>
      <c r="AB22" s="33">
        <v>25.589822760981701</v>
      </c>
      <c r="AC22" s="33">
        <v>25.581694775021599</v>
      </c>
      <c r="AD22" s="33">
        <v>25.583371505282201</v>
      </c>
      <c r="AE22" s="15">
        <v>3.82755101800846E-4</v>
      </c>
      <c r="AF22" s="15">
        <v>6.5078924900568205E-5</v>
      </c>
      <c r="AG22" s="15">
        <v>1.3062091998147701E-4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20.83</v>
      </c>
      <c r="C23" s="33">
        <v>25.47</v>
      </c>
      <c r="D23" s="15">
        <v>-4.7996161228561099E-4</v>
      </c>
      <c r="E23" s="15">
        <v>-3.9254171259698798E-4</v>
      </c>
      <c r="F23" s="33">
        <v>0</v>
      </c>
      <c r="G23" s="33">
        <v>8.0210000000000004E-2</v>
      </c>
      <c r="H23" s="33">
        <v>0</v>
      </c>
      <c r="I23" s="33">
        <v>0.10002999999999999</v>
      </c>
      <c r="J23" s="33">
        <v>8.0210000000000004E-2</v>
      </c>
      <c r="K23" s="33">
        <v>0.10002999999999999</v>
      </c>
      <c r="L23" s="33">
        <v>20.910209999999999</v>
      </c>
      <c r="M23" s="33">
        <v>25.570029999999999</v>
      </c>
      <c r="N23" s="34">
        <v>1.22275564090254</v>
      </c>
      <c r="O23" s="34">
        <v>1.2246984145589499</v>
      </c>
      <c r="P23" s="34">
        <v>1.22672958983654</v>
      </c>
      <c r="Q23" s="34">
        <v>1.22501438080586</v>
      </c>
      <c r="R23" s="33">
        <v>25.510467975263001</v>
      </c>
      <c r="S23" s="33">
        <v>25.560589404487999</v>
      </c>
      <c r="T23" s="33">
        <v>25.517656199723199</v>
      </c>
      <c r="U23" s="15">
        <v>1.5875877711612699E-3</v>
      </c>
      <c r="V23" s="15">
        <v>3.5503998956068501E-3</v>
      </c>
      <c r="W23" s="15">
        <v>1.86932356388034E-3</v>
      </c>
      <c r="X23" s="34">
        <v>1.2228490292541201</v>
      </c>
      <c r="Y23" s="34">
        <v>1.2232106064414101</v>
      </c>
      <c r="Z23" s="34">
        <v>1.2229806976109501</v>
      </c>
      <c r="AA23" s="34">
        <v>1.22290379197489</v>
      </c>
      <c r="AB23" s="33">
        <v>25.577590654917302</v>
      </c>
      <c r="AC23" s="33">
        <v>25.570554478349401</v>
      </c>
      <c r="AD23" s="33">
        <v>25.571686445041401</v>
      </c>
      <c r="AE23" s="15">
        <v>2.95640535204535E-4</v>
      </c>
      <c r="AF23" s="15">
        <v>2.05112379862611E-5</v>
      </c>
      <c r="AG23" s="15">
        <v>6.4778625247742695E-5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20.83</v>
      </c>
      <c r="C24" s="33">
        <v>25.48</v>
      </c>
      <c r="D24" s="15">
        <v>0</v>
      </c>
      <c r="E24" s="15">
        <v>3.92541712597108E-4</v>
      </c>
      <c r="F24" s="33">
        <v>0</v>
      </c>
      <c r="G24" s="33">
        <v>8.0210000000000004E-2</v>
      </c>
      <c r="H24" s="33">
        <v>0</v>
      </c>
      <c r="I24" s="33">
        <v>0.10002999999999999</v>
      </c>
      <c r="J24" s="33">
        <v>8.0210000000000004E-2</v>
      </c>
      <c r="K24" s="33">
        <v>0.10002999999999999</v>
      </c>
      <c r="L24" s="33">
        <v>20.910209999999999</v>
      </c>
      <c r="M24" s="33">
        <v>25.580030000000001</v>
      </c>
      <c r="N24" s="34">
        <v>1.2232357177148301</v>
      </c>
      <c r="O24" s="34">
        <v>1.2246984145589499</v>
      </c>
      <c r="P24" s="34">
        <v>1.22627565079592</v>
      </c>
      <c r="Q24" s="34">
        <v>1.22499069824036</v>
      </c>
      <c r="R24" s="33">
        <v>25.510467975263001</v>
      </c>
      <c r="S24" s="33">
        <v>25.552777356295199</v>
      </c>
      <c r="T24" s="33">
        <v>25.517049552186101</v>
      </c>
      <c r="U24" s="15">
        <v>1.1950460585643701E-3</v>
      </c>
      <c r="V24" s="15">
        <v>2.8521828284530201E-3</v>
      </c>
      <c r="W24" s="15">
        <v>1.45300793006033E-3</v>
      </c>
      <c r="X24" s="34">
        <v>1.22332726452771</v>
      </c>
      <c r="Y24" s="34">
        <v>1.2232106064414101</v>
      </c>
      <c r="Z24" s="34">
        <v>1.2230073294864101</v>
      </c>
      <c r="AA24" s="34">
        <v>1.22288468675003</v>
      </c>
      <c r="AB24" s="33">
        <v>25.577590654917302</v>
      </c>
      <c r="AC24" s="33">
        <v>25.572783212991599</v>
      </c>
      <c r="AD24" s="33">
        <v>25.571175099991201</v>
      </c>
      <c r="AE24" s="15">
        <v>-9.5365853738328994E-5</v>
      </c>
      <c r="AF24" s="15">
        <v>-2.8333874919803998E-4</v>
      </c>
      <c r="AG24" s="15">
        <v>-3.4622449578169999E-4</v>
      </c>
      <c r="AI24" s="12"/>
      <c r="AJ24">
        <f t="shared" si="6"/>
        <v>0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20.91</v>
      </c>
      <c r="C25" s="33">
        <v>25.59</v>
      </c>
      <c r="D25" s="15">
        <v>3.8332581676617E-3</v>
      </c>
      <c r="E25" s="15">
        <v>4.3078194677347303E-3</v>
      </c>
      <c r="F25" s="33">
        <v>0</v>
      </c>
      <c r="G25" s="33">
        <v>8.0210000000000004E-2</v>
      </c>
      <c r="H25" s="33">
        <v>0</v>
      </c>
      <c r="I25" s="33">
        <v>0.10002999999999999</v>
      </c>
      <c r="J25" s="33">
        <v>8.0210000000000004E-2</v>
      </c>
      <c r="K25" s="33">
        <v>0.10002999999999999</v>
      </c>
      <c r="L25" s="33">
        <v>20.990210000000001</v>
      </c>
      <c r="M25" s="33">
        <v>25.69003</v>
      </c>
      <c r="N25" s="34">
        <v>1.2238163558106101</v>
      </c>
      <c r="O25" s="34">
        <v>1.2246984145589499</v>
      </c>
      <c r="P25" s="34">
        <v>1.22587977556487</v>
      </c>
      <c r="Q25" s="34">
        <v>1.2250730592702599</v>
      </c>
      <c r="R25" s="33">
        <v>25.608443848427701</v>
      </c>
      <c r="S25" s="33">
        <v>25.641423858142701</v>
      </c>
      <c r="T25" s="33">
        <v>25.614555500205999</v>
      </c>
      <c r="U25" s="15">
        <v>7.2048475849113597E-4</v>
      </c>
      <c r="V25" s="15">
        <v>2.0075130277631701E-3</v>
      </c>
      <c r="W25" s="15">
        <v>9.5911396353336805E-4</v>
      </c>
      <c r="X25" s="34">
        <v>1.2239053349156499</v>
      </c>
      <c r="Y25" s="34">
        <v>1.2232106064414101</v>
      </c>
      <c r="Z25" s="34">
        <v>1.2230917684006599</v>
      </c>
      <c r="AA25" s="34">
        <v>1.2229714967351799</v>
      </c>
      <c r="AB25" s="33">
        <v>25.675447503432601</v>
      </c>
      <c r="AC25" s="33">
        <v>25.671180677458899</v>
      </c>
      <c r="AD25" s="33">
        <v>25.668606380667399</v>
      </c>
      <c r="AE25" s="15">
        <v>-5.6779368820697104E-4</v>
      </c>
      <c r="AF25" s="15">
        <v>-7.3399061815849196E-4</v>
      </c>
      <c r="AG25" s="15">
        <v>-8.3427528785604498E-4</v>
      </c>
      <c r="AI25" s="12"/>
      <c r="AJ25">
        <f t="shared" si="6"/>
        <v>0</v>
      </c>
      <c r="AK25">
        <f t="shared" si="7"/>
        <v>0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20.92</v>
      </c>
      <c r="C26" s="33">
        <v>25.58</v>
      </c>
      <c r="D26" s="15">
        <v>4.78125756179953E-4</v>
      </c>
      <c r="E26" s="15">
        <v>-3.9085402100085101E-4</v>
      </c>
      <c r="F26" s="33">
        <v>0</v>
      </c>
      <c r="G26" s="33">
        <v>8.0210000000000004E-2</v>
      </c>
      <c r="H26" s="33">
        <v>0</v>
      </c>
      <c r="I26" s="33">
        <v>0.10002999999999999</v>
      </c>
      <c r="J26" s="33">
        <v>8.0210000000000004E-2</v>
      </c>
      <c r="K26" s="33">
        <v>0.10002999999999999</v>
      </c>
      <c r="L26" s="33">
        <v>21.000209999999999</v>
      </c>
      <c r="M26" s="33">
        <v>25.680029999999999</v>
      </c>
      <c r="N26" s="34">
        <v>1.2227533460803</v>
      </c>
      <c r="O26" s="34">
        <v>1.2246984145589499</v>
      </c>
      <c r="P26" s="34">
        <v>1.22538853956771</v>
      </c>
      <c r="Q26" s="34">
        <v>1.2250463758315799</v>
      </c>
      <c r="R26" s="33">
        <v>25.620690832573299</v>
      </c>
      <c r="S26" s="33">
        <v>25.645404904817099</v>
      </c>
      <c r="T26" s="33">
        <v>25.628528399933899</v>
      </c>
      <c r="U26" s="15">
        <v>1.58946453567214E-3</v>
      </c>
      <c r="V26" s="15">
        <v>2.5536134064918698E-3</v>
      </c>
      <c r="W26" s="15">
        <v>1.89532548493206E-3</v>
      </c>
      <c r="X26" s="34">
        <v>1.2228463429651399</v>
      </c>
      <c r="Y26" s="34">
        <v>1.2232106064414101</v>
      </c>
      <c r="Z26" s="34">
        <v>1.2230809807851399</v>
      </c>
      <c r="AA26" s="34">
        <v>1.22294946314074</v>
      </c>
      <c r="AB26" s="33">
        <v>25.687679609497</v>
      </c>
      <c r="AC26" s="33">
        <v>25.6851839856852</v>
      </c>
      <c r="AD26" s="33">
        <v>25.682658255453202</v>
      </c>
      <c r="AE26" s="15">
        <v>2.9783728384227403E-4</v>
      </c>
      <c r="AF26" s="15">
        <v>2.00680005110085E-4</v>
      </c>
      <c r="AG26" s="15">
        <v>1.0234103956682801E-4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20.93</v>
      </c>
      <c r="C27" s="33">
        <v>25.59</v>
      </c>
      <c r="D27" s="15">
        <v>4.7789726118620799E-4</v>
      </c>
      <c r="E27" s="15">
        <v>3.90854021000885E-4</v>
      </c>
      <c r="F27" s="33">
        <v>0</v>
      </c>
      <c r="G27" s="33">
        <v>8.0210000000000004E-2</v>
      </c>
      <c r="H27" s="33">
        <v>0</v>
      </c>
      <c r="I27" s="33">
        <v>0.10002999999999999</v>
      </c>
      <c r="J27" s="33">
        <v>8.0210000000000004E-2</v>
      </c>
      <c r="K27" s="33">
        <v>0.10002999999999999</v>
      </c>
      <c r="L27" s="33">
        <v>21.010210000000001</v>
      </c>
      <c r="M27" s="33">
        <v>25.69003</v>
      </c>
      <c r="N27" s="34">
        <v>1.22264691829909</v>
      </c>
      <c r="O27" s="34">
        <v>1.2246984145589499</v>
      </c>
      <c r="P27" s="34">
        <v>1.22494559817631</v>
      </c>
      <c r="Q27" s="34">
        <v>1.22499577155496</v>
      </c>
      <c r="R27" s="33">
        <v>25.632937816718901</v>
      </c>
      <c r="S27" s="33">
        <v>25.647382133152298</v>
      </c>
      <c r="T27" s="33">
        <v>25.640220646155001</v>
      </c>
      <c r="U27" s="15">
        <v>1.6765077758573901E-3</v>
      </c>
      <c r="V27" s="15">
        <v>2.23985515081484E-3</v>
      </c>
      <c r="W27" s="15">
        <v>1.9605873880145499E-3</v>
      </c>
      <c r="X27" s="34">
        <v>1.2227402772271101</v>
      </c>
      <c r="Y27" s="34">
        <v>1.2232106064414101</v>
      </c>
      <c r="Z27" s="34">
        <v>1.2231180725803801</v>
      </c>
      <c r="AA27" s="34">
        <v>1.2229035268105299</v>
      </c>
      <c r="AB27" s="33">
        <v>25.699911715561498</v>
      </c>
      <c r="AC27" s="33">
        <v>25.697188253301899</v>
      </c>
      <c r="AD27" s="33">
        <v>25.694425039974401</v>
      </c>
      <c r="AE27" s="15">
        <v>3.8457781244399401E-4</v>
      </c>
      <c r="AF27" s="15">
        <v>2.7860053887030802E-4</v>
      </c>
      <c r="AG27" s="15">
        <v>1.7106496436325E-4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20.96</v>
      </c>
      <c r="C28" s="33">
        <v>25.61</v>
      </c>
      <c r="D28" s="15">
        <v>1.4323229949331101E-3</v>
      </c>
      <c r="E28" s="15">
        <v>7.8125003973651501E-4</v>
      </c>
      <c r="F28" s="33">
        <v>0</v>
      </c>
      <c r="G28" s="33">
        <v>8.0210000000000004E-2</v>
      </c>
      <c r="H28" s="33">
        <v>0</v>
      </c>
      <c r="I28" s="33">
        <v>0.10002999999999999</v>
      </c>
      <c r="J28" s="33">
        <v>8.0210000000000004E-2</v>
      </c>
      <c r="K28" s="33">
        <v>0.10002999999999999</v>
      </c>
      <c r="L28" s="33">
        <v>21.040209999999998</v>
      </c>
      <c r="M28" s="33">
        <v>25.71003</v>
      </c>
      <c r="N28" s="34">
        <v>1.2218511450381599</v>
      </c>
      <c r="O28" s="34">
        <v>1.2246984145589499</v>
      </c>
      <c r="P28" s="34">
        <v>1.2243270640963499</v>
      </c>
      <c r="Q28" s="34">
        <v>1.2249479358983899</v>
      </c>
      <c r="R28" s="33">
        <v>25.669678769155698</v>
      </c>
      <c r="S28" s="33">
        <v>25.6748597377754</v>
      </c>
      <c r="T28" s="33">
        <v>25.6759113717921</v>
      </c>
      <c r="U28" s="15">
        <v>2.3275807310539202E-3</v>
      </c>
      <c r="V28" s="15">
        <v>2.5293925999690602E-3</v>
      </c>
      <c r="W28" s="15">
        <v>2.57035144027872E-3</v>
      </c>
      <c r="X28" s="34">
        <v>1.22194740451735</v>
      </c>
      <c r="Y28" s="34">
        <v>1.2232106064414101</v>
      </c>
      <c r="Z28" s="34">
        <v>1.22298023004993</v>
      </c>
      <c r="AA28" s="34">
        <v>1.2228605041279199</v>
      </c>
      <c r="AB28" s="33">
        <v>25.736608033754699</v>
      </c>
      <c r="AC28" s="33">
        <v>25.734661101886498</v>
      </c>
      <c r="AD28" s="33">
        <v>25.730147013834198</v>
      </c>
      <c r="AE28" s="15">
        <v>1.0332273258275701E-3</v>
      </c>
      <c r="AF28" s="15">
        <v>9.5757611684058204E-4</v>
      </c>
      <c r="AG28" s="15">
        <v>7.8215185202168099E-4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0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20.93</v>
      </c>
      <c r="C29" s="33">
        <v>25.59</v>
      </c>
      <c r="D29" s="15">
        <v>-1.43232299493305E-3</v>
      </c>
      <c r="E29" s="15">
        <v>-7.8125003973637602E-4</v>
      </c>
      <c r="F29" s="33">
        <v>0</v>
      </c>
      <c r="G29" s="33">
        <v>8.0210000000000004E-2</v>
      </c>
      <c r="H29" s="33">
        <v>0</v>
      </c>
      <c r="I29" s="33">
        <v>0.10002999999999999</v>
      </c>
      <c r="J29" s="33">
        <v>8.0210000000000004E-2</v>
      </c>
      <c r="K29" s="33">
        <v>0.10002999999999999</v>
      </c>
      <c r="L29" s="33">
        <v>21.010210000000001</v>
      </c>
      <c r="M29" s="33">
        <v>25.69003</v>
      </c>
      <c r="N29" s="34">
        <v>1.22264691829909</v>
      </c>
      <c r="O29" s="34">
        <v>1.2246984145589499</v>
      </c>
      <c r="P29" s="34">
        <v>1.2237881073424901</v>
      </c>
      <c r="Q29" s="34">
        <v>1.22491871393572</v>
      </c>
      <c r="R29" s="33">
        <v>25.632937816718901</v>
      </c>
      <c r="S29" s="33">
        <v>25.625165451536699</v>
      </c>
      <c r="T29" s="33">
        <v>25.638160298353402</v>
      </c>
      <c r="U29" s="15">
        <v>1.6765077758573901E-3</v>
      </c>
      <c r="V29" s="15">
        <v>1.37324391136555E-3</v>
      </c>
      <c r="W29" s="15">
        <v>1.8802280722637699E-3</v>
      </c>
      <c r="X29" s="34">
        <v>1.2227402772271101</v>
      </c>
      <c r="Y29" s="34">
        <v>1.2232106064414101</v>
      </c>
      <c r="Z29" s="34">
        <v>1.2229216747904501</v>
      </c>
      <c r="AA29" s="34">
        <v>1.2228359501116399</v>
      </c>
      <c r="AB29" s="33">
        <v>25.699911715561498</v>
      </c>
      <c r="AC29" s="33">
        <v>25.695071459197301</v>
      </c>
      <c r="AD29" s="33">
        <v>25.692555992433402</v>
      </c>
      <c r="AE29" s="15">
        <v>3.8457781244399401E-4</v>
      </c>
      <c r="AF29" s="15">
        <v>1.9622260423369999E-4</v>
      </c>
      <c r="AG29" s="15">
        <v>9.8320953946968003E-5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20.98</v>
      </c>
      <c r="C30" s="33">
        <v>25.66</v>
      </c>
      <c r="D30" s="15">
        <v>2.3860665102427799E-3</v>
      </c>
      <c r="E30" s="15">
        <v>2.7317090157928802E-3</v>
      </c>
      <c r="F30" s="33">
        <v>0</v>
      </c>
      <c r="G30" s="33">
        <v>8.0210000000000004E-2</v>
      </c>
      <c r="H30" s="33">
        <v>0</v>
      </c>
      <c r="I30" s="33">
        <v>0.10002999999999999</v>
      </c>
      <c r="J30" s="33">
        <v>8.0210000000000004E-2</v>
      </c>
      <c r="K30" s="33">
        <v>0.10002999999999999</v>
      </c>
      <c r="L30" s="33">
        <v>21.060210000000001</v>
      </c>
      <c r="M30" s="33">
        <v>25.76003</v>
      </c>
      <c r="N30" s="34">
        <v>1.22306959008579</v>
      </c>
      <c r="O30" s="34">
        <v>1.2246984145589499</v>
      </c>
      <c r="P30" s="34">
        <v>1.2233132917707299</v>
      </c>
      <c r="Q30" s="34">
        <v>1.2249266087144699</v>
      </c>
      <c r="R30" s="33">
        <v>25.694172737446898</v>
      </c>
      <c r="S30" s="33">
        <v>25.6750744920454</v>
      </c>
      <c r="T30" s="33">
        <v>25.698794618371402</v>
      </c>
      <c r="U30" s="15">
        <v>1.3308652703071301E-3</v>
      </c>
      <c r="V30" s="15">
        <v>5.87297968412375E-4</v>
      </c>
      <c r="W30" s="15">
        <v>1.5107296048575401E-3</v>
      </c>
      <c r="X30" s="34">
        <v>1.2231611175767001</v>
      </c>
      <c r="Y30" s="34">
        <v>1.2232106064414101</v>
      </c>
      <c r="Z30" s="34">
        <v>1.2229265436126699</v>
      </c>
      <c r="AA30" s="34">
        <v>1.22284842126494</v>
      </c>
      <c r="AB30" s="33">
        <v>25.761072245883501</v>
      </c>
      <c r="AC30" s="33">
        <v>25.754987284638698</v>
      </c>
      <c r="AD30" s="33">
        <v>25.753181904900799</v>
      </c>
      <c r="AE30" s="15">
        <v>4.0458990133692298E-5</v>
      </c>
      <c r="AF30" s="15">
        <v>-1.9577651889524401E-4</v>
      </c>
      <c r="AG30" s="15">
        <v>-2.6587723367590201E-4</v>
      </c>
      <c r="AI30" s="12"/>
      <c r="AJ30">
        <f t="shared" si="6"/>
        <v>0</v>
      </c>
      <c r="AK30">
        <f t="shared" si="7"/>
        <v>0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21.05</v>
      </c>
      <c r="C31" s="33">
        <v>25.74</v>
      </c>
      <c r="D31" s="15">
        <v>3.3309571602394001E-3</v>
      </c>
      <c r="E31" s="15">
        <v>3.1128429804900999E-3</v>
      </c>
      <c r="F31" s="33">
        <v>0</v>
      </c>
      <c r="G31" s="33">
        <v>8.0210000000000004E-2</v>
      </c>
      <c r="H31" s="33">
        <v>0</v>
      </c>
      <c r="I31" s="33">
        <v>0.10002999999999999</v>
      </c>
      <c r="J31" s="33">
        <v>8.0210000000000004E-2</v>
      </c>
      <c r="K31" s="33">
        <v>0.10002999999999999</v>
      </c>
      <c r="L31" s="33">
        <v>21.130210000000002</v>
      </c>
      <c r="M31" s="33">
        <v>25.840029999999999</v>
      </c>
      <c r="N31" s="34">
        <v>1.22280285035629</v>
      </c>
      <c r="O31" s="34">
        <v>1.2246984145589499</v>
      </c>
      <c r="P31" s="34">
        <v>1.22282272349859</v>
      </c>
      <c r="Q31" s="34">
        <v>1.22494234931841</v>
      </c>
      <c r="R31" s="33">
        <v>25.779901626466</v>
      </c>
      <c r="S31" s="33">
        <v>25.750744791773901</v>
      </c>
      <c r="T31" s="33">
        <v>25.784705113439699</v>
      </c>
      <c r="U31" s="15">
        <v>1.5489794500562299E-3</v>
      </c>
      <c r="V31" s="15">
        <v>4.1734847586187199E-4</v>
      </c>
      <c r="W31" s="15">
        <v>1.7352889088600399E-3</v>
      </c>
      <c r="X31" s="34">
        <v>1.2228950871761299</v>
      </c>
      <c r="Y31" s="34">
        <v>1.2232106064414101</v>
      </c>
      <c r="Z31" s="34">
        <v>1.2229154641317901</v>
      </c>
      <c r="AA31" s="34">
        <v>1.22286877370987</v>
      </c>
      <c r="AB31" s="33">
        <v>25.846696988334401</v>
      </c>
      <c r="AC31" s="33">
        <v>25.840694681109898</v>
      </c>
      <c r="AD31" s="33">
        <v>25.839043939496701</v>
      </c>
      <c r="AE31" s="15">
        <v>2.5797680603599298E-4</v>
      </c>
      <c r="AF31" s="15">
        <v>2.5722592479772399E-5</v>
      </c>
      <c r="AG31" s="15">
        <v>-3.81609200078265E-5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21.05</v>
      </c>
      <c r="C32" s="33">
        <v>25.74</v>
      </c>
      <c r="D32" s="15">
        <v>0</v>
      </c>
      <c r="E32" s="15">
        <v>0</v>
      </c>
      <c r="F32" s="33">
        <v>0</v>
      </c>
      <c r="G32" s="33">
        <v>8.0210000000000004E-2</v>
      </c>
      <c r="H32" s="33">
        <v>0</v>
      </c>
      <c r="I32" s="33">
        <v>0.10002999999999999</v>
      </c>
      <c r="J32" s="33">
        <v>8.0210000000000004E-2</v>
      </c>
      <c r="K32" s="33">
        <v>0.10002999999999999</v>
      </c>
      <c r="L32" s="33">
        <v>21.130210000000002</v>
      </c>
      <c r="M32" s="33">
        <v>25.840029999999999</v>
      </c>
      <c r="N32" s="34">
        <v>1.22280285035629</v>
      </c>
      <c r="O32" s="34">
        <v>1.2246984145589499</v>
      </c>
      <c r="P32" s="34">
        <v>1.2228381332942999</v>
      </c>
      <c r="Q32" s="34">
        <v>1.2249713807251099</v>
      </c>
      <c r="R32" s="33">
        <v>25.779901626466</v>
      </c>
      <c r="S32" s="33">
        <v>25.740418329645401</v>
      </c>
      <c r="T32" s="33">
        <v>25.7850364531526</v>
      </c>
      <c r="U32" s="15">
        <v>1.5489794500562299E-3</v>
      </c>
      <c r="V32" s="15">
        <v>1.62519909146349E-5</v>
      </c>
      <c r="W32" s="15">
        <v>1.7481390687735701E-3</v>
      </c>
      <c r="X32" s="34">
        <v>1.2228950871761299</v>
      </c>
      <c r="Y32" s="34">
        <v>1.2232106064414101</v>
      </c>
      <c r="Z32" s="34">
        <v>1.2229307222563099</v>
      </c>
      <c r="AA32" s="34">
        <v>1.22290241695757</v>
      </c>
      <c r="AB32" s="33">
        <v>25.846696988334401</v>
      </c>
      <c r="AC32" s="33">
        <v>25.840460569352199</v>
      </c>
      <c r="AD32" s="33">
        <v>25.839473990932099</v>
      </c>
      <c r="AE32" s="15">
        <v>2.5797680603599298E-4</v>
      </c>
      <c r="AF32" s="15">
        <v>1.6662742459615599E-5</v>
      </c>
      <c r="AG32" s="15">
        <v>-2.1517585305646199E-5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21.04</v>
      </c>
      <c r="C33" s="33">
        <v>25.73</v>
      </c>
      <c r="D33" s="15">
        <v>-4.7517225888138101E-4</v>
      </c>
      <c r="E33" s="15">
        <v>-3.8857587432777099E-4</v>
      </c>
      <c r="F33" s="33">
        <v>0</v>
      </c>
      <c r="G33" s="33">
        <v>8.0210000000000004E-2</v>
      </c>
      <c r="H33" s="33">
        <v>0</v>
      </c>
      <c r="I33" s="33">
        <v>0.10002999999999999</v>
      </c>
      <c r="J33" s="33">
        <v>8.0210000000000004E-2</v>
      </c>
      <c r="K33" s="33">
        <v>0.10002999999999999</v>
      </c>
      <c r="L33" s="33">
        <v>21.12021</v>
      </c>
      <c r="M33" s="33">
        <v>25.830030000000001</v>
      </c>
      <c r="N33" s="34">
        <v>1.2229087452471401</v>
      </c>
      <c r="O33" s="34">
        <v>1.2246984145589499</v>
      </c>
      <c r="P33" s="34">
        <v>1.2228534437287599</v>
      </c>
      <c r="Q33" s="34">
        <v>1.22479151678265</v>
      </c>
      <c r="R33" s="33">
        <v>25.767654642320402</v>
      </c>
      <c r="S33" s="33">
        <v>25.728514324512101</v>
      </c>
      <c r="T33" s="33">
        <v>25.773397850456401</v>
      </c>
      <c r="U33" s="15">
        <v>1.4623830655027101E-3</v>
      </c>
      <c r="V33" s="15">
        <v>-5.7742649890355903E-5</v>
      </c>
      <c r="W33" s="15">
        <v>1.68524262626189E-3</v>
      </c>
      <c r="X33" s="34">
        <v>1.2230006235733399</v>
      </c>
      <c r="Y33" s="34">
        <v>1.2232106064414101</v>
      </c>
      <c r="Z33" s="34">
        <v>1.2229458816882399</v>
      </c>
      <c r="AA33" s="34">
        <v>1.2229632896495899</v>
      </c>
      <c r="AB33" s="33">
        <v>25.834464882270002</v>
      </c>
      <c r="AC33" s="33">
        <v>25.828553669505101</v>
      </c>
      <c r="AD33" s="33">
        <v>25.8279558556514</v>
      </c>
      <c r="AE33" s="15">
        <v>1.7168007898116301E-4</v>
      </c>
      <c r="AF33" s="15">
        <v>-5.7157219202870301E-5</v>
      </c>
      <c r="AG33" s="15">
        <v>-8.03029508513389E-5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21.06</v>
      </c>
      <c r="C34" s="33">
        <v>25.75</v>
      </c>
      <c r="D34" s="15">
        <v>9.5011883632025601E-4</v>
      </c>
      <c r="E34" s="15">
        <v>7.7700081609222398E-4</v>
      </c>
      <c r="F34" s="33">
        <v>0</v>
      </c>
      <c r="G34" s="33">
        <v>8.0210000000000004E-2</v>
      </c>
      <c r="H34" s="33">
        <v>0</v>
      </c>
      <c r="I34" s="33">
        <v>0.10002999999999999</v>
      </c>
      <c r="J34" s="33">
        <v>8.0210000000000004E-2</v>
      </c>
      <c r="K34" s="33">
        <v>0.10002999999999999</v>
      </c>
      <c r="L34" s="33">
        <v>21.14021</v>
      </c>
      <c r="M34" s="33">
        <v>25.85003</v>
      </c>
      <c r="N34" s="34">
        <v>1.22269705603038</v>
      </c>
      <c r="O34" s="34">
        <v>1.2246984145589499</v>
      </c>
      <c r="P34" s="34">
        <v>1.22279957756031</v>
      </c>
      <c r="Q34" s="34">
        <v>1.2245376141781199</v>
      </c>
      <c r="R34" s="33">
        <v>25.792148610611601</v>
      </c>
      <c r="S34" s="33">
        <v>25.753293524927699</v>
      </c>
      <c r="T34" s="33">
        <v>25.794109343442699</v>
      </c>
      <c r="U34" s="15">
        <v>1.6355010857306701E-3</v>
      </c>
      <c r="V34" s="15">
        <v>1.2789570168634501E-4</v>
      </c>
      <c r="W34" s="15">
        <v>1.7115187272431201E-3</v>
      </c>
      <c r="X34" s="34">
        <v>1.2227896506231399</v>
      </c>
      <c r="Y34" s="34">
        <v>1.2232106064414101</v>
      </c>
      <c r="Z34" s="34">
        <v>1.22289212029778</v>
      </c>
      <c r="AA34" s="34">
        <v>1.22294972489209</v>
      </c>
      <c r="AB34" s="33">
        <v>25.8589290943988</v>
      </c>
      <c r="AC34" s="33">
        <v>25.853332757524502</v>
      </c>
      <c r="AD34" s="33">
        <v>25.8537007654833</v>
      </c>
      <c r="AE34" s="15">
        <v>3.4419932803137501E-4</v>
      </c>
      <c r="AF34" s="15">
        <v>1.2775793886197101E-4</v>
      </c>
      <c r="AG34" s="15">
        <v>1.41992287023617E-4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21.06</v>
      </c>
      <c r="C35" s="33">
        <v>25.75</v>
      </c>
      <c r="D35" s="15">
        <v>0</v>
      </c>
      <c r="E35" s="15">
        <v>0</v>
      </c>
      <c r="F35" s="33">
        <v>0</v>
      </c>
      <c r="G35" s="33">
        <v>8.0210000000000004E-2</v>
      </c>
      <c r="H35" s="33">
        <v>0</v>
      </c>
      <c r="I35" s="33">
        <v>0.10002999999999999</v>
      </c>
      <c r="J35" s="33">
        <v>8.0210000000000004E-2</v>
      </c>
      <c r="K35" s="33">
        <v>0.10002999999999999</v>
      </c>
      <c r="L35" s="33">
        <v>21.14021</v>
      </c>
      <c r="M35" s="33">
        <v>25.85003</v>
      </c>
      <c r="N35" s="34">
        <v>1.22269705603038</v>
      </c>
      <c r="O35" s="34">
        <v>1.2246984145589499</v>
      </c>
      <c r="P35" s="34">
        <v>1.2226876475822901</v>
      </c>
      <c r="Q35" s="34">
        <v>1.2242837115735801</v>
      </c>
      <c r="R35" s="33">
        <v>25.792148610611601</v>
      </c>
      <c r="S35" s="33">
        <v>25.752159103420301</v>
      </c>
      <c r="T35" s="33">
        <v>25.7887621545912</v>
      </c>
      <c r="U35" s="15">
        <v>1.6355010857306701E-3</v>
      </c>
      <c r="V35" s="15">
        <v>8.3845161413996597E-5</v>
      </c>
      <c r="W35" s="15">
        <v>1.5041945238638099E-3</v>
      </c>
      <c r="X35" s="34">
        <v>1.2227896506231399</v>
      </c>
      <c r="Y35" s="34">
        <v>1.2232106064414101</v>
      </c>
      <c r="Z35" s="34">
        <v>1.22278055186853</v>
      </c>
      <c r="AA35" s="34">
        <v>1.2229361601345901</v>
      </c>
      <c r="AB35" s="33">
        <v>25.8589290943988</v>
      </c>
      <c r="AC35" s="33">
        <v>25.852196230440398</v>
      </c>
      <c r="AD35" s="33">
        <v>25.853414003661101</v>
      </c>
      <c r="AE35" s="15">
        <v>3.4419932803137501E-4</v>
      </c>
      <c r="AF35" s="15">
        <v>8.3796408767557599E-5</v>
      </c>
      <c r="AG35" s="15">
        <v>1.30900512769896E-4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21.03</v>
      </c>
      <c r="C36" s="33">
        <v>25.8</v>
      </c>
      <c r="D36" s="15">
        <v>-1.4255169912209399E-3</v>
      </c>
      <c r="E36" s="15">
        <v>1.93986481782667E-3</v>
      </c>
      <c r="F36" s="33">
        <v>7.9240000000000005E-2</v>
      </c>
      <c r="G36" s="33">
        <v>0.15945000000000001</v>
      </c>
      <c r="H36" s="33">
        <v>0</v>
      </c>
      <c r="I36" s="33">
        <v>0.10002999999999999</v>
      </c>
      <c r="J36" s="33">
        <v>0.15945000000000001</v>
      </c>
      <c r="K36" s="33">
        <v>0.10002999999999999</v>
      </c>
      <c r="L36" s="33">
        <v>21.189450000000001</v>
      </c>
      <c r="M36" s="33">
        <v>25.900030000000001</v>
      </c>
      <c r="N36" s="34">
        <v>1.22681883024251</v>
      </c>
      <c r="O36" s="34">
        <v>1.2246984145589499</v>
      </c>
      <c r="P36" s="34">
        <v>1.22309419599851</v>
      </c>
      <c r="Q36" s="34">
        <v>1.2242413677831101</v>
      </c>
      <c r="R36" s="33">
        <v>25.7554076581748</v>
      </c>
      <c r="S36" s="33">
        <v>25.713121228655702</v>
      </c>
      <c r="T36" s="33">
        <v>25.746686454392499</v>
      </c>
      <c r="U36" s="15">
        <v>-1.72988072331697E-3</v>
      </c>
      <c r="V36" s="15">
        <v>-3.3730766703741E-3</v>
      </c>
      <c r="W36" s="15">
        <v>-2.0685544808013499E-3</v>
      </c>
      <c r="X36" s="34">
        <v>1.2223077994001701</v>
      </c>
      <c r="Y36" s="34">
        <v>1.2232106064414101</v>
      </c>
      <c r="Z36" s="34">
        <v>1.2227266975120299</v>
      </c>
      <c r="AA36" s="34">
        <v>1.22290383914859</v>
      </c>
      <c r="AB36" s="33">
        <v>25.919159984659998</v>
      </c>
      <c r="AC36" s="33">
        <v>25.910047364790699</v>
      </c>
      <c r="AD36" s="33">
        <v>25.913344618364</v>
      </c>
      <c r="AE36" s="15">
        <v>7.3833595371803305E-4</v>
      </c>
      <c r="AF36" s="15">
        <v>3.8669561695499501E-4</v>
      </c>
      <c r="AG36" s="15">
        <v>5.1394524117367502E-4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21</v>
      </c>
      <c r="C37" s="33">
        <v>25.79</v>
      </c>
      <c r="D37" s="15">
        <v>-1.4275519911854399E-3</v>
      </c>
      <c r="E37" s="15">
        <v>-3.87672034318375E-4</v>
      </c>
      <c r="F37" s="33">
        <v>0</v>
      </c>
      <c r="G37" s="33">
        <v>0.15945000000000001</v>
      </c>
      <c r="H37" s="33">
        <v>0</v>
      </c>
      <c r="I37" s="33">
        <v>0.10002999999999999</v>
      </c>
      <c r="J37" s="33">
        <v>0.15945000000000001</v>
      </c>
      <c r="K37" s="33">
        <v>0.10002999999999999</v>
      </c>
      <c r="L37" s="33">
        <v>21.15945</v>
      </c>
      <c r="M37" s="33">
        <v>25.890029999999999</v>
      </c>
      <c r="N37" s="34">
        <v>1.2280952380952299</v>
      </c>
      <c r="O37" s="34">
        <v>1.2246984145589499</v>
      </c>
      <c r="P37" s="34">
        <v>1.22363902797813</v>
      </c>
      <c r="Q37" s="34">
        <v>1.2242923130772201</v>
      </c>
      <c r="R37" s="33">
        <v>25.718666705737999</v>
      </c>
      <c r="S37" s="33">
        <v>25.6849781159688</v>
      </c>
      <c r="T37" s="33">
        <v>25.709068723445402</v>
      </c>
      <c r="U37" s="15">
        <v>-2.7697606801839899E-3</v>
      </c>
      <c r="V37" s="15">
        <v>-4.0805079903920198E-3</v>
      </c>
      <c r="W37" s="15">
        <v>-3.1430216190124201E-3</v>
      </c>
      <c r="X37" s="34">
        <v>1.2235681929350699</v>
      </c>
      <c r="Y37" s="34">
        <v>1.2232106064414101</v>
      </c>
      <c r="Z37" s="34">
        <v>1.22280948908283</v>
      </c>
      <c r="AA37" s="34">
        <v>1.2229637808316001</v>
      </c>
      <c r="AB37" s="33">
        <v>25.882463666466801</v>
      </c>
      <c r="AC37" s="33">
        <v>25.872224419670999</v>
      </c>
      <c r="AD37" s="33">
        <v>25.8759726392726</v>
      </c>
      <c r="AE37" s="15">
        <v>-2.9229164180461599E-4</v>
      </c>
      <c r="AF37" s="15">
        <v>-6.8797548448571398E-4</v>
      </c>
      <c r="AG37" s="15">
        <v>-5.43111708694974E-4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21</v>
      </c>
      <c r="C38" s="33">
        <v>25.77</v>
      </c>
      <c r="D38" s="15">
        <v>0</v>
      </c>
      <c r="E38" s="15">
        <v>-7.75795228979728E-4</v>
      </c>
      <c r="F38" s="33">
        <v>0</v>
      </c>
      <c r="G38" s="33">
        <v>0.15945000000000001</v>
      </c>
      <c r="H38" s="33">
        <v>0</v>
      </c>
      <c r="I38" s="33">
        <v>0.10002999999999999</v>
      </c>
      <c r="J38" s="33">
        <v>0.15945000000000001</v>
      </c>
      <c r="K38" s="33">
        <v>0.10002999999999999</v>
      </c>
      <c r="L38" s="33">
        <v>21.15945</v>
      </c>
      <c r="M38" s="33">
        <v>25.87003</v>
      </c>
      <c r="N38" s="34">
        <v>1.22714285714285</v>
      </c>
      <c r="O38" s="34">
        <v>1.2246984145589499</v>
      </c>
      <c r="P38" s="34">
        <v>1.2241681991886</v>
      </c>
      <c r="Q38" s="34">
        <v>1.22424763164247</v>
      </c>
      <c r="R38" s="33">
        <v>25.718666705737999</v>
      </c>
      <c r="S38" s="33">
        <v>25.696419587540699</v>
      </c>
      <c r="T38" s="33">
        <v>25.710138574621599</v>
      </c>
      <c r="U38" s="15">
        <v>-1.9939654512042301E-3</v>
      </c>
      <c r="V38" s="15">
        <v>-2.8593581283195601E-3</v>
      </c>
      <c r="W38" s="15">
        <v>-2.3256134896181501E-3</v>
      </c>
      <c r="X38" s="34">
        <v>1.22262298878278</v>
      </c>
      <c r="Y38" s="34">
        <v>1.2232106064414101</v>
      </c>
      <c r="Z38" s="34">
        <v>1.22287704750937</v>
      </c>
      <c r="AA38" s="34">
        <v>1.2229286387796501</v>
      </c>
      <c r="AB38" s="33">
        <v>25.882463666466801</v>
      </c>
      <c r="AC38" s="33">
        <v>25.873976243773701</v>
      </c>
      <c r="AD38" s="33">
        <v>25.877240972317399</v>
      </c>
      <c r="AE38" s="15">
        <v>4.8050502788069102E-4</v>
      </c>
      <c r="AF38" s="15">
        <v>1.52529503138862E-4</v>
      </c>
      <c r="AG38" s="15">
        <v>2.7869961946129003E-4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0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21.02</v>
      </c>
      <c r="C39" s="33">
        <v>25.77</v>
      </c>
      <c r="D39" s="15">
        <v>9.5192772538215504E-4</v>
      </c>
      <c r="E39" s="15">
        <v>0</v>
      </c>
      <c r="F39" s="33">
        <v>0</v>
      </c>
      <c r="G39" s="33">
        <v>0.15945000000000001</v>
      </c>
      <c r="H39" s="33">
        <v>0</v>
      </c>
      <c r="I39" s="33">
        <v>0.10002999999999999</v>
      </c>
      <c r="J39" s="33">
        <v>0.15945000000000001</v>
      </c>
      <c r="K39" s="33">
        <v>0.10002999999999999</v>
      </c>
      <c r="L39" s="33">
        <v>21.179449999999999</v>
      </c>
      <c r="M39" s="33">
        <v>25.87003</v>
      </c>
      <c r="N39" s="34">
        <v>1.2259752616555599</v>
      </c>
      <c r="O39" s="34">
        <v>1.2246984145589499</v>
      </c>
      <c r="P39" s="34">
        <v>1.2245010335242399</v>
      </c>
      <c r="Q39" s="34">
        <v>1.22414457043336</v>
      </c>
      <c r="R39" s="33">
        <v>25.743160674029198</v>
      </c>
      <c r="S39" s="33">
        <v>25.7320155469443</v>
      </c>
      <c r="T39" s="33">
        <v>25.733685217124801</v>
      </c>
      <c r="U39" s="15">
        <v>-1.0420377258222599E-3</v>
      </c>
      <c r="V39" s="15">
        <v>-1.47506692852717E-3</v>
      </c>
      <c r="W39" s="15">
        <v>-1.41018215454017E-3</v>
      </c>
      <c r="X39" s="34">
        <v>1.22146845173033</v>
      </c>
      <c r="Y39" s="34">
        <v>1.2232106064414101</v>
      </c>
      <c r="Z39" s="34">
        <v>1.22274986495969</v>
      </c>
      <c r="AA39" s="34">
        <v>1.22283576987507</v>
      </c>
      <c r="AB39" s="33">
        <v>25.906927878595599</v>
      </c>
      <c r="AC39" s="33">
        <v>25.899863283872399</v>
      </c>
      <c r="AD39" s="33">
        <v>25.900955958601699</v>
      </c>
      <c r="AE39" s="15">
        <v>1.4252627560035101E-3</v>
      </c>
      <c r="AF39" s="15">
        <v>1.15253423495599E-3</v>
      </c>
      <c r="AG39" s="15">
        <v>1.1947217812315399E-3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1</v>
      </c>
      <c r="AV39">
        <f t="shared" si="11"/>
        <v>0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21.05</v>
      </c>
      <c r="C40" s="33">
        <v>25.84</v>
      </c>
      <c r="D40" s="15">
        <v>1.42619467958552E-3</v>
      </c>
      <c r="E40" s="15">
        <v>2.71265425012734E-3</v>
      </c>
      <c r="F40" s="33">
        <v>0</v>
      </c>
      <c r="G40" s="33">
        <v>0.15945000000000001</v>
      </c>
      <c r="H40" s="33">
        <v>0</v>
      </c>
      <c r="I40" s="33">
        <v>0.10002999999999999</v>
      </c>
      <c r="J40" s="33">
        <v>0.15945000000000001</v>
      </c>
      <c r="K40" s="33">
        <v>0.10002999999999999</v>
      </c>
      <c r="L40" s="33">
        <v>21.20945</v>
      </c>
      <c r="M40" s="33">
        <v>25.94003</v>
      </c>
      <c r="N40" s="34">
        <v>1.22755344418052</v>
      </c>
      <c r="O40" s="34">
        <v>1.2246984145589499</v>
      </c>
      <c r="P40" s="34">
        <v>1.22494941893372</v>
      </c>
      <c r="Q40" s="34">
        <v>1.22413135535222</v>
      </c>
      <c r="R40" s="33">
        <v>25.779901626466</v>
      </c>
      <c r="S40" s="33">
        <v>25.7757467556854</v>
      </c>
      <c r="T40" s="33">
        <v>25.768243207622401</v>
      </c>
      <c r="U40" s="15">
        <v>-2.32849729636429E-3</v>
      </c>
      <c r="V40" s="15">
        <v>-2.4896773385120999E-3</v>
      </c>
      <c r="W40" s="15">
        <v>-2.7808285715211602E-3</v>
      </c>
      <c r="X40" s="34">
        <v>1.22304114439554</v>
      </c>
      <c r="Y40" s="34">
        <v>1.2232106064414101</v>
      </c>
      <c r="Z40" s="34">
        <v>1.2227378676415801</v>
      </c>
      <c r="AA40" s="34">
        <v>1.2228322056271199</v>
      </c>
      <c r="AB40" s="33">
        <v>25.9436241967888</v>
      </c>
      <c r="AC40" s="33">
        <v>25.933852123369402</v>
      </c>
      <c r="AD40" s="33">
        <v>25.935674119376898</v>
      </c>
      <c r="AE40" s="15">
        <v>1.3854832895961701E-4</v>
      </c>
      <c r="AF40" s="15">
        <v>-2.3818832934310399E-4</v>
      </c>
      <c r="AG40" s="15">
        <v>-1.6793528713454601E-4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1</v>
      </c>
      <c r="AX40">
        <f t="shared" si="5"/>
        <v>0</v>
      </c>
      <c r="AY40">
        <f t="shared" si="19"/>
        <v>1</v>
      </c>
      <c r="AZ40" s="28">
        <f t="shared" si="12"/>
        <v>-1.42619467958552E-3</v>
      </c>
      <c r="BA40" s="28">
        <f t="shared" si="13"/>
        <v>2.71265425012734E-3</v>
      </c>
      <c r="BB40" s="28">
        <f t="shared" si="20"/>
        <v>1.2864595705418199E-3</v>
      </c>
      <c r="BC40" s="29">
        <f t="shared" si="21"/>
        <v>1.2864595705418199E-3</v>
      </c>
      <c r="BE40" s="29">
        <f t="shared" si="22"/>
        <v>1.2864595705418199E-3</v>
      </c>
      <c r="BF40" s="29">
        <f t="shared" si="23"/>
        <v>1.2864595705418199E-3</v>
      </c>
      <c r="BH40" s="29"/>
    </row>
    <row r="41" spans="1:124" x14ac:dyDescent="0.25">
      <c r="A41" s="1">
        <v>46083</v>
      </c>
      <c r="B41" s="33">
        <v>20.98</v>
      </c>
      <c r="C41" s="33">
        <v>25.66</v>
      </c>
      <c r="D41" s="15">
        <v>-3.3309571602393399E-3</v>
      </c>
      <c r="E41" s="15">
        <v>-6.9903197269107001E-3</v>
      </c>
      <c r="F41" s="33">
        <v>0</v>
      </c>
      <c r="G41" s="33">
        <v>0.15945000000000001</v>
      </c>
      <c r="H41" s="33">
        <v>9.9840999999999999E-2</v>
      </c>
      <c r="I41" s="33">
        <v>0.19987099999999999</v>
      </c>
      <c r="J41" s="33">
        <v>0.15945000000000001</v>
      </c>
      <c r="K41" s="33">
        <v>0.19987099999999999</v>
      </c>
      <c r="L41" s="33">
        <v>21.13945</v>
      </c>
      <c r="M41" s="33">
        <v>25.859870999999998</v>
      </c>
      <c r="N41" s="34">
        <v>1.22306959008579</v>
      </c>
      <c r="O41" s="34">
        <v>1.2246984145589499</v>
      </c>
      <c r="P41" s="34">
        <v>1.22497609290667</v>
      </c>
      <c r="Q41" s="34">
        <v>1.22389940820263</v>
      </c>
      <c r="R41" s="33">
        <v>25.694172737446898</v>
      </c>
      <c r="S41" s="33">
        <v>25.699438809229399</v>
      </c>
      <c r="T41" s="33">
        <v>25.682275835289701</v>
      </c>
      <c r="U41" s="15">
        <v>1.3308652703071301E-3</v>
      </c>
      <c r="V41" s="15">
        <v>1.53579625851803E-3</v>
      </c>
      <c r="W41" s="15">
        <v>8.6773857703366201E-4</v>
      </c>
      <c r="X41" s="34">
        <v>1.2232991397600199</v>
      </c>
      <c r="Y41" s="34">
        <v>1.2232106064414101</v>
      </c>
      <c r="Z41" s="34">
        <v>1.2227782728999701</v>
      </c>
      <c r="AA41" s="34">
        <v>1.22284686851588</v>
      </c>
      <c r="AB41" s="33">
        <v>25.8579994543379</v>
      </c>
      <c r="AC41" s="33">
        <v>25.8480060161158</v>
      </c>
      <c r="AD41" s="33">
        <v>25.850000269244301</v>
      </c>
      <c r="AE41" s="15">
        <v>-7.2375202087226101E-5</v>
      </c>
      <c r="AF41" s="15">
        <v>-4.5892366026598601E-4</v>
      </c>
      <c r="AG41" s="15">
        <v>-3.8177356211534198E-4</v>
      </c>
      <c r="AI41" s="12"/>
      <c r="AJ41">
        <f t="shared" si="6"/>
        <v>0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1.2864595705418199E-3</v>
      </c>
      <c r="BE41" s="29">
        <f t="shared" si="22"/>
        <v>0</v>
      </c>
      <c r="BF41" s="29">
        <f t="shared" si="23"/>
        <v>1.2864595705418199E-3</v>
      </c>
      <c r="BH41" s="29"/>
    </row>
    <row r="42" spans="1:124" x14ac:dyDescent="0.25">
      <c r="A42" s="1">
        <v>46084</v>
      </c>
      <c r="B42" s="33">
        <v>20.97</v>
      </c>
      <c r="C42" s="33">
        <v>25.64</v>
      </c>
      <c r="D42" s="15">
        <v>-4.7675805432262998E-4</v>
      </c>
      <c r="E42" s="15">
        <v>-7.7972713502104504E-4</v>
      </c>
      <c r="F42" s="33">
        <v>0</v>
      </c>
      <c r="G42" s="33">
        <v>0.15945000000000001</v>
      </c>
      <c r="H42" s="33">
        <v>0</v>
      </c>
      <c r="I42" s="33">
        <v>0.19987099999999999</v>
      </c>
      <c r="J42" s="33">
        <v>0.15945000000000001</v>
      </c>
      <c r="K42" s="33">
        <v>0.19987099999999999</v>
      </c>
      <c r="L42" s="33">
        <v>21.129449999999999</v>
      </c>
      <c r="M42" s="33">
        <v>25.839870999999999</v>
      </c>
      <c r="N42" s="34">
        <v>1.2226990939437199</v>
      </c>
      <c r="O42" s="34">
        <v>1.2246984145589499</v>
      </c>
      <c r="P42" s="34">
        <v>1.22496571726541</v>
      </c>
      <c r="Q42" s="34">
        <v>1.22390192527985</v>
      </c>
      <c r="R42" s="33">
        <v>25.6819257533013</v>
      </c>
      <c r="S42" s="33">
        <v>25.687748668252802</v>
      </c>
      <c r="T42" s="33">
        <v>25.6651705900092</v>
      </c>
      <c r="U42" s="15">
        <v>1.63383435100562E-3</v>
      </c>
      <c r="V42" s="15">
        <v>1.8605406730557801E-3</v>
      </c>
      <c r="W42" s="15">
        <v>9.8121073331400993E-4</v>
      </c>
      <c r="X42" s="34">
        <v>1.22293154814725</v>
      </c>
      <c r="Y42" s="34">
        <v>1.2232106064414101</v>
      </c>
      <c r="Z42" s="34">
        <v>1.2227819189970801</v>
      </c>
      <c r="AA42" s="34">
        <v>1.2228563206267</v>
      </c>
      <c r="AB42" s="33">
        <v>25.845767348273501</v>
      </c>
      <c r="AC42" s="33">
        <v>25.8366323783262</v>
      </c>
      <c r="AD42" s="33">
        <v>25.838081765962801</v>
      </c>
      <c r="AE42" s="15">
        <v>2.2816196094648401E-4</v>
      </c>
      <c r="AF42" s="15">
        <v>-1.25342136802494E-4</v>
      </c>
      <c r="AG42" s="15">
        <v>-6.9245546390896102E-5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1.2864595705418199E-3</v>
      </c>
      <c r="BE42" s="29">
        <f t="shared" si="22"/>
        <v>0</v>
      </c>
      <c r="BF42" s="29">
        <f t="shared" si="23"/>
        <v>1.2864595705418199E-3</v>
      </c>
      <c r="BH42" s="29"/>
    </row>
    <row r="43" spans="1:124" x14ac:dyDescent="0.25">
      <c r="A43" s="1">
        <v>46085</v>
      </c>
      <c r="B43" s="33">
        <v>20.96</v>
      </c>
      <c r="C43" s="33">
        <v>25.62</v>
      </c>
      <c r="D43" s="15">
        <v>-4.7698546098704002E-4</v>
      </c>
      <c r="E43" s="15">
        <v>-7.8033558388108601E-4</v>
      </c>
      <c r="F43" s="33">
        <v>0</v>
      </c>
      <c r="G43" s="33">
        <v>0.15945000000000001</v>
      </c>
      <c r="H43" s="33">
        <v>0</v>
      </c>
      <c r="I43" s="33">
        <v>0.19987099999999999</v>
      </c>
      <c r="J43" s="33">
        <v>0.15945000000000001</v>
      </c>
      <c r="K43" s="33">
        <v>0.19987099999999999</v>
      </c>
      <c r="L43" s="33">
        <v>21.119450000000001</v>
      </c>
      <c r="M43" s="33">
        <v>25.819870999999999</v>
      </c>
      <c r="N43" s="34">
        <v>1.2223282442748</v>
      </c>
      <c r="O43" s="34">
        <v>1.2246984145589499</v>
      </c>
      <c r="P43" s="34">
        <v>1.22490766716818</v>
      </c>
      <c r="Q43" s="34">
        <v>1.22388055544847</v>
      </c>
      <c r="R43" s="33">
        <v>25.669678769155698</v>
      </c>
      <c r="S43" s="33">
        <v>25.675281433883001</v>
      </c>
      <c r="T43" s="33">
        <v>25.652984353865801</v>
      </c>
      <c r="U43" s="15">
        <v>1.9371844738995301E-3</v>
      </c>
      <c r="V43" s="15">
        <v>2.1554206835468202E-3</v>
      </c>
      <c r="W43" s="15">
        <v>1.2866174587517301E-3</v>
      </c>
      <c r="X43" s="34">
        <v>1.2225636084272999</v>
      </c>
      <c r="Y43" s="34">
        <v>1.2232106064414101</v>
      </c>
      <c r="Z43" s="34">
        <v>1.2227382174824699</v>
      </c>
      <c r="AA43" s="34">
        <v>1.22284204958536</v>
      </c>
      <c r="AB43" s="33">
        <v>25.833535242209098</v>
      </c>
      <c r="AC43" s="33">
        <v>25.824481599162901</v>
      </c>
      <c r="AD43" s="33">
        <v>25.8260529206595</v>
      </c>
      <c r="AE43" s="15">
        <v>5.2907420911721295E-4</v>
      </c>
      <c r="AF43" s="15">
        <v>1.7855192070931499E-4</v>
      </c>
      <c r="AG43" s="15">
        <v>2.3939626672590399E-4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0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1.2864595705418199E-3</v>
      </c>
      <c r="BE43" s="29">
        <f t="shared" si="22"/>
        <v>0</v>
      </c>
      <c r="BF43" s="29">
        <f t="shared" si="23"/>
        <v>1.2864595705418199E-3</v>
      </c>
      <c r="BH43" s="29"/>
    </row>
    <row r="44" spans="1:124" x14ac:dyDescent="0.25">
      <c r="A44" s="1">
        <v>46086</v>
      </c>
      <c r="B44" s="33">
        <v>20.91</v>
      </c>
      <c r="C44" s="33">
        <v>25.57</v>
      </c>
      <c r="D44" s="15">
        <v>-2.3883460122992501E-3</v>
      </c>
      <c r="E44" s="15">
        <v>-1.9535071654929298E-3</v>
      </c>
      <c r="F44" s="33">
        <v>0</v>
      </c>
      <c r="G44" s="33">
        <v>0.15945000000000001</v>
      </c>
      <c r="H44" s="33">
        <v>0</v>
      </c>
      <c r="I44" s="33">
        <v>0.19987099999999999</v>
      </c>
      <c r="J44" s="33">
        <v>0.15945000000000001</v>
      </c>
      <c r="K44" s="33">
        <v>0.19987099999999999</v>
      </c>
      <c r="L44" s="33">
        <v>21.06945</v>
      </c>
      <c r="M44" s="33">
        <v>25.769870999999998</v>
      </c>
      <c r="N44" s="34">
        <v>1.2228598756575799</v>
      </c>
      <c r="O44" s="34">
        <v>1.2246984145589499</v>
      </c>
      <c r="P44" s="34">
        <v>1.2249239491308901</v>
      </c>
      <c r="Q44" s="34">
        <v>1.2238617633455999</v>
      </c>
      <c r="R44" s="33">
        <v>25.608443848427701</v>
      </c>
      <c r="S44" s="33">
        <v>25.612819320486601</v>
      </c>
      <c r="T44" s="33">
        <v>25.591342414427501</v>
      </c>
      <c r="U44" s="15">
        <v>1.5023456270933E-3</v>
      </c>
      <c r="V44" s="15">
        <v>1.67319155313344E-3</v>
      </c>
      <c r="W44" s="15">
        <v>8.3431804789998803E-4</v>
      </c>
      <c r="X44" s="34">
        <v>1.2230917750582</v>
      </c>
      <c r="Y44" s="34">
        <v>1.2232106064414101</v>
      </c>
      <c r="Z44" s="34">
        <v>1.22276842992598</v>
      </c>
      <c r="AA44" s="34">
        <v>1.22283027511188</v>
      </c>
      <c r="AB44" s="33">
        <v>25.772374711887</v>
      </c>
      <c r="AC44" s="33">
        <v>25.762421736336201</v>
      </c>
      <c r="AD44" s="33">
        <v>25.764609421636202</v>
      </c>
      <c r="AE44" s="15">
        <v>9.7151835527525902E-5</v>
      </c>
      <c r="AF44" s="15">
        <v>-2.8911050993967998E-4</v>
      </c>
      <c r="AG44" s="15">
        <v>-2.0419642689609001E-4</v>
      </c>
      <c r="AI44" s="12"/>
      <c r="AJ44">
        <f t="shared" si="6"/>
        <v>0</v>
      </c>
      <c r="AK44">
        <f t="shared" si="7"/>
        <v>0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1.2864595705418199E-3</v>
      </c>
      <c r="BE44" s="29">
        <f t="shared" si="22"/>
        <v>0</v>
      </c>
      <c r="BF44" s="29">
        <f t="shared" si="23"/>
        <v>1.2864595705418199E-3</v>
      </c>
      <c r="BH44" s="29"/>
    </row>
    <row r="45" spans="1:124" x14ac:dyDescent="0.25">
      <c r="A45" s="1">
        <v>46087</v>
      </c>
      <c r="B45" s="33">
        <v>20.87</v>
      </c>
      <c r="C45" s="33">
        <v>25.51</v>
      </c>
      <c r="D45" s="15">
        <v>-1.9147923514327501E-3</v>
      </c>
      <c r="E45" s="15">
        <v>-2.3492571493752101E-3</v>
      </c>
      <c r="F45" s="33">
        <v>0</v>
      </c>
      <c r="G45" s="33">
        <v>0.15945000000000001</v>
      </c>
      <c r="H45" s="33">
        <v>0</v>
      </c>
      <c r="I45" s="33">
        <v>0.19987099999999999</v>
      </c>
      <c r="J45" s="33">
        <v>0.15945000000000001</v>
      </c>
      <c r="K45" s="33">
        <v>0.19987099999999999</v>
      </c>
      <c r="L45" s="33">
        <v>21.029450000000001</v>
      </c>
      <c r="M45" s="33">
        <v>25.709871</v>
      </c>
      <c r="N45" s="34">
        <v>1.2223287014853801</v>
      </c>
      <c r="O45" s="34">
        <v>1.2246984145589499</v>
      </c>
      <c r="P45" s="34">
        <v>1.2248871136763899</v>
      </c>
      <c r="Q45" s="34">
        <v>1.22378738062934</v>
      </c>
      <c r="R45" s="33">
        <v>25.559455911845401</v>
      </c>
      <c r="S45" s="33">
        <v>25.564162818361801</v>
      </c>
      <c r="T45" s="33">
        <v>25.541995001022801</v>
      </c>
      <c r="U45" s="15">
        <v>1.93681042503585E-3</v>
      </c>
      <c r="V45" s="15">
        <v>2.1209486627687302E-3</v>
      </c>
      <c r="W45" s="15">
        <v>1.2534282043681099E-3</v>
      </c>
      <c r="X45" s="34">
        <v>1.22256506946211</v>
      </c>
      <c r="Y45" s="34">
        <v>1.2232106064414101</v>
      </c>
      <c r="Z45" s="34">
        <v>1.2227459718098701</v>
      </c>
      <c r="AA45" s="34">
        <v>1.2227632618391999</v>
      </c>
      <c r="AB45" s="33">
        <v>25.7234462876294</v>
      </c>
      <c r="AC45" s="33">
        <v>25.714147558706902</v>
      </c>
      <c r="AD45" s="33">
        <v>25.7154481289516</v>
      </c>
      <c r="AE45" s="15">
        <v>5.2787915151398601E-4</v>
      </c>
      <c r="AF45" s="15">
        <v>1.6632534121982E-4</v>
      </c>
      <c r="AG45" s="15">
        <v>2.1690206567313901E-4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0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1.2864595705418199E-3</v>
      </c>
      <c r="BE45" s="29">
        <f t="shared" si="22"/>
        <v>0</v>
      </c>
      <c r="BF45" s="29">
        <f t="shared" si="23"/>
        <v>1.2864595705418199E-3</v>
      </c>
      <c r="BH45" s="29"/>
    </row>
    <row r="46" spans="1:124" x14ac:dyDescent="0.25">
      <c r="A46" s="1">
        <v>46090</v>
      </c>
      <c r="B46" s="33">
        <v>20.93</v>
      </c>
      <c r="C46" s="33">
        <v>25.59</v>
      </c>
      <c r="D46" s="15">
        <v>2.8708153687989602E-3</v>
      </c>
      <c r="E46" s="15">
        <v>3.1311180179773601E-3</v>
      </c>
      <c r="F46" s="33">
        <v>0</v>
      </c>
      <c r="G46" s="33">
        <v>0.15945000000000001</v>
      </c>
      <c r="H46" s="33">
        <v>0</v>
      </c>
      <c r="I46" s="33">
        <v>0.19987099999999999</v>
      </c>
      <c r="J46" s="33">
        <v>0.15945000000000001</v>
      </c>
      <c r="K46" s="33">
        <v>0.19987099999999999</v>
      </c>
      <c r="L46" s="33">
        <v>21.089449999999999</v>
      </c>
      <c r="M46" s="33">
        <v>25.789871000000002</v>
      </c>
      <c r="N46" s="34">
        <v>1.22264691829909</v>
      </c>
      <c r="O46" s="34">
        <v>1.2246984145589499</v>
      </c>
      <c r="P46" s="34">
        <v>1.2244699224820501</v>
      </c>
      <c r="Q46" s="34">
        <v>1.2237820592402799</v>
      </c>
      <c r="R46" s="33">
        <v>25.632937816718901</v>
      </c>
      <c r="S46" s="33">
        <v>25.636887289246999</v>
      </c>
      <c r="T46" s="33">
        <v>25.613869876572199</v>
      </c>
      <c r="U46" s="15">
        <v>1.6765077758573901E-3</v>
      </c>
      <c r="V46" s="15">
        <v>1.83057393573679E-3</v>
      </c>
      <c r="W46" s="15">
        <v>9.3234665109940195E-4</v>
      </c>
      <c r="X46" s="34">
        <v>1.22288020787645</v>
      </c>
      <c r="Y46" s="34">
        <v>1.2232106064414101</v>
      </c>
      <c r="Z46" s="34">
        <v>1.2228032126574999</v>
      </c>
      <c r="AA46" s="34">
        <v>1.2227649550847699</v>
      </c>
      <c r="AB46" s="33">
        <v>25.796838924015901</v>
      </c>
      <c r="AC46" s="33">
        <v>25.7870400351858</v>
      </c>
      <c r="AD46" s="33">
        <v>25.7874046723948</v>
      </c>
      <c r="AE46" s="15">
        <v>2.7014415412655797E-4</v>
      </c>
      <c r="AF46" s="15">
        <v>-1.0977643911407E-4</v>
      </c>
      <c r="AG46" s="15">
        <v>-9.5636210903569799E-5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1.2864595705418199E-3</v>
      </c>
      <c r="BE46" s="29">
        <f t="shared" si="22"/>
        <v>0</v>
      </c>
      <c r="BF46" s="29">
        <f t="shared" si="23"/>
        <v>1.2864595705418199E-3</v>
      </c>
      <c r="BH46" s="29"/>
    </row>
    <row r="47" spans="1:124" x14ac:dyDescent="0.25">
      <c r="A47" s="1">
        <v>46091</v>
      </c>
      <c r="B47" s="33">
        <v>20.85</v>
      </c>
      <c r="C47" s="33">
        <v>25.5</v>
      </c>
      <c r="D47" s="15">
        <v>-3.82958821309777E-3</v>
      </c>
      <c r="E47" s="15">
        <v>-3.5231980073170098E-3</v>
      </c>
      <c r="F47" s="33">
        <v>0</v>
      </c>
      <c r="G47" s="33">
        <v>0.15945000000000001</v>
      </c>
      <c r="H47" s="33">
        <v>0</v>
      </c>
      <c r="I47" s="33">
        <v>0.19987099999999999</v>
      </c>
      <c r="J47" s="33">
        <v>0.15945000000000001</v>
      </c>
      <c r="K47" s="33">
        <v>0.19987099999999999</v>
      </c>
      <c r="L47" s="33">
        <v>21.009450000000001</v>
      </c>
      <c r="M47" s="33">
        <v>25.699871000000002</v>
      </c>
      <c r="N47" s="34">
        <v>1.22302158273381</v>
      </c>
      <c r="O47" s="34">
        <v>1.2246984145589499</v>
      </c>
      <c r="P47" s="34">
        <v>1.2239625569459101</v>
      </c>
      <c r="Q47" s="34">
        <v>1.22380079246202</v>
      </c>
      <c r="R47" s="33">
        <v>25.534961943554201</v>
      </c>
      <c r="S47" s="33">
        <v>25.530197883750901</v>
      </c>
      <c r="T47" s="33">
        <v>25.515855935160001</v>
      </c>
      <c r="U47" s="15">
        <v>1.3701175700765299E-3</v>
      </c>
      <c r="V47" s="15">
        <v>1.1835300872104701E-3</v>
      </c>
      <c r="W47" s="15">
        <v>6.2160814044592903E-4</v>
      </c>
      <c r="X47" s="34">
        <v>1.22325291713966</v>
      </c>
      <c r="Y47" s="34">
        <v>1.2232106064414101</v>
      </c>
      <c r="Z47" s="34">
        <v>1.22277168507796</v>
      </c>
      <c r="AA47" s="34">
        <v>1.2227905870803899</v>
      </c>
      <c r="AB47" s="33">
        <v>25.698982075500599</v>
      </c>
      <c r="AC47" s="33">
        <v>25.6904229561672</v>
      </c>
      <c r="AD47" s="33">
        <v>25.6896191856057</v>
      </c>
      <c r="AE47" s="15">
        <v>-3.4589273740214798E-5</v>
      </c>
      <c r="AF47" s="15">
        <v>-3.67697602478602E-4</v>
      </c>
      <c r="AG47" s="15">
        <v>-3.9898486998805199E-4</v>
      </c>
      <c r="AI47" s="12"/>
      <c r="AJ47">
        <f t="shared" si="6"/>
        <v>0</v>
      </c>
      <c r="AK47">
        <f t="shared" si="7"/>
        <v>0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1.2864595705418199E-3</v>
      </c>
      <c r="BE47" s="29">
        <f t="shared" si="22"/>
        <v>0</v>
      </c>
      <c r="BF47" s="29">
        <f t="shared" si="23"/>
        <v>1.2864595705418199E-3</v>
      </c>
      <c r="BH47" s="29"/>
    </row>
    <row r="48" spans="1:124" x14ac:dyDescent="0.25">
      <c r="A48" s="1">
        <v>46092</v>
      </c>
      <c r="B48" s="33">
        <v>20.77</v>
      </c>
      <c r="C48" s="33">
        <v>25.4</v>
      </c>
      <c r="D48" s="15">
        <v>-3.8443103567896201E-3</v>
      </c>
      <c r="E48" s="15">
        <v>-3.9292781398896602E-3</v>
      </c>
      <c r="F48" s="33">
        <v>0</v>
      </c>
      <c r="G48" s="33">
        <v>0.15945000000000001</v>
      </c>
      <c r="H48" s="33">
        <v>0</v>
      </c>
      <c r="I48" s="33">
        <v>0.19987099999999999</v>
      </c>
      <c r="J48" s="33">
        <v>0.15945000000000001</v>
      </c>
      <c r="K48" s="33">
        <v>0.19987099999999999</v>
      </c>
      <c r="L48" s="33">
        <v>20.929449999999999</v>
      </c>
      <c r="M48" s="33">
        <v>25.599871</v>
      </c>
      <c r="N48" s="34">
        <v>1.2229176697159301</v>
      </c>
      <c r="O48" s="34">
        <v>1.2246984145589499</v>
      </c>
      <c r="P48" s="34">
        <v>1.22354003820322</v>
      </c>
      <c r="Q48" s="34">
        <v>1.22385411869591</v>
      </c>
      <c r="R48" s="33">
        <v>25.436986070389501</v>
      </c>
      <c r="S48" s="33">
        <v>25.421702307766601</v>
      </c>
      <c r="T48" s="33">
        <v>25.4183424594362</v>
      </c>
      <c r="U48" s="15">
        <v>1.45508535317633E-3</v>
      </c>
      <c r="V48" s="15">
        <v>8.5405675529684401E-4</v>
      </c>
      <c r="W48" s="15">
        <v>7.21883451724707E-4</v>
      </c>
      <c r="X48" s="34">
        <v>1.2231506800226399</v>
      </c>
      <c r="Y48" s="34">
        <v>1.2232106064414101</v>
      </c>
      <c r="Z48" s="34">
        <v>1.22282445420195</v>
      </c>
      <c r="AA48" s="34">
        <v>1.2228507508556601</v>
      </c>
      <c r="AB48" s="33">
        <v>25.6011252269852</v>
      </c>
      <c r="AC48" s="33">
        <v>25.591938844255001</v>
      </c>
      <c r="AD48" s="33">
        <v>25.592334452769801</v>
      </c>
      <c r="AE48" s="15">
        <v>4.8992288352650603E-5</v>
      </c>
      <c r="AF48" s="15">
        <v>-3.0989940900928801E-4</v>
      </c>
      <c r="AG48" s="15">
        <v>-2.94441203223159E-4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1.2864595705418199E-3</v>
      </c>
      <c r="BE48" s="29">
        <f t="shared" si="22"/>
        <v>0</v>
      </c>
      <c r="BF48" s="29">
        <f t="shared" si="23"/>
        <v>1.2864595705418199E-3</v>
      </c>
      <c r="BH48" s="29"/>
    </row>
    <row r="49" spans="1:60" x14ac:dyDescent="0.25">
      <c r="A49" s="1">
        <v>46093</v>
      </c>
      <c r="B49" s="33">
        <v>20.64</v>
      </c>
      <c r="C49" s="33">
        <v>25.24</v>
      </c>
      <c r="D49" s="15">
        <v>-6.2786972746589204E-3</v>
      </c>
      <c r="E49" s="15">
        <v>-6.3191363514785402E-3</v>
      </c>
      <c r="F49" s="33">
        <v>0</v>
      </c>
      <c r="G49" s="33">
        <v>0.15945000000000001</v>
      </c>
      <c r="H49" s="33">
        <v>0</v>
      </c>
      <c r="I49" s="33">
        <v>0.19987099999999999</v>
      </c>
      <c r="J49" s="33">
        <v>0.15945000000000001</v>
      </c>
      <c r="K49" s="33">
        <v>0.19987099999999999</v>
      </c>
      <c r="L49" s="33">
        <v>20.79945</v>
      </c>
      <c r="M49" s="33">
        <v>25.439871</v>
      </c>
      <c r="N49" s="34">
        <v>1.22286821705426</v>
      </c>
      <c r="O49" s="34">
        <v>1.2246984145589499</v>
      </c>
      <c r="P49" s="34">
        <v>1.22322933374309</v>
      </c>
      <c r="Q49" s="34">
        <v>1.22386518363367</v>
      </c>
      <c r="R49" s="33">
        <v>25.277775276496801</v>
      </c>
      <c r="S49" s="33">
        <v>25.253866388514499</v>
      </c>
      <c r="T49" s="33">
        <v>25.260349009883601</v>
      </c>
      <c r="U49" s="15">
        <v>1.495524429996E-3</v>
      </c>
      <c r="V49" s="15">
        <v>5.4923062363284496E-4</v>
      </c>
      <c r="W49" s="15">
        <v>8.0589585553104102E-4</v>
      </c>
      <c r="X49" s="34">
        <v>1.2231030628213699</v>
      </c>
      <c r="Y49" s="34">
        <v>1.2232106064414101</v>
      </c>
      <c r="Z49" s="34">
        <v>1.2229879153110499</v>
      </c>
      <c r="AA49" s="34">
        <v>1.2228688901353699</v>
      </c>
      <c r="AB49" s="33">
        <v>25.442107848147899</v>
      </c>
      <c r="AC49" s="33">
        <v>25.4340760939508</v>
      </c>
      <c r="AD49" s="33">
        <v>25.434623049884799</v>
      </c>
      <c r="AE49" s="15">
        <v>8.7923001423803395E-5</v>
      </c>
      <c r="AF49" s="15">
        <v>-2.27814290231751E-4</v>
      </c>
      <c r="AG49" s="15">
        <v>-2.06309673708513E-4</v>
      </c>
      <c r="AI49" s="12"/>
      <c r="AJ49">
        <f t="shared" si="6"/>
        <v>0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1.2864595705418199E-3</v>
      </c>
      <c r="BE49" s="29">
        <f t="shared" si="22"/>
        <v>0</v>
      </c>
      <c r="BF49" s="29">
        <f t="shared" si="23"/>
        <v>1.2864595705418199E-3</v>
      </c>
      <c r="BH49" s="29"/>
    </row>
    <row r="50" spans="1:60" x14ac:dyDescent="0.25">
      <c r="A50" s="1">
        <v>46094</v>
      </c>
      <c r="B50" s="33">
        <v>20.59</v>
      </c>
      <c r="C50" s="33">
        <v>25.19</v>
      </c>
      <c r="D50" s="15">
        <v>-2.4254195736639001E-3</v>
      </c>
      <c r="E50" s="15">
        <v>-1.9829473084934102E-3</v>
      </c>
      <c r="F50" s="33">
        <v>0</v>
      </c>
      <c r="G50" s="33">
        <v>0.15945000000000001</v>
      </c>
      <c r="H50" s="33">
        <v>0</v>
      </c>
      <c r="I50" s="33">
        <v>0.19987099999999999</v>
      </c>
      <c r="J50" s="33">
        <v>0.15945000000000001</v>
      </c>
      <c r="K50" s="33">
        <v>0.19987099999999999</v>
      </c>
      <c r="L50" s="33">
        <v>20.74945</v>
      </c>
      <c r="M50" s="33">
        <v>25.389870999999999</v>
      </c>
      <c r="N50" s="34">
        <v>1.22340942204953</v>
      </c>
      <c r="O50" s="34">
        <v>1.2246984145589499</v>
      </c>
      <c r="P50" s="34">
        <v>1.2228149315299901</v>
      </c>
      <c r="Q50" s="34">
        <v>1.2238821752318501</v>
      </c>
      <c r="R50" s="33">
        <v>25.216540355768899</v>
      </c>
      <c r="S50" s="33">
        <v>25.1862919817702</v>
      </c>
      <c r="T50" s="33">
        <v>25.199384131017201</v>
      </c>
      <c r="U50" s="15">
        <v>1.05305216482555E-3</v>
      </c>
      <c r="V50" s="15">
        <v>-1.47212829311027E-4</v>
      </c>
      <c r="W50" s="15">
        <v>3.7246460886931101E-4</v>
      </c>
      <c r="X50" s="34">
        <v>1.2236406748130599</v>
      </c>
      <c r="Y50" s="34">
        <v>1.2232106064414101</v>
      </c>
      <c r="Z50" s="34">
        <v>1.2230478683528001</v>
      </c>
      <c r="AA50" s="34">
        <v>1.22289286799719</v>
      </c>
      <c r="AB50" s="33">
        <v>25.3809473178258</v>
      </c>
      <c r="AC50" s="33">
        <v>25.376326599351</v>
      </c>
      <c r="AD50" s="33">
        <v>25.3738568924195</v>
      </c>
      <c r="AE50" s="15">
        <v>-3.5152800611536699E-4</v>
      </c>
      <c r="AF50" s="15">
        <v>-5.3359919043986196E-4</v>
      </c>
      <c r="AG50" s="15">
        <v>-6.3092719059797597E-4</v>
      </c>
      <c r="AI50" s="12"/>
      <c r="AJ50">
        <f t="shared" si="6"/>
        <v>0</v>
      </c>
      <c r="AK50">
        <f t="shared" si="7"/>
        <v>0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1.2864595705418199E-3</v>
      </c>
      <c r="BE50" s="29">
        <f t="shared" si="22"/>
        <v>0</v>
      </c>
      <c r="BF50" s="29">
        <f t="shared" si="23"/>
        <v>1.2864595705418199E-3</v>
      </c>
      <c r="BH50" s="29"/>
    </row>
    <row r="51" spans="1:60" x14ac:dyDescent="0.25">
      <c r="A51" s="1">
        <v>46097</v>
      </c>
      <c r="B51" s="33">
        <v>20.66</v>
      </c>
      <c r="C51" s="33">
        <v>25.29</v>
      </c>
      <c r="D51" s="15">
        <v>3.39394265179431E-3</v>
      </c>
      <c r="E51" s="15">
        <v>3.9619703173547601E-3</v>
      </c>
      <c r="F51" s="33">
        <v>0</v>
      </c>
      <c r="G51" s="33">
        <v>0.15945000000000001</v>
      </c>
      <c r="H51" s="33">
        <v>0</v>
      </c>
      <c r="I51" s="33">
        <v>0.19987099999999999</v>
      </c>
      <c r="J51" s="33">
        <v>0.15945000000000001</v>
      </c>
      <c r="K51" s="33">
        <v>0.19987099999999999</v>
      </c>
      <c r="L51" s="33">
        <v>20.81945</v>
      </c>
      <c r="M51" s="33">
        <v>25.489871000000001</v>
      </c>
      <c r="N51" s="34">
        <v>1.22410454985479</v>
      </c>
      <c r="O51" s="34">
        <v>1.2246984145589499</v>
      </c>
      <c r="P51" s="34">
        <v>1.2229184275068901</v>
      </c>
      <c r="Q51" s="34">
        <v>1.22394726020678</v>
      </c>
      <c r="R51" s="33">
        <v>25.302269244788</v>
      </c>
      <c r="S51" s="33">
        <v>25.263356485409599</v>
      </c>
      <c r="T51" s="33">
        <v>25.285405740290098</v>
      </c>
      <c r="U51" s="15">
        <v>4.8502449926516401E-4</v>
      </c>
      <c r="V51" s="15">
        <v>-1.0540750964740701E-3</v>
      </c>
      <c r="W51" s="15">
        <v>-1.8167959921279301E-4</v>
      </c>
      <c r="X51" s="34">
        <v>1.2243297013129499</v>
      </c>
      <c r="Y51" s="34">
        <v>1.2232106064414101</v>
      </c>
      <c r="Z51" s="34">
        <v>1.2231509245081</v>
      </c>
      <c r="AA51" s="34">
        <v>1.2229645987040301</v>
      </c>
      <c r="AB51" s="33">
        <v>25.4665720602767</v>
      </c>
      <c r="AC51" s="33">
        <v>25.463183942777899</v>
      </c>
      <c r="AD51" s="33">
        <v>25.459956920624201</v>
      </c>
      <c r="AE51" s="15">
        <v>-9.1446498019251302E-4</v>
      </c>
      <c r="AF51" s="15">
        <v>-1.0475155883136E-3</v>
      </c>
      <c r="AG51" s="15">
        <v>-1.17425648069763E-3</v>
      </c>
      <c r="AI51" s="12"/>
      <c r="AJ51">
        <f t="shared" si="6"/>
        <v>1</v>
      </c>
      <c r="AK51">
        <f t="shared" si="7"/>
        <v>0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1.2864595705418199E-3</v>
      </c>
      <c r="BE51" s="29">
        <f t="shared" si="22"/>
        <v>0</v>
      </c>
      <c r="BF51" s="29">
        <f t="shared" si="23"/>
        <v>1.2864595705418199E-3</v>
      </c>
      <c r="BH51" s="29"/>
    </row>
    <row r="52" spans="1:60" x14ac:dyDescent="0.25">
      <c r="A52" s="1">
        <v>46098</v>
      </c>
      <c r="B52" s="33">
        <v>20.75</v>
      </c>
      <c r="C52" s="33">
        <v>25.39</v>
      </c>
      <c r="D52" s="15">
        <v>4.3467829852147999E-3</v>
      </c>
      <c r="E52" s="15">
        <v>3.9463350347134201E-3</v>
      </c>
      <c r="F52" s="33">
        <v>0</v>
      </c>
      <c r="G52" s="33">
        <v>0.15945000000000001</v>
      </c>
      <c r="H52" s="33">
        <v>0</v>
      </c>
      <c r="I52" s="33">
        <v>0.19987099999999999</v>
      </c>
      <c r="J52" s="33">
        <v>0.15945000000000001</v>
      </c>
      <c r="K52" s="33">
        <v>0.19987099999999999</v>
      </c>
      <c r="L52" s="33">
        <v>20.90945</v>
      </c>
      <c r="M52" s="33">
        <v>25.589870999999999</v>
      </c>
      <c r="N52" s="34">
        <v>1.2236144578313199</v>
      </c>
      <c r="O52" s="34">
        <v>1.2246984145589499</v>
      </c>
      <c r="P52" s="34">
        <v>1.22300996389565</v>
      </c>
      <c r="Q52" s="34">
        <v>1.22398784058053</v>
      </c>
      <c r="R52" s="33">
        <v>25.412492102098302</v>
      </c>
      <c r="S52" s="33">
        <v>25.375557370768</v>
      </c>
      <c r="T52" s="33">
        <v>25.396905649290701</v>
      </c>
      <c r="U52" s="15">
        <v>8.8547244976656199E-4</v>
      </c>
      <c r="V52" s="15">
        <v>-5.6899324540530703E-4</v>
      </c>
      <c r="W52" s="15">
        <v>2.7194605558310801E-4</v>
      </c>
      <c r="X52" s="34">
        <v>1.2238423774895999</v>
      </c>
      <c r="Y52" s="34">
        <v>1.2232106064414101</v>
      </c>
      <c r="Z52" s="34">
        <v>1.22324200744233</v>
      </c>
      <c r="AA52" s="34">
        <v>1.2230119632197101</v>
      </c>
      <c r="AB52" s="33">
        <v>25.576661014856398</v>
      </c>
      <c r="AC52" s="33">
        <v>25.5754130984559</v>
      </c>
      <c r="AD52" s="33">
        <v>25.571517128372101</v>
      </c>
      <c r="AE52" s="15">
        <v>-5.1635258114440298E-4</v>
      </c>
      <c r="AF52" s="15">
        <v>-5.6514498780209301E-4</v>
      </c>
      <c r="AG52" s="15">
        <v>-7.1748922719573898E-4</v>
      </c>
      <c r="AI52" s="12"/>
      <c r="AJ52">
        <f t="shared" si="6"/>
        <v>0</v>
      </c>
      <c r="AK52">
        <f t="shared" si="7"/>
        <v>0</v>
      </c>
      <c r="AL52">
        <f t="shared" si="14"/>
        <v>1</v>
      </c>
      <c r="AM52">
        <f t="shared" si="4"/>
        <v>1</v>
      </c>
      <c r="AN52">
        <f t="shared" si="15"/>
        <v>1</v>
      </c>
      <c r="AO52" s="28">
        <f t="shared" si="8"/>
        <v>4.3467829852147999E-3</v>
      </c>
      <c r="AP52" s="28">
        <f t="shared" si="9"/>
        <v>-3.9463350347134201E-3</v>
      </c>
      <c r="AQ52" s="28">
        <f t="shared" si="16"/>
        <v>4.0044795050137982E-4</v>
      </c>
      <c r="AR52" s="29">
        <f t="shared" si="17"/>
        <v>4.0044795050137982E-4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1.2864595705418199E-3</v>
      </c>
      <c r="BE52" s="29">
        <f t="shared" si="22"/>
        <v>4.0044795050137982E-4</v>
      </c>
      <c r="BF52" s="29">
        <f t="shared" si="23"/>
        <v>1.6869075210431998E-3</v>
      </c>
      <c r="BH52" s="29"/>
    </row>
    <row r="53" spans="1:60" x14ac:dyDescent="0.25">
      <c r="A53" s="1">
        <v>46099</v>
      </c>
      <c r="B53" s="33">
        <v>20.64</v>
      </c>
      <c r="C53" s="33">
        <v>25.25</v>
      </c>
      <c r="D53" s="15">
        <v>-5.3153060633453E-3</v>
      </c>
      <c r="E53" s="15">
        <v>-5.5292399952182403E-3</v>
      </c>
      <c r="F53" s="33">
        <v>0</v>
      </c>
      <c r="G53" s="33">
        <v>0.15945000000000001</v>
      </c>
      <c r="H53" s="33">
        <v>0</v>
      </c>
      <c r="I53" s="33">
        <v>0.19987099999999999</v>
      </c>
      <c r="J53" s="33">
        <v>0.15945000000000001</v>
      </c>
      <c r="K53" s="33">
        <v>0.19987099999999999</v>
      </c>
      <c r="L53" s="33">
        <v>20.79945</v>
      </c>
      <c r="M53" s="33">
        <v>25.449871000000002</v>
      </c>
      <c r="N53" s="34">
        <v>1.22335271317829</v>
      </c>
      <c r="O53" s="34">
        <v>1.2246984145589499</v>
      </c>
      <c r="P53" s="34">
        <v>1.2231124107860001</v>
      </c>
      <c r="Q53" s="34">
        <v>1.22401003897709</v>
      </c>
      <c r="R53" s="33">
        <v>25.277775276496801</v>
      </c>
      <c r="S53" s="33">
        <v>25.2429256548062</v>
      </c>
      <c r="T53" s="33">
        <v>25.2631090295822</v>
      </c>
      <c r="U53" s="15">
        <v>1.09940638163966E-3</v>
      </c>
      <c r="V53" s="15">
        <v>-2.8021134241120002E-4</v>
      </c>
      <c r="W53" s="15">
        <v>5.1903476655314499E-4</v>
      </c>
      <c r="X53" s="34">
        <v>1.2235838447651199</v>
      </c>
      <c r="Y53" s="34">
        <v>1.2232106064414101</v>
      </c>
      <c r="Z53" s="34">
        <v>1.2233440310761201</v>
      </c>
      <c r="AA53" s="34">
        <v>1.22304112427929</v>
      </c>
      <c r="AB53" s="33">
        <v>25.442107848147899</v>
      </c>
      <c r="AC53" s="33">
        <v>25.442760971696501</v>
      </c>
      <c r="AD53" s="33">
        <v>25.437976178390201</v>
      </c>
      <c r="AE53" s="15">
        <v>-3.05083515634831E-4</v>
      </c>
      <c r="AF53" s="15">
        <v>-2.79412876648864E-4</v>
      </c>
      <c r="AG53" s="15">
        <v>-4.6749165020604E-4</v>
      </c>
      <c r="AI53" s="12"/>
      <c r="AJ53">
        <f t="shared" si="6"/>
        <v>0</v>
      </c>
      <c r="AK53">
        <f t="shared" si="7"/>
        <v>0</v>
      </c>
      <c r="AL53">
        <f t="shared" si="14"/>
        <v>1</v>
      </c>
      <c r="AM53">
        <f t="shared" si="4"/>
        <v>1</v>
      </c>
      <c r="AN53">
        <f t="shared" si="15"/>
        <v>1</v>
      </c>
      <c r="AO53" s="28">
        <f t="shared" si="8"/>
        <v>-5.3153060633453E-3</v>
      </c>
      <c r="AP53" s="28">
        <f t="shared" si="9"/>
        <v>5.5292399952182403E-3</v>
      </c>
      <c r="AQ53" s="28">
        <f t="shared" si="16"/>
        <v>2.1393393187294028E-4</v>
      </c>
      <c r="AR53" s="29">
        <f t="shared" si="17"/>
        <v>6.1438188237432009E-4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1.2864595705418199E-3</v>
      </c>
      <c r="BE53" s="29">
        <f t="shared" si="22"/>
        <v>2.1393393187294028E-4</v>
      </c>
      <c r="BF53" s="29">
        <f t="shared" si="23"/>
        <v>1.90084145291614E-3</v>
      </c>
      <c r="BH53" s="29"/>
    </row>
    <row r="54" spans="1:60" x14ac:dyDescent="0.25">
      <c r="A54" s="1">
        <v>46100</v>
      </c>
      <c r="B54" s="33">
        <v>20.68</v>
      </c>
      <c r="C54" s="33">
        <v>25.3</v>
      </c>
      <c r="D54" s="15">
        <v>1.9361090268664E-3</v>
      </c>
      <c r="E54" s="15">
        <v>1.9782400121057201E-3</v>
      </c>
      <c r="F54" s="33">
        <v>0</v>
      </c>
      <c r="G54" s="33">
        <v>0.15945000000000001</v>
      </c>
      <c r="H54" s="33">
        <v>0</v>
      </c>
      <c r="I54" s="33">
        <v>0.19987099999999999</v>
      </c>
      <c r="J54" s="33">
        <v>0.15945000000000001</v>
      </c>
      <c r="K54" s="33">
        <v>0.19987099999999999</v>
      </c>
      <c r="L54" s="33">
        <v>20.839449999999999</v>
      </c>
      <c r="M54" s="33">
        <v>25.499870999999999</v>
      </c>
      <c r="N54" s="34">
        <v>1.22340425531914</v>
      </c>
      <c r="O54" s="34">
        <v>1.2246984145589499</v>
      </c>
      <c r="P54" s="34">
        <v>1.2231668487521501</v>
      </c>
      <c r="Q54" s="34">
        <v>1.2240453989415201</v>
      </c>
      <c r="R54" s="33">
        <v>25.3267632130792</v>
      </c>
      <c r="S54" s="33">
        <v>25.293964655054499</v>
      </c>
      <c r="T54" s="33">
        <v>25.312527606046199</v>
      </c>
      <c r="U54" s="15">
        <v>1.05727539640025E-3</v>
      </c>
      <c r="V54" s="15">
        <v>-2.3857964147517199E-4</v>
      </c>
      <c r="W54" s="15">
        <v>4.9503974192314202E-4</v>
      </c>
      <c r="X54" s="34">
        <v>1.22363454889644</v>
      </c>
      <c r="Y54" s="34">
        <v>1.2232106064414101</v>
      </c>
      <c r="Z54" s="34">
        <v>1.22339830845994</v>
      </c>
      <c r="AA54" s="34">
        <v>1.2230833691929599</v>
      </c>
      <c r="AB54" s="33">
        <v>25.491036272405498</v>
      </c>
      <c r="AC54" s="33">
        <v>25.4938167684092</v>
      </c>
      <c r="AD54" s="33">
        <v>25.487504357362202</v>
      </c>
      <c r="AE54" s="15">
        <v>-3.4652169005893699E-4</v>
      </c>
      <c r="AF54" s="15">
        <v>-2.3745023684860599E-4</v>
      </c>
      <c r="AG54" s="15">
        <v>-4.8508646674109599E-4</v>
      </c>
      <c r="AI54" s="12"/>
      <c r="AJ54">
        <f t="shared" si="6"/>
        <v>0</v>
      </c>
      <c r="AK54">
        <f t="shared" si="7"/>
        <v>0</v>
      </c>
      <c r="AL54">
        <f t="shared" si="14"/>
        <v>1</v>
      </c>
      <c r="AM54">
        <f t="shared" si="4"/>
        <v>1</v>
      </c>
      <c r="AN54">
        <f t="shared" si="15"/>
        <v>1</v>
      </c>
      <c r="AO54" s="28">
        <f t="shared" si="8"/>
        <v>1.9361090268664E-3</v>
      </c>
      <c r="AP54" s="28">
        <f t="shared" si="9"/>
        <v>-1.9782400121057201E-3</v>
      </c>
      <c r="AQ54" s="28">
        <f t="shared" si="16"/>
        <v>-4.2130985239320065E-5</v>
      </c>
      <c r="AR54" s="29">
        <f t="shared" si="17"/>
        <v>5.7225089713500003E-4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1.2864595705418199E-3</v>
      </c>
      <c r="BE54" s="29">
        <f t="shared" si="22"/>
        <v>-4.2130985239320065E-5</v>
      </c>
      <c r="BF54" s="29">
        <f t="shared" si="23"/>
        <v>1.85871046767682E-3</v>
      </c>
      <c r="BH54" s="29"/>
    </row>
    <row r="55" spans="1:60" x14ac:dyDescent="0.25">
      <c r="A55" s="1">
        <v>46101</v>
      </c>
      <c r="B55" s="33">
        <v>20.53</v>
      </c>
      <c r="C55" s="33">
        <v>25.09</v>
      </c>
      <c r="D55" s="15">
        <v>-7.27981860938614E-3</v>
      </c>
      <c r="E55" s="15">
        <v>-8.3350353551436898E-3</v>
      </c>
      <c r="F55" s="33">
        <v>0</v>
      </c>
      <c r="G55" s="33">
        <v>0.15945000000000001</v>
      </c>
      <c r="H55" s="33">
        <v>0</v>
      </c>
      <c r="I55" s="33">
        <v>0.19987099999999999</v>
      </c>
      <c r="J55" s="33">
        <v>0.15945000000000001</v>
      </c>
      <c r="K55" s="33">
        <v>0.19987099999999999</v>
      </c>
      <c r="L55" s="33">
        <v>20.689450000000001</v>
      </c>
      <c r="M55" s="33">
        <v>25.289871000000002</v>
      </c>
      <c r="N55" s="34">
        <v>1.2221139795421301</v>
      </c>
      <c r="O55" s="34">
        <v>1.2246984145589499</v>
      </c>
      <c r="P55" s="34">
        <v>1.22314537655783</v>
      </c>
      <c r="Q55" s="34">
        <v>1.2240162451171099</v>
      </c>
      <c r="R55" s="33">
        <v>25.1430584508953</v>
      </c>
      <c r="S55" s="33">
        <v>25.1116154048818</v>
      </c>
      <c r="T55" s="33">
        <v>25.129652040269601</v>
      </c>
      <c r="U55" s="15">
        <v>2.1124921421576798E-3</v>
      </c>
      <c r="V55" s="15">
        <v>8.6114385137889195E-4</v>
      </c>
      <c r="W55" s="15">
        <v>1.5791446933094699E-3</v>
      </c>
      <c r="X55" s="34">
        <v>1.2223558866958699</v>
      </c>
      <c r="Y55" s="34">
        <v>1.2232106064414101</v>
      </c>
      <c r="Z55" s="34">
        <v>1.22337739018332</v>
      </c>
      <c r="AA55" s="34">
        <v>1.2230616809966</v>
      </c>
      <c r="AB55" s="33">
        <v>25.307554681439299</v>
      </c>
      <c r="AC55" s="33">
        <v>25.3114381329666</v>
      </c>
      <c r="AD55" s="33">
        <v>25.3049222127493</v>
      </c>
      <c r="AE55" s="15">
        <v>6.9899533113409096E-4</v>
      </c>
      <c r="AF55" s="15">
        <v>8.5243384576864196E-4</v>
      </c>
      <c r="AG55" s="15">
        <v>5.9497083544098105E-4</v>
      </c>
      <c r="AI55" s="12"/>
      <c r="AJ55">
        <f t="shared" si="6"/>
        <v>0</v>
      </c>
      <c r="AK55">
        <f t="shared" si="7"/>
        <v>1</v>
      </c>
      <c r="AL55">
        <f t="shared" si="14"/>
        <v>1</v>
      </c>
      <c r="AM55">
        <f t="shared" si="4"/>
        <v>0</v>
      </c>
      <c r="AN55">
        <f t="shared" si="15"/>
        <v>1</v>
      </c>
      <c r="AO55" s="28">
        <f t="shared" si="8"/>
        <v>-7.27981860938614E-3</v>
      </c>
      <c r="AP55" s="28">
        <f t="shared" si="9"/>
        <v>8.3350353551436898E-3</v>
      </c>
      <c r="AQ55" s="28">
        <f t="shared" si="16"/>
        <v>1.0552167457575498E-3</v>
      </c>
      <c r="AR55" s="29">
        <f t="shared" si="17"/>
        <v>1.6274676428925498E-3</v>
      </c>
      <c r="AT55" s="12"/>
      <c r="AU55">
        <f t="shared" si="10"/>
        <v>0</v>
      </c>
      <c r="AV55">
        <f t="shared" si="11"/>
        <v>0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1.2864595705418199E-3</v>
      </c>
      <c r="BE55" s="29">
        <f t="shared" si="22"/>
        <v>1.0552167457575498E-3</v>
      </c>
      <c r="BF55" s="29">
        <f t="shared" si="23"/>
        <v>2.9139272134343698E-3</v>
      </c>
      <c r="BH55" s="29"/>
    </row>
    <row r="56" spans="1:60" x14ac:dyDescent="0.25">
      <c r="A56" s="1">
        <v>46104</v>
      </c>
      <c r="B56" s="33">
        <v>20.54</v>
      </c>
      <c r="C56" s="33">
        <v>25.21</v>
      </c>
      <c r="D56" s="15">
        <v>4.8697346956976E-4</v>
      </c>
      <c r="E56" s="15">
        <v>4.7713808214974998E-3</v>
      </c>
      <c r="F56" s="33">
        <v>7.9710000000000003E-2</v>
      </c>
      <c r="G56" s="33">
        <v>0.23916000000000001</v>
      </c>
      <c r="H56" s="33">
        <v>0</v>
      </c>
      <c r="I56" s="33">
        <v>0.19987099999999999</v>
      </c>
      <c r="J56" s="33">
        <v>0.23916000000000001</v>
      </c>
      <c r="K56" s="33">
        <v>0.19987099999999999</v>
      </c>
      <c r="L56" s="33">
        <v>20.779159999999901</v>
      </c>
      <c r="M56" s="33">
        <v>25.409870999999999</v>
      </c>
      <c r="N56" s="34">
        <v>1.2273612463485799</v>
      </c>
      <c r="O56" s="34">
        <v>1.2246984145589499</v>
      </c>
      <c r="P56" s="34">
        <v>1.2236168093627799</v>
      </c>
      <c r="Q56" s="34">
        <v>1.2240433659224199</v>
      </c>
      <c r="R56" s="33">
        <v>25.155305435040901</v>
      </c>
      <c r="S56" s="33">
        <v>25.123406034497901</v>
      </c>
      <c r="T56" s="33">
        <v>25.141293674705501</v>
      </c>
      <c r="U56" s="15">
        <v>-2.1719152097700299E-3</v>
      </c>
      <c r="V56" s="15">
        <v>-3.44081824609886E-3</v>
      </c>
      <c r="W56" s="15">
        <v>-2.7290805428492899E-3</v>
      </c>
      <c r="X56" s="34">
        <v>1.22285361872183</v>
      </c>
      <c r="Y56" s="34">
        <v>1.2232106064414101</v>
      </c>
      <c r="Z56" s="34">
        <v>1.22337473126785</v>
      </c>
      <c r="AA56" s="34">
        <v>1.2230889719626801</v>
      </c>
      <c r="AB56" s="33">
        <v>25.417288904943199</v>
      </c>
      <c r="AC56" s="33">
        <v>25.420754531001599</v>
      </c>
      <c r="AD56" s="33">
        <v>25.414194359297301</v>
      </c>
      <c r="AE56" s="15">
        <v>2.9188744796078701E-4</v>
      </c>
      <c r="AF56" s="15">
        <v>4.28227315885929E-4</v>
      </c>
      <c r="AG56" s="15">
        <v>1.7013040091079501E-4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1.6274676428925498E-3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1.2864595705418199E-3</v>
      </c>
      <c r="BE56" s="29">
        <f t="shared" si="22"/>
        <v>0</v>
      </c>
      <c r="BF56" s="29">
        <f t="shared" si="23"/>
        <v>2.9139272134343698E-3</v>
      </c>
      <c r="BH56" s="29"/>
    </row>
    <row r="57" spans="1:60" x14ac:dyDescent="0.25">
      <c r="A57" s="1">
        <v>46105</v>
      </c>
      <c r="B57" s="33">
        <v>20.47</v>
      </c>
      <c r="C57" s="33">
        <v>25.14</v>
      </c>
      <c r="D57" s="15">
        <v>-3.4138048272140801E-3</v>
      </c>
      <c r="E57" s="15">
        <v>-2.7805380377270701E-3</v>
      </c>
      <c r="F57" s="33">
        <v>0</v>
      </c>
      <c r="G57" s="33">
        <v>0.23916000000000001</v>
      </c>
      <c r="H57" s="33">
        <v>0</v>
      </c>
      <c r="I57" s="33">
        <v>0.19987099999999999</v>
      </c>
      <c r="J57" s="33">
        <v>0.23916000000000001</v>
      </c>
      <c r="K57" s="33">
        <v>0.19987099999999999</v>
      </c>
      <c r="L57" s="33">
        <v>20.709159999999901</v>
      </c>
      <c r="M57" s="33">
        <v>25.339870999999999</v>
      </c>
      <c r="N57" s="34">
        <v>1.22813873961895</v>
      </c>
      <c r="O57" s="34">
        <v>1.2246984145589499</v>
      </c>
      <c r="P57" s="34">
        <v>1.2241285250512901</v>
      </c>
      <c r="Q57" s="34">
        <v>1.2240455409986</v>
      </c>
      <c r="R57" s="33">
        <v>25.0695765460218</v>
      </c>
      <c r="S57" s="33">
        <v>25.047436087656099</v>
      </c>
      <c r="T57" s="33">
        <v>25.056167700431899</v>
      </c>
      <c r="U57" s="15">
        <v>-2.8051819992568699E-3</v>
      </c>
      <c r="V57" s="15">
        <v>-3.6887326597022001E-3</v>
      </c>
      <c r="W57" s="15">
        <v>-3.3401903512048298E-3</v>
      </c>
      <c r="X57" s="34">
        <v>1.22360689665829</v>
      </c>
      <c r="Y57" s="34">
        <v>1.2232106064414101</v>
      </c>
      <c r="Z57" s="34">
        <v>1.2234101292197199</v>
      </c>
      <c r="AA57" s="34">
        <v>1.2230909071488401</v>
      </c>
      <c r="AB57" s="33">
        <v>25.331664162492299</v>
      </c>
      <c r="AC57" s="33">
        <v>25.335063049783098</v>
      </c>
      <c r="AD57" s="33">
        <v>25.329145214610701</v>
      </c>
      <c r="AE57" s="15">
        <v>-3.23922989628433E-4</v>
      </c>
      <c r="AF57" s="15">
        <v>-1.89756546169228E-4</v>
      </c>
      <c r="AG57" s="15">
        <v>-4.2336663905413502E-4</v>
      </c>
      <c r="AI57" s="12"/>
      <c r="AJ57">
        <f t="shared" si="6"/>
        <v>0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1.6274676428925498E-3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1.2864595705418199E-3</v>
      </c>
      <c r="BE57" s="29">
        <f t="shared" si="22"/>
        <v>0</v>
      </c>
      <c r="BF57" s="29">
        <f t="shared" si="23"/>
        <v>2.9139272134343698E-3</v>
      </c>
      <c r="BH57" s="29"/>
    </row>
    <row r="58" spans="1:60" x14ac:dyDescent="0.25">
      <c r="A58" s="1">
        <v>46106</v>
      </c>
      <c r="B58" s="33">
        <v>20.53</v>
      </c>
      <c r="C58" s="33">
        <v>25.21</v>
      </c>
      <c r="D58" s="15">
        <v>2.9268313576440901E-3</v>
      </c>
      <c r="E58" s="15">
        <v>2.78053803772709E-3</v>
      </c>
      <c r="F58" s="33">
        <v>0</v>
      </c>
      <c r="G58" s="33">
        <v>0.23916000000000001</v>
      </c>
      <c r="H58" s="33">
        <v>0</v>
      </c>
      <c r="I58" s="33">
        <v>0.19987099999999999</v>
      </c>
      <c r="J58" s="33">
        <v>0.23916000000000001</v>
      </c>
      <c r="K58" s="33">
        <v>0.19987099999999999</v>
      </c>
      <c r="L58" s="33">
        <v>20.769159999999999</v>
      </c>
      <c r="M58" s="33">
        <v>25.409870999999999</v>
      </c>
      <c r="N58" s="34">
        <v>1.2279590842669199</v>
      </c>
      <c r="O58" s="34">
        <v>1.2246984145589499</v>
      </c>
      <c r="P58" s="34">
        <v>1.22463266650639</v>
      </c>
      <c r="Q58" s="34">
        <v>1.2240863523548</v>
      </c>
      <c r="R58" s="33">
        <v>25.1430584508953</v>
      </c>
      <c r="S58" s="33">
        <v>25.1313586193031</v>
      </c>
      <c r="T58" s="33">
        <v>25.129654956701302</v>
      </c>
      <c r="U58" s="15">
        <v>-2.6588886793399401E-3</v>
      </c>
      <c r="V58" s="15">
        <v>-3.1243274645222901E-3</v>
      </c>
      <c r="W58" s="15">
        <v>-3.1921200727961299E-3</v>
      </c>
      <c r="X58" s="34">
        <v>1.2234424021000301</v>
      </c>
      <c r="Y58" s="34">
        <v>1.2232106064414101</v>
      </c>
      <c r="Z58" s="34">
        <v>1.22343930142746</v>
      </c>
      <c r="AA58" s="34">
        <v>1.2231318778147</v>
      </c>
      <c r="AB58" s="33">
        <v>25.4050567988788</v>
      </c>
      <c r="AC58" s="33">
        <v>25.409200719385002</v>
      </c>
      <c r="AD58" s="33">
        <v>25.402570745119402</v>
      </c>
      <c r="AE58" s="15">
        <v>-1.8947979832461301E-4</v>
      </c>
      <c r="AF58" s="15">
        <v>-2.63790971492781E-5</v>
      </c>
      <c r="AG58" s="15">
        <v>-2.8734123691028998E-4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1.6274676428925498E-3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1.2864595705418199E-3</v>
      </c>
      <c r="BE58" s="29">
        <f t="shared" si="22"/>
        <v>0</v>
      </c>
      <c r="BF58" s="29">
        <f t="shared" si="23"/>
        <v>2.9139272134343698E-3</v>
      </c>
      <c r="BH58" s="29"/>
    </row>
    <row r="59" spans="1:60" x14ac:dyDescent="0.25">
      <c r="A59" s="1">
        <v>46107</v>
      </c>
      <c r="B59" s="33">
        <v>20.38</v>
      </c>
      <c r="C59" s="33">
        <v>25.03</v>
      </c>
      <c r="D59" s="15">
        <v>-7.3332032362635503E-3</v>
      </c>
      <c r="E59" s="15">
        <v>-7.1656357561455499E-3</v>
      </c>
      <c r="F59" s="33">
        <v>0</v>
      </c>
      <c r="G59" s="33">
        <v>0.23916000000000001</v>
      </c>
      <c r="H59" s="33">
        <v>0</v>
      </c>
      <c r="I59" s="33">
        <v>0.19987099999999999</v>
      </c>
      <c r="J59" s="33">
        <v>0.23916000000000001</v>
      </c>
      <c r="K59" s="33">
        <v>0.19987099999999999</v>
      </c>
      <c r="L59" s="33">
        <v>20.619159999999901</v>
      </c>
      <c r="M59" s="33">
        <v>25.229870999999999</v>
      </c>
      <c r="N59" s="34">
        <v>1.2281648675171699</v>
      </c>
      <c r="O59" s="34">
        <v>1.2246984145589499</v>
      </c>
      <c r="P59" s="34">
        <v>1.2251623315526801</v>
      </c>
      <c r="Q59" s="34">
        <v>1.2241958326478899</v>
      </c>
      <c r="R59" s="33">
        <v>24.959353688711499</v>
      </c>
      <c r="S59" s="33">
        <v>24.958013743400301</v>
      </c>
      <c r="T59" s="33">
        <v>24.946879860991</v>
      </c>
      <c r="U59" s="15">
        <v>-2.8264561594577801E-3</v>
      </c>
      <c r="V59" s="15">
        <v>-2.8801426970469098E-3</v>
      </c>
      <c r="W59" s="15">
        <v>-3.32634673797027E-3</v>
      </c>
      <c r="X59" s="34">
        <v>1.22361294058535</v>
      </c>
      <c r="Y59" s="34">
        <v>1.2232106064414101</v>
      </c>
      <c r="Z59" s="34">
        <v>1.2234902892038499</v>
      </c>
      <c r="AA59" s="34">
        <v>1.22323910225745</v>
      </c>
      <c r="AB59" s="33">
        <v>25.221575207912501</v>
      </c>
      <c r="AC59" s="33">
        <v>25.226290706421</v>
      </c>
      <c r="AD59" s="33">
        <v>25.219951889761798</v>
      </c>
      <c r="AE59" s="15">
        <v>-3.2886241270451398E-4</v>
      </c>
      <c r="AF59" s="15">
        <v>-1.41917001368466E-4</v>
      </c>
      <c r="AG59" s="15">
        <v>-3.9322676662692101E-4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1.6274676428925498E-3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1.2864595705418199E-3</v>
      </c>
      <c r="BE59" s="29">
        <f t="shared" si="22"/>
        <v>0</v>
      </c>
      <c r="BF59" s="29">
        <f t="shared" si="23"/>
        <v>2.9139272134343698E-3</v>
      </c>
      <c r="BH59" s="29"/>
    </row>
    <row r="60" spans="1:60" x14ac:dyDescent="0.25">
      <c r="A60" s="1">
        <v>46108</v>
      </c>
      <c r="B60" s="33">
        <v>20.39</v>
      </c>
      <c r="C60" s="33">
        <v>25.04</v>
      </c>
      <c r="D60" s="15">
        <v>4.9055679178502303E-4</v>
      </c>
      <c r="E60" s="15">
        <v>3.9944078821486597E-4</v>
      </c>
      <c r="F60" s="33">
        <v>0</v>
      </c>
      <c r="G60" s="33">
        <v>0.23916000000000001</v>
      </c>
      <c r="H60" s="33">
        <v>0</v>
      </c>
      <c r="I60" s="33">
        <v>0.19987099999999999</v>
      </c>
      <c r="J60" s="33">
        <v>0.23916000000000001</v>
      </c>
      <c r="K60" s="33">
        <v>0.19987099999999999</v>
      </c>
      <c r="L60" s="33">
        <v>20.629159999999999</v>
      </c>
      <c r="M60" s="33">
        <v>25.239871000000001</v>
      </c>
      <c r="N60" s="34">
        <v>1.2280529671407501</v>
      </c>
      <c r="O60" s="34">
        <v>1.2246984145589499</v>
      </c>
      <c r="P60" s="34">
        <v>1.2256266860617999</v>
      </c>
      <c r="Q60" s="34">
        <v>1.2242208087958999</v>
      </c>
      <c r="R60" s="33">
        <v>24.9716006728571</v>
      </c>
      <c r="S60" s="33">
        <v>24.981059940359302</v>
      </c>
      <c r="T60" s="33">
        <v>24.9613530276904</v>
      </c>
      <c r="U60" s="15">
        <v>-2.7353401558874702E-3</v>
      </c>
      <c r="V60" s="15">
        <v>-2.35661087503947E-3</v>
      </c>
      <c r="W60" s="15">
        <v>-3.1457963596991201E-3</v>
      </c>
      <c r="X60" s="34">
        <v>1.22350454405317</v>
      </c>
      <c r="Y60" s="34">
        <v>1.2232106064414101</v>
      </c>
      <c r="Z60" s="34">
        <v>1.2234766761278699</v>
      </c>
      <c r="AA60" s="34">
        <v>1.2232622722403399</v>
      </c>
      <c r="AB60" s="33">
        <v>25.233807313977</v>
      </c>
      <c r="AC60" s="33">
        <v>25.239576934432598</v>
      </c>
      <c r="AD60" s="33">
        <v>25.234395158725398</v>
      </c>
      <c r="AE60" s="15">
        <v>-2.4027121678947999E-4</v>
      </c>
      <c r="AF60" s="15">
        <v>-1.1650902668319799E-5</v>
      </c>
      <c r="AG60" s="15">
        <v>-2.16975568452997E-4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1.6274676428925498E-3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1.2864595705418199E-3</v>
      </c>
      <c r="BE60" s="29">
        <f t="shared" si="22"/>
        <v>0</v>
      </c>
      <c r="BF60" s="29">
        <f t="shared" si="23"/>
        <v>2.9139272134343698E-3</v>
      </c>
      <c r="BH60" s="29"/>
    </row>
    <row r="61" spans="1:60" x14ac:dyDescent="0.25">
      <c r="A61" s="1">
        <v>46111</v>
      </c>
      <c r="B61" s="33">
        <v>20.47</v>
      </c>
      <c r="C61" s="33">
        <v>25.13</v>
      </c>
      <c r="D61" s="15">
        <v>3.9158150868343596E-3</v>
      </c>
      <c r="E61" s="15">
        <v>3.5878053236030102E-3</v>
      </c>
      <c r="F61" s="33">
        <v>0</v>
      </c>
      <c r="G61" s="33">
        <v>0.23916000000000001</v>
      </c>
      <c r="H61" s="33">
        <v>0</v>
      </c>
      <c r="I61" s="33">
        <v>0.19987099999999999</v>
      </c>
      <c r="J61" s="33">
        <v>0.23916000000000001</v>
      </c>
      <c r="K61" s="33">
        <v>0.19987099999999999</v>
      </c>
      <c r="L61" s="33">
        <v>20.709159999999901</v>
      </c>
      <c r="M61" s="33">
        <v>25.329871000000001</v>
      </c>
      <c r="N61" s="34">
        <v>1.2276502198339001</v>
      </c>
      <c r="O61" s="34">
        <v>1.2246984145589499</v>
      </c>
      <c r="P61" s="34">
        <v>1.2259812530597201</v>
      </c>
      <c r="Q61" s="34">
        <v>1.2244498402833</v>
      </c>
      <c r="R61" s="33">
        <v>25.0695765460218</v>
      </c>
      <c r="S61" s="33">
        <v>25.0885782636852</v>
      </c>
      <c r="T61" s="33">
        <v>25.0597999560521</v>
      </c>
      <c r="U61" s="15">
        <v>-2.4073303926562301E-3</v>
      </c>
      <c r="V61" s="15">
        <v>-1.6496582396633699E-3</v>
      </c>
      <c r="W61" s="15">
        <v>-2.7973847191161698E-3</v>
      </c>
      <c r="X61" s="34">
        <v>1.2231240185502401</v>
      </c>
      <c r="Y61" s="34">
        <v>1.2232106064414101</v>
      </c>
      <c r="Z61" s="34">
        <v>1.22335610785159</v>
      </c>
      <c r="AA61" s="34">
        <v>1.2232535161798499</v>
      </c>
      <c r="AB61" s="33">
        <v>25.331664162492299</v>
      </c>
      <c r="AC61" s="33">
        <v>25.337174242200199</v>
      </c>
      <c r="AD61" s="33">
        <v>25.3327341177887</v>
      </c>
      <c r="AE61" s="15">
        <v>7.0789899568268497E-5</v>
      </c>
      <c r="AF61" s="15">
        <v>2.8828372429891698E-4</v>
      </c>
      <c r="AG61" s="15">
        <v>1.1302686804767799E-4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1.6274676428925498E-3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1.2864595705418199E-3</v>
      </c>
      <c r="BE61" s="29">
        <f t="shared" si="22"/>
        <v>0</v>
      </c>
      <c r="BF61" s="29">
        <f t="shared" si="23"/>
        <v>2.9139272134343698E-3</v>
      </c>
      <c r="BH61" s="29"/>
    </row>
    <row r="62" spans="1:60" x14ac:dyDescent="0.25">
      <c r="A62" s="1">
        <v>46112</v>
      </c>
      <c r="B62" s="33">
        <v>20.59</v>
      </c>
      <c r="C62" s="33">
        <v>25.27</v>
      </c>
      <c r="D62" s="15">
        <v>5.84512136650003E-3</v>
      </c>
      <c r="E62" s="15">
        <v>5.5555698446019602E-3</v>
      </c>
      <c r="F62" s="33">
        <v>0</v>
      </c>
      <c r="G62" s="33">
        <v>0.23916000000000001</v>
      </c>
      <c r="H62" s="33">
        <v>0</v>
      </c>
      <c r="I62" s="33">
        <v>0.19987099999999999</v>
      </c>
      <c r="J62" s="33">
        <v>0.23916000000000001</v>
      </c>
      <c r="K62" s="33">
        <v>0.19987099999999999</v>
      </c>
      <c r="L62" s="33">
        <v>20.829159999999899</v>
      </c>
      <c r="M62" s="33">
        <v>25.469871000000001</v>
      </c>
      <c r="N62" s="34">
        <v>1.2272948033025699</v>
      </c>
      <c r="O62" s="34">
        <v>1.2246984145589499</v>
      </c>
      <c r="P62" s="34">
        <v>1.22634928760684</v>
      </c>
      <c r="Q62" s="34">
        <v>1.22467962575124</v>
      </c>
      <c r="R62" s="33">
        <v>25.216540355768899</v>
      </c>
      <c r="S62" s="33">
        <v>25.242954000499601</v>
      </c>
      <c r="T62" s="33">
        <v>25.211422211433199</v>
      </c>
      <c r="U62" s="15">
        <v>-2.1177788707583398E-3</v>
      </c>
      <c r="V62" s="15">
        <v>-1.0708541054489499E-3</v>
      </c>
      <c r="W62" s="15">
        <v>-2.3207672166139599E-3</v>
      </c>
      <c r="X62" s="34">
        <v>1.2227987590474101</v>
      </c>
      <c r="Y62" s="34">
        <v>1.2232106064414101</v>
      </c>
      <c r="Z62" s="34">
        <v>1.22325174600738</v>
      </c>
      <c r="AA62" s="34">
        <v>1.2232468767248501</v>
      </c>
      <c r="AB62" s="33">
        <v>25.478449435265201</v>
      </c>
      <c r="AC62" s="33">
        <v>25.4814801074182</v>
      </c>
      <c r="AD62" s="33">
        <v>25.479343209072699</v>
      </c>
      <c r="AE62" s="15">
        <v>3.36750466867712E-4</v>
      </c>
      <c r="AF62" s="15">
        <v>4.5569380857566401E-4</v>
      </c>
      <c r="AG62" s="15">
        <v>3.71829451302983E-4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1.6274676428925498E-3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1.2864595705418199E-3</v>
      </c>
      <c r="BE62" s="29">
        <f t="shared" si="22"/>
        <v>0</v>
      </c>
      <c r="BF62" s="29">
        <f t="shared" si="23"/>
        <v>2.9139272134343698E-3</v>
      </c>
      <c r="BH62" s="29"/>
    </row>
    <row r="63" spans="1:60" x14ac:dyDescent="0.25">
      <c r="A63" s="1">
        <v>46113</v>
      </c>
      <c r="B63" s="33">
        <v>20.6</v>
      </c>
      <c r="C63" s="33">
        <v>25.19</v>
      </c>
      <c r="D63" s="15">
        <v>4.8555475583746002E-4</v>
      </c>
      <c r="E63" s="15">
        <v>-3.1708310355839302E-3</v>
      </c>
      <c r="F63" s="33">
        <v>0</v>
      </c>
      <c r="G63" s="33">
        <v>0.23916000000000001</v>
      </c>
      <c r="H63" s="33">
        <v>0.10116</v>
      </c>
      <c r="I63" s="33">
        <v>0.30103099999999999</v>
      </c>
      <c r="J63" s="33">
        <v>0.23916000000000001</v>
      </c>
      <c r="K63" s="33">
        <v>0.30103099999999999</v>
      </c>
      <c r="L63" s="33">
        <v>20.83916</v>
      </c>
      <c r="M63" s="33">
        <v>25.491031</v>
      </c>
      <c r="N63" s="34">
        <v>1.22281553398058</v>
      </c>
      <c r="O63" s="34">
        <v>1.2246984145589499</v>
      </c>
      <c r="P63" s="34">
        <v>1.2262955696870701</v>
      </c>
      <c r="Q63" s="34">
        <v>1.22470399023653</v>
      </c>
      <c r="R63" s="33">
        <v>25.228787339914501</v>
      </c>
      <c r="S63" s="33">
        <v>25.262795324700999</v>
      </c>
      <c r="T63" s="33">
        <v>25.228400290475701</v>
      </c>
      <c r="U63" s="15">
        <v>1.53860692066306E-3</v>
      </c>
      <c r="V63" s="15">
        <v>2.88568253740548E-3</v>
      </c>
      <c r="W63" s="15">
        <v>1.52326522379281E-3</v>
      </c>
      <c r="X63" s="34">
        <v>1.22322737576754</v>
      </c>
      <c r="Y63" s="34">
        <v>1.2232106064414101</v>
      </c>
      <c r="Z63" s="34">
        <v>1.22321609910762</v>
      </c>
      <c r="AA63" s="34">
        <v>1.22328006509187</v>
      </c>
      <c r="AB63" s="33">
        <v>25.4906815413297</v>
      </c>
      <c r="AC63" s="33">
        <v>25.4915388553271</v>
      </c>
      <c r="AD63" s="33">
        <v>25.4914373835696</v>
      </c>
      <c r="AE63" s="15">
        <v>-1.37091773848132E-5</v>
      </c>
      <c r="AF63" s="15">
        <v>1.9922704116854699E-5</v>
      </c>
      <c r="AG63" s="15">
        <v>1.5942090781585199E-5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1.6274676428925498E-3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1.2864595705418199E-3</v>
      </c>
      <c r="BE63" s="29">
        <f t="shared" si="22"/>
        <v>0</v>
      </c>
      <c r="BF63" s="29">
        <f t="shared" si="23"/>
        <v>2.9139272134343698E-3</v>
      </c>
      <c r="BH63" s="29"/>
    </row>
    <row r="64" spans="1:60" x14ac:dyDescent="0.25">
      <c r="A64" s="1">
        <v>46114</v>
      </c>
      <c r="B64" s="33">
        <v>20.64</v>
      </c>
      <c r="C64" s="33">
        <v>25.23</v>
      </c>
      <c r="D64" s="15">
        <v>1.9398648178264499E-3</v>
      </c>
      <c r="E64" s="15">
        <v>1.58667228844747E-3</v>
      </c>
      <c r="F64" s="33">
        <v>0</v>
      </c>
      <c r="G64" s="33">
        <v>0.23916000000000001</v>
      </c>
      <c r="H64" s="33">
        <v>0</v>
      </c>
      <c r="I64" s="33">
        <v>0.30103099999999999</v>
      </c>
      <c r="J64" s="33">
        <v>0.23916000000000001</v>
      </c>
      <c r="K64" s="33">
        <v>0.30103099999999999</v>
      </c>
      <c r="L64" s="33">
        <v>20.879159999999999</v>
      </c>
      <c r="M64" s="33">
        <v>25.531030999999999</v>
      </c>
      <c r="N64" s="34">
        <v>1.22238372093023</v>
      </c>
      <c r="O64" s="34">
        <v>1.2246984145589499</v>
      </c>
      <c r="P64" s="34">
        <v>1.2261935162481801</v>
      </c>
      <c r="Q64" s="34">
        <v>1.2246801825001701</v>
      </c>
      <c r="R64" s="33">
        <v>25.277775276496801</v>
      </c>
      <c r="S64" s="33">
        <v>25.310740558341202</v>
      </c>
      <c r="T64" s="33">
        <v>25.2778903584821</v>
      </c>
      <c r="U64" s="15">
        <v>1.891799450042E-3</v>
      </c>
      <c r="V64" s="15">
        <v>3.1950709916692098E-3</v>
      </c>
      <c r="W64" s="15">
        <v>1.89635213405241E-3</v>
      </c>
      <c r="X64" s="34">
        <v>1.2227997199120999</v>
      </c>
      <c r="Y64" s="34">
        <v>1.2232106064414101</v>
      </c>
      <c r="Z64" s="34">
        <v>1.22313261620918</v>
      </c>
      <c r="AA64" s="34">
        <v>1.22326546233456</v>
      </c>
      <c r="AB64" s="33">
        <v>25.539609965587299</v>
      </c>
      <c r="AC64" s="33">
        <v>25.539724647843801</v>
      </c>
      <c r="AD64" s="33">
        <v>25.541060203863498</v>
      </c>
      <c r="AE64" s="15">
        <v>3.35964675823495E-4</v>
      </c>
      <c r="AF64" s="15">
        <v>3.40455034102737E-4</v>
      </c>
      <c r="AG64" s="15">
        <v>3.9274694871899803E-4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1.6274676428925498E-3</v>
      </c>
      <c r="AT64" s="12"/>
      <c r="AU64">
        <f t="shared" si="10"/>
        <v>0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1.2864595705418199E-3</v>
      </c>
      <c r="BE64" s="29">
        <f t="shared" si="22"/>
        <v>0</v>
      </c>
      <c r="BF64" s="29">
        <f t="shared" si="23"/>
        <v>2.9139272134343698E-3</v>
      </c>
      <c r="BH64" s="29"/>
    </row>
    <row r="65" spans="1:60" x14ac:dyDescent="0.25">
      <c r="A65" s="1">
        <v>46118</v>
      </c>
      <c r="B65" s="33">
        <v>20.62</v>
      </c>
      <c r="C65" s="33">
        <v>25.2</v>
      </c>
      <c r="D65" s="15">
        <v>-9.69462024548119E-4</v>
      </c>
      <c r="E65" s="15">
        <v>-1.1897681355887901E-3</v>
      </c>
      <c r="F65" s="33">
        <v>0</v>
      </c>
      <c r="G65" s="33">
        <v>0.23916000000000001</v>
      </c>
      <c r="H65" s="33">
        <v>0</v>
      </c>
      <c r="I65" s="33">
        <v>0.30103099999999999</v>
      </c>
      <c r="J65" s="33">
        <v>0.23916000000000001</v>
      </c>
      <c r="K65" s="33">
        <v>0.30103099999999999</v>
      </c>
      <c r="L65" s="33">
        <v>20.859159999999999</v>
      </c>
      <c r="M65" s="33">
        <v>25.501030999999902</v>
      </c>
      <c r="N65" s="34">
        <v>1.22211445198836</v>
      </c>
      <c r="O65" s="34">
        <v>1.2246984145589499</v>
      </c>
      <c r="P65" s="34">
        <v>1.2261935634928001</v>
      </c>
      <c r="Q65" s="34">
        <v>1.22466947002531</v>
      </c>
      <c r="R65" s="33">
        <v>25.253281308205601</v>
      </c>
      <c r="S65" s="33">
        <v>25.284110305037501</v>
      </c>
      <c r="T65" s="33">
        <v>25.252905363153499</v>
      </c>
      <c r="U65" s="15">
        <v>2.1121055610826499E-3</v>
      </c>
      <c r="V65" s="15">
        <v>3.3321527250473899E-3</v>
      </c>
      <c r="W65" s="15">
        <v>2.0972184719180798E-3</v>
      </c>
      <c r="X65" s="34">
        <v>1.22253393712882</v>
      </c>
      <c r="Y65" s="34">
        <v>1.2232106064414101</v>
      </c>
      <c r="Z65" s="34">
        <v>1.22315042125248</v>
      </c>
      <c r="AA65" s="34">
        <v>1.2232639057179</v>
      </c>
      <c r="AB65" s="33">
        <v>25.515145753458501</v>
      </c>
      <c r="AC65" s="33">
        <v>25.513518942726002</v>
      </c>
      <c r="AD65" s="33">
        <v>25.516290001310601</v>
      </c>
      <c r="AE65" s="15">
        <v>5.5334424164672801E-4</v>
      </c>
      <c r="AF65" s="15">
        <v>4.8958357917527895E-4</v>
      </c>
      <c r="AG65" s="15">
        <v>5.9818906466334299E-4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1.6274676428925498E-3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1.2864595705418199E-3</v>
      </c>
      <c r="BE65" s="29">
        <f t="shared" si="22"/>
        <v>0</v>
      </c>
      <c r="BF65" s="29">
        <f t="shared" si="23"/>
        <v>2.9139272134343698E-3</v>
      </c>
      <c r="BH65" s="29"/>
    </row>
    <row r="66" spans="1:60" x14ac:dyDescent="0.25">
      <c r="A66" s="1">
        <v>46119</v>
      </c>
      <c r="B66" s="33">
        <v>20.66</v>
      </c>
      <c r="C66" s="33">
        <v>25.26</v>
      </c>
      <c r="D66" s="15">
        <v>1.93798510267849E-3</v>
      </c>
      <c r="E66" s="15">
        <v>2.3781224049674102E-3</v>
      </c>
      <c r="F66" s="33">
        <v>0</v>
      </c>
      <c r="G66" s="33">
        <v>0.23916000000000001</v>
      </c>
      <c r="H66" s="33">
        <v>0</v>
      </c>
      <c r="I66" s="33">
        <v>0.30103099999999999</v>
      </c>
      <c r="J66" s="33">
        <v>0.23916000000000001</v>
      </c>
      <c r="K66" s="33">
        <v>0.30103099999999999</v>
      </c>
      <c r="L66" s="33">
        <v>20.899159999999998</v>
      </c>
      <c r="M66" s="33">
        <v>25.561031</v>
      </c>
      <c r="N66" s="34">
        <v>1.2226524685382301</v>
      </c>
      <c r="O66" s="34">
        <v>1.2246984145589499</v>
      </c>
      <c r="P66" s="34">
        <v>1.22572268571177</v>
      </c>
      <c r="Q66" s="34">
        <v>1.2246697475372701</v>
      </c>
      <c r="R66" s="33">
        <v>25.302269244788</v>
      </c>
      <c r="S66" s="33">
        <v>25.333159021761301</v>
      </c>
      <c r="T66" s="33">
        <v>25.301671250723</v>
      </c>
      <c r="U66" s="15">
        <v>1.6719682587936901E-3</v>
      </c>
      <c r="V66" s="15">
        <v>2.89205395225741E-3</v>
      </c>
      <c r="W66" s="15">
        <v>1.64833397027326E-3</v>
      </c>
      <c r="X66" s="34">
        <v>1.22306499399975</v>
      </c>
      <c r="Y66" s="34">
        <v>1.2232106064414101</v>
      </c>
      <c r="Z66" s="34">
        <v>1.2231715587802701</v>
      </c>
      <c r="AA66" s="34">
        <v>1.2232731450240599</v>
      </c>
      <c r="AB66" s="33">
        <v>25.564074177716101</v>
      </c>
      <c r="AC66" s="33">
        <v>25.562816357822999</v>
      </c>
      <c r="AD66" s="33">
        <v>25.565188087823302</v>
      </c>
      <c r="AE66" s="15">
        <v>1.19048272241222E-4</v>
      </c>
      <c r="AF66" s="15">
        <v>6.9844423533294201E-5</v>
      </c>
      <c r="AG66" s="15">
        <v>1.6262058515855701E-4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1.6274676428925498E-3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1.2864595705418199E-3</v>
      </c>
      <c r="BE66" s="29">
        <f t="shared" si="22"/>
        <v>0</v>
      </c>
      <c r="BF66" s="29">
        <f t="shared" si="23"/>
        <v>2.9139272134343698E-3</v>
      </c>
      <c r="BH66" s="29"/>
    </row>
    <row r="67" spans="1:60" x14ac:dyDescent="0.25">
      <c r="A67" s="1">
        <v>46120</v>
      </c>
      <c r="B67" s="33">
        <v>20.71</v>
      </c>
      <c r="C67" s="33">
        <v>25.33</v>
      </c>
      <c r="D67" s="15">
        <v>2.4172117160004402E-3</v>
      </c>
      <c r="E67" s="15">
        <v>2.7673470912387699E-3</v>
      </c>
      <c r="F67" s="33">
        <v>0</v>
      </c>
      <c r="G67" s="33">
        <v>0.23916000000000001</v>
      </c>
      <c r="H67" s="33">
        <v>0</v>
      </c>
      <c r="I67" s="33">
        <v>0.30103099999999999</v>
      </c>
      <c r="J67" s="33">
        <v>0.23916000000000001</v>
      </c>
      <c r="K67" s="33">
        <v>0.30103099999999999</v>
      </c>
      <c r="L67" s="33">
        <v>20.949159999999999</v>
      </c>
      <c r="M67" s="33">
        <v>25.631030999999901</v>
      </c>
      <c r="N67" s="34">
        <v>1.2230806373732399</v>
      </c>
      <c r="O67" s="34">
        <v>1.2246984145589499</v>
      </c>
      <c r="P67" s="34">
        <v>1.2252168754871899</v>
      </c>
      <c r="Q67" s="34">
        <v>1.2246727002692399</v>
      </c>
      <c r="R67" s="33">
        <v>25.363504165515899</v>
      </c>
      <c r="S67" s="33">
        <v>25.384716821090699</v>
      </c>
      <c r="T67" s="33">
        <v>25.362910471496999</v>
      </c>
      <c r="U67" s="15">
        <v>1.32183288355542E-3</v>
      </c>
      <c r="V67" s="15">
        <v>2.1578289597847101E-3</v>
      </c>
      <c r="W67" s="15">
        <v>1.2984251965242799E-3</v>
      </c>
      <c r="X67" s="34">
        <v>1.22348729018251</v>
      </c>
      <c r="Y67" s="34">
        <v>1.2232106064414101</v>
      </c>
      <c r="Z67" s="34">
        <v>1.2231595981326899</v>
      </c>
      <c r="AA67" s="34">
        <v>1.2232848636761999</v>
      </c>
      <c r="AB67" s="33">
        <v>25.625234708038199</v>
      </c>
      <c r="AC67" s="33">
        <v>25.624416692337299</v>
      </c>
      <c r="AD67" s="33">
        <v>25.6265448388123</v>
      </c>
      <c r="AE67" s="15">
        <v>-2.26169109527632E-4</v>
      </c>
      <c r="AF67" s="15">
        <v>-2.5809189060383E-4</v>
      </c>
      <c r="AG67" s="15">
        <v>-1.75043830132307E-4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1.6274676428925498E-3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1.2864595705418199E-3</v>
      </c>
      <c r="BE67" s="29">
        <f t="shared" si="22"/>
        <v>0</v>
      </c>
      <c r="BF67" s="29">
        <f t="shared" si="23"/>
        <v>2.9139272134343698E-3</v>
      </c>
      <c r="BH67" s="29"/>
    </row>
    <row r="68" spans="1:60" x14ac:dyDescent="0.25">
      <c r="A68" s="1">
        <v>46121</v>
      </c>
      <c r="B68" s="33">
        <v>20.74</v>
      </c>
      <c r="C68" s="33">
        <v>25.35</v>
      </c>
      <c r="D68" s="15">
        <v>1.44752739388827E-3</v>
      </c>
      <c r="E68" s="15">
        <v>7.8926602360843297E-4</v>
      </c>
      <c r="F68" s="33">
        <v>0</v>
      </c>
      <c r="G68" s="33">
        <v>0.23916000000000001</v>
      </c>
      <c r="H68" s="33">
        <v>0</v>
      </c>
      <c r="I68" s="33">
        <v>0.30103099999999999</v>
      </c>
      <c r="J68" s="33">
        <v>0.23916000000000001</v>
      </c>
      <c r="K68" s="33">
        <v>0.30103099999999999</v>
      </c>
      <c r="L68" s="33">
        <v>20.979159999999901</v>
      </c>
      <c r="M68" s="33">
        <v>25.651031</v>
      </c>
      <c r="N68" s="34">
        <v>1.2222757955641199</v>
      </c>
      <c r="O68" s="34">
        <v>1.2246984145589499</v>
      </c>
      <c r="P68" s="34">
        <v>1.2246485466169099</v>
      </c>
      <c r="Q68" s="34">
        <v>1.22464060656165</v>
      </c>
      <c r="R68" s="33">
        <v>25.4002451179527</v>
      </c>
      <c r="S68" s="33">
        <v>25.4109979976045</v>
      </c>
      <c r="T68" s="33">
        <v>25.3997118035842</v>
      </c>
      <c r="U68" s="15">
        <v>1.9800942538353E-3</v>
      </c>
      <c r="V68" s="15">
        <v>2.40334230497355E-3</v>
      </c>
      <c r="W68" s="15">
        <v>1.95909760734645E-3</v>
      </c>
      <c r="X68" s="34">
        <v>1.22269104196736</v>
      </c>
      <c r="Y68" s="34">
        <v>1.2232106064414101</v>
      </c>
      <c r="Z68" s="34">
        <v>1.2230844621194299</v>
      </c>
      <c r="AA68" s="34">
        <v>1.22326188177344</v>
      </c>
      <c r="AB68" s="33">
        <v>25.6619310262314</v>
      </c>
      <c r="AC68" s="33">
        <v>25.6608609147615</v>
      </c>
      <c r="AD68" s="33">
        <v>25.6634888806413</v>
      </c>
      <c r="AE68" s="15">
        <v>4.2484495008772801E-4</v>
      </c>
      <c r="AF68" s="15">
        <v>3.8314373198871298E-4</v>
      </c>
      <c r="AG68" s="15">
        <v>4.8554993460411702E-4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1.6274676428925498E-3</v>
      </c>
      <c r="AT68" s="12"/>
      <c r="AU68">
        <f t="shared" si="10"/>
        <v>0</v>
      </c>
      <c r="AV68">
        <f t="shared" si="11"/>
        <v>0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1.2864595705418199E-3</v>
      </c>
      <c r="BE68" s="29">
        <f t="shared" si="22"/>
        <v>0</v>
      </c>
      <c r="BF68" s="29">
        <f t="shared" si="23"/>
        <v>2.9139272134343698E-3</v>
      </c>
      <c r="BH68" s="29"/>
    </row>
    <row r="69" spans="1:60" x14ac:dyDescent="0.25">
      <c r="A69" s="1">
        <v>46122</v>
      </c>
      <c r="B69" s="33">
        <v>20.7</v>
      </c>
      <c r="C69" s="33">
        <v>25.31</v>
      </c>
      <c r="D69" s="15">
        <v>-1.93050253005785E-3</v>
      </c>
      <c r="E69" s="15">
        <v>-1.5791554801595799E-3</v>
      </c>
      <c r="F69" s="33">
        <v>0</v>
      </c>
      <c r="G69" s="33">
        <v>0.23916000000000001</v>
      </c>
      <c r="H69" s="33">
        <v>0</v>
      </c>
      <c r="I69" s="33">
        <v>0.30103099999999999</v>
      </c>
      <c r="J69" s="33">
        <v>0.23916000000000001</v>
      </c>
      <c r="K69" s="33">
        <v>0.30103099999999999</v>
      </c>
      <c r="L69" s="33">
        <v>20.939159999999902</v>
      </c>
      <c r="M69" s="33">
        <v>25.611030999999901</v>
      </c>
      <c r="N69" s="34">
        <v>1.22270531400966</v>
      </c>
      <c r="O69" s="34">
        <v>1.2246984145589499</v>
      </c>
      <c r="P69" s="34">
        <v>1.2241025912661601</v>
      </c>
      <c r="Q69" s="34">
        <v>1.2246324614094199</v>
      </c>
      <c r="R69" s="33">
        <v>25.3512571813704</v>
      </c>
      <c r="S69" s="33">
        <v>25.350224914970202</v>
      </c>
      <c r="T69" s="33">
        <v>25.3500605558263</v>
      </c>
      <c r="U69" s="15">
        <v>1.62874720393704E-3</v>
      </c>
      <c r="V69" s="15">
        <v>1.58802782621378E-3</v>
      </c>
      <c r="W69" s="15">
        <v>1.5815442672994101E-3</v>
      </c>
      <c r="X69" s="34">
        <v>1.2231164478422201</v>
      </c>
      <c r="Y69" s="34">
        <v>1.2232106064414101</v>
      </c>
      <c r="Z69" s="34">
        <v>1.2230348128451101</v>
      </c>
      <c r="AA69" s="34">
        <v>1.2232625510244799</v>
      </c>
      <c r="AB69" s="33">
        <v>25.6130026019738</v>
      </c>
      <c r="AC69" s="33">
        <v>25.6103612458326</v>
      </c>
      <c r="AD69" s="33">
        <v>25.614076264355202</v>
      </c>
      <c r="AE69" s="15">
        <v>7.6979567448254193E-5</v>
      </c>
      <c r="AF69" s="15">
        <v>-2.6151345677391399E-5</v>
      </c>
      <c r="AG69" s="15">
        <v>1.18897334587533E-4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1.6274676428925498E-3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1.2864595705418199E-3</v>
      </c>
      <c r="BE69" s="29">
        <f t="shared" si="22"/>
        <v>0</v>
      </c>
      <c r="BF69" s="29">
        <f t="shared" si="23"/>
        <v>2.9139272134343698E-3</v>
      </c>
      <c r="BH69" s="29"/>
    </row>
    <row r="70" spans="1:60" x14ac:dyDescent="0.25">
      <c r="A70" s="1">
        <v>46125</v>
      </c>
      <c r="B70" s="33">
        <v>20.76</v>
      </c>
      <c r="C70" s="33">
        <v>25.37</v>
      </c>
      <c r="D70" s="15">
        <v>2.89435802636455E-3</v>
      </c>
      <c r="E70" s="15">
        <v>2.36779905415798E-3</v>
      </c>
      <c r="F70" s="33">
        <v>0</v>
      </c>
      <c r="G70" s="33">
        <v>0.23916000000000001</v>
      </c>
      <c r="H70" s="33">
        <v>0</v>
      </c>
      <c r="I70" s="33">
        <v>0.30103099999999999</v>
      </c>
      <c r="J70" s="33">
        <v>0.23916000000000001</v>
      </c>
      <c r="K70" s="33">
        <v>0.30103099999999999</v>
      </c>
      <c r="L70" s="33">
        <v>20.99916</v>
      </c>
      <c r="M70" s="33">
        <v>25.671030999999999</v>
      </c>
      <c r="N70" s="34">
        <v>1.22206165703275</v>
      </c>
      <c r="O70" s="34">
        <v>1.2246984145589499</v>
      </c>
      <c r="P70" s="34">
        <v>1.2235034602553601</v>
      </c>
      <c r="Q70" s="34">
        <v>1.22456507315858</v>
      </c>
      <c r="R70" s="33">
        <v>25.4247390862439</v>
      </c>
      <c r="S70" s="33">
        <v>25.412369794685599</v>
      </c>
      <c r="T70" s="33">
        <v>25.423369898859701</v>
      </c>
      <c r="U70" s="15">
        <v>2.15530617614369E-3</v>
      </c>
      <c r="V70" s="15">
        <v>1.6686816581625199E-3</v>
      </c>
      <c r="W70" s="15">
        <v>2.10145216222383E-3</v>
      </c>
      <c r="X70" s="34">
        <v>1.2224789467769099</v>
      </c>
      <c r="Y70" s="34">
        <v>1.2232106064414101</v>
      </c>
      <c r="Z70" s="34">
        <v>1.22293225311749</v>
      </c>
      <c r="AA70" s="34">
        <v>1.2232044646226801</v>
      </c>
      <c r="AB70" s="33">
        <v>25.686395238360301</v>
      </c>
      <c r="AC70" s="33">
        <v>25.682703720504598</v>
      </c>
      <c r="AD70" s="33">
        <v>25.6874860309713</v>
      </c>
      <c r="AE70" s="15">
        <v>5.9832588756992199E-4</v>
      </c>
      <c r="AF70" s="15">
        <v>4.5460065443009702E-4</v>
      </c>
      <c r="AG70" s="15">
        <v>6.4079075821127103E-4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1.6274676428925498E-3</v>
      </c>
      <c r="AT70" s="12"/>
      <c r="AU70">
        <f t="shared" si="10"/>
        <v>0</v>
      </c>
      <c r="AV70">
        <f t="shared" si="11"/>
        <v>0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1.2864595705418199E-3</v>
      </c>
      <c r="BE70" s="29">
        <f t="shared" si="22"/>
        <v>0</v>
      </c>
      <c r="BF70" s="29">
        <f t="shared" si="23"/>
        <v>2.9139272134343698E-3</v>
      </c>
      <c r="BH70" s="29"/>
    </row>
    <row r="71" spans="1:60" x14ac:dyDescent="0.25">
      <c r="A71" s="1">
        <v>46126</v>
      </c>
      <c r="B71" s="33">
        <v>20.82</v>
      </c>
      <c r="C71" s="33">
        <v>25.43</v>
      </c>
      <c r="D71" s="15">
        <v>2.8860048891348501E-3</v>
      </c>
      <c r="E71" s="15">
        <v>2.36220582283768E-3</v>
      </c>
      <c r="F71" s="33">
        <v>0</v>
      </c>
      <c r="G71" s="33">
        <v>0.23916000000000001</v>
      </c>
      <c r="H71" s="33">
        <v>0</v>
      </c>
      <c r="I71" s="33">
        <v>0.30103099999999999</v>
      </c>
      <c r="J71" s="33">
        <v>0.23916000000000001</v>
      </c>
      <c r="K71" s="33">
        <v>0.30103099999999999</v>
      </c>
      <c r="L71" s="33">
        <v>21.059159999999999</v>
      </c>
      <c r="M71" s="33">
        <v>25.731030999999899</v>
      </c>
      <c r="N71" s="34">
        <v>1.2214217098943301</v>
      </c>
      <c r="O71" s="34">
        <v>1.2246984145589499</v>
      </c>
      <c r="P71" s="34">
        <v>1.22288060926141</v>
      </c>
      <c r="Q71" s="34">
        <v>1.2244309311605599</v>
      </c>
      <c r="R71" s="33">
        <v>25.4982209911174</v>
      </c>
      <c r="S71" s="33">
        <v>25.473342042516698</v>
      </c>
      <c r="T71" s="33">
        <v>25.495444823161801</v>
      </c>
      <c r="U71" s="15">
        <v>2.6791052424408601E-3</v>
      </c>
      <c r="V71" s="15">
        <v>1.7029158106993899E-3</v>
      </c>
      <c r="W71" s="15">
        <v>2.5702223875189701E-3</v>
      </c>
      <c r="X71" s="34">
        <v>1.2218450783412</v>
      </c>
      <c r="Y71" s="34">
        <v>1.2232106064414101</v>
      </c>
      <c r="Z71" s="34">
        <v>1.22280435909658</v>
      </c>
      <c r="AA71" s="34">
        <v>1.22308023347409</v>
      </c>
      <c r="AB71" s="33">
        <v>25.759787874746799</v>
      </c>
      <c r="AC71" s="33">
        <v>25.753925987561701</v>
      </c>
      <c r="AD71" s="33">
        <v>25.7596585332033</v>
      </c>
      <c r="AE71" s="15">
        <v>1.1169710781479801E-3</v>
      </c>
      <c r="AF71" s="15">
        <v>8.8938557631275199E-4</v>
      </c>
      <c r="AG71" s="15">
        <v>1.1119500015465301E-3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1.6274676428925498E-3</v>
      </c>
      <c r="AT71" s="12"/>
      <c r="AU71">
        <f t="shared" si="10"/>
        <v>1</v>
      </c>
      <c r="AV71">
        <f t="shared" si="11"/>
        <v>0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1.2864595705418199E-3</v>
      </c>
      <c r="BE71" s="29">
        <f t="shared" si="22"/>
        <v>0</v>
      </c>
      <c r="BF71" s="29">
        <f t="shared" si="23"/>
        <v>2.9139272134343698E-3</v>
      </c>
      <c r="BH71" s="29"/>
    </row>
    <row r="72" spans="1:60" x14ac:dyDescent="0.25">
      <c r="A72" s="1">
        <v>46127</v>
      </c>
      <c r="B72" s="33">
        <v>20.8</v>
      </c>
      <c r="C72" s="33">
        <v>25.42</v>
      </c>
      <c r="D72" s="15">
        <v>-9.6107647955047805E-4</v>
      </c>
      <c r="E72" s="15">
        <v>-3.9331367272021401E-4</v>
      </c>
      <c r="F72" s="33">
        <v>0</v>
      </c>
      <c r="G72" s="33">
        <v>0.23916000000000001</v>
      </c>
      <c r="H72" s="33">
        <v>0</v>
      </c>
      <c r="I72" s="33">
        <v>0.30103099999999999</v>
      </c>
      <c r="J72" s="33">
        <v>0.23916000000000001</v>
      </c>
      <c r="K72" s="33">
        <v>0.30103099999999999</v>
      </c>
      <c r="L72" s="33">
        <v>21.039159999999999</v>
      </c>
      <c r="M72" s="33">
        <v>25.721031</v>
      </c>
      <c r="N72" s="34">
        <v>1.2221153846153801</v>
      </c>
      <c r="O72" s="34">
        <v>1.2246984145589499</v>
      </c>
      <c r="P72" s="34">
        <v>1.2223626673926899</v>
      </c>
      <c r="Q72" s="34">
        <v>1.2243559774997601</v>
      </c>
      <c r="R72" s="33">
        <v>25.4737270228262</v>
      </c>
      <c r="S72" s="33">
        <v>25.435916672637301</v>
      </c>
      <c r="T72" s="33">
        <v>25.468163368139699</v>
      </c>
      <c r="U72" s="15">
        <v>2.1113424356107098E-3</v>
      </c>
      <c r="V72" s="15">
        <v>6.2595167675445404E-4</v>
      </c>
      <c r="W72" s="15">
        <v>1.89291101636226E-3</v>
      </c>
      <c r="X72" s="34">
        <v>1.2225312702598301</v>
      </c>
      <c r="Y72" s="34">
        <v>1.2232106064414101</v>
      </c>
      <c r="Z72" s="34">
        <v>1.2227776102178201</v>
      </c>
      <c r="AA72" s="34">
        <v>1.2230146781125999</v>
      </c>
      <c r="AB72" s="33">
        <v>25.735323662617901</v>
      </c>
      <c r="AC72" s="33">
        <v>25.726776559730499</v>
      </c>
      <c r="AD72" s="33">
        <v>25.732580724898799</v>
      </c>
      <c r="AE72" s="15">
        <v>5.5552567138758601E-4</v>
      </c>
      <c r="AF72" s="15">
        <v>2.23354892150019E-4</v>
      </c>
      <c r="AG72" s="15">
        <v>4.4893739061640798E-4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1.6274676428925498E-3</v>
      </c>
      <c r="AT72" s="12"/>
      <c r="AU72">
        <f t="shared" si="10"/>
        <v>0</v>
      </c>
      <c r="AV72">
        <f t="shared" si="11"/>
        <v>0</v>
      </c>
      <c r="AW72">
        <f t="shared" si="18"/>
        <v>1</v>
      </c>
      <c r="AX72">
        <f t="shared" si="5"/>
        <v>1</v>
      </c>
      <c r="AY72">
        <f t="shared" si="19"/>
        <v>1</v>
      </c>
      <c r="AZ72" s="28">
        <f t="shared" si="12"/>
        <v>9.6107647955047805E-4</v>
      </c>
      <c r="BA72" s="28">
        <f t="shared" si="13"/>
        <v>-3.9331367272021401E-4</v>
      </c>
      <c r="BB72" s="28">
        <f t="shared" si="20"/>
        <v>5.6776280683026403E-4</v>
      </c>
      <c r="BC72" s="29">
        <f t="shared" si="21"/>
        <v>1.8542223773720841E-3</v>
      </c>
      <c r="BE72" s="29">
        <f t="shared" si="22"/>
        <v>5.6776280683026403E-4</v>
      </c>
      <c r="BF72" s="29">
        <f t="shared" si="23"/>
        <v>3.4816900202646337E-3</v>
      </c>
      <c r="BH72" s="29"/>
    </row>
    <row r="73" spans="1:60" x14ac:dyDescent="0.25">
      <c r="A73" s="1">
        <v>46128</v>
      </c>
      <c r="B73" s="33">
        <v>20.75</v>
      </c>
      <c r="C73" s="33">
        <v>25.37</v>
      </c>
      <c r="D73" s="15">
        <v>-2.4067400305649699E-3</v>
      </c>
      <c r="E73" s="15">
        <v>-1.96889215011747E-3</v>
      </c>
      <c r="F73" s="33">
        <v>0</v>
      </c>
      <c r="G73" s="33">
        <v>0.23916000000000001</v>
      </c>
      <c r="H73" s="33">
        <v>0</v>
      </c>
      <c r="I73" s="33">
        <v>0.30103099999999999</v>
      </c>
      <c r="J73" s="33">
        <v>0.23916000000000001</v>
      </c>
      <c r="K73" s="33">
        <v>0.30103099999999999</v>
      </c>
      <c r="L73" s="33">
        <v>20.989159999999998</v>
      </c>
      <c r="M73" s="33">
        <v>25.671030999999999</v>
      </c>
      <c r="N73" s="34">
        <v>1.22265060240963</v>
      </c>
      <c r="O73" s="34">
        <v>1.2246984145589499</v>
      </c>
      <c r="P73" s="34">
        <v>1.2223461742355901</v>
      </c>
      <c r="Q73" s="34">
        <v>1.2243208719613301</v>
      </c>
      <c r="R73" s="33">
        <v>25.412492102098302</v>
      </c>
      <c r="S73" s="33">
        <v>25.3640253483983</v>
      </c>
      <c r="T73" s="33">
        <v>25.4053865331202</v>
      </c>
      <c r="U73" s="15">
        <v>1.67349455516308E-3</v>
      </c>
      <c r="V73" s="15">
        <v>-2.35528389014035E-4</v>
      </c>
      <c r="W73" s="15">
        <v>1.39384616309002E-3</v>
      </c>
      <c r="X73" s="34">
        <v>1.2230613802553301</v>
      </c>
      <c r="Y73" s="34">
        <v>1.2232106064414101</v>
      </c>
      <c r="Z73" s="34">
        <v>1.2227610106666</v>
      </c>
      <c r="AA73" s="34">
        <v>1.22298855488711</v>
      </c>
      <c r="AB73" s="33">
        <v>25.674163132295899</v>
      </c>
      <c r="AC73" s="33">
        <v>25.665074905279599</v>
      </c>
      <c r="AD73" s="33">
        <v>25.670050761253901</v>
      </c>
      <c r="AE73" s="15">
        <v>1.22002939232259E-4</v>
      </c>
      <c r="AF73" s="15">
        <v>-2.3204310658288599E-4</v>
      </c>
      <c r="AG73" s="15">
        <v>-3.8185356152800002E-5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1.6274676428925498E-3</v>
      </c>
      <c r="AT73" s="12"/>
      <c r="AU73">
        <f t="shared" si="10"/>
        <v>0</v>
      </c>
      <c r="AV73">
        <f t="shared" si="11"/>
        <v>1</v>
      </c>
      <c r="AW73">
        <f t="shared" si="18"/>
        <v>1</v>
      </c>
      <c r="AX73">
        <f t="shared" si="5"/>
        <v>1</v>
      </c>
      <c r="AY73">
        <f t="shared" si="19"/>
        <v>1</v>
      </c>
      <c r="AZ73" s="28">
        <f t="shared" si="12"/>
        <v>2.4067400305649699E-3</v>
      </c>
      <c r="BA73" s="28">
        <f t="shared" si="13"/>
        <v>-1.96889215011747E-3</v>
      </c>
      <c r="BB73" s="28">
        <f t="shared" si="20"/>
        <v>4.3784788044749995E-4</v>
      </c>
      <c r="BC73" s="29">
        <f t="shared" si="21"/>
        <v>2.292070257819584E-3</v>
      </c>
      <c r="BE73" s="29">
        <f t="shared" si="22"/>
        <v>4.3784788044749995E-4</v>
      </c>
      <c r="BF73" s="29">
        <f t="shared" si="23"/>
        <v>3.9195379007121341E-3</v>
      </c>
      <c r="BH73" s="29"/>
    </row>
    <row r="74" spans="1:60" x14ac:dyDescent="0.25">
      <c r="A74" s="1">
        <v>46129</v>
      </c>
      <c r="B74" s="33">
        <v>20.84</v>
      </c>
      <c r="C74" s="33">
        <v>25.47</v>
      </c>
      <c r="D74" s="15">
        <v>4.3279702084589502E-3</v>
      </c>
      <c r="E74" s="15">
        <v>3.9339153801750699E-3</v>
      </c>
      <c r="F74" s="33">
        <v>0</v>
      </c>
      <c r="G74" s="33">
        <v>0.23916000000000001</v>
      </c>
      <c r="H74" s="33">
        <v>0</v>
      </c>
      <c r="I74" s="33">
        <v>0.30103099999999999</v>
      </c>
      <c r="J74" s="33">
        <v>0.23916000000000001</v>
      </c>
      <c r="K74" s="33">
        <v>0.30103099999999999</v>
      </c>
      <c r="L74" s="33">
        <v>21.079159999999899</v>
      </c>
      <c r="M74" s="33">
        <v>25.771030999999901</v>
      </c>
      <c r="N74" s="34">
        <v>1.22216890595009</v>
      </c>
      <c r="O74" s="34">
        <v>1.2246984145589499</v>
      </c>
      <c r="P74" s="34">
        <v>1.2223246927375799</v>
      </c>
      <c r="Q74" s="34">
        <v>1.2242591044928799</v>
      </c>
      <c r="R74" s="33">
        <v>25.522714959408599</v>
      </c>
      <c r="S74" s="33">
        <v>25.4736942710698</v>
      </c>
      <c r="T74" s="33">
        <v>25.514846971674199</v>
      </c>
      <c r="U74" s="15">
        <v>2.0675493834469401E-3</v>
      </c>
      <c r="V74" s="15">
        <v>1.4503349744040701E-4</v>
      </c>
      <c r="W74" s="15">
        <v>1.7592279237595499E-3</v>
      </c>
      <c r="X74" s="34">
        <v>1.2225833951637499</v>
      </c>
      <c r="Y74" s="34">
        <v>1.2232106064414101</v>
      </c>
      <c r="Z74" s="34">
        <v>1.2227393781917699</v>
      </c>
      <c r="AA74" s="34">
        <v>1.2229359972004801</v>
      </c>
      <c r="AB74" s="33">
        <v>25.7842520868756</v>
      </c>
      <c r="AC74" s="33">
        <v>25.774774985603099</v>
      </c>
      <c r="AD74" s="33">
        <v>25.779571426634199</v>
      </c>
      <c r="AE74" s="15">
        <v>5.12889712706555E-4</v>
      </c>
      <c r="AF74" s="15">
        <v>1.45268292468937E-4</v>
      </c>
      <c r="AG74" s="15">
        <v>3.3134149012419901E-4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1.6274676428925498E-3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2.292070257819584E-3</v>
      </c>
      <c r="BE74" s="29">
        <f t="shared" si="22"/>
        <v>0</v>
      </c>
      <c r="BF74" s="29">
        <f t="shared" si="23"/>
        <v>3.9195379007121341E-3</v>
      </c>
      <c r="BH74" s="29"/>
    </row>
    <row r="75" spans="1:60" x14ac:dyDescent="0.25">
      <c r="A75" s="1">
        <v>46132</v>
      </c>
      <c r="B75" s="33">
        <v>20.76</v>
      </c>
      <c r="C75" s="33">
        <v>25.47</v>
      </c>
      <c r="D75" s="15">
        <v>-3.84615858747816E-3</v>
      </c>
      <c r="E75" s="15">
        <v>0</v>
      </c>
      <c r="F75" s="33">
        <v>8.1210000000000004E-2</v>
      </c>
      <c r="G75" s="33">
        <v>0.32036999999999999</v>
      </c>
      <c r="H75" s="33">
        <v>0</v>
      </c>
      <c r="I75" s="33">
        <v>0.30103099999999999</v>
      </c>
      <c r="J75" s="33">
        <v>0.32036999999999999</v>
      </c>
      <c r="K75" s="33">
        <v>0.30103099999999999</v>
      </c>
      <c r="L75" s="33">
        <v>21.080369999999998</v>
      </c>
      <c r="M75" s="33">
        <v>25.771030999999901</v>
      </c>
      <c r="N75" s="34">
        <v>1.2268786127167599</v>
      </c>
      <c r="O75" s="34">
        <v>1.2246984145589499</v>
      </c>
      <c r="P75" s="34">
        <v>1.22280110881042</v>
      </c>
      <c r="Q75" s="34">
        <v>1.22449733615161</v>
      </c>
      <c r="R75" s="33">
        <v>25.4247390862439</v>
      </c>
      <c r="S75" s="33">
        <v>25.3754606212322</v>
      </c>
      <c r="T75" s="33">
        <v>25.415619009272199</v>
      </c>
      <c r="U75" s="15">
        <v>-1.7786092040313001E-3</v>
      </c>
      <c r="V75" s="15">
        <v>-3.7186992332928401E-3</v>
      </c>
      <c r="W75" s="15">
        <v>-2.1373823288142E-3</v>
      </c>
      <c r="X75" s="34">
        <v>1.22251321964462</v>
      </c>
      <c r="Y75" s="34">
        <v>1.2232106064414101</v>
      </c>
      <c r="Z75" s="34">
        <v>1.22273730644335</v>
      </c>
      <c r="AA75" s="34">
        <v>1.22294386384791</v>
      </c>
      <c r="AB75" s="33">
        <v>25.785732171709402</v>
      </c>
      <c r="AC75" s="33">
        <v>25.775798505852499</v>
      </c>
      <c r="AD75" s="33">
        <v>25.779943307305</v>
      </c>
      <c r="AE75" s="15">
        <v>5.7029073213615399E-4</v>
      </c>
      <c r="AF75" s="15">
        <v>1.8497765669842899E-4</v>
      </c>
      <c r="AG75" s="15">
        <v>3.4576678767563198E-4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1.6274676428925498E-3</v>
      </c>
      <c r="AT75" s="12"/>
      <c r="AU75">
        <f t="shared" si="10"/>
        <v>0</v>
      </c>
      <c r="AV75">
        <f t="shared" si="11"/>
        <v>0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2.292070257819584E-3</v>
      </c>
      <c r="BE75" s="29">
        <f t="shared" si="22"/>
        <v>0</v>
      </c>
      <c r="BF75" s="29">
        <f t="shared" si="23"/>
        <v>3.9195379007121341E-3</v>
      </c>
      <c r="BH75" s="29"/>
    </row>
    <row r="76" spans="1:60" x14ac:dyDescent="0.25">
      <c r="A76" s="1">
        <v>46133</v>
      </c>
      <c r="B76" s="33">
        <v>20.68</v>
      </c>
      <c r="C76" s="33">
        <v>25.38</v>
      </c>
      <c r="D76" s="15">
        <v>-3.8610086574595399E-3</v>
      </c>
      <c r="E76" s="15">
        <v>-3.5398267051240601E-3</v>
      </c>
      <c r="F76" s="33">
        <v>0</v>
      </c>
      <c r="G76" s="33">
        <v>0.32036999999999999</v>
      </c>
      <c r="H76" s="33">
        <v>0</v>
      </c>
      <c r="I76" s="33">
        <v>0.30103099999999999</v>
      </c>
      <c r="J76" s="33">
        <v>0.32036999999999999</v>
      </c>
      <c r="K76" s="33">
        <v>0.30103099999999999</v>
      </c>
      <c r="L76" s="33">
        <v>21.00037</v>
      </c>
      <c r="M76" s="33">
        <v>25.681030999999901</v>
      </c>
      <c r="N76" s="34">
        <v>1.22727272727272</v>
      </c>
      <c r="O76" s="34">
        <v>1.2246984145589499</v>
      </c>
      <c r="P76" s="34">
        <v>1.22326313468387</v>
      </c>
      <c r="Q76" s="34">
        <v>1.2244929101978199</v>
      </c>
      <c r="R76" s="33">
        <v>25.3267632130792</v>
      </c>
      <c r="S76" s="33">
        <v>25.287526930199501</v>
      </c>
      <c r="T76" s="33">
        <v>25.322604911615301</v>
      </c>
      <c r="U76" s="15">
        <v>-2.09979115636675E-3</v>
      </c>
      <c r="V76" s="15">
        <v>-3.6501948320121899E-3</v>
      </c>
      <c r="W76" s="15">
        <v>-2.2639906963463899E-3</v>
      </c>
      <c r="X76" s="34">
        <v>1.2228846920316101</v>
      </c>
      <c r="Y76" s="34">
        <v>1.2232106064414101</v>
      </c>
      <c r="Z76" s="34">
        <v>1.22271927624653</v>
      </c>
      <c r="AA76" s="34">
        <v>1.2229454175134</v>
      </c>
      <c r="AB76" s="33">
        <v>25.687875323194099</v>
      </c>
      <c r="AC76" s="33">
        <v>25.677935848113801</v>
      </c>
      <c r="AD76" s="33">
        <v>25.682273630035901</v>
      </c>
      <c r="AE76" s="15">
        <v>2.6647728069444402E-4</v>
      </c>
      <c r="AF76" s="15">
        <v>-1.2053014614085099E-4</v>
      </c>
      <c r="AG76" s="15">
        <v>4.8385906829717497E-5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1.6274676428925498E-3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2.292070257819584E-3</v>
      </c>
      <c r="BE76" s="29">
        <f t="shared" si="22"/>
        <v>0</v>
      </c>
      <c r="BF76" s="29">
        <f t="shared" si="23"/>
        <v>3.9195379007121341E-3</v>
      </c>
      <c r="BH76" s="29"/>
    </row>
    <row r="77" spans="1:60" x14ac:dyDescent="0.25">
      <c r="A77" s="1">
        <v>46134</v>
      </c>
      <c r="B77" s="33">
        <v>20.7</v>
      </c>
      <c r="C77" s="33">
        <v>25.41</v>
      </c>
      <c r="D77" s="15">
        <v>9.6665063109497402E-4</v>
      </c>
      <c r="E77" s="15">
        <v>1.18133504583117E-3</v>
      </c>
      <c r="F77" s="33">
        <v>0</v>
      </c>
      <c r="G77" s="33">
        <v>0.32036999999999999</v>
      </c>
      <c r="H77" s="33">
        <v>0</v>
      </c>
      <c r="I77" s="33">
        <v>0.30103099999999999</v>
      </c>
      <c r="J77" s="33">
        <v>0.32036999999999999</v>
      </c>
      <c r="K77" s="33">
        <v>0.30103099999999999</v>
      </c>
      <c r="L77" s="33">
        <v>21.02037</v>
      </c>
      <c r="M77" s="33">
        <v>25.711030999999998</v>
      </c>
      <c r="N77" s="34">
        <v>1.2275362318840499</v>
      </c>
      <c r="O77" s="34">
        <v>1.2246984145589499</v>
      </c>
      <c r="P77" s="34">
        <v>1.22370869413495</v>
      </c>
      <c r="Q77" s="34">
        <v>1.2244627848110701</v>
      </c>
      <c r="R77" s="33">
        <v>25.3512571813704</v>
      </c>
      <c r="S77" s="33">
        <v>25.321546887956099</v>
      </c>
      <c r="T77" s="33">
        <v>25.3470032410949</v>
      </c>
      <c r="U77" s="15">
        <v>-2.3144755711029799E-3</v>
      </c>
      <c r="V77" s="15">
        <v>-3.4871084010543001E-3</v>
      </c>
      <c r="W77" s="15">
        <v>-2.4822896242882898E-3</v>
      </c>
      <c r="X77" s="34">
        <v>1.22314835561885</v>
      </c>
      <c r="Y77" s="34">
        <v>1.2232106064414101</v>
      </c>
      <c r="Z77" s="34">
        <v>1.22268538279017</v>
      </c>
      <c r="AA77" s="34">
        <v>1.22292249046143</v>
      </c>
      <c r="AB77" s="33">
        <v>25.712339535322901</v>
      </c>
      <c r="AC77" s="33">
        <v>25.702011592834399</v>
      </c>
      <c r="AD77" s="33">
        <v>25.7067651659363</v>
      </c>
      <c r="AE77" s="15">
        <v>5.0892631486958102E-5</v>
      </c>
      <c r="AF77" s="15">
        <v>-3.5086066893485498E-4</v>
      </c>
      <c r="AG77" s="15">
        <v>-1.6592831243542901E-4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1.6274676428925498E-3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2.292070257819584E-3</v>
      </c>
      <c r="BE77" s="29">
        <f t="shared" si="22"/>
        <v>0</v>
      </c>
      <c r="BF77" s="29">
        <f t="shared" si="23"/>
        <v>3.9195379007121341E-3</v>
      </c>
      <c r="BH77" s="29"/>
    </row>
    <row r="78" spans="1:60" x14ac:dyDescent="0.25">
      <c r="A78" s="1">
        <v>46135</v>
      </c>
      <c r="B78" s="33">
        <v>20.66</v>
      </c>
      <c r="C78" s="33">
        <v>25.36</v>
      </c>
      <c r="D78" s="15">
        <v>-1.93423657983086E-3</v>
      </c>
      <c r="E78" s="15">
        <v>-1.9696677630475401E-3</v>
      </c>
      <c r="F78" s="33">
        <v>0</v>
      </c>
      <c r="G78" s="33">
        <v>0.32036999999999999</v>
      </c>
      <c r="H78" s="33">
        <v>0</v>
      </c>
      <c r="I78" s="33">
        <v>0.30103099999999999</v>
      </c>
      <c r="J78" s="33">
        <v>0.32036999999999999</v>
      </c>
      <c r="K78" s="33">
        <v>0.30103099999999999</v>
      </c>
      <c r="L78" s="33">
        <v>20.980370000000001</v>
      </c>
      <c r="M78" s="33">
        <v>25.661030999999898</v>
      </c>
      <c r="N78" s="34">
        <v>1.2274927395934101</v>
      </c>
      <c r="O78" s="34">
        <v>1.2246984145589499</v>
      </c>
      <c r="P78" s="34">
        <v>1.22423038853788</v>
      </c>
      <c r="Q78" s="34">
        <v>1.2244394675774</v>
      </c>
      <c r="R78" s="33">
        <v>25.302269244788</v>
      </c>
      <c r="S78" s="33">
        <v>25.281821620828101</v>
      </c>
      <c r="T78" s="33">
        <v>25.2974011341968</v>
      </c>
      <c r="U78" s="15">
        <v>-2.2790443878861902E-3</v>
      </c>
      <c r="V78" s="15">
        <v>-3.0875051004820202E-3</v>
      </c>
      <c r="W78" s="15">
        <v>-2.4714610803173E-3</v>
      </c>
      <c r="X78" s="34">
        <v>1.2230971617755</v>
      </c>
      <c r="Y78" s="34">
        <v>1.2232106064414101</v>
      </c>
      <c r="Z78" s="34">
        <v>1.2227259947709801</v>
      </c>
      <c r="AA78" s="34">
        <v>1.2229052284452</v>
      </c>
      <c r="AB78" s="33">
        <v>25.663411111065201</v>
      </c>
      <c r="AC78" s="33">
        <v>25.652391724529402</v>
      </c>
      <c r="AD78" s="33">
        <v>25.657366331202301</v>
      </c>
      <c r="AE78" s="15">
        <v>9.2747664430587506E-5</v>
      </c>
      <c r="AF78" s="15">
        <v>-3.3672575686582301E-4</v>
      </c>
      <c r="AG78" s="15">
        <v>-1.42820859356983E-4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1.6274676428925498E-3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2.292070257819584E-3</v>
      </c>
      <c r="BE78" s="29">
        <f t="shared" si="22"/>
        <v>0</v>
      </c>
      <c r="BF78" s="29">
        <f t="shared" si="23"/>
        <v>3.9195379007121341E-3</v>
      </c>
      <c r="BH78" s="29"/>
    </row>
    <row r="79" spans="1:60" x14ac:dyDescent="0.25">
      <c r="A79" s="1">
        <v>46136</v>
      </c>
      <c r="B79" s="33">
        <v>20.7</v>
      </c>
      <c r="C79" s="33">
        <v>25.39</v>
      </c>
      <c r="D79" s="15">
        <v>1.9342365798309599E-3</v>
      </c>
      <c r="E79" s="15">
        <v>1.1822661475619899E-3</v>
      </c>
      <c r="F79" s="33">
        <v>0</v>
      </c>
      <c r="G79" s="33">
        <v>0.32036999999999999</v>
      </c>
      <c r="H79" s="33">
        <v>0</v>
      </c>
      <c r="I79" s="33">
        <v>0.30103099999999999</v>
      </c>
      <c r="J79" s="33">
        <v>0.32036999999999999</v>
      </c>
      <c r="K79" s="33">
        <v>0.30103099999999999</v>
      </c>
      <c r="L79" s="33">
        <v>21.02037</v>
      </c>
      <c r="M79" s="33">
        <v>25.691030999999999</v>
      </c>
      <c r="N79" s="34">
        <v>1.2265700483091699</v>
      </c>
      <c r="O79" s="34">
        <v>1.2246984145589499</v>
      </c>
      <c r="P79" s="34">
        <v>1.2246168619678299</v>
      </c>
      <c r="Q79" s="34">
        <v>1.2243597266170001</v>
      </c>
      <c r="R79" s="33">
        <v>25.3512571813704</v>
      </c>
      <c r="S79" s="33">
        <v>25.3415690427341</v>
      </c>
      <c r="T79" s="33">
        <v>25.345896978852199</v>
      </c>
      <c r="U79" s="15">
        <v>-1.5270739556172701E-3</v>
      </c>
      <c r="V79" s="15">
        <v>-1.9093031377638201E-3</v>
      </c>
      <c r="W79" s="15">
        <v>-1.7385336569340701E-3</v>
      </c>
      <c r="X79" s="34">
        <v>1.22219689758077</v>
      </c>
      <c r="Y79" s="34">
        <v>1.2232106064414101</v>
      </c>
      <c r="Z79" s="34">
        <v>1.2226340397448401</v>
      </c>
      <c r="AA79" s="34">
        <v>1.22283442629498</v>
      </c>
      <c r="AB79" s="33">
        <v>25.712339535322901</v>
      </c>
      <c r="AC79" s="33">
        <v>25.702152818704199</v>
      </c>
      <c r="AD79" s="33">
        <v>25.705920376852799</v>
      </c>
      <c r="AE79" s="15">
        <v>8.2907156949403604E-4</v>
      </c>
      <c r="AF79" s="15">
        <v>4.3281299392114502E-4</v>
      </c>
      <c r="AG79" s="15">
        <v>5.7938756562296004E-4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1.6274676428925498E-3</v>
      </c>
      <c r="AT79" s="12"/>
      <c r="AU79">
        <f t="shared" si="10"/>
        <v>0</v>
      </c>
      <c r="AV79">
        <f t="shared" si="11"/>
        <v>0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2.292070257819584E-3</v>
      </c>
      <c r="BE79" s="29">
        <f t="shared" si="22"/>
        <v>0</v>
      </c>
      <c r="BF79" s="29">
        <f t="shared" si="23"/>
        <v>3.9195379007121341E-3</v>
      </c>
      <c r="BH79" s="29"/>
    </row>
    <row r="80" spans="1:60" x14ac:dyDescent="0.25">
      <c r="A80" s="1">
        <v>46139</v>
      </c>
      <c r="B80" s="33">
        <v>20.66</v>
      </c>
      <c r="C80" s="33">
        <v>25.35</v>
      </c>
      <c r="D80" s="15">
        <v>-1.93423657983086E-3</v>
      </c>
      <c r="E80" s="15">
        <v>-1.57666567939483E-3</v>
      </c>
      <c r="F80" s="33">
        <v>0</v>
      </c>
      <c r="G80" s="33">
        <v>0.32036999999999999</v>
      </c>
      <c r="H80" s="33">
        <v>0</v>
      </c>
      <c r="I80" s="33">
        <v>0.30103099999999999</v>
      </c>
      <c r="J80" s="33">
        <v>0.32036999999999999</v>
      </c>
      <c r="K80" s="33">
        <v>0.30103099999999999</v>
      </c>
      <c r="L80" s="33">
        <v>20.980370000000001</v>
      </c>
      <c r="M80" s="33">
        <v>25.651031</v>
      </c>
      <c r="N80" s="34">
        <v>1.2270087124878899</v>
      </c>
      <c r="O80" s="34">
        <v>1.2246984145589499</v>
      </c>
      <c r="P80" s="34">
        <v>1.2251115675133399</v>
      </c>
      <c r="Q80" s="34">
        <v>1.22430751388435</v>
      </c>
      <c r="R80" s="33">
        <v>25.302269244788</v>
      </c>
      <c r="S80" s="33">
        <v>25.3005843682554</v>
      </c>
      <c r="T80" s="33">
        <v>25.2952719519072</v>
      </c>
      <c r="U80" s="15">
        <v>-1.8846448560533499E-3</v>
      </c>
      <c r="V80" s="15">
        <v>-1.95123701095735E-3</v>
      </c>
      <c r="W80" s="15">
        <v>-2.1612311390977702E-3</v>
      </c>
      <c r="X80" s="34">
        <v>1.22262052575812</v>
      </c>
      <c r="Y80" s="34">
        <v>1.2232106064414101</v>
      </c>
      <c r="Z80" s="34">
        <v>1.22264819764296</v>
      </c>
      <c r="AA80" s="34">
        <v>1.2227902253802201</v>
      </c>
      <c r="AB80" s="33">
        <v>25.663411111065201</v>
      </c>
      <c r="AC80" s="33">
        <v>25.6513145284415</v>
      </c>
      <c r="AD80" s="33">
        <v>25.655518712406401</v>
      </c>
      <c r="AE80" s="15">
        <v>4.8251957134002601E-4</v>
      </c>
      <c r="AF80" s="15">
        <v>1.1053235036492201E-5</v>
      </c>
      <c r="AG80" s="15">
        <v>1.7493721339705999E-4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1.6274676428925498E-3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2.292070257819584E-3</v>
      </c>
      <c r="BE80" s="29">
        <f t="shared" si="22"/>
        <v>0</v>
      </c>
      <c r="BF80" s="29">
        <f t="shared" si="23"/>
        <v>3.9195379007121341E-3</v>
      </c>
      <c r="BH80" s="29"/>
    </row>
    <row r="81" spans="1:60" x14ac:dyDescent="0.25">
      <c r="A81" s="1">
        <v>46140</v>
      </c>
      <c r="B81" s="33">
        <v>20.63</v>
      </c>
      <c r="C81" s="33">
        <v>25.34</v>
      </c>
      <c r="D81" s="15">
        <v>-1.45313660833213E-3</v>
      </c>
      <c r="E81" s="15">
        <v>-3.9455514419919999E-4</v>
      </c>
      <c r="F81" s="33">
        <v>0</v>
      </c>
      <c r="G81" s="33">
        <v>0.32036999999999999</v>
      </c>
      <c r="H81" s="33">
        <v>0</v>
      </c>
      <c r="I81" s="33">
        <v>0.30103099999999999</v>
      </c>
      <c r="J81" s="33">
        <v>0.32036999999999999</v>
      </c>
      <c r="K81" s="33">
        <v>0.30103099999999999</v>
      </c>
      <c r="L81" s="33">
        <v>20.950369999999999</v>
      </c>
      <c r="M81" s="33">
        <v>25.641030999999899</v>
      </c>
      <c r="N81" s="34">
        <v>1.2283082888996599</v>
      </c>
      <c r="O81" s="34">
        <v>1.2246984145589499</v>
      </c>
      <c r="P81" s="34">
        <v>1.22580022541388</v>
      </c>
      <c r="Q81" s="34">
        <v>1.22434041733764</v>
      </c>
      <c r="R81" s="33">
        <v>25.265528292351199</v>
      </c>
      <c r="S81" s="33">
        <v>25.274051637800302</v>
      </c>
      <c r="T81" s="33">
        <v>25.257464011434301</v>
      </c>
      <c r="U81" s="15">
        <v>-2.9432263201860901E-3</v>
      </c>
      <c r="V81" s="15">
        <v>-2.6059324391641699E-3</v>
      </c>
      <c r="W81" s="15">
        <v>-3.26245844075978E-3</v>
      </c>
      <c r="X81" s="34">
        <v>1.2238939455484501</v>
      </c>
      <c r="Y81" s="34">
        <v>1.2232106064414101</v>
      </c>
      <c r="Z81" s="34">
        <v>1.22285308436368</v>
      </c>
      <c r="AA81" s="34">
        <v>1.2228287217301299</v>
      </c>
      <c r="AB81" s="33">
        <v>25.626714792872001</v>
      </c>
      <c r="AC81" s="33">
        <v>25.614932120453201</v>
      </c>
      <c r="AD81" s="33">
        <v>25.617907654099099</v>
      </c>
      <c r="AE81" s="15">
        <v>-5.5848788662955404E-4</v>
      </c>
      <c r="AF81" s="15">
        <v>-1.01837445688043E-3</v>
      </c>
      <c r="AG81" s="15">
        <v>-9.0221717719921903E-4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1.6274676428925498E-3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2.292070257819584E-3</v>
      </c>
      <c r="BE81" s="29">
        <f t="shared" si="22"/>
        <v>0</v>
      </c>
      <c r="BF81" s="29">
        <f t="shared" si="23"/>
        <v>3.9195379007121341E-3</v>
      </c>
      <c r="BH81" s="29"/>
    </row>
    <row r="82" spans="1:60" x14ac:dyDescent="0.25">
      <c r="A82" s="1">
        <v>46141</v>
      </c>
      <c r="B82" s="33">
        <v>20.53</v>
      </c>
      <c r="C82" s="33">
        <v>25.23</v>
      </c>
      <c r="D82" s="15">
        <v>-4.8590960523181102E-3</v>
      </c>
      <c r="E82" s="15">
        <v>-4.3504122400266102E-3</v>
      </c>
      <c r="F82" s="33">
        <v>0</v>
      </c>
      <c r="G82" s="33">
        <v>0.32036999999999999</v>
      </c>
      <c r="H82" s="33">
        <v>0</v>
      </c>
      <c r="I82" s="33">
        <v>0.30103099999999999</v>
      </c>
      <c r="J82" s="33">
        <v>0.32036999999999999</v>
      </c>
      <c r="K82" s="33">
        <v>0.30103099999999999</v>
      </c>
      <c r="L82" s="33">
        <v>20.850370000000002</v>
      </c>
      <c r="M82" s="33">
        <v>25.531030999999999</v>
      </c>
      <c r="N82" s="34">
        <v>1.2289332683877201</v>
      </c>
      <c r="O82" s="34">
        <v>1.2246984145589499</v>
      </c>
      <c r="P82" s="34">
        <v>1.2264820137911101</v>
      </c>
      <c r="Q82" s="34">
        <v>1.2244223405918999</v>
      </c>
      <c r="R82" s="33">
        <v>25.1430584508953</v>
      </c>
      <c r="S82" s="33">
        <v>25.165678627746999</v>
      </c>
      <c r="T82" s="33">
        <v>25.1357087679418</v>
      </c>
      <c r="U82" s="15">
        <v>-3.4519101324778198E-3</v>
      </c>
      <c r="V82" s="15">
        <v>-2.5526556614065398E-3</v>
      </c>
      <c r="W82" s="15">
        <v>-3.7442674599296099E-3</v>
      </c>
      <c r="X82" s="34">
        <v>1.2244881505699801</v>
      </c>
      <c r="Y82" s="34">
        <v>1.2232106064414101</v>
      </c>
      <c r="Z82" s="34">
        <v>1.2230487723946999</v>
      </c>
      <c r="AA82" s="34">
        <v>1.2229131913062601</v>
      </c>
      <c r="AB82" s="33">
        <v>25.5043937322279</v>
      </c>
      <c r="AC82" s="33">
        <v>25.4969392646241</v>
      </c>
      <c r="AD82" s="33">
        <v>25.4964312947004</v>
      </c>
      <c r="AE82" s="15">
        <v>-1.04387375360051E-3</v>
      </c>
      <c r="AF82" s="15">
        <v>-1.3361981780354399E-3</v>
      </c>
      <c r="AG82" s="15">
        <v>-1.35612115697001E-3</v>
      </c>
      <c r="AI82" s="12"/>
      <c r="AJ82">
        <f t="shared" si="6"/>
        <v>1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1.6274676428925498E-3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2.292070257819584E-3</v>
      </c>
      <c r="BE82" s="29">
        <f t="shared" si="22"/>
        <v>0</v>
      </c>
      <c r="BF82" s="29">
        <f t="shared" si="23"/>
        <v>3.9195379007121341E-3</v>
      </c>
      <c r="BH82" s="29"/>
    </row>
    <row r="83" spans="1:60" x14ac:dyDescent="0.25">
      <c r="A83" s="1">
        <v>46142</v>
      </c>
      <c r="B83" s="33">
        <v>20.6</v>
      </c>
      <c r="C83" s="33">
        <v>25.29</v>
      </c>
      <c r="D83" s="15">
        <v>3.4038447646932901E-3</v>
      </c>
      <c r="E83" s="15">
        <v>2.3752980289072599E-3</v>
      </c>
      <c r="F83" s="33">
        <v>0</v>
      </c>
      <c r="G83" s="33">
        <v>0.32036999999999999</v>
      </c>
      <c r="H83" s="33">
        <v>0</v>
      </c>
      <c r="I83" s="33">
        <v>0.30103099999999999</v>
      </c>
      <c r="J83" s="33">
        <v>0.32036999999999999</v>
      </c>
      <c r="K83" s="33">
        <v>0.30103099999999999</v>
      </c>
      <c r="L83" s="33">
        <v>20.920369999999998</v>
      </c>
      <c r="M83" s="33">
        <v>25.591030999999901</v>
      </c>
      <c r="N83" s="34">
        <v>1.2276699029126199</v>
      </c>
      <c r="O83" s="34">
        <v>1.2246984145589499</v>
      </c>
      <c r="P83" s="34">
        <v>1.2269839438414101</v>
      </c>
      <c r="Q83" s="34">
        <v>1.2246650590385</v>
      </c>
      <c r="R83" s="33">
        <v>25.228787339914501</v>
      </c>
      <c r="S83" s="33">
        <v>25.265529484097002</v>
      </c>
      <c r="T83" s="33">
        <v>25.223100216193199</v>
      </c>
      <c r="U83" s="15">
        <v>-2.4233633966918699E-3</v>
      </c>
      <c r="V83" s="15">
        <v>-9.6806494022542403E-4</v>
      </c>
      <c r="W83" s="15">
        <v>-2.6488108089037202E-3</v>
      </c>
      <c r="X83" s="34">
        <v>1.22325900545736</v>
      </c>
      <c r="Y83" s="34">
        <v>1.2232106064414101</v>
      </c>
      <c r="Z83" s="34">
        <v>1.2230685349149</v>
      </c>
      <c r="AA83" s="34">
        <v>1.2229147727907499</v>
      </c>
      <c r="AB83" s="33">
        <v>25.5900184746788</v>
      </c>
      <c r="AC83" s="33">
        <v>25.586632846542901</v>
      </c>
      <c r="AD83" s="33">
        <v>25.583796440007799</v>
      </c>
      <c r="AE83" s="15">
        <v>-3.9566414980220001E-5</v>
      </c>
      <c r="AF83" s="15">
        <v>-1.7187785206508599E-4</v>
      </c>
      <c r="AG83" s="15">
        <v>-2.82739010650588E-4</v>
      </c>
      <c r="AI83" s="12"/>
      <c r="AJ83">
        <f t="shared" si="6"/>
        <v>0</v>
      </c>
      <c r="AK83">
        <f t="shared" si="7"/>
        <v>0</v>
      </c>
      <c r="AL83">
        <f t="shared" si="14"/>
        <v>1</v>
      </c>
      <c r="AM83">
        <f t="shared" si="4"/>
        <v>0</v>
      </c>
      <c r="AN83">
        <f t="shared" si="15"/>
        <v>1</v>
      </c>
      <c r="AO83" s="28">
        <f t="shared" si="8"/>
        <v>3.4038447646932901E-3</v>
      </c>
      <c r="AP83" s="28">
        <f t="shared" si="9"/>
        <v>-2.3752980289072599E-3</v>
      </c>
      <c r="AQ83" s="28">
        <f t="shared" si="16"/>
        <v>1.0285467357860302E-3</v>
      </c>
      <c r="AR83" s="29">
        <f t="shared" si="17"/>
        <v>2.6560143786785798E-3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2.292070257819584E-3</v>
      </c>
      <c r="BE83" s="29">
        <f t="shared" si="22"/>
        <v>1.0285467357860302E-3</v>
      </c>
      <c r="BF83" s="29">
        <f t="shared" si="23"/>
        <v>4.9480846364981642E-3</v>
      </c>
      <c r="BH83" s="29"/>
    </row>
    <row r="84" spans="1:60" x14ac:dyDescent="0.25">
      <c r="A84" s="1">
        <v>46143</v>
      </c>
      <c r="B84" s="33">
        <v>20.61</v>
      </c>
      <c r="C84" s="33">
        <v>25.19</v>
      </c>
      <c r="D84" s="15">
        <v>4.8531910683206702E-4</v>
      </c>
      <c r="E84" s="15">
        <v>-3.9619703173548598E-3</v>
      </c>
      <c r="F84" s="33">
        <v>0</v>
      </c>
      <c r="G84" s="33">
        <v>0.32036999999999999</v>
      </c>
      <c r="H84" s="33">
        <v>0.100577</v>
      </c>
      <c r="I84" s="33">
        <v>0.40160799999999902</v>
      </c>
      <c r="J84" s="33">
        <v>0.32036999999999999</v>
      </c>
      <c r="K84" s="33">
        <v>0.40160799999999902</v>
      </c>
      <c r="L84" s="33">
        <v>20.93037</v>
      </c>
      <c r="M84" s="33">
        <v>25.591608000000001</v>
      </c>
      <c r="N84" s="34">
        <v>1.2222222222222201</v>
      </c>
      <c r="O84" s="34">
        <v>1.2246984145589499</v>
      </c>
      <c r="P84" s="34">
        <v>1.22698927546862</v>
      </c>
      <c r="Q84" s="34">
        <v>1.2246569841031001</v>
      </c>
      <c r="R84" s="33">
        <v>25.241034324059999</v>
      </c>
      <c r="S84" s="33">
        <v>25.288139082571501</v>
      </c>
      <c r="T84" s="33">
        <v>25.2403468667836</v>
      </c>
      <c r="U84" s="15">
        <v>2.0239260274953E-3</v>
      </c>
      <c r="V84" s="15">
        <v>3.8883844771860198E-3</v>
      </c>
      <c r="W84" s="15">
        <v>1.9966899550936698E-3</v>
      </c>
      <c r="X84" s="34">
        <v>1.22270213092267</v>
      </c>
      <c r="Y84" s="34">
        <v>1.2232106064414101</v>
      </c>
      <c r="Z84" s="34">
        <v>1.22308040849079</v>
      </c>
      <c r="AA84" s="34">
        <v>1.2229098933412801</v>
      </c>
      <c r="AB84" s="33">
        <v>25.602250580743199</v>
      </c>
      <c r="AC84" s="33">
        <v>25.599276971126901</v>
      </c>
      <c r="AD84" s="33">
        <v>25.596058672976401</v>
      </c>
      <c r="AE84" s="15">
        <v>4.1577568839633598E-4</v>
      </c>
      <c r="AF84" s="15">
        <v>2.9962252805812098E-4</v>
      </c>
      <c r="AG84" s="15">
        <v>1.73896302644154E-4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2.6560143786785798E-3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2.292070257819584E-3</v>
      </c>
      <c r="BE84" s="29">
        <f t="shared" si="22"/>
        <v>0</v>
      </c>
      <c r="BF84" s="29">
        <f t="shared" si="23"/>
        <v>4.9480846364981642E-3</v>
      </c>
      <c r="BH84" s="29"/>
    </row>
    <row r="85" spans="1:60" x14ac:dyDescent="0.25">
      <c r="A85" s="1">
        <v>46146</v>
      </c>
      <c r="B85" s="33">
        <v>20.55</v>
      </c>
      <c r="C85" s="33">
        <v>25.13</v>
      </c>
      <c r="D85" s="15">
        <v>-2.91545396012401E-3</v>
      </c>
      <c r="E85" s="15">
        <v>-2.3847388090181198E-3</v>
      </c>
      <c r="F85" s="33">
        <v>0</v>
      </c>
      <c r="G85" s="33">
        <v>0.32036999999999999</v>
      </c>
      <c r="H85" s="33">
        <v>0</v>
      </c>
      <c r="I85" s="33">
        <v>0.40160799999999902</v>
      </c>
      <c r="J85" s="33">
        <v>0.32036999999999999</v>
      </c>
      <c r="K85" s="33">
        <v>0.40160799999999902</v>
      </c>
      <c r="L85" s="33">
        <v>20.870370000000001</v>
      </c>
      <c r="M85" s="33">
        <v>25.531607999999999</v>
      </c>
      <c r="N85" s="34">
        <v>1.22287104622871</v>
      </c>
      <c r="O85" s="34">
        <v>1.2246984145589499</v>
      </c>
      <c r="P85" s="34">
        <v>1.22658851881982</v>
      </c>
      <c r="Q85" s="34">
        <v>1.2246948138151199</v>
      </c>
      <c r="R85" s="33">
        <v>25.167552419186499</v>
      </c>
      <c r="S85" s="33">
        <v>25.214629610880198</v>
      </c>
      <c r="T85" s="33">
        <v>25.166701023318801</v>
      </c>
      <c r="U85" s="15">
        <v>1.49321087638935E-3</v>
      </c>
      <c r="V85" s="15">
        <v>3.3620146279528299E-3</v>
      </c>
      <c r="W85" s="15">
        <v>1.45938119542321E-3</v>
      </c>
      <c r="X85" s="34">
        <v>1.2233423748596599</v>
      </c>
      <c r="Y85" s="34">
        <v>1.2232106064414101</v>
      </c>
      <c r="Z85" s="34">
        <v>1.2231633240123001</v>
      </c>
      <c r="AA85" s="34">
        <v>1.2229503152278201</v>
      </c>
      <c r="AB85" s="33">
        <v>25.528857944356702</v>
      </c>
      <c r="AC85" s="33">
        <v>25.526140664954099</v>
      </c>
      <c r="AD85" s="33">
        <v>25.522581950693102</v>
      </c>
      <c r="AE85" s="15">
        <v>-1.0771760872364199E-4</v>
      </c>
      <c r="AF85" s="15">
        <v>-2.1416279447259001E-4</v>
      </c>
      <c r="AG85" s="15">
        <v>-3.5358701840424302E-4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2.6560143786785798E-3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2.292070257819584E-3</v>
      </c>
      <c r="BE85" s="29">
        <f t="shared" si="22"/>
        <v>0</v>
      </c>
      <c r="BF85" s="29">
        <f t="shared" si="23"/>
        <v>4.9480846364981642E-3</v>
      </c>
      <c r="BH85" s="29"/>
    </row>
    <row r="86" spans="1:60" x14ac:dyDescent="0.25">
      <c r="A86" s="1">
        <v>46147</v>
      </c>
      <c r="B86" s="33">
        <v>20.59</v>
      </c>
      <c r="C86" s="33">
        <v>25.17</v>
      </c>
      <c r="D86" s="15">
        <v>1.9445800974543701E-3</v>
      </c>
      <c r="E86" s="15">
        <v>1.59045759172385E-3</v>
      </c>
      <c r="F86" s="33">
        <v>0</v>
      </c>
      <c r="G86" s="33">
        <v>0.32036999999999999</v>
      </c>
      <c r="H86" s="33">
        <v>0</v>
      </c>
      <c r="I86" s="33">
        <v>0.40160799999999902</v>
      </c>
      <c r="J86" s="33">
        <v>0.32036999999999999</v>
      </c>
      <c r="K86" s="33">
        <v>0.40160799999999902</v>
      </c>
      <c r="L86" s="33">
        <v>20.91037</v>
      </c>
      <c r="M86" s="33">
        <v>25.571608000000001</v>
      </c>
      <c r="N86" s="34">
        <v>1.2224380767362799</v>
      </c>
      <c r="O86" s="34">
        <v>1.2246984145589499</v>
      </c>
      <c r="P86" s="34">
        <v>1.22610505376617</v>
      </c>
      <c r="Q86" s="34">
        <v>1.2246840942250199</v>
      </c>
      <c r="R86" s="33">
        <v>25.216540355768899</v>
      </c>
      <c r="S86" s="33">
        <v>25.255457602500101</v>
      </c>
      <c r="T86" s="33">
        <v>25.216466216453298</v>
      </c>
      <c r="U86" s="15">
        <v>1.84733338212007E-3</v>
      </c>
      <c r="V86" s="15">
        <v>3.3894658919549699E-3</v>
      </c>
      <c r="W86" s="15">
        <v>1.84439327124566E-3</v>
      </c>
      <c r="X86" s="34">
        <v>1.2229151373218099</v>
      </c>
      <c r="Y86" s="34">
        <v>1.2232106064414101</v>
      </c>
      <c r="Z86" s="34">
        <v>1.2231663685413201</v>
      </c>
      <c r="AA86" s="34">
        <v>1.22294282239393</v>
      </c>
      <c r="AB86" s="33">
        <v>25.577786368614301</v>
      </c>
      <c r="AC86" s="33">
        <v>25.5767976755271</v>
      </c>
      <c r="AD86" s="33">
        <v>25.572343583030499</v>
      </c>
      <c r="AE86" s="15">
        <v>2.41581302015659E-4</v>
      </c>
      <c r="AF86" s="15">
        <v>2.0292619003114699E-4</v>
      </c>
      <c r="AG86" s="15">
        <v>2.8765201272727499E-5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2.6560143786785798E-3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2.292070257819584E-3</v>
      </c>
      <c r="BE86" s="29">
        <f t="shared" si="22"/>
        <v>0</v>
      </c>
      <c r="BF86" s="29">
        <f t="shared" si="23"/>
        <v>4.9480846364981642E-3</v>
      </c>
      <c r="BH86" s="29"/>
    </row>
    <row r="87" spans="1:60" x14ac:dyDescent="0.25">
      <c r="A87" s="1">
        <v>46148</v>
      </c>
      <c r="B87" s="33">
        <v>20.67</v>
      </c>
      <c r="C87" s="33">
        <v>25.27</v>
      </c>
      <c r="D87" s="15">
        <v>3.87785265397886E-3</v>
      </c>
      <c r="E87" s="15">
        <v>3.9651122528782798E-3</v>
      </c>
      <c r="F87" s="33">
        <v>0</v>
      </c>
      <c r="G87" s="33">
        <v>0.32036999999999999</v>
      </c>
      <c r="H87" s="33">
        <v>0</v>
      </c>
      <c r="I87" s="33">
        <v>0.40160799999999902</v>
      </c>
      <c r="J87" s="33">
        <v>0.32036999999999999</v>
      </c>
      <c r="K87" s="33">
        <v>0.40160799999999902</v>
      </c>
      <c r="L87" s="33">
        <v>20.990369999999999</v>
      </c>
      <c r="M87" s="33">
        <v>25.671607999999999</v>
      </c>
      <c r="N87" s="34">
        <v>1.2225447508466301</v>
      </c>
      <c r="O87" s="34">
        <v>1.2246984145589499</v>
      </c>
      <c r="P87" s="34">
        <v>1.22560590566243</v>
      </c>
      <c r="Q87" s="34">
        <v>1.22465729989869</v>
      </c>
      <c r="R87" s="33">
        <v>25.314516228933599</v>
      </c>
      <c r="S87" s="33">
        <v>25.343591461346801</v>
      </c>
      <c r="T87" s="33">
        <v>25.3142202276312</v>
      </c>
      <c r="U87" s="15">
        <v>1.7600737832205E-3</v>
      </c>
      <c r="V87" s="15">
        <v>2.9079743634657399E-3</v>
      </c>
      <c r="W87" s="15">
        <v>1.7483807676299699E-3</v>
      </c>
      <c r="X87" s="34">
        <v>1.2230183650883699</v>
      </c>
      <c r="Y87" s="34">
        <v>1.2232106064414101</v>
      </c>
      <c r="Z87" s="34">
        <v>1.2231533694882699</v>
      </c>
      <c r="AA87" s="34">
        <v>1.2229193761392201</v>
      </c>
      <c r="AB87" s="33">
        <v>25.6756432171297</v>
      </c>
      <c r="AC87" s="33">
        <v>25.674714647238702</v>
      </c>
      <c r="AD87" s="33">
        <v>25.670022330892898</v>
      </c>
      <c r="AE87" s="15">
        <v>1.5717363801828299E-4</v>
      </c>
      <c r="AF87" s="15">
        <v>1.21007584666625E-4</v>
      </c>
      <c r="AG87" s="15">
        <v>-6.1769332114009997E-5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2.6560143786785798E-3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2.292070257819584E-3</v>
      </c>
      <c r="BE87" s="29">
        <f t="shared" ref="BE87:BE150" si="42">AQ87+BB87</f>
        <v>0</v>
      </c>
      <c r="BF87" s="29">
        <f t="shared" ref="BF87:BF150" si="43">BF86+BE87</f>
        <v>4.9480846364981642E-3</v>
      </c>
      <c r="BH87" s="29"/>
    </row>
    <row r="88" spans="1:60" x14ac:dyDescent="0.25">
      <c r="A88" s="1">
        <v>46149</v>
      </c>
      <c r="B88" s="33">
        <v>20.61</v>
      </c>
      <c r="C88" s="33">
        <v>25.2</v>
      </c>
      <c r="D88" s="15">
        <v>-2.9069787913093802E-3</v>
      </c>
      <c r="E88" s="15">
        <v>-2.7739268827252001E-3</v>
      </c>
      <c r="F88" s="33">
        <v>0</v>
      </c>
      <c r="G88" s="33">
        <v>0.32036999999999999</v>
      </c>
      <c r="H88" s="33">
        <v>0</v>
      </c>
      <c r="I88" s="33">
        <v>0.40160799999999902</v>
      </c>
      <c r="J88" s="33">
        <v>0.32036999999999999</v>
      </c>
      <c r="K88" s="33">
        <v>0.40160799999999902</v>
      </c>
      <c r="L88" s="33">
        <v>20.93037</v>
      </c>
      <c r="M88" s="33">
        <v>25.601607999999999</v>
      </c>
      <c r="N88" s="34">
        <v>1.22270742358078</v>
      </c>
      <c r="O88" s="34">
        <v>1.2246984145589499</v>
      </c>
      <c r="P88" s="34">
        <v>1.2251273740611699</v>
      </c>
      <c r="Q88" s="34">
        <v>1.22467888129952</v>
      </c>
      <c r="R88" s="33">
        <v>25.241034324059999</v>
      </c>
      <c r="S88" s="33">
        <v>25.259737715702698</v>
      </c>
      <c r="T88" s="33">
        <v>25.240186950912101</v>
      </c>
      <c r="U88" s="15">
        <v>1.62702187463655E-3</v>
      </c>
      <c r="V88" s="15">
        <v>2.3677389663721801E-3</v>
      </c>
      <c r="W88" s="15">
        <v>1.59345005815999E-3</v>
      </c>
      <c r="X88" s="34">
        <v>1.2231799055630601</v>
      </c>
      <c r="Y88" s="34">
        <v>1.2232106064414101</v>
      </c>
      <c r="Z88" s="34">
        <v>1.2231616438670301</v>
      </c>
      <c r="AA88" s="34">
        <v>1.2229438193190001</v>
      </c>
      <c r="AB88" s="33">
        <v>25.602250580743199</v>
      </c>
      <c r="AC88" s="33">
        <v>25.601052590136199</v>
      </c>
      <c r="AD88" s="33">
        <v>25.596155022763099</v>
      </c>
      <c r="AE88" s="15">
        <v>2.50989187560064E-5</v>
      </c>
      <c r="AF88" s="15">
        <v>-2.1694570451157698E-5</v>
      </c>
      <c r="AG88" s="15">
        <v>-2.1301623100443301E-4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2.6560143786785798E-3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2.292070257819584E-3</v>
      </c>
      <c r="BE88" s="29">
        <f t="shared" si="42"/>
        <v>0</v>
      </c>
      <c r="BF88" s="29">
        <f t="shared" si="43"/>
        <v>4.9480846364981642E-3</v>
      </c>
      <c r="BH88" s="29"/>
    </row>
    <row r="89" spans="1:60" x14ac:dyDescent="0.25">
      <c r="A89" s="1">
        <v>46150</v>
      </c>
      <c r="B89" s="33">
        <v>20.66</v>
      </c>
      <c r="C89" s="33">
        <v>25.28</v>
      </c>
      <c r="D89" s="15">
        <v>2.4230687891248102E-3</v>
      </c>
      <c r="E89" s="15">
        <v>3.1695747612790299E-3</v>
      </c>
      <c r="F89" s="33">
        <v>0</v>
      </c>
      <c r="G89" s="33">
        <v>0.32036999999999999</v>
      </c>
      <c r="H89" s="33">
        <v>0</v>
      </c>
      <c r="I89" s="33">
        <v>0.40160799999999902</v>
      </c>
      <c r="J89" s="33">
        <v>0.32036999999999999</v>
      </c>
      <c r="K89" s="33">
        <v>0.40160799999999902</v>
      </c>
      <c r="L89" s="33">
        <v>20.980370000000001</v>
      </c>
      <c r="M89" s="33">
        <v>25.681608000000001</v>
      </c>
      <c r="N89" s="34">
        <v>1.22362052274927</v>
      </c>
      <c r="O89" s="34">
        <v>1.2246984145589499</v>
      </c>
      <c r="P89" s="34">
        <v>1.22483242150518</v>
      </c>
      <c r="Q89" s="34">
        <v>1.2247246417365001</v>
      </c>
      <c r="R89" s="33">
        <v>25.302269244788</v>
      </c>
      <c r="S89" s="33">
        <v>25.311131548103798</v>
      </c>
      <c r="T89" s="33">
        <v>25.301865687648199</v>
      </c>
      <c r="U89" s="15">
        <v>8.8051590248230396E-4</v>
      </c>
      <c r="V89" s="15">
        <v>1.2307118295495801E-3</v>
      </c>
      <c r="W89" s="15">
        <v>8.6456633075846997E-4</v>
      </c>
      <c r="X89" s="34">
        <v>1.2240779357084699</v>
      </c>
      <c r="Y89" s="34">
        <v>1.2232106064414101</v>
      </c>
      <c r="Z89" s="34">
        <v>1.2233497476798001</v>
      </c>
      <c r="AA89" s="34">
        <v>1.2229918937123201</v>
      </c>
      <c r="AB89" s="33">
        <v>25.663411111065201</v>
      </c>
      <c r="AC89" s="33">
        <v>25.662383858138501</v>
      </c>
      <c r="AD89" s="33">
        <v>25.657813818525899</v>
      </c>
      <c r="AE89" s="15">
        <v>-7.0880837174104995E-4</v>
      </c>
      <c r="AF89" s="15">
        <v>-7.4883709131666704E-4</v>
      </c>
      <c r="AG89" s="15">
        <v>-9.2693615685139499E-4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2.6560143786785798E-3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2.292070257819584E-3</v>
      </c>
      <c r="BE89" s="29">
        <f t="shared" si="42"/>
        <v>0</v>
      </c>
      <c r="BF89" s="29">
        <f t="shared" si="43"/>
        <v>4.9480846364981642E-3</v>
      </c>
      <c r="BH89" s="29"/>
    </row>
    <row r="90" spans="1:60" x14ac:dyDescent="0.25">
      <c r="A90" s="1">
        <v>46153</v>
      </c>
      <c r="B90" s="33">
        <v>20.63</v>
      </c>
      <c r="C90" s="33">
        <v>25.21</v>
      </c>
      <c r="D90" s="15">
        <v>-1.45313660833213E-3</v>
      </c>
      <c r="E90" s="15">
        <v>-2.7728280788281699E-3</v>
      </c>
      <c r="F90" s="33">
        <v>0</v>
      </c>
      <c r="G90" s="33">
        <v>0.32036999999999999</v>
      </c>
      <c r="H90" s="33">
        <v>0</v>
      </c>
      <c r="I90" s="33">
        <v>0.40160799999999902</v>
      </c>
      <c r="J90" s="33">
        <v>0.32036999999999999</v>
      </c>
      <c r="K90" s="33">
        <v>0.40160799999999902</v>
      </c>
      <c r="L90" s="33">
        <v>20.950369999999999</v>
      </c>
      <c r="M90" s="33">
        <v>25.611608</v>
      </c>
      <c r="N90" s="34">
        <v>1.2220067862336399</v>
      </c>
      <c r="O90" s="34">
        <v>1.2246984145589499</v>
      </c>
      <c r="P90" s="34">
        <v>1.22433222887975</v>
      </c>
      <c r="Q90" s="34">
        <v>1.22472189819655</v>
      </c>
      <c r="R90" s="33">
        <v>25.265528292351199</v>
      </c>
      <c r="S90" s="33">
        <v>25.2682928556519</v>
      </c>
      <c r="T90" s="33">
        <v>25.266069359024101</v>
      </c>
      <c r="U90" s="15">
        <v>2.2002073729783999E-3</v>
      </c>
      <c r="V90" s="15">
        <v>2.30962175093686E-3</v>
      </c>
      <c r="W90" s="15">
        <v>2.2216223567929302E-3</v>
      </c>
      <c r="X90" s="34">
        <v>1.2224895312111399</v>
      </c>
      <c r="Y90" s="34">
        <v>1.2232106064414101</v>
      </c>
      <c r="Z90" s="34">
        <v>1.2233366482251</v>
      </c>
      <c r="AA90" s="34">
        <v>1.2229924229340301</v>
      </c>
      <c r="AB90" s="33">
        <v>25.626714792872001</v>
      </c>
      <c r="AC90" s="33">
        <v>25.6296298532984</v>
      </c>
      <c r="AD90" s="33">
        <v>25.622132680273801</v>
      </c>
      <c r="AE90" s="15">
        <v>5.8966775203969505E-4</v>
      </c>
      <c r="AF90" s="15">
        <v>7.0341212650378395E-4</v>
      </c>
      <c r="AG90" s="15">
        <v>4.1084958006636898E-4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2.6560143786785798E-3</v>
      </c>
      <c r="AT90" s="12"/>
      <c r="AU90">
        <f t="shared" si="30"/>
        <v>0</v>
      </c>
      <c r="AV90">
        <f t="shared" si="31"/>
        <v>0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2.292070257819584E-3</v>
      </c>
      <c r="BE90" s="29">
        <f t="shared" si="42"/>
        <v>0</v>
      </c>
      <c r="BF90" s="29">
        <f t="shared" si="43"/>
        <v>4.9480846364981642E-3</v>
      </c>
      <c r="BH90" s="29"/>
    </row>
    <row r="91" spans="1:60" x14ac:dyDescent="0.25">
      <c r="A91" s="1">
        <v>46154</v>
      </c>
      <c r="B91" s="33">
        <v>20.57</v>
      </c>
      <c r="C91" s="33">
        <v>25.16</v>
      </c>
      <c r="D91" s="15">
        <v>-2.9126234182946099E-3</v>
      </c>
      <c r="E91" s="15">
        <v>-1.9853093675887301E-3</v>
      </c>
      <c r="F91" s="33">
        <v>0</v>
      </c>
      <c r="G91" s="33">
        <v>0.32036999999999999</v>
      </c>
      <c r="H91" s="33">
        <v>0</v>
      </c>
      <c r="I91" s="33">
        <v>0.40160799999999902</v>
      </c>
      <c r="J91" s="33">
        <v>0.32036999999999999</v>
      </c>
      <c r="K91" s="33">
        <v>0.40160799999999902</v>
      </c>
      <c r="L91" s="33">
        <v>20.890370000000001</v>
      </c>
      <c r="M91" s="33">
        <v>25.561608</v>
      </c>
      <c r="N91" s="34">
        <v>1.2231404958677601</v>
      </c>
      <c r="O91" s="34">
        <v>1.2246984145589499</v>
      </c>
      <c r="P91" s="34">
        <v>1.2238154495765601</v>
      </c>
      <c r="Q91" s="34">
        <v>1.22480783749522</v>
      </c>
      <c r="R91" s="33">
        <v>25.192046387477699</v>
      </c>
      <c r="S91" s="33">
        <v>25.184513948056502</v>
      </c>
      <c r="T91" s="33">
        <v>25.192529445902998</v>
      </c>
      <c r="U91" s="15">
        <v>1.27289332227256E-3</v>
      </c>
      <c r="V91" s="15">
        <v>9.7384791595163595E-4</v>
      </c>
      <c r="W91" s="15">
        <v>1.2920681755831001E-3</v>
      </c>
      <c r="X91" s="34">
        <v>1.22360724103977</v>
      </c>
      <c r="Y91" s="34">
        <v>1.2232106064414101</v>
      </c>
      <c r="Z91" s="34">
        <v>1.2233079777742299</v>
      </c>
      <c r="AA91" s="34">
        <v>1.2230805310689601</v>
      </c>
      <c r="AB91" s="33">
        <v>25.5533221564855</v>
      </c>
      <c r="AC91" s="33">
        <v>25.555955215982198</v>
      </c>
      <c r="AD91" s="33">
        <v>25.548764222288401</v>
      </c>
      <c r="AE91" s="15">
        <v>-3.2420443739792401E-4</v>
      </c>
      <c r="AF91" s="15">
        <v>-2.2116797770416899E-4</v>
      </c>
      <c r="AG91" s="15">
        <v>-5.0258988238470904E-4</v>
      </c>
      <c r="AI91" s="12"/>
      <c r="AJ91">
        <f t="shared" si="26"/>
        <v>0</v>
      </c>
      <c r="AK91">
        <f t="shared" si="27"/>
        <v>0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2.6560143786785798E-3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2.292070257819584E-3</v>
      </c>
      <c r="BE91" s="29">
        <f t="shared" si="42"/>
        <v>0</v>
      </c>
      <c r="BF91" s="29">
        <f t="shared" si="43"/>
        <v>4.9480846364981642E-3</v>
      </c>
      <c r="BH91" s="29"/>
    </row>
    <row r="92" spans="1:60" x14ac:dyDescent="0.25">
      <c r="A92" s="1">
        <v>46155</v>
      </c>
      <c r="B92" s="33">
        <v>20.59</v>
      </c>
      <c r="C92" s="33">
        <v>25.18</v>
      </c>
      <c r="D92" s="15">
        <v>9.7181737483226303E-4</v>
      </c>
      <c r="E92" s="15">
        <v>7.9459678396138903E-4</v>
      </c>
      <c r="F92" s="33">
        <v>0</v>
      </c>
      <c r="G92" s="33">
        <v>0.32036999999999999</v>
      </c>
      <c r="H92" s="33">
        <v>0</v>
      </c>
      <c r="I92" s="33">
        <v>0.40160799999999902</v>
      </c>
      <c r="J92" s="33">
        <v>0.32036999999999999</v>
      </c>
      <c r="K92" s="33">
        <v>0.40160799999999902</v>
      </c>
      <c r="L92" s="33">
        <v>20.91037</v>
      </c>
      <c r="M92" s="33">
        <v>25.581607999999999</v>
      </c>
      <c r="N92" s="34">
        <v>1.2229237493928999</v>
      </c>
      <c r="O92" s="34">
        <v>1.2246984145589499</v>
      </c>
      <c r="P92" s="34">
        <v>1.22321449767708</v>
      </c>
      <c r="Q92" s="34">
        <v>1.2248482557341001</v>
      </c>
      <c r="R92" s="33">
        <v>25.216540355768899</v>
      </c>
      <c r="S92" s="33">
        <v>25.1983601067815</v>
      </c>
      <c r="T92" s="33">
        <v>25.2187933740266</v>
      </c>
      <c r="U92" s="15">
        <v>1.45011391314344E-3</v>
      </c>
      <c r="V92" s="15">
        <v>7.2888865598063897E-4</v>
      </c>
      <c r="W92" s="15">
        <v>1.5394567643803199E-3</v>
      </c>
      <c r="X92" s="34">
        <v>1.2233933689360801</v>
      </c>
      <c r="Y92" s="34">
        <v>1.2232106064414101</v>
      </c>
      <c r="Z92" s="34">
        <v>1.22319849961084</v>
      </c>
      <c r="AA92" s="34">
        <v>1.22312363600277</v>
      </c>
      <c r="AB92" s="33">
        <v>25.577786368614301</v>
      </c>
      <c r="AC92" s="33">
        <v>25.579822439210901</v>
      </c>
      <c r="AD92" s="33">
        <v>25.575066444448399</v>
      </c>
      <c r="AE92" s="15">
        <v>-1.4940096300508301E-4</v>
      </c>
      <c r="AF92" s="15">
        <v>-6.9801050299004699E-5</v>
      </c>
      <c r="AG92" s="15">
        <v>-2.5574592790557002E-4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2.6560143786785798E-3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2.292070257819584E-3</v>
      </c>
      <c r="BE92" s="29">
        <f t="shared" si="42"/>
        <v>0</v>
      </c>
      <c r="BF92" s="29">
        <f t="shared" si="43"/>
        <v>4.9480846364981642E-3</v>
      </c>
      <c r="BH92" s="29"/>
    </row>
    <row r="93" spans="1:60" x14ac:dyDescent="0.25">
      <c r="A93" s="1">
        <v>46156</v>
      </c>
      <c r="B93" s="33">
        <v>20.57</v>
      </c>
      <c r="C93" s="33">
        <v>25.15</v>
      </c>
      <c r="D93" s="15">
        <v>-9.7181737483223603E-4</v>
      </c>
      <c r="E93" s="15">
        <v>-1.1921320704529001E-3</v>
      </c>
      <c r="F93" s="33">
        <v>0</v>
      </c>
      <c r="G93" s="33">
        <v>0.32036999999999999</v>
      </c>
      <c r="H93" s="33">
        <v>0</v>
      </c>
      <c r="I93" s="33">
        <v>0.40160799999999902</v>
      </c>
      <c r="J93" s="33">
        <v>0.32036999999999999</v>
      </c>
      <c r="K93" s="33">
        <v>0.40160799999999902</v>
      </c>
      <c r="L93" s="33">
        <v>20.890370000000001</v>
      </c>
      <c r="M93" s="33">
        <v>25.551607999999899</v>
      </c>
      <c r="N93" s="34">
        <v>1.2226543509965899</v>
      </c>
      <c r="O93" s="34">
        <v>1.2246984145589499</v>
      </c>
      <c r="P93" s="34">
        <v>1.2227129424854799</v>
      </c>
      <c r="Q93" s="34">
        <v>1.2248484431634401</v>
      </c>
      <c r="R93" s="33">
        <v>25.192046387477699</v>
      </c>
      <c r="S93" s="33">
        <v>25.161522217217598</v>
      </c>
      <c r="T93" s="33">
        <v>25.195128620450401</v>
      </c>
      <c r="U93" s="15">
        <v>1.6704286087641401E-3</v>
      </c>
      <c r="V93" s="15">
        <v>4.5803493558936901E-4</v>
      </c>
      <c r="W93" s="15">
        <v>1.79277057280834E-3</v>
      </c>
      <c r="X93" s="34">
        <v>1.2231285515766299</v>
      </c>
      <c r="Y93" s="34">
        <v>1.2232106064414101</v>
      </c>
      <c r="Z93" s="34">
        <v>1.22318545422277</v>
      </c>
      <c r="AA93" s="34">
        <v>1.2231269945688299</v>
      </c>
      <c r="AB93" s="33">
        <v>25.5533221564855</v>
      </c>
      <c r="AC93" s="33">
        <v>25.553069240315299</v>
      </c>
      <c r="AD93" s="33">
        <v>25.551505311843201</v>
      </c>
      <c r="AE93" s="15">
        <v>6.70838011504938E-5</v>
      </c>
      <c r="AF93" s="15">
        <v>5.7186167476926198E-5</v>
      </c>
      <c r="AG93" s="15">
        <v>-4.0188610862125098E-6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2.6560143786785798E-3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2.292070257819584E-3</v>
      </c>
      <c r="BE93" s="29">
        <f t="shared" si="42"/>
        <v>0</v>
      </c>
      <c r="BF93" s="29">
        <f t="shared" si="43"/>
        <v>4.9480846364981642E-3</v>
      </c>
      <c r="BH93" s="29"/>
    </row>
    <row r="94" spans="1:60" x14ac:dyDescent="0.25">
      <c r="A94" s="1">
        <v>46157</v>
      </c>
      <c r="B94" s="33">
        <v>20.48</v>
      </c>
      <c r="C94" s="33">
        <v>25.04</v>
      </c>
      <c r="D94" s="15">
        <v>-4.3849034935587996E-3</v>
      </c>
      <c r="E94" s="15">
        <v>-4.3833503138503999E-3</v>
      </c>
      <c r="F94" s="33">
        <v>0</v>
      </c>
      <c r="G94" s="33">
        <v>0.32036999999999999</v>
      </c>
      <c r="H94" s="33">
        <v>0</v>
      </c>
      <c r="I94" s="33">
        <v>0.40160799999999902</v>
      </c>
      <c r="J94" s="33">
        <v>0.32036999999999999</v>
      </c>
      <c r="K94" s="33">
        <v>0.40160799999999902</v>
      </c>
      <c r="L94" s="33">
        <v>20.800370000000001</v>
      </c>
      <c r="M94" s="33">
        <v>25.441607999999999</v>
      </c>
      <c r="N94" s="34">
        <v>1.22265625</v>
      </c>
      <c r="O94" s="34">
        <v>1.2246984145589499</v>
      </c>
      <c r="P94" s="34">
        <v>1.2227563452632599</v>
      </c>
      <c r="Q94" s="34">
        <v>1.2248728103659401</v>
      </c>
      <c r="R94" s="33">
        <v>25.081823530167402</v>
      </c>
      <c r="S94" s="33">
        <v>25.041161062102599</v>
      </c>
      <c r="T94" s="33">
        <v>25.084896115987402</v>
      </c>
      <c r="U94" s="15">
        <v>1.66887542905564E-3</v>
      </c>
      <c r="V94" s="15">
        <v>4.6367219859577001E-5</v>
      </c>
      <c r="W94" s="15">
        <v>1.79137041559298E-3</v>
      </c>
      <c r="X94" s="34">
        <v>1.2231324731242701</v>
      </c>
      <c r="Y94" s="34">
        <v>1.2232106064414101</v>
      </c>
      <c r="Z94" s="34">
        <v>1.2232284884429301</v>
      </c>
      <c r="AA94" s="34">
        <v>1.2231544484668599</v>
      </c>
      <c r="AB94" s="33">
        <v>25.443233201905802</v>
      </c>
      <c r="AC94" s="33">
        <v>25.4427100264516</v>
      </c>
      <c r="AD94" s="33">
        <v>25.441494044019802</v>
      </c>
      <c r="AE94" s="15">
        <v>6.3877644815433401E-5</v>
      </c>
      <c r="AF94" s="15">
        <v>4.3314973830934097E-5</v>
      </c>
      <c r="AG94" s="15">
        <v>-4.4791286531735296E-6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2.6560143786785798E-3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2.292070257819584E-3</v>
      </c>
      <c r="BE94" s="29">
        <f t="shared" si="42"/>
        <v>0</v>
      </c>
      <c r="BF94" s="29">
        <f t="shared" si="43"/>
        <v>4.9480846364981642E-3</v>
      </c>
      <c r="BH94" s="29"/>
    </row>
    <row r="95" spans="1:60" x14ac:dyDescent="0.25">
      <c r="A95" s="1">
        <v>46160</v>
      </c>
      <c r="B95" s="33">
        <v>20.37</v>
      </c>
      <c r="C95" s="33">
        <v>25.01</v>
      </c>
      <c r="D95" s="15">
        <v>-5.3855699325925802E-3</v>
      </c>
      <c r="E95" s="15">
        <v>-1.1988013423700099E-3</v>
      </c>
      <c r="F95" s="33">
        <v>8.4110000000000004E-2</v>
      </c>
      <c r="G95" s="33">
        <v>0.40448000000000001</v>
      </c>
      <c r="H95" s="33">
        <v>0</v>
      </c>
      <c r="I95" s="33">
        <v>0.40160799999999902</v>
      </c>
      <c r="J95" s="33">
        <v>0.40448000000000001</v>
      </c>
      <c r="K95" s="33">
        <v>0.40160799999999902</v>
      </c>
      <c r="L95" s="33">
        <v>20.774480000000001</v>
      </c>
      <c r="M95" s="33">
        <v>25.411608000000001</v>
      </c>
      <c r="N95" s="34">
        <v>1.22778595974472</v>
      </c>
      <c r="O95" s="34">
        <v>1.2246984145589499</v>
      </c>
      <c r="P95" s="34">
        <v>1.22324783661486</v>
      </c>
      <c r="Q95" s="34">
        <v>1.2249181777173399</v>
      </c>
      <c r="R95" s="33">
        <v>24.947106704565901</v>
      </c>
      <c r="S95" s="33">
        <v>24.9075467530126</v>
      </c>
      <c r="T95" s="33">
        <v>24.950659147154202</v>
      </c>
      <c r="U95" s="15">
        <v>-2.51789316116685E-3</v>
      </c>
      <c r="V95" s="15">
        <v>-4.1049048887676701E-3</v>
      </c>
      <c r="W95" s="15">
        <v>-2.3755043173501701E-3</v>
      </c>
      <c r="X95" s="34">
        <v>1.2232127109800099</v>
      </c>
      <c r="Y95" s="34">
        <v>1.2232106064414101</v>
      </c>
      <c r="Z95" s="34">
        <v>1.2232155220549601</v>
      </c>
      <c r="AA95" s="34">
        <v>1.22318942303363</v>
      </c>
      <c r="AB95" s="33">
        <v>25.411564279305001</v>
      </c>
      <c r="AC95" s="33">
        <v>25.411935768587799</v>
      </c>
      <c r="AD95" s="33">
        <v>25.410397626585901</v>
      </c>
      <c r="AE95" s="15">
        <v>-1.7205023995743301E-6</v>
      </c>
      <c r="AF95" s="15">
        <v>1.2898297268981299E-5</v>
      </c>
      <c r="AG95" s="15">
        <v>-4.76318633785751E-5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2.6560143786785798E-3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2.292070257819584E-3</v>
      </c>
      <c r="BE95" s="29">
        <f t="shared" si="42"/>
        <v>0</v>
      </c>
      <c r="BF95" s="29">
        <f t="shared" si="43"/>
        <v>4.9480846364981642E-3</v>
      </c>
      <c r="BH95" s="29"/>
    </row>
    <row r="96" spans="1:60" x14ac:dyDescent="0.25">
      <c r="A96" s="1">
        <v>46161</v>
      </c>
      <c r="B96" s="33">
        <v>20.3</v>
      </c>
      <c r="C96" s="33">
        <v>24.92</v>
      </c>
      <c r="D96" s="15">
        <v>-3.4423441909727901E-3</v>
      </c>
      <c r="E96" s="15">
        <v>-3.6050509702752801E-3</v>
      </c>
      <c r="F96" s="33">
        <v>0</v>
      </c>
      <c r="G96" s="33">
        <v>0.40448000000000001</v>
      </c>
      <c r="H96" s="33">
        <v>0</v>
      </c>
      <c r="I96" s="33">
        <v>0.40160799999999902</v>
      </c>
      <c r="J96" s="33">
        <v>0.40448000000000001</v>
      </c>
      <c r="K96" s="33">
        <v>0.40160799999999902</v>
      </c>
      <c r="L96" s="33">
        <v>20.70448</v>
      </c>
      <c r="M96" s="33">
        <v>25.321608000000001</v>
      </c>
      <c r="N96" s="34">
        <v>1.22758620689655</v>
      </c>
      <c r="O96" s="34">
        <v>1.2246984145589499</v>
      </c>
      <c r="P96" s="34">
        <v>1.22376264963088</v>
      </c>
      <c r="Q96" s="34">
        <v>1.22493385169853</v>
      </c>
      <c r="R96" s="33">
        <v>24.861377815546799</v>
      </c>
      <c r="S96" s="33">
        <v>24.831931083281599</v>
      </c>
      <c r="T96" s="33">
        <v>24.865839007662</v>
      </c>
      <c r="U96" s="15">
        <v>-2.35518638186436E-3</v>
      </c>
      <c r="V96" s="15">
        <v>-3.5403252411706E-3</v>
      </c>
      <c r="W96" s="15">
        <v>-2.1757598057480102E-3</v>
      </c>
      <c r="X96" s="34">
        <v>1.2230013987310899</v>
      </c>
      <c r="Y96" s="34">
        <v>1.2232106064414101</v>
      </c>
      <c r="Z96" s="34">
        <v>1.2232241481958901</v>
      </c>
      <c r="AA96" s="34">
        <v>1.2231952583686001</v>
      </c>
      <c r="AB96" s="33">
        <v>25.325939536854101</v>
      </c>
      <c r="AC96" s="33">
        <v>25.326041312076502</v>
      </c>
      <c r="AD96" s="33">
        <v>25.325500945411399</v>
      </c>
      <c r="AE96" s="15">
        <v>1.7104626286517299E-4</v>
      </c>
      <c r="AF96" s="15">
        <v>1.7506487065495601E-4</v>
      </c>
      <c r="AG96" s="15">
        <v>1.5372823839848601E-4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2.6560143786785798E-3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2.292070257819584E-3</v>
      </c>
      <c r="BE96" s="29">
        <f t="shared" si="42"/>
        <v>0</v>
      </c>
      <c r="BF96" s="29">
        <f t="shared" si="43"/>
        <v>4.9480846364981642E-3</v>
      </c>
      <c r="BH96" s="29"/>
    </row>
    <row r="97" spans="1:60" x14ac:dyDescent="0.25">
      <c r="A97" s="1">
        <v>46162</v>
      </c>
      <c r="B97" s="33">
        <v>20.41</v>
      </c>
      <c r="C97" s="33">
        <v>25.06</v>
      </c>
      <c r="D97" s="15">
        <v>5.4040907740118002E-3</v>
      </c>
      <c r="E97" s="15">
        <v>5.6022555486697498E-3</v>
      </c>
      <c r="F97" s="33">
        <v>0</v>
      </c>
      <c r="G97" s="33">
        <v>0.40448000000000001</v>
      </c>
      <c r="H97" s="33">
        <v>0</v>
      </c>
      <c r="I97" s="33">
        <v>0.40160799999999902</v>
      </c>
      <c r="J97" s="33">
        <v>0.40448000000000001</v>
      </c>
      <c r="K97" s="33">
        <v>0.40160799999999902</v>
      </c>
      <c r="L97" s="33">
        <v>20.81448</v>
      </c>
      <c r="M97" s="33">
        <v>25.461607999999998</v>
      </c>
      <c r="N97" s="34">
        <v>1.2278294953454101</v>
      </c>
      <c r="O97" s="34">
        <v>1.2246984145589499</v>
      </c>
      <c r="P97" s="34">
        <v>1.2242911240807599</v>
      </c>
      <c r="Q97" s="34">
        <v>1.2249485148715999</v>
      </c>
      <c r="R97" s="33">
        <v>24.9960946411483</v>
      </c>
      <c r="S97" s="33">
        <v>24.9769956789664</v>
      </c>
      <c r="T97" s="33">
        <v>25.000899913167</v>
      </c>
      <c r="U97" s="15">
        <v>-2.55335115652233E-3</v>
      </c>
      <c r="V97" s="15">
        <v>-3.3177210599811902E-3</v>
      </c>
      <c r="W97" s="15">
        <v>-2.36112872089845E-3</v>
      </c>
      <c r="X97" s="34">
        <v>1.22326418916062</v>
      </c>
      <c r="Y97" s="34">
        <v>1.2232106064414101</v>
      </c>
      <c r="Z97" s="34">
        <v>1.2232487306031099</v>
      </c>
      <c r="AA97" s="34">
        <v>1.22320105004569</v>
      </c>
      <c r="AB97" s="33">
        <v>25.4604927035627</v>
      </c>
      <c r="AC97" s="33">
        <v>25.460774568140401</v>
      </c>
      <c r="AD97" s="33">
        <v>25.460173241408199</v>
      </c>
      <c r="AE97" s="15">
        <v>-4.38040230878718E-5</v>
      </c>
      <c r="AF97" s="15">
        <v>-3.2733419671327E-5</v>
      </c>
      <c r="AG97" s="15">
        <v>-5.6351469142766102E-5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2.6560143786785798E-3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2.292070257819584E-3</v>
      </c>
      <c r="BE97" s="29">
        <f t="shared" si="42"/>
        <v>0</v>
      </c>
      <c r="BF97" s="29">
        <f t="shared" si="43"/>
        <v>4.9480846364981642E-3</v>
      </c>
      <c r="BH97" s="29"/>
    </row>
    <row r="98" spans="1:60" x14ac:dyDescent="0.25">
      <c r="A98" s="1">
        <v>46163</v>
      </c>
      <c r="B98" s="33">
        <v>20.41</v>
      </c>
      <c r="C98" s="33">
        <v>25.06</v>
      </c>
      <c r="D98" s="15">
        <v>0</v>
      </c>
      <c r="E98" s="15">
        <v>0</v>
      </c>
      <c r="F98" s="33">
        <v>0</v>
      </c>
      <c r="G98" s="33">
        <v>0.40448000000000001</v>
      </c>
      <c r="H98" s="33">
        <v>0</v>
      </c>
      <c r="I98" s="33">
        <v>0.40160799999999902</v>
      </c>
      <c r="J98" s="33">
        <v>0.40448000000000001</v>
      </c>
      <c r="K98" s="33">
        <v>0.40160799999999902</v>
      </c>
      <c r="L98" s="33">
        <v>20.81448</v>
      </c>
      <c r="M98" s="33">
        <v>25.461607999999998</v>
      </c>
      <c r="N98" s="34">
        <v>1.2278294953454101</v>
      </c>
      <c r="O98" s="34">
        <v>1.2246984145589499</v>
      </c>
      <c r="P98" s="34">
        <v>1.22480333125723</v>
      </c>
      <c r="Q98" s="34">
        <v>1.2249653526591999</v>
      </c>
      <c r="R98" s="33">
        <v>24.9960946411483</v>
      </c>
      <c r="S98" s="33">
        <v>24.987781842488399</v>
      </c>
      <c r="T98" s="33">
        <v>25.001199188529299</v>
      </c>
      <c r="U98" s="15">
        <v>-2.55335115652233E-3</v>
      </c>
      <c r="V98" s="15">
        <v>-2.8859703658074901E-3</v>
      </c>
      <c r="W98" s="15">
        <v>-2.3491582089520601E-3</v>
      </c>
      <c r="X98" s="34">
        <v>1.22326418916062</v>
      </c>
      <c r="Y98" s="34">
        <v>1.2232106064414101</v>
      </c>
      <c r="Z98" s="34">
        <v>1.22325715896287</v>
      </c>
      <c r="AA98" s="34">
        <v>1.2232094014149499</v>
      </c>
      <c r="AB98" s="33">
        <v>25.4604927035627</v>
      </c>
      <c r="AC98" s="33">
        <v>25.4612862381639</v>
      </c>
      <c r="AD98" s="33">
        <v>25.460293792155099</v>
      </c>
      <c r="AE98" s="15">
        <v>-4.38040230878718E-5</v>
      </c>
      <c r="AF98" s="15">
        <v>-1.2637217143228201E-5</v>
      </c>
      <c r="AG98" s="15">
        <v>-5.16166049931487E-5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2.6560143786785798E-3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2.292070257819584E-3</v>
      </c>
      <c r="BE98" s="29">
        <f t="shared" si="42"/>
        <v>0</v>
      </c>
      <c r="BF98" s="29">
        <f t="shared" si="43"/>
        <v>4.9480846364981642E-3</v>
      </c>
      <c r="BH98" s="29"/>
    </row>
    <row r="99" spans="1:60" x14ac:dyDescent="0.25">
      <c r="A99" s="1">
        <v>46164</v>
      </c>
      <c r="B99" s="33">
        <v>20.41</v>
      </c>
      <c r="C99" s="33">
        <v>25.08</v>
      </c>
      <c r="D99" s="15">
        <v>0</v>
      </c>
      <c r="E99" s="15">
        <v>7.9776629679770999E-4</v>
      </c>
      <c r="F99" s="33">
        <v>0</v>
      </c>
      <c r="G99" s="33">
        <v>0.40448000000000001</v>
      </c>
      <c r="H99" s="33">
        <v>0</v>
      </c>
      <c r="I99" s="33">
        <v>0.40160799999999902</v>
      </c>
      <c r="J99" s="33">
        <v>0.40448000000000001</v>
      </c>
      <c r="K99" s="33">
        <v>0.40160799999999902</v>
      </c>
      <c r="L99" s="33">
        <v>20.81448</v>
      </c>
      <c r="M99" s="33">
        <v>25.481607999999898</v>
      </c>
      <c r="N99" s="34">
        <v>1.22880940715335</v>
      </c>
      <c r="O99" s="34">
        <v>1.2246984145589499</v>
      </c>
      <c r="P99" s="34">
        <v>1.2253222196976301</v>
      </c>
      <c r="Q99" s="34">
        <v>1.2250773206014001</v>
      </c>
      <c r="R99" s="33">
        <v>24.9960946411483</v>
      </c>
      <c r="S99" s="33">
        <v>24.998235990960001</v>
      </c>
      <c r="T99" s="33">
        <v>25.001542847774299</v>
      </c>
      <c r="U99" s="15">
        <v>-3.3511174533200501E-3</v>
      </c>
      <c r="V99" s="15">
        <v>-3.2654537476159702E-3</v>
      </c>
      <c r="W99" s="15">
        <v>-3.1331788897722098E-3</v>
      </c>
      <c r="X99" s="34">
        <v>1.2242250587091199</v>
      </c>
      <c r="Y99" s="34">
        <v>1.2232106064414101</v>
      </c>
      <c r="Z99" s="34">
        <v>1.22327187126293</v>
      </c>
      <c r="AA99" s="34">
        <v>1.2233108094713601</v>
      </c>
      <c r="AB99" s="33">
        <v>25.4604927035627</v>
      </c>
      <c r="AC99" s="33">
        <v>25.461461670089498</v>
      </c>
      <c r="AD99" s="33">
        <v>25.460467621563399</v>
      </c>
      <c r="AE99" s="15">
        <v>-8.2899202643400003E-4</v>
      </c>
      <c r="AF99" s="15">
        <v>-7.9093510034528795E-4</v>
      </c>
      <c r="AG99" s="15">
        <v>-8.2997716100632695E-4</v>
      </c>
      <c r="AI99" s="12"/>
      <c r="AJ99">
        <f t="shared" si="26"/>
        <v>0</v>
      </c>
      <c r="AK99">
        <f t="shared" si="27"/>
        <v>0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2.6560143786785798E-3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2.292070257819584E-3</v>
      </c>
      <c r="BE99" s="29">
        <f t="shared" si="42"/>
        <v>0</v>
      </c>
      <c r="BF99" s="29">
        <f t="shared" si="43"/>
        <v>4.9480846364981642E-3</v>
      </c>
      <c r="BH99" s="29"/>
    </row>
    <row r="100" spans="1:60" x14ac:dyDescent="0.25">
      <c r="A100" s="1">
        <v>46168</v>
      </c>
      <c r="B100" s="33">
        <v>20.48</v>
      </c>
      <c r="C100" s="33">
        <v>25.17</v>
      </c>
      <c r="D100" s="15">
        <v>3.42382334955359E-3</v>
      </c>
      <c r="E100" s="15">
        <v>3.5820933825046501E-3</v>
      </c>
      <c r="F100" s="33">
        <v>0</v>
      </c>
      <c r="G100" s="33">
        <v>0.40448000000000001</v>
      </c>
      <c r="H100" s="33">
        <v>0</v>
      </c>
      <c r="I100" s="33">
        <v>0.40160799999999902</v>
      </c>
      <c r="J100" s="33">
        <v>0.40448000000000001</v>
      </c>
      <c r="K100" s="33">
        <v>0.40160799999999902</v>
      </c>
      <c r="L100" s="33">
        <v>20.88448</v>
      </c>
      <c r="M100" s="33">
        <v>25.571608000000001</v>
      </c>
      <c r="N100" s="34">
        <v>1.22900390625</v>
      </c>
      <c r="O100" s="34">
        <v>1.2246984145589499</v>
      </c>
      <c r="P100" s="34">
        <v>1.22602193169927</v>
      </c>
      <c r="Q100" s="34">
        <v>1.2251770802895099</v>
      </c>
      <c r="R100" s="33">
        <v>25.081823530167402</v>
      </c>
      <c r="S100" s="33">
        <v>25.094599059407599</v>
      </c>
      <c r="T100" s="33">
        <v>25.089583525916801</v>
      </c>
      <c r="U100" s="15">
        <v>-3.5093874862710799E-3</v>
      </c>
      <c r="V100" s="15">
        <v>-3.0001630793909302E-3</v>
      </c>
      <c r="W100" s="15">
        <v>-3.2000481128446698E-3</v>
      </c>
      <c r="X100" s="34">
        <v>1.22443115653346</v>
      </c>
      <c r="Y100" s="34">
        <v>1.2232106064414101</v>
      </c>
      <c r="Z100" s="34">
        <v>1.2234660337951699</v>
      </c>
      <c r="AA100" s="34">
        <v>1.2234013410101301</v>
      </c>
      <c r="AB100" s="33">
        <v>25.5461174460136</v>
      </c>
      <c r="AC100" s="33">
        <v>25.547396929953401</v>
      </c>
      <c r="AD100" s="33">
        <v>25.548210134188601</v>
      </c>
      <c r="AE100" s="15">
        <v>-9.9732747796737889E-4</v>
      </c>
      <c r="AF100" s="15">
        <v>-9.4724347197594797E-4</v>
      </c>
      <c r="AG100" s="15">
        <v>-9.1541278115939097E-4</v>
      </c>
      <c r="AI100" s="12"/>
      <c r="AJ100">
        <f t="shared" si="26"/>
        <v>0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2.6560143786785798E-3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2.292070257819584E-3</v>
      </c>
      <c r="BE100" s="29">
        <f t="shared" si="42"/>
        <v>0</v>
      </c>
      <c r="BF100" s="29">
        <f t="shared" si="43"/>
        <v>4.9480846364981642E-3</v>
      </c>
      <c r="BH100" s="29"/>
    </row>
    <row r="101" spans="1:60" x14ac:dyDescent="0.25">
      <c r="A101" s="1">
        <v>46169</v>
      </c>
      <c r="B101" s="33">
        <v>20.49</v>
      </c>
      <c r="C101" s="33">
        <v>25.18</v>
      </c>
      <c r="D101" s="15">
        <v>4.8816207950135102E-4</v>
      </c>
      <c r="E101" s="15">
        <v>3.9721946897642202E-4</v>
      </c>
      <c r="F101" s="33">
        <v>0</v>
      </c>
      <c r="G101" s="33">
        <v>0.40448000000000001</v>
      </c>
      <c r="H101" s="33">
        <v>0</v>
      </c>
      <c r="I101" s="33">
        <v>0.40160799999999902</v>
      </c>
      <c r="J101" s="33">
        <v>0.40448000000000001</v>
      </c>
      <c r="K101" s="33">
        <v>0.40160799999999902</v>
      </c>
      <c r="L101" s="33">
        <v>20.894479999999898</v>
      </c>
      <c r="M101" s="33">
        <v>25.581607999999999</v>
      </c>
      <c r="N101" s="34">
        <v>1.22889214250854</v>
      </c>
      <c r="O101" s="34">
        <v>1.2246984145589499</v>
      </c>
      <c r="P101" s="34">
        <v>1.2265970963633499</v>
      </c>
      <c r="Q101" s="34">
        <v>1.22520627296995</v>
      </c>
      <c r="R101" s="33">
        <v>25.094070514313</v>
      </c>
      <c r="S101" s="33">
        <v>25.1211893805181</v>
      </c>
      <c r="T101" s="33">
        <v>25.103878375132101</v>
      </c>
      <c r="U101" s="15">
        <v>-3.4184448757464199E-3</v>
      </c>
      <c r="V101" s="15">
        <v>-2.3383401865197401E-3</v>
      </c>
      <c r="W101" s="15">
        <v>-3.0276774774389802E-3</v>
      </c>
      <c r="X101" s="34">
        <v>1.2243237448359501</v>
      </c>
      <c r="Y101" s="34">
        <v>1.2232106064414101</v>
      </c>
      <c r="Z101" s="34">
        <v>1.22353768417478</v>
      </c>
      <c r="AA101" s="34">
        <v>1.2234228309745101</v>
      </c>
      <c r="AB101" s="33">
        <v>25.558349552077999</v>
      </c>
      <c r="AC101" s="33">
        <v>25.5636865738125</v>
      </c>
      <c r="AD101" s="33">
        <v>25.562334851709402</v>
      </c>
      <c r="AE101" s="15">
        <v>-9.0959987606140601E-4</v>
      </c>
      <c r="AF101" s="15">
        <v>-7.0080452445490905E-4</v>
      </c>
      <c r="AG101" s="15">
        <v>-7.5368257229319903E-4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2.6560143786785798E-3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2.292070257819584E-3</v>
      </c>
      <c r="BE101" s="29">
        <f t="shared" si="42"/>
        <v>0</v>
      </c>
      <c r="BF101" s="29">
        <f t="shared" si="43"/>
        <v>4.9480846364981642E-3</v>
      </c>
      <c r="BH101" s="29"/>
    </row>
    <row r="102" spans="1:60" x14ac:dyDescent="0.25">
      <c r="A102" s="1">
        <v>46170</v>
      </c>
      <c r="B102" s="33">
        <v>20.54</v>
      </c>
      <c r="C102" s="33">
        <v>25.22</v>
      </c>
      <c r="D102" s="15">
        <v>2.4372422496038602E-3</v>
      </c>
      <c r="E102" s="15">
        <v>1.5873019205724099E-3</v>
      </c>
      <c r="F102" s="33">
        <v>0</v>
      </c>
      <c r="G102" s="33">
        <v>0.40448000000000001</v>
      </c>
      <c r="H102" s="33">
        <v>0</v>
      </c>
      <c r="I102" s="33">
        <v>0.40160799999999902</v>
      </c>
      <c r="J102" s="33">
        <v>0.40448000000000001</v>
      </c>
      <c r="K102" s="33">
        <v>0.40160799999999902</v>
      </c>
      <c r="L102" s="33">
        <v>20.944479999999999</v>
      </c>
      <c r="M102" s="33">
        <v>25.621607999999998</v>
      </c>
      <c r="N102" s="34">
        <v>1.22784810126582</v>
      </c>
      <c r="O102" s="34">
        <v>1.2246984145589499</v>
      </c>
      <c r="P102" s="34">
        <v>1.22708953155064</v>
      </c>
      <c r="Q102" s="34">
        <v>1.2251520146138599</v>
      </c>
      <c r="R102" s="33">
        <v>25.155305435040901</v>
      </c>
      <c r="S102" s="33">
        <v>25.194304359303199</v>
      </c>
      <c r="T102" s="33">
        <v>25.165736846802901</v>
      </c>
      <c r="U102" s="15">
        <v>-2.5685045467149399E-3</v>
      </c>
      <c r="V102" s="15">
        <v>-1.0193790531642501E-3</v>
      </c>
      <c r="W102" s="15">
        <v>-2.1539101170930499E-3</v>
      </c>
      <c r="X102" s="34">
        <v>1.22331077209842</v>
      </c>
      <c r="Y102" s="34">
        <v>1.2232106064414101</v>
      </c>
      <c r="Z102" s="34">
        <v>1.22352942449102</v>
      </c>
      <c r="AA102" s="34">
        <v>1.22336396205093</v>
      </c>
      <c r="AB102" s="33">
        <v>25.619510082400101</v>
      </c>
      <c r="AC102" s="33">
        <v>25.6263605554451</v>
      </c>
      <c r="AD102" s="33">
        <v>25.623955014888999</v>
      </c>
      <c r="AE102" s="15">
        <v>-8.1884146153467696E-5</v>
      </c>
      <c r="AF102" s="15">
        <v>1.85472930646246E-4</v>
      </c>
      <c r="AG102" s="15">
        <v>9.1598755193531299E-5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2.6560143786785798E-3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2.292070257819584E-3</v>
      </c>
      <c r="BE102" s="29">
        <f t="shared" si="42"/>
        <v>0</v>
      </c>
      <c r="BF102" s="29">
        <f t="shared" si="43"/>
        <v>4.9480846364981642E-3</v>
      </c>
      <c r="BH102" s="29"/>
    </row>
    <row r="103" spans="1:60" x14ac:dyDescent="0.25">
      <c r="A103" s="1">
        <v>46171</v>
      </c>
      <c r="B103" s="33">
        <v>20.57</v>
      </c>
      <c r="C103" s="33">
        <v>25.25</v>
      </c>
      <c r="D103" s="15">
        <v>1.4594991644537199E-3</v>
      </c>
      <c r="E103" s="15">
        <v>1.1888251845953201E-3</v>
      </c>
      <c r="F103" s="33">
        <v>0</v>
      </c>
      <c r="G103" s="33">
        <v>0.40448000000000001</v>
      </c>
      <c r="H103" s="33">
        <v>0</v>
      </c>
      <c r="I103" s="33">
        <v>0.40160799999999902</v>
      </c>
      <c r="J103" s="33">
        <v>0.40448000000000001</v>
      </c>
      <c r="K103" s="33">
        <v>0.40160799999999902</v>
      </c>
      <c r="L103" s="33">
        <v>20.97448</v>
      </c>
      <c r="M103" s="33">
        <v>25.651608</v>
      </c>
      <c r="N103" s="34">
        <v>1.2275157997083099</v>
      </c>
      <c r="O103" s="34">
        <v>1.2246984145589499</v>
      </c>
      <c r="P103" s="34">
        <v>1.22757567642181</v>
      </c>
      <c r="Q103" s="34">
        <v>1.2251443094536401</v>
      </c>
      <c r="R103" s="33">
        <v>25.192046387477699</v>
      </c>
      <c r="S103" s="33">
        <v>25.2412316639967</v>
      </c>
      <c r="T103" s="33">
        <v>25.201376940607101</v>
      </c>
      <c r="U103" s="15">
        <v>-2.2978305668565702E-3</v>
      </c>
      <c r="V103" s="15">
        <v>-3.4732114081794199E-4</v>
      </c>
      <c r="W103" s="15">
        <v>-1.92752219644411E-3</v>
      </c>
      <c r="X103" s="34">
        <v>1.22299136855836</v>
      </c>
      <c r="Y103" s="34">
        <v>1.2232106064414101</v>
      </c>
      <c r="Z103" s="34">
        <v>1.2235157061891899</v>
      </c>
      <c r="AA103" s="34">
        <v>1.2233505802059801</v>
      </c>
      <c r="AB103" s="33">
        <v>25.656206400593302</v>
      </c>
      <c r="AC103" s="33">
        <v>25.662893443398399</v>
      </c>
      <c r="AD103" s="33">
        <v>25.659422954758</v>
      </c>
      <c r="AE103" s="15">
        <v>1.7924757307963E-4</v>
      </c>
      <c r="AF103" s="15">
        <v>4.3985396965749501E-4</v>
      </c>
      <c r="AG103" s="15">
        <v>3.0461110108575998E-4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2.6560143786785798E-3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2.292070257819584E-3</v>
      </c>
      <c r="BE103" s="29">
        <f t="shared" si="42"/>
        <v>0</v>
      </c>
      <c r="BF103" s="29">
        <f t="shared" si="43"/>
        <v>4.9480846364981642E-3</v>
      </c>
      <c r="BH103" s="29"/>
    </row>
    <row r="104" spans="1:60" x14ac:dyDescent="0.25">
      <c r="A104" s="1">
        <v>46174</v>
      </c>
      <c r="B104" s="33">
        <v>20.53</v>
      </c>
      <c r="C104" s="33">
        <v>25.11</v>
      </c>
      <c r="D104" s="15">
        <v>-1.9464726340235601E-3</v>
      </c>
      <c r="E104" s="15">
        <v>-5.5599825518751903E-3</v>
      </c>
      <c r="F104" s="33">
        <v>0</v>
      </c>
      <c r="G104" s="33">
        <v>0.40448000000000001</v>
      </c>
      <c r="H104" s="33">
        <v>0.10101599999999999</v>
      </c>
      <c r="I104" s="33">
        <v>0.50262399999999996</v>
      </c>
      <c r="J104" s="33">
        <v>0.40448000000000001</v>
      </c>
      <c r="K104" s="33">
        <v>0.50262399999999996</v>
      </c>
      <c r="L104" s="33">
        <v>20.934480000000001</v>
      </c>
      <c r="M104" s="33">
        <v>25.612624</v>
      </c>
      <c r="N104" s="34">
        <v>1.2230881636629301</v>
      </c>
      <c r="O104" s="34">
        <v>1.2246984145589499</v>
      </c>
      <c r="P104" s="34">
        <v>1.2276188677880999</v>
      </c>
      <c r="Q104" s="34">
        <v>1.2251876065256799</v>
      </c>
      <c r="R104" s="33">
        <v>25.1430584508953</v>
      </c>
      <c r="S104" s="33">
        <v>25.202128636939801</v>
      </c>
      <c r="T104" s="33">
        <v>25.152212673083401</v>
      </c>
      <c r="U104" s="15">
        <v>1.3156793509950201E-3</v>
      </c>
      <c r="V104" s="15">
        <v>3.6622875003534199E-3</v>
      </c>
      <c r="W104" s="15">
        <v>1.6796985553668999E-3</v>
      </c>
      <c r="X104" s="34">
        <v>1.22346597574909</v>
      </c>
      <c r="Y104" s="34">
        <v>1.2232106064414101</v>
      </c>
      <c r="Z104" s="34">
        <v>1.22354905645167</v>
      </c>
      <c r="AA104" s="34">
        <v>1.2233887724473</v>
      </c>
      <c r="AB104" s="33">
        <v>25.607277976335698</v>
      </c>
      <c r="AC104" s="33">
        <v>25.613665080903601</v>
      </c>
      <c r="AD104" s="33">
        <v>25.6102082543105</v>
      </c>
      <c r="AE104" s="15">
        <v>-2.0874790764666701E-4</v>
      </c>
      <c r="AF104" s="15">
        <v>4.0646352582967898E-5</v>
      </c>
      <c r="AG104" s="15">
        <v>-9.4323003431142805E-5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2.6560143786785798E-3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2.292070257819584E-3</v>
      </c>
      <c r="BE104" s="29">
        <f t="shared" si="42"/>
        <v>0</v>
      </c>
      <c r="BF104" s="29">
        <f t="shared" si="43"/>
        <v>4.9480846364981642E-3</v>
      </c>
      <c r="BH104" s="29"/>
    </row>
    <row r="105" spans="1:60" x14ac:dyDescent="0.25">
      <c r="A105" s="1">
        <v>46175</v>
      </c>
      <c r="B105" s="33">
        <v>20.54</v>
      </c>
      <c r="C105" s="33">
        <v>25.12</v>
      </c>
      <c r="D105" s="15">
        <v>4.8697346956976E-4</v>
      </c>
      <c r="E105" s="15">
        <v>3.98168430504299E-4</v>
      </c>
      <c r="F105" s="33">
        <v>0</v>
      </c>
      <c r="G105" s="33">
        <v>0.40448000000000001</v>
      </c>
      <c r="H105" s="33">
        <v>0</v>
      </c>
      <c r="I105" s="33">
        <v>0.50262399999999996</v>
      </c>
      <c r="J105" s="33">
        <v>0.40448000000000001</v>
      </c>
      <c r="K105" s="33">
        <v>0.50262399999999996</v>
      </c>
      <c r="L105" s="33">
        <v>20.944479999999999</v>
      </c>
      <c r="M105" s="33">
        <v>25.622623999999998</v>
      </c>
      <c r="N105" s="34">
        <v>1.2229795520934701</v>
      </c>
      <c r="O105" s="34">
        <v>1.2246984145589499</v>
      </c>
      <c r="P105" s="34">
        <v>1.22713822702298</v>
      </c>
      <c r="Q105" s="34">
        <v>1.2251930318189199</v>
      </c>
      <c r="R105" s="33">
        <v>25.155305435040901</v>
      </c>
      <c r="S105" s="33">
        <v>25.215291544367702</v>
      </c>
      <c r="T105" s="33">
        <v>25.165353438037499</v>
      </c>
      <c r="U105" s="15">
        <v>1.4044843900606E-3</v>
      </c>
      <c r="V105" s="15">
        <v>3.7862762004445302E-3</v>
      </c>
      <c r="W105" s="15">
        <v>1.80384335535023E-3</v>
      </c>
      <c r="X105" s="34">
        <v>1.2233592812998899</v>
      </c>
      <c r="Y105" s="34">
        <v>1.2232106064414101</v>
      </c>
      <c r="Z105" s="34">
        <v>1.2235637134836601</v>
      </c>
      <c r="AA105" s="34">
        <v>1.22338961776931</v>
      </c>
      <c r="AB105" s="33">
        <v>25.619510082400101</v>
      </c>
      <c r="AC105" s="33">
        <v>25.626598741871</v>
      </c>
      <c r="AD105" s="33">
        <v>25.623241676747099</v>
      </c>
      <c r="AE105" s="15">
        <v>-1.2153738947407E-4</v>
      </c>
      <c r="AF105" s="15">
        <v>1.5511423066994599E-4</v>
      </c>
      <c r="AG105" s="15">
        <v>2.4106403082274199E-5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2.6560143786785798E-3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2.292070257819584E-3</v>
      </c>
      <c r="BE105" s="29">
        <f t="shared" si="42"/>
        <v>0</v>
      </c>
      <c r="BF105" s="29">
        <f t="shared" si="43"/>
        <v>4.9480846364981642E-3</v>
      </c>
      <c r="BH105" s="29"/>
    </row>
    <row r="106" spans="1:60" x14ac:dyDescent="0.25">
      <c r="A106" s="1">
        <v>46176</v>
      </c>
      <c r="B106" s="33">
        <v>20.5</v>
      </c>
      <c r="C106" s="33">
        <v>25.07</v>
      </c>
      <c r="D106" s="15">
        <v>-1.9493183560496501E-3</v>
      </c>
      <c r="E106" s="15">
        <v>-1.9924294297959098E-3</v>
      </c>
      <c r="F106" s="33">
        <v>0</v>
      </c>
      <c r="G106" s="33">
        <v>0.40448000000000001</v>
      </c>
      <c r="H106" s="33">
        <v>0</v>
      </c>
      <c r="I106" s="33">
        <v>0.50262399999999996</v>
      </c>
      <c r="J106" s="33">
        <v>0.40448000000000001</v>
      </c>
      <c r="K106" s="33">
        <v>0.50262399999999996</v>
      </c>
      <c r="L106" s="33">
        <v>20.90448</v>
      </c>
      <c r="M106" s="33">
        <v>25.572624000000001</v>
      </c>
      <c r="N106" s="34">
        <v>1.22292682926829</v>
      </c>
      <c r="O106" s="34">
        <v>1.2246984145589499</v>
      </c>
      <c r="P106" s="34">
        <v>1.22667228926015</v>
      </c>
      <c r="Q106" s="34">
        <v>1.22521746944552</v>
      </c>
      <c r="R106" s="33">
        <v>25.106317498458601</v>
      </c>
      <c r="S106" s="33">
        <v>25.1563336539711</v>
      </c>
      <c r="T106" s="33">
        <v>25.1164571522879</v>
      </c>
      <c r="U106" s="15">
        <v>1.4475954638067899E-3</v>
      </c>
      <c r="V106" s="15">
        <v>3.4377878183565998E-3</v>
      </c>
      <c r="W106" s="15">
        <v>1.85138255193861E-3</v>
      </c>
      <c r="X106" s="34">
        <v>1.2233083052053899</v>
      </c>
      <c r="Y106" s="34">
        <v>1.2232106064414101</v>
      </c>
      <c r="Z106" s="34">
        <v>1.22359440413109</v>
      </c>
      <c r="AA106" s="34">
        <v>1.22340927616349</v>
      </c>
      <c r="AB106" s="33">
        <v>25.570581658142402</v>
      </c>
      <c r="AC106" s="33">
        <v>25.577963177245</v>
      </c>
      <c r="AD106" s="33">
        <v>25.574323796866299</v>
      </c>
      <c r="AE106" s="15">
        <v>-7.9867573115530605E-5</v>
      </c>
      <c r="AF106" s="15">
        <v>2.08763087936253E-4</v>
      </c>
      <c r="AG106" s="15">
        <v>6.64671868077257E-5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2.6560143786785798E-3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2.292070257819584E-3</v>
      </c>
      <c r="BE106" s="29">
        <f t="shared" si="42"/>
        <v>0</v>
      </c>
      <c r="BF106" s="29">
        <f t="shared" si="43"/>
        <v>4.9480846364981642E-3</v>
      </c>
      <c r="BH106" s="29"/>
    </row>
    <row r="107" spans="1:60" x14ac:dyDescent="0.25">
      <c r="A107" s="1">
        <v>46177</v>
      </c>
      <c r="B107" s="33">
        <v>20.53</v>
      </c>
      <c r="C107" s="33">
        <v>25.11</v>
      </c>
      <c r="D107" s="15">
        <v>1.4623448864797099E-3</v>
      </c>
      <c r="E107" s="15">
        <v>1.5942609992916699E-3</v>
      </c>
      <c r="F107" s="33">
        <v>0</v>
      </c>
      <c r="G107" s="33">
        <v>0.40448000000000001</v>
      </c>
      <c r="H107" s="33">
        <v>0</v>
      </c>
      <c r="I107" s="33">
        <v>0.50262399999999996</v>
      </c>
      <c r="J107" s="33">
        <v>0.40448000000000001</v>
      </c>
      <c r="K107" s="33">
        <v>0.50262399999999996</v>
      </c>
      <c r="L107" s="33">
        <v>20.934480000000001</v>
      </c>
      <c r="M107" s="33">
        <v>25.612624</v>
      </c>
      <c r="N107" s="34">
        <v>1.2230881636629301</v>
      </c>
      <c r="O107" s="34">
        <v>1.2246984145589499</v>
      </c>
      <c r="P107" s="34">
        <v>1.2261981560919</v>
      </c>
      <c r="Q107" s="34">
        <v>1.2252446400863299</v>
      </c>
      <c r="R107" s="33">
        <v>25.1430584508953</v>
      </c>
      <c r="S107" s="33">
        <v>25.183582098511</v>
      </c>
      <c r="T107" s="33">
        <v>25.153714647716502</v>
      </c>
      <c r="U107" s="15">
        <v>1.3156793509950201E-3</v>
      </c>
      <c r="V107" s="15">
        <v>2.9261049995713E-3</v>
      </c>
      <c r="W107" s="15">
        <v>1.7394121801274399E-3</v>
      </c>
      <c r="X107" s="34">
        <v>1.22346597574909</v>
      </c>
      <c r="Y107" s="34">
        <v>1.2232106064414101</v>
      </c>
      <c r="Z107" s="34">
        <v>1.2236145827899401</v>
      </c>
      <c r="AA107" s="34">
        <v>1.22343165669653</v>
      </c>
      <c r="AB107" s="33">
        <v>25.607277976335698</v>
      </c>
      <c r="AC107" s="33">
        <v>25.615312581394299</v>
      </c>
      <c r="AD107" s="33">
        <v>25.6114370236591</v>
      </c>
      <c r="AE107" s="15">
        <v>-2.0874790764666701E-4</v>
      </c>
      <c r="AF107" s="15">
        <v>1.04965437854423E-4</v>
      </c>
      <c r="AG107" s="15">
        <v>-4.6344484109153801E-5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2.6560143786785798E-3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2.292070257819584E-3</v>
      </c>
      <c r="BE107" s="29">
        <f t="shared" si="42"/>
        <v>0</v>
      </c>
      <c r="BF107" s="29">
        <f t="shared" si="43"/>
        <v>4.9480846364981642E-3</v>
      </c>
      <c r="BH107" s="29"/>
    </row>
    <row r="108" spans="1:60" x14ac:dyDescent="0.25">
      <c r="A108" s="1">
        <v>46178</v>
      </c>
      <c r="B108" s="33">
        <v>20.41</v>
      </c>
      <c r="C108" s="33">
        <v>24.96</v>
      </c>
      <c r="D108" s="15">
        <v>-5.8622542090888399E-3</v>
      </c>
      <c r="E108" s="15">
        <v>-5.9916296682666296E-3</v>
      </c>
      <c r="F108" s="33">
        <v>0</v>
      </c>
      <c r="G108" s="33">
        <v>0.40448000000000001</v>
      </c>
      <c r="H108" s="33">
        <v>0</v>
      </c>
      <c r="I108" s="33">
        <v>0.50262399999999996</v>
      </c>
      <c r="J108" s="33">
        <v>0.40448000000000001</v>
      </c>
      <c r="K108" s="33">
        <v>0.50262399999999996</v>
      </c>
      <c r="L108" s="33">
        <v>20.81448</v>
      </c>
      <c r="M108" s="33">
        <v>25.462624000000002</v>
      </c>
      <c r="N108" s="34">
        <v>1.22292993630573</v>
      </c>
      <c r="O108" s="34">
        <v>1.2246984145589499</v>
      </c>
      <c r="P108" s="34">
        <v>1.22570820018793</v>
      </c>
      <c r="Q108" s="34">
        <v>1.22525576572258</v>
      </c>
      <c r="R108" s="33">
        <v>24.9960946411483</v>
      </c>
      <c r="S108" s="33">
        <v>25.026704365835801</v>
      </c>
      <c r="T108" s="33">
        <v>25.0072431041621</v>
      </c>
      <c r="U108" s="15">
        <v>1.44505481017289E-3</v>
      </c>
      <c r="V108" s="15">
        <v>2.66888590782031E-3</v>
      </c>
      <c r="W108" s="15">
        <v>1.8909635715182299E-3</v>
      </c>
      <c r="X108" s="34">
        <v>1.2233130013336799</v>
      </c>
      <c r="Y108" s="34">
        <v>1.2232106064414101</v>
      </c>
      <c r="Z108" s="34">
        <v>1.22361946400725</v>
      </c>
      <c r="AA108" s="34">
        <v>1.22343831148506</v>
      </c>
      <c r="AB108" s="33">
        <v>25.4604927035627</v>
      </c>
      <c r="AC108" s="33">
        <v>25.4689012611896</v>
      </c>
      <c r="AD108" s="33">
        <v>25.4650937496768</v>
      </c>
      <c r="AE108" s="15">
        <v>-8.3706441258400805E-5</v>
      </c>
      <c r="AF108" s="15">
        <v>2.4649806536239702E-4</v>
      </c>
      <c r="AG108" s="15">
        <v>9.6990392967578296E-5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2.6560143786785798E-3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2.292070257819584E-3</v>
      </c>
      <c r="BE108" s="29">
        <f t="shared" si="42"/>
        <v>0</v>
      </c>
      <c r="BF108" s="29">
        <f t="shared" si="43"/>
        <v>4.9480846364981642E-3</v>
      </c>
      <c r="BH108" s="29"/>
    </row>
    <row r="109" spans="1:60" x14ac:dyDescent="0.25">
      <c r="A109" s="1">
        <v>46181</v>
      </c>
      <c r="B109" s="33">
        <v>20.43</v>
      </c>
      <c r="C109" s="33">
        <v>24.96</v>
      </c>
      <c r="D109" s="15">
        <v>9.794320077771959E-4</v>
      </c>
      <c r="E109" s="15">
        <v>0</v>
      </c>
      <c r="F109" s="33">
        <v>0</v>
      </c>
      <c r="G109" s="33">
        <v>0.40448000000000001</v>
      </c>
      <c r="H109" s="33">
        <v>0</v>
      </c>
      <c r="I109" s="33">
        <v>0.50262399999999996</v>
      </c>
      <c r="J109" s="33">
        <v>0.40448000000000001</v>
      </c>
      <c r="K109" s="33">
        <v>0.50262399999999996</v>
      </c>
      <c r="L109" s="33">
        <v>20.834479999999999</v>
      </c>
      <c r="M109" s="33">
        <v>25.462624000000002</v>
      </c>
      <c r="N109" s="34">
        <v>1.2217327459618199</v>
      </c>
      <c r="O109" s="34">
        <v>1.2246984145589499</v>
      </c>
      <c r="P109" s="34">
        <v>1.22500053406878</v>
      </c>
      <c r="Q109" s="34">
        <v>1.2251613768832099</v>
      </c>
      <c r="R109" s="33">
        <v>25.0205886094394</v>
      </c>
      <c r="S109" s="33">
        <v>25.0412185298396</v>
      </c>
      <c r="T109" s="33">
        <v>25.031975293712399</v>
      </c>
      <c r="U109" s="15">
        <v>2.4244868179500198E-3</v>
      </c>
      <c r="V109" s="15">
        <v>3.2486648789021898E-3</v>
      </c>
      <c r="W109" s="15">
        <v>2.87947587670846E-3</v>
      </c>
      <c r="X109" s="34">
        <v>1.22213868548675</v>
      </c>
      <c r="Y109" s="34">
        <v>1.2232106064414101</v>
      </c>
      <c r="Z109" s="34">
        <v>1.2234108266850101</v>
      </c>
      <c r="AA109" s="34">
        <v>1.22334134897397</v>
      </c>
      <c r="AB109" s="33">
        <v>25.484956915691502</v>
      </c>
      <c r="AC109" s="33">
        <v>25.4934752504697</v>
      </c>
      <c r="AD109" s="33">
        <v>25.489701031869199</v>
      </c>
      <c r="AE109" s="15">
        <v>8.7670176760471299E-4</v>
      </c>
      <c r="AF109" s="15">
        <v>1.2108954450306001E-3</v>
      </c>
      <c r="AG109" s="15">
        <v>1.0628380314840001E-3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2.6560143786785798E-3</v>
      </c>
      <c r="AT109" s="12"/>
      <c r="AU109">
        <f t="shared" si="30"/>
        <v>1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2.292070257819584E-3</v>
      </c>
      <c r="BE109" s="29">
        <f t="shared" si="42"/>
        <v>0</v>
      </c>
      <c r="BF109" s="29">
        <f t="shared" si="43"/>
        <v>4.9480846364981642E-3</v>
      </c>
      <c r="BH109" s="29"/>
    </row>
    <row r="110" spans="1:60" x14ac:dyDescent="0.25">
      <c r="A110" s="1">
        <v>46182</v>
      </c>
      <c r="B110" s="33">
        <v>20.46</v>
      </c>
      <c r="C110" s="33">
        <v>25.02</v>
      </c>
      <c r="D110" s="15">
        <v>1.4673516939497401E-3</v>
      </c>
      <c r="E110" s="15">
        <v>2.4009615375380402E-3</v>
      </c>
      <c r="F110" s="33">
        <v>0</v>
      </c>
      <c r="G110" s="33">
        <v>0.40448000000000001</v>
      </c>
      <c r="H110" s="33">
        <v>0</v>
      </c>
      <c r="I110" s="33">
        <v>0.50262399999999996</v>
      </c>
      <c r="J110" s="33">
        <v>0.40448000000000001</v>
      </c>
      <c r="K110" s="33">
        <v>0.50262399999999996</v>
      </c>
      <c r="L110" s="33">
        <v>20.86448</v>
      </c>
      <c r="M110" s="33">
        <v>25.522624</v>
      </c>
      <c r="N110" s="34">
        <v>1.22287390029325</v>
      </c>
      <c r="O110" s="34">
        <v>1.2246984145589499</v>
      </c>
      <c r="P110" s="34">
        <v>1.22438753347311</v>
      </c>
      <c r="Q110" s="34">
        <v>1.2252047325861899</v>
      </c>
      <c r="R110" s="33">
        <v>25.057329561876202</v>
      </c>
      <c r="S110" s="33">
        <v>25.0635109270473</v>
      </c>
      <c r="T110" s="33">
        <v>25.066801771030502</v>
      </c>
      <c r="U110" s="15">
        <v>1.4908769743617099E-3</v>
      </c>
      <c r="V110" s="15">
        <v>1.73753545583017E-3</v>
      </c>
      <c r="W110" s="15">
        <v>1.86882703614404E-3</v>
      </c>
      <c r="X110" s="34">
        <v>1.2232571336549001</v>
      </c>
      <c r="Y110" s="34">
        <v>1.2232106064414101</v>
      </c>
      <c r="Z110" s="34">
        <v>1.2232934243971501</v>
      </c>
      <c r="AA110" s="34">
        <v>1.2233797290961601</v>
      </c>
      <c r="AB110" s="33">
        <v>25.521653233884798</v>
      </c>
      <c r="AC110" s="33">
        <v>25.5258307251529</v>
      </c>
      <c r="AD110" s="33">
        <v>25.524381108840501</v>
      </c>
      <c r="AE110" s="15">
        <v>-3.80362370837786E-5</v>
      </c>
      <c r="AF110" s="15">
        <v>1.25634563255498E-4</v>
      </c>
      <c r="AG110" s="15">
        <v>6.8842778826627298E-5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2.6560143786785798E-3</v>
      </c>
      <c r="AT110" s="12"/>
      <c r="AU110">
        <f t="shared" si="30"/>
        <v>0</v>
      </c>
      <c r="AV110">
        <f t="shared" si="31"/>
        <v>1</v>
      </c>
      <c r="AW110">
        <f t="shared" si="38"/>
        <v>1</v>
      </c>
      <c r="AX110">
        <f t="shared" si="25"/>
        <v>1</v>
      </c>
      <c r="AY110">
        <f t="shared" si="39"/>
        <v>1</v>
      </c>
      <c r="AZ110" s="28">
        <f t="shared" si="32"/>
        <v>-1.4673516939497401E-3</v>
      </c>
      <c r="BA110" s="28">
        <f t="shared" si="33"/>
        <v>2.4009615375380402E-3</v>
      </c>
      <c r="BB110" s="28">
        <f t="shared" si="40"/>
        <v>9.3360984358830008E-4</v>
      </c>
      <c r="BC110" s="29">
        <f t="shared" si="41"/>
        <v>3.2256801014078841E-3</v>
      </c>
      <c r="BE110" s="29">
        <f t="shared" si="42"/>
        <v>9.3360984358830008E-4</v>
      </c>
      <c r="BF110" s="29">
        <f t="shared" si="43"/>
        <v>5.8816944800864643E-3</v>
      </c>
      <c r="BH110" s="29"/>
    </row>
    <row r="111" spans="1:60" x14ac:dyDescent="0.25">
      <c r="A111" s="1">
        <v>46183</v>
      </c>
      <c r="B111" s="33">
        <v>20.440000000000001</v>
      </c>
      <c r="C111" s="33">
        <v>25</v>
      </c>
      <c r="D111" s="15">
        <v>-9.7799518797673699E-4</v>
      </c>
      <c r="E111" s="15">
        <v>-7.9968017056429E-4</v>
      </c>
      <c r="F111" s="33">
        <v>0</v>
      </c>
      <c r="G111" s="33">
        <v>0.40448000000000001</v>
      </c>
      <c r="H111" s="33">
        <v>0</v>
      </c>
      <c r="I111" s="33">
        <v>0.50262399999999996</v>
      </c>
      <c r="J111" s="33">
        <v>0.40448000000000001</v>
      </c>
      <c r="K111" s="33">
        <v>0.50262399999999996</v>
      </c>
      <c r="L111" s="33">
        <v>20.844480000000001</v>
      </c>
      <c r="M111" s="33">
        <v>25.502624000000001</v>
      </c>
      <c r="N111" s="34">
        <v>1.2230919765166299</v>
      </c>
      <c r="O111" s="34">
        <v>1.2246984145589499</v>
      </c>
      <c r="P111" s="34">
        <v>1.22380751687392</v>
      </c>
      <c r="Q111" s="34">
        <v>1.2252023066186299</v>
      </c>
      <c r="R111" s="33">
        <v>25.032835593584998</v>
      </c>
      <c r="S111" s="33">
        <v>25.026481184190398</v>
      </c>
      <c r="T111" s="33">
        <v>25.0431847340617</v>
      </c>
      <c r="U111" s="15">
        <v>1.31256195694938E-3</v>
      </c>
      <c r="V111" s="15">
        <v>1.05868676096922E-3</v>
      </c>
      <c r="W111" s="15">
        <v>1.72589914134811E-3</v>
      </c>
      <c r="X111" s="34">
        <v>1.22347134589109</v>
      </c>
      <c r="Y111" s="34">
        <v>1.2232106064414101</v>
      </c>
      <c r="Z111" s="34">
        <v>1.2232081845026701</v>
      </c>
      <c r="AA111" s="34">
        <v>1.2233729343387201</v>
      </c>
      <c r="AB111" s="33">
        <v>25.497189021755901</v>
      </c>
      <c r="AC111" s="33">
        <v>25.498915318978</v>
      </c>
      <c r="AD111" s="33">
        <v>25.500714295550399</v>
      </c>
      <c r="AE111" s="15">
        <v>-2.13137183945552E-4</v>
      </c>
      <c r="AF111" s="15">
        <v>-1.4543408210880801E-4</v>
      </c>
      <c r="AG111" s="15">
        <v>-7.4885468846175302E-5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2.6560143786785798E-3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3.2256801014078841E-3</v>
      </c>
      <c r="BE111" s="29">
        <f t="shared" si="42"/>
        <v>0</v>
      </c>
      <c r="BF111" s="29">
        <f t="shared" si="43"/>
        <v>5.8816944800864643E-3</v>
      </c>
      <c r="BH111" s="29"/>
    </row>
    <row r="112" spans="1:60" x14ac:dyDescent="0.25">
      <c r="A112" s="1">
        <v>46184</v>
      </c>
      <c r="B112" s="33">
        <v>20.56</v>
      </c>
      <c r="C112" s="33">
        <v>25.14</v>
      </c>
      <c r="D112" s="15">
        <v>5.8536752514605E-3</v>
      </c>
      <c r="E112" s="15">
        <v>5.58437829390066E-3</v>
      </c>
      <c r="F112" s="33">
        <v>0</v>
      </c>
      <c r="G112" s="33">
        <v>0.40448000000000001</v>
      </c>
      <c r="H112" s="33">
        <v>0</v>
      </c>
      <c r="I112" s="33">
        <v>0.50262399999999996</v>
      </c>
      <c r="J112" s="33">
        <v>0.40448000000000001</v>
      </c>
      <c r="K112" s="33">
        <v>0.50262399999999996</v>
      </c>
      <c r="L112" s="33">
        <v>20.964479999999998</v>
      </c>
      <c r="M112" s="33">
        <v>25.642624000000001</v>
      </c>
      <c r="N112" s="34">
        <v>1.2227626459143901</v>
      </c>
      <c r="O112" s="34">
        <v>1.2246984145589499</v>
      </c>
      <c r="P112" s="34">
        <v>1.2232989713387701</v>
      </c>
      <c r="Q112" s="34">
        <v>1.2251942514447101</v>
      </c>
      <c r="R112" s="33">
        <v>25.179799403332101</v>
      </c>
      <c r="S112" s="33">
        <v>25.1614825469278</v>
      </c>
      <c r="T112" s="33">
        <v>25.190159424079098</v>
      </c>
      <c r="U112" s="15">
        <v>1.58185891450927E-3</v>
      </c>
      <c r="V112" s="15">
        <v>8.5415169280042905E-4</v>
      </c>
      <c r="W112" s="15">
        <v>1.9932160461918198E-3</v>
      </c>
      <c r="X112" s="34">
        <v>1.2231461977592499</v>
      </c>
      <c r="Y112" s="34">
        <v>1.2232106064414101</v>
      </c>
      <c r="Z112" s="34">
        <v>1.22319172706875</v>
      </c>
      <c r="AA112" s="34">
        <v>1.22336057577988</v>
      </c>
      <c r="AB112" s="33">
        <v>25.643974294528899</v>
      </c>
      <c r="AC112" s="33">
        <v>25.643923519842499</v>
      </c>
      <c r="AD112" s="33">
        <v>25.6473774144856</v>
      </c>
      <c r="AE112" s="15">
        <v>5.2656817732137597E-5</v>
      </c>
      <c r="AF112" s="15">
        <v>5.0676830695485198E-5</v>
      </c>
      <c r="AG112" s="15">
        <v>1.85354430420458E-4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2.6560143786785798E-3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3.2256801014078841E-3</v>
      </c>
      <c r="BE112" s="29">
        <f t="shared" si="42"/>
        <v>0</v>
      </c>
      <c r="BF112" s="29">
        <f t="shared" si="43"/>
        <v>5.8816944800864643E-3</v>
      </c>
      <c r="BH112" s="29"/>
    </row>
    <row r="113" spans="1:60" x14ac:dyDescent="0.25">
      <c r="A113" s="1">
        <v>46185</v>
      </c>
      <c r="B113" s="33">
        <v>20.54</v>
      </c>
      <c r="C113" s="33">
        <v>25.12</v>
      </c>
      <c r="D113" s="15">
        <v>-9.73236086552183E-4</v>
      </c>
      <c r="E113" s="15">
        <v>-7.9586156210345301E-4</v>
      </c>
      <c r="F113" s="33">
        <v>0</v>
      </c>
      <c r="G113" s="33">
        <v>0.40448000000000001</v>
      </c>
      <c r="H113" s="33">
        <v>0</v>
      </c>
      <c r="I113" s="33">
        <v>0.50262399999999996</v>
      </c>
      <c r="J113" s="33">
        <v>0.40448000000000001</v>
      </c>
      <c r="K113" s="33">
        <v>0.50262399999999996</v>
      </c>
      <c r="L113" s="33">
        <v>20.944479999999999</v>
      </c>
      <c r="M113" s="33">
        <v>25.622623999999998</v>
      </c>
      <c r="N113" s="34">
        <v>1.2229795520934701</v>
      </c>
      <c r="O113" s="34">
        <v>1.2246984145589499</v>
      </c>
      <c r="P113" s="34">
        <v>1.2228453465772899</v>
      </c>
      <c r="Q113" s="34">
        <v>1.22521051149955</v>
      </c>
      <c r="R113" s="33">
        <v>25.155305435040901</v>
      </c>
      <c r="S113" s="33">
        <v>25.126560871298501</v>
      </c>
      <c r="T113" s="33">
        <v>25.165489924674301</v>
      </c>
      <c r="U113" s="15">
        <v>1.4044843900606E-3</v>
      </c>
      <c r="V113" s="15">
        <v>2.6114708039820902E-4</v>
      </c>
      <c r="W113" s="15">
        <v>1.8092669337244701E-3</v>
      </c>
      <c r="X113" s="34">
        <v>1.2233592812998899</v>
      </c>
      <c r="Y113" s="34">
        <v>1.2232106064414101</v>
      </c>
      <c r="Z113" s="34">
        <v>1.2232285183428999</v>
      </c>
      <c r="AA113" s="34">
        <v>1.2233721122660499</v>
      </c>
      <c r="AB113" s="33">
        <v>25.619510082400101</v>
      </c>
      <c r="AC113" s="33">
        <v>25.6191146637569</v>
      </c>
      <c r="AD113" s="33">
        <v>25.622651112210299</v>
      </c>
      <c r="AE113" s="15">
        <v>-1.2153738947407E-4</v>
      </c>
      <c r="AF113" s="15">
        <v>-1.3697178667366E-4</v>
      </c>
      <c r="AG113" s="15">
        <v>1.05813502999031E-6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2.6560143786785798E-3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3.2256801014078841E-3</v>
      </c>
      <c r="BE113" s="29">
        <f t="shared" si="42"/>
        <v>0</v>
      </c>
      <c r="BF113" s="29">
        <f t="shared" si="43"/>
        <v>5.8816944800864643E-3</v>
      </c>
      <c r="BH113" s="29"/>
    </row>
    <row r="114" spans="1:60" x14ac:dyDescent="0.25">
      <c r="A114" s="1">
        <v>46188</v>
      </c>
      <c r="B114" s="33">
        <v>20.57</v>
      </c>
      <c r="C114" s="33">
        <v>25.14</v>
      </c>
      <c r="D114" s="15">
        <v>1.4594991644537199E-3</v>
      </c>
      <c r="E114" s="15">
        <v>7.9586156210335304E-4</v>
      </c>
      <c r="F114" s="33">
        <v>0</v>
      </c>
      <c r="G114" s="33">
        <v>0.40448000000000001</v>
      </c>
      <c r="H114" s="33">
        <v>0</v>
      </c>
      <c r="I114" s="33">
        <v>0.50262399999999996</v>
      </c>
      <c r="J114" s="33">
        <v>0.40448000000000001</v>
      </c>
      <c r="K114" s="33">
        <v>0.50262399999999996</v>
      </c>
      <c r="L114" s="33">
        <v>20.97448</v>
      </c>
      <c r="M114" s="33">
        <v>25.642624000000001</v>
      </c>
      <c r="N114" s="34">
        <v>1.22216820612542</v>
      </c>
      <c r="O114" s="34">
        <v>1.2246984145589499</v>
      </c>
      <c r="P114" s="34">
        <v>1.22275335082354</v>
      </c>
      <c r="Q114" s="34">
        <v>1.2251861093058201</v>
      </c>
      <c r="R114" s="33">
        <v>25.192046387477699</v>
      </c>
      <c r="S114" s="33">
        <v>25.153928779094901</v>
      </c>
      <c r="T114" s="33">
        <v>25.202580221545801</v>
      </c>
      <c r="U114" s="15">
        <v>2.0681219924109599E-3</v>
      </c>
      <c r="V114" s="15">
        <v>5.53895064044113E-4</v>
      </c>
      <c r="W114" s="15">
        <v>2.48617585768688E-3</v>
      </c>
      <c r="X114" s="34">
        <v>1.22256303851156</v>
      </c>
      <c r="Y114" s="34">
        <v>1.2232106064414101</v>
      </c>
      <c r="Z114" s="34">
        <v>1.22313822461915</v>
      </c>
      <c r="AA114" s="34">
        <v>1.2233436405354099</v>
      </c>
      <c r="AB114" s="33">
        <v>25.656206400593302</v>
      </c>
      <c r="AC114" s="33">
        <v>25.656582093412901</v>
      </c>
      <c r="AD114" s="33">
        <v>25.659593901282001</v>
      </c>
      <c r="AE114" s="15">
        <v>5.2954037371507495E-4</v>
      </c>
      <c r="AF114" s="15">
        <v>5.4418361687567397E-4</v>
      </c>
      <c r="AG114" s="15">
        <v>6.6156601391529301E-4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2.6560143786785798E-3</v>
      </c>
      <c r="AT114" s="12"/>
      <c r="AU114">
        <f t="shared" si="30"/>
        <v>0</v>
      </c>
      <c r="AV114">
        <f t="shared" si="31"/>
        <v>0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3.2256801014078841E-3</v>
      </c>
      <c r="BE114" s="29">
        <f t="shared" si="42"/>
        <v>0</v>
      </c>
      <c r="BF114" s="29">
        <f t="shared" si="43"/>
        <v>5.8816944800864643E-3</v>
      </c>
      <c r="BH114" s="29"/>
    </row>
    <row r="115" spans="1:60" x14ac:dyDescent="0.25">
      <c r="A115" s="1">
        <v>46189</v>
      </c>
      <c r="B115" s="33">
        <v>20.58</v>
      </c>
      <c r="C115" s="33">
        <v>25.17</v>
      </c>
      <c r="D115" s="15">
        <v>4.8602674103762799E-4</v>
      </c>
      <c r="E115" s="15">
        <v>1.1926059851231001E-3</v>
      </c>
      <c r="F115" s="33">
        <v>0</v>
      </c>
      <c r="G115" s="33">
        <v>0.40448000000000001</v>
      </c>
      <c r="H115" s="33">
        <v>0</v>
      </c>
      <c r="I115" s="33">
        <v>0.50262399999999996</v>
      </c>
      <c r="J115" s="33">
        <v>0.40448000000000001</v>
      </c>
      <c r="K115" s="33">
        <v>0.50262399999999996</v>
      </c>
      <c r="L115" s="33">
        <v>20.984479999999898</v>
      </c>
      <c r="M115" s="33">
        <v>25.672623999999999</v>
      </c>
      <c r="N115" s="34">
        <v>1.2230320699708399</v>
      </c>
      <c r="O115" s="34">
        <v>1.2246984145589499</v>
      </c>
      <c r="P115" s="34">
        <v>1.22275860261128</v>
      </c>
      <c r="Q115" s="34">
        <v>1.2249484148171299</v>
      </c>
      <c r="R115" s="33">
        <v>25.204293371623301</v>
      </c>
      <c r="S115" s="33">
        <v>25.164263959948499</v>
      </c>
      <c r="T115" s="33">
        <v>25.214330129513801</v>
      </c>
      <c r="U115" s="15">
        <v>1.3615427483253399E-3</v>
      </c>
      <c r="V115" s="15">
        <v>-2.27917908200951E-4</v>
      </c>
      <c r="W115" s="15">
        <v>1.7596796797281801E-3</v>
      </c>
      <c r="X115" s="34">
        <v>1.22341006305612</v>
      </c>
      <c r="Y115" s="34">
        <v>1.2232106064414101</v>
      </c>
      <c r="Z115" s="34">
        <v>1.22314330279477</v>
      </c>
      <c r="AA115" s="34">
        <v>1.2233535081392199</v>
      </c>
      <c r="AB115" s="33">
        <v>25.668438506657701</v>
      </c>
      <c r="AC115" s="33">
        <v>25.6669196117561</v>
      </c>
      <c r="AD115" s="33">
        <v>25.671230157942599</v>
      </c>
      <c r="AE115" s="15">
        <v>-1.6304661988505799E-4</v>
      </c>
      <c r="AF115" s="15">
        <v>-2.2222200923684699E-4</v>
      </c>
      <c r="AG115" s="15">
        <v>-5.4294407016526201E-5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2.6560143786785798E-3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3.2256801014078841E-3</v>
      </c>
      <c r="BE115" s="29">
        <f t="shared" si="42"/>
        <v>0</v>
      </c>
      <c r="BF115" s="29">
        <f t="shared" si="43"/>
        <v>5.8816944800864643E-3</v>
      </c>
      <c r="BH115" s="29"/>
    </row>
    <row r="116" spans="1:60" x14ac:dyDescent="0.25">
      <c r="A116" s="1">
        <v>46190</v>
      </c>
      <c r="B116" s="33">
        <v>20.46</v>
      </c>
      <c r="C116" s="33">
        <v>25.02</v>
      </c>
      <c r="D116" s="15">
        <v>-5.8479698824229799E-3</v>
      </c>
      <c r="E116" s="15">
        <v>-5.9773041084595201E-3</v>
      </c>
      <c r="F116" s="33">
        <v>0</v>
      </c>
      <c r="G116" s="33">
        <v>0.40448000000000001</v>
      </c>
      <c r="H116" s="33">
        <v>0</v>
      </c>
      <c r="I116" s="33">
        <v>0.50262399999999996</v>
      </c>
      <c r="J116" s="33">
        <v>0.40448000000000001</v>
      </c>
      <c r="K116" s="33">
        <v>0.50262399999999996</v>
      </c>
      <c r="L116" s="33">
        <v>20.86448</v>
      </c>
      <c r="M116" s="33">
        <v>25.522624</v>
      </c>
      <c r="N116" s="34">
        <v>1.22287390029325</v>
      </c>
      <c r="O116" s="34">
        <v>1.2246984145589499</v>
      </c>
      <c r="P116" s="34">
        <v>1.2227533097137699</v>
      </c>
      <c r="Q116" s="34">
        <v>1.22471279948696</v>
      </c>
      <c r="R116" s="33">
        <v>25.057329561876202</v>
      </c>
      <c r="S116" s="33">
        <v>25.0176410094268</v>
      </c>
      <c r="T116" s="33">
        <v>25.062444567158501</v>
      </c>
      <c r="U116" s="15">
        <v>1.4908769743617099E-3</v>
      </c>
      <c r="V116" s="15">
        <v>-9.4288640605170895E-5</v>
      </c>
      <c r="W116" s="15">
        <v>1.6949882413783001E-3</v>
      </c>
      <c r="X116" s="34">
        <v>1.2232571336549001</v>
      </c>
      <c r="Y116" s="34">
        <v>1.2232106064414101</v>
      </c>
      <c r="Z116" s="34">
        <v>1.2231381856397201</v>
      </c>
      <c r="AA116" s="34">
        <v>1.22336629488541</v>
      </c>
      <c r="AB116" s="33">
        <v>25.521653233884798</v>
      </c>
      <c r="AC116" s="33">
        <v>25.520248978295498</v>
      </c>
      <c r="AD116" s="33">
        <v>25.5246348035006</v>
      </c>
      <c r="AE116" s="15">
        <v>-3.80362370837786E-5</v>
      </c>
      <c r="AF116" s="15">
        <v>-9.3059875652837395E-5</v>
      </c>
      <c r="AG116" s="15">
        <v>7.8782036442378201E-5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2.6560143786785798E-3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3.2256801014078841E-3</v>
      </c>
      <c r="BE116" s="29">
        <f t="shared" si="42"/>
        <v>0</v>
      </c>
      <c r="BF116" s="29">
        <f t="shared" si="43"/>
        <v>5.8816944800864643E-3</v>
      </c>
      <c r="BH116" s="29"/>
    </row>
    <row r="117" spans="1:60" x14ac:dyDescent="0.25">
      <c r="A117" s="1">
        <v>46191</v>
      </c>
      <c r="B117" s="33">
        <v>20.53</v>
      </c>
      <c r="C117" s="33">
        <v>25.09</v>
      </c>
      <c r="D117" s="15">
        <v>3.4154705073617701E-3</v>
      </c>
      <c r="E117" s="15">
        <v>2.7938553395657401E-3</v>
      </c>
      <c r="F117" s="33">
        <v>0</v>
      </c>
      <c r="G117" s="33">
        <v>0.40448000000000001</v>
      </c>
      <c r="H117" s="33">
        <v>0</v>
      </c>
      <c r="I117" s="33">
        <v>0.50262399999999996</v>
      </c>
      <c r="J117" s="33">
        <v>0.40448000000000001</v>
      </c>
      <c r="K117" s="33">
        <v>0.50262399999999996</v>
      </c>
      <c r="L117" s="33">
        <v>20.934480000000001</v>
      </c>
      <c r="M117" s="33">
        <v>25.592624000000001</v>
      </c>
      <c r="N117" s="34">
        <v>1.2221139795421301</v>
      </c>
      <c r="O117" s="34">
        <v>1.2246984145589499</v>
      </c>
      <c r="P117" s="34">
        <v>1.2226558913016901</v>
      </c>
      <c r="Q117" s="34">
        <v>1.2244270236968</v>
      </c>
      <c r="R117" s="33">
        <v>25.1430584508953</v>
      </c>
      <c r="S117" s="33">
        <v>25.1031254484238</v>
      </c>
      <c r="T117" s="33">
        <v>25.1433537734674</v>
      </c>
      <c r="U117" s="15">
        <v>2.1124921421576798E-3</v>
      </c>
      <c r="V117" s="15">
        <v>5.2299786497727999E-4</v>
      </c>
      <c r="W117" s="15">
        <v>2.1242377632510199E-3</v>
      </c>
      <c r="X117" s="34">
        <v>1.22251061406827</v>
      </c>
      <c r="Y117" s="34">
        <v>1.2232106064414101</v>
      </c>
      <c r="Z117" s="34">
        <v>1.22304264947164</v>
      </c>
      <c r="AA117" s="34">
        <v>1.2233286161307899</v>
      </c>
      <c r="AB117" s="33">
        <v>25.607277976335698</v>
      </c>
      <c r="AC117" s="33">
        <v>25.6057618845111</v>
      </c>
      <c r="AD117" s="33">
        <v>25.610537232952701</v>
      </c>
      <c r="AE117" s="15">
        <v>5.7242206215969704E-4</v>
      </c>
      <c r="AF117" s="15">
        <v>5.1321480443369295E-4</v>
      </c>
      <c r="AG117" s="15">
        <v>6.9969248976949202E-4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2.6560143786785798E-3</v>
      </c>
      <c r="AT117" s="12"/>
      <c r="AU117">
        <f t="shared" si="30"/>
        <v>0</v>
      </c>
      <c r="AV117">
        <f t="shared" si="31"/>
        <v>0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3.2256801014078841E-3</v>
      </c>
      <c r="BE117" s="29">
        <f t="shared" si="42"/>
        <v>0</v>
      </c>
      <c r="BF117" s="29">
        <f t="shared" si="43"/>
        <v>5.8816944800864643E-3</v>
      </c>
      <c r="BH117" s="29"/>
    </row>
    <row r="118" spans="1:60" x14ac:dyDescent="0.25">
      <c r="A118" s="1">
        <v>46195</v>
      </c>
      <c r="B118" s="33">
        <v>20.39</v>
      </c>
      <c r="C118" s="33">
        <v>25.06</v>
      </c>
      <c r="D118" s="15">
        <v>-6.8426464444783699E-3</v>
      </c>
      <c r="E118" s="15">
        <v>-1.1964109104087199E-3</v>
      </c>
      <c r="F118" s="33">
        <v>8.3080000000000001E-2</v>
      </c>
      <c r="G118" s="33">
        <v>0.48755999999999999</v>
      </c>
      <c r="H118" s="33">
        <v>0</v>
      </c>
      <c r="I118" s="33">
        <v>0.50262399999999996</v>
      </c>
      <c r="J118" s="33">
        <v>0.48755999999999999</v>
      </c>
      <c r="K118" s="33">
        <v>0.50262399999999996</v>
      </c>
      <c r="L118" s="33">
        <v>20.877559999999999</v>
      </c>
      <c r="M118" s="33">
        <v>25.562624</v>
      </c>
      <c r="N118" s="34">
        <v>1.2290338401176999</v>
      </c>
      <c r="O118" s="34">
        <v>1.2246984145589499</v>
      </c>
      <c r="P118" s="34">
        <v>1.2232662816828901</v>
      </c>
      <c r="Q118" s="34">
        <v>1.2244872409354099</v>
      </c>
      <c r="R118" s="33">
        <v>24.9716006728571</v>
      </c>
      <c r="S118" s="33">
        <v>24.929953623641602</v>
      </c>
      <c r="T118" s="33">
        <v>24.966067013177799</v>
      </c>
      <c r="U118" s="15">
        <v>-3.5337433919119302E-3</v>
      </c>
      <c r="V118" s="15">
        <v>-5.2029121972579301E-3</v>
      </c>
      <c r="W118" s="15">
        <v>-3.7553660650711399E-3</v>
      </c>
      <c r="X118" s="34">
        <v>1.2244066835396401</v>
      </c>
      <c r="Y118" s="34">
        <v>1.2232106064414101</v>
      </c>
      <c r="Z118" s="34">
        <v>1.2231520176922399</v>
      </c>
      <c r="AA118" s="34">
        <v>1.2233857408497399</v>
      </c>
      <c r="AB118" s="33">
        <v>25.537652828616999</v>
      </c>
      <c r="AC118" s="33">
        <v>25.534146296903199</v>
      </c>
      <c r="AD118" s="33">
        <v>25.540116582987601</v>
      </c>
      <c r="AE118" s="15">
        <v>-9.7734004277096097E-4</v>
      </c>
      <c r="AF118" s="15">
        <v>-1.1146577711208399E-3</v>
      </c>
      <c r="AG118" s="15">
        <v>-8.8086933150570499E-4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2.6560143786785798E-3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3.2256801014078841E-3</v>
      </c>
      <c r="BE118" s="29">
        <f t="shared" si="42"/>
        <v>0</v>
      </c>
      <c r="BF118" s="29">
        <f t="shared" si="43"/>
        <v>5.8816944800864643E-3</v>
      </c>
      <c r="BH118" s="29"/>
    </row>
    <row r="119" spans="1:60" x14ac:dyDescent="0.25">
      <c r="A119" s="1">
        <v>46196</v>
      </c>
      <c r="B119" s="33">
        <v>20.43</v>
      </c>
      <c r="C119" s="33">
        <v>25.09</v>
      </c>
      <c r="D119" s="15">
        <v>1.9598242431668801E-3</v>
      </c>
      <c r="E119" s="15">
        <v>1.19641091040868E-3</v>
      </c>
      <c r="F119" s="33">
        <v>0</v>
      </c>
      <c r="G119" s="33">
        <v>0.48755999999999999</v>
      </c>
      <c r="H119" s="33">
        <v>0</v>
      </c>
      <c r="I119" s="33">
        <v>0.50262399999999996</v>
      </c>
      <c r="J119" s="33">
        <v>0.48755999999999999</v>
      </c>
      <c r="K119" s="33">
        <v>0.50262399999999996</v>
      </c>
      <c r="L119" s="33">
        <v>20.917559999999899</v>
      </c>
      <c r="M119" s="33">
        <v>25.592624000000001</v>
      </c>
      <c r="N119" s="34">
        <v>1.2280959373470299</v>
      </c>
      <c r="O119" s="34">
        <v>1.2246984145589499</v>
      </c>
      <c r="P119" s="34">
        <v>1.22390260082141</v>
      </c>
      <c r="Q119" s="34">
        <v>1.2244515674451</v>
      </c>
      <c r="R119" s="33">
        <v>25.0205886094394</v>
      </c>
      <c r="S119" s="33">
        <v>24.991330134781499</v>
      </c>
      <c r="T119" s="33">
        <v>25.016274332310498</v>
      </c>
      <c r="U119" s="15">
        <v>-2.7703300591538698E-3</v>
      </c>
      <c r="V119" s="15">
        <v>-3.9403902660248499E-3</v>
      </c>
      <c r="W119" s="15">
        <v>-2.94277400891202E-3</v>
      </c>
      <c r="X119" s="34">
        <v>1.22349949038033</v>
      </c>
      <c r="Y119" s="34">
        <v>1.2232106064414101</v>
      </c>
      <c r="Z119" s="34">
        <v>1.2232880981815899</v>
      </c>
      <c r="AA119" s="34">
        <v>1.2233494624332999</v>
      </c>
      <c r="AB119" s="33">
        <v>25.586581252874701</v>
      </c>
      <c r="AC119" s="33">
        <v>25.5853557191985</v>
      </c>
      <c r="AD119" s="33">
        <v>25.590244637369</v>
      </c>
      <c r="AE119" s="15">
        <v>-2.3614071861878701E-4</v>
      </c>
      <c r="AF119" s="15">
        <v>-2.8403938139954702E-4</v>
      </c>
      <c r="AG119" s="15">
        <v>-9.2974961976789806E-5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2.6560143786785798E-3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3.2256801014078841E-3</v>
      </c>
      <c r="BE119" s="29">
        <f t="shared" si="42"/>
        <v>0</v>
      </c>
      <c r="BF119" s="29">
        <f t="shared" si="43"/>
        <v>5.8816944800864643E-3</v>
      </c>
      <c r="BH119" s="29"/>
    </row>
    <row r="120" spans="1:60" x14ac:dyDescent="0.25">
      <c r="A120" s="1">
        <v>46197</v>
      </c>
      <c r="B120" s="33">
        <v>20.5</v>
      </c>
      <c r="C120" s="33">
        <v>25.16</v>
      </c>
      <c r="D120" s="15">
        <v>3.42047731483175E-3</v>
      </c>
      <c r="E120" s="15">
        <v>2.7860714539087801E-3</v>
      </c>
      <c r="F120" s="33">
        <v>0</v>
      </c>
      <c r="G120" s="33">
        <v>0.48755999999999999</v>
      </c>
      <c r="H120" s="33">
        <v>0</v>
      </c>
      <c r="I120" s="33">
        <v>0.50262399999999996</v>
      </c>
      <c r="J120" s="33">
        <v>0.48755999999999999</v>
      </c>
      <c r="K120" s="33">
        <v>0.50262399999999996</v>
      </c>
      <c r="L120" s="33">
        <v>20.987559999999998</v>
      </c>
      <c r="M120" s="33">
        <v>25.662624000000001</v>
      </c>
      <c r="N120" s="34">
        <v>1.2273170731707299</v>
      </c>
      <c r="O120" s="34">
        <v>1.2246984145589499</v>
      </c>
      <c r="P120" s="34">
        <v>1.22434691810916</v>
      </c>
      <c r="Q120" s="34">
        <v>1.22436722579113</v>
      </c>
      <c r="R120" s="33">
        <v>25.106317498458601</v>
      </c>
      <c r="S120" s="33">
        <v>25.090003316838999</v>
      </c>
      <c r="T120" s="33">
        <v>25.1012571326245</v>
      </c>
      <c r="U120" s="15">
        <v>-2.1359241982308701E-3</v>
      </c>
      <c r="V120" s="15">
        <v>-2.7859392562675799E-3</v>
      </c>
      <c r="W120" s="15">
        <v>-2.3375019835887201E-3</v>
      </c>
      <c r="X120" s="34">
        <v>1.2227540504946699</v>
      </c>
      <c r="Y120" s="34">
        <v>1.2232106064414101</v>
      </c>
      <c r="Z120" s="34">
        <v>1.22323778986557</v>
      </c>
      <c r="AA120" s="34">
        <v>1.2232656071313599</v>
      </c>
      <c r="AB120" s="33">
        <v>25.672205995325601</v>
      </c>
      <c r="AC120" s="33">
        <v>25.673832357872101</v>
      </c>
      <c r="AD120" s="33">
        <v>25.675120243786701</v>
      </c>
      <c r="AE120" s="15">
        <v>3.73313613301461E-4</v>
      </c>
      <c r="AF120" s="15">
        <v>4.3666270893929398E-4</v>
      </c>
      <c r="AG120" s="15">
        <v>4.8682481934571997E-4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2.6560143786785798E-3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3.2256801014078841E-3</v>
      </c>
      <c r="BE120" s="29">
        <f t="shared" si="42"/>
        <v>0</v>
      </c>
      <c r="BF120" s="29">
        <f t="shared" si="43"/>
        <v>5.8816944800864643E-3</v>
      </c>
      <c r="BH120" s="29"/>
    </row>
    <row r="121" spans="1:60" x14ac:dyDescent="0.25">
      <c r="A121" s="1">
        <v>46198</v>
      </c>
      <c r="B121" s="33">
        <v>20.52</v>
      </c>
      <c r="C121" s="33">
        <v>25.2</v>
      </c>
      <c r="D121" s="15">
        <v>9.7513415820629095E-4</v>
      </c>
      <c r="E121" s="15">
        <v>1.5885626851377399E-3</v>
      </c>
      <c r="F121" s="33">
        <v>0</v>
      </c>
      <c r="G121" s="33">
        <v>0.48755999999999999</v>
      </c>
      <c r="H121" s="33">
        <v>0</v>
      </c>
      <c r="I121" s="33">
        <v>0.50262399999999996</v>
      </c>
      <c r="J121" s="33">
        <v>0.48755999999999999</v>
      </c>
      <c r="K121" s="33">
        <v>0.50262399999999996</v>
      </c>
      <c r="L121" s="33">
        <v>21.007559999999899</v>
      </c>
      <c r="M121" s="33">
        <v>25.702624</v>
      </c>
      <c r="N121" s="34">
        <v>1.2280701754385901</v>
      </c>
      <c r="O121" s="34">
        <v>1.2246984145589499</v>
      </c>
      <c r="P121" s="34">
        <v>1.2248447380013601</v>
      </c>
      <c r="Q121" s="34">
        <v>1.22432612743764</v>
      </c>
      <c r="R121" s="33">
        <v>25.130811466749702</v>
      </c>
      <c r="S121" s="33">
        <v>25.1235987596</v>
      </c>
      <c r="T121" s="33">
        <v>25.124015473234099</v>
      </c>
      <c r="U121" s="15">
        <v>-2.74935272516248E-3</v>
      </c>
      <c r="V121" s="15">
        <v>-3.0364004555716098E-3</v>
      </c>
      <c r="W121" s="15">
        <v>-3.0198140508048898E-3</v>
      </c>
      <c r="X121" s="34">
        <v>1.2234940183438701</v>
      </c>
      <c r="Y121" s="34">
        <v>1.2232106064414101</v>
      </c>
      <c r="Z121" s="34">
        <v>1.2232400571108499</v>
      </c>
      <c r="AA121" s="34">
        <v>1.22322412080676</v>
      </c>
      <c r="AB121" s="33">
        <v>25.6966702074544</v>
      </c>
      <c r="AC121" s="33">
        <v>25.697241264868399</v>
      </c>
      <c r="AD121" s="33">
        <v>25.697825637748601</v>
      </c>
      <c r="AE121" s="15">
        <v>-2.31668261753478E-4</v>
      </c>
      <c r="AF121" s="15">
        <v>-2.0944549653816201E-4</v>
      </c>
      <c r="AG121" s="15">
        <v>-1.8670506966972201E-4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2.6560143786785798E-3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3.2256801014078841E-3</v>
      </c>
      <c r="BE121" s="29">
        <f t="shared" si="42"/>
        <v>0</v>
      </c>
      <c r="BF121" s="29">
        <f t="shared" si="43"/>
        <v>5.8816944800864643E-3</v>
      </c>
      <c r="BH121" s="29"/>
    </row>
    <row r="122" spans="1:60" x14ac:dyDescent="0.25">
      <c r="A122" s="1">
        <v>46199</v>
      </c>
      <c r="B122" s="33">
        <v>20.55</v>
      </c>
      <c r="C122" s="33">
        <v>25.23</v>
      </c>
      <c r="D122" s="15">
        <v>1.4609206396748601E-3</v>
      </c>
      <c r="E122" s="15">
        <v>1.18976813558875E-3</v>
      </c>
      <c r="F122" s="33">
        <v>0</v>
      </c>
      <c r="G122" s="33">
        <v>0.48755999999999999</v>
      </c>
      <c r="H122" s="33">
        <v>0</v>
      </c>
      <c r="I122" s="33">
        <v>0.50262399999999996</v>
      </c>
      <c r="J122" s="33">
        <v>0.48755999999999999</v>
      </c>
      <c r="K122" s="33">
        <v>0.50262399999999996</v>
      </c>
      <c r="L122" s="33">
        <v>21.037559999999999</v>
      </c>
      <c r="M122" s="33">
        <v>25.732624000000001</v>
      </c>
      <c r="N122" s="34">
        <v>1.22773722627737</v>
      </c>
      <c r="O122" s="34">
        <v>1.2246984145589499</v>
      </c>
      <c r="P122" s="34">
        <v>1.22534219603765</v>
      </c>
      <c r="Q122" s="34">
        <v>1.2243205836882101</v>
      </c>
      <c r="R122" s="33">
        <v>25.167552419186499</v>
      </c>
      <c r="S122" s="33">
        <v>25.1705593659279</v>
      </c>
      <c r="T122" s="33">
        <v>25.159901918843499</v>
      </c>
      <c r="U122" s="15">
        <v>-2.4782002210762201E-3</v>
      </c>
      <c r="V122" s="15">
        <v>-2.3587302354794301E-3</v>
      </c>
      <c r="W122" s="15">
        <v>-2.7822291254823699E-3</v>
      </c>
      <c r="X122" s="34">
        <v>1.2231753112052901</v>
      </c>
      <c r="Y122" s="34">
        <v>1.2232106064414101</v>
      </c>
      <c r="Z122" s="34">
        <v>1.22324296845545</v>
      </c>
      <c r="AA122" s="34">
        <v>1.2232173477621</v>
      </c>
      <c r="AB122" s="33">
        <v>25.7333665256476</v>
      </c>
      <c r="AC122" s="33">
        <v>25.733986095873</v>
      </c>
      <c r="AD122" s="33">
        <v>25.733650834919501</v>
      </c>
      <c r="AE122" s="15">
        <v>2.8855002697728499E-5</v>
      </c>
      <c r="AF122" s="15">
        <v>5.2931244968092203E-5</v>
      </c>
      <c r="AG122" s="15">
        <v>3.9903215180707E-5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2.6560143786785798E-3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3.2256801014078841E-3</v>
      </c>
      <c r="BE122" s="29">
        <f t="shared" si="42"/>
        <v>0</v>
      </c>
      <c r="BF122" s="29">
        <f t="shared" si="43"/>
        <v>5.8816944800864643E-3</v>
      </c>
      <c r="BH122" s="29"/>
    </row>
    <row r="123" spans="1:60" x14ac:dyDescent="0.25">
      <c r="A123" s="1">
        <v>46202</v>
      </c>
      <c r="B123" s="33">
        <v>20.57</v>
      </c>
      <c r="C123" s="33">
        <v>25.25</v>
      </c>
      <c r="D123" s="15">
        <v>9.7276272262214101E-4</v>
      </c>
      <c r="E123" s="15">
        <v>7.9239306840240696E-4</v>
      </c>
      <c r="F123" s="33">
        <v>0</v>
      </c>
      <c r="G123" s="33">
        <v>0.48755999999999999</v>
      </c>
      <c r="H123" s="33">
        <v>0</v>
      </c>
      <c r="I123" s="33">
        <v>0.50262399999999996</v>
      </c>
      <c r="J123" s="33">
        <v>0.48755999999999999</v>
      </c>
      <c r="K123" s="33">
        <v>0.50262399999999996</v>
      </c>
      <c r="L123" s="33">
        <v>21.057559999999999</v>
      </c>
      <c r="M123" s="33">
        <v>25.752624000000001</v>
      </c>
      <c r="N123" s="34">
        <v>1.2275157997083099</v>
      </c>
      <c r="O123" s="34">
        <v>1.2246984145589499</v>
      </c>
      <c r="P123" s="34">
        <v>1.22579582079914</v>
      </c>
      <c r="Q123" s="34">
        <v>1.2243205836882101</v>
      </c>
      <c r="R123" s="33">
        <v>25.192046387477699</v>
      </c>
      <c r="S123" s="33">
        <v>25.2052889724946</v>
      </c>
      <c r="T123" s="33">
        <v>25.184274406466599</v>
      </c>
      <c r="U123" s="15">
        <v>-2.2978305668565702E-3</v>
      </c>
      <c r="V123" s="15">
        <v>-1.77230336479014E-3</v>
      </c>
      <c r="W123" s="15">
        <v>-2.6063874821001401E-3</v>
      </c>
      <c r="X123" s="34">
        <v>1.2229633442811001</v>
      </c>
      <c r="Y123" s="34">
        <v>1.2232106064414101</v>
      </c>
      <c r="Z123" s="34">
        <v>1.22320337475357</v>
      </c>
      <c r="AA123" s="34">
        <v>1.22321594654824</v>
      </c>
      <c r="AB123" s="33">
        <v>25.757830737776501</v>
      </c>
      <c r="AC123" s="33">
        <v>25.7585122028289</v>
      </c>
      <c r="AD123" s="33">
        <v>25.757972693541401</v>
      </c>
      <c r="AE123" s="15">
        <v>2.02162369590479E-4</v>
      </c>
      <c r="AF123" s="15">
        <v>2.2861863622518699E-4</v>
      </c>
      <c r="AG123" s="15">
        <v>2.0767352366156999E-4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2.6560143786785798E-3</v>
      </c>
      <c r="AT123" s="12"/>
      <c r="AU123">
        <f t="shared" si="30"/>
        <v>0</v>
      </c>
      <c r="AV123">
        <f t="shared" si="31"/>
        <v>0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3.2256801014078841E-3</v>
      </c>
      <c r="BE123" s="29">
        <f t="shared" si="42"/>
        <v>0</v>
      </c>
      <c r="BF123" s="29">
        <f t="shared" si="43"/>
        <v>5.8816944800864643E-3</v>
      </c>
      <c r="BH123" s="29"/>
    </row>
    <row r="124" spans="1:60" x14ac:dyDescent="0.25">
      <c r="A124" s="1">
        <v>46203</v>
      </c>
      <c r="B124" s="33">
        <v>20.51</v>
      </c>
      <c r="C124" s="33">
        <v>25.19</v>
      </c>
      <c r="D124" s="15">
        <v>-2.9211315805765001E-3</v>
      </c>
      <c r="E124" s="15">
        <v>-2.3790653568500002E-3</v>
      </c>
      <c r="F124" s="33">
        <v>0</v>
      </c>
      <c r="G124" s="33">
        <v>0.48755999999999999</v>
      </c>
      <c r="H124" s="33">
        <v>0</v>
      </c>
      <c r="I124" s="33">
        <v>0.50262399999999996</v>
      </c>
      <c r="J124" s="33">
        <v>0.48755999999999999</v>
      </c>
      <c r="K124" s="33">
        <v>0.50262399999999996</v>
      </c>
      <c r="L124" s="33">
        <v>20.99756</v>
      </c>
      <c r="M124" s="33">
        <v>25.692623999999999</v>
      </c>
      <c r="N124" s="34">
        <v>1.22818137493905</v>
      </c>
      <c r="O124" s="34">
        <v>1.2246984145589499</v>
      </c>
      <c r="P124" s="34">
        <v>1.2263971376805001</v>
      </c>
      <c r="Q124" s="34">
        <v>1.2245752442520199</v>
      </c>
      <c r="R124" s="33">
        <v>25.118564482604199</v>
      </c>
      <c r="S124" s="33">
        <v>25.1410722845904</v>
      </c>
      <c r="T124" s="33">
        <v>25.110815171445299</v>
      </c>
      <c r="U124" s="15">
        <v>-2.8398967905831599E-3</v>
      </c>
      <c r="V124" s="15">
        <v>-1.9442355825597E-3</v>
      </c>
      <c r="W124" s="15">
        <v>-3.1484537058266201E-3</v>
      </c>
      <c r="X124" s="34">
        <v>1.22360045643398</v>
      </c>
      <c r="Y124" s="34">
        <v>1.2232106064414101</v>
      </c>
      <c r="Z124" s="34">
        <v>1.22330711654582</v>
      </c>
      <c r="AA124" s="34">
        <v>1.22322267058248</v>
      </c>
      <c r="AB124" s="33">
        <v>25.68443810139</v>
      </c>
      <c r="AC124" s="33">
        <v>25.684286253590699</v>
      </c>
      <c r="AD124" s="33">
        <v>25.684550230603499</v>
      </c>
      <c r="AE124" s="15">
        <v>-3.1865966423281399E-4</v>
      </c>
      <c r="AF124" s="15">
        <v>-3.2457173626425899E-4</v>
      </c>
      <c r="AG124" s="15">
        <v>-3.1429402585314998E-4</v>
      </c>
      <c r="AI124" s="12"/>
      <c r="AJ124">
        <f t="shared" si="26"/>
        <v>0</v>
      </c>
      <c r="AK124">
        <f t="shared" si="27"/>
        <v>0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2.6560143786785798E-3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3.2256801014078841E-3</v>
      </c>
      <c r="BE124" s="29">
        <f t="shared" si="42"/>
        <v>0</v>
      </c>
      <c r="BF124" s="29">
        <f t="shared" si="43"/>
        <v>5.8816944800864643E-3</v>
      </c>
      <c r="BH124" s="29"/>
    </row>
    <row r="125" spans="1:60" x14ac:dyDescent="0.25">
      <c r="A125" s="1">
        <v>46204</v>
      </c>
      <c r="B125" s="33">
        <v>20.49</v>
      </c>
      <c r="C125" s="33">
        <v>25.06</v>
      </c>
      <c r="D125" s="15">
        <v>-9.7560983348102899E-4</v>
      </c>
      <c r="E125" s="15">
        <v>-5.1741408965966596E-3</v>
      </c>
      <c r="F125" s="33">
        <v>0</v>
      </c>
      <c r="G125" s="33">
        <v>0.48755999999999999</v>
      </c>
      <c r="H125" s="33">
        <v>9.9886000000000003E-2</v>
      </c>
      <c r="I125" s="33">
        <v>0.60250999999999999</v>
      </c>
      <c r="J125" s="33">
        <v>0.48755999999999999</v>
      </c>
      <c r="K125" s="33">
        <v>0.60250999999999999</v>
      </c>
      <c r="L125" s="33">
        <v>20.977559999999901</v>
      </c>
      <c r="M125" s="33">
        <v>25.662509999999902</v>
      </c>
      <c r="N125" s="34">
        <v>1.2230356271351801</v>
      </c>
      <c r="O125" s="34">
        <v>1.2246984145589499</v>
      </c>
      <c r="P125" s="34">
        <v>1.2263974933969299</v>
      </c>
      <c r="Q125" s="34">
        <v>1.22457804800411</v>
      </c>
      <c r="R125" s="33">
        <v>25.094070514313</v>
      </c>
      <c r="S125" s="33">
        <v>25.128877351073498</v>
      </c>
      <c r="T125" s="33">
        <v>25.0915467547239</v>
      </c>
      <c r="U125" s="15">
        <v>1.35863427253253E-3</v>
      </c>
      <c r="V125" s="15">
        <v>2.7447274356236198E-3</v>
      </c>
      <c r="W125" s="15">
        <v>1.2580572654733E-3</v>
      </c>
      <c r="X125" s="34">
        <v>1.22333150280585</v>
      </c>
      <c r="Y125" s="34">
        <v>1.2232106064414101</v>
      </c>
      <c r="Z125" s="34">
        <v>1.22329926052079</v>
      </c>
      <c r="AA125" s="34">
        <v>1.2232212816577801</v>
      </c>
      <c r="AB125" s="33">
        <v>25.659973889261099</v>
      </c>
      <c r="AC125" s="33">
        <v>25.6619984357669</v>
      </c>
      <c r="AD125" s="33">
        <v>25.6602269655043</v>
      </c>
      <c r="AE125" s="15">
        <v>-9.8830397466570806E-5</v>
      </c>
      <c r="AF125" s="15">
        <v>-1.9934501027333699E-5</v>
      </c>
      <c r="AG125" s="15">
        <v>-8.8967760963018798E-5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2.6560143786785798E-3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3.2256801014078841E-3</v>
      </c>
      <c r="BE125" s="29">
        <f t="shared" si="42"/>
        <v>0</v>
      </c>
      <c r="BF125" s="29">
        <f t="shared" si="43"/>
        <v>5.8816944800864643E-3</v>
      </c>
      <c r="BH125" s="29"/>
    </row>
    <row r="126" spans="1:60" x14ac:dyDescent="0.25">
      <c r="A126" s="1">
        <v>46205</v>
      </c>
      <c r="B126" s="33">
        <v>20.52</v>
      </c>
      <c r="C126" s="33">
        <v>25.09</v>
      </c>
      <c r="D126" s="15">
        <v>1.46305805176053E-3</v>
      </c>
      <c r="E126" s="15">
        <v>1.19641091040868E-3</v>
      </c>
      <c r="F126" s="33">
        <v>0</v>
      </c>
      <c r="G126" s="33">
        <v>0.48755999999999999</v>
      </c>
      <c r="H126" s="33">
        <v>0</v>
      </c>
      <c r="I126" s="33">
        <v>0.60250999999999999</v>
      </c>
      <c r="J126" s="33">
        <v>0.48755999999999999</v>
      </c>
      <c r="K126" s="33">
        <v>0.60250999999999999</v>
      </c>
      <c r="L126" s="33">
        <v>21.007559999999899</v>
      </c>
      <c r="M126" s="33">
        <v>25.692509999999999</v>
      </c>
      <c r="N126" s="34">
        <v>1.22270955165692</v>
      </c>
      <c r="O126" s="34">
        <v>1.2246984145589499</v>
      </c>
      <c r="P126" s="34">
        <v>1.2263810585332999</v>
      </c>
      <c r="Q126" s="34">
        <v>1.2245671841235399</v>
      </c>
      <c r="R126" s="33">
        <v>25.130811466749702</v>
      </c>
      <c r="S126" s="33">
        <v>25.165676564505102</v>
      </c>
      <c r="T126" s="33">
        <v>25.1283415450443</v>
      </c>
      <c r="U126" s="15">
        <v>1.6252814138841901E-3</v>
      </c>
      <c r="V126" s="15">
        <v>3.0116646268880699E-3</v>
      </c>
      <c r="W126" s="15">
        <v>1.5269939753011601E-3</v>
      </c>
      <c r="X126" s="34">
        <v>1.22301257261671</v>
      </c>
      <c r="Y126" s="34">
        <v>1.2232106064414101</v>
      </c>
      <c r="Z126" s="34">
        <v>1.2232748044169699</v>
      </c>
      <c r="AA126" s="34">
        <v>1.2232064950283501</v>
      </c>
      <c r="AB126" s="33">
        <v>25.6966702074544</v>
      </c>
      <c r="AC126" s="33">
        <v>25.698532613346199</v>
      </c>
      <c r="AD126" s="33">
        <v>25.696894467702801</v>
      </c>
      <c r="AE126" s="15">
        <v>1.61909859107615E-4</v>
      </c>
      <c r="AF126" s="15">
        <v>2.34383778476269E-4</v>
      </c>
      <c r="AG126" s="15">
        <v>1.7063703146096801E-4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2.6560143786785798E-3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3.2256801014078841E-3</v>
      </c>
      <c r="BE126" s="29">
        <f t="shared" si="42"/>
        <v>0</v>
      </c>
      <c r="BF126" s="29">
        <f t="shared" si="43"/>
        <v>5.8816944800864643E-3</v>
      </c>
      <c r="BH126" s="29"/>
    </row>
    <row r="127" spans="1:60" x14ac:dyDescent="0.25">
      <c r="A127" s="1">
        <v>46209</v>
      </c>
      <c r="B127" s="33">
        <v>20.54</v>
      </c>
      <c r="C127" s="33">
        <v>25.12</v>
      </c>
      <c r="D127" s="15">
        <v>9.7418419784341397E-4</v>
      </c>
      <c r="E127" s="15">
        <v>1.1949812216669399E-3</v>
      </c>
      <c r="F127" s="33">
        <v>0</v>
      </c>
      <c r="G127" s="33">
        <v>0.48755999999999999</v>
      </c>
      <c r="H127" s="33">
        <v>0</v>
      </c>
      <c r="I127" s="33">
        <v>0.60250999999999999</v>
      </c>
      <c r="J127" s="33">
        <v>0.48755999999999999</v>
      </c>
      <c r="K127" s="33">
        <v>0.60250999999999999</v>
      </c>
      <c r="L127" s="33">
        <v>21.027559999999902</v>
      </c>
      <c r="M127" s="33">
        <v>25.72251</v>
      </c>
      <c r="N127" s="34">
        <v>1.2229795520934701</v>
      </c>
      <c r="O127" s="34">
        <v>1.2246984145589499</v>
      </c>
      <c r="P127" s="34">
        <v>1.22646761578843</v>
      </c>
      <c r="Q127" s="34">
        <v>1.2245617535450599</v>
      </c>
      <c r="R127" s="33">
        <v>25.155305435040901</v>
      </c>
      <c r="S127" s="33">
        <v>25.189866942274001</v>
      </c>
      <c r="T127" s="33">
        <v>25.1526099618975</v>
      </c>
      <c r="U127" s="15">
        <v>1.4044843900606E-3</v>
      </c>
      <c r="V127" s="15">
        <v>2.77746658598474E-3</v>
      </c>
      <c r="W127" s="15">
        <v>1.29732538238782E-3</v>
      </c>
      <c r="X127" s="34">
        <v>1.2232760244174701</v>
      </c>
      <c r="Y127" s="34">
        <v>1.2232106064414101</v>
      </c>
      <c r="Z127" s="34">
        <v>1.2233513454518901</v>
      </c>
      <c r="AA127" s="34">
        <v>1.22319699746177</v>
      </c>
      <c r="AB127" s="33">
        <v>25.721134419583201</v>
      </c>
      <c r="AC127" s="33">
        <v>25.722484346366201</v>
      </c>
      <c r="AD127" s="33">
        <v>25.721047966598299</v>
      </c>
      <c r="AE127" s="15">
        <v>-5.3479120019032799E-5</v>
      </c>
      <c r="AF127" s="15">
        <v>-9.9732283448579796E-7</v>
      </c>
      <c r="AG127" s="15">
        <v>-5.6840290984086101E-5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2.6560143786785798E-3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3.2256801014078841E-3</v>
      </c>
      <c r="BE127" s="29">
        <f t="shared" si="42"/>
        <v>0</v>
      </c>
      <c r="BF127" s="29">
        <f t="shared" si="43"/>
        <v>5.8816944800864643E-3</v>
      </c>
      <c r="BH127" s="29"/>
    </row>
    <row r="128" spans="1:60" x14ac:dyDescent="0.25">
      <c r="A128" s="1">
        <v>46210</v>
      </c>
      <c r="B128" s="33">
        <v>20.45</v>
      </c>
      <c r="C128" s="33">
        <v>25</v>
      </c>
      <c r="D128" s="15">
        <v>-4.3913220116013601E-3</v>
      </c>
      <c r="E128" s="15">
        <v>-4.7885167317972301E-3</v>
      </c>
      <c r="F128" s="33">
        <v>0</v>
      </c>
      <c r="G128" s="33">
        <v>0.48755999999999999</v>
      </c>
      <c r="H128" s="33">
        <v>0</v>
      </c>
      <c r="I128" s="33">
        <v>0.60250999999999999</v>
      </c>
      <c r="J128" s="33">
        <v>0.48755999999999999</v>
      </c>
      <c r="K128" s="33">
        <v>0.60250999999999999</v>
      </c>
      <c r="L128" s="33">
        <v>20.937559999999898</v>
      </c>
      <c r="M128" s="33">
        <v>25.602509999999999</v>
      </c>
      <c r="N128" s="34">
        <v>1.22249388753056</v>
      </c>
      <c r="O128" s="34">
        <v>1.2246984145589499</v>
      </c>
      <c r="P128" s="34">
        <v>1.2258136205297201</v>
      </c>
      <c r="Q128" s="34">
        <v>1.22453995110631</v>
      </c>
      <c r="R128" s="33">
        <v>25.0450825777306</v>
      </c>
      <c r="S128" s="33">
        <v>25.081262742873498</v>
      </c>
      <c r="T128" s="33">
        <v>25.042287859996598</v>
      </c>
      <c r="U128" s="15">
        <v>1.80167911025632E-3</v>
      </c>
      <c r="V128" s="15">
        <v>3.2452382284963999E-3</v>
      </c>
      <c r="W128" s="15">
        <v>1.6900854006052699E-3</v>
      </c>
      <c r="X128" s="34">
        <v>1.2228029436094701</v>
      </c>
      <c r="Y128" s="34">
        <v>1.2232106064414101</v>
      </c>
      <c r="Z128" s="34">
        <v>1.22319097145887</v>
      </c>
      <c r="AA128" s="34">
        <v>1.2231714945755501</v>
      </c>
      <c r="AB128" s="33">
        <v>25.6110454650035</v>
      </c>
      <c r="AC128" s="33">
        <v>25.6139921964797</v>
      </c>
      <c r="AD128" s="33">
        <v>25.6107605261756</v>
      </c>
      <c r="AE128" s="15">
        <v>3.3332835438070802E-4</v>
      </c>
      <c r="AF128" s="15">
        <v>4.4837879119925101E-4</v>
      </c>
      <c r="AG128" s="15">
        <v>3.22202669826421E-4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2.6560143786785798E-3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3.2256801014078841E-3</v>
      </c>
      <c r="BE128" s="29">
        <f t="shared" si="42"/>
        <v>0</v>
      </c>
      <c r="BF128" s="29">
        <f t="shared" si="43"/>
        <v>5.8816944800864643E-3</v>
      </c>
      <c r="BH128" s="29"/>
    </row>
    <row r="129" spans="1:60" x14ac:dyDescent="0.25">
      <c r="A129" s="1">
        <v>46211</v>
      </c>
      <c r="B129" s="33">
        <v>20.420000000000002</v>
      </c>
      <c r="C129" s="33">
        <v>24.97</v>
      </c>
      <c r="D129" s="15">
        <v>-1.4680697522911599E-3</v>
      </c>
      <c r="E129" s="15">
        <v>-1.2007205765189801E-3</v>
      </c>
      <c r="F129" s="33">
        <v>0</v>
      </c>
      <c r="G129" s="33">
        <v>0.48755999999999999</v>
      </c>
      <c r="H129" s="33">
        <v>0</v>
      </c>
      <c r="I129" s="33">
        <v>0.60250999999999999</v>
      </c>
      <c r="J129" s="33">
        <v>0.48755999999999999</v>
      </c>
      <c r="K129" s="33">
        <v>0.60250999999999999</v>
      </c>
      <c r="L129" s="33">
        <v>20.90756</v>
      </c>
      <c r="M129" s="33">
        <v>25.572509999999902</v>
      </c>
      <c r="N129" s="34">
        <v>1.2228207639569</v>
      </c>
      <c r="O129" s="34">
        <v>1.2246984145589499</v>
      </c>
      <c r="P129" s="34">
        <v>1.2252861031907101</v>
      </c>
      <c r="Q129" s="34">
        <v>1.22459435200606</v>
      </c>
      <c r="R129" s="33">
        <v>25.008341625293799</v>
      </c>
      <c r="S129" s="33">
        <v>25.031114131216899</v>
      </c>
      <c r="T129" s="33">
        <v>25.005105801590801</v>
      </c>
      <c r="U129" s="15">
        <v>1.53432993448418E-3</v>
      </c>
      <c r="V129" s="15">
        <v>2.4445119958571098E-3</v>
      </c>
      <c r="W129" s="15">
        <v>1.40493178762416E-3</v>
      </c>
      <c r="X129" s="34">
        <v>1.22312264080552</v>
      </c>
      <c r="Y129" s="34">
        <v>1.2232106064414101</v>
      </c>
      <c r="Z129" s="34">
        <v>1.2231532865013901</v>
      </c>
      <c r="AA129" s="34">
        <v>1.2232206923414899</v>
      </c>
      <c r="AB129" s="33">
        <v>25.574349146810199</v>
      </c>
      <c r="AC129" s="33">
        <v>25.5739386272347</v>
      </c>
      <c r="AD129" s="33">
        <v>25.573531413128102</v>
      </c>
      <c r="AE129" s="15">
        <v>7.1916314775435E-5</v>
      </c>
      <c r="AF129" s="15">
        <v>5.58641811310415E-5</v>
      </c>
      <c r="AG129" s="15">
        <v>3.9941043337894901E-5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2.6560143786785798E-3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3.2256801014078841E-3</v>
      </c>
      <c r="BE129" s="29">
        <f t="shared" si="42"/>
        <v>0</v>
      </c>
      <c r="BF129" s="29">
        <f t="shared" si="43"/>
        <v>5.8816944800864643E-3</v>
      </c>
      <c r="BH129" s="29"/>
    </row>
    <row r="130" spans="1:60" x14ac:dyDescent="0.25">
      <c r="A130" s="1">
        <v>46212</v>
      </c>
      <c r="B130" s="33">
        <v>20.45</v>
      </c>
      <c r="C130" s="33">
        <v>25</v>
      </c>
      <c r="D130" s="15">
        <v>1.4680697522911599E-3</v>
      </c>
      <c r="E130" s="15">
        <v>1.2007205765188799E-3</v>
      </c>
      <c r="F130" s="33">
        <v>0</v>
      </c>
      <c r="G130" s="33">
        <v>0.48755999999999999</v>
      </c>
      <c r="H130" s="33">
        <v>0</v>
      </c>
      <c r="I130" s="33">
        <v>0.60250999999999999</v>
      </c>
      <c r="J130" s="33">
        <v>0.48755999999999999</v>
      </c>
      <c r="K130" s="33">
        <v>0.60250999999999999</v>
      </c>
      <c r="L130" s="33">
        <v>20.937559999999898</v>
      </c>
      <c r="M130" s="33">
        <v>25.602509999999999</v>
      </c>
      <c r="N130" s="34">
        <v>1.22249388753056</v>
      </c>
      <c r="O130" s="34">
        <v>1.2246984145589499</v>
      </c>
      <c r="P130" s="34">
        <v>1.2248037846266899</v>
      </c>
      <c r="Q130" s="34">
        <v>1.2245753513679201</v>
      </c>
      <c r="R130" s="33">
        <v>25.0450825777306</v>
      </c>
      <c r="S130" s="33">
        <v>25.057100810249999</v>
      </c>
      <c r="T130" s="33">
        <v>25.042954498524001</v>
      </c>
      <c r="U130" s="15">
        <v>1.80167911025632E-3</v>
      </c>
      <c r="V130" s="15">
        <v>2.2814279729692602E-3</v>
      </c>
      <c r="W130" s="15">
        <v>1.7167055584006901E-3</v>
      </c>
      <c r="X130" s="34">
        <v>1.2228029436094701</v>
      </c>
      <c r="Y130" s="34">
        <v>1.2232106064414101</v>
      </c>
      <c r="Z130" s="34">
        <v>1.22315817581287</v>
      </c>
      <c r="AA130" s="34">
        <v>1.2231979828392201</v>
      </c>
      <c r="AB130" s="33">
        <v>25.6110454650035</v>
      </c>
      <c r="AC130" s="33">
        <v>25.609845325320201</v>
      </c>
      <c r="AD130" s="33">
        <v>25.611256639141601</v>
      </c>
      <c r="AE130" s="15">
        <v>3.3332835438070802E-4</v>
      </c>
      <c r="AF130" s="15">
        <v>2.8646701850676301E-4</v>
      </c>
      <c r="AG130" s="15">
        <v>3.4157375255524302E-4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2.6560143786785798E-3</v>
      </c>
      <c r="AT130" s="12"/>
      <c r="AU130">
        <f t="shared" si="30"/>
        <v>0</v>
      </c>
      <c r="AV130">
        <f t="shared" si="31"/>
        <v>0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3.2256801014078841E-3</v>
      </c>
      <c r="BE130" s="29">
        <f t="shared" si="42"/>
        <v>0</v>
      </c>
      <c r="BF130" s="29">
        <f t="shared" si="43"/>
        <v>5.8816944800864643E-3</v>
      </c>
      <c r="BH130" s="29"/>
    </row>
    <row r="131" spans="1:60" x14ac:dyDescent="0.25">
      <c r="A131" s="1">
        <v>46213</v>
      </c>
      <c r="B131" s="33">
        <v>20.420000000000002</v>
      </c>
      <c r="C131" s="33">
        <v>24.96</v>
      </c>
      <c r="D131" s="15">
        <v>-1.4680697522911599E-3</v>
      </c>
      <c r="E131" s="15">
        <v>-1.6012813669737599E-3</v>
      </c>
      <c r="F131" s="33">
        <v>0</v>
      </c>
      <c r="G131" s="33">
        <v>0.48755999999999999</v>
      </c>
      <c r="H131" s="33">
        <v>0</v>
      </c>
      <c r="I131" s="33">
        <v>0.60250999999999999</v>
      </c>
      <c r="J131" s="33">
        <v>0.48755999999999999</v>
      </c>
      <c r="K131" s="33">
        <v>0.60250999999999999</v>
      </c>
      <c r="L131" s="33">
        <v>20.90756</v>
      </c>
      <c r="M131" s="33">
        <v>25.56251</v>
      </c>
      <c r="N131" s="34">
        <v>1.2223310479921601</v>
      </c>
      <c r="O131" s="34">
        <v>1.2246984145589499</v>
      </c>
      <c r="P131" s="34">
        <v>1.2242298718820499</v>
      </c>
      <c r="Q131" s="34">
        <v>1.2245373049417001</v>
      </c>
      <c r="R131" s="33">
        <v>25.008341625293799</v>
      </c>
      <c r="S131" s="33">
        <v>25.0104932820771</v>
      </c>
      <c r="T131" s="33">
        <v>25.005828674933099</v>
      </c>
      <c r="U131" s="15">
        <v>1.9348907249391199E-3</v>
      </c>
      <c r="V131" s="15">
        <v>2.02092458752429E-3</v>
      </c>
      <c r="W131" s="15">
        <v>1.83440118976124E-3</v>
      </c>
      <c r="X131" s="34">
        <v>1.22264434491638</v>
      </c>
      <c r="Y131" s="34">
        <v>1.2232106064414101</v>
      </c>
      <c r="Z131" s="34">
        <v>1.2230732084701199</v>
      </c>
      <c r="AA131" s="34">
        <v>1.2231566327904899</v>
      </c>
      <c r="AB131" s="33">
        <v>25.574349146810199</v>
      </c>
      <c r="AC131" s="33">
        <v>25.573252950298301</v>
      </c>
      <c r="AD131" s="33">
        <v>25.574085218090101</v>
      </c>
      <c r="AE131" s="15">
        <v>4.6303770780441899E-4</v>
      </c>
      <c r="AF131" s="15">
        <v>4.2017366463452198E-4</v>
      </c>
      <c r="AG131" s="15">
        <v>4.5271759836366802E-4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2.6560143786785798E-3</v>
      </c>
      <c r="AT131" s="12"/>
      <c r="AU131">
        <f t="shared" si="30"/>
        <v>0</v>
      </c>
      <c r="AV131">
        <f t="shared" si="31"/>
        <v>0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3.2256801014078841E-3</v>
      </c>
      <c r="BE131" s="29">
        <f t="shared" si="42"/>
        <v>0</v>
      </c>
      <c r="BF131" s="29">
        <f t="shared" si="43"/>
        <v>5.8816944800864643E-3</v>
      </c>
      <c r="BH131" s="29"/>
    </row>
    <row r="132" spans="1:60" x14ac:dyDescent="0.25">
      <c r="A132" s="1">
        <v>46216</v>
      </c>
      <c r="B132" s="33">
        <v>20.34</v>
      </c>
      <c r="C132" s="33">
        <v>24.86</v>
      </c>
      <c r="D132" s="15">
        <v>-3.9254221161056403E-3</v>
      </c>
      <c r="E132" s="15">
        <v>-4.0144574186619496E-3</v>
      </c>
      <c r="F132" s="33">
        <v>0</v>
      </c>
      <c r="G132" s="33">
        <v>0.48755999999999999</v>
      </c>
      <c r="H132" s="33">
        <v>0</v>
      </c>
      <c r="I132" s="33">
        <v>0.60250999999999999</v>
      </c>
      <c r="J132" s="33">
        <v>0.48755999999999999</v>
      </c>
      <c r="K132" s="33">
        <v>0.60250999999999999</v>
      </c>
      <c r="L132" s="33">
        <v>20.827559999999998</v>
      </c>
      <c r="M132" s="33">
        <v>25.462509999999899</v>
      </c>
      <c r="N132" s="34">
        <v>1.2222222222222201</v>
      </c>
      <c r="O132" s="34">
        <v>1.2246984145589499</v>
      </c>
      <c r="P132" s="34">
        <v>1.22367837147653</v>
      </c>
      <c r="Q132" s="34">
        <v>1.22451028375709</v>
      </c>
      <c r="R132" s="33">
        <v>24.910365752129099</v>
      </c>
      <c r="S132" s="33">
        <v>24.900835594080899</v>
      </c>
      <c r="T132" s="33">
        <v>24.9070887825143</v>
      </c>
      <c r="U132" s="15">
        <v>2.0239260274953E-3</v>
      </c>
      <c r="V132" s="15">
        <v>1.64127482025811E-3</v>
      </c>
      <c r="W132" s="15">
        <v>1.8923669323862901E-3</v>
      </c>
      <c r="X132" s="34">
        <v>1.2225392700825199</v>
      </c>
      <c r="Y132" s="34">
        <v>1.2232106064414101</v>
      </c>
      <c r="Z132" s="34">
        <v>1.22300960435785</v>
      </c>
      <c r="AA132" s="34">
        <v>1.2231262864066501</v>
      </c>
      <c r="AB132" s="33">
        <v>25.4764922982949</v>
      </c>
      <c r="AC132" s="33">
        <v>25.473630633804099</v>
      </c>
      <c r="AD132" s="33">
        <v>25.475368158841899</v>
      </c>
      <c r="AE132" s="15">
        <v>5.48982037938829E-4</v>
      </c>
      <c r="AF132" s="15">
        <v>4.3665004228595302E-4</v>
      </c>
      <c r="AG132" s="15">
        <v>5.0485648714863798E-4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2.6560143786785798E-3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3.2256801014078841E-3</v>
      </c>
      <c r="BE132" s="29">
        <f t="shared" si="42"/>
        <v>0</v>
      </c>
      <c r="BF132" s="29">
        <f t="shared" si="43"/>
        <v>5.8816944800864643E-3</v>
      </c>
      <c r="BH132" s="29"/>
    </row>
    <row r="133" spans="1:60" x14ac:dyDescent="0.25">
      <c r="A133" s="1">
        <v>46217</v>
      </c>
      <c r="B133" s="33">
        <v>20.39</v>
      </c>
      <c r="C133" s="33">
        <v>24.95</v>
      </c>
      <c r="D133" s="15">
        <v>2.4551939659498501E-3</v>
      </c>
      <c r="E133" s="15">
        <v>3.6137361149625102E-3</v>
      </c>
      <c r="F133" s="33">
        <v>0</v>
      </c>
      <c r="G133" s="33">
        <v>0.48755999999999999</v>
      </c>
      <c r="H133" s="33">
        <v>0</v>
      </c>
      <c r="I133" s="33">
        <v>0.60250999999999999</v>
      </c>
      <c r="J133" s="33">
        <v>0.48755999999999999</v>
      </c>
      <c r="K133" s="33">
        <v>0.60250999999999999</v>
      </c>
      <c r="L133" s="33">
        <v>20.877559999999999</v>
      </c>
      <c r="M133" s="33">
        <v>25.552509999999899</v>
      </c>
      <c r="N133" s="34">
        <v>1.22363903874448</v>
      </c>
      <c r="O133" s="34">
        <v>1.2246984145589499</v>
      </c>
      <c r="P133" s="34">
        <v>1.2232906953801499</v>
      </c>
      <c r="Q133" s="34">
        <v>1.22454325808964</v>
      </c>
      <c r="R133" s="33">
        <v>24.9716006728571</v>
      </c>
      <c r="S133" s="33">
        <v>24.9508019944065</v>
      </c>
      <c r="T133" s="33">
        <v>24.9677646858072</v>
      </c>
      <c r="U133" s="15">
        <v>8.6538387848261104E-4</v>
      </c>
      <c r="V133" s="15">
        <v>3.21435477826362E-5</v>
      </c>
      <c r="W133" s="15">
        <v>7.1175809529919101E-4</v>
      </c>
      <c r="X133" s="34">
        <v>1.2239222399552401</v>
      </c>
      <c r="Y133" s="34">
        <v>1.2232106064414101</v>
      </c>
      <c r="Z133" s="34">
        <v>1.2231054939252599</v>
      </c>
      <c r="AA133" s="34">
        <v>1.2231544343394201</v>
      </c>
      <c r="AB133" s="33">
        <v>25.537652828616999</v>
      </c>
      <c r="AC133" s="33">
        <v>25.533456395557302</v>
      </c>
      <c r="AD133" s="33">
        <v>25.535892432032099</v>
      </c>
      <c r="AE133" s="15">
        <v>-5.8160596792749695E-4</v>
      </c>
      <c r="AF133" s="15">
        <v>-7.4594283598923897E-4</v>
      </c>
      <c r="AG133" s="15">
        <v>-6.5054171838844197E-4</v>
      </c>
      <c r="AI133" s="12"/>
      <c r="AJ133">
        <f t="shared" si="26"/>
        <v>0</v>
      </c>
      <c r="AK133">
        <f t="shared" si="27"/>
        <v>0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2.6560143786785798E-3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3.2256801014078841E-3</v>
      </c>
      <c r="BE133" s="29">
        <f t="shared" si="42"/>
        <v>0</v>
      </c>
      <c r="BF133" s="29">
        <f t="shared" si="43"/>
        <v>5.8816944800864643E-3</v>
      </c>
      <c r="BH133" s="29"/>
    </row>
    <row r="134" spans="1:60" x14ac:dyDescent="0.25">
      <c r="A134" s="1">
        <v>46218</v>
      </c>
      <c r="B134" s="33">
        <v>20.46</v>
      </c>
      <c r="C134" s="33">
        <v>25.03</v>
      </c>
      <c r="D134" s="15">
        <v>3.4271759371165599E-3</v>
      </c>
      <c r="E134" s="15">
        <v>3.2012832461553501E-3</v>
      </c>
      <c r="F134" s="33">
        <v>0</v>
      </c>
      <c r="G134" s="33">
        <v>0.48755999999999999</v>
      </c>
      <c r="H134" s="33">
        <v>0</v>
      </c>
      <c r="I134" s="33">
        <v>0.60250999999999999</v>
      </c>
      <c r="J134" s="33">
        <v>0.48755999999999999</v>
      </c>
      <c r="K134" s="33">
        <v>0.60250999999999999</v>
      </c>
      <c r="L134" s="33">
        <v>20.947559999999999</v>
      </c>
      <c r="M134" s="33">
        <v>25.63251</v>
      </c>
      <c r="N134" s="34">
        <v>1.2233626588465201</v>
      </c>
      <c r="O134" s="34">
        <v>1.2246984145589499</v>
      </c>
      <c r="P134" s="34">
        <v>1.2228088237709001</v>
      </c>
      <c r="Q134" s="34">
        <v>1.2246029807257</v>
      </c>
      <c r="R134" s="33">
        <v>25.057329561876202</v>
      </c>
      <c r="S134" s="33">
        <v>25.028527627477899</v>
      </c>
      <c r="T134" s="33">
        <v>25.054155060514098</v>
      </c>
      <c r="U134" s="15">
        <v>1.0912765694439E-3</v>
      </c>
      <c r="V134" s="15">
        <v>-5.8826041925904503E-5</v>
      </c>
      <c r="W134" s="15">
        <v>9.6457901138004298E-4</v>
      </c>
      <c r="X134" s="34">
        <v>1.2236513465052701</v>
      </c>
      <c r="Y134" s="34">
        <v>1.2232106064414101</v>
      </c>
      <c r="Z134" s="34">
        <v>1.2231105829323901</v>
      </c>
      <c r="AA134" s="34">
        <v>1.2232088497391</v>
      </c>
      <c r="AB134" s="33">
        <v>25.623277571067899</v>
      </c>
      <c r="AC134" s="33">
        <v>25.621075720329099</v>
      </c>
      <c r="AD134" s="33">
        <v>25.6221009025911</v>
      </c>
      <c r="AE134" s="15">
        <v>-3.6024923113698199E-4</v>
      </c>
      <c r="AF134" s="15">
        <v>-4.46184582008731E-4</v>
      </c>
      <c r="AG134" s="15">
        <v>-4.0617214212302299E-4</v>
      </c>
      <c r="AI134" s="12"/>
      <c r="AJ134">
        <f t="shared" si="26"/>
        <v>0</v>
      </c>
      <c r="AK134">
        <f t="shared" si="27"/>
        <v>0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2.6560143786785798E-3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3.2256801014078841E-3</v>
      </c>
      <c r="BE134" s="29">
        <f t="shared" si="42"/>
        <v>0</v>
      </c>
      <c r="BF134" s="29">
        <f t="shared" si="43"/>
        <v>5.8816944800864643E-3</v>
      </c>
      <c r="BH134" s="29"/>
    </row>
    <row r="135" spans="1:60" x14ac:dyDescent="0.25">
      <c r="A135" s="1">
        <v>46219</v>
      </c>
      <c r="B135" s="33">
        <v>20.45</v>
      </c>
      <c r="C135" s="33">
        <v>25.02</v>
      </c>
      <c r="D135" s="15">
        <v>-4.8887803466978103E-4</v>
      </c>
      <c r="E135" s="15">
        <v>-3.9960040491781099E-4</v>
      </c>
      <c r="F135" s="33">
        <v>0</v>
      </c>
      <c r="G135" s="33">
        <v>0.48755999999999999</v>
      </c>
      <c r="H135" s="33">
        <v>0</v>
      </c>
      <c r="I135" s="33">
        <v>0.60250999999999999</v>
      </c>
      <c r="J135" s="33">
        <v>0.48755999999999999</v>
      </c>
      <c r="K135" s="33">
        <v>0.60250999999999999</v>
      </c>
      <c r="L135" s="33">
        <v>20.937559999999898</v>
      </c>
      <c r="M135" s="33">
        <v>25.622509999999998</v>
      </c>
      <c r="N135" s="34">
        <v>1.2234718826405799</v>
      </c>
      <c r="O135" s="34">
        <v>1.2246984145589499</v>
      </c>
      <c r="P135" s="34">
        <v>1.2228524493214401</v>
      </c>
      <c r="Q135" s="34">
        <v>1.2246249713591899</v>
      </c>
      <c r="R135" s="33">
        <v>25.0450825777306</v>
      </c>
      <c r="S135" s="33">
        <v>25.006440446114901</v>
      </c>
      <c r="T135" s="33">
        <v>25.043130955840599</v>
      </c>
      <c r="U135" s="15">
        <v>1.00199893969194E-3</v>
      </c>
      <c r="V135" s="15">
        <v>-5.4209550374593096E-4</v>
      </c>
      <c r="W135" s="15">
        <v>9.2407154906066797E-4</v>
      </c>
      <c r="X135" s="34">
        <v>1.22375816475272</v>
      </c>
      <c r="Y135" s="34">
        <v>1.2232106064414101</v>
      </c>
      <c r="Z135" s="34">
        <v>1.22315324912708</v>
      </c>
      <c r="AA135" s="34">
        <v>1.2232262548239301</v>
      </c>
      <c r="AB135" s="33">
        <v>25.6110454650035</v>
      </c>
      <c r="AC135" s="33">
        <v>25.608951216782</v>
      </c>
      <c r="AD135" s="33">
        <v>25.611008683943499</v>
      </c>
      <c r="AE135" s="15">
        <v>-4.47540096866736E-4</v>
      </c>
      <c r="AF135" s="15">
        <v>-5.2931473014954295E-4</v>
      </c>
      <c r="AG135" s="15">
        <v>-4.4897623841128802E-4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2.6560143786785798E-3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3.2256801014078841E-3</v>
      </c>
      <c r="BE135" s="29">
        <f t="shared" si="42"/>
        <v>0</v>
      </c>
      <c r="BF135" s="29">
        <f t="shared" si="43"/>
        <v>5.8816944800864643E-3</v>
      </c>
      <c r="BH135" s="29"/>
    </row>
    <row r="136" spans="1:60" x14ac:dyDescent="0.25">
      <c r="A136" s="1">
        <v>46220</v>
      </c>
      <c r="B136" s="33">
        <v>20.45</v>
      </c>
      <c r="C136" s="33">
        <v>25.02</v>
      </c>
      <c r="D136" s="15">
        <v>0</v>
      </c>
      <c r="E136" s="15">
        <v>0</v>
      </c>
      <c r="F136" s="33">
        <v>0</v>
      </c>
      <c r="G136" s="33">
        <v>0.48755999999999999</v>
      </c>
      <c r="H136" s="33">
        <v>0</v>
      </c>
      <c r="I136" s="33">
        <v>0.60250999999999999</v>
      </c>
      <c r="J136" s="33">
        <v>0.48755999999999999</v>
      </c>
      <c r="K136" s="33">
        <v>0.60250999999999999</v>
      </c>
      <c r="L136" s="33">
        <v>20.937559999999898</v>
      </c>
      <c r="M136" s="33">
        <v>25.622509999999998</v>
      </c>
      <c r="N136" s="34">
        <v>1.2234718826405799</v>
      </c>
      <c r="O136" s="34">
        <v>1.2246984145589499</v>
      </c>
      <c r="P136" s="34">
        <v>1.2229286824198</v>
      </c>
      <c r="Q136" s="34">
        <v>1.2246548704765501</v>
      </c>
      <c r="R136" s="33">
        <v>25.0450825777306</v>
      </c>
      <c r="S136" s="33">
        <v>25.007332588623399</v>
      </c>
      <c r="T136" s="33">
        <v>25.043580664295401</v>
      </c>
      <c r="U136" s="15">
        <v>1.00199893969194E-3</v>
      </c>
      <c r="V136" s="15">
        <v>-5.0641963070127401E-4</v>
      </c>
      <c r="W136" s="15">
        <v>9.4202874530215097E-4</v>
      </c>
      <c r="X136" s="34">
        <v>1.22375816475272</v>
      </c>
      <c r="Y136" s="34">
        <v>1.2232106064414101</v>
      </c>
      <c r="Z136" s="34">
        <v>1.22322780834068</v>
      </c>
      <c r="AA136" s="34">
        <v>1.22325130637882</v>
      </c>
      <c r="AB136" s="33">
        <v>25.6110454650035</v>
      </c>
      <c r="AC136" s="33">
        <v>25.609844542793201</v>
      </c>
      <c r="AD136" s="33">
        <v>25.611373103951401</v>
      </c>
      <c r="AE136" s="15">
        <v>-4.47540096866736E-4</v>
      </c>
      <c r="AF136" s="15">
        <v>-4.9443198845033898E-4</v>
      </c>
      <c r="AG136" s="15">
        <v>-4.34747301949632E-4</v>
      </c>
      <c r="AI136" s="12"/>
      <c r="AJ136">
        <f t="shared" si="26"/>
        <v>0</v>
      </c>
      <c r="AK136">
        <f t="shared" si="27"/>
        <v>0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2.6560143786785798E-3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3.2256801014078841E-3</v>
      </c>
      <c r="BE136" s="29">
        <f t="shared" si="42"/>
        <v>0</v>
      </c>
      <c r="BF136" s="29">
        <f t="shared" si="43"/>
        <v>5.8816944800864643E-3</v>
      </c>
      <c r="BH136" s="29"/>
    </row>
    <row r="137" spans="1:60" x14ac:dyDescent="0.25">
      <c r="A137" s="1">
        <v>46223</v>
      </c>
      <c r="B137" s="33">
        <v>20.32</v>
      </c>
      <c r="C137" s="33">
        <v>24.97</v>
      </c>
      <c r="D137" s="15">
        <v>-6.3772597785295296E-3</v>
      </c>
      <c r="E137" s="15">
        <v>-2.00040074708329E-3</v>
      </c>
      <c r="F137" s="33">
        <v>8.2600000000000007E-2</v>
      </c>
      <c r="G137" s="33">
        <v>0.57016</v>
      </c>
      <c r="H137" s="33">
        <v>0</v>
      </c>
      <c r="I137" s="33">
        <v>0.60250999999999999</v>
      </c>
      <c r="J137" s="33">
        <v>0.57016</v>
      </c>
      <c r="K137" s="33">
        <v>0.60250999999999999</v>
      </c>
      <c r="L137" s="33">
        <v>20.890160000000002</v>
      </c>
      <c r="M137" s="33">
        <v>25.572509999999902</v>
      </c>
      <c r="N137" s="34">
        <v>1.22883858267716</v>
      </c>
      <c r="O137" s="34">
        <v>1.2246984145589499</v>
      </c>
      <c r="P137" s="34">
        <v>1.2235145854781699</v>
      </c>
      <c r="Q137" s="34">
        <v>1.2249911006333001</v>
      </c>
      <c r="R137" s="33">
        <v>24.885871783837999</v>
      </c>
      <c r="S137" s="33">
        <v>24.849910826770401</v>
      </c>
      <c r="T137" s="33">
        <v>24.884986968083599</v>
      </c>
      <c r="U137" s="15">
        <v>-3.3748600917542101E-3</v>
      </c>
      <c r="V137" s="15">
        <v>-4.8209402154224699E-3</v>
      </c>
      <c r="W137" s="15">
        <v>-3.41041566691028E-3</v>
      </c>
      <c r="X137" s="34">
        <v>1.224141413948</v>
      </c>
      <c r="Y137" s="34">
        <v>1.2232106064414101</v>
      </c>
      <c r="Z137" s="34">
        <v>1.22331434729373</v>
      </c>
      <c r="AA137" s="34">
        <v>1.2233328463728099</v>
      </c>
      <c r="AB137" s="33">
        <v>25.553065282258199</v>
      </c>
      <c r="AC137" s="33">
        <v>25.553424632686198</v>
      </c>
      <c r="AD137" s="33">
        <v>25.553915510462701</v>
      </c>
      <c r="AE137" s="15">
        <v>-7.6066503201229396E-4</v>
      </c>
      <c r="AF137" s="15">
        <v>-7.4660222204082796E-4</v>
      </c>
      <c r="AG137" s="15">
        <v>-7.2739254393196402E-4</v>
      </c>
      <c r="AI137" s="12"/>
      <c r="AJ137">
        <f t="shared" si="26"/>
        <v>0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2.6560143786785798E-3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3.2256801014078841E-3</v>
      </c>
      <c r="BE137" s="29">
        <f t="shared" si="42"/>
        <v>0</v>
      </c>
      <c r="BF137" s="29">
        <f t="shared" si="43"/>
        <v>5.8816944800864643E-3</v>
      </c>
      <c r="BH137" s="29"/>
    </row>
    <row r="138" spans="1:60" x14ac:dyDescent="0.25">
      <c r="A138" s="1">
        <v>46224</v>
      </c>
      <c r="B138" s="33">
        <v>20.28</v>
      </c>
      <c r="C138" s="33">
        <v>24.92</v>
      </c>
      <c r="D138" s="15">
        <v>-1.9704439872987199E-3</v>
      </c>
      <c r="E138" s="15">
        <v>-2.00441037242929E-3</v>
      </c>
      <c r="F138" s="33">
        <v>0</v>
      </c>
      <c r="G138" s="33">
        <v>0.57016</v>
      </c>
      <c r="H138" s="33">
        <v>0</v>
      </c>
      <c r="I138" s="33">
        <v>0.60250999999999999</v>
      </c>
      <c r="J138" s="33">
        <v>0.57016</v>
      </c>
      <c r="K138" s="33">
        <v>0.60250999999999999</v>
      </c>
      <c r="L138" s="33">
        <v>20.850159999999999</v>
      </c>
      <c r="M138" s="33">
        <v>25.52251</v>
      </c>
      <c r="N138" s="34">
        <v>1.2287968441814501</v>
      </c>
      <c r="O138" s="34">
        <v>1.2246984145589499</v>
      </c>
      <c r="P138" s="34">
        <v>1.22414488114326</v>
      </c>
      <c r="Q138" s="34">
        <v>1.2249792508364901</v>
      </c>
      <c r="R138" s="33">
        <v>24.836883847255599</v>
      </c>
      <c r="S138" s="33">
        <v>24.812875793497401</v>
      </c>
      <c r="T138" s="33">
        <v>24.842819520843399</v>
      </c>
      <c r="U138" s="15">
        <v>-3.3408937066235602E-3</v>
      </c>
      <c r="V138" s="15">
        <v>-4.30799025666153E-3</v>
      </c>
      <c r="W138" s="15">
        <v>-3.1019360151046701E-3</v>
      </c>
      <c r="X138" s="34">
        <v>1.2240918055304999</v>
      </c>
      <c r="Y138" s="34">
        <v>1.2232106064414101</v>
      </c>
      <c r="Z138" s="34">
        <v>1.2234432334858301</v>
      </c>
      <c r="AA138" s="34">
        <v>1.2233171024723499</v>
      </c>
      <c r="AB138" s="33">
        <v>25.5041368580005</v>
      </c>
      <c r="AC138" s="33">
        <v>25.506299871369901</v>
      </c>
      <c r="AD138" s="33">
        <v>25.5066855801286</v>
      </c>
      <c r="AE138" s="15">
        <v>-7.2013914002997401E-4</v>
      </c>
      <c r="AF138" s="15">
        <v>-6.3533244126925102E-4</v>
      </c>
      <c r="AG138" s="15">
        <v>-6.2021045790481601E-4</v>
      </c>
      <c r="AI138" s="12"/>
      <c r="AJ138">
        <f t="shared" si="26"/>
        <v>0</v>
      </c>
      <c r="AK138">
        <f t="shared" si="27"/>
        <v>0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2.6560143786785798E-3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3.2256801014078841E-3</v>
      </c>
      <c r="BE138" s="29">
        <f t="shared" si="42"/>
        <v>0</v>
      </c>
      <c r="BF138" s="29">
        <f t="shared" si="43"/>
        <v>5.8816944800864643E-3</v>
      </c>
      <c r="BH138" s="29"/>
    </row>
    <row r="139" spans="1:60" x14ac:dyDescent="0.25">
      <c r="A139" s="1">
        <v>46225</v>
      </c>
      <c r="B139" s="33">
        <v>20.25</v>
      </c>
      <c r="C139" s="33">
        <v>24.86</v>
      </c>
      <c r="D139" s="15">
        <v>-1.4803851704343299E-3</v>
      </c>
      <c r="E139" s="15">
        <v>-2.4106078366873699E-3</v>
      </c>
      <c r="F139" s="33">
        <v>0</v>
      </c>
      <c r="G139" s="33">
        <v>0.57016</v>
      </c>
      <c r="H139" s="33">
        <v>0</v>
      </c>
      <c r="I139" s="33">
        <v>0.60250999999999999</v>
      </c>
      <c r="J139" s="33">
        <v>0.57016</v>
      </c>
      <c r="K139" s="33">
        <v>0.60250999999999999</v>
      </c>
      <c r="L139" s="33">
        <v>20.820160000000001</v>
      </c>
      <c r="M139" s="33">
        <v>25.462509999999899</v>
      </c>
      <c r="N139" s="34">
        <v>1.22765432098765</v>
      </c>
      <c r="O139" s="34">
        <v>1.2246984145589499</v>
      </c>
      <c r="P139" s="34">
        <v>1.2246282368463399</v>
      </c>
      <c r="Q139" s="34">
        <v>1.22495717001852</v>
      </c>
      <c r="R139" s="33">
        <v>24.800142894818801</v>
      </c>
      <c r="S139" s="33">
        <v>24.788933843151099</v>
      </c>
      <c r="T139" s="33">
        <v>24.805829829438999</v>
      </c>
      <c r="U139" s="15">
        <v>-2.4106710403705199E-3</v>
      </c>
      <c r="V139" s="15">
        <v>-2.8627484975837498E-3</v>
      </c>
      <c r="W139" s="15">
        <v>-2.1813867694341601E-3</v>
      </c>
      <c r="X139" s="34">
        <v>1.2229737907873901</v>
      </c>
      <c r="Y139" s="34">
        <v>1.2232106064414101</v>
      </c>
      <c r="Z139" s="34">
        <v>1.22342834848402</v>
      </c>
      <c r="AA139" s="34">
        <v>1.22329081749271</v>
      </c>
      <c r="AB139" s="33">
        <v>25.467440539807299</v>
      </c>
      <c r="AC139" s="33">
        <v>25.4722838720925</v>
      </c>
      <c r="AD139" s="33">
        <v>25.469657804210801</v>
      </c>
      <c r="AE139" s="15">
        <v>1.93620444177371E-4</v>
      </c>
      <c r="AF139" s="15">
        <v>3.83779788606788E-4</v>
      </c>
      <c r="AG139" s="15">
        <v>2.8067936496637802E-4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2.6560143786785798E-3</v>
      </c>
      <c r="AT139" s="12"/>
      <c r="AU139">
        <f t="shared" si="30"/>
        <v>0</v>
      </c>
      <c r="AV139">
        <f t="shared" si="31"/>
        <v>0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3.2256801014078841E-3</v>
      </c>
      <c r="BE139" s="29">
        <f t="shared" si="42"/>
        <v>0</v>
      </c>
      <c r="BF139" s="29">
        <f t="shared" si="43"/>
        <v>5.8816944800864643E-3</v>
      </c>
      <c r="BH139" s="29"/>
    </row>
    <row r="140" spans="1:60" x14ac:dyDescent="0.25">
      <c r="A140" s="1">
        <v>46226</v>
      </c>
      <c r="B140" s="33">
        <v>20.18</v>
      </c>
      <c r="C140" s="33">
        <v>24.8</v>
      </c>
      <c r="D140" s="15">
        <v>-3.4627786270852402E-3</v>
      </c>
      <c r="E140" s="15">
        <v>-2.41643291162856E-3</v>
      </c>
      <c r="F140" s="33">
        <v>0</v>
      </c>
      <c r="G140" s="33">
        <v>0.57016</v>
      </c>
      <c r="H140" s="33">
        <v>0</v>
      </c>
      <c r="I140" s="33">
        <v>0.60250999999999999</v>
      </c>
      <c r="J140" s="33">
        <v>0.57016</v>
      </c>
      <c r="K140" s="33">
        <v>0.60250999999999999</v>
      </c>
      <c r="L140" s="33">
        <v>20.750160000000001</v>
      </c>
      <c r="M140" s="33">
        <v>25.402509999999999</v>
      </c>
      <c r="N140" s="34">
        <v>1.2289395441030699</v>
      </c>
      <c r="O140" s="34">
        <v>1.2246984145589499</v>
      </c>
      <c r="P140" s="34">
        <v>1.2252728025035899</v>
      </c>
      <c r="Q140" s="34">
        <v>1.22503829356514</v>
      </c>
      <c r="R140" s="33">
        <v>24.7144140057997</v>
      </c>
      <c r="S140" s="33">
        <v>24.712997819559099</v>
      </c>
      <c r="T140" s="33">
        <v>24.719635690973799</v>
      </c>
      <c r="U140" s="15">
        <v>-3.4570167558272999E-3</v>
      </c>
      <c r="V140" s="15">
        <v>-3.5143204336312798E-3</v>
      </c>
      <c r="W140" s="15">
        <v>-3.2457581101943901E-3</v>
      </c>
      <c r="X140" s="34">
        <v>1.2242079097221401</v>
      </c>
      <c r="Y140" s="34">
        <v>1.2232106064414101</v>
      </c>
      <c r="Z140" s="34">
        <v>1.22356884509529</v>
      </c>
      <c r="AA140" s="34">
        <v>1.2233635104540801</v>
      </c>
      <c r="AB140" s="33">
        <v>25.381815797356399</v>
      </c>
      <c r="AC140" s="33">
        <v>25.386333979579199</v>
      </c>
      <c r="AD140" s="33">
        <v>25.3834801895045</v>
      </c>
      <c r="AE140" s="15">
        <v>-8.1498389371477799E-4</v>
      </c>
      <c r="AF140" s="15">
        <v>-6.3699110671613197E-4</v>
      </c>
      <c r="AG140" s="15">
        <v>-7.4941184823025205E-4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2.6560143786785798E-3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3.2256801014078841E-3</v>
      </c>
      <c r="BE140" s="29">
        <f t="shared" si="42"/>
        <v>0</v>
      </c>
      <c r="BF140" s="29">
        <f t="shared" si="43"/>
        <v>5.8816944800864643E-3</v>
      </c>
      <c r="BH140" s="29"/>
    </row>
    <row r="141" spans="1:60" x14ac:dyDescent="0.25">
      <c r="A141" s="1">
        <v>46227</v>
      </c>
      <c r="B141" s="33">
        <v>20.2</v>
      </c>
      <c r="C141" s="33">
        <v>24.82</v>
      </c>
      <c r="D141" s="15">
        <v>9.9058948169608802E-4</v>
      </c>
      <c r="E141" s="15">
        <v>8.0612660552459303E-4</v>
      </c>
      <c r="F141" s="33">
        <v>0</v>
      </c>
      <c r="G141" s="33">
        <v>0.57016</v>
      </c>
      <c r="H141" s="33">
        <v>0</v>
      </c>
      <c r="I141" s="33">
        <v>0.60250999999999999</v>
      </c>
      <c r="J141" s="33">
        <v>0.57016</v>
      </c>
      <c r="K141" s="33">
        <v>0.60250999999999999</v>
      </c>
      <c r="L141" s="33">
        <v>20.770160000000001</v>
      </c>
      <c r="M141" s="33">
        <v>25.422509999999999</v>
      </c>
      <c r="N141" s="34">
        <v>1.22871287128712</v>
      </c>
      <c r="O141" s="34">
        <v>1.2246984145589499</v>
      </c>
      <c r="P141" s="34">
        <v>1.22591098483308</v>
      </c>
      <c r="Q141" s="34">
        <v>1.22507042835757</v>
      </c>
      <c r="R141" s="33">
        <v>24.7389079740909</v>
      </c>
      <c r="S141" s="33">
        <v>24.750510610572501</v>
      </c>
      <c r="T141" s="33">
        <v>24.745773530015899</v>
      </c>
      <c r="U141" s="15">
        <v>-3.2725538796557299E-3</v>
      </c>
      <c r="V141" s="15">
        <v>-2.8036602443677898E-3</v>
      </c>
      <c r="W141" s="15">
        <v>-2.99507180801849E-3</v>
      </c>
      <c r="X141" s="34">
        <v>1.2239920154683399</v>
      </c>
      <c r="Y141" s="34">
        <v>1.2232106064414101</v>
      </c>
      <c r="Z141" s="34">
        <v>1.2237036121504801</v>
      </c>
      <c r="AA141" s="34">
        <v>1.2233884103103001</v>
      </c>
      <c r="AB141" s="33">
        <v>25.406280009485201</v>
      </c>
      <c r="AC141" s="33">
        <v>25.413720683644399</v>
      </c>
      <c r="AD141" s="33">
        <v>25.409455850293</v>
      </c>
      <c r="AE141" s="15">
        <v>-6.3861410288595E-4</v>
      </c>
      <c r="AF141" s="15">
        <v>-3.4578946255304398E-4</v>
      </c>
      <c r="AG141" s="15">
        <v>-5.1361971844298695E-4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2.6560143786785798E-3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3.2256801014078841E-3</v>
      </c>
      <c r="BE141" s="29">
        <f t="shared" si="42"/>
        <v>0</v>
      </c>
      <c r="BF141" s="29">
        <f t="shared" si="43"/>
        <v>5.8816944800864643E-3</v>
      </c>
      <c r="BH141" s="29"/>
    </row>
    <row r="142" spans="1:60" x14ac:dyDescent="0.25">
      <c r="A142" s="1">
        <v>46230</v>
      </c>
      <c r="B142" s="33">
        <v>20.23</v>
      </c>
      <c r="C142" s="33">
        <v>24.86</v>
      </c>
      <c r="D142" s="15">
        <v>1.4840467724950199E-3</v>
      </c>
      <c r="E142" s="15">
        <v>1.6103063061039E-3</v>
      </c>
      <c r="F142" s="33">
        <v>0</v>
      </c>
      <c r="G142" s="33">
        <v>0.57016</v>
      </c>
      <c r="H142" s="33">
        <v>0</v>
      </c>
      <c r="I142" s="33">
        <v>0.60250999999999999</v>
      </c>
      <c r="J142" s="33">
        <v>0.57016</v>
      </c>
      <c r="K142" s="33">
        <v>0.60250999999999999</v>
      </c>
      <c r="L142" s="33">
        <v>20.800160000000002</v>
      </c>
      <c r="M142" s="33">
        <v>25.462509999999899</v>
      </c>
      <c r="N142" s="34">
        <v>1.2288680177953499</v>
      </c>
      <c r="O142" s="34">
        <v>1.2246984145589499</v>
      </c>
      <c r="P142" s="34">
        <v>1.2265755643903999</v>
      </c>
      <c r="Q142" s="34">
        <v>1.22512696793346</v>
      </c>
      <c r="R142" s="33">
        <v>24.775648926527602</v>
      </c>
      <c r="S142" s="33">
        <v>24.800179223173298</v>
      </c>
      <c r="T142" s="33">
        <v>24.7831747656736</v>
      </c>
      <c r="U142" s="15">
        <v>-3.3988134132645902E-3</v>
      </c>
      <c r="V142" s="15">
        <v>-2.4092061968787799E-3</v>
      </c>
      <c r="W142" s="15">
        <v>-3.09510002206105E-3</v>
      </c>
      <c r="X142" s="34">
        <v>1.2241497180790899</v>
      </c>
      <c r="Y142" s="34">
        <v>1.2232106064414101</v>
      </c>
      <c r="Z142" s="34">
        <v>1.2238646569501399</v>
      </c>
      <c r="AA142" s="34">
        <v>1.22343713065399</v>
      </c>
      <c r="AB142" s="33">
        <v>25.442976327678402</v>
      </c>
      <c r="AC142" s="33">
        <v>25.453230925307999</v>
      </c>
      <c r="AD142" s="33">
        <v>25.446674676600001</v>
      </c>
      <c r="AE142" s="15">
        <v>-7.6744864608556504E-4</v>
      </c>
      <c r="AF142" s="15">
        <v>-3.6448746992612003E-4</v>
      </c>
      <c r="AG142" s="15">
        <v>-6.2210086495114001E-4</v>
      </c>
      <c r="AI142" s="12"/>
      <c r="AJ142">
        <f t="shared" si="26"/>
        <v>0</v>
      </c>
      <c r="AK142">
        <f t="shared" si="27"/>
        <v>0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2.6560143786785798E-3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3.2256801014078841E-3</v>
      </c>
      <c r="BE142" s="29">
        <f t="shared" si="42"/>
        <v>0</v>
      </c>
      <c r="BF142" s="29">
        <f t="shared" si="43"/>
        <v>5.8816944800864643E-3</v>
      </c>
      <c r="BH142" s="29"/>
    </row>
    <row r="143" spans="1:60" x14ac:dyDescent="0.25">
      <c r="A143" s="1">
        <v>46231</v>
      </c>
      <c r="B143" s="33">
        <v>20.28</v>
      </c>
      <c r="C143" s="33">
        <v>24.91</v>
      </c>
      <c r="D143" s="15">
        <v>2.46852754332838E-3</v>
      </c>
      <c r="E143" s="15">
        <v>2.0092431915241099E-3</v>
      </c>
      <c r="F143" s="33">
        <v>0</v>
      </c>
      <c r="G143" s="33">
        <v>0.57016</v>
      </c>
      <c r="H143" s="33">
        <v>0</v>
      </c>
      <c r="I143" s="33">
        <v>0.60250999999999999</v>
      </c>
      <c r="J143" s="33">
        <v>0.57016</v>
      </c>
      <c r="K143" s="33">
        <v>0.60250999999999999</v>
      </c>
      <c r="L143" s="33">
        <v>20.850159999999999</v>
      </c>
      <c r="M143" s="33">
        <v>25.512509999999999</v>
      </c>
      <c r="N143" s="34">
        <v>1.22830374753451</v>
      </c>
      <c r="O143" s="34">
        <v>1.2246984145589499</v>
      </c>
      <c r="P143" s="34">
        <v>1.2270420352694</v>
      </c>
      <c r="Q143" s="34">
        <v>1.22516636532477</v>
      </c>
      <c r="R143" s="33">
        <v>24.836883847255599</v>
      </c>
      <c r="S143" s="33">
        <v>24.874952445837302</v>
      </c>
      <c r="T143" s="33">
        <v>24.845574909690701</v>
      </c>
      <c r="U143" s="15">
        <v>-2.9395290614601401E-3</v>
      </c>
      <c r="V143" s="15">
        <v>-1.4079579563915201E-3</v>
      </c>
      <c r="W143" s="15">
        <v>-2.5896646327978399E-3</v>
      </c>
      <c r="X143" s="34">
        <v>1.22361219290403</v>
      </c>
      <c r="Y143" s="34">
        <v>1.2232106064414101</v>
      </c>
      <c r="Z143" s="34">
        <v>1.2238336522450199</v>
      </c>
      <c r="AA143" s="34">
        <v>1.2234695730851399</v>
      </c>
      <c r="AB143" s="33">
        <v>25.5041368580005</v>
      </c>
      <c r="AC143" s="33">
        <v>25.517773915755601</v>
      </c>
      <c r="AD143" s="33">
        <v>25.508859924076699</v>
      </c>
      <c r="AE143" s="15">
        <v>-3.2825136853577698E-4</v>
      </c>
      <c r="AF143" s="15">
        <v>2.06305564867437E-4</v>
      </c>
      <c r="AG143" s="15">
        <v>-1.4308027929797401E-4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2.6560143786785798E-3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3.2256801014078841E-3</v>
      </c>
      <c r="BE143" s="29">
        <f t="shared" si="42"/>
        <v>0</v>
      </c>
      <c r="BF143" s="29">
        <f t="shared" si="43"/>
        <v>5.8816944800864643E-3</v>
      </c>
      <c r="BH143" s="29"/>
    </row>
    <row r="144" spans="1:60" x14ac:dyDescent="0.25">
      <c r="A144" s="1">
        <v>46232</v>
      </c>
      <c r="B144" s="33">
        <v>20.25</v>
      </c>
      <c r="C144" s="33">
        <v>24.87</v>
      </c>
      <c r="D144" s="15">
        <v>-1.4803851704343299E-3</v>
      </c>
      <c r="E144" s="15">
        <v>-1.6070714587756601E-3</v>
      </c>
      <c r="F144" s="33">
        <v>0</v>
      </c>
      <c r="G144" s="33">
        <v>0.57016</v>
      </c>
      <c r="H144" s="33">
        <v>0</v>
      </c>
      <c r="I144" s="33">
        <v>0.60250999999999999</v>
      </c>
      <c r="J144" s="33">
        <v>0.57016</v>
      </c>
      <c r="K144" s="33">
        <v>0.60250999999999999</v>
      </c>
      <c r="L144" s="33">
        <v>20.820160000000001</v>
      </c>
      <c r="M144" s="33">
        <v>25.47251</v>
      </c>
      <c r="N144" s="34">
        <v>1.22814814814814</v>
      </c>
      <c r="O144" s="34">
        <v>1.2246984145589499</v>
      </c>
      <c r="P144" s="34">
        <v>1.22752058419956</v>
      </c>
      <c r="Q144" s="34">
        <v>1.22516470398523</v>
      </c>
      <c r="R144" s="33">
        <v>24.800142894818801</v>
      </c>
      <c r="S144" s="33">
        <v>24.847601214205401</v>
      </c>
      <c r="T144" s="33">
        <v>24.809618897826699</v>
      </c>
      <c r="U144" s="15">
        <v>-2.81284277311887E-3</v>
      </c>
      <c r="V144" s="15">
        <v>-9.0104054752980002E-4</v>
      </c>
      <c r="W144" s="15">
        <v>-2.43082105881325E-3</v>
      </c>
      <c r="X144" s="34">
        <v>1.2234540944930199</v>
      </c>
      <c r="Y144" s="34">
        <v>1.2232106064414101</v>
      </c>
      <c r="Z144" s="34">
        <v>1.22381392704379</v>
      </c>
      <c r="AA144" s="34">
        <v>1.22346225498809</v>
      </c>
      <c r="AB144" s="33">
        <v>25.467440539807299</v>
      </c>
      <c r="AC144" s="33">
        <v>25.480412453125702</v>
      </c>
      <c r="AD144" s="33">
        <v>25.472832266764399</v>
      </c>
      <c r="AE144" s="15">
        <v>-1.9903671502217199E-4</v>
      </c>
      <c r="AF144" s="15">
        <v>3.1018645481514399E-4</v>
      </c>
      <c r="AG144" s="15">
        <v>1.26514711680295E-5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2.6560143786785798E-3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3.2256801014078841E-3</v>
      </c>
      <c r="BE144" s="29">
        <f t="shared" si="42"/>
        <v>0</v>
      </c>
      <c r="BF144" s="29">
        <f t="shared" si="43"/>
        <v>5.8816944800864643E-3</v>
      </c>
      <c r="BH144" s="29"/>
    </row>
    <row r="145" spans="1:60" x14ac:dyDescent="0.25">
      <c r="A145" s="1">
        <v>46233</v>
      </c>
      <c r="B145" s="33">
        <v>20.28</v>
      </c>
      <c r="C145" s="33">
        <v>24.9</v>
      </c>
      <c r="D145" s="15">
        <v>1.4803851704344199E-3</v>
      </c>
      <c r="E145" s="15">
        <v>1.2055456553484601E-3</v>
      </c>
      <c r="F145" s="33">
        <v>0</v>
      </c>
      <c r="G145" s="33">
        <v>0.57016</v>
      </c>
      <c r="H145" s="33">
        <v>0</v>
      </c>
      <c r="I145" s="33">
        <v>0.60250999999999999</v>
      </c>
      <c r="J145" s="33">
        <v>0.57016</v>
      </c>
      <c r="K145" s="33">
        <v>0.60250999999999999</v>
      </c>
      <c r="L145" s="33">
        <v>20.850159999999999</v>
      </c>
      <c r="M145" s="33">
        <v>25.502509999999901</v>
      </c>
      <c r="N145" s="34">
        <v>1.2278106508875699</v>
      </c>
      <c r="O145" s="34">
        <v>1.2246984145589499</v>
      </c>
      <c r="P145" s="34">
        <v>1.2279544610242601</v>
      </c>
      <c r="Q145" s="34">
        <v>1.2254034551728501</v>
      </c>
      <c r="R145" s="33">
        <v>24.836883847255599</v>
      </c>
      <c r="S145" s="33">
        <v>24.894117447567201</v>
      </c>
      <c r="T145" s="33">
        <v>24.846340196820499</v>
      </c>
      <c r="U145" s="15">
        <v>-2.5380032580328798E-3</v>
      </c>
      <c r="V145" s="15">
        <v>-2.3627499639222E-4</v>
      </c>
      <c r="W145" s="15">
        <v>-2.1573375560359799E-3</v>
      </c>
      <c r="X145" s="34">
        <v>1.2231325802775601</v>
      </c>
      <c r="Y145" s="34">
        <v>1.2232106064414101</v>
      </c>
      <c r="Z145" s="34">
        <v>1.22375136859628</v>
      </c>
      <c r="AA145" s="34">
        <v>1.22345230886168</v>
      </c>
      <c r="AB145" s="33">
        <v>25.5041368580005</v>
      </c>
      <c r="AC145" s="33">
        <v>25.5167161890915</v>
      </c>
      <c r="AD145" s="33">
        <v>25.509383770462598</v>
      </c>
      <c r="AE145" s="15">
        <v>6.3790039193975997E-5</v>
      </c>
      <c r="AF145" s="15">
        <v>5.5689552820887005E-4</v>
      </c>
      <c r="AG145" s="15">
        <v>2.69496777953876E-4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2.6560143786785798E-3</v>
      </c>
      <c r="AT145" s="12"/>
      <c r="AU145">
        <f t="shared" si="30"/>
        <v>0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3.2256801014078841E-3</v>
      </c>
      <c r="BE145" s="29">
        <f t="shared" si="42"/>
        <v>0</v>
      </c>
      <c r="BF145" s="29">
        <f t="shared" si="43"/>
        <v>5.8816944800864643E-3</v>
      </c>
      <c r="BH145" s="29"/>
    </row>
    <row r="146" spans="1:60" x14ac:dyDescent="0.25">
      <c r="A146" s="1">
        <v>46234</v>
      </c>
      <c r="B146" s="33">
        <v>20.23</v>
      </c>
      <c r="C146" s="33">
        <v>24.86</v>
      </c>
      <c r="D146" s="15">
        <v>-2.46852754332838E-3</v>
      </c>
      <c r="E146" s="15">
        <v>-1.6077173880968501E-3</v>
      </c>
      <c r="F146" s="33">
        <v>0</v>
      </c>
      <c r="G146" s="33">
        <v>0.57016</v>
      </c>
      <c r="H146" s="33">
        <v>0</v>
      </c>
      <c r="I146" s="33">
        <v>0.60250999999999999</v>
      </c>
      <c r="J146" s="33">
        <v>0.57016</v>
      </c>
      <c r="K146" s="33">
        <v>0.60250999999999999</v>
      </c>
      <c r="L146" s="33">
        <v>20.800160000000002</v>
      </c>
      <c r="M146" s="33">
        <v>25.462509999999899</v>
      </c>
      <c r="N146" s="34">
        <v>1.2288680177953499</v>
      </c>
      <c r="O146" s="34">
        <v>1.2246984145589499</v>
      </c>
      <c r="P146" s="34">
        <v>1.2284940745397399</v>
      </c>
      <c r="Q146" s="34">
        <v>1.22571137847977</v>
      </c>
      <c r="R146" s="33">
        <v>24.775648926527602</v>
      </c>
      <c r="S146" s="33">
        <v>24.841518746520801</v>
      </c>
      <c r="T146" s="33">
        <v>24.789911898146801</v>
      </c>
      <c r="U146" s="15">
        <v>-3.3988134132645902E-3</v>
      </c>
      <c r="V146" s="15">
        <v>-7.4368972204446303E-4</v>
      </c>
      <c r="W146" s="15">
        <v>-2.8232939688956201E-3</v>
      </c>
      <c r="X146" s="34">
        <v>1.2241497180790899</v>
      </c>
      <c r="Y146" s="34">
        <v>1.2232106064414101</v>
      </c>
      <c r="Z146" s="34">
        <v>1.22379052392891</v>
      </c>
      <c r="AA146" s="34">
        <v>1.2235091661348001</v>
      </c>
      <c r="AB146" s="33">
        <v>25.442976327678402</v>
      </c>
      <c r="AC146" s="33">
        <v>25.454224267021601</v>
      </c>
      <c r="AD146" s="33">
        <v>25.448003776692399</v>
      </c>
      <c r="AE146" s="15">
        <v>-7.6744864608556504E-4</v>
      </c>
      <c r="AF146" s="15">
        <v>-3.25462077281806E-4</v>
      </c>
      <c r="AG146" s="15">
        <v>-5.6987143220720905E-4</v>
      </c>
      <c r="AI146" s="12"/>
      <c r="AJ146">
        <f t="shared" si="26"/>
        <v>0</v>
      </c>
      <c r="AK146">
        <f t="shared" si="27"/>
        <v>0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2.6560143786785798E-3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3.2256801014078841E-3</v>
      </c>
      <c r="BE146" s="29">
        <f t="shared" si="42"/>
        <v>0</v>
      </c>
      <c r="BF146" s="29">
        <f t="shared" si="43"/>
        <v>5.8816944800864643E-3</v>
      </c>
      <c r="BH146" s="29"/>
    </row>
    <row r="147" spans="1:60" x14ac:dyDescent="0.25">
      <c r="A147" s="1">
        <v>46237</v>
      </c>
      <c r="B147" s="33">
        <v>20.29</v>
      </c>
      <c r="C147" s="33">
        <v>24.81</v>
      </c>
      <c r="D147" s="15">
        <v>2.9615026580692202E-3</v>
      </c>
      <c r="E147" s="15">
        <v>-2.0132883788554099E-3</v>
      </c>
      <c r="F147" s="33">
        <v>0</v>
      </c>
      <c r="G147" s="33">
        <v>0.57016</v>
      </c>
      <c r="H147" s="33">
        <v>0.10026599999999999</v>
      </c>
      <c r="I147" s="33">
        <v>0.70277599999999996</v>
      </c>
      <c r="J147" s="33">
        <v>0.57016</v>
      </c>
      <c r="K147" s="33">
        <v>0.70277599999999996</v>
      </c>
      <c r="L147" s="33">
        <v>20.86016</v>
      </c>
      <c r="M147" s="33">
        <v>25.512775999999999</v>
      </c>
      <c r="N147" s="34">
        <v>1.2227698373583</v>
      </c>
      <c r="O147" s="34">
        <v>1.2246984145589499</v>
      </c>
      <c r="P147" s="34">
        <v>1.22788720000785</v>
      </c>
      <c r="Q147" s="34">
        <v>1.22570089274301</v>
      </c>
      <c r="R147" s="33">
        <v>24.849130831401201</v>
      </c>
      <c r="S147" s="33">
        <v>24.926144772411298</v>
      </c>
      <c r="T147" s="33">
        <v>24.869683869354599</v>
      </c>
      <c r="U147" s="15">
        <v>1.5759776236599801E-3</v>
      </c>
      <c r="V147" s="15">
        <v>4.6704457720053404E-3</v>
      </c>
      <c r="W147" s="15">
        <v>2.4027487061111501E-3</v>
      </c>
      <c r="X147" s="34">
        <v>1.2230383659569199</v>
      </c>
      <c r="Y147" s="34">
        <v>1.2232106064414101</v>
      </c>
      <c r="Z147" s="34">
        <v>1.22368021912981</v>
      </c>
      <c r="AA147" s="34">
        <v>1.2234972832117701</v>
      </c>
      <c r="AB147" s="33">
        <v>25.516368964064899</v>
      </c>
      <c r="AC147" s="33">
        <v>25.528466135641001</v>
      </c>
      <c r="AD147" s="33">
        <v>25.522596967038499</v>
      </c>
      <c r="AE147" s="15">
        <v>1.4082007736717801E-4</v>
      </c>
      <c r="AF147" s="15">
        <v>6.1480228453744603E-4</v>
      </c>
      <c r="AG147" s="15">
        <v>3.8486902666927001E-4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2.6560143786785798E-3</v>
      </c>
      <c r="AT147" s="12"/>
      <c r="AU147">
        <f t="shared" si="30"/>
        <v>0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3.2256801014078841E-3</v>
      </c>
      <c r="BE147" s="29">
        <f t="shared" si="42"/>
        <v>0</v>
      </c>
      <c r="BF147" s="29">
        <f t="shared" si="43"/>
        <v>5.8816944800864643E-3</v>
      </c>
      <c r="BH147" s="29"/>
    </row>
    <row r="148" spans="1:60" x14ac:dyDescent="0.25">
      <c r="A148" s="1">
        <v>46238</v>
      </c>
      <c r="B148" s="33">
        <v>20.36</v>
      </c>
      <c r="C148" s="33">
        <v>24.91</v>
      </c>
      <c r="D148" s="15">
        <v>3.4440378445986801E-3</v>
      </c>
      <c r="E148" s="15">
        <v>4.02253157037946E-3</v>
      </c>
      <c r="F148" s="33">
        <v>0</v>
      </c>
      <c r="G148" s="33">
        <v>0.57016</v>
      </c>
      <c r="H148" s="33">
        <v>0</v>
      </c>
      <c r="I148" s="33">
        <v>0.70277599999999996</v>
      </c>
      <c r="J148" s="33">
        <v>0.57016</v>
      </c>
      <c r="K148" s="33">
        <v>0.70277599999999996</v>
      </c>
      <c r="L148" s="33">
        <v>20.930160000000001</v>
      </c>
      <c r="M148" s="33">
        <v>25.612776</v>
      </c>
      <c r="N148" s="34">
        <v>1.22347740667976</v>
      </c>
      <c r="O148" s="34">
        <v>1.2246984145589499</v>
      </c>
      <c r="P148" s="34">
        <v>1.2273552562576799</v>
      </c>
      <c r="Q148" s="34">
        <v>1.2257500687004701</v>
      </c>
      <c r="R148" s="33">
        <v>24.934859720420299</v>
      </c>
      <c r="S148" s="33">
        <v>24.999783392159902</v>
      </c>
      <c r="T148" s="33">
        <v>24.955270176247801</v>
      </c>
      <c r="U148" s="15">
        <v>9.9748389787924401E-4</v>
      </c>
      <c r="V148" s="15">
        <v>3.5978312429745798E-3</v>
      </c>
      <c r="W148" s="15">
        <v>1.8157001265574301E-3</v>
      </c>
      <c r="X148" s="34">
        <v>1.2237257622493001</v>
      </c>
      <c r="Y148" s="34">
        <v>1.2232106064414101</v>
      </c>
      <c r="Z148" s="34">
        <v>1.22364361480169</v>
      </c>
      <c r="AA148" s="34">
        <v>1.2235434241437599</v>
      </c>
      <c r="AB148" s="33">
        <v>25.601993706515799</v>
      </c>
      <c r="AC148" s="33">
        <v>25.611822775221999</v>
      </c>
      <c r="AD148" s="33">
        <v>25.607993897187701</v>
      </c>
      <c r="AE148" s="15">
        <v>-4.2106188137603398E-4</v>
      </c>
      <c r="AF148" s="15">
        <v>-3.7217461956754797E-5</v>
      </c>
      <c r="AG148" s="15">
        <v>-1.86725144341318E-4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2.6560143786785798E-3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3.2256801014078841E-3</v>
      </c>
      <c r="BE148" s="29">
        <f t="shared" si="42"/>
        <v>0</v>
      </c>
      <c r="BF148" s="29">
        <f t="shared" si="43"/>
        <v>5.8816944800864643E-3</v>
      </c>
      <c r="BH148" s="29"/>
    </row>
    <row r="149" spans="1:60" x14ac:dyDescent="0.25">
      <c r="A149" s="1">
        <v>46239</v>
      </c>
      <c r="B149" s="33">
        <v>20.37</v>
      </c>
      <c r="C149" s="33">
        <v>24.92</v>
      </c>
      <c r="D149" s="15">
        <v>4.9103855639261705E-4</v>
      </c>
      <c r="E149" s="15">
        <v>4.0136464516340201E-4</v>
      </c>
      <c r="F149" s="33">
        <v>0</v>
      </c>
      <c r="G149" s="33">
        <v>0.57016</v>
      </c>
      <c r="H149" s="33">
        <v>0</v>
      </c>
      <c r="I149" s="33">
        <v>0.70277599999999996</v>
      </c>
      <c r="J149" s="33">
        <v>0.57016</v>
      </c>
      <c r="K149" s="33">
        <v>0.70277599999999996</v>
      </c>
      <c r="L149" s="33">
        <v>20.940159999999999</v>
      </c>
      <c r="M149" s="33">
        <v>25.622776000000002</v>
      </c>
      <c r="N149" s="34">
        <v>1.2233676975945</v>
      </c>
      <c r="O149" s="34">
        <v>1.2246984145589499</v>
      </c>
      <c r="P149" s="34">
        <v>1.22692659391837</v>
      </c>
      <c r="Q149" s="34">
        <v>1.22577741538235</v>
      </c>
      <c r="R149" s="33">
        <v>24.947106704565901</v>
      </c>
      <c r="S149" s="33">
        <v>25.001226569968999</v>
      </c>
      <c r="T149" s="33">
        <v>24.968528899428701</v>
      </c>
      <c r="U149" s="15">
        <v>1.08715780910836E-3</v>
      </c>
      <c r="V149" s="15">
        <v>3.2541925441718499E-3</v>
      </c>
      <c r="W149" s="15">
        <v>1.9454939163728801E-3</v>
      </c>
      <c r="X149" s="34">
        <v>1.22361892172743</v>
      </c>
      <c r="Y149" s="34">
        <v>1.2232106064414101</v>
      </c>
      <c r="Z149" s="34">
        <v>1.2237081278956901</v>
      </c>
      <c r="AA149" s="34">
        <v>1.22356823818986</v>
      </c>
      <c r="AB149" s="33">
        <v>25.614225812580202</v>
      </c>
      <c r="AC149" s="33">
        <v>25.623293076925702</v>
      </c>
      <c r="AD149" s="33">
        <v>25.621195068518301</v>
      </c>
      <c r="AE149" s="15">
        <v>-3.3375050048229299E-4</v>
      </c>
      <c r="AF149" s="15">
        <v>2.0180159576163301E-5</v>
      </c>
      <c r="AG149" s="15">
        <v>-6.17021456076532E-5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2.6560143786785798E-3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3.2256801014078841E-3</v>
      </c>
      <c r="BE149" s="29">
        <f t="shared" si="42"/>
        <v>0</v>
      </c>
      <c r="BF149" s="29">
        <f t="shared" si="43"/>
        <v>5.8816944800864643E-3</v>
      </c>
      <c r="BH149" s="29"/>
    </row>
    <row r="150" spans="1:60" x14ac:dyDescent="0.25">
      <c r="A150" s="1">
        <v>46240</v>
      </c>
      <c r="B150" s="33">
        <v>20.32</v>
      </c>
      <c r="C150" s="33">
        <v>24.85</v>
      </c>
      <c r="D150" s="15">
        <v>-2.4576075284332899E-3</v>
      </c>
      <c r="E150" s="15">
        <v>-2.8129413766147201E-3</v>
      </c>
      <c r="F150" s="33">
        <v>0</v>
      </c>
      <c r="G150" s="33">
        <v>0.57016</v>
      </c>
      <c r="H150" s="33">
        <v>0</v>
      </c>
      <c r="I150" s="33">
        <v>0.70277599999999996</v>
      </c>
      <c r="J150" s="33">
        <v>0.57016</v>
      </c>
      <c r="K150" s="33">
        <v>0.70277599999999996</v>
      </c>
      <c r="L150" s="33">
        <v>20.890160000000002</v>
      </c>
      <c r="M150" s="33">
        <v>25.552776000000001</v>
      </c>
      <c r="N150" s="34">
        <v>1.2229330708661399</v>
      </c>
      <c r="O150" s="34">
        <v>1.2246984145589499</v>
      </c>
      <c r="P150" s="34">
        <v>1.2263259465946701</v>
      </c>
      <c r="Q150" s="34">
        <v>1.22579937454913</v>
      </c>
      <c r="R150" s="33">
        <v>24.885871783837999</v>
      </c>
      <c r="S150" s="33">
        <v>24.931148388421299</v>
      </c>
      <c r="T150" s="33">
        <v>24.907797080569399</v>
      </c>
      <c r="U150" s="15">
        <v>1.44249165728973E-3</v>
      </c>
      <c r="V150" s="15">
        <v>3.2602084493928499E-3</v>
      </c>
      <c r="W150" s="15">
        <v>2.3231376770954798E-3</v>
      </c>
      <c r="X150" s="34">
        <v>1.2231967586653201</v>
      </c>
      <c r="Y150" s="34">
        <v>1.2232106064414101</v>
      </c>
      <c r="Z150" s="34">
        <v>1.2236070127900101</v>
      </c>
      <c r="AA150" s="34">
        <v>1.2235879289426499</v>
      </c>
      <c r="AB150" s="33">
        <v>25.553065282258199</v>
      </c>
      <c r="AC150" s="33">
        <v>25.563458585041499</v>
      </c>
      <c r="AD150" s="33">
        <v>25.560536266704201</v>
      </c>
      <c r="AE150" s="15">
        <v>1.1320907784905701E-5</v>
      </c>
      <c r="AF150" s="15">
        <v>4.1797230503413198E-4</v>
      </c>
      <c r="AG150" s="15">
        <v>3.0364953550384203E-4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2.6560143786785798E-3</v>
      </c>
      <c r="AT150" s="12"/>
      <c r="AU150">
        <f t="shared" ref="AU150:AU176" si="50">IF($AG150&gt;AT$21,1,0)</f>
        <v>0</v>
      </c>
      <c r="AV150">
        <f t="shared" ref="AV150:AV176" si="51">IF($AG150&lt;AT$22,1,0)</f>
        <v>0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3.2256801014078841E-3</v>
      </c>
      <c r="BE150" s="29">
        <f t="shared" si="42"/>
        <v>0</v>
      </c>
      <c r="BF150" s="29">
        <f t="shared" si="43"/>
        <v>5.8816944800864643E-3</v>
      </c>
      <c r="BH150" s="29"/>
    </row>
    <row r="151" spans="1:60" x14ac:dyDescent="0.25">
      <c r="A151" s="1">
        <v>46241</v>
      </c>
      <c r="B151" s="33">
        <v>20.34</v>
      </c>
      <c r="C151" s="33">
        <v>24.9</v>
      </c>
      <c r="D151" s="15">
        <v>9.83767910132748E-4</v>
      </c>
      <c r="E151" s="15">
        <v>2.0100509280241E-3</v>
      </c>
      <c r="F151" s="33">
        <v>0</v>
      </c>
      <c r="G151" s="33">
        <v>0.57016</v>
      </c>
      <c r="H151" s="33">
        <v>0</v>
      </c>
      <c r="I151" s="33">
        <v>0.70277599999999996</v>
      </c>
      <c r="J151" s="33">
        <v>0.57016</v>
      </c>
      <c r="K151" s="33">
        <v>0.70277599999999996</v>
      </c>
      <c r="L151" s="33">
        <v>20.910160000000001</v>
      </c>
      <c r="M151" s="33">
        <v>25.602775999999999</v>
      </c>
      <c r="N151" s="34">
        <v>1.22418879056047</v>
      </c>
      <c r="O151" s="34">
        <v>1.2246984145589499</v>
      </c>
      <c r="P151" s="34">
        <v>1.2258735385220101</v>
      </c>
      <c r="Q151" s="34">
        <v>1.2258922616775501</v>
      </c>
      <c r="R151" s="33">
        <v>24.910365752129099</v>
      </c>
      <c r="S151" s="33">
        <v>24.943469753735702</v>
      </c>
      <c r="T151" s="33">
        <v>24.932759278329399</v>
      </c>
      <c r="U151" s="15">
        <v>4.16208639398485E-4</v>
      </c>
      <c r="V151" s="15">
        <v>1.74425115151948E-3</v>
      </c>
      <c r="W151" s="15">
        <v>1.3147689801991901E-3</v>
      </c>
      <c r="X151" s="34">
        <v>1.2244179862803499</v>
      </c>
      <c r="Y151" s="34">
        <v>1.2232106064414101</v>
      </c>
      <c r="Z151" s="34">
        <v>1.22364960987121</v>
      </c>
      <c r="AA151" s="34">
        <v>1.2236766110108499</v>
      </c>
      <c r="AB151" s="33">
        <v>25.577529494387001</v>
      </c>
      <c r="AC151" s="33">
        <v>25.585818414561199</v>
      </c>
      <c r="AD151" s="33">
        <v>25.585419368259501</v>
      </c>
      <c r="AE151" s="15">
        <v>-9.865711983088239E-4</v>
      </c>
      <c r="AF151" s="15">
        <v>-6.6255329934386596E-4</v>
      </c>
      <c r="AG151" s="15">
        <v>-6.7814980703245504E-4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2.6560143786785798E-3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3.2256801014078841E-3</v>
      </c>
      <c r="BE151" s="29">
        <f t="shared" ref="BE151:BE176" si="62">AQ151+BB151</f>
        <v>0</v>
      </c>
      <c r="BF151" s="29">
        <f t="shared" ref="BF151:BF176" si="63">BF150+BE151</f>
        <v>5.8816944800864643E-3</v>
      </c>
      <c r="BH151" s="29"/>
    </row>
    <row r="152" spans="1:60" x14ac:dyDescent="0.25">
      <c r="A152" s="1">
        <v>46244</v>
      </c>
      <c r="B152" s="33">
        <v>20.29</v>
      </c>
      <c r="C152" s="33">
        <v>24.82</v>
      </c>
      <c r="D152" s="15">
        <v>-2.4612367826905698E-3</v>
      </c>
      <c r="E152" s="15">
        <v>-3.2180236942007299E-3</v>
      </c>
      <c r="F152" s="33">
        <v>0</v>
      </c>
      <c r="G152" s="33">
        <v>0.57016</v>
      </c>
      <c r="H152" s="33">
        <v>0</v>
      </c>
      <c r="I152" s="33">
        <v>0.70277599999999996</v>
      </c>
      <c r="J152" s="33">
        <v>0.57016</v>
      </c>
      <c r="K152" s="33">
        <v>0.70277599999999996</v>
      </c>
      <c r="L152" s="33">
        <v>20.86016</v>
      </c>
      <c r="M152" s="33">
        <v>25.522776</v>
      </c>
      <c r="N152" s="34">
        <v>1.22326269098077</v>
      </c>
      <c r="O152" s="34">
        <v>1.2246984145589499</v>
      </c>
      <c r="P152" s="34">
        <v>1.2253130058405499</v>
      </c>
      <c r="Q152" s="34">
        <v>1.22594428511547</v>
      </c>
      <c r="R152" s="33">
        <v>24.849130831401201</v>
      </c>
      <c r="S152" s="33">
        <v>24.8729740966116</v>
      </c>
      <c r="T152" s="33">
        <v>24.873353989437501</v>
      </c>
      <c r="U152" s="15">
        <v>1.1729955509085599E-3</v>
      </c>
      <c r="V152" s="15">
        <v>2.1320565992095598E-3</v>
      </c>
      <c r="W152" s="15">
        <v>2.1473297998854399E-3</v>
      </c>
      <c r="X152" s="34">
        <v>1.2235177486653901</v>
      </c>
      <c r="Y152" s="34">
        <v>1.2232106064414101</v>
      </c>
      <c r="Z152" s="34">
        <v>1.2235864129298399</v>
      </c>
      <c r="AA152" s="34">
        <v>1.22372553493999</v>
      </c>
      <c r="AB152" s="33">
        <v>25.516368964064899</v>
      </c>
      <c r="AC152" s="33">
        <v>25.525526645851102</v>
      </c>
      <c r="AD152" s="33">
        <v>25.5260898939441</v>
      </c>
      <c r="AE152" s="15">
        <v>-2.5106360904733198E-4</v>
      </c>
      <c r="AF152" s="15">
        <v>1.07766398145906E-4</v>
      </c>
      <c r="AG152" s="15">
        <v>1.29832226073939E-4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2.6560143786785798E-3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3.2256801014078841E-3</v>
      </c>
      <c r="BE152" s="29">
        <f t="shared" si="62"/>
        <v>0</v>
      </c>
      <c r="BF152" s="29">
        <f t="shared" si="63"/>
        <v>5.8816944800864643E-3</v>
      </c>
      <c r="BH152" s="29"/>
    </row>
    <row r="153" spans="1:60" x14ac:dyDescent="0.25">
      <c r="A153" s="1">
        <v>46245</v>
      </c>
      <c r="B153" s="33">
        <v>20.309999999999999</v>
      </c>
      <c r="C153" s="33">
        <v>24.82</v>
      </c>
      <c r="D153" s="15">
        <v>9.8522175456986589E-4</v>
      </c>
      <c r="E153" s="15">
        <v>0</v>
      </c>
      <c r="F153" s="33">
        <v>0</v>
      </c>
      <c r="G153" s="33">
        <v>0.57016</v>
      </c>
      <c r="H153" s="33">
        <v>0</v>
      </c>
      <c r="I153" s="33">
        <v>0.70277599999999996</v>
      </c>
      <c r="J153" s="33">
        <v>0.57016</v>
      </c>
      <c r="K153" s="33">
        <v>0.70277599999999996</v>
      </c>
      <c r="L153" s="33">
        <v>20.88016</v>
      </c>
      <c r="M153" s="33">
        <v>25.522776</v>
      </c>
      <c r="N153" s="34">
        <v>1.2220580994583901</v>
      </c>
      <c r="O153" s="34">
        <v>1.2246984145589499</v>
      </c>
      <c r="P153" s="34">
        <v>1.2246884410329399</v>
      </c>
      <c r="Q153" s="34">
        <v>1.2258652381511701</v>
      </c>
      <c r="R153" s="33">
        <v>24.873624799692401</v>
      </c>
      <c r="S153" s="33">
        <v>24.886107148621601</v>
      </c>
      <c r="T153" s="33">
        <v>24.8989284306953</v>
      </c>
      <c r="U153" s="15">
        <v>2.1582173054786298E-3</v>
      </c>
      <c r="V153" s="15">
        <v>2.6599221460136902E-3</v>
      </c>
      <c r="W153" s="15">
        <v>3.1749878563399102E-3</v>
      </c>
      <c r="X153" s="34">
        <v>1.22234580577926</v>
      </c>
      <c r="Y153" s="34">
        <v>1.2232106064414101</v>
      </c>
      <c r="Z153" s="34">
        <v>1.2234597742173601</v>
      </c>
      <c r="AA153" s="34">
        <v>1.2236467132311899</v>
      </c>
      <c r="AB153" s="33">
        <v>25.5408331761938</v>
      </c>
      <c r="AC153" s="33">
        <v>25.548680075801201</v>
      </c>
      <c r="AD153" s="33">
        <v>25.5515849656326</v>
      </c>
      <c r="AE153" s="15">
        <v>7.0724248590283399E-4</v>
      </c>
      <c r="AF153" s="15">
        <v>1.0144248867395801E-3</v>
      </c>
      <c r="AG153" s="15">
        <v>1.1281186154199201E-3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2.6560143786785798E-3</v>
      </c>
      <c r="AT153" s="12"/>
      <c r="AU153">
        <f t="shared" si="50"/>
        <v>1</v>
      </c>
      <c r="AV153">
        <f t="shared" si="51"/>
        <v>0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3.2256801014078841E-3</v>
      </c>
      <c r="BE153" s="29">
        <f t="shared" si="62"/>
        <v>0</v>
      </c>
      <c r="BF153" s="29">
        <f t="shared" si="63"/>
        <v>5.8816944800864643E-3</v>
      </c>
      <c r="BH153" s="29"/>
    </row>
    <row r="154" spans="1:60" x14ac:dyDescent="0.25">
      <c r="A154" s="1">
        <v>46246</v>
      </c>
      <c r="B154" s="33">
        <v>20.32</v>
      </c>
      <c r="C154" s="33">
        <v>24.85</v>
      </c>
      <c r="D154" s="15">
        <v>4.92247117987934E-4</v>
      </c>
      <c r="E154" s="15">
        <v>1.2079727661765799E-3</v>
      </c>
      <c r="F154" s="33">
        <v>0</v>
      </c>
      <c r="G154" s="33">
        <v>0.57016</v>
      </c>
      <c r="H154" s="33">
        <v>0</v>
      </c>
      <c r="I154" s="33">
        <v>0.70277599999999996</v>
      </c>
      <c r="J154" s="33">
        <v>0.57016</v>
      </c>
      <c r="K154" s="33">
        <v>0.70277599999999996</v>
      </c>
      <c r="L154" s="33">
        <v>20.890160000000002</v>
      </c>
      <c r="M154" s="33">
        <v>25.552776000000001</v>
      </c>
      <c r="N154" s="34">
        <v>1.2229330708661399</v>
      </c>
      <c r="O154" s="34">
        <v>1.2246984145589499</v>
      </c>
      <c r="P154" s="34">
        <v>1.22416693330474</v>
      </c>
      <c r="Q154" s="34">
        <v>1.22584375875215</v>
      </c>
      <c r="R154" s="33">
        <v>24.885871783837999</v>
      </c>
      <c r="S154" s="33">
        <v>24.885669121789402</v>
      </c>
      <c r="T154" s="33">
        <v>24.909581639231799</v>
      </c>
      <c r="U154" s="15">
        <v>1.44249165728973E-3</v>
      </c>
      <c r="V154" s="15">
        <v>1.4343479653365001E-3</v>
      </c>
      <c r="W154" s="15">
        <v>2.3947816980776698E-3</v>
      </c>
      <c r="X154" s="34">
        <v>1.2231967586653201</v>
      </c>
      <c r="Y154" s="34">
        <v>1.2232106064414101</v>
      </c>
      <c r="Z154" s="34">
        <v>1.22343404063459</v>
      </c>
      <c r="AA154" s="34">
        <v>1.22362398383919</v>
      </c>
      <c r="AB154" s="33">
        <v>25.553065282258199</v>
      </c>
      <c r="AC154" s="33">
        <v>25.558270436964701</v>
      </c>
      <c r="AD154" s="33">
        <v>25.562175622873799</v>
      </c>
      <c r="AE154" s="15">
        <v>1.1320907784905701E-5</v>
      </c>
      <c r="AF154" s="15">
        <v>2.1499998019672699E-4</v>
      </c>
      <c r="AG154" s="15">
        <v>3.6778369855893297E-4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2.6560143786785798E-3</v>
      </c>
      <c r="AT154" s="12"/>
      <c r="AU154">
        <f t="shared" si="50"/>
        <v>0</v>
      </c>
      <c r="AV154">
        <f t="shared" si="51"/>
        <v>0</v>
      </c>
      <c r="AW154">
        <f t="shared" si="58"/>
        <v>1</v>
      </c>
      <c r="AX154">
        <f t="shared" si="45"/>
        <v>1</v>
      </c>
      <c r="AY154">
        <f t="shared" si="59"/>
        <v>1</v>
      </c>
      <c r="AZ154" s="28">
        <f t="shared" si="52"/>
        <v>-4.92247117987934E-4</v>
      </c>
      <c r="BA154" s="28">
        <f t="shared" si="53"/>
        <v>1.2079727661765799E-3</v>
      </c>
      <c r="BB154" s="28">
        <f t="shared" si="60"/>
        <v>7.1572564818864594E-4</v>
      </c>
      <c r="BC154" s="29">
        <f t="shared" si="61"/>
        <v>3.9414057495965301E-3</v>
      </c>
      <c r="BE154" s="29">
        <f t="shared" si="62"/>
        <v>7.1572564818864594E-4</v>
      </c>
      <c r="BF154" s="29">
        <f t="shared" si="63"/>
        <v>6.5974201282751107E-3</v>
      </c>
      <c r="BH154" s="29"/>
    </row>
    <row r="155" spans="1:60" x14ac:dyDescent="0.25">
      <c r="A155" s="1">
        <v>46247</v>
      </c>
      <c r="B155" s="33">
        <v>20.39</v>
      </c>
      <c r="C155" s="33">
        <v>24.93</v>
      </c>
      <c r="D155" s="15">
        <v>3.4389618760827601E-3</v>
      </c>
      <c r="E155" s="15">
        <v>3.2141449928287098E-3</v>
      </c>
      <c r="F155" s="33">
        <v>0</v>
      </c>
      <c r="G155" s="33">
        <v>0.57016</v>
      </c>
      <c r="H155" s="33">
        <v>0</v>
      </c>
      <c r="I155" s="33">
        <v>0.70277599999999996</v>
      </c>
      <c r="J155" s="33">
        <v>0.57016</v>
      </c>
      <c r="K155" s="33">
        <v>0.70277599999999996</v>
      </c>
      <c r="L155" s="33">
        <v>20.960159999999998</v>
      </c>
      <c r="M155" s="33">
        <v>25.632776</v>
      </c>
      <c r="N155" s="34">
        <v>1.2226581657675299</v>
      </c>
      <c r="O155" s="34">
        <v>1.2246984145589499</v>
      </c>
      <c r="P155" s="34">
        <v>1.2236516847927299</v>
      </c>
      <c r="Q155" s="34">
        <v>1.2258030729085001</v>
      </c>
      <c r="R155" s="33">
        <v>24.9716006728571</v>
      </c>
      <c r="S155" s="33">
        <v>24.960763770083702</v>
      </c>
      <c r="T155" s="33">
        <v>24.9949542409564</v>
      </c>
      <c r="U155" s="15">
        <v>1.6673085405436499E-3</v>
      </c>
      <c r="V155" s="15">
        <v>1.2332452605661099E-3</v>
      </c>
      <c r="W155" s="15">
        <v>2.6020766005034998E-3</v>
      </c>
      <c r="X155" s="34">
        <v>1.22292845092785</v>
      </c>
      <c r="Y155" s="34">
        <v>1.2232106064414101</v>
      </c>
      <c r="Z155" s="34">
        <v>1.2234136276996199</v>
      </c>
      <c r="AA155" s="34">
        <v>1.2235824981479499</v>
      </c>
      <c r="AB155" s="33">
        <v>25.638690024709099</v>
      </c>
      <c r="AC155" s="33">
        <v>25.6433732411476</v>
      </c>
      <c r="AD155" s="33">
        <v>25.647354481107001</v>
      </c>
      <c r="AE155" s="15">
        <v>2.3069458292824301E-4</v>
      </c>
      <c r="AF155" s="15">
        <v>4.1333998185919598E-4</v>
      </c>
      <c r="AG155" s="15">
        <v>5.6858207508453905E-4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2.6560143786785798E-3</v>
      </c>
      <c r="AT155" s="12"/>
      <c r="AU155">
        <f t="shared" si="50"/>
        <v>0</v>
      </c>
      <c r="AV155">
        <f t="shared" si="51"/>
        <v>0</v>
      </c>
      <c r="AW155">
        <f t="shared" si="58"/>
        <v>1</v>
      </c>
      <c r="AX155">
        <f t="shared" si="45"/>
        <v>1</v>
      </c>
      <c r="AY155">
        <f t="shared" si="59"/>
        <v>1</v>
      </c>
      <c r="AZ155" s="28">
        <f t="shared" si="52"/>
        <v>-3.4389618760827601E-3</v>
      </c>
      <c r="BA155" s="28">
        <f t="shared" si="53"/>
        <v>3.2141449928287098E-3</v>
      </c>
      <c r="BB155" s="28">
        <f t="shared" si="60"/>
        <v>-2.2481688325405027E-4</v>
      </c>
      <c r="BC155" s="29">
        <f t="shared" si="61"/>
        <v>3.7165888663424798E-3</v>
      </c>
      <c r="BE155" s="29">
        <f t="shared" si="62"/>
        <v>-2.2481688325405027E-4</v>
      </c>
      <c r="BF155" s="29">
        <f t="shared" si="63"/>
        <v>6.37260324502106E-3</v>
      </c>
      <c r="BH155" s="29"/>
    </row>
    <row r="156" spans="1:60" x14ac:dyDescent="0.25">
      <c r="A156" s="1">
        <v>46248</v>
      </c>
      <c r="B156" s="33">
        <v>20.34</v>
      </c>
      <c r="C156" s="33">
        <v>24.87</v>
      </c>
      <c r="D156" s="15">
        <v>-2.4551939659499698E-3</v>
      </c>
      <c r="E156" s="15">
        <v>-2.40963972015317E-3</v>
      </c>
      <c r="F156" s="33">
        <v>0</v>
      </c>
      <c r="G156" s="33">
        <v>0.57016</v>
      </c>
      <c r="H156" s="33">
        <v>0</v>
      </c>
      <c r="I156" s="33">
        <v>0.70277599999999996</v>
      </c>
      <c r="J156" s="33">
        <v>0.57016</v>
      </c>
      <c r="K156" s="33">
        <v>0.70277599999999996</v>
      </c>
      <c r="L156" s="33">
        <v>20.910160000000001</v>
      </c>
      <c r="M156" s="33">
        <v>25.572776000000001</v>
      </c>
      <c r="N156" s="34">
        <v>1.2227138643067801</v>
      </c>
      <c r="O156" s="34">
        <v>1.2246984145589499</v>
      </c>
      <c r="P156" s="34">
        <v>1.2230362694438801</v>
      </c>
      <c r="Q156" s="34">
        <v>1.2257651719918099</v>
      </c>
      <c r="R156" s="33">
        <v>24.910365752129099</v>
      </c>
      <c r="S156" s="33">
        <v>24.889075268684302</v>
      </c>
      <c r="T156" s="33">
        <v>24.932834502958901</v>
      </c>
      <c r="U156" s="15">
        <v>1.6217542947469001E-3</v>
      </c>
      <c r="V156" s="15">
        <v>7.6670514939141397E-4</v>
      </c>
      <c r="W156" s="15">
        <v>2.5233317310565098E-3</v>
      </c>
      <c r="X156" s="34">
        <v>1.2229832770289599</v>
      </c>
      <c r="Y156" s="34">
        <v>1.2232106064414101</v>
      </c>
      <c r="Z156" s="34">
        <v>1.2232969835946099</v>
      </c>
      <c r="AA156" s="34">
        <v>1.2235437537617599</v>
      </c>
      <c r="AB156" s="33">
        <v>25.577529494387001</v>
      </c>
      <c r="AC156" s="33">
        <v>25.581774701379601</v>
      </c>
      <c r="AD156" s="33">
        <v>25.5853058094734</v>
      </c>
      <c r="AE156" s="15">
        <v>1.85863773628706E-4</v>
      </c>
      <c r="AF156" s="15">
        <v>3.5182408403951697E-4</v>
      </c>
      <c r="AG156" s="15">
        <v>4.8984673704770005E-4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2.6560143786785798E-3</v>
      </c>
      <c r="AT156" s="12"/>
      <c r="AU156">
        <f t="shared" si="50"/>
        <v>0</v>
      </c>
      <c r="AV156">
        <f t="shared" si="51"/>
        <v>0</v>
      </c>
      <c r="AW156">
        <f t="shared" si="58"/>
        <v>1</v>
      </c>
      <c r="AX156">
        <f t="shared" si="45"/>
        <v>1</v>
      </c>
      <c r="AY156">
        <f t="shared" si="59"/>
        <v>1</v>
      </c>
      <c r="AZ156" s="28">
        <f t="shared" si="52"/>
        <v>2.4551939659499698E-3</v>
      </c>
      <c r="BA156" s="28">
        <f t="shared" si="53"/>
        <v>-2.40963972015317E-3</v>
      </c>
      <c r="BB156" s="28">
        <f t="shared" si="60"/>
        <v>4.5554245796799748E-5</v>
      </c>
      <c r="BC156" s="29">
        <f t="shared" si="61"/>
        <v>3.7621431121392795E-3</v>
      </c>
      <c r="BE156" s="29">
        <f t="shared" si="62"/>
        <v>4.5554245796799748E-5</v>
      </c>
      <c r="BF156" s="29">
        <f t="shared" si="63"/>
        <v>6.4181574908178593E-3</v>
      </c>
      <c r="BH156" s="29"/>
    </row>
    <row r="157" spans="1:60" x14ac:dyDescent="0.25">
      <c r="A157" s="1">
        <v>46251</v>
      </c>
      <c r="B157" s="33">
        <v>20.32</v>
      </c>
      <c r="C157" s="33">
        <v>24.84</v>
      </c>
      <c r="D157" s="15">
        <v>-9.8376791013272697E-4</v>
      </c>
      <c r="E157" s="15">
        <v>-1.20700075003533E-3</v>
      </c>
      <c r="F157" s="33">
        <v>0</v>
      </c>
      <c r="G157" s="33">
        <v>0.57016</v>
      </c>
      <c r="H157" s="33">
        <v>0</v>
      </c>
      <c r="I157" s="33">
        <v>0.70277599999999996</v>
      </c>
      <c r="J157" s="33">
        <v>0.57016</v>
      </c>
      <c r="K157" s="33">
        <v>0.70277599999999996</v>
      </c>
      <c r="L157" s="33">
        <v>20.890160000000002</v>
      </c>
      <c r="M157" s="33">
        <v>25.542776</v>
      </c>
      <c r="N157" s="34">
        <v>1.22244094488188</v>
      </c>
      <c r="O157" s="34">
        <v>1.2246984145589499</v>
      </c>
      <c r="P157" s="34">
        <v>1.2230033801962401</v>
      </c>
      <c r="Q157" s="34">
        <v>1.2254452901020401</v>
      </c>
      <c r="R157" s="33">
        <v>24.885871783837999</v>
      </c>
      <c r="S157" s="33">
        <v>24.8520969950996</v>
      </c>
      <c r="T157" s="33">
        <v>24.9075482948736</v>
      </c>
      <c r="U157" s="15">
        <v>1.84498713464951E-3</v>
      </c>
      <c r="V157" s="15">
        <v>4.8687803776266999E-4</v>
      </c>
      <c r="W157" s="15">
        <v>2.71564483884743E-3</v>
      </c>
      <c r="X157" s="34">
        <v>1.2227180643901201</v>
      </c>
      <c r="Y157" s="34">
        <v>1.2232106064414101</v>
      </c>
      <c r="Z157" s="34">
        <v>1.2232649534379301</v>
      </c>
      <c r="AA157" s="34">
        <v>1.22347258628387</v>
      </c>
      <c r="AB157" s="33">
        <v>25.553065282258199</v>
      </c>
      <c r="AC157" s="33">
        <v>25.554869714808898</v>
      </c>
      <c r="AD157" s="33">
        <v>25.5600247830839</v>
      </c>
      <c r="AE157" s="15">
        <v>4.0274441673073203E-4</v>
      </c>
      <c r="AF157" s="15">
        <v>4.7335703496838701E-4</v>
      </c>
      <c r="AG157" s="15">
        <v>6.7506216781287301E-4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2.6560143786785798E-3</v>
      </c>
      <c r="AT157" s="12"/>
      <c r="AU157">
        <f t="shared" si="50"/>
        <v>0</v>
      </c>
      <c r="AV157">
        <f t="shared" si="51"/>
        <v>0</v>
      </c>
      <c r="AW157">
        <f t="shared" si="58"/>
        <v>1</v>
      </c>
      <c r="AX157">
        <f t="shared" si="45"/>
        <v>1</v>
      </c>
      <c r="AY157">
        <f t="shared" si="59"/>
        <v>1</v>
      </c>
      <c r="AZ157" s="28">
        <f t="shared" si="52"/>
        <v>9.8376791013272697E-4</v>
      </c>
      <c r="BA157" s="28">
        <f t="shared" si="53"/>
        <v>-1.20700075003533E-3</v>
      </c>
      <c r="BB157" s="28">
        <f t="shared" si="60"/>
        <v>-2.2323283990260305E-4</v>
      </c>
      <c r="BC157" s="29">
        <f t="shared" si="61"/>
        <v>3.5389102722366765E-3</v>
      </c>
      <c r="BE157" s="29">
        <f t="shared" si="62"/>
        <v>-2.2323283990260305E-4</v>
      </c>
      <c r="BF157" s="29">
        <f t="shared" si="63"/>
        <v>6.1949246509152567E-3</v>
      </c>
      <c r="BH157" s="29"/>
    </row>
    <row r="158" spans="1:60" x14ac:dyDescent="0.25">
      <c r="A158" s="1">
        <v>46252</v>
      </c>
      <c r="B158" s="33">
        <v>20.32</v>
      </c>
      <c r="C158" s="33">
        <v>24.86</v>
      </c>
      <c r="D158" s="15">
        <v>0</v>
      </c>
      <c r="E158" s="15">
        <v>8.0482901728704101E-4</v>
      </c>
      <c r="F158" s="33">
        <v>0</v>
      </c>
      <c r="G158" s="33">
        <v>0.57016</v>
      </c>
      <c r="H158" s="33">
        <v>0</v>
      </c>
      <c r="I158" s="33">
        <v>0.70277599999999996</v>
      </c>
      <c r="J158" s="33">
        <v>0.57016</v>
      </c>
      <c r="K158" s="33">
        <v>0.70277599999999996</v>
      </c>
      <c r="L158" s="33">
        <v>20.890160000000002</v>
      </c>
      <c r="M158" s="33">
        <v>25.562775999999999</v>
      </c>
      <c r="N158" s="34">
        <v>1.22342519685039</v>
      </c>
      <c r="O158" s="34">
        <v>1.2246984145589499</v>
      </c>
      <c r="P158" s="34">
        <v>1.2229981592132999</v>
      </c>
      <c r="Q158" s="34">
        <v>1.22517670773549</v>
      </c>
      <c r="R158" s="33">
        <v>24.885871783837999</v>
      </c>
      <c r="S158" s="33">
        <v>24.851428685587599</v>
      </c>
      <c r="T158" s="33">
        <v>24.9010482948736</v>
      </c>
      <c r="U158" s="15">
        <v>1.0401581173625301E-3</v>
      </c>
      <c r="V158" s="15">
        <v>-3.4484281478000197E-4</v>
      </c>
      <c r="W158" s="15">
        <v>1.6498166976363E-3</v>
      </c>
      <c r="X158" s="34">
        <v>1.22367545294052</v>
      </c>
      <c r="Y158" s="34">
        <v>1.2232106064414101</v>
      </c>
      <c r="Z158" s="34">
        <v>1.22325992250705</v>
      </c>
      <c r="AA158" s="34">
        <v>1.22345176865437</v>
      </c>
      <c r="AB158" s="33">
        <v>25.553065282258199</v>
      </c>
      <c r="AC158" s="33">
        <v>25.554200599710999</v>
      </c>
      <c r="AD158" s="33">
        <v>25.558538083083899</v>
      </c>
      <c r="AE158" s="15">
        <v>-3.79949448742751E-4</v>
      </c>
      <c r="AF158" s="15">
        <v>-3.3552064068934903E-4</v>
      </c>
      <c r="AG158" s="15">
        <v>-1.6579843463683199E-4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2.6560143786785798E-3</v>
      </c>
      <c r="AT158" s="12"/>
      <c r="AU158">
        <f t="shared" si="50"/>
        <v>0</v>
      </c>
      <c r="AV158">
        <f t="shared" si="51"/>
        <v>1</v>
      </c>
      <c r="AW158">
        <f t="shared" si="58"/>
        <v>1</v>
      </c>
      <c r="AX158">
        <f t="shared" si="45"/>
        <v>1</v>
      </c>
      <c r="AY158">
        <f t="shared" si="59"/>
        <v>1</v>
      </c>
      <c r="AZ158" s="28">
        <f t="shared" si="52"/>
        <v>0</v>
      </c>
      <c r="BA158" s="28">
        <f t="shared" si="53"/>
        <v>8.0482901728704101E-4</v>
      </c>
      <c r="BB158" s="28">
        <f t="shared" si="60"/>
        <v>8.0482901728704101E-4</v>
      </c>
      <c r="BC158" s="29">
        <f t="shared" si="61"/>
        <v>4.3437392895237176E-3</v>
      </c>
      <c r="BE158" s="29">
        <f t="shared" si="62"/>
        <v>8.0482901728704101E-4</v>
      </c>
      <c r="BF158" s="29">
        <f t="shared" si="63"/>
        <v>6.9997536682022974E-3</v>
      </c>
      <c r="BH158" s="29"/>
    </row>
    <row r="159" spans="1:60" x14ac:dyDescent="0.25">
      <c r="A159" s="1">
        <v>46253</v>
      </c>
      <c r="B159" s="33">
        <v>20.36</v>
      </c>
      <c r="C159" s="33">
        <v>24.9</v>
      </c>
      <c r="D159" s="15">
        <v>1.9665689720408399E-3</v>
      </c>
      <c r="E159" s="15">
        <v>1.60771738809687E-3</v>
      </c>
      <c r="F159" s="33">
        <v>0</v>
      </c>
      <c r="G159" s="33">
        <v>0.57016</v>
      </c>
      <c r="H159" s="33">
        <v>0</v>
      </c>
      <c r="I159" s="33">
        <v>0.70277599999999996</v>
      </c>
      <c r="J159" s="33">
        <v>0.57016</v>
      </c>
      <c r="K159" s="33">
        <v>0.70277599999999996</v>
      </c>
      <c r="L159" s="33">
        <v>20.930160000000001</v>
      </c>
      <c r="M159" s="33">
        <v>25.602775999999999</v>
      </c>
      <c r="N159" s="34">
        <v>1.2229862475441999</v>
      </c>
      <c r="O159" s="34">
        <v>1.2246984145589499</v>
      </c>
      <c r="P159" s="34">
        <v>1.2229600142082699</v>
      </c>
      <c r="Q159" s="34">
        <v>1.22494330406332</v>
      </c>
      <c r="R159" s="33">
        <v>24.934859720420299</v>
      </c>
      <c r="S159" s="33">
        <v>24.9002425215828</v>
      </c>
      <c r="T159" s="33">
        <v>24.9445977694946</v>
      </c>
      <c r="U159" s="15">
        <v>1.39900970130647E-3</v>
      </c>
      <c r="V159" s="15">
        <v>9.73977517289546E-6</v>
      </c>
      <c r="W159" s="15">
        <v>1.78947301779383E-3</v>
      </c>
      <c r="X159" s="34">
        <v>1.2232479828152201</v>
      </c>
      <c r="Y159" s="34">
        <v>1.2232106064414101</v>
      </c>
      <c r="Z159" s="34">
        <v>1.22322282861583</v>
      </c>
      <c r="AA159" s="34">
        <v>1.2234654782557599</v>
      </c>
      <c r="AB159" s="33">
        <v>25.601993706515799</v>
      </c>
      <c r="AC159" s="33">
        <v>25.603025899660299</v>
      </c>
      <c r="AD159" s="33">
        <v>25.607041270219</v>
      </c>
      <c r="AE159" s="15">
        <v>-3.0555492727516999E-5</v>
      </c>
      <c r="AF159" s="15">
        <v>9.7605994257915295E-6</v>
      </c>
      <c r="AG159" s="15">
        <v>1.6658017764076299E-4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2.6560143786785798E-3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4.3437392895237176E-3</v>
      </c>
      <c r="BE159" s="29">
        <f t="shared" si="62"/>
        <v>0</v>
      </c>
      <c r="BF159" s="29">
        <f t="shared" si="63"/>
        <v>6.9997536682022974E-3</v>
      </c>
      <c r="BH159" s="29"/>
    </row>
    <row r="160" spans="1:60" x14ac:dyDescent="0.25">
      <c r="A160" s="1">
        <v>46254</v>
      </c>
      <c r="B160" s="33">
        <v>20.3</v>
      </c>
      <c r="C160" s="33">
        <v>24.84</v>
      </c>
      <c r="D160" s="15">
        <v>-2.9513056345803002E-3</v>
      </c>
      <c r="E160" s="15">
        <v>-2.4125464053838699E-3</v>
      </c>
      <c r="F160" s="33">
        <v>0</v>
      </c>
      <c r="G160" s="33">
        <v>0.57016</v>
      </c>
      <c r="H160" s="33">
        <v>0</v>
      </c>
      <c r="I160" s="33">
        <v>0.70277599999999996</v>
      </c>
      <c r="J160" s="33">
        <v>0.57016</v>
      </c>
      <c r="K160" s="33">
        <v>0.70277599999999996</v>
      </c>
      <c r="L160" s="33">
        <v>20.870159999999998</v>
      </c>
      <c r="M160" s="33">
        <v>25.542776</v>
      </c>
      <c r="N160" s="34">
        <v>1.2236453201970401</v>
      </c>
      <c r="O160" s="34">
        <v>1.2246984145589499</v>
      </c>
      <c r="P160" s="34">
        <v>1.22303123914136</v>
      </c>
      <c r="Q160" s="34">
        <v>1.2246785928680199</v>
      </c>
      <c r="R160" s="33">
        <v>24.861377815546799</v>
      </c>
      <c r="S160" s="33">
        <v>24.826088288427901</v>
      </c>
      <c r="T160" s="33">
        <v>24.866349072485399</v>
      </c>
      <c r="U160" s="15">
        <v>8.6025047211012195E-4</v>
      </c>
      <c r="V160" s="15">
        <v>-5.6020968895663197E-4</v>
      </c>
      <c r="W160" s="15">
        <v>1.06018951080324E-3</v>
      </c>
      <c r="X160" s="34">
        <v>1.22388980247396</v>
      </c>
      <c r="Y160" s="34">
        <v>1.2232106064414101</v>
      </c>
      <c r="Z160" s="34">
        <v>1.2232921329966999</v>
      </c>
      <c r="AA160" s="34">
        <v>1.2234495728933501</v>
      </c>
      <c r="AB160" s="33">
        <v>25.528601070129302</v>
      </c>
      <c r="AC160" s="33">
        <v>25.528856148865</v>
      </c>
      <c r="AD160" s="33">
        <v>25.533920285674299</v>
      </c>
      <c r="AE160" s="15">
        <v>-5.55102722808318E-4</v>
      </c>
      <c r="AF160" s="15">
        <v>-5.4511089205177003E-4</v>
      </c>
      <c r="AG160" s="15">
        <v>-3.4676144145420398E-4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2.6560143786785798E-3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4.3437392895237176E-3</v>
      </c>
      <c r="BE160" s="29">
        <f t="shared" si="62"/>
        <v>0</v>
      </c>
      <c r="BF160" s="29">
        <f t="shared" si="63"/>
        <v>6.9997536682022974E-3</v>
      </c>
      <c r="BH160" s="29"/>
    </row>
    <row r="161" spans="1:60" x14ac:dyDescent="0.25">
      <c r="A161" s="1">
        <v>46255</v>
      </c>
      <c r="B161" s="33">
        <v>20.29</v>
      </c>
      <c r="C161" s="33">
        <v>24.83</v>
      </c>
      <c r="D161" s="15">
        <v>-4.9273221001830598E-4</v>
      </c>
      <c r="E161" s="15">
        <v>-4.0265754520288702E-4</v>
      </c>
      <c r="F161" s="33">
        <v>0</v>
      </c>
      <c r="G161" s="33">
        <v>0.57016</v>
      </c>
      <c r="H161" s="33">
        <v>0</v>
      </c>
      <c r="I161" s="33">
        <v>0.70277599999999996</v>
      </c>
      <c r="J161" s="33">
        <v>0.57016</v>
      </c>
      <c r="K161" s="33">
        <v>0.70277599999999996</v>
      </c>
      <c r="L161" s="33">
        <v>20.86016</v>
      </c>
      <c r="M161" s="33">
        <v>25.532775999999998</v>
      </c>
      <c r="N161" s="34">
        <v>1.22375554460325</v>
      </c>
      <c r="O161" s="34">
        <v>1.2246984145589499</v>
      </c>
      <c r="P161" s="34">
        <v>1.2229879145456399</v>
      </c>
      <c r="Q161" s="34">
        <v>1.2244307265338199</v>
      </c>
      <c r="R161" s="33">
        <v>24.849130831401201</v>
      </c>
      <c r="S161" s="33">
        <v>24.815303842178199</v>
      </c>
      <c r="T161" s="33">
        <v>24.848728649292099</v>
      </c>
      <c r="U161" s="15">
        <v>7.7017580729440505E-4</v>
      </c>
      <c r="V161" s="15">
        <v>-5.9204626071860604E-4</v>
      </c>
      <c r="W161" s="15">
        <v>7.5399071951444299E-4</v>
      </c>
      <c r="X161" s="34">
        <v>1.22399713137387</v>
      </c>
      <c r="Y161" s="34">
        <v>1.2232106064414101</v>
      </c>
      <c r="Z161" s="34">
        <v>1.2232500475060499</v>
      </c>
      <c r="AA161" s="34">
        <v>1.2234498286886299</v>
      </c>
      <c r="AB161" s="33">
        <v>25.516368964064899</v>
      </c>
      <c r="AC161" s="33">
        <v>25.518069621052401</v>
      </c>
      <c r="AD161" s="33">
        <v>25.521353842487098</v>
      </c>
      <c r="AE161" s="15">
        <v>-6.4279378279515401E-4</v>
      </c>
      <c r="AF161" s="15">
        <v>-5.7614635665504798E-4</v>
      </c>
      <c r="AG161" s="15">
        <v>-4.4745284029771198E-4</v>
      </c>
      <c r="AI161" s="12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2.6560143786785798E-3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4.3437392895237176E-3</v>
      </c>
      <c r="BE161" s="29">
        <f t="shared" si="62"/>
        <v>0</v>
      </c>
      <c r="BF161" s="29">
        <f t="shared" si="63"/>
        <v>6.9997536682022974E-3</v>
      </c>
      <c r="BH161" s="29"/>
    </row>
    <row r="162" spans="1:60" x14ac:dyDescent="0.25">
      <c r="A162" s="1">
        <v>46258</v>
      </c>
      <c r="B162" s="33">
        <v>20.21</v>
      </c>
      <c r="C162" s="33">
        <v>24.83</v>
      </c>
      <c r="D162" s="15">
        <v>-3.9506224221936498E-3</v>
      </c>
      <c r="E162" s="15">
        <v>0</v>
      </c>
      <c r="F162" s="33">
        <v>8.4349999999999994E-2</v>
      </c>
      <c r="G162" s="33">
        <v>0.65451000000000004</v>
      </c>
      <c r="H162" s="33">
        <v>0</v>
      </c>
      <c r="I162" s="33">
        <v>0.70277599999999996</v>
      </c>
      <c r="J162" s="33">
        <v>0.65451000000000004</v>
      </c>
      <c r="K162" s="33">
        <v>0.70277599999999996</v>
      </c>
      <c r="L162" s="33">
        <v>20.864509999999999</v>
      </c>
      <c r="M162" s="33">
        <v>25.532775999999998</v>
      </c>
      <c r="N162" s="34">
        <v>1.22859970311726</v>
      </c>
      <c r="O162" s="34">
        <v>1.2246984145589499</v>
      </c>
      <c r="P162" s="34">
        <v>1.2235216157592901</v>
      </c>
      <c r="Q162" s="34">
        <v>1.2244173107999199</v>
      </c>
      <c r="R162" s="33">
        <v>24.751154958236501</v>
      </c>
      <c r="S162" s="33">
        <v>24.716585752967401</v>
      </c>
      <c r="T162" s="33">
        <v>24.745744983248599</v>
      </c>
      <c r="U162" s="15">
        <v>-3.1804466148991498E-3</v>
      </c>
      <c r="V162" s="15">
        <v>-4.5780932589308898E-3</v>
      </c>
      <c r="W162" s="15">
        <v>-3.3990451540319802E-3</v>
      </c>
      <c r="X162" s="34">
        <v>1.2237419426576499</v>
      </c>
      <c r="Y162" s="34">
        <v>1.2232106064414101</v>
      </c>
      <c r="Z162" s="34">
        <v>1.2232724669052699</v>
      </c>
      <c r="AA162" s="34">
        <v>1.22342943991756</v>
      </c>
      <c r="AB162" s="33">
        <v>25.5216899302029</v>
      </c>
      <c r="AC162" s="33">
        <v>25.5225128486905</v>
      </c>
      <c r="AD162" s="33">
        <v>25.526681185172201</v>
      </c>
      <c r="AE162" s="15">
        <v>-4.3428404427554499E-4</v>
      </c>
      <c r="AF162" s="15">
        <v>-4.02040677045516E-4</v>
      </c>
      <c r="AG162" s="15">
        <v>-2.38734024709722E-4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2.6560143786785798E-3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4.3437392895237176E-3</v>
      </c>
      <c r="BE162" s="29">
        <f t="shared" si="62"/>
        <v>0</v>
      </c>
      <c r="BF162" s="29">
        <f t="shared" si="63"/>
        <v>6.9997536682022974E-3</v>
      </c>
      <c r="BH162" s="29"/>
    </row>
    <row r="163" spans="1:60" x14ac:dyDescent="0.25">
      <c r="A163" s="1">
        <v>46259</v>
      </c>
      <c r="B163" s="33">
        <v>20.3</v>
      </c>
      <c r="C163" s="33">
        <v>24.94</v>
      </c>
      <c r="D163" s="15">
        <v>4.4433546322118897E-3</v>
      </c>
      <c r="E163" s="15">
        <v>4.4203407318152196E-3</v>
      </c>
      <c r="F163" s="33">
        <v>0</v>
      </c>
      <c r="G163" s="33">
        <v>0.65451000000000004</v>
      </c>
      <c r="H163" s="33">
        <v>0</v>
      </c>
      <c r="I163" s="33">
        <v>0.70277599999999996</v>
      </c>
      <c r="J163" s="33">
        <v>0.65451000000000004</v>
      </c>
      <c r="K163" s="33">
        <v>0.70277599999999996</v>
      </c>
      <c r="L163" s="33">
        <v>20.954509999999999</v>
      </c>
      <c r="M163" s="33">
        <v>25.642776000000001</v>
      </c>
      <c r="N163" s="34">
        <v>1.22857142857142</v>
      </c>
      <c r="O163" s="34">
        <v>1.2246984145589499</v>
      </c>
      <c r="P163" s="34">
        <v>1.2241729486705899</v>
      </c>
      <c r="Q163" s="34">
        <v>1.22443069485176</v>
      </c>
      <c r="R163" s="33">
        <v>24.861377815546799</v>
      </c>
      <c r="S163" s="33">
        <v>24.837488799913601</v>
      </c>
      <c r="T163" s="33">
        <v>24.855671409238401</v>
      </c>
      <c r="U163" s="15">
        <v>-3.1574327145023201E-3</v>
      </c>
      <c r="V163" s="15">
        <v>-4.1187833085869902E-3</v>
      </c>
      <c r="W163" s="15">
        <v>-3.3869880249006099E-3</v>
      </c>
      <c r="X163" s="34">
        <v>1.22373541543085</v>
      </c>
      <c r="Y163" s="34">
        <v>1.2232106064414101</v>
      </c>
      <c r="Z163" s="34">
        <v>1.22341142787043</v>
      </c>
      <c r="AA163" s="34">
        <v>1.2234356010439</v>
      </c>
      <c r="AB163" s="33">
        <v>25.631778884782701</v>
      </c>
      <c r="AC163" s="33">
        <v>25.6330751404913</v>
      </c>
      <c r="AD163" s="33">
        <v>25.6363644330469</v>
      </c>
      <c r="AE163" s="15">
        <v>-4.2895020388249801E-4</v>
      </c>
      <c r="AF163" s="15">
        <v>-3.7837927245169399E-4</v>
      </c>
      <c r="AG163" s="15">
        <v>-2.50065306568022E-4</v>
      </c>
      <c r="AI163" s="12"/>
      <c r="AJ163">
        <f t="shared" si="46"/>
        <v>0</v>
      </c>
      <c r="AK163">
        <f t="shared" si="47"/>
        <v>0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2.6560143786785798E-3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4.3437392895237176E-3</v>
      </c>
      <c r="BE163" s="29">
        <f t="shared" si="62"/>
        <v>0</v>
      </c>
      <c r="BF163" s="29">
        <f t="shared" si="63"/>
        <v>6.9997536682022974E-3</v>
      </c>
      <c r="BH163" s="29"/>
    </row>
    <row r="164" spans="1:60" x14ac:dyDescent="0.25">
      <c r="A164" s="1">
        <v>46260</v>
      </c>
      <c r="B164" s="33">
        <v>20.27</v>
      </c>
      <c r="C164" s="33">
        <v>24.91</v>
      </c>
      <c r="D164" s="15">
        <v>-1.4789255838330701E-3</v>
      </c>
      <c r="E164" s="15">
        <v>-1.2036109778014201E-3</v>
      </c>
      <c r="F164" s="33">
        <v>0</v>
      </c>
      <c r="G164" s="33">
        <v>0.65451000000000004</v>
      </c>
      <c r="H164" s="33">
        <v>0</v>
      </c>
      <c r="I164" s="33">
        <v>0.70277599999999996</v>
      </c>
      <c r="J164" s="33">
        <v>0.65451000000000004</v>
      </c>
      <c r="K164" s="33">
        <v>0.70277599999999996</v>
      </c>
      <c r="L164" s="33">
        <v>20.924509999999898</v>
      </c>
      <c r="M164" s="33">
        <v>25.612776</v>
      </c>
      <c r="N164" s="34">
        <v>1.2289097187962501</v>
      </c>
      <c r="O164" s="34">
        <v>1.2246984145589499</v>
      </c>
      <c r="P164" s="34">
        <v>1.2247706134636001</v>
      </c>
      <c r="Q164" s="34">
        <v>1.2244687733841699</v>
      </c>
      <c r="R164" s="33">
        <v>24.824636863110001</v>
      </c>
      <c r="S164" s="33">
        <v>24.813985669552899</v>
      </c>
      <c r="T164" s="33">
        <v>24.8192101846453</v>
      </c>
      <c r="U164" s="15">
        <v>-3.4327473205340601E-3</v>
      </c>
      <c r="V164" s="15">
        <v>-3.8618967681668002E-3</v>
      </c>
      <c r="W164" s="15">
        <v>-3.6513717345966201E-3</v>
      </c>
      <c r="X164" s="34">
        <v>1.22405619056312</v>
      </c>
      <c r="Y164" s="34">
        <v>1.2232106064414101</v>
      </c>
      <c r="Z164" s="34">
        <v>1.2234973710602099</v>
      </c>
      <c r="AA164" s="34">
        <v>1.2234657058474001</v>
      </c>
      <c r="AB164" s="33">
        <v>25.595082566589401</v>
      </c>
      <c r="AC164" s="33">
        <v>25.599284656589202</v>
      </c>
      <c r="AD164" s="33">
        <v>25.5997904683991</v>
      </c>
      <c r="AE164" s="15">
        <v>-6.9104370344375498E-4</v>
      </c>
      <c r="AF164" s="15">
        <v>-5.2688150212719202E-4</v>
      </c>
      <c r="AG164" s="15">
        <v>-5.0712287138172799E-4</v>
      </c>
      <c r="AI164" s="12"/>
      <c r="AJ164">
        <f t="shared" si="46"/>
        <v>0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2.6560143786785798E-3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4.3437392895237176E-3</v>
      </c>
      <c r="BE164" s="29">
        <f t="shared" si="62"/>
        <v>0</v>
      </c>
      <c r="BF164" s="29">
        <f t="shared" si="63"/>
        <v>6.9997536682022974E-3</v>
      </c>
      <c r="BH164" s="29"/>
    </row>
    <row r="165" spans="1:60" x14ac:dyDescent="0.25">
      <c r="A165" s="1">
        <v>46261</v>
      </c>
      <c r="B165" s="33">
        <v>20.28</v>
      </c>
      <c r="C165" s="33">
        <v>24.89</v>
      </c>
      <c r="D165" s="15">
        <v>4.9321825907374999E-4</v>
      </c>
      <c r="E165" s="15">
        <v>-8.0321289458842795E-4</v>
      </c>
      <c r="F165" s="33">
        <v>0</v>
      </c>
      <c r="G165" s="33">
        <v>0.65451000000000004</v>
      </c>
      <c r="H165" s="33">
        <v>0</v>
      </c>
      <c r="I165" s="33">
        <v>0.70277599999999996</v>
      </c>
      <c r="J165" s="33">
        <v>0.65451000000000004</v>
      </c>
      <c r="K165" s="33">
        <v>0.70277599999999996</v>
      </c>
      <c r="L165" s="33">
        <v>20.93451</v>
      </c>
      <c r="M165" s="33">
        <v>25.592776000000001</v>
      </c>
      <c r="N165" s="34">
        <v>1.22731755424063</v>
      </c>
      <c r="O165" s="34">
        <v>1.2246984145589499</v>
      </c>
      <c r="P165" s="34">
        <v>1.2252365523109101</v>
      </c>
      <c r="Q165" s="34">
        <v>1.22444411855182</v>
      </c>
      <c r="R165" s="33">
        <v>24.836883847255599</v>
      </c>
      <c r="S165" s="33">
        <v>24.8383480410419</v>
      </c>
      <c r="T165" s="33">
        <v>24.832226724230999</v>
      </c>
      <c r="U165" s="15">
        <v>-2.1363161668717201E-3</v>
      </c>
      <c r="V165" s="15">
        <v>-2.0773655095305001E-3</v>
      </c>
      <c r="W165" s="15">
        <v>-2.3238420953474001E-3</v>
      </c>
      <c r="X165" s="34">
        <v>1.2225161228994601</v>
      </c>
      <c r="Y165" s="34">
        <v>1.2232106064414101</v>
      </c>
      <c r="Z165" s="34">
        <v>1.2234561382573701</v>
      </c>
      <c r="AA165" s="34">
        <v>1.2234348829785</v>
      </c>
      <c r="AB165" s="33">
        <v>25.6073146726538</v>
      </c>
      <c r="AC165" s="33">
        <v>25.613317949433799</v>
      </c>
      <c r="AD165" s="33">
        <v>25.6126550537196</v>
      </c>
      <c r="AE165" s="15">
        <v>5.6791591005569595E-4</v>
      </c>
      <c r="AF165" s="15">
        <v>8.0232444818160097E-4</v>
      </c>
      <c r="AG165" s="15">
        <v>7.7644321351202699E-4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2.6560143786785798E-3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4.3437392895237176E-3</v>
      </c>
      <c r="BE165" s="29">
        <f t="shared" si="62"/>
        <v>0</v>
      </c>
      <c r="BF165" s="29">
        <f t="shared" si="63"/>
        <v>6.9997536682022974E-3</v>
      </c>
      <c r="BH165" s="29"/>
    </row>
    <row r="166" spans="1:60" x14ac:dyDescent="0.25">
      <c r="A166" s="1">
        <v>46262</v>
      </c>
      <c r="B166" s="33">
        <v>20.18</v>
      </c>
      <c r="C166" s="33">
        <v>24.8</v>
      </c>
      <c r="D166" s="15">
        <v>-4.9431637975195404E-3</v>
      </c>
      <c r="E166" s="15">
        <v>-3.6224632085640799E-3</v>
      </c>
      <c r="F166" s="33">
        <v>0</v>
      </c>
      <c r="G166" s="33">
        <v>0.65451000000000004</v>
      </c>
      <c r="H166" s="33">
        <v>0</v>
      </c>
      <c r="I166" s="33">
        <v>0.70277599999999996</v>
      </c>
      <c r="J166" s="33">
        <v>0.65451000000000004</v>
      </c>
      <c r="K166" s="33">
        <v>0.70277599999999996</v>
      </c>
      <c r="L166" s="33">
        <v>20.834509999999899</v>
      </c>
      <c r="M166" s="33">
        <v>25.502776000000001</v>
      </c>
      <c r="N166" s="34">
        <v>1.2289395441030699</v>
      </c>
      <c r="O166" s="34">
        <v>1.2246984145589499</v>
      </c>
      <c r="P166" s="34">
        <v>1.22585912029054</v>
      </c>
      <c r="Q166" s="34">
        <v>1.2244476948672101</v>
      </c>
      <c r="R166" s="33">
        <v>24.7144140057997</v>
      </c>
      <c r="S166" s="33">
        <v>24.725273625634198</v>
      </c>
      <c r="T166" s="33">
        <v>24.709282312375802</v>
      </c>
      <c r="U166" s="15">
        <v>-3.4570167558272999E-3</v>
      </c>
      <c r="V166" s="15">
        <v>-3.01770896366953E-3</v>
      </c>
      <c r="W166" s="15">
        <v>-3.6646780124554501E-3</v>
      </c>
      <c r="X166" s="34">
        <v>1.2240641128589</v>
      </c>
      <c r="Y166" s="34">
        <v>1.2232106064414101</v>
      </c>
      <c r="Z166" s="34">
        <v>1.2235642218403699</v>
      </c>
      <c r="AA166" s="34">
        <v>1.2234306027174899</v>
      </c>
      <c r="AB166" s="33">
        <v>25.484993612009699</v>
      </c>
      <c r="AC166" s="33">
        <v>25.490109147084699</v>
      </c>
      <c r="AD166" s="33">
        <v>25.489666303764398</v>
      </c>
      <c r="AE166" s="15">
        <v>-6.9751584925330397E-4</v>
      </c>
      <c r="AF166" s="15">
        <v>-4.9680864847305103E-4</v>
      </c>
      <c r="AG166" s="15">
        <v>-5.1418194273969203E-4</v>
      </c>
      <c r="AI166" s="12"/>
      <c r="AJ166">
        <f t="shared" si="46"/>
        <v>0</v>
      </c>
      <c r="AK166">
        <f t="shared" si="47"/>
        <v>0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2.6560143786785798E-3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4.3437392895237176E-3</v>
      </c>
      <c r="BE166" s="29">
        <f t="shared" si="62"/>
        <v>0</v>
      </c>
      <c r="BF166" s="29">
        <f t="shared" si="63"/>
        <v>6.9997536682022974E-3</v>
      </c>
      <c r="BH166" s="29"/>
    </row>
    <row r="167" spans="1:60" x14ac:dyDescent="0.25">
      <c r="A167" s="1">
        <v>46265</v>
      </c>
      <c r="B167" s="33">
        <v>20.18</v>
      </c>
      <c r="C167" s="33">
        <v>24.79</v>
      </c>
      <c r="D167" s="15">
        <v>0</v>
      </c>
      <c r="E167" s="15">
        <v>-4.0330712383743103E-4</v>
      </c>
      <c r="F167" s="33">
        <v>0</v>
      </c>
      <c r="G167" s="33">
        <v>0.65451000000000004</v>
      </c>
      <c r="H167" s="33">
        <v>0</v>
      </c>
      <c r="I167" s="33">
        <v>0.70277599999999996</v>
      </c>
      <c r="J167" s="33">
        <v>0.65451000000000004</v>
      </c>
      <c r="K167" s="33">
        <v>0.70277599999999996</v>
      </c>
      <c r="L167" s="33">
        <v>20.834509999999899</v>
      </c>
      <c r="M167" s="33">
        <v>25.492775999999999</v>
      </c>
      <c r="N167" s="34">
        <v>1.2284440039643201</v>
      </c>
      <c r="O167" s="34">
        <v>1.2246984145589499</v>
      </c>
      <c r="P167" s="34">
        <v>1.22645942619878</v>
      </c>
      <c r="Q167" s="34">
        <v>1.2247314031975101</v>
      </c>
      <c r="R167" s="33">
        <v>24.7144140057997</v>
      </c>
      <c r="S167" s="33">
        <v>24.737837047463099</v>
      </c>
      <c r="T167" s="33">
        <v>24.709354482420299</v>
      </c>
      <c r="U167" s="15">
        <v>-3.0537096319897799E-3</v>
      </c>
      <c r="V167" s="15">
        <v>-2.10641025062066E-3</v>
      </c>
      <c r="W167" s="15">
        <v>-3.2584501263643499E-3</v>
      </c>
      <c r="X167" s="34">
        <v>1.22358413996777</v>
      </c>
      <c r="Y167" s="34">
        <v>1.2232106064414101</v>
      </c>
      <c r="Z167" s="34">
        <v>1.2236508293981301</v>
      </c>
      <c r="AA167" s="34">
        <v>1.2234578914180301</v>
      </c>
      <c r="AB167" s="33">
        <v>25.484993612009699</v>
      </c>
      <c r="AC167" s="33">
        <v>25.492361015575401</v>
      </c>
      <c r="AD167" s="33">
        <v>25.489577126623601</v>
      </c>
      <c r="AE167" s="15">
        <v>-3.0532477626792699E-4</v>
      </c>
      <c r="AF167" s="15">
        <v>-1.6278643105538399E-5</v>
      </c>
      <c r="AG167" s="15">
        <v>-1.2548943641798099E-4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2.6560143786785798E-3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4.3437392895237176E-3</v>
      </c>
      <c r="BE167" s="29">
        <f t="shared" si="62"/>
        <v>0</v>
      </c>
      <c r="BF167" s="29">
        <f t="shared" si="63"/>
        <v>6.9997536682022974E-3</v>
      </c>
      <c r="BH167" s="29"/>
    </row>
    <row r="168" spans="1:60" x14ac:dyDescent="0.25">
      <c r="A168" s="1">
        <v>46266</v>
      </c>
      <c r="B168" s="33">
        <v>20.09</v>
      </c>
      <c r="C168" s="33">
        <v>24.59</v>
      </c>
      <c r="D168" s="15">
        <v>-4.4698360986198896E-3</v>
      </c>
      <c r="E168" s="15">
        <v>-8.1004898189979101E-3</v>
      </c>
      <c r="F168" s="33">
        <v>0</v>
      </c>
      <c r="G168" s="33">
        <v>0.65451000000000004</v>
      </c>
      <c r="H168" s="33">
        <v>9.9994E-2</v>
      </c>
      <c r="I168" s="33">
        <v>0.80276999999999998</v>
      </c>
      <c r="J168" s="33">
        <v>0.65451000000000004</v>
      </c>
      <c r="K168" s="33">
        <v>0.80276999999999998</v>
      </c>
      <c r="L168" s="33">
        <v>20.744509999999998</v>
      </c>
      <c r="M168" s="33">
        <v>25.392769999999999</v>
      </c>
      <c r="N168" s="34">
        <v>1.22399203583872</v>
      </c>
      <c r="O168" s="34">
        <v>1.2246984145589499</v>
      </c>
      <c r="P168" s="34">
        <v>1.2265161100976201</v>
      </c>
      <c r="Q168" s="34">
        <v>1.22475713465546</v>
      </c>
      <c r="R168" s="33">
        <v>24.604191148489399</v>
      </c>
      <c r="S168" s="33">
        <v>24.639569872333599</v>
      </c>
      <c r="T168" s="33">
        <v>24.604853890238001</v>
      </c>
      <c r="U168" s="15">
        <v>5.7694408838832305E-4</v>
      </c>
      <c r="V168" s="15">
        <v>2.0138258048852001E-3</v>
      </c>
      <c r="W168" s="15">
        <v>6.0387985794549002E-4</v>
      </c>
      <c r="X168" s="34">
        <v>1.2240718146632501</v>
      </c>
      <c r="Y168" s="34">
        <v>1.2232106064414101</v>
      </c>
      <c r="Z168" s="34">
        <v>1.2236904655704</v>
      </c>
      <c r="AA168" s="34">
        <v>1.2234751940387301</v>
      </c>
      <c r="AB168" s="33">
        <v>25.374904657430001</v>
      </c>
      <c r="AC168" s="33">
        <v>25.384036866957899</v>
      </c>
      <c r="AD168" s="33">
        <v>25.380034463100301</v>
      </c>
      <c r="AE168" s="15">
        <v>-7.0380782369849296E-4</v>
      </c>
      <c r="AF168" s="15">
        <v>-3.4398118617706301E-4</v>
      </c>
      <c r="AG168" s="15">
        <v>-5.0166766643718703E-4</v>
      </c>
      <c r="AI168" s="12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2.6560143786785798E-3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4.3437392895237176E-3</v>
      </c>
      <c r="BE168" s="29">
        <f t="shared" si="62"/>
        <v>0</v>
      </c>
      <c r="BF168" s="29">
        <f t="shared" si="63"/>
        <v>6.9997536682022974E-3</v>
      </c>
      <c r="BH168" s="29"/>
    </row>
    <row r="169" spans="1:60" x14ac:dyDescent="0.25">
      <c r="A169" s="1">
        <v>46267</v>
      </c>
      <c r="B169" s="33">
        <v>20.12</v>
      </c>
      <c r="C169" s="33">
        <v>24.6</v>
      </c>
      <c r="D169" s="15">
        <v>1.4921664046954901E-3</v>
      </c>
      <c r="E169" s="15">
        <v>4.0658671021605802E-4</v>
      </c>
      <c r="F169" s="33">
        <v>0</v>
      </c>
      <c r="G169" s="33">
        <v>0.65451000000000004</v>
      </c>
      <c r="H169" s="33">
        <v>0</v>
      </c>
      <c r="I169" s="33">
        <v>0.80276999999999998</v>
      </c>
      <c r="J169" s="33">
        <v>0.65451000000000004</v>
      </c>
      <c r="K169" s="33">
        <v>0.80276999999999998</v>
      </c>
      <c r="L169" s="33">
        <v>20.774509999999999</v>
      </c>
      <c r="M169" s="33">
        <v>25.40277</v>
      </c>
      <c r="N169" s="34">
        <v>1.2226640159045701</v>
      </c>
      <c r="O169" s="34">
        <v>1.2246984145589499</v>
      </c>
      <c r="P169" s="34">
        <v>1.2264838869336501</v>
      </c>
      <c r="Q169" s="34">
        <v>1.2247219505709599</v>
      </c>
      <c r="R169" s="33">
        <v>24.6409321009262</v>
      </c>
      <c r="S169" s="33">
        <v>24.677504135164099</v>
      </c>
      <c r="T169" s="33">
        <v>24.642113549267801</v>
      </c>
      <c r="U169" s="15">
        <v>1.6625237828677101E-3</v>
      </c>
      <c r="V169" s="15">
        <v>3.1456219397690598E-3</v>
      </c>
      <c r="W169" s="15">
        <v>1.7104692101975101E-3</v>
      </c>
      <c r="X169" s="34">
        <v>1.22278551936965</v>
      </c>
      <c r="Y169" s="34">
        <v>1.2232106064414101</v>
      </c>
      <c r="Z169" s="34">
        <v>1.2236442192258501</v>
      </c>
      <c r="AA169" s="34">
        <v>1.22343352392084</v>
      </c>
      <c r="AB169" s="33">
        <v>25.411600975623202</v>
      </c>
      <c r="AC169" s="33">
        <v>25.421569813897101</v>
      </c>
      <c r="AD169" s="33">
        <v>25.417097653309501</v>
      </c>
      <c r="AE169" s="15">
        <v>3.4757788171389998E-4</v>
      </c>
      <c r="AF169" s="15">
        <v>7.3979572871519898E-4</v>
      </c>
      <c r="AG169" s="15">
        <v>5.6386033064653002E-4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2.6560143786785798E-3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4.3437392895237176E-3</v>
      </c>
      <c r="BE169" s="29">
        <f t="shared" si="62"/>
        <v>0</v>
      </c>
      <c r="BF169" s="29">
        <f t="shared" si="63"/>
        <v>6.9997536682022974E-3</v>
      </c>
      <c r="BH169" s="29"/>
    </row>
    <row r="170" spans="1:60" x14ac:dyDescent="0.25">
      <c r="A170" s="1">
        <v>46268</v>
      </c>
      <c r="B170" s="33">
        <v>20.14</v>
      </c>
      <c r="C170" s="33">
        <v>24.66</v>
      </c>
      <c r="D170" s="15">
        <v>9.9354205887773497E-4</v>
      </c>
      <c r="E170" s="15">
        <v>2.4360547978811201E-3</v>
      </c>
      <c r="F170" s="33">
        <v>0</v>
      </c>
      <c r="G170" s="33">
        <v>0.65451000000000004</v>
      </c>
      <c r="H170" s="33">
        <v>0</v>
      </c>
      <c r="I170" s="33">
        <v>0.80276999999999998</v>
      </c>
      <c r="J170" s="33">
        <v>0.65451000000000004</v>
      </c>
      <c r="K170" s="33">
        <v>0.80276999999999998</v>
      </c>
      <c r="L170" s="33">
        <v>20.794509999999999</v>
      </c>
      <c r="M170" s="33">
        <v>25.462769999999999</v>
      </c>
      <c r="N170" s="34">
        <v>1.22442899702085</v>
      </c>
      <c r="O170" s="34">
        <v>1.2246984145589499</v>
      </c>
      <c r="P170" s="34">
        <v>1.22656225461603</v>
      </c>
      <c r="Q170" s="34">
        <v>1.2247967468787</v>
      </c>
      <c r="R170" s="33">
        <v>24.6654260692173</v>
      </c>
      <c r="S170" s="33">
        <v>24.701385482843801</v>
      </c>
      <c r="T170" s="33">
        <v>24.665900084499199</v>
      </c>
      <c r="U170" s="15">
        <v>2.2001104386449601E-4</v>
      </c>
      <c r="V170" s="15">
        <v>1.6768367474400299E-3</v>
      </c>
      <c r="W170" s="15">
        <v>2.39228661505331E-4</v>
      </c>
      <c r="X170" s="34">
        <v>1.22449483060673</v>
      </c>
      <c r="Y170" s="34">
        <v>1.2232106064414101</v>
      </c>
      <c r="Z170" s="34">
        <v>1.22370472203912</v>
      </c>
      <c r="AA170" s="34">
        <v>1.2234984275179099</v>
      </c>
      <c r="AB170" s="33">
        <v>25.436065187752</v>
      </c>
      <c r="AC170" s="33">
        <v>25.4450819531341</v>
      </c>
      <c r="AD170" s="33">
        <v>25.4407006475072</v>
      </c>
      <c r="AE170" s="15">
        <v>-1.0493291093901401E-3</v>
      </c>
      <c r="AF170" s="15">
        <v>-6.9490449504390104E-4</v>
      </c>
      <c r="AG170" s="15">
        <v>-8.6710605759586599E-4</v>
      </c>
      <c r="AI170" s="12"/>
      <c r="AJ170">
        <f t="shared" si="46"/>
        <v>0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2.6560143786785798E-3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4.3437392895237176E-3</v>
      </c>
      <c r="BE170" s="29">
        <f t="shared" si="62"/>
        <v>0</v>
      </c>
      <c r="BF170" s="29">
        <f t="shared" si="63"/>
        <v>6.9997536682022974E-3</v>
      </c>
      <c r="BH170" s="29"/>
    </row>
    <row r="171" spans="1:60" x14ac:dyDescent="0.25">
      <c r="A171" s="1">
        <v>46269</v>
      </c>
      <c r="B171" s="33">
        <v>20.12</v>
      </c>
      <c r="C171" s="33">
        <v>24.63</v>
      </c>
      <c r="D171" s="15">
        <v>-9.9354205887778897E-4</v>
      </c>
      <c r="E171" s="15">
        <v>-1.21728560375174E-3</v>
      </c>
      <c r="F171" s="33">
        <v>0</v>
      </c>
      <c r="G171" s="33">
        <v>0.65451000000000004</v>
      </c>
      <c r="H171" s="33">
        <v>0</v>
      </c>
      <c r="I171" s="33">
        <v>0.80276999999999998</v>
      </c>
      <c r="J171" s="33">
        <v>0.65451000000000004</v>
      </c>
      <c r="K171" s="33">
        <v>0.80276999999999998</v>
      </c>
      <c r="L171" s="33">
        <v>20.774509999999999</v>
      </c>
      <c r="M171" s="33">
        <v>25.432769999999898</v>
      </c>
      <c r="N171" s="34">
        <v>1.2241550695825001</v>
      </c>
      <c r="O171" s="34">
        <v>1.2246984145589499</v>
      </c>
      <c r="P171" s="34">
        <v>1.22660220711396</v>
      </c>
      <c r="Q171" s="34">
        <v>1.2247950608297999</v>
      </c>
      <c r="R171" s="33">
        <v>24.6409321009262</v>
      </c>
      <c r="S171" s="33">
        <v>24.678432562874601</v>
      </c>
      <c r="T171" s="33">
        <v>24.642910547199399</v>
      </c>
      <c r="U171" s="15">
        <v>4.43754588738363E-4</v>
      </c>
      <c r="V171" s="15">
        <v>1.9644744695004801E-3</v>
      </c>
      <c r="W171" s="15">
        <v>5.2404241403823605E-4</v>
      </c>
      <c r="X171" s="34">
        <v>1.22422959675101</v>
      </c>
      <c r="Y171" s="34">
        <v>1.2232106064414101</v>
      </c>
      <c r="Z171" s="34">
        <v>1.2237279685768401</v>
      </c>
      <c r="AA171" s="34">
        <v>1.22348900804144</v>
      </c>
      <c r="AB171" s="33">
        <v>25.411600975623202</v>
      </c>
      <c r="AC171" s="33">
        <v>25.421865985048999</v>
      </c>
      <c r="AD171" s="33">
        <v>25.417580317455101</v>
      </c>
      <c r="AE171" s="15">
        <v>-8.3269888853887203E-4</v>
      </c>
      <c r="AF171" s="15">
        <v>-4.2883072140036398E-4</v>
      </c>
      <c r="AG171" s="15">
        <v>-5.9742687717107598E-4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2.6560143786785798E-3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4.3437392895237176E-3</v>
      </c>
      <c r="BE171" s="29">
        <f t="shared" si="62"/>
        <v>0</v>
      </c>
      <c r="BF171" s="29">
        <f t="shared" si="63"/>
        <v>6.9997536682022974E-3</v>
      </c>
      <c r="BH171" s="29"/>
    </row>
    <row r="172" spans="1:60" x14ac:dyDescent="0.25">
      <c r="A172" s="1">
        <v>46273</v>
      </c>
      <c r="B172" s="33">
        <v>20.12</v>
      </c>
      <c r="C172" s="33">
        <v>24.6</v>
      </c>
      <c r="D172" s="15">
        <v>0</v>
      </c>
      <c r="E172" s="15">
        <v>-1.21876919412934E-3</v>
      </c>
      <c r="F172" s="33">
        <v>0</v>
      </c>
      <c r="G172" s="33">
        <v>0.65451000000000004</v>
      </c>
      <c r="H172" s="33">
        <v>0</v>
      </c>
      <c r="I172" s="33">
        <v>0.80276999999999998</v>
      </c>
      <c r="J172" s="33">
        <v>0.65451000000000004</v>
      </c>
      <c r="K172" s="33">
        <v>0.80276999999999998</v>
      </c>
      <c r="L172" s="33">
        <v>20.774509999999999</v>
      </c>
      <c r="M172" s="33">
        <v>25.40277</v>
      </c>
      <c r="N172" s="34">
        <v>1.2226640159045701</v>
      </c>
      <c r="O172" s="34">
        <v>1.2246984145589499</v>
      </c>
      <c r="P172" s="34">
        <v>1.22600863839269</v>
      </c>
      <c r="Q172" s="34">
        <v>1.2247651270759901</v>
      </c>
      <c r="R172" s="33">
        <v>24.6409321009262</v>
      </c>
      <c r="S172" s="33">
        <v>24.679236407132901</v>
      </c>
      <c r="T172" s="33">
        <v>24.642876623895599</v>
      </c>
      <c r="U172" s="15">
        <v>1.6625237828677101E-3</v>
      </c>
      <c r="V172" s="15">
        <v>3.2158158768280701E-3</v>
      </c>
      <c r="W172" s="15">
        <v>1.7414350123663501E-3</v>
      </c>
      <c r="X172" s="34">
        <v>1.22278551936965</v>
      </c>
      <c r="Y172" s="34">
        <v>1.2232106064414101</v>
      </c>
      <c r="Z172" s="34">
        <v>1.22363232624804</v>
      </c>
      <c r="AA172" s="34">
        <v>1.2234523965766599</v>
      </c>
      <c r="AB172" s="33">
        <v>25.411600975623202</v>
      </c>
      <c r="AC172" s="33">
        <v>25.422348920479301</v>
      </c>
      <c r="AD172" s="33">
        <v>25.417384632447099</v>
      </c>
      <c r="AE172" s="15">
        <v>3.4757788171389998E-4</v>
      </c>
      <c r="AF172" s="15">
        <v>7.7044272059300701E-4</v>
      </c>
      <c r="AG172" s="15">
        <v>5.7515105790997302E-4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2.6560143786785798E-3</v>
      </c>
      <c r="AT172" s="12"/>
      <c r="AU172">
        <f t="shared" si="50"/>
        <v>0</v>
      </c>
      <c r="AV172">
        <f t="shared" si="51"/>
        <v>0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4.3437392895237176E-3</v>
      </c>
      <c r="BE172" s="29">
        <f t="shared" si="62"/>
        <v>0</v>
      </c>
      <c r="BF172" s="29">
        <f t="shared" si="63"/>
        <v>6.9997536682022974E-3</v>
      </c>
      <c r="BH172" s="29"/>
    </row>
    <row r="173" spans="1:60" x14ac:dyDescent="0.25">
      <c r="A173" s="1">
        <v>46274</v>
      </c>
      <c r="B173" s="33">
        <v>20.079999999999998</v>
      </c>
      <c r="C173" s="33">
        <v>24.57</v>
      </c>
      <c r="D173" s="15">
        <v>-1.9900504080101401E-3</v>
      </c>
      <c r="E173" s="15">
        <v>-1.2202564052293701E-3</v>
      </c>
      <c r="F173" s="33">
        <v>0</v>
      </c>
      <c r="G173" s="33">
        <v>0.65451000000000004</v>
      </c>
      <c r="H173" s="33">
        <v>0</v>
      </c>
      <c r="I173" s="33">
        <v>0.80276999999999998</v>
      </c>
      <c r="J173" s="33">
        <v>0.65451000000000004</v>
      </c>
      <c r="K173" s="33">
        <v>0.80276999999999998</v>
      </c>
      <c r="L173" s="33">
        <v>20.734509999999901</v>
      </c>
      <c r="M173" s="33">
        <v>25.372769999999999</v>
      </c>
      <c r="N173" s="34">
        <v>1.2236055776892401</v>
      </c>
      <c r="O173" s="34">
        <v>1.2246984145589499</v>
      </c>
      <c r="P173" s="34">
        <v>1.2255120533044701</v>
      </c>
      <c r="Q173" s="34">
        <v>1.2248425009875299</v>
      </c>
      <c r="R173" s="33">
        <v>24.591944164343801</v>
      </c>
      <c r="S173" s="33">
        <v>24.618253458925199</v>
      </c>
      <c r="T173" s="33">
        <v>24.593283751685899</v>
      </c>
      <c r="U173" s="15">
        <v>8.9272978008702404E-4</v>
      </c>
      <c r="V173" s="15">
        <v>1.9619917769402198E-3</v>
      </c>
      <c r="W173" s="15">
        <v>9.4720090481931695E-4</v>
      </c>
      <c r="X173" s="34">
        <v>1.2236975940111401</v>
      </c>
      <c r="Y173" s="34">
        <v>1.2232106064414101</v>
      </c>
      <c r="Z173" s="34">
        <v>1.2236285441060699</v>
      </c>
      <c r="AA173" s="34">
        <v>1.22351998598825</v>
      </c>
      <c r="AB173" s="33">
        <v>25.362672551365598</v>
      </c>
      <c r="AC173" s="33">
        <v>25.371416704913202</v>
      </c>
      <c r="AD173" s="33">
        <v>25.3676859513427</v>
      </c>
      <c r="AE173" s="15">
        <v>-3.9804319268493799E-4</v>
      </c>
      <c r="AF173" s="15">
        <v>-5.3337935826758901E-5</v>
      </c>
      <c r="AG173" s="15">
        <v>-2.0039428416532501E-4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2.6560143786785798E-3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4.3437392895237176E-3</v>
      </c>
      <c r="BE173" s="29">
        <f t="shared" si="62"/>
        <v>0</v>
      </c>
      <c r="BF173" s="29">
        <f t="shared" si="63"/>
        <v>6.9997536682022974E-3</v>
      </c>
      <c r="BH173" s="29"/>
    </row>
    <row r="174" spans="1:60" x14ac:dyDescent="0.25">
      <c r="A174" s="1">
        <v>46275</v>
      </c>
      <c r="B174" s="33">
        <v>19.95</v>
      </c>
      <c r="C174" s="33">
        <v>24.39</v>
      </c>
      <c r="D174" s="15">
        <v>-6.4951514876559696E-3</v>
      </c>
      <c r="E174" s="15">
        <v>-7.3529743052588E-3</v>
      </c>
      <c r="F174" s="33">
        <v>0</v>
      </c>
      <c r="G174" s="33">
        <v>0.65451000000000004</v>
      </c>
      <c r="H174" s="33">
        <v>0</v>
      </c>
      <c r="I174" s="33">
        <v>0.80276999999999998</v>
      </c>
      <c r="J174" s="33">
        <v>0.65451000000000004</v>
      </c>
      <c r="K174" s="33">
        <v>0.80276999999999998</v>
      </c>
      <c r="L174" s="33">
        <v>20.604509999999902</v>
      </c>
      <c r="M174" s="33">
        <v>25.192769999999999</v>
      </c>
      <c r="N174" s="34">
        <v>1.22255639097744</v>
      </c>
      <c r="O174" s="34">
        <v>1.2246984145589499</v>
      </c>
      <c r="P174" s="34">
        <v>1.2248767205225899</v>
      </c>
      <c r="Q174" s="34">
        <v>1.2248236669930901</v>
      </c>
      <c r="R174" s="33">
        <v>24.4327333704511</v>
      </c>
      <c r="S174" s="33">
        <v>24.448965463424202</v>
      </c>
      <c r="T174" s="33">
        <v>24.435607894701299</v>
      </c>
      <c r="U174" s="15">
        <v>1.7505525976899299E-3</v>
      </c>
      <c r="V174" s="15">
        <v>2.4146904634743701E-3</v>
      </c>
      <c r="W174" s="15">
        <v>1.86819621640191E-3</v>
      </c>
      <c r="X174" s="34">
        <v>1.22268231566778</v>
      </c>
      <c r="Y174" s="34">
        <v>1.2232106064414101</v>
      </c>
      <c r="Z174" s="34">
        <v>1.2234911566165301</v>
      </c>
      <c r="AA174" s="34">
        <v>1.2234942638383699</v>
      </c>
      <c r="AB174" s="33">
        <v>25.203655172528201</v>
      </c>
      <c r="AC174" s="33">
        <v>25.2122665733189</v>
      </c>
      <c r="AD174" s="33">
        <v>25.2100297864948</v>
      </c>
      <c r="AE174" s="15">
        <v>4.3198193761677801E-4</v>
      </c>
      <c r="AF174" s="15">
        <v>7.7359627595713798E-4</v>
      </c>
      <c r="AG174" s="15">
        <v>6.8487414360294597E-4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2.6560143786785798E-3</v>
      </c>
      <c r="AT174" s="12"/>
      <c r="AU174">
        <f t="shared" si="50"/>
        <v>0</v>
      </c>
      <c r="AV174">
        <f t="shared" si="51"/>
        <v>0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4.3437392895237176E-3</v>
      </c>
      <c r="BE174" s="29">
        <f t="shared" si="62"/>
        <v>0</v>
      </c>
      <c r="BF174" s="29">
        <f t="shared" si="63"/>
        <v>6.9997536682022974E-3</v>
      </c>
      <c r="BH174" s="29"/>
    </row>
    <row r="175" spans="1:60" x14ac:dyDescent="0.25">
      <c r="A175" s="1">
        <v>46276</v>
      </c>
      <c r="B175" s="33">
        <v>19.91</v>
      </c>
      <c r="C175" s="33">
        <v>24.37</v>
      </c>
      <c r="D175" s="15">
        <v>-2.0070252597674501E-3</v>
      </c>
      <c r="E175" s="15">
        <v>-8.2034459071404602E-4</v>
      </c>
      <c r="F175" s="33">
        <v>0</v>
      </c>
      <c r="G175" s="33">
        <v>0.65451000000000004</v>
      </c>
      <c r="H175" s="33">
        <v>0</v>
      </c>
      <c r="I175" s="33">
        <v>0.80276999999999998</v>
      </c>
      <c r="J175" s="33">
        <v>0.65451000000000004</v>
      </c>
      <c r="K175" s="33">
        <v>0.80276999999999998</v>
      </c>
      <c r="L175" s="33">
        <v>20.564509999999999</v>
      </c>
      <c r="M175" s="33">
        <v>25.17277</v>
      </c>
      <c r="N175" s="34">
        <v>1.2240080361627299</v>
      </c>
      <c r="O175" s="34">
        <v>1.2246984145589499</v>
      </c>
      <c r="P175" s="34">
        <v>1.2245457687148</v>
      </c>
      <c r="Q175" s="34">
        <v>1.2248911605128501</v>
      </c>
      <c r="R175" s="33">
        <v>24.3837454338688</v>
      </c>
      <c r="S175" s="33">
        <v>24.387295505604801</v>
      </c>
      <c r="T175" s="33">
        <v>24.386239209832599</v>
      </c>
      <c r="U175" s="15">
        <v>5.6387192863630899E-4</v>
      </c>
      <c r="V175" s="15">
        <v>7.0945306342093102E-4</v>
      </c>
      <c r="W175" s="15">
        <v>6.66138762804117E-4</v>
      </c>
      <c r="X175" s="34">
        <v>1.22408800404191</v>
      </c>
      <c r="Y175" s="34">
        <v>1.2232106064414101</v>
      </c>
      <c r="Z175" s="34">
        <v>1.22364834473078</v>
      </c>
      <c r="AA175" s="34">
        <v>1.22355224149408</v>
      </c>
      <c r="AB175" s="33">
        <v>25.154726748270502</v>
      </c>
      <c r="AC175" s="33">
        <v>25.160496125152299</v>
      </c>
      <c r="AD175" s="33">
        <v>25.160560023646902</v>
      </c>
      <c r="AE175" s="15">
        <v>-7.17033576803616E-4</v>
      </c>
      <c r="AF175" s="15">
        <v>-4.8770429721037398E-4</v>
      </c>
      <c r="AG175" s="15">
        <v>-4.8516466471927599E-4</v>
      </c>
      <c r="AI175" s="12"/>
      <c r="AJ175">
        <f t="shared" si="46"/>
        <v>0</v>
      </c>
      <c r="AK175">
        <f t="shared" si="47"/>
        <v>0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2.6560143786785798E-3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4.3437392895237176E-3</v>
      </c>
      <c r="BE175" s="29">
        <f t="shared" si="62"/>
        <v>0</v>
      </c>
      <c r="BF175" s="29">
        <f t="shared" si="63"/>
        <v>6.9997536682022974E-3</v>
      </c>
      <c r="BH175" s="29"/>
    </row>
    <row r="176" spans="1:60" x14ac:dyDescent="0.25">
      <c r="A176" s="1">
        <v>46279</v>
      </c>
      <c r="B176" s="33">
        <v>19.89</v>
      </c>
      <c r="C176" s="33">
        <v>24.34</v>
      </c>
      <c r="D176" s="15">
        <v>-1.0050252102240299E-3</v>
      </c>
      <c r="E176" s="15">
        <v>-1.23178007773375E-3</v>
      </c>
      <c r="F176" s="33">
        <v>0</v>
      </c>
      <c r="G176" s="33">
        <v>0.65451000000000004</v>
      </c>
      <c r="H176" s="33">
        <v>0</v>
      </c>
      <c r="I176" s="33">
        <v>0.80276999999999998</v>
      </c>
      <c r="J176" s="33">
        <v>0.65451000000000004</v>
      </c>
      <c r="K176" s="33">
        <v>0.80276999999999998</v>
      </c>
      <c r="L176" s="33">
        <v>20.544509999999999</v>
      </c>
      <c r="M176" s="33">
        <v>25.142769999999999</v>
      </c>
      <c r="N176" s="34">
        <v>1.2237305178481599</v>
      </c>
      <c r="O176" s="34">
        <v>1.2246984145589499</v>
      </c>
      <c r="P176" s="34">
        <v>1.22402486608931</v>
      </c>
      <c r="Q176" s="34">
        <v>1.2249419931899199</v>
      </c>
      <c r="R176" s="33">
        <v>24.3592514655776</v>
      </c>
      <c r="S176" s="33">
        <v>24.3562153397374</v>
      </c>
      <c r="T176" s="33">
        <v>24.363085182600699</v>
      </c>
      <c r="U176" s="15">
        <v>7.9062679614615205E-4</v>
      </c>
      <c r="V176" s="15">
        <v>6.6597949034266505E-4</v>
      </c>
      <c r="W176" s="15">
        <v>9.4799679499167795E-4</v>
      </c>
      <c r="X176" s="34">
        <v>1.2238194047947599</v>
      </c>
      <c r="Y176" s="34">
        <v>1.2232106064414101</v>
      </c>
      <c r="Z176" s="34">
        <v>1.2236238739243599</v>
      </c>
      <c r="AA176" s="34">
        <v>1.2235940478823599</v>
      </c>
      <c r="AB176" s="33">
        <v>25.1302625361417</v>
      </c>
      <c r="AC176" s="33">
        <v>25.139255654805002</v>
      </c>
      <c r="AD176" s="33">
        <v>25.137281260897499</v>
      </c>
      <c r="AE176" s="15">
        <v>-4.9758144616918101E-4</v>
      </c>
      <c r="AF176" s="15">
        <v>-1.39785346948115E-4</v>
      </c>
      <c r="AG176" s="15">
        <v>-2.18326711553226E-4</v>
      </c>
      <c r="AI176" s="12"/>
      <c r="AJ176">
        <f t="shared" si="46"/>
        <v>0</v>
      </c>
      <c r="AK176">
        <f t="shared" si="47"/>
        <v>0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2.6560143786785798E-3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4.3437392895237176E-3</v>
      </c>
      <c r="BE176" s="29">
        <f t="shared" si="62"/>
        <v>0</v>
      </c>
      <c r="BF176" s="29">
        <f t="shared" si="63"/>
        <v>6.9997536682022974E-3</v>
      </c>
      <c r="BH176" s="29"/>
    </row>
    <row r="177" spans="1:100" x14ac:dyDescent="0.25">
      <c r="A177">
        <v>46280</v>
      </c>
      <c r="B177" s="33">
        <v>19.89</v>
      </c>
      <c r="C177" s="33">
        <v>24.34</v>
      </c>
      <c r="D177" s="15">
        <v>0</v>
      </c>
      <c r="E177" s="15">
        <v>0</v>
      </c>
      <c r="F177" s="33">
        <v>0</v>
      </c>
      <c r="G177" s="33">
        <v>0.65451000000000004</v>
      </c>
      <c r="H177" s="33">
        <v>0</v>
      </c>
      <c r="I177" s="33">
        <v>0.80276999999999998</v>
      </c>
      <c r="J177" s="33">
        <v>0.65451000000000004</v>
      </c>
      <c r="K177" s="33">
        <v>0.80276999999999998</v>
      </c>
      <c r="L177" s="33">
        <v>20.544509999999999</v>
      </c>
      <c r="M177" s="33">
        <v>25.142769999999999</v>
      </c>
      <c r="N177" s="34">
        <v>1.2237305178481599</v>
      </c>
      <c r="O177" s="34">
        <v>1.2246984145589499</v>
      </c>
      <c r="P177" s="34">
        <v>1.2235535174776899</v>
      </c>
      <c r="Q177" s="34">
        <v>1.2250064718382401</v>
      </c>
      <c r="R177" s="33">
        <v>24.3592514655776</v>
      </c>
      <c r="S177" s="33">
        <v>24.345854586516399</v>
      </c>
      <c r="T177" s="33">
        <v>24.3640962445476</v>
      </c>
      <c r="U177" s="15">
        <v>7.9062679614615205E-4</v>
      </c>
      <c r="V177" s="15">
        <v>2.4050462272413999E-4</v>
      </c>
      <c r="W177" s="15">
        <v>9.8949568400774493E-4</v>
      </c>
      <c r="X177" s="34">
        <v>1.2238194047947599</v>
      </c>
      <c r="Y177" s="34">
        <v>1.2232106064414101</v>
      </c>
      <c r="Z177" s="34">
        <v>1.2236474004070601</v>
      </c>
      <c r="AA177" s="34">
        <v>1.2236491149026001</v>
      </c>
      <c r="AB177" s="33">
        <v>25.1302625361417</v>
      </c>
      <c r="AC177" s="33">
        <v>25.138752914077902</v>
      </c>
      <c r="AD177" s="33">
        <v>25.138140152659801</v>
      </c>
      <c r="AE177" s="15">
        <v>-4.9758144616918101E-4</v>
      </c>
      <c r="AF177" s="15">
        <v>-1.59783781310347E-4</v>
      </c>
      <c r="AG177" s="15">
        <v>-1.8415925006938901E-4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19.89</v>
      </c>
      <c r="C178" s="33">
        <v>24.33</v>
      </c>
      <c r="D178" s="15">
        <v>0</v>
      </c>
      <c r="E178" s="15">
        <v>-4.1093076394987802E-4</v>
      </c>
      <c r="F178" s="33">
        <v>0</v>
      </c>
      <c r="G178" s="33">
        <v>0.65451000000000004</v>
      </c>
      <c r="H178" s="33">
        <v>0</v>
      </c>
      <c r="I178" s="33">
        <v>0.80276999999999998</v>
      </c>
      <c r="J178" s="33">
        <v>0.65451000000000004</v>
      </c>
      <c r="K178" s="33">
        <v>0.80276999999999998</v>
      </c>
      <c r="L178" s="33">
        <v>20.544509999999999</v>
      </c>
      <c r="M178" s="33">
        <v>25.132769999999901</v>
      </c>
      <c r="N178" s="34">
        <v>1.2232277526395099</v>
      </c>
      <c r="O178" s="34">
        <v>1.2246984145589499</v>
      </c>
      <c r="P178" s="34">
        <v>1.22347708915777</v>
      </c>
      <c r="Q178" s="34">
        <v>1.2249965996276899</v>
      </c>
      <c r="R178" s="33">
        <v>24.3592514655776</v>
      </c>
      <c r="S178" s="33">
        <v>24.336479462631399</v>
      </c>
      <c r="T178" s="33">
        <v>24.365378724862602</v>
      </c>
      <c r="U178" s="15">
        <v>1.20155756009608E-3</v>
      </c>
      <c r="V178" s="15">
        <v>2.6628031208535699E-4</v>
      </c>
      <c r="W178" s="15">
        <v>1.4530631864432401E-3</v>
      </c>
      <c r="X178" s="34">
        <v>1.2233326567535501</v>
      </c>
      <c r="Y178" s="34">
        <v>1.2232106064414101</v>
      </c>
      <c r="Z178" s="34">
        <v>1.2235734846160899</v>
      </c>
      <c r="AA178" s="34">
        <v>1.2236319750932501</v>
      </c>
      <c r="AB178" s="33">
        <v>25.1302625361417</v>
      </c>
      <c r="AC178" s="33">
        <v>25.1392362541369</v>
      </c>
      <c r="AD178" s="33">
        <v>25.139271477607601</v>
      </c>
      <c r="AE178" s="15">
        <v>-9.9773679932187303E-5</v>
      </c>
      <c r="AF178" s="15">
        <v>2.5725069096955598E-4</v>
      </c>
      <c r="AG178" s="15">
        <v>2.5865182526113801E-4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19.98</v>
      </c>
      <c r="C179" s="33">
        <v>24.44</v>
      </c>
      <c r="D179" s="15">
        <v>4.5146803545266104E-3</v>
      </c>
      <c r="E179" s="15">
        <v>4.5109775079633704E-3</v>
      </c>
      <c r="F179" s="33">
        <v>0</v>
      </c>
      <c r="G179" s="33">
        <v>0.65451000000000004</v>
      </c>
      <c r="H179" s="33">
        <v>0</v>
      </c>
      <c r="I179" s="33">
        <v>0.80276999999999998</v>
      </c>
      <c r="J179" s="33">
        <v>0.65451000000000004</v>
      </c>
      <c r="K179" s="33">
        <v>0.80276999999999998</v>
      </c>
      <c r="L179" s="33">
        <v>20.634509999999999</v>
      </c>
      <c r="M179" s="33">
        <v>25.24277</v>
      </c>
      <c r="N179" s="34">
        <v>1.2232232232232201</v>
      </c>
      <c r="O179" s="34">
        <v>1.2246984145589499</v>
      </c>
      <c r="P179" s="34">
        <v>1.22353300988964</v>
      </c>
      <c r="Q179" s="34">
        <v>1.2250084484116399</v>
      </c>
      <c r="R179" s="33">
        <v>24.469474322887901</v>
      </c>
      <c r="S179" s="33">
        <v>24.445072241372301</v>
      </c>
      <c r="T179" s="33">
        <v>24.475432060561399</v>
      </c>
      <c r="U179" s="15">
        <v>1.2052604066592901E-3</v>
      </c>
      <c r="V179" s="15">
        <v>2.0751698455270801E-4</v>
      </c>
      <c r="W179" s="15">
        <v>1.4487070957268399E-3</v>
      </c>
      <c r="X179" s="34">
        <v>1.22332781345425</v>
      </c>
      <c r="Y179" s="34">
        <v>1.2232106064414101</v>
      </c>
      <c r="Z179" s="34">
        <v>1.22362771402455</v>
      </c>
      <c r="AA179" s="34">
        <v>1.2236359666251999</v>
      </c>
      <c r="AB179" s="33">
        <v>25.240351490721402</v>
      </c>
      <c r="AC179" s="33">
        <v>25.247839304045598</v>
      </c>
      <c r="AD179" s="33">
        <v>25.249046226381399</v>
      </c>
      <c r="AE179" s="15">
        <v>-9.5814569660967704E-5</v>
      </c>
      <c r="AF179" s="15">
        <v>2.0080185731988001E-4</v>
      </c>
      <c r="AG179" s="15">
        <v>2.48603709783762E-4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19.91</v>
      </c>
      <c r="C180" s="33">
        <v>24.37</v>
      </c>
      <c r="D180" s="15">
        <v>-3.50965514430251E-3</v>
      </c>
      <c r="E180" s="15">
        <v>-2.8682666662797401E-3</v>
      </c>
      <c r="F180" s="33">
        <v>0</v>
      </c>
      <c r="G180" s="33">
        <v>0.65451000000000004</v>
      </c>
      <c r="H180" s="33">
        <v>0</v>
      </c>
      <c r="I180" s="33">
        <v>0.80276999999999998</v>
      </c>
      <c r="J180" s="33">
        <v>0.65451000000000004</v>
      </c>
      <c r="K180" s="33">
        <v>0.80276999999999998</v>
      </c>
      <c r="L180" s="33">
        <v>20.564509999999999</v>
      </c>
      <c r="M180" s="33">
        <v>25.17277</v>
      </c>
      <c r="N180" s="34">
        <v>1.2240080361627299</v>
      </c>
      <c r="O180" s="34">
        <v>1.2246984145589499</v>
      </c>
      <c r="P180" s="34">
        <v>1.2234909138038299</v>
      </c>
      <c r="Q180" s="34">
        <v>1.2250265842099299</v>
      </c>
      <c r="R180" s="33">
        <v>24.3837454338688</v>
      </c>
      <c r="S180" s="33">
        <v>24.360542226902702</v>
      </c>
      <c r="T180" s="33">
        <v>24.389918207875901</v>
      </c>
      <c r="U180" s="15">
        <v>5.6387192863630899E-4</v>
      </c>
      <c r="V180" s="15">
        <v>-3.8816613908948798E-4</v>
      </c>
      <c r="W180" s="15">
        <v>8.1699107446946205E-4</v>
      </c>
      <c r="X180" s="34">
        <v>1.22408800404191</v>
      </c>
      <c r="Y180" s="34">
        <v>1.2232106064414101</v>
      </c>
      <c r="Z180" s="34">
        <v>1.2235870313680699</v>
      </c>
      <c r="AA180" s="34">
        <v>1.2236458767036</v>
      </c>
      <c r="AB180" s="33">
        <v>25.154726748270502</v>
      </c>
      <c r="AC180" s="33">
        <v>25.163304361335101</v>
      </c>
      <c r="AD180" s="33">
        <v>25.1634740720236</v>
      </c>
      <c r="AE180" s="15">
        <v>-7.17033576803616E-4</v>
      </c>
      <c r="AF180" s="15">
        <v>-3.7609761573656101E-4</v>
      </c>
      <c r="AG180" s="15">
        <v>-3.6935326635419602E-4</v>
      </c>
    </row>
    <row r="181" spans="1:100" x14ac:dyDescent="0.25">
      <c r="A181">
        <v>46286</v>
      </c>
      <c r="B181" s="33">
        <v>19.88</v>
      </c>
      <c r="C181" s="33">
        <v>24.4</v>
      </c>
      <c r="D181" s="15">
        <v>-1.5079168476770299E-3</v>
      </c>
      <c r="E181" s="15">
        <v>1.2302646620411201E-3</v>
      </c>
      <c r="F181" s="33">
        <v>7.9399999999999998E-2</v>
      </c>
      <c r="G181" s="33">
        <v>0.73390999999999995</v>
      </c>
      <c r="H181" s="33">
        <v>0</v>
      </c>
      <c r="I181" s="33">
        <v>0.80276999999999998</v>
      </c>
      <c r="J181" s="33">
        <v>0.73390999999999995</v>
      </c>
      <c r="K181" s="33">
        <v>0.80276999999999998</v>
      </c>
      <c r="L181" s="33">
        <v>20.613910000000001</v>
      </c>
      <c r="M181" s="33">
        <v>25.202769999999902</v>
      </c>
      <c r="N181" s="34">
        <v>1.22736418511066</v>
      </c>
      <c r="O181" s="34">
        <v>1.2246984145589499</v>
      </c>
      <c r="P181" s="34">
        <v>1.2238118253566399</v>
      </c>
      <c r="Q181" s="34">
        <v>1.2252070162352999</v>
      </c>
      <c r="R181" s="33">
        <v>24.347004481431998</v>
      </c>
      <c r="S181" s="33">
        <v>24.322999366420099</v>
      </c>
      <c r="T181" s="33">
        <v>24.3535284940934</v>
      </c>
      <c r="U181" s="15">
        <v>-2.17430958108179E-3</v>
      </c>
      <c r="V181" s="15">
        <v>-3.1607535942574701E-3</v>
      </c>
      <c r="W181" s="15">
        <v>-1.9063859136453801E-3</v>
      </c>
      <c r="X181" s="34">
        <v>1.2226098784752599</v>
      </c>
      <c r="Y181" s="34">
        <v>1.2232106064414101</v>
      </c>
      <c r="Z181" s="34">
        <v>1.2234250595405001</v>
      </c>
      <c r="AA181" s="34">
        <v>1.2235765140586701</v>
      </c>
      <c r="AB181" s="33">
        <v>25.2151533522287</v>
      </c>
      <c r="AC181" s="33">
        <v>25.2229129417886</v>
      </c>
      <c r="AD181" s="33">
        <v>25.224125974239101</v>
      </c>
      <c r="AE181" s="15">
        <v>4.9122818451994795E-4</v>
      </c>
      <c r="AF181" s="15">
        <v>7.9891601600439301E-4</v>
      </c>
      <c r="AG181" s="15">
        <v>8.4700734016359802E-4</v>
      </c>
    </row>
    <row r="182" spans="1:100" x14ac:dyDescent="0.25">
      <c r="A182">
        <v>46287</v>
      </c>
      <c r="B182" s="33">
        <v>19.89</v>
      </c>
      <c r="C182" s="33">
        <v>24.42</v>
      </c>
      <c r="D182" s="15">
        <v>5.0289163745299501E-4</v>
      </c>
      <c r="E182" s="15">
        <v>8.1933638340264897E-4</v>
      </c>
      <c r="F182" s="33">
        <v>0</v>
      </c>
      <c r="G182" s="33">
        <v>0.73390999999999995</v>
      </c>
      <c r="H182" s="33">
        <v>0</v>
      </c>
      <c r="I182" s="33">
        <v>0.80276999999999998</v>
      </c>
      <c r="J182" s="33">
        <v>0.73390999999999995</v>
      </c>
      <c r="K182" s="33">
        <v>0.80276999999999998</v>
      </c>
      <c r="L182" s="33">
        <v>20.623909999999999</v>
      </c>
      <c r="M182" s="33">
        <v>25.222770000000001</v>
      </c>
      <c r="N182" s="34">
        <v>1.2277526395173399</v>
      </c>
      <c r="O182" s="34">
        <v>1.2246984145589499</v>
      </c>
      <c r="P182" s="34">
        <v>1.22432068771792</v>
      </c>
      <c r="Q182" s="34">
        <v>1.2251646630552999</v>
      </c>
      <c r="R182" s="33">
        <v>24.3592514655776</v>
      </c>
      <c r="S182" s="33">
        <v>24.341617206343599</v>
      </c>
      <c r="T182" s="33">
        <v>24.369367552920199</v>
      </c>
      <c r="U182" s="15">
        <v>-2.49075432703146E-3</v>
      </c>
      <c r="V182" s="15">
        <v>-3.2149409990779899E-3</v>
      </c>
      <c r="W182" s="15">
        <v>-2.0755532525234101E-3</v>
      </c>
      <c r="X182" s="34">
        <v>1.22298681481833</v>
      </c>
      <c r="Y182" s="34">
        <v>1.2232106064414101</v>
      </c>
      <c r="Z182" s="34">
        <v>1.2234451890853599</v>
      </c>
      <c r="AA182" s="34">
        <v>1.2235387576667001</v>
      </c>
      <c r="AB182" s="33">
        <v>25.227385458293099</v>
      </c>
      <c r="AC182" s="33">
        <v>25.231808319707898</v>
      </c>
      <c r="AD182" s="33">
        <v>25.2349319040597</v>
      </c>
      <c r="AE182" s="15">
        <v>1.8297102413806501E-4</v>
      </c>
      <c r="AF182" s="15">
        <v>3.5827550662832899E-4</v>
      </c>
      <c r="AG182" s="15">
        <v>4.8206334558886202E-4</v>
      </c>
    </row>
    <row r="183" spans="1:100" x14ac:dyDescent="0.25">
      <c r="A183">
        <v>46288</v>
      </c>
      <c r="B183" s="33">
        <v>19.71</v>
      </c>
      <c r="C183" s="33">
        <v>24.21</v>
      </c>
      <c r="D183" s="15">
        <v>-9.0909717012519608E-3</v>
      </c>
      <c r="E183" s="15">
        <v>-8.63669773259154E-3</v>
      </c>
      <c r="F183" s="33">
        <v>0</v>
      </c>
      <c r="G183" s="33">
        <v>0.73390999999999995</v>
      </c>
      <c r="H183" s="33">
        <v>0</v>
      </c>
      <c r="I183" s="33">
        <v>0.80276999999999998</v>
      </c>
      <c r="J183" s="33">
        <v>0.73390999999999995</v>
      </c>
      <c r="K183" s="33">
        <v>0.80276999999999998</v>
      </c>
      <c r="L183" s="33">
        <v>20.443909999999999</v>
      </c>
      <c r="M183" s="33">
        <v>25.01277</v>
      </c>
      <c r="N183" s="34">
        <v>1.2283105022831</v>
      </c>
      <c r="O183" s="34">
        <v>1.2246984145589499</v>
      </c>
      <c r="P183" s="34">
        <v>1.2247911801772999</v>
      </c>
      <c r="Q183" s="34">
        <v>1.22515161674089</v>
      </c>
      <c r="R183" s="33">
        <v>24.138805750957001</v>
      </c>
      <c r="S183" s="33">
        <v>24.131360754920198</v>
      </c>
      <c r="T183" s="33">
        <v>24.147995508820099</v>
      </c>
      <c r="U183" s="15">
        <v>-2.9450282956918201E-3</v>
      </c>
      <c r="V183" s="15">
        <v>-3.2535002416048402E-3</v>
      </c>
      <c r="W183" s="15">
        <v>-2.5643960013883599E-3</v>
      </c>
      <c r="X183" s="34">
        <v>1.2234826899550999</v>
      </c>
      <c r="Y183" s="34">
        <v>1.2232106064414101</v>
      </c>
      <c r="Z183" s="34">
        <v>1.22342369867976</v>
      </c>
      <c r="AA183" s="34">
        <v>1.2235261213929101</v>
      </c>
      <c r="AB183" s="33">
        <v>25.0072075491337</v>
      </c>
      <c r="AC183" s="33">
        <v>25.012003335594201</v>
      </c>
      <c r="AD183" s="33">
        <v>25.013916243249898</v>
      </c>
      <c r="AE183" s="15">
        <v>-2.2240917176457101E-4</v>
      </c>
      <c r="AF183" s="15">
        <v>-3.0651389488566997E-5</v>
      </c>
      <c r="AG183" s="15">
        <v>4.5825271918711298E-5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2026-09-28T01:53:02Z</dcterms:created>
  <dcterms:modified xsi:type="dcterms:W3CDTF">2026-09-28T01:53:26Z</dcterms:modified>
</cp:coreProperties>
</file>