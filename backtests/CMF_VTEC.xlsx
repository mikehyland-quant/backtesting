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72D6CCAA-7CC5-4FF0-97A0-20869F58646E}" xr6:coauthVersionLast="47" xr6:coauthVersionMax="47" xr10:uidLastSave="{00000000-0000-0000-0000-000000000000}"/>
  <bookViews>
    <workbookView xWindow="-108" yWindow="-108" windowWidth="23256" windowHeight="12456" xr2:uid="{DF5A73CF-39C9-456A-886B-F0CBC159BA3E}"/>
  </bookViews>
  <sheets>
    <sheet name="CMF_VTEC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BD1" i="1" l="1"/>
  <c r="P2" i="1" l="1"/>
  <c r="Q2" i="1"/>
  <c r="P3" i="1"/>
  <c r="Q3" i="1"/>
  <c r="R3" i="1" s="1"/>
  <c r="P4" i="1"/>
  <c r="R4" i="1" s="1"/>
  <c r="Q4" i="1"/>
  <c r="P5" i="1"/>
  <c r="Q5" i="1"/>
  <c r="P6" i="1"/>
  <c r="Q6" i="1"/>
  <c r="P7" i="1"/>
  <c r="R7" i="1" s="1"/>
  <c r="Q7" i="1"/>
  <c r="P8" i="1"/>
  <c r="Q8" i="1"/>
  <c r="P9" i="1"/>
  <c r="Q9" i="1"/>
  <c r="P10" i="1"/>
  <c r="R10" i="1" s="1"/>
  <c r="Q10" i="1"/>
  <c r="P11" i="1"/>
  <c r="Q11" i="1"/>
  <c r="P12" i="1"/>
  <c r="Q12" i="1"/>
  <c r="P13" i="1"/>
  <c r="Q13" i="1"/>
  <c r="P14" i="1"/>
  <c r="Q14" i="1"/>
  <c r="P15" i="1"/>
  <c r="Q15" i="1"/>
  <c r="R15" i="1" s="1"/>
  <c r="P16" i="1"/>
  <c r="Q16" i="1"/>
  <c r="R16" i="1" s="1"/>
  <c r="P17" i="1"/>
  <c r="R17" i="1" s="1"/>
  <c r="Q17" i="1"/>
  <c r="P18" i="1"/>
  <c r="Q18" i="1"/>
  <c r="R18" i="1" s="1"/>
  <c r="P19" i="1"/>
  <c r="Q19" i="1"/>
  <c r="P20" i="1"/>
  <c r="Q20" i="1"/>
  <c r="P21" i="1"/>
  <c r="R21" i="1" s="1"/>
  <c r="Q21" i="1"/>
  <c r="AD156" i="1"/>
  <c r="AC156" i="1"/>
  <c r="Q156" i="1"/>
  <c r="P156" i="1"/>
  <c r="AD155" i="1"/>
  <c r="AC155" i="1"/>
  <c r="Q155" i="1"/>
  <c r="P155" i="1"/>
  <c r="AD154" i="1"/>
  <c r="AC154" i="1"/>
  <c r="R154" i="1"/>
  <c r="Q154" i="1"/>
  <c r="P154" i="1"/>
  <c r="AD153" i="1"/>
  <c r="AC153" i="1"/>
  <c r="R153" i="1"/>
  <c r="Q153" i="1"/>
  <c r="P153" i="1"/>
  <c r="AD152" i="1"/>
  <c r="AC152" i="1"/>
  <c r="R152" i="1"/>
  <c r="Q152" i="1"/>
  <c r="P152" i="1"/>
  <c r="AD151" i="1"/>
  <c r="AC151" i="1"/>
  <c r="Q151" i="1"/>
  <c r="R151" i="1" s="1"/>
  <c r="P151" i="1"/>
  <c r="AD150" i="1"/>
  <c r="AC150" i="1"/>
  <c r="R150" i="1"/>
  <c r="Q150" i="1"/>
  <c r="P150" i="1"/>
  <c r="AD149" i="1"/>
  <c r="AC149" i="1"/>
  <c r="Q149" i="1"/>
  <c r="P149" i="1"/>
  <c r="AD148" i="1"/>
  <c r="AC148" i="1"/>
  <c r="Q148" i="1"/>
  <c r="P148" i="1"/>
  <c r="AD147" i="1"/>
  <c r="AC147" i="1"/>
  <c r="R147" i="1"/>
  <c r="Q147" i="1"/>
  <c r="P147" i="1"/>
  <c r="AM146" i="1"/>
  <c r="AL146" i="1"/>
  <c r="AN146" i="1" s="1"/>
  <c r="AJ146" i="1"/>
  <c r="AD146" i="1"/>
  <c r="AC146" i="1"/>
  <c r="R146" i="1"/>
  <c r="Q146" i="1"/>
  <c r="P146" i="1"/>
  <c r="AD145" i="1"/>
  <c r="AC145" i="1"/>
  <c r="Q145" i="1"/>
  <c r="P145" i="1"/>
  <c r="AD144" i="1"/>
  <c r="AC144" i="1"/>
  <c r="R144" i="1"/>
  <c r="Q144" i="1"/>
  <c r="P144" i="1"/>
  <c r="AD143" i="1"/>
  <c r="AC143" i="1"/>
  <c r="Q143" i="1"/>
  <c r="R143" i="1" s="1"/>
  <c r="P143" i="1"/>
  <c r="AD142" i="1"/>
  <c r="AC142" i="1"/>
  <c r="R142" i="1"/>
  <c r="Q142" i="1"/>
  <c r="P142" i="1"/>
  <c r="AD141" i="1"/>
  <c r="AC141" i="1"/>
  <c r="R141" i="1"/>
  <c r="Q141" i="1"/>
  <c r="P141" i="1"/>
  <c r="AD140" i="1"/>
  <c r="AC140" i="1"/>
  <c r="R140" i="1"/>
  <c r="Q140" i="1"/>
  <c r="P140" i="1"/>
  <c r="AD139" i="1"/>
  <c r="AC139" i="1"/>
  <c r="Q139" i="1"/>
  <c r="R139" i="1" s="1"/>
  <c r="P139" i="1"/>
  <c r="AD138" i="1"/>
  <c r="AC138" i="1"/>
  <c r="Q138" i="1"/>
  <c r="P138" i="1"/>
  <c r="AD137" i="1"/>
  <c r="AC137" i="1"/>
  <c r="Q137" i="1"/>
  <c r="P137" i="1"/>
  <c r="AD136" i="1"/>
  <c r="AC136" i="1"/>
  <c r="Q136" i="1"/>
  <c r="R136" i="1" s="1"/>
  <c r="P136" i="1"/>
  <c r="AD135" i="1"/>
  <c r="AC135" i="1"/>
  <c r="Q135" i="1"/>
  <c r="R135" i="1" s="1"/>
  <c r="P135" i="1"/>
  <c r="AD134" i="1"/>
  <c r="AC134" i="1"/>
  <c r="Q134" i="1"/>
  <c r="P134" i="1"/>
  <c r="R134" i="1" s="1"/>
  <c r="AD133" i="1"/>
  <c r="AC133" i="1"/>
  <c r="Q133" i="1"/>
  <c r="R133" i="1" s="1"/>
  <c r="P133" i="1"/>
  <c r="AD132" i="1"/>
  <c r="AC132" i="1"/>
  <c r="R132" i="1"/>
  <c r="Q132" i="1"/>
  <c r="P132" i="1"/>
  <c r="AD131" i="1"/>
  <c r="AC131" i="1"/>
  <c r="Q131" i="1"/>
  <c r="R131" i="1" s="1"/>
  <c r="P131" i="1"/>
  <c r="AD130" i="1"/>
  <c r="AC130" i="1"/>
  <c r="Q130" i="1"/>
  <c r="P130" i="1"/>
  <c r="AD129" i="1"/>
  <c r="AC129" i="1"/>
  <c r="R129" i="1"/>
  <c r="Q129" i="1"/>
  <c r="P129" i="1"/>
  <c r="AD128" i="1"/>
  <c r="AC128" i="1"/>
  <c r="Q128" i="1"/>
  <c r="R128" i="1" s="1"/>
  <c r="P128" i="1"/>
  <c r="AD127" i="1"/>
  <c r="AC127" i="1"/>
  <c r="R127" i="1"/>
  <c r="Q127" i="1"/>
  <c r="P127" i="1"/>
  <c r="AD126" i="1"/>
  <c r="AC126" i="1"/>
  <c r="Q126" i="1"/>
  <c r="P126" i="1"/>
  <c r="AD125" i="1"/>
  <c r="AC125" i="1"/>
  <c r="Q125" i="1"/>
  <c r="R125" i="1" s="1"/>
  <c r="P125" i="1"/>
  <c r="AD124" i="1"/>
  <c r="AC124" i="1"/>
  <c r="Q124" i="1"/>
  <c r="P124" i="1"/>
  <c r="AD123" i="1"/>
  <c r="AC123" i="1"/>
  <c r="R123" i="1"/>
  <c r="Q123" i="1"/>
  <c r="P123" i="1"/>
  <c r="AD122" i="1"/>
  <c r="AC122" i="1"/>
  <c r="R122" i="1"/>
  <c r="Q122" i="1"/>
  <c r="P122" i="1"/>
  <c r="AD121" i="1"/>
  <c r="AC121" i="1"/>
  <c r="R121" i="1"/>
  <c r="Q121" i="1"/>
  <c r="P121" i="1"/>
  <c r="AD120" i="1"/>
  <c r="AC120" i="1"/>
  <c r="R120" i="1"/>
  <c r="Q120" i="1"/>
  <c r="P120" i="1"/>
  <c r="AD119" i="1"/>
  <c r="AC119" i="1"/>
  <c r="Q119" i="1"/>
  <c r="R119" i="1" s="1"/>
  <c r="P119" i="1"/>
  <c r="AD118" i="1"/>
  <c r="AC118" i="1"/>
  <c r="Q118" i="1"/>
  <c r="R118" i="1" s="1"/>
  <c r="P118" i="1"/>
  <c r="AD117" i="1"/>
  <c r="AC117" i="1"/>
  <c r="Q117" i="1"/>
  <c r="R117" i="1" s="1"/>
  <c r="P117" i="1"/>
  <c r="AD116" i="1"/>
  <c r="AC116" i="1"/>
  <c r="Q116" i="1"/>
  <c r="P116" i="1"/>
  <c r="R116" i="1" s="1"/>
  <c r="AD115" i="1"/>
  <c r="AC115" i="1"/>
  <c r="R115" i="1"/>
  <c r="Q115" i="1"/>
  <c r="P115" i="1"/>
  <c r="AD114" i="1"/>
  <c r="AC114" i="1"/>
  <c r="Q114" i="1"/>
  <c r="R114" i="1" s="1"/>
  <c r="P114" i="1"/>
  <c r="AD113" i="1"/>
  <c r="AC113" i="1"/>
  <c r="R113" i="1"/>
  <c r="Q113" i="1"/>
  <c r="P113" i="1"/>
  <c r="AD112" i="1"/>
  <c r="AC112" i="1"/>
  <c r="R112" i="1"/>
  <c r="Q112" i="1"/>
  <c r="P112" i="1"/>
  <c r="AD111" i="1"/>
  <c r="AC111" i="1"/>
  <c r="Q111" i="1"/>
  <c r="P111" i="1"/>
  <c r="R111" i="1" s="1"/>
  <c r="AD110" i="1"/>
  <c r="AC110" i="1"/>
  <c r="Q110" i="1"/>
  <c r="P110" i="1"/>
  <c r="AD109" i="1"/>
  <c r="AC109" i="1"/>
  <c r="Q109" i="1"/>
  <c r="R109" i="1" s="1"/>
  <c r="P109" i="1"/>
  <c r="AD108" i="1"/>
  <c r="AC108" i="1"/>
  <c r="Q108" i="1"/>
  <c r="P108" i="1"/>
  <c r="R108" i="1" s="1"/>
  <c r="AD107" i="1"/>
  <c r="AC107" i="1"/>
  <c r="Q107" i="1"/>
  <c r="P107" i="1"/>
  <c r="AD106" i="1"/>
  <c r="AC106" i="1"/>
  <c r="R106" i="1"/>
  <c r="Q106" i="1"/>
  <c r="P106" i="1"/>
  <c r="AD105" i="1"/>
  <c r="AC105" i="1"/>
  <c r="Q105" i="1"/>
  <c r="R105" i="1" s="1"/>
  <c r="P105" i="1"/>
  <c r="AD104" i="1"/>
  <c r="AC104" i="1"/>
  <c r="Q104" i="1"/>
  <c r="R104" i="1" s="1"/>
  <c r="P104" i="1"/>
  <c r="AM103" i="1"/>
  <c r="AN103" i="1" s="1"/>
  <c r="AL103" i="1"/>
  <c r="AJ103" i="1"/>
  <c r="AD103" i="1"/>
  <c r="AC103" i="1"/>
  <c r="Q103" i="1"/>
  <c r="R103" i="1" s="1"/>
  <c r="P103" i="1"/>
  <c r="AD102" i="1"/>
  <c r="AC102" i="1"/>
  <c r="Q102" i="1"/>
  <c r="R102" i="1" s="1"/>
  <c r="P102" i="1"/>
  <c r="AD101" i="1"/>
  <c r="AC101" i="1"/>
  <c r="Q101" i="1"/>
  <c r="R101" i="1" s="1"/>
  <c r="P101" i="1"/>
  <c r="AD100" i="1"/>
  <c r="AC100" i="1"/>
  <c r="Q100" i="1"/>
  <c r="P100" i="1"/>
  <c r="R100" i="1" s="1"/>
  <c r="AD99" i="1"/>
  <c r="AC99" i="1"/>
  <c r="Q99" i="1"/>
  <c r="R99" i="1" s="1"/>
  <c r="P99" i="1"/>
  <c r="AD98" i="1"/>
  <c r="AC98" i="1"/>
  <c r="R98" i="1"/>
  <c r="Q98" i="1"/>
  <c r="P98" i="1"/>
  <c r="AD97" i="1"/>
  <c r="AC97" i="1"/>
  <c r="Q97" i="1"/>
  <c r="P97" i="1"/>
  <c r="AD96" i="1"/>
  <c r="AC96" i="1"/>
  <c r="Q96" i="1"/>
  <c r="R96" i="1" s="1"/>
  <c r="P96" i="1"/>
  <c r="AD95" i="1"/>
  <c r="AC95" i="1"/>
  <c r="Q95" i="1"/>
  <c r="P95" i="1"/>
  <c r="AD94" i="1"/>
  <c r="AC94" i="1"/>
  <c r="Q94" i="1"/>
  <c r="R94" i="1" s="1"/>
  <c r="P94" i="1"/>
  <c r="AD93" i="1"/>
  <c r="AC93" i="1"/>
  <c r="Q93" i="1"/>
  <c r="R93" i="1" s="1"/>
  <c r="P93" i="1"/>
  <c r="AD92" i="1"/>
  <c r="AC92" i="1"/>
  <c r="Q92" i="1"/>
  <c r="R92" i="1" s="1"/>
  <c r="P92" i="1"/>
  <c r="AD91" i="1"/>
  <c r="AC91" i="1"/>
  <c r="R91" i="1"/>
  <c r="Q91" i="1"/>
  <c r="P91" i="1"/>
  <c r="AD90" i="1"/>
  <c r="AC90" i="1"/>
  <c r="Q90" i="1"/>
  <c r="P90" i="1"/>
  <c r="AD89" i="1"/>
  <c r="AC89" i="1"/>
  <c r="Q89" i="1"/>
  <c r="R89" i="1" s="1"/>
  <c r="P89" i="1"/>
  <c r="AD88" i="1"/>
  <c r="AC88" i="1"/>
  <c r="Q88" i="1"/>
  <c r="P88" i="1"/>
  <c r="AD87" i="1"/>
  <c r="AC87" i="1"/>
  <c r="Q87" i="1"/>
  <c r="R87" i="1" s="1"/>
  <c r="P87" i="1"/>
  <c r="AD86" i="1"/>
  <c r="AC86" i="1"/>
  <c r="Q86" i="1"/>
  <c r="P86" i="1"/>
  <c r="R86" i="1" s="1"/>
  <c r="AD85" i="1"/>
  <c r="AC85" i="1"/>
  <c r="Q85" i="1"/>
  <c r="R85" i="1" s="1"/>
  <c r="P85" i="1"/>
  <c r="AU84" i="1"/>
  <c r="AD84" i="1"/>
  <c r="AC84" i="1"/>
  <c r="R84" i="1"/>
  <c r="Q84" i="1"/>
  <c r="P84" i="1"/>
  <c r="AW83" i="1"/>
  <c r="AD83" i="1"/>
  <c r="AX83" i="1" s="1"/>
  <c r="AC83" i="1"/>
  <c r="Q83" i="1"/>
  <c r="P83" i="1"/>
  <c r="R83" i="1" s="1"/>
  <c r="AD82" i="1"/>
  <c r="AC82" i="1"/>
  <c r="Q82" i="1"/>
  <c r="R82" i="1" s="1"/>
  <c r="P82" i="1"/>
  <c r="AD81" i="1"/>
  <c r="AC81" i="1"/>
  <c r="Q81" i="1"/>
  <c r="P81" i="1"/>
  <c r="AD80" i="1"/>
  <c r="AC80" i="1"/>
  <c r="Q80" i="1"/>
  <c r="R80" i="1" s="1"/>
  <c r="P80" i="1"/>
  <c r="AD79" i="1"/>
  <c r="AC79" i="1"/>
  <c r="Q79" i="1"/>
  <c r="P79" i="1"/>
  <c r="R79" i="1" s="1"/>
  <c r="AD78" i="1"/>
  <c r="AC78" i="1"/>
  <c r="R78" i="1"/>
  <c r="Q78" i="1"/>
  <c r="P78" i="1"/>
  <c r="AD77" i="1"/>
  <c r="AC77" i="1"/>
  <c r="Q77" i="1"/>
  <c r="P77" i="1"/>
  <c r="AD76" i="1"/>
  <c r="AC76" i="1"/>
  <c r="Q76" i="1"/>
  <c r="P76" i="1"/>
  <c r="R76" i="1" s="1"/>
  <c r="AD75" i="1"/>
  <c r="AC75" i="1"/>
  <c r="Q75" i="1"/>
  <c r="R75" i="1" s="1"/>
  <c r="P75" i="1"/>
  <c r="AD74" i="1"/>
  <c r="AC74" i="1"/>
  <c r="Q74" i="1"/>
  <c r="P74" i="1"/>
  <c r="R74" i="1" s="1"/>
  <c r="AD73" i="1"/>
  <c r="AC73" i="1"/>
  <c r="R73" i="1"/>
  <c r="Q73" i="1"/>
  <c r="P73" i="1"/>
  <c r="AD72" i="1"/>
  <c r="AC72" i="1"/>
  <c r="Q72" i="1"/>
  <c r="P72" i="1"/>
  <c r="R72" i="1" s="1"/>
  <c r="AD71" i="1"/>
  <c r="AC71" i="1"/>
  <c r="Q71" i="1"/>
  <c r="R71" i="1" s="1"/>
  <c r="P71" i="1"/>
  <c r="AD70" i="1"/>
  <c r="AC70" i="1"/>
  <c r="Q70" i="1"/>
  <c r="R70" i="1" s="1"/>
  <c r="P70" i="1"/>
  <c r="AD69" i="1"/>
  <c r="AC69" i="1"/>
  <c r="Q69" i="1"/>
  <c r="P69" i="1"/>
  <c r="AD68" i="1"/>
  <c r="AC68" i="1"/>
  <c r="R68" i="1"/>
  <c r="Q68" i="1"/>
  <c r="P68" i="1"/>
  <c r="AD67" i="1"/>
  <c r="AC67" i="1"/>
  <c r="Q67" i="1"/>
  <c r="R67" i="1" s="1"/>
  <c r="P67" i="1"/>
  <c r="AD66" i="1"/>
  <c r="AC66" i="1"/>
  <c r="Q66" i="1"/>
  <c r="R66" i="1" s="1"/>
  <c r="P66" i="1"/>
  <c r="AD65" i="1"/>
  <c r="AC65" i="1"/>
  <c r="Q65" i="1"/>
  <c r="P65" i="1"/>
  <c r="R65" i="1" s="1"/>
  <c r="AD64" i="1"/>
  <c r="AC64" i="1"/>
  <c r="Q64" i="1"/>
  <c r="R64" i="1" s="1"/>
  <c r="P64" i="1"/>
  <c r="AU63" i="1"/>
  <c r="AD63" i="1"/>
  <c r="AC63" i="1"/>
  <c r="Q63" i="1"/>
  <c r="R63" i="1" s="1"/>
  <c r="P63" i="1"/>
  <c r="AX62" i="1"/>
  <c r="AW62" i="1"/>
  <c r="AY62" i="1" s="1"/>
  <c r="AD62" i="1"/>
  <c r="AC62" i="1"/>
  <c r="Q62" i="1"/>
  <c r="P62" i="1"/>
  <c r="R62" i="1" s="1"/>
  <c r="AD61" i="1"/>
  <c r="AC61" i="1"/>
  <c r="Q61" i="1"/>
  <c r="R61" i="1" s="1"/>
  <c r="P61" i="1"/>
  <c r="AD60" i="1"/>
  <c r="AC60" i="1"/>
  <c r="Q60" i="1"/>
  <c r="P60" i="1"/>
  <c r="AD59" i="1"/>
  <c r="AC59" i="1"/>
  <c r="Q59" i="1"/>
  <c r="R59" i="1" s="1"/>
  <c r="P59" i="1"/>
  <c r="AD58" i="1"/>
  <c r="AC58" i="1"/>
  <c r="Q58" i="1"/>
  <c r="R58" i="1" s="1"/>
  <c r="P58" i="1"/>
  <c r="AD57" i="1"/>
  <c r="AC57" i="1"/>
  <c r="Q57" i="1"/>
  <c r="R57" i="1" s="1"/>
  <c r="P57" i="1"/>
  <c r="AD56" i="1"/>
  <c r="AC56" i="1"/>
  <c r="Q56" i="1"/>
  <c r="P56" i="1"/>
  <c r="AD55" i="1"/>
  <c r="AC55" i="1"/>
  <c r="Q55" i="1"/>
  <c r="P55" i="1"/>
  <c r="AD54" i="1"/>
  <c r="AC54" i="1"/>
  <c r="Q54" i="1"/>
  <c r="R54" i="1" s="1"/>
  <c r="P54" i="1"/>
  <c r="AD53" i="1"/>
  <c r="AC53" i="1"/>
  <c r="Q53" i="1"/>
  <c r="R53" i="1" s="1"/>
  <c r="P53" i="1"/>
  <c r="AD52" i="1"/>
  <c r="AC52" i="1"/>
  <c r="Q52" i="1"/>
  <c r="R52" i="1" s="1"/>
  <c r="P52" i="1"/>
  <c r="AD51" i="1"/>
  <c r="AC51" i="1"/>
  <c r="R51" i="1"/>
  <c r="Q51" i="1"/>
  <c r="P51" i="1"/>
  <c r="AD50" i="1"/>
  <c r="AC50" i="1"/>
  <c r="Q50" i="1"/>
  <c r="R50" i="1" s="1"/>
  <c r="P50" i="1"/>
  <c r="AD49" i="1"/>
  <c r="AC49" i="1"/>
  <c r="Q49" i="1"/>
  <c r="P49" i="1"/>
  <c r="AD48" i="1"/>
  <c r="AC48" i="1"/>
  <c r="R48" i="1"/>
  <c r="Q48" i="1"/>
  <c r="P48" i="1"/>
  <c r="AD47" i="1"/>
  <c r="AC47" i="1"/>
  <c r="Q47" i="1"/>
  <c r="R47" i="1" s="1"/>
  <c r="P47" i="1"/>
  <c r="AD46" i="1"/>
  <c r="AC46" i="1"/>
  <c r="Q46" i="1"/>
  <c r="R46" i="1" s="1"/>
  <c r="P46" i="1"/>
  <c r="AD45" i="1"/>
  <c r="AC45" i="1"/>
  <c r="Q45" i="1"/>
  <c r="P45" i="1"/>
  <c r="R45" i="1" s="1"/>
  <c r="AD44" i="1"/>
  <c r="AC44" i="1"/>
  <c r="Q44" i="1"/>
  <c r="P44" i="1"/>
  <c r="AD43" i="1"/>
  <c r="AC43" i="1"/>
  <c r="Q43" i="1"/>
  <c r="R43" i="1" s="1"/>
  <c r="P43" i="1"/>
  <c r="AD42" i="1"/>
  <c r="AC42" i="1"/>
  <c r="Q42" i="1"/>
  <c r="R42" i="1" s="1"/>
  <c r="P42" i="1"/>
  <c r="AD41" i="1"/>
  <c r="AC41" i="1"/>
  <c r="R41" i="1"/>
  <c r="Q41" i="1"/>
  <c r="P41" i="1"/>
  <c r="AN40" i="1"/>
  <c r="AM40" i="1"/>
  <c r="AL40" i="1"/>
  <c r="AJ40" i="1"/>
  <c r="AD40" i="1"/>
  <c r="AC40" i="1"/>
  <c r="Q40" i="1"/>
  <c r="R40" i="1" s="1"/>
  <c r="P40" i="1"/>
  <c r="AD39" i="1"/>
  <c r="AC39" i="1"/>
  <c r="R39" i="1"/>
  <c r="Q39" i="1"/>
  <c r="P39" i="1"/>
  <c r="AD38" i="1"/>
  <c r="AC38" i="1"/>
  <c r="Q38" i="1"/>
  <c r="P38" i="1"/>
  <c r="AD37" i="1"/>
  <c r="AC37" i="1"/>
  <c r="Q37" i="1"/>
  <c r="R37" i="1" s="1"/>
  <c r="P37" i="1"/>
  <c r="AD36" i="1"/>
  <c r="AC36" i="1"/>
  <c r="R36" i="1"/>
  <c r="Q36" i="1"/>
  <c r="P36" i="1"/>
  <c r="AD35" i="1"/>
  <c r="AC35" i="1"/>
  <c r="Q35" i="1"/>
  <c r="R35" i="1" s="1"/>
  <c r="P35" i="1"/>
  <c r="AD34" i="1"/>
  <c r="AC34" i="1"/>
  <c r="Q34" i="1"/>
  <c r="R34" i="1" s="1"/>
  <c r="P34" i="1"/>
  <c r="AD33" i="1"/>
  <c r="AC33" i="1"/>
  <c r="Q33" i="1"/>
  <c r="R33" i="1" s="1"/>
  <c r="P33" i="1"/>
  <c r="AD32" i="1"/>
  <c r="AC32" i="1"/>
  <c r="R32" i="1"/>
  <c r="Q32" i="1"/>
  <c r="P32" i="1"/>
  <c r="AD31" i="1"/>
  <c r="AC31" i="1"/>
  <c r="Q31" i="1"/>
  <c r="R31" i="1" s="1"/>
  <c r="P31" i="1"/>
  <c r="AD30" i="1"/>
  <c r="AC30" i="1"/>
  <c r="Q30" i="1"/>
  <c r="P30" i="1"/>
  <c r="AD29" i="1"/>
  <c r="AC29" i="1"/>
  <c r="R29" i="1"/>
  <c r="Q29" i="1"/>
  <c r="P29" i="1"/>
  <c r="AD28" i="1"/>
  <c r="AC28" i="1"/>
  <c r="Q28" i="1"/>
  <c r="R28" i="1" s="1"/>
  <c r="P28" i="1"/>
  <c r="AD27" i="1"/>
  <c r="AC27" i="1"/>
  <c r="R27" i="1"/>
  <c r="Q27" i="1"/>
  <c r="P27" i="1"/>
  <c r="AD26" i="1"/>
  <c r="AC26" i="1"/>
  <c r="Q26" i="1"/>
  <c r="P26" i="1"/>
  <c r="R26" i="1" s="1"/>
  <c r="AD25" i="1"/>
  <c r="AC25" i="1"/>
  <c r="R25" i="1"/>
  <c r="Q25" i="1"/>
  <c r="P25" i="1"/>
  <c r="AD24" i="1"/>
  <c r="AC24" i="1"/>
  <c r="Q24" i="1"/>
  <c r="R24" i="1" s="1"/>
  <c r="P24" i="1"/>
  <c r="AD23" i="1"/>
  <c r="AC23" i="1"/>
  <c r="Q23" i="1"/>
  <c r="R23" i="1" s="1"/>
  <c r="P23" i="1"/>
  <c r="AV22" i="1"/>
  <c r="AW22" i="1" s="1"/>
  <c r="AU22" i="1"/>
  <c r="AK22" i="1"/>
  <c r="AM22" i="1" s="1"/>
  <c r="AJ22" i="1"/>
  <c r="AD22" i="1"/>
  <c r="AC22" i="1"/>
  <c r="Q22" i="1"/>
  <c r="R22" i="1" s="1"/>
  <c r="P22" i="1"/>
  <c r="AD21" i="1"/>
  <c r="AC21" i="1"/>
  <c r="AD20" i="1"/>
  <c r="AC20" i="1"/>
  <c r="R20" i="1"/>
  <c r="AD19" i="1"/>
  <c r="AC19" i="1"/>
  <c r="R19" i="1"/>
  <c r="AD18" i="1"/>
  <c r="AC18" i="1"/>
  <c r="AD17" i="1"/>
  <c r="AC17" i="1"/>
  <c r="AD16" i="1"/>
  <c r="AC16" i="1"/>
  <c r="AD15" i="1"/>
  <c r="AC15" i="1"/>
  <c r="AD14" i="1"/>
  <c r="AC14" i="1"/>
  <c r="R14" i="1"/>
  <c r="AD13" i="1"/>
  <c r="AC13" i="1"/>
  <c r="R13" i="1"/>
  <c r="AD12" i="1"/>
  <c r="AC12" i="1"/>
  <c r="R12" i="1"/>
  <c r="AD11" i="1"/>
  <c r="AC11" i="1"/>
  <c r="R11" i="1"/>
  <c r="AD10" i="1"/>
  <c r="AC10" i="1"/>
  <c r="AD9" i="1"/>
  <c r="AC9" i="1"/>
  <c r="R9" i="1"/>
  <c r="AD8" i="1"/>
  <c r="AC8" i="1"/>
  <c r="R8" i="1"/>
  <c r="AD7" i="1"/>
  <c r="AC7" i="1"/>
  <c r="AD6" i="1"/>
  <c r="AC6" i="1"/>
  <c r="R6" i="1"/>
  <c r="AD5" i="1"/>
  <c r="AC5" i="1"/>
  <c r="R5" i="1"/>
  <c r="AD4" i="1"/>
  <c r="AC4" i="1"/>
  <c r="AD3" i="1"/>
  <c r="AC3" i="1"/>
  <c r="R2" i="1"/>
  <c r="T19" i="1" l="1"/>
  <c r="W20" i="1" s="1"/>
  <c r="Z20" i="1" s="1"/>
  <c r="U21" i="1"/>
  <c r="X22" i="1" s="1"/>
  <c r="AA22" i="1" s="1"/>
  <c r="AI22" i="1" s="1"/>
  <c r="T22" i="1"/>
  <c r="W23" i="1" s="1"/>
  <c r="Z23" i="1" s="1"/>
  <c r="T12" i="1"/>
  <c r="W13" i="1" s="1"/>
  <c r="Z13" i="1" s="1"/>
  <c r="T23" i="1"/>
  <c r="W24" i="1" s="1"/>
  <c r="Z24" i="1" s="1"/>
  <c r="T15" i="1"/>
  <c r="W16" i="1" s="1"/>
  <c r="Z16" i="1" s="1"/>
  <c r="T21" i="1"/>
  <c r="W22" i="1" s="1"/>
  <c r="Z22" i="1" s="1"/>
  <c r="AT22" i="1"/>
  <c r="AH22" i="1"/>
  <c r="AS22" i="1"/>
  <c r="AV23" i="1" s="1"/>
  <c r="T35" i="1"/>
  <c r="W36" i="1" s="1"/>
  <c r="Z36" i="1" s="1"/>
  <c r="U45" i="1"/>
  <c r="X46" i="1" s="1"/>
  <c r="AA46" i="1" s="1"/>
  <c r="T29" i="1"/>
  <c r="W30" i="1" s="1"/>
  <c r="Z30" i="1" s="1"/>
  <c r="U42" i="1"/>
  <c r="X43" i="1" s="1"/>
  <c r="AA43" i="1" s="1"/>
  <c r="T32" i="1"/>
  <c r="W33" i="1" s="1"/>
  <c r="Z33" i="1" s="1"/>
  <c r="T30" i="1"/>
  <c r="W31" i="1" s="1"/>
  <c r="Z31" i="1" s="1"/>
  <c r="U51" i="1"/>
  <c r="X52" i="1" s="1"/>
  <c r="AA52" i="1" s="1"/>
  <c r="T84" i="1"/>
  <c r="W85" i="1" s="1"/>
  <c r="Z85" i="1" s="1"/>
  <c r="AY22" i="1"/>
  <c r="U30" i="1"/>
  <c r="X31" i="1" s="1"/>
  <c r="AA31" i="1" s="1"/>
  <c r="T37" i="1"/>
  <c r="W38" i="1" s="1"/>
  <c r="Z38" i="1" s="1"/>
  <c r="T67" i="1"/>
  <c r="W68" i="1" s="1"/>
  <c r="Z68" i="1" s="1"/>
  <c r="T33" i="1"/>
  <c r="W34" i="1" s="1"/>
  <c r="Z34" i="1" s="1"/>
  <c r="U43" i="1"/>
  <c r="X44" i="1" s="1"/>
  <c r="AA44" i="1" s="1"/>
  <c r="T36" i="1"/>
  <c r="W37" i="1" s="1"/>
  <c r="Z37" i="1" s="1"/>
  <c r="U23" i="1"/>
  <c r="X24" i="1" s="1"/>
  <c r="AA24" i="1" s="1"/>
  <c r="U32" i="1"/>
  <c r="X33" i="1" s="1"/>
  <c r="AA33" i="1" s="1"/>
  <c r="T40" i="1"/>
  <c r="W41" i="1" s="1"/>
  <c r="Z41" i="1" s="1"/>
  <c r="T56" i="1"/>
  <c r="W57" i="1" s="1"/>
  <c r="Z57" i="1" s="1"/>
  <c r="U29" i="1"/>
  <c r="X30" i="1" s="1"/>
  <c r="AA30" i="1" s="1"/>
  <c r="T122" i="1"/>
  <c r="W123" i="1" s="1"/>
  <c r="Z123" i="1" s="1"/>
  <c r="T121" i="1"/>
  <c r="W122" i="1" s="1"/>
  <c r="Z122" i="1" s="1"/>
  <c r="U28" i="1"/>
  <c r="X29" i="1" s="1"/>
  <c r="AA29" i="1" s="1"/>
  <c r="T25" i="1"/>
  <c r="W26" i="1" s="1"/>
  <c r="Z26" i="1" s="1"/>
  <c r="U25" i="1"/>
  <c r="X26" i="1" s="1"/>
  <c r="AA26" i="1" s="1"/>
  <c r="R38" i="1"/>
  <c r="U44" i="1" s="1"/>
  <c r="X45" i="1" s="1"/>
  <c r="AA45" i="1" s="1"/>
  <c r="T68" i="1"/>
  <c r="W69" i="1" s="1"/>
  <c r="Z69" i="1" s="1"/>
  <c r="R88" i="1"/>
  <c r="T95" i="1" s="1"/>
  <c r="W96" i="1" s="1"/>
  <c r="Z96" i="1" s="1"/>
  <c r="T18" i="1"/>
  <c r="W19" i="1" s="1"/>
  <c r="Z19" i="1" s="1"/>
  <c r="AX22" i="1"/>
  <c r="R77" i="1"/>
  <c r="U94" i="1" s="1"/>
  <c r="X95" i="1" s="1"/>
  <c r="AA95" i="1" s="1"/>
  <c r="T89" i="1"/>
  <c r="W90" i="1" s="1"/>
  <c r="Z90" i="1" s="1"/>
  <c r="U31" i="1"/>
  <c r="X32" i="1" s="1"/>
  <c r="AA32" i="1" s="1"/>
  <c r="U22" i="1"/>
  <c r="X23" i="1" s="1"/>
  <c r="AA23" i="1" s="1"/>
  <c r="U35" i="1"/>
  <c r="X36" i="1" s="1"/>
  <c r="AA36" i="1" s="1"/>
  <c r="T27" i="1"/>
  <c r="W28" i="1" s="1"/>
  <c r="Z28" i="1" s="1"/>
  <c r="T44" i="1"/>
  <c r="W45" i="1" s="1"/>
  <c r="Z45" i="1" s="1"/>
  <c r="U39" i="1"/>
  <c r="X40" i="1" s="1"/>
  <c r="AA40" i="1" s="1"/>
  <c r="T55" i="1"/>
  <c r="W56" i="1" s="1"/>
  <c r="Z56" i="1" s="1"/>
  <c r="U26" i="1"/>
  <c r="X27" i="1" s="1"/>
  <c r="AA27" i="1" s="1"/>
  <c r="U37" i="1"/>
  <c r="X38" i="1" s="1"/>
  <c r="AA38" i="1" s="1"/>
  <c r="U33" i="1"/>
  <c r="X34" i="1" s="1"/>
  <c r="AA34" i="1" s="1"/>
  <c r="R44" i="1"/>
  <c r="T123" i="1"/>
  <c r="W124" i="1" s="1"/>
  <c r="Z124" i="1" s="1"/>
  <c r="T11" i="1"/>
  <c r="W12" i="1" s="1"/>
  <c r="Z12" i="1" s="1"/>
  <c r="U24" i="1"/>
  <c r="X25" i="1" s="1"/>
  <c r="AA25" i="1" s="1"/>
  <c r="T14" i="1"/>
  <c r="W15" i="1" s="1"/>
  <c r="Z15" i="1" s="1"/>
  <c r="T16" i="1"/>
  <c r="W17" i="1" s="1"/>
  <c r="Z17" i="1" s="1"/>
  <c r="U40" i="1"/>
  <c r="X41" i="1" s="1"/>
  <c r="AA41" i="1" s="1"/>
  <c r="U55" i="1"/>
  <c r="X56" i="1" s="1"/>
  <c r="AA56" i="1" s="1"/>
  <c r="U121" i="1"/>
  <c r="X122" i="1" s="1"/>
  <c r="AA122" i="1" s="1"/>
  <c r="T17" i="1"/>
  <c r="W18" i="1" s="1"/>
  <c r="Z18" i="1" s="1"/>
  <c r="U27" i="1"/>
  <c r="X28" i="1" s="1"/>
  <c r="AA28" i="1" s="1"/>
  <c r="T13" i="1"/>
  <c r="W14" i="1" s="1"/>
  <c r="Z14" i="1" s="1"/>
  <c r="T24" i="1"/>
  <c r="W25" i="1" s="1"/>
  <c r="Z25" i="1" s="1"/>
  <c r="U34" i="1"/>
  <c r="X35" i="1" s="1"/>
  <c r="AA35" i="1" s="1"/>
  <c r="T20" i="1"/>
  <c r="W21" i="1" s="1"/>
  <c r="Z21" i="1" s="1"/>
  <c r="R30" i="1"/>
  <c r="S33" i="1" s="1"/>
  <c r="V34" i="1" s="1"/>
  <c r="Y34" i="1" s="1"/>
  <c r="T59" i="1"/>
  <c r="W60" i="1" s="1"/>
  <c r="Z60" i="1" s="1"/>
  <c r="T63" i="1"/>
  <c r="W64" i="1" s="1"/>
  <c r="Z64" i="1" s="1"/>
  <c r="U73" i="1"/>
  <c r="X74" i="1" s="1"/>
  <c r="AA74" i="1" s="1"/>
  <c r="T31" i="1"/>
  <c r="W32" i="1" s="1"/>
  <c r="Z32" i="1" s="1"/>
  <c r="U41" i="1"/>
  <c r="X42" i="1" s="1"/>
  <c r="AA42" i="1" s="1"/>
  <c r="T66" i="1"/>
  <c r="W67" i="1" s="1"/>
  <c r="Z67" i="1" s="1"/>
  <c r="T26" i="1"/>
  <c r="W27" i="1" s="1"/>
  <c r="Z27" i="1" s="1"/>
  <c r="AL22" i="1"/>
  <c r="AN22" i="1" s="1"/>
  <c r="AU23" i="1"/>
  <c r="U36" i="1"/>
  <c r="X37" i="1" s="1"/>
  <c r="AA37" i="1" s="1"/>
  <c r="U61" i="1"/>
  <c r="X62" i="1" s="1"/>
  <c r="AA62" i="1" s="1"/>
  <c r="R55" i="1"/>
  <c r="U58" i="1" s="1"/>
  <c r="X59" i="1" s="1"/>
  <c r="AA59" i="1" s="1"/>
  <c r="U62" i="1"/>
  <c r="X63" i="1" s="1"/>
  <c r="AA63" i="1" s="1"/>
  <c r="T120" i="1"/>
  <c r="W121" i="1" s="1"/>
  <c r="Z121" i="1" s="1"/>
  <c r="U38" i="1"/>
  <c r="X39" i="1" s="1"/>
  <c r="AA39" i="1" s="1"/>
  <c r="R49" i="1"/>
  <c r="T57" i="1" s="1"/>
  <c r="W58" i="1" s="1"/>
  <c r="Z58" i="1" s="1"/>
  <c r="R56" i="1"/>
  <c r="T74" i="1"/>
  <c r="W75" i="1" s="1"/>
  <c r="Z75" i="1" s="1"/>
  <c r="R110" i="1"/>
  <c r="T34" i="1"/>
  <c r="W35" i="1" s="1"/>
  <c r="Z35" i="1" s="1"/>
  <c r="T28" i="1"/>
  <c r="W29" i="1" s="1"/>
  <c r="Z29" i="1" s="1"/>
  <c r="R60" i="1"/>
  <c r="U120" i="1"/>
  <c r="X121" i="1" s="1"/>
  <c r="AA121" i="1" s="1"/>
  <c r="T109" i="1"/>
  <c r="W110" i="1" s="1"/>
  <c r="Z110" i="1" s="1"/>
  <c r="T105" i="1"/>
  <c r="W106" i="1" s="1"/>
  <c r="Z106" i="1" s="1"/>
  <c r="R126" i="1"/>
  <c r="R81" i="1"/>
  <c r="U98" i="1" s="1"/>
  <c r="X99" i="1" s="1"/>
  <c r="AA99" i="1" s="1"/>
  <c r="U117" i="1"/>
  <c r="X118" i="1" s="1"/>
  <c r="AA118" i="1" s="1"/>
  <c r="T148" i="1"/>
  <c r="W149" i="1" s="1"/>
  <c r="Z149" i="1" s="1"/>
  <c r="T152" i="1"/>
  <c r="W153" i="1" s="1"/>
  <c r="Z153" i="1" s="1"/>
  <c r="R69" i="1"/>
  <c r="U87" i="1" s="1"/>
  <c r="X88" i="1" s="1"/>
  <c r="AA88" i="1" s="1"/>
  <c r="U110" i="1"/>
  <c r="X111" i="1" s="1"/>
  <c r="AA111" i="1" s="1"/>
  <c r="T124" i="1"/>
  <c r="W125" i="1" s="1"/>
  <c r="Z125" i="1" s="1"/>
  <c r="U112" i="1"/>
  <c r="X113" i="1" s="1"/>
  <c r="AA113" i="1" s="1"/>
  <c r="R124" i="1"/>
  <c r="U137" i="1" s="1"/>
  <c r="X138" i="1" s="1"/>
  <c r="AA138" i="1" s="1"/>
  <c r="AY83" i="1"/>
  <c r="R95" i="1"/>
  <c r="T103" i="1" s="1"/>
  <c r="W104" i="1" s="1"/>
  <c r="Z104" i="1" s="1"/>
  <c r="R107" i="1"/>
  <c r="T111" i="1" s="1"/>
  <c r="W112" i="1" s="1"/>
  <c r="Z112" i="1" s="1"/>
  <c r="U152" i="1"/>
  <c r="X153" i="1" s="1"/>
  <c r="AA153" i="1" s="1"/>
  <c r="R130" i="1"/>
  <c r="R90" i="1"/>
  <c r="U108" i="1" s="1"/>
  <c r="X109" i="1" s="1"/>
  <c r="AA109" i="1" s="1"/>
  <c r="R97" i="1"/>
  <c r="T153" i="1"/>
  <c r="W154" i="1" s="1"/>
  <c r="Z154" i="1" s="1"/>
  <c r="R138" i="1"/>
  <c r="T147" i="1" s="1"/>
  <c r="W148" i="1" s="1"/>
  <c r="Z148" i="1" s="1"/>
  <c r="R137" i="1"/>
  <c r="R149" i="1"/>
  <c r="T150" i="1" s="1"/>
  <c r="W151" i="1" s="1"/>
  <c r="Z151" i="1" s="1"/>
  <c r="R156" i="1"/>
  <c r="R145" i="1"/>
  <c r="R148" i="1"/>
  <c r="T149" i="1" s="1"/>
  <c r="W150" i="1" s="1"/>
  <c r="Z150" i="1" s="1"/>
  <c r="R155" i="1"/>
  <c r="AK23" i="1" l="1"/>
  <c r="AM23" i="1" s="1"/>
  <c r="AI138" i="1"/>
  <c r="AT138" i="1"/>
  <c r="AS138" i="1"/>
  <c r="AV139" i="1" s="1"/>
  <c r="AH138" i="1"/>
  <c r="AS99" i="1"/>
  <c r="AI99" i="1"/>
  <c r="AH99" i="1"/>
  <c r="AT99" i="1"/>
  <c r="AS45" i="1"/>
  <c r="AI45" i="1"/>
  <c r="AH45" i="1"/>
  <c r="AK46" i="1" s="1"/>
  <c r="AT45" i="1"/>
  <c r="AT88" i="1"/>
  <c r="AS88" i="1"/>
  <c r="AV89" i="1" s="1"/>
  <c r="AI88" i="1"/>
  <c r="AH88" i="1"/>
  <c r="AT95" i="1"/>
  <c r="AI95" i="1"/>
  <c r="AS95" i="1"/>
  <c r="AH95" i="1"/>
  <c r="AK96" i="1" s="1"/>
  <c r="AT109" i="1"/>
  <c r="AI109" i="1"/>
  <c r="AH109" i="1"/>
  <c r="AK110" i="1" s="1"/>
  <c r="AS109" i="1"/>
  <c r="AI59" i="1"/>
  <c r="AT59" i="1"/>
  <c r="AS59" i="1"/>
  <c r="AH59" i="1"/>
  <c r="S10" i="1"/>
  <c r="V11" i="1" s="1"/>
  <c r="Y11" i="1" s="1"/>
  <c r="S18" i="1"/>
  <c r="V19" i="1" s="1"/>
  <c r="Y19" i="1" s="1"/>
  <c r="S149" i="1"/>
  <c r="V150" i="1" s="1"/>
  <c r="Y150" i="1" s="1"/>
  <c r="U145" i="1"/>
  <c r="X146" i="1" s="1"/>
  <c r="AA146" i="1" s="1"/>
  <c r="T135" i="1"/>
  <c r="W136" i="1" s="1"/>
  <c r="Z136" i="1" s="1"/>
  <c r="U144" i="1"/>
  <c r="X145" i="1" s="1"/>
  <c r="AA145" i="1" s="1"/>
  <c r="AT37" i="1"/>
  <c r="AS37" i="1"/>
  <c r="AI37" i="1"/>
  <c r="AH37" i="1"/>
  <c r="AK38" i="1" s="1"/>
  <c r="S52" i="1"/>
  <c r="V53" i="1" s="1"/>
  <c r="Y53" i="1" s="1"/>
  <c r="S72" i="1"/>
  <c r="V73" i="1" s="1"/>
  <c r="Y73" i="1" s="1"/>
  <c r="S142" i="1"/>
  <c r="V143" i="1" s="1"/>
  <c r="Y143" i="1" s="1"/>
  <c r="U101" i="1"/>
  <c r="X102" i="1" s="1"/>
  <c r="AA102" i="1" s="1"/>
  <c r="T145" i="1"/>
  <c r="W146" i="1" s="1"/>
  <c r="Z146" i="1" s="1"/>
  <c r="U128" i="1"/>
  <c r="X129" i="1" s="1"/>
  <c r="AA129" i="1" s="1"/>
  <c r="T108" i="1"/>
  <c r="W109" i="1" s="1"/>
  <c r="Z109" i="1" s="1"/>
  <c r="T61" i="1"/>
  <c r="W62" i="1" s="1"/>
  <c r="Z62" i="1" s="1"/>
  <c r="U83" i="1"/>
  <c r="X84" i="1" s="1"/>
  <c r="AA84" i="1" s="1"/>
  <c r="S8" i="1"/>
  <c r="V9" i="1" s="1"/>
  <c r="Y9" i="1" s="1"/>
  <c r="U85" i="1"/>
  <c r="X86" i="1" s="1"/>
  <c r="AA86" i="1" s="1"/>
  <c r="S112" i="1"/>
  <c r="V113" i="1" s="1"/>
  <c r="Y113" i="1" s="1"/>
  <c r="S65" i="1"/>
  <c r="V66" i="1" s="1"/>
  <c r="Y66" i="1" s="1"/>
  <c r="S78" i="1"/>
  <c r="V79" i="1" s="1"/>
  <c r="Y79" i="1" s="1"/>
  <c r="S151" i="1"/>
  <c r="V152" i="1" s="1"/>
  <c r="Y152" i="1" s="1"/>
  <c r="S148" i="1"/>
  <c r="V149" i="1" s="1"/>
  <c r="Y149" i="1" s="1"/>
  <c r="S137" i="1"/>
  <c r="V138" i="1" s="1"/>
  <c r="Y138" i="1" s="1"/>
  <c r="T53" i="1"/>
  <c r="W54" i="1" s="1"/>
  <c r="Z54" i="1" s="1"/>
  <c r="U63" i="1"/>
  <c r="X64" i="1" s="1"/>
  <c r="AA64" i="1" s="1"/>
  <c r="T80" i="1"/>
  <c r="W81" i="1" s="1"/>
  <c r="Z81" i="1" s="1"/>
  <c r="S9" i="1"/>
  <c r="V10" i="1" s="1"/>
  <c r="Y10" i="1" s="1"/>
  <c r="U53" i="1"/>
  <c r="X54" i="1" s="1"/>
  <c r="AA54" i="1" s="1"/>
  <c r="T151" i="1"/>
  <c r="W152" i="1" s="1"/>
  <c r="Z152" i="1" s="1"/>
  <c r="U136" i="1"/>
  <c r="X137" i="1" s="1"/>
  <c r="AA137" i="1" s="1"/>
  <c r="U129" i="1"/>
  <c r="X130" i="1" s="1"/>
  <c r="AA130" i="1" s="1"/>
  <c r="T119" i="1"/>
  <c r="W120" i="1" s="1"/>
  <c r="Z120" i="1" s="1"/>
  <c r="U71" i="1"/>
  <c r="X72" i="1" s="1"/>
  <c r="AA72" i="1" s="1"/>
  <c r="T70" i="1"/>
  <c r="W71" i="1" s="1"/>
  <c r="Z71" i="1" s="1"/>
  <c r="T60" i="1"/>
  <c r="W61" i="1" s="1"/>
  <c r="Z61" i="1" s="1"/>
  <c r="U46" i="1"/>
  <c r="X47" i="1" s="1"/>
  <c r="AA47" i="1" s="1"/>
  <c r="S82" i="1"/>
  <c r="V83" i="1" s="1"/>
  <c r="Y83" i="1" s="1"/>
  <c r="S31" i="1"/>
  <c r="V32" i="1" s="1"/>
  <c r="Y32" i="1" s="1"/>
  <c r="S66" i="1"/>
  <c r="V67" i="1" s="1"/>
  <c r="Y67" i="1" s="1"/>
  <c r="S126" i="1"/>
  <c r="V127" i="1" s="1"/>
  <c r="Y127" i="1" s="1"/>
  <c r="S77" i="1"/>
  <c r="V78" i="1" s="1"/>
  <c r="Y78" i="1" s="1"/>
  <c r="S141" i="1"/>
  <c r="V142" i="1" s="1"/>
  <c r="Y142" i="1" s="1"/>
  <c r="S150" i="1"/>
  <c r="V151" i="1" s="1"/>
  <c r="Y151" i="1" s="1"/>
  <c r="S144" i="1"/>
  <c r="V145" i="1" s="1"/>
  <c r="Y145" i="1" s="1"/>
  <c r="AT34" i="1"/>
  <c r="AS34" i="1"/>
  <c r="AI34" i="1"/>
  <c r="AH34" i="1"/>
  <c r="AK35" i="1" s="1"/>
  <c r="U89" i="1"/>
  <c r="X90" i="1" s="1"/>
  <c r="AA90" i="1" s="1"/>
  <c r="U122" i="1"/>
  <c r="X123" i="1" s="1"/>
  <c r="AA123" i="1" s="1"/>
  <c r="U54" i="1"/>
  <c r="X55" i="1" s="1"/>
  <c r="AA55" i="1" s="1"/>
  <c r="AI24" i="1"/>
  <c r="AH24" i="1"/>
  <c r="AK25" i="1" s="1"/>
  <c r="AT24" i="1"/>
  <c r="AS24" i="1"/>
  <c r="S34" i="1"/>
  <c r="V35" i="1" s="1"/>
  <c r="Y35" i="1" s="1"/>
  <c r="AT118" i="1"/>
  <c r="AI118" i="1"/>
  <c r="AH118" i="1"/>
  <c r="AS118" i="1"/>
  <c r="AT122" i="1"/>
  <c r="AS122" i="1"/>
  <c r="AH122" i="1"/>
  <c r="AI122" i="1"/>
  <c r="S146" i="1"/>
  <c r="V147" i="1" s="1"/>
  <c r="Y147" i="1" s="1"/>
  <c r="T78" i="1"/>
  <c r="W79" i="1" s="1"/>
  <c r="Z79" i="1" s="1"/>
  <c r="U88" i="1"/>
  <c r="X89" i="1" s="1"/>
  <c r="AA89" i="1" s="1"/>
  <c r="T77" i="1"/>
  <c r="W78" i="1" s="1"/>
  <c r="Z78" i="1" s="1"/>
  <c r="T75" i="1"/>
  <c r="W76" i="1" s="1"/>
  <c r="Z76" i="1" s="1"/>
  <c r="U113" i="1"/>
  <c r="X114" i="1" s="1"/>
  <c r="AA114" i="1" s="1"/>
  <c r="T141" i="1"/>
  <c r="W142" i="1" s="1"/>
  <c r="Z142" i="1" s="1"/>
  <c r="AI56" i="1"/>
  <c r="AT56" i="1"/>
  <c r="AH56" i="1"/>
  <c r="AS56" i="1"/>
  <c r="AV57" i="1" s="1"/>
  <c r="S28" i="1"/>
  <c r="V29" i="1" s="1"/>
  <c r="Y29" i="1" s="1"/>
  <c r="S110" i="1"/>
  <c r="V111" i="1" s="1"/>
  <c r="Y111" i="1" s="1"/>
  <c r="S22" i="1"/>
  <c r="V23" i="1" s="1"/>
  <c r="Y23" i="1" s="1"/>
  <c r="T62" i="1"/>
  <c r="W63" i="1" s="1"/>
  <c r="Z63" i="1" s="1"/>
  <c r="S14" i="1"/>
  <c r="V15" i="1" s="1"/>
  <c r="Y15" i="1" s="1"/>
  <c r="S119" i="1"/>
  <c r="V120" i="1" s="1"/>
  <c r="Y120" i="1" s="1"/>
  <c r="U156" i="1"/>
  <c r="T146" i="1"/>
  <c r="W147" i="1" s="1"/>
  <c r="Z147" i="1" s="1"/>
  <c r="T144" i="1"/>
  <c r="W145" i="1" s="1"/>
  <c r="Z145" i="1" s="1"/>
  <c r="U150" i="1"/>
  <c r="X151" i="1" s="1"/>
  <c r="AA151" i="1" s="1"/>
  <c r="T140" i="1"/>
  <c r="W141" i="1" s="1"/>
  <c r="Z141" i="1" s="1"/>
  <c r="U143" i="1"/>
  <c r="X144" i="1" s="1"/>
  <c r="AA144" i="1" s="1"/>
  <c r="T133" i="1"/>
  <c r="W134" i="1" s="1"/>
  <c r="Z134" i="1" s="1"/>
  <c r="T127" i="1"/>
  <c r="W128" i="1" s="1"/>
  <c r="Z128" i="1" s="1"/>
  <c r="T107" i="1"/>
  <c r="W108" i="1" s="1"/>
  <c r="Z108" i="1" s="1"/>
  <c r="U84" i="1"/>
  <c r="X85" i="1" s="1"/>
  <c r="AA85" i="1" s="1"/>
  <c r="T52" i="1"/>
  <c r="W53" i="1" s="1"/>
  <c r="Z53" i="1" s="1"/>
  <c r="U80" i="1"/>
  <c r="X81" i="1" s="1"/>
  <c r="AA81" i="1" s="1"/>
  <c r="S6" i="1"/>
  <c r="V7" i="1" s="1"/>
  <c r="Y7" i="1" s="1"/>
  <c r="U70" i="1"/>
  <c r="X71" i="1" s="1"/>
  <c r="AA71" i="1" s="1"/>
  <c r="AI35" i="1"/>
  <c r="AH35" i="1"/>
  <c r="AK36" i="1" s="1"/>
  <c r="AT35" i="1"/>
  <c r="AS35" i="1"/>
  <c r="AT41" i="1"/>
  <c r="AS41" i="1"/>
  <c r="AI41" i="1"/>
  <c r="AH41" i="1"/>
  <c r="AK42" i="1" s="1"/>
  <c r="S38" i="1"/>
  <c r="V39" i="1" s="1"/>
  <c r="Y39" i="1" s="1"/>
  <c r="S76" i="1"/>
  <c r="V77" i="1" s="1"/>
  <c r="Y77" i="1" s="1"/>
  <c r="S64" i="1"/>
  <c r="V65" i="1" s="1"/>
  <c r="Y65" i="1" s="1"/>
  <c r="S118" i="1"/>
  <c r="V119" i="1" s="1"/>
  <c r="Y119" i="1" s="1"/>
  <c r="S121" i="1"/>
  <c r="V122" i="1" s="1"/>
  <c r="Y122" i="1" s="1"/>
  <c r="S133" i="1"/>
  <c r="V134" i="1" s="1"/>
  <c r="Y134" i="1" s="1"/>
  <c r="S152" i="1"/>
  <c r="V153" i="1" s="1"/>
  <c r="Y153" i="1" s="1"/>
  <c r="S16" i="1"/>
  <c r="V17" i="1" s="1"/>
  <c r="Y17" i="1" s="1"/>
  <c r="T79" i="1"/>
  <c r="W80" i="1" s="1"/>
  <c r="Z80" i="1" s="1"/>
  <c r="T112" i="1"/>
  <c r="W113" i="1" s="1"/>
  <c r="Z113" i="1" s="1"/>
  <c r="S11" i="1"/>
  <c r="V12" i="1" s="1"/>
  <c r="Y12" i="1" s="1"/>
  <c r="S37" i="1"/>
  <c r="V38" i="1" s="1"/>
  <c r="Y38" i="1" s="1"/>
  <c r="AT30" i="1"/>
  <c r="AS30" i="1"/>
  <c r="AV31" i="1" s="1"/>
  <c r="AI30" i="1"/>
  <c r="AH30" i="1"/>
  <c r="T50" i="1"/>
  <c r="W51" i="1" s="1"/>
  <c r="Z51" i="1" s="1"/>
  <c r="AT31" i="1"/>
  <c r="AS31" i="1"/>
  <c r="AI31" i="1"/>
  <c r="AH31" i="1"/>
  <c r="AI121" i="1"/>
  <c r="AH121" i="1"/>
  <c r="AS121" i="1"/>
  <c r="AT121" i="1"/>
  <c r="S87" i="1"/>
  <c r="V88" i="1" s="1"/>
  <c r="Y88" i="1" s="1"/>
  <c r="AH113" i="1"/>
  <c r="AT113" i="1"/>
  <c r="AS113" i="1"/>
  <c r="AI113" i="1"/>
  <c r="S57" i="1"/>
  <c r="V58" i="1" s="1"/>
  <c r="Y58" i="1" s="1"/>
  <c r="T98" i="1"/>
  <c r="W99" i="1" s="1"/>
  <c r="Z99" i="1" s="1"/>
  <c r="S19" i="1"/>
  <c r="V20" i="1" s="1"/>
  <c r="Y20" i="1" s="1"/>
  <c r="S109" i="1"/>
  <c r="V110" i="1" s="1"/>
  <c r="Y110" i="1" s="1"/>
  <c r="S91" i="1"/>
  <c r="V92" i="1" s="1"/>
  <c r="Y92" i="1" s="1"/>
  <c r="S155" i="1"/>
  <c r="V156" i="1" s="1"/>
  <c r="Y156" i="1" s="1"/>
  <c r="T126" i="1"/>
  <c r="W127" i="1" s="1"/>
  <c r="Z127" i="1" s="1"/>
  <c r="AI36" i="1"/>
  <c r="AH36" i="1"/>
  <c r="AK37" i="1" s="1"/>
  <c r="AT36" i="1"/>
  <c r="AS36" i="1"/>
  <c r="U134" i="1"/>
  <c r="X135" i="1" s="1"/>
  <c r="AA135" i="1" s="1"/>
  <c r="S17" i="1"/>
  <c r="V18" i="1" s="1"/>
  <c r="Y18" i="1" s="1"/>
  <c r="AI42" i="1"/>
  <c r="AT42" i="1"/>
  <c r="AS42" i="1"/>
  <c r="AH42" i="1"/>
  <c r="S20" i="1"/>
  <c r="V21" i="1" s="1"/>
  <c r="Y21" i="1" s="1"/>
  <c r="S46" i="1"/>
  <c r="V47" i="1" s="1"/>
  <c r="Y47" i="1" s="1"/>
  <c r="S95" i="1"/>
  <c r="V96" i="1" s="1"/>
  <c r="Y96" i="1" s="1"/>
  <c r="S79" i="1"/>
  <c r="V80" i="1" s="1"/>
  <c r="Y80" i="1" s="1"/>
  <c r="AT23" i="1"/>
  <c r="AS23" i="1"/>
  <c r="AI23" i="1"/>
  <c r="AH23" i="1"/>
  <c r="S21" i="1"/>
  <c r="V22" i="1" s="1"/>
  <c r="Y22" i="1" s="1"/>
  <c r="U93" i="1"/>
  <c r="X94" i="1" s="1"/>
  <c r="AA94" i="1" s="1"/>
  <c r="S51" i="1"/>
  <c r="V52" i="1" s="1"/>
  <c r="Y52" i="1" s="1"/>
  <c r="S13" i="1"/>
  <c r="V14" i="1" s="1"/>
  <c r="Y14" i="1" s="1"/>
  <c r="S53" i="1"/>
  <c r="V54" i="1" s="1"/>
  <c r="Y54" i="1" s="1"/>
  <c r="S101" i="1"/>
  <c r="V102" i="1" s="1"/>
  <c r="Y102" i="1" s="1"/>
  <c r="S104" i="1"/>
  <c r="V105" i="1" s="1"/>
  <c r="Y105" i="1" s="1"/>
  <c r="AT40" i="1"/>
  <c r="AI40" i="1"/>
  <c r="AH40" i="1"/>
  <c r="AK41" i="1" s="1"/>
  <c r="AS40" i="1"/>
  <c r="S12" i="1"/>
  <c r="V13" i="1" s="1"/>
  <c r="Y13" i="1" s="1"/>
  <c r="T81" i="1"/>
  <c r="W82" i="1" s="1"/>
  <c r="Z82" i="1" s="1"/>
  <c r="T131" i="1"/>
  <c r="W132" i="1" s="1"/>
  <c r="Z132" i="1" s="1"/>
  <c r="T87" i="1"/>
  <c r="W88" i="1" s="1"/>
  <c r="Z88" i="1" s="1"/>
  <c r="U81" i="1"/>
  <c r="X82" i="1" s="1"/>
  <c r="AA82" i="1" s="1"/>
  <c r="S48" i="1"/>
  <c r="V49" i="1" s="1"/>
  <c r="Y49" i="1" s="1"/>
  <c r="S7" i="1"/>
  <c r="V8" i="1" s="1"/>
  <c r="Y8" i="1" s="1"/>
  <c r="S3" i="1"/>
  <c r="V4" i="1" s="1"/>
  <c r="Y4" i="1" s="1"/>
  <c r="S75" i="1"/>
  <c r="V76" i="1" s="1"/>
  <c r="Y76" i="1" s="1"/>
  <c r="S56" i="1"/>
  <c r="V57" i="1" s="1"/>
  <c r="Y57" i="1" s="1"/>
  <c r="S67" i="1"/>
  <c r="V68" i="1" s="1"/>
  <c r="Y68" i="1" s="1"/>
  <c r="S127" i="1"/>
  <c r="V128" i="1" s="1"/>
  <c r="Y128" i="1" s="1"/>
  <c r="S113" i="1"/>
  <c r="V114" i="1" s="1"/>
  <c r="Y114" i="1" s="1"/>
  <c r="S111" i="1"/>
  <c r="V112" i="1" s="1"/>
  <c r="Y112" i="1" s="1"/>
  <c r="S138" i="1"/>
  <c r="V139" i="1" s="1"/>
  <c r="Y139" i="1" s="1"/>
  <c r="U142" i="1"/>
  <c r="X143" i="1" s="1"/>
  <c r="AA143" i="1" s="1"/>
  <c r="U103" i="1"/>
  <c r="X104" i="1" s="1"/>
  <c r="AA104" i="1" s="1"/>
  <c r="T117" i="1"/>
  <c r="W118" i="1" s="1"/>
  <c r="Z118" i="1" s="1"/>
  <c r="U124" i="1"/>
  <c r="X125" i="1" s="1"/>
  <c r="AA125" i="1" s="1"/>
  <c r="AI29" i="1"/>
  <c r="AH29" i="1"/>
  <c r="AS29" i="1"/>
  <c r="AT29" i="1"/>
  <c r="U104" i="1"/>
  <c r="X105" i="1" s="1"/>
  <c r="AA105" i="1" s="1"/>
  <c r="U59" i="1"/>
  <c r="X60" i="1" s="1"/>
  <c r="AA60" i="1" s="1"/>
  <c r="T83" i="1"/>
  <c r="W84" i="1" s="1"/>
  <c r="Z84" i="1" s="1"/>
  <c r="AI153" i="1"/>
  <c r="AH153" i="1"/>
  <c r="AT153" i="1"/>
  <c r="AS153" i="1"/>
  <c r="AI62" i="1"/>
  <c r="AS62" i="1"/>
  <c r="AH62" i="1"/>
  <c r="AT62" i="1"/>
  <c r="S103" i="1"/>
  <c r="V104" i="1" s="1"/>
  <c r="Y104" i="1" s="1"/>
  <c r="T139" i="1"/>
  <c r="W140" i="1" s="1"/>
  <c r="Z140" i="1" s="1"/>
  <c r="U149" i="1"/>
  <c r="X150" i="1" s="1"/>
  <c r="AA150" i="1" s="1"/>
  <c r="U147" i="1"/>
  <c r="X148" i="1" s="1"/>
  <c r="AA148" i="1" s="1"/>
  <c r="T137" i="1"/>
  <c r="W138" i="1" s="1"/>
  <c r="Z138" i="1" s="1"/>
  <c r="U146" i="1"/>
  <c r="X147" i="1" s="1"/>
  <c r="AA147" i="1" s="1"/>
  <c r="AS63" i="1"/>
  <c r="AI63" i="1"/>
  <c r="AT63" i="1"/>
  <c r="AH63" i="1"/>
  <c r="S50" i="1"/>
  <c r="V51" i="1" s="1"/>
  <c r="Y51" i="1" s="1"/>
  <c r="S26" i="1"/>
  <c r="V27" i="1" s="1"/>
  <c r="Y27" i="1" s="1"/>
  <c r="S85" i="1"/>
  <c r="V86" i="1" s="1"/>
  <c r="Y86" i="1" s="1"/>
  <c r="S71" i="1"/>
  <c r="V72" i="1" s="1"/>
  <c r="Y72" i="1" s="1"/>
  <c r="S135" i="1"/>
  <c r="V136" i="1" s="1"/>
  <c r="Y136" i="1" s="1"/>
  <c r="S117" i="1"/>
  <c r="V118" i="1" s="1"/>
  <c r="Y118" i="1" s="1"/>
  <c r="S5" i="1"/>
  <c r="V6" i="1" s="1"/>
  <c r="Y6" i="1" s="1"/>
  <c r="U97" i="1"/>
  <c r="X98" i="1" s="1"/>
  <c r="AA98" i="1" s="1"/>
  <c r="AZ22" i="1"/>
  <c r="U148" i="1"/>
  <c r="X149" i="1" s="1"/>
  <c r="AA149" i="1" s="1"/>
  <c r="T94" i="1"/>
  <c r="W95" i="1" s="1"/>
  <c r="Z95" i="1" s="1"/>
  <c r="U119" i="1"/>
  <c r="X120" i="1" s="1"/>
  <c r="AA120" i="1" s="1"/>
  <c r="U75" i="1"/>
  <c r="X76" i="1" s="1"/>
  <c r="AA76" i="1" s="1"/>
  <c r="T65" i="1"/>
  <c r="W66" i="1" s="1"/>
  <c r="Z66" i="1" s="1"/>
  <c r="T64" i="1"/>
  <c r="W65" i="1" s="1"/>
  <c r="Z65" i="1" s="1"/>
  <c r="U74" i="1"/>
  <c r="X75" i="1" s="1"/>
  <c r="AA75" i="1" s="1"/>
  <c r="U72" i="1"/>
  <c r="X73" i="1" s="1"/>
  <c r="AA73" i="1" s="1"/>
  <c r="S30" i="1"/>
  <c r="V31" i="1" s="1"/>
  <c r="Y31" i="1" s="1"/>
  <c r="S42" i="1"/>
  <c r="V43" i="1" s="1"/>
  <c r="Y43" i="1" s="1"/>
  <c r="S80" i="1"/>
  <c r="V81" i="1" s="1"/>
  <c r="Y81" i="1" s="1"/>
  <c r="S136" i="1"/>
  <c r="V137" i="1" s="1"/>
  <c r="Y137" i="1" s="1"/>
  <c r="S124" i="1"/>
  <c r="V125" i="1" s="1"/>
  <c r="Y125" i="1" s="1"/>
  <c r="U139" i="1"/>
  <c r="X140" i="1" s="1"/>
  <c r="AA140" i="1" s="1"/>
  <c r="U65" i="1"/>
  <c r="X66" i="1" s="1"/>
  <c r="AA66" i="1" s="1"/>
  <c r="S2" i="1"/>
  <c r="V3" i="1" s="1"/>
  <c r="Y3" i="1" s="1"/>
  <c r="U66" i="1"/>
  <c r="X67" i="1" s="1"/>
  <c r="AA67" i="1" s="1"/>
  <c r="S4" i="1"/>
  <c r="V5" i="1" s="1"/>
  <c r="Y5" i="1" s="1"/>
  <c r="U141" i="1"/>
  <c r="X142" i="1" s="1"/>
  <c r="AA142" i="1" s="1"/>
  <c r="T138" i="1"/>
  <c r="W139" i="1" s="1"/>
  <c r="Z139" i="1" s="1"/>
  <c r="T71" i="1"/>
  <c r="W72" i="1" s="1"/>
  <c r="Z72" i="1" s="1"/>
  <c r="T58" i="1"/>
  <c r="W59" i="1" s="1"/>
  <c r="Z59" i="1" s="1"/>
  <c r="U68" i="1"/>
  <c r="X69" i="1" s="1"/>
  <c r="AA69" i="1" s="1"/>
  <c r="U67" i="1"/>
  <c r="X68" i="1" s="1"/>
  <c r="AA68" i="1" s="1"/>
  <c r="U60" i="1"/>
  <c r="X61" i="1" s="1"/>
  <c r="AA61" i="1" s="1"/>
  <c r="T88" i="1"/>
  <c r="W89" i="1" s="1"/>
  <c r="Z89" i="1" s="1"/>
  <c r="AI28" i="1"/>
  <c r="AH28" i="1"/>
  <c r="AT28" i="1"/>
  <c r="AS28" i="1"/>
  <c r="S44" i="1"/>
  <c r="V45" i="1" s="1"/>
  <c r="Y45" i="1" s="1"/>
  <c r="S49" i="1"/>
  <c r="V50" i="1" s="1"/>
  <c r="Y50" i="1" s="1"/>
  <c r="S88" i="1"/>
  <c r="V89" i="1" s="1"/>
  <c r="Y89" i="1" s="1"/>
  <c r="S108" i="1"/>
  <c r="V109" i="1" s="1"/>
  <c r="Y109" i="1" s="1"/>
  <c r="S131" i="1"/>
  <c r="V132" i="1" s="1"/>
  <c r="Y132" i="1" s="1"/>
  <c r="T132" i="1"/>
  <c r="W133" i="1" s="1"/>
  <c r="Z133" i="1" s="1"/>
  <c r="AI32" i="1"/>
  <c r="AH32" i="1"/>
  <c r="AK33" i="1" s="1"/>
  <c r="AS32" i="1"/>
  <c r="AT32" i="1"/>
  <c r="T114" i="1"/>
  <c r="W115" i="1" s="1"/>
  <c r="Z115" i="1" s="1"/>
  <c r="U105" i="1"/>
  <c r="X106" i="1" s="1"/>
  <c r="AA106" i="1" s="1"/>
  <c r="T48" i="1"/>
  <c r="W49" i="1" s="1"/>
  <c r="Z49" i="1" s="1"/>
  <c r="AI43" i="1"/>
  <c r="AH43" i="1"/>
  <c r="AS43" i="1"/>
  <c r="AT43" i="1"/>
  <c r="T134" i="1"/>
  <c r="W135" i="1" s="1"/>
  <c r="Z135" i="1" s="1"/>
  <c r="U135" i="1"/>
  <c r="X136" i="1" s="1"/>
  <c r="AA136" i="1" s="1"/>
  <c r="AI39" i="1"/>
  <c r="AH39" i="1"/>
  <c r="AT39" i="1"/>
  <c r="AS39" i="1"/>
  <c r="U50" i="1"/>
  <c r="X51" i="1" s="1"/>
  <c r="AA51" i="1" s="1"/>
  <c r="S94" i="1"/>
  <c r="V95" i="1" s="1"/>
  <c r="Y95" i="1" s="1"/>
  <c r="T106" i="1"/>
  <c r="W107" i="1" s="1"/>
  <c r="Z107" i="1" s="1"/>
  <c r="U116" i="1"/>
  <c r="X117" i="1" s="1"/>
  <c r="AA117" i="1" s="1"/>
  <c r="U115" i="1"/>
  <c r="X116" i="1" s="1"/>
  <c r="AA116" i="1" s="1"/>
  <c r="T142" i="1"/>
  <c r="W143" i="1" s="1"/>
  <c r="Z143" i="1" s="1"/>
  <c r="T125" i="1"/>
  <c r="W126" i="1" s="1"/>
  <c r="Z126" i="1" s="1"/>
  <c r="T110" i="1"/>
  <c r="W111" i="1" s="1"/>
  <c r="Z111" i="1" s="1"/>
  <c r="T91" i="1"/>
  <c r="W92" i="1" s="1"/>
  <c r="Z92" i="1" s="1"/>
  <c r="S23" i="1"/>
  <c r="V24" i="1" s="1"/>
  <c r="Y24" i="1" s="1"/>
  <c r="T51" i="1"/>
  <c r="W52" i="1" s="1"/>
  <c r="Z52" i="1" s="1"/>
  <c r="T85" i="1"/>
  <c r="W86" i="1" s="1"/>
  <c r="Z86" i="1" s="1"/>
  <c r="S102" i="1"/>
  <c r="V103" i="1" s="1"/>
  <c r="Y103" i="1" s="1"/>
  <c r="S114" i="1"/>
  <c r="V115" i="1" s="1"/>
  <c r="Y115" i="1" s="1"/>
  <c r="S105" i="1"/>
  <c r="V106" i="1" s="1"/>
  <c r="Y106" i="1" s="1"/>
  <c r="S60" i="1"/>
  <c r="V61" i="1" s="1"/>
  <c r="Y61" i="1" s="1"/>
  <c r="S69" i="1"/>
  <c r="V70" i="1" s="1"/>
  <c r="Y70" i="1" s="1"/>
  <c r="S98" i="1"/>
  <c r="V99" i="1" s="1"/>
  <c r="Y99" i="1" s="1"/>
  <c r="S84" i="1"/>
  <c r="V85" i="1" s="1"/>
  <c r="Y85" i="1" s="1"/>
  <c r="S132" i="1"/>
  <c r="V133" i="1" s="1"/>
  <c r="Y133" i="1" s="1"/>
  <c r="S115" i="1"/>
  <c r="V116" i="1" s="1"/>
  <c r="Y116" i="1" s="1"/>
  <c r="S145" i="1"/>
  <c r="V146" i="1" s="1"/>
  <c r="Y146" i="1" s="1"/>
  <c r="S81" i="1"/>
  <c r="V82" i="1" s="1"/>
  <c r="Y82" i="1" s="1"/>
  <c r="T93" i="1"/>
  <c r="W94" i="1" s="1"/>
  <c r="Z94" i="1" s="1"/>
  <c r="U127" i="1"/>
  <c r="X128" i="1" s="1"/>
  <c r="AA128" i="1" s="1"/>
  <c r="S93" i="1"/>
  <c r="V94" i="1" s="1"/>
  <c r="Y94" i="1" s="1"/>
  <c r="T49" i="1"/>
  <c r="W50" i="1" s="1"/>
  <c r="Z50" i="1" s="1"/>
  <c r="U78" i="1"/>
  <c r="X79" i="1" s="1"/>
  <c r="AA79" i="1" s="1"/>
  <c r="U109" i="1"/>
  <c r="X110" i="1" s="1"/>
  <c r="AA110" i="1" s="1"/>
  <c r="T99" i="1"/>
  <c r="W100" i="1" s="1"/>
  <c r="Z100" i="1" s="1"/>
  <c r="U92" i="1"/>
  <c r="X93" i="1" s="1"/>
  <c r="AA93" i="1" s="1"/>
  <c r="AH74" i="1"/>
  <c r="AT74" i="1"/>
  <c r="AS74" i="1"/>
  <c r="AI74" i="1"/>
  <c r="S63" i="1"/>
  <c r="V64" i="1" s="1"/>
  <c r="Y64" i="1" s="1"/>
  <c r="S97" i="1"/>
  <c r="V98" i="1" s="1"/>
  <c r="Y98" i="1" s="1"/>
  <c r="S96" i="1"/>
  <c r="V97" i="1" s="1"/>
  <c r="Y97" i="1" s="1"/>
  <c r="U107" i="1"/>
  <c r="X108" i="1" s="1"/>
  <c r="AA108" i="1" s="1"/>
  <c r="T97" i="1"/>
  <c r="W98" i="1" s="1"/>
  <c r="Z98" i="1" s="1"/>
  <c r="T96" i="1"/>
  <c r="W97" i="1" s="1"/>
  <c r="Z97" i="1" s="1"/>
  <c r="AI46" i="1"/>
  <c r="AH46" i="1"/>
  <c r="AS46" i="1"/>
  <c r="AT46" i="1"/>
  <c r="U154" i="1"/>
  <c r="X155" i="1" s="1"/>
  <c r="AA155" i="1" s="1"/>
  <c r="U126" i="1"/>
  <c r="X127" i="1" s="1"/>
  <c r="AA127" i="1" s="1"/>
  <c r="T115" i="1"/>
  <c r="W116" i="1" s="1"/>
  <c r="Z116" i="1" s="1"/>
  <c r="T116" i="1"/>
  <c r="W117" i="1" s="1"/>
  <c r="Z117" i="1" s="1"/>
  <c r="U106" i="1"/>
  <c r="X107" i="1" s="1"/>
  <c r="AA107" i="1" s="1"/>
  <c r="T90" i="1"/>
  <c r="W91" i="1" s="1"/>
  <c r="Z91" i="1" s="1"/>
  <c r="U100" i="1"/>
  <c r="X101" i="1" s="1"/>
  <c r="AA101" i="1" s="1"/>
  <c r="U130" i="1"/>
  <c r="X131" i="1" s="1"/>
  <c r="AA131" i="1" s="1"/>
  <c r="U151" i="1"/>
  <c r="X152" i="1" s="1"/>
  <c r="AA152" i="1" s="1"/>
  <c r="S41" i="1"/>
  <c r="V42" i="1" s="1"/>
  <c r="Y42" i="1" s="1"/>
  <c r="T72" i="1"/>
  <c r="W73" i="1" s="1"/>
  <c r="Z73" i="1" s="1"/>
  <c r="S47" i="1"/>
  <c r="V48" i="1" s="1"/>
  <c r="Y48" i="1" s="1"/>
  <c r="S45" i="1"/>
  <c r="V46" i="1" s="1"/>
  <c r="Y46" i="1" s="1"/>
  <c r="S70" i="1"/>
  <c r="V71" i="1" s="1"/>
  <c r="Y71" i="1" s="1"/>
  <c r="S154" i="1"/>
  <c r="V155" i="1" s="1"/>
  <c r="Y155" i="1" s="1"/>
  <c r="S106" i="1"/>
  <c r="V107" i="1" s="1"/>
  <c r="Y107" i="1" s="1"/>
  <c r="S100" i="1"/>
  <c r="V101" i="1" s="1"/>
  <c r="Y101" i="1" s="1"/>
  <c r="S125" i="1"/>
  <c r="V126" i="1" s="1"/>
  <c r="Y126" i="1" s="1"/>
  <c r="S153" i="1"/>
  <c r="V154" i="1" s="1"/>
  <c r="Y154" i="1" s="1"/>
  <c r="S156" i="1"/>
  <c r="AT27" i="1"/>
  <c r="AI27" i="1"/>
  <c r="AH27" i="1"/>
  <c r="AS27" i="1"/>
  <c r="S29" i="1"/>
  <c r="V30" i="1" s="1"/>
  <c r="Y30" i="1" s="1"/>
  <c r="U99" i="1"/>
  <c r="X100" i="1" s="1"/>
  <c r="AA100" i="1" s="1"/>
  <c r="U90" i="1"/>
  <c r="X91" i="1" s="1"/>
  <c r="AA91" i="1" s="1"/>
  <c r="U131" i="1"/>
  <c r="X132" i="1" s="1"/>
  <c r="AA132" i="1" s="1"/>
  <c r="AT33" i="1"/>
  <c r="AS33" i="1"/>
  <c r="AI33" i="1"/>
  <c r="AH33" i="1"/>
  <c r="AT44" i="1"/>
  <c r="AS44" i="1"/>
  <c r="AV45" i="1" s="1"/>
  <c r="AI44" i="1"/>
  <c r="AH44" i="1"/>
  <c r="AS111" i="1"/>
  <c r="AI111" i="1"/>
  <c r="AH111" i="1"/>
  <c r="AT111" i="1"/>
  <c r="U95" i="1"/>
  <c r="X96" i="1" s="1"/>
  <c r="AA96" i="1" s="1"/>
  <c r="S73" i="1"/>
  <c r="V74" i="1" s="1"/>
  <c r="Y74" i="1" s="1"/>
  <c r="AS38" i="1"/>
  <c r="AI38" i="1"/>
  <c r="AH38" i="1"/>
  <c r="AT38" i="1"/>
  <c r="U114" i="1"/>
  <c r="X115" i="1" s="1"/>
  <c r="AA115" i="1" s="1"/>
  <c r="T104" i="1"/>
  <c r="W105" i="1" s="1"/>
  <c r="Z105" i="1" s="1"/>
  <c r="T102" i="1"/>
  <c r="W103" i="1" s="1"/>
  <c r="Z103" i="1" s="1"/>
  <c r="U82" i="1"/>
  <c r="X83" i="1" s="1"/>
  <c r="AA83" i="1" s="1"/>
  <c r="S25" i="1"/>
  <c r="V26" i="1" s="1"/>
  <c r="Y26" i="1" s="1"/>
  <c r="S107" i="1"/>
  <c r="V108" i="1" s="1"/>
  <c r="Y108" i="1" s="1"/>
  <c r="U153" i="1"/>
  <c r="X154" i="1" s="1"/>
  <c r="AA154" i="1" s="1"/>
  <c r="T130" i="1"/>
  <c r="W131" i="1" s="1"/>
  <c r="Z131" i="1" s="1"/>
  <c r="T86" i="1"/>
  <c r="W87" i="1" s="1"/>
  <c r="Z87" i="1" s="1"/>
  <c r="U96" i="1"/>
  <c r="X97" i="1" s="1"/>
  <c r="AA97" i="1" s="1"/>
  <c r="U132" i="1"/>
  <c r="X133" i="1" s="1"/>
  <c r="AA133" i="1" s="1"/>
  <c r="AS52" i="1"/>
  <c r="AH52" i="1"/>
  <c r="AI52" i="1"/>
  <c r="AT52" i="1"/>
  <c r="AW23" i="1"/>
  <c r="AU24" i="1"/>
  <c r="AX23" i="1"/>
  <c r="T156" i="1"/>
  <c r="T155" i="1"/>
  <c r="W156" i="1" s="1"/>
  <c r="Z156" i="1" s="1"/>
  <c r="T128" i="1"/>
  <c r="W129" i="1" s="1"/>
  <c r="Z129" i="1" s="1"/>
  <c r="U140" i="1"/>
  <c r="X141" i="1" s="1"/>
  <c r="AA141" i="1" s="1"/>
  <c r="T136" i="1"/>
  <c r="W137" i="1" s="1"/>
  <c r="Z137" i="1" s="1"/>
  <c r="T129" i="1"/>
  <c r="W130" i="1" s="1"/>
  <c r="Z130" i="1" s="1"/>
  <c r="T82" i="1"/>
  <c r="W83" i="1" s="1"/>
  <c r="Z83" i="1" s="1"/>
  <c r="S86" i="1"/>
  <c r="V87" i="1" s="1"/>
  <c r="Y87" i="1" s="1"/>
  <c r="U91" i="1"/>
  <c r="X92" i="1" s="1"/>
  <c r="AA92" i="1" s="1"/>
  <c r="S27" i="1"/>
  <c r="V28" i="1" s="1"/>
  <c r="Y28" i="1" s="1"/>
  <c r="S36" i="1"/>
  <c r="V37" i="1" s="1"/>
  <c r="Y37" i="1" s="1"/>
  <c r="T45" i="1"/>
  <c r="W46" i="1" s="1"/>
  <c r="Z46" i="1" s="1"/>
  <c r="AI25" i="1"/>
  <c r="AH25" i="1"/>
  <c r="AK26" i="1" s="1"/>
  <c r="AS25" i="1"/>
  <c r="AT25" i="1"/>
  <c r="S59" i="1"/>
  <c r="V60" i="1" s="1"/>
  <c r="Y60" i="1" s="1"/>
  <c r="S35" i="1"/>
  <c r="V36" i="1" s="1"/>
  <c r="Y36" i="1" s="1"/>
  <c r="S32" i="1"/>
  <c r="V33" i="1" s="1"/>
  <c r="Y33" i="1" s="1"/>
  <c r="S122" i="1"/>
  <c r="V123" i="1" s="1"/>
  <c r="Y123" i="1" s="1"/>
  <c r="S120" i="1"/>
  <c r="V121" i="1" s="1"/>
  <c r="Y121" i="1" s="1"/>
  <c r="S128" i="1"/>
  <c r="V129" i="1" s="1"/>
  <c r="Y129" i="1" s="1"/>
  <c r="S116" i="1"/>
  <c r="V117" i="1" s="1"/>
  <c r="Y117" i="1" s="1"/>
  <c r="U133" i="1"/>
  <c r="X134" i="1" s="1"/>
  <c r="AA134" i="1" s="1"/>
  <c r="T143" i="1"/>
  <c r="W144" i="1" s="1"/>
  <c r="Z144" i="1" s="1"/>
  <c r="U47" i="1"/>
  <c r="X48" i="1" s="1"/>
  <c r="AA48" i="1" s="1"/>
  <c r="S74" i="1"/>
  <c r="V75" i="1" s="1"/>
  <c r="Y75" i="1" s="1"/>
  <c r="U57" i="1"/>
  <c r="X58" i="1" s="1"/>
  <c r="AA58" i="1" s="1"/>
  <c r="T47" i="1"/>
  <c r="W48" i="1" s="1"/>
  <c r="Z48" i="1" s="1"/>
  <c r="S43" i="1"/>
  <c r="V44" i="1" s="1"/>
  <c r="Y44" i="1" s="1"/>
  <c r="T92" i="1"/>
  <c r="W93" i="1" s="1"/>
  <c r="Z93" i="1" s="1"/>
  <c r="T54" i="1"/>
  <c r="W55" i="1" s="1"/>
  <c r="Z55" i="1" s="1"/>
  <c r="T41" i="1"/>
  <c r="W42" i="1" s="1"/>
  <c r="Z42" i="1" s="1"/>
  <c r="T154" i="1"/>
  <c r="W155" i="1" s="1"/>
  <c r="Z155" i="1" s="1"/>
  <c r="U118" i="1"/>
  <c r="X119" i="1" s="1"/>
  <c r="AA119" i="1" s="1"/>
  <c r="T69" i="1"/>
  <c r="W70" i="1" s="1"/>
  <c r="Z70" i="1" s="1"/>
  <c r="U79" i="1"/>
  <c r="X80" i="1" s="1"/>
  <c r="AA80" i="1" s="1"/>
  <c r="U69" i="1"/>
  <c r="X70" i="1" s="1"/>
  <c r="AA70" i="1" s="1"/>
  <c r="U76" i="1"/>
  <c r="X77" i="1" s="1"/>
  <c r="AA77" i="1" s="1"/>
  <c r="S83" i="1"/>
  <c r="V84" i="1" s="1"/>
  <c r="Y84" i="1" s="1"/>
  <c r="S89" i="1"/>
  <c r="V90" i="1" s="1"/>
  <c r="Y90" i="1" s="1"/>
  <c r="S61" i="1"/>
  <c r="V62" i="1" s="1"/>
  <c r="Y62" i="1" s="1"/>
  <c r="S39" i="1"/>
  <c r="V40" i="1" s="1"/>
  <c r="Y40" i="1" s="1"/>
  <c r="S129" i="1"/>
  <c r="V130" i="1" s="1"/>
  <c r="Y130" i="1" s="1"/>
  <c r="S134" i="1"/>
  <c r="V135" i="1" s="1"/>
  <c r="Y135" i="1" s="1"/>
  <c r="S143" i="1"/>
  <c r="V144" i="1" s="1"/>
  <c r="Y144" i="1" s="1"/>
  <c r="S123" i="1"/>
  <c r="V124" i="1" s="1"/>
  <c r="Y124" i="1" s="1"/>
  <c r="U86" i="1"/>
  <c r="X87" i="1" s="1"/>
  <c r="AA87" i="1" s="1"/>
  <c r="T101" i="1"/>
  <c r="W102" i="1" s="1"/>
  <c r="Z102" i="1" s="1"/>
  <c r="U48" i="1"/>
  <c r="X49" i="1" s="1"/>
  <c r="AA49" i="1" s="1"/>
  <c r="S40" i="1"/>
  <c r="V41" i="1" s="1"/>
  <c r="Y41" i="1" s="1"/>
  <c r="U56" i="1"/>
  <c r="X57" i="1" s="1"/>
  <c r="AA57" i="1" s="1"/>
  <c r="U102" i="1"/>
  <c r="X103" i="1" s="1"/>
  <c r="AA103" i="1" s="1"/>
  <c r="U64" i="1"/>
  <c r="X65" i="1" s="1"/>
  <c r="AA65" i="1" s="1"/>
  <c r="U52" i="1"/>
  <c r="X53" i="1" s="1"/>
  <c r="AA53" i="1" s="1"/>
  <c r="AJ23" i="1"/>
  <c r="U138" i="1"/>
  <c r="X139" i="1" s="1"/>
  <c r="AA139" i="1" s="1"/>
  <c r="T100" i="1"/>
  <c r="W101" i="1" s="1"/>
  <c r="Z101" i="1" s="1"/>
  <c r="U123" i="1"/>
  <c r="X124" i="1" s="1"/>
  <c r="AA124" i="1" s="1"/>
  <c r="S58" i="1"/>
  <c r="V59" i="1" s="1"/>
  <c r="Y59" i="1" s="1"/>
  <c r="U49" i="1"/>
  <c r="X50" i="1" s="1"/>
  <c r="AA50" i="1" s="1"/>
  <c r="T39" i="1"/>
  <c r="W40" i="1" s="1"/>
  <c r="Z40" i="1" s="1"/>
  <c r="U155" i="1"/>
  <c r="X156" i="1" s="1"/>
  <c r="AA156" i="1" s="1"/>
  <c r="U125" i="1"/>
  <c r="X126" i="1" s="1"/>
  <c r="AA126" i="1" s="1"/>
  <c r="T118" i="1"/>
  <c r="W119" i="1" s="1"/>
  <c r="Z119" i="1" s="1"/>
  <c r="T113" i="1"/>
  <c r="W114" i="1" s="1"/>
  <c r="Z114" i="1" s="1"/>
  <c r="S55" i="1"/>
  <c r="V56" i="1" s="1"/>
  <c r="Y56" i="1" s="1"/>
  <c r="T73" i="1"/>
  <c r="W74" i="1" s="1"/>
  <c r="Z74" i="1" s="1"/>
  <c r="BB22" i="1"/>
  <c r="AO22" i="1"/>
  <c r="S54" i="1"/>
  <c r="V55" i="1" s="1"/>
  <c r="Y55" i="1" s="1"/>
  <c r="S15" i="1"/>
  <c r="V16" i="1" s="1"/>
  <c r="Y16" i="1" s="1"/>
  <c r="S92" i="1"/>
  <c r="V93" i="1" s="1"/>
  <c r="Y93" i="1" s="1"/>
  <c r="S140" i="1"/>
  <c r="V141" i="1" s="1"/>
  <c r="Y141" i="1" s="1"/>
  <c r="S90" i="1"/>
  <c r="V91" i="1" s="1"/>
  <c r="Y91" i="1" s="1"/>
  <c r="S62" i="1"/>
  <c r="V63" i="1" s="1"/>
  <c r="Y63" i="1" s="1"/>
  <c r="S68" i="1"/>
  <c r="V69" i="1" s="1"/>
  <c r="Y69" i="1" s="1"/>
  <c r="S147" i="1"/>
  <c r="V148" i="1" s="1"/>
  <c r="Y148" i="1" s="1"/>
  <c r="S139" i="1"/>
  <c r="V140" i="1" s="1"/>
  <c r="Y140" i="1" s="1"/>
  <c r="S99" i="1"/>
  <c r="V100" i="1" s="1"/>
  <c r="Y100" i="1" s="1"/>
  <c r="S130" i="1"/>
  <c r="V131" i="1" s="1"/>
  <c r="Y131" i="1" s="1"/>
  <c r="T76" i="1"/>
  <c r="W77" i="1" s="1"/>
  <c r="Z77" i="1" s="1"/>
  <c r="U111" i="1"/>
  <c r="X112" i="1" s="1"/>
  <c r="AA112" i="1" s="1"/>
  <c r="T38" i="1"/>
  <c r="W39" i="1" s="1"/>
  <c r="Z39" i="1" s="1"/>
  <c r="S24" i="1"/>
  <c r="V25" i="1" s="1"/>
  <c r="Y25" i="1" s="1"/>
  <c r="AT26" i="1"/>
  <c r="AS26" i="1"/>
  <c r="AH26" i="1"/>
  <c r="AI26" i="1"/>
  <c r="T46" i="1"/>
  <c r="W47" i="1" s="1"/>
  <c r="Z47" i="1" s="1"/>
  <c r="T43" i="1"/>
  <c r="W44" i="1" s="1"/>
  <c r="Z44" i="1" s="1"/>
  <c r="U77" i="1"/>
  <c r="X78" i="1" s="1"/>
  <c r="AA78" i="1" s="1"/>
  <c r="T42" i="1"/>
  <c r="W43" i="1" s="1"/>
  <c r="Z43" i="1" s="1"/>
  <c r="AK34" i="1" l="1"/>
  <c r="AK154" i="1"/>
  <c r="AL154" i="1" s="1"/>
  <c r="AV96" i="1"/>
  <c r="AX96" i="1" s="1"/>
  <c r="AK123" i="1"/>
  <c r="AJ123" i="1" s="1"/>
  <c r="AK43" i="1"/>
  <c r="AV100" i="1"/>
  <c r="AW100" i="1" s="1"/>
  <c r="AV25" i="1"/>
  <c r="AW25" i="1" s="1"/>
  <c r="AV47" i="1"/>
  <c r="AU48" i="1" s="1"/>
  <c r="AV60" i="1"/>
  <c r="AU61" i="1" s="1"/>
  <c r="AL23" i="1"/>
  <c r="AN23" i="1" s="1"/>
  <c r="AO23" i="1" s="1"/>
  <c r="AK24" i="1"/>
  <c r="AM24" i="1" s="1"/>
  <c r="AV28" i="1"/>
  <c r="AX28" i="1" s="1"/>
  <c r="AY23" i="1"/>
  <c r="AZ23" i="1" s="1"/>
  <c r="AV41" i="1"/>
  <c r="AU42" i="1" s="1"/>
  <c r="AV43" i="1" s="1"/>
  <c r="AV39" i="1"/>
  <c r="AX39" i="1" s="1"/>
  <c r="AV27" i="1"/>
  <c r="AW27" i="1" s="1"/>
  <c r="AV32" i="1"/>
  <c r="AX32" i="1" s="1"/>
  <c r="AJ43" i="1"/>
  <c r="AK44" i="1" s="1"/>
  <c r="AM43" i="1"/>
  <c r="AL43" i="1"/>
  <c r="AT69" i="1"/>
  <c r="AI69" i="1"/>
  <c r="AH69" i="1"/>
  <c r="AK70" i="1" s="1"/>
  <c r="AS69" i="1"/>
  <c r="AT81" i="1"/>
  <c r="AS81" i="1"/>
  <c r="AH81" i="1"/>
  <c r="AI81" i="1"/>
  <c r="AT55" i="1"/>
  <c r="AS55" i="1"/>
  <c r="AI55" i="1"/>
  <c r="AH55" i="1"/>
  <c r="AS150" i="1"/>
  <c r="AT150" i="1"/>
  <c r="AH150" i="1"/>
  <c r="AI150" i="1"/>
  <c r="AT102" i="1"/>
  <c r="AI102" i="1"/>
  <c r="AH102" i="1"/>
  <c r="AS102" i="1"/>
  <c r="AU90" i="1"/>
  <c r="AX89" i="1"/>
  <c r="AW89" i="1"/>
  <c r="BC22" i="1"/>
  <c r="AH152" i="1"/>
  <c r="AK153" i="1" s="1"/>
  <c r="AS152" i="1"/>
  <c r="AT152" i="1"/>
  <c r="AI152" i="1"/>
  <c r="AV30" i="1"/>
  <c r="AT58" i="1"/>
  <c r="AS58" i="1"/>
  <c r="AV59" i="1" s="1"/>
  <c r="AH58" i="1"/>
  <c r="AI58" i="1"/>
  <c r="AM26" i="1"/>
  <c r="AL26" i="1"/>
  <c r="AJ26" i="1"/>
  <c r="AK27" i="1" s="1"/>
  <c r="AI83" i="1"/>
  <c r="AH83" i="1"/>
  <c r="AT83" i="1"/>
  <c r="AS83" i="1"/>
  <c r="AT131" i="1"/>
  <c r="AS131" i="1"/>
  <c r="AI131" i="1"/>
  <c r="AH131" i="1"/>
  <c r="AK132" i="1" s="1"/>
  <c r="AI108" i="1"/>
  <c r="AT108" i="1"/>
  <c r="AS108" i="1"/>
  <c r="AH108" i="1"/>
  <c r="AI128" i="1"/>
  <c r="AH128" i="1"/>
  <c r="AT128" i="1"/>
  <c r="AS128" i="1"/>
  <c r="AH73" i="1"/>
  <c r="AT73" i="1"/>
  <c r="AS73" i="1"/>
  <c r="AI73" i="1"/>
  <c r="AS123" i="1"/>
  <c r="AT123" i="1"/>
  <c r="AI123" i="1"/>
  <c r="AH123" i="1"/>
  <c r="AH47" i="1"/>
  <c r="AK48" i="1" s="1"/>
  <c r="AT47" i="1"/>
  <c r="AS47" i="1"/>
  <c r="AI47" i="1"/>
  <c r="AS82" i="1"/>
  <c r="AI82" i="1"/>
  <c r="AT82" i="1"/>
  <c r="AH82" i="1"/>
  <c r="AT103" i="1"/>
  <c r="AI103" i="1"/>
  <c r="AH103" i="1"/>
  <c r="AK104" i="1" s="1"/>
  <c r="AS103" i="1"/>
  <c r="AI142" i="1"/>
  <c r="AH142" i="1"/>
  <c r="AT142" i="1"/>
  <c r="AS142" i="1"/>
  <c r="AV63" i="1"/>
  <c r="AI135" i="1"/>
  <c r="AH135" i="1"/>
  <c r="AK136" i="1" s="1"/>
  <c r="AT135" i="1"/>
  <c r="AS135" i="1"/>
  <c r="AU32" i="1"/>
  <c r="AV33" i="1" s="1"/>
  <c r="AX31" i="1"/>
  <c r="AW31" i="1"/>
  <c r="AM42" i="1"/>
  <c r="AL42" i="1"/>
  <c r="AJ42" i="1"/>
  <c r="AU58" i="1"/>
  <c r="AX57" i="1"/>
  <c r="AW57" i="1"/>
  <c r="AT72" i="1"/>
  <c r="AH72" i="1"/>
  <c r="AS72" i="1"/>
  <c r="AI72" i="1"/>
  <c r="AJ110" i="1"/>
  <c r="AM110" i="1"/>
  <c r="AL110" i="1"/>
  <c r="AM35" i="1"/>
  <c r="AL35" i="1"/>
  <c r="AJ35" i="1"/>
  <c r="AH77" i="1"/>
  <c r="AI77" i="1"/>
  <c r="AS77" i="1"/>
  <c r="AT77" i="1"/>
  <c r="AT126" i="1"/>
  <c r="AS126" i="1"/>
  <c r="AV127" i="1" s="1"/>
  <c r="AI126" i="1"/>
  <c r="AH126" i="1"/>
  <c r="AI57" i="1"/>
  <c r="AH57" i="1"/>
  <c r="AK58" i="1" s="1"/>
  <c r="AS57" i="1"/>
  <c r="AT57" i="1"/>
  <c r="AS70" i="1"/>
  <c r="AT70" i="1"/>
  <c r="AH70" i="1"/>
  <c r="AI70" i="1"/>
  <c r="AI134" i="1"/>
  <c r="AS134" i="1"/>
  <c r="AH134" i="1"/>
  <c r="AT134" i="1"/>
  <c r="AM34" i="1"/>
  <c r="AL34" i="1"/>
  <c r="AJ34" i="1"/>
  <c r="AV44" i="1"/>
  <c r="AI76" i="1"/>
  <c r="AT76" i="1"/>
  <c r="AS76" i="1"/>
  <c r="AH76" i="1"/>
  <c r="AS104" i="1"/>
  <c r="AH104" i="1"/>
  <c r="AT104" i="1"/>
  <c r="AI104" i="1"/>
  <c r="AK114" i="1"/>
  <c r="AI68" i="1"/>
  <c r="AH68" i="1"/>
  <c r="AT68" i="1"/>
  <c r="AS68" i="1"/>
  <c r="AH101" i="1"/>
  <c r="AT101" i="1"/>
  <c r="AS101" i="1"/>
  <c r="AI101" i="1"/>
  <c r="AT136" i="1"/>
  <c r="AH136" i="1"/>
  <c r="AS136" i="1"/>
  <c r="AI136" i="1"/>
  <c r="AS85" i="1"/>
  <c r="AI85" i="1"/>
  <c r="AT85" i="1"/>
  <c r="AH85" i="1"/>
  <c r="AS65" i="1"/>
  <c r="AI65" i="1"/>
  <c r="AT65" i="1"/>
  <c r="AH65" i="1"/>
  <c r="AX45" i="1"/>
  <c r="AU46" i="1"/>
  <c r="AW45" i="1"/>
  <c r="AH125" i="1"/>
  <c r="AT125" i="1"/>
  <c r="AS125" i="1"/>
  <c r="AI125" i="1"/>
  <c r="AI156" i="1"/>
  <c r="AS156" i="1"/>
  <c r="AT156" i="1"/>
  <c r="AH156" i="1"/>
  <c r="AS80" i="1"/>
  <c r="AT80" i="1"/>
  <c r="AI80" i="1"/>
  <c r="AH80" i="1"/>
  <c r="AS92" i="1"/>
  <c r="AH92" i="1"/>
  <c r="AT92" i="1"/>
  <c r="AI92" i="1"/>
  <c r="AV75" i="1"/>
  <c r="AI67" i="1"/>
  <c r="AH67" i="1"/>
  <c r="AS67" i="1"/>
  <c r="AT67" i="1"/>
  <c r="AI120" i="1"/>
  <c r="AT120" i="1"/>
  <c r="AS120" i="1"/>
  <c r="AH120" i="1"/>
  <c r="AS143" i="1"/>
  <c r="AV144" i="1" s="1"/>
  <c r="AI143" i="1"/>
  <c r="AT143" i="1"/>
  <c r="AH143" i="1"/>
  <c r="AS144" i="1"/>
  <c r="AH144" i="1"/>
  <c r="AT144" i="1"/>
  <c r="AI144" i="1"/>
  <c r="AK119" i="1"/>
  <c r="AS130" i="1"/>
  <c r="AI130" i="1"/>
  <c r="AH130" i="1"/>
  <c r="AT130" i="1"/>
  <c r="AS86" i="1"/>
  <c r="AI86" i="1"/>
  <c r="AH86" i="1"/>
  <c r="AT86" i="1"/>
  <c r="AI53" i="1"/>
  <c r="AH53" i="1"/>
  <c r="AT53" i="1"/>
  <c r="AS53" i="1"/>
  <c r="AV54" i="1" s="1"/>
  <c r="AI78" i="1"/>
  <c r="AS78" i="1"/>
  <c r="AT78" i="1"/>
  <c r="AH78" i="1"/>
  <c r="AH94" i="1"/>
  <c r="AS94" i="1"/>
  <c r="AT94" i="1"/>
  <c r="AI94" i="1"/>
  <c r="AM38" i="1"/>
  <c r="AL38" i="1"/>
  <c r="AN38" i="1" s="1"/>
  <c r="AJ38" i="1"/>
  <c r="AK39" i="1" s="1"/>
  <c r="AI115" i="1"/>
  <c r="AH115" i="1"/>
  <c r="AT115" i="1"/>
  <c r="AS115" i="1"/>
  <c r="AT107" i="1"/>
  <c r="AS107" i="1"/>
  <c r="AI107" i="1"/>
  <c r="AH107" i="1"/>
  <c r="AI49" i="1"/>
  <c r="AH49" i="1"/>
  <c r="AK50" i="1" s="1"/>
  <c r="AT49" i="1"/>
  <c r="AS49" i="1"/>
  <c r="AV53" i="1"/>
  <c r="AI127" i="1"/>
  <c r="AS127" i="1"/>
  <c r="AT127" i="1"/>
  <c r="AH127" i="1"/>
  <c r="AT116" i="1"/>
  <c r="AS116" i="1"/>
  <c r="AH116" i="1"/>
  <c r="AK117" i="1" s="1"/>
  <c r="AI116" i="1"/>
  <c r="AV29" i="1"/>
  <c r="AV24" i="1"/>
  <c r="AM37" i="1"/>
  <c r="AL37" i="1"/>
  <c r="AJ37" i="1"/>
  <c r="AS137" i="1"/>
  <c r="AT137" i="1"/>
  <c r="AI137" i="1"/>
  <c r="AH137" i="1"/>
  <c r="AT145" i="1"/>
  <c r="AI145" i="1"/>
  <c r="AH145" i="1"/>
  <c r="AS145" i="1"/>
  <c r="AL96" i="1"/>
  <c r="AJ96" i="1"/>
  <c r="AM96" i="1"/>
  <c r="AL46" i="1"/>
  <c r="AJ46" i="1"/>
  <c r="AK47" i="1" s="1"/>
  <c r="AM46" i="1"/>
  <c r="AT48" i="1"/>
  <c r="AS48" i="1"/>
  <c r="AV49" i="1" s="1"/>
  <c r="AI48" i="1"/>
  <c r="AH48" i="1"/>
  <c r="AI50" i="1"/>
  <c r="AH50" i="1"/>
  <c r="AS50" i="1"/>
  <c r="AT50" i="1"/>
  <c r="AT119" i="1"/>
  <c r="AS119" i="1"/>
  <c r="AH119" i="1"/>
  <c r="AI119" i="1"/>
  <c r="AT133" i="1"/>
  <c r="AS133" i="1"/>
  <c r="AI133" i="1"/>
  <c r="AH133" i="1"/>
  <c r="AU40" i="1"/>
  <c r="AT155" i="1"/>
  <c r="AH155" i="1"/>
  <c r="AS155" i="1"/>
  <c r="AI155" i="1"/>
  <c r="AI117" i="1"/>
  <c r="AS117" i="1"/>
  <c r="AT117" i="1"/>
  <c r="AH117" i="1"/>
  <c r="AH66" i="1"/>
  <c r="AI66" i="1"/>
  <c r="AT66" i="1"/>
  <c r="AS66" i="1"/>
  <c r="AI149" i="1"/>
  <c r="AT149" i="1"/>
  <c r="AS149" i="1"/>
  <c r="AH149" i="1"/>
  <c r="AX41" i="1"/>
  <c r="AT151" i="1"/>
  <c r="AS151" i="1"/>
  <c r="AV152" i="1" s="1"/>
  <c r="AI151" i="1"/>
  <c r="AH151" i="1"/>
  <c r="AH84" i="1"/>
  <c r="AI84" i="1"/>
  <c r="AT84" i="1"/>
  <c r="AS84" i="1"/>
  <c r="AH87" i="1"/>
  <c r="AT87" i="1"/>
  <c r="AS87" i="1"/>
  <c r="AI87" i="1"/>
  <c r="AI97" i="1"/>
  <c r="AS97" i="1"/>
  <c r="AH97" i="1"/>
  <c r="AT97" i="1"/>
  <c r="AH132" i="1"/>
  <c r="AT132" i="1"/>
  <c r="AI132" i="1"/>
  <c r="AS132" i="1"/>
  <c r="AS93" i="1"/>
  <c r="AT93" i="1"/>
  <c r="AI93" i="1"/>
  <c r="AH93" i="1"/>
  <c r="AH106" i="1"/>
  <c r="AT106" i="1"/>
  <c r="AS106" i="1"/>
  <c r="AI106" i="1"/>
  <c r="AT140" i="1"/>
  <c r="AS140" i="1"/>
  <c r="AI140" i="1"/>
  <c r="AH140" i="1"/>
  <c r="AV64" i="1"/>
  <c r="AM41" i="1"/>
  <c r="AL41" i="1"/>
  <c r="AJ41" i="1"/>
  <c r="AK122" i="1"/>
  <c r="AT114" i="1"/>
  <c r="AI114" i="1"/>
  <c r="AS114" i="1"/>
  <c r="AH114" i="1"/>
  <c r="AH54" i="1"/>
  <c r="AT54" i="1"/>
  <c r="AS54" i="1"/>
  <c r="AI54" i="1"/>
  <c r="AH146" i="1"/>
  <c r="AT146" i="1"/>
  <c r="AS146" i="1"/>
  <c r="AI146" i="1"/>
  <c r="AL33" i="1"/>
  <c r="AJ33" i="1"/>
  <c r="AM33" i="1"/>
  <c r="AS75" i="1"/>
  <c r="AI75" i="1"/>
  <c r="AH75" i="1"/>
  <c r="AT75" i="1"/>
  <c r="AI90" i="1"/>
  <c r="AH90" i="1"/>
  <c r="AK91" i="1" s="1"/>
  <c r="AT90" i="1"/>
  <c r="AS90" i="1"/>
  <c r="AT124" i="1"/>
  <c r="AI124" i="1"/>
  <c r="AH124" i="1"/>
  <c r="AK125" i="1" s="1"/>
  <c r="AS124" i="1"/>
  <c r="AT147" i="1"/>
  <c r="AI147" i="1"/>
  <c r="AS147" i="1"/>
  <c r="AH147" i="1"/>
  <c r="AK148" i="1" s="1"/>
  <c r="AL36" i="1"/>
  <c r="AJ36" i="1"/>
  <c r="AM36" i="1"/>
  <c r="AU140" i="1"/>
  <c r="AX139" i="1"/>
  <c r="AW139" i="1"/>
  <c r="AY139" i="1" s="1"/>
  <c r="AI96" i="1"/>
  <c r="AT96" i="1"/>
  <c r="AS96" i="1"/>
  <c r="AH96" i="1"/>
  <c r="AK97" i="1" s="1"/>
  <c r="AH91" i="1"/>
  <c r="AT91" i="1"/>
  <c r="AI91" i="1"/>
  <c r="AS91" i="1"/>
  <c r="AI141" i="1"/>
  <c r="AS141" i="1"/>
  <c r="AT141" i="1"/>
  <c r="AH141" i="1"/>
  <c r="AH100" i="1"/>
  <c r="AS100" i="1"/>
  <c r="AI100" i="1"/>
  <c r="AT100" i="1"/>
  <c r="AT110" i="1"/>
  <c r="AI110" i="1"/>
  <c r="AH110" i="1"/>
  <c r="AK111" i="1" s="1"/>
  <c r="AS110" i="1"/>
  <c r="AT51" i="1"/>
  <c r="AS51" i="1"/>
  <c r="AH51" i="1"/>
  <c r="AI51" i="1"/>
  <c r="AT60" i="1"/>
  <c r="AH60" i="1"/>
  <c r="AK61" i="1" s="1"/>
  <c r="AS60" i="1"/>
  <c r="AI60" i="1"/>
  <c r="AT129" i="1"/>
  <c r="AS129" i="1"/>
  <c r="AI129" i="1"/>
  <c r="AH129" i="1"/>
  <c r="AK130" i="1" s="1"/>
  <c r="AI112" i="1"/>
  <c r="AS112" i="1"/>
  <c r="AT112" i="1"/>
  <c r="AH112" i="1"/>
  <c r="AK113" i="1" s="1"/>
  <c r="AH139" i="1"/>
  <c r="AT139" i="1"/>
  <c r="AI139" i="1"/>
  <c r="AS139" i="1"/>
  <c r="AT154" i="1"/>
  <c r="AI154" i="1"/>
  <c r="AS154" i="1"/>
  <c r="AH154" i="1"/>
  <c r="AK155" i="1" s="1"/>
  <c r="AK112" i="1"/>
  <c r="AS79" i="1"/>
  <c r="AT79" i="1"/>
  <c r="AI79" i="1"/>
  <c r="AH79" i="1"/>
  <c r="AK80" i="1" s="1"/>
  <c r="AV40" i="1"/>
  <c r="AS61" i="1"/>
  <c r="AT61" i="1"/>
  <c r="AI61" i="1"/>
  <c r="AH61" i="1"/>
  <c r="AK62" i="1" s="1"/>
  <c r="AI98" i="1"/>
  <c r="AH98" i="1"/>
  <c r="AT98" i="1"/>
  <c r="AS98" i="1"/>
  <c r="AT148" i="1"/>
  <c r="AH148" i="1"/>
  <c r="AK149" i="1" s="1"/>
  <c r="AS148" i="1"/>
  <c r="AI148" i="1"/>
  <c r="AI105" i="1"/>
  <c r="AH105" i="1"/>
  <c r="AT105" i="1"/>
  <c r="AS105" i="1"/>
  <c r="AS71" i="1"/>
  <c r="AT71" i="1"/>
  <c r="AH71" i="1"/>
  <c r="AI71" i="1"/>
  <c r="AI89" i="1"/>
  <c r="AT89" i="1"/>
  <c r="AH89" i="1"/>
  <c r="AK90" i="1" s="1"/>
  <c r="AS89" i="1"/>
  <c r="AV90" i="1" s="1"/>
  <c r="AM25" i="1"/>
  <c r="AL25" i="1"/>
  <c r="AJ25" i="1"/>
  <c r="AS64" i="1"/>
  <c r="AT64" i="1"/>
  <c r="AI64" i="1"/>
  <c r="AH64" i="1"/>
  <c r="AM39" i="1" l="1"/>
  <c r="AL39" i="1"/>
  <c r="AJ39" i="1"/>
  <c r="AL47" i="1"/>
  <c r="AJ47" i="1"/>
  <c r="AM47" i="1"/>
  <c r="AJ44" i="1"/>
  <c r="AK45" i="1" s="1"/>
  <c r="AM44" i="1"/>
  <c r="AL44" i="1"/>
  <c r="AN44" i="1" s="1"/>
  <c r="AM27" i="1"/>
  <c r="AL27" i="1"/>
  <c r="AN27" i="1" s="1"/>
  <c r="AJ27" i="1"/>
  <c r="AK28" i="1" s="1"/>
  <c r="AV98" i="1"/>
  <c r="AW98" i="1" s="1"/>
  <c r="AM123" i="1"/>
  <c r="AK72" i="1"/>
  <c r="AW47" i="1"/>
  <c r="AJ154" i="1"/>
  <c r="AK120" i="1"/>
  <c r="AL123" i="1"/>
  <c r="AN123" i="1" s="1"/>
  <c r="AX47" i="1"/>
  <c r="AM154" i="1"/>
  <c r="AN154" i="1" s="1"/>
  <c r="AU97" i="1"/>
  <c r="AK137" i="1"/>
  <c r="AW96" i="1"/>
  <c r="AY96" i="1" s="1"/>
  <c r="AK150" i="1"/>
  <c r="AK74" i="1"/>
  <c r="AL74" i="1" s="1"/>
  <c r="AK52" i="1"/>
  <c r="AM52" i="1" s="1"/>
  <c r="AK106" i="1"/>
  <c r="AJ106" i="1" s="1"/>
  <c r="AK51" i="1"/>
  <c r="AK71" i="1"/>
  <c r="AK78" i="1"/>
  <c r="AL78" i="1" s="1"/>
  <c r="AV143" i="1"/>
  <c r="AU144" i="1" s="1"/>
  <c r="AV145" i="1" s="1"/>
  <c r="AW145" i="1" s="1"/>
  <c r="AW60" i="1"/>
  <c r="AK118" i="1"/>
  <c r="AL118" i="1" s="1"/>
  <c r="AX60" i="1"/>
  <c r="AK102" i="1"/>
  <c r="AK77" i="1"/>
  <c r="AL77" i="1" s="1"/>
  <c r="AK115" i="1"/>
  <c r="AM115" i="1" s="1"/>
  <c r="AK79" i="1"/>
  <c r="AJ79" i="1" s="1"/>
  <c r="AV69" i="1"/>
  <c r="AU70" i="1" s="1"/>
  <c r="AV71" i="1" s="1"/>
  <c r="AU72" i="1" s="1"/>
  <c r="AV73" i="1" s="1"/>
  <c r="AX43" i="1"/>
  <c r="AW43" i="1"/>
  <c r="AU44" i="1"/>
  <c r="AW33" i="1"/>
  <c r="AX33" i="1"/>
  <c r="AY33" i="1" s="1"/>
  <c r="AU34" i="1"/>
  <c r="AV35" i="1" s="1"/>
  <c r="AV52" i="1"/>
  <c r="AU53" i="1" s="1"/>
  <c r="AV85" i="1"/>
  <c r="AW41" i="1"/>
  <c r="AY41" i="1" s="1"/>
  <c r="AV134" i="1"/>
  <c r="AX134" i="1" s="1"/>
  <c r="AV79" i="1"/>
  <c r="AW79" i="1" s="1"/>
  <c r="AU26" i="1"/>
  <c r="AX100" i="1"/>
  <c r="AY100" i="1" s="1"/>
  <c r="AU101" i="1"/>
  <c r="AV102" i="1" s="1"/>
  <c r="AV118" i="1"/>
  <c r="AW118" i="1" s="1"/>
  <c r="AV65" i="1"/>
  <c r="AX65" i="1" s="1"/>
  <c r="AX25" i="1"/>
  <c r="AY25" i="1" s="1"/>
  <c r="AV141" i="1"/>
  <c r="AU142" i="1" s="1"/>
  <c r="AX27" i="1"/>
  <c r="AY27" i="1" s="1"/>
  <c r="BB27" i="1" s="1"/>
  <c r="AU28" i="1"/>
  <c r="AY57" i="1"/>
  <c r="AW32" i="1"/>
  <c r="AN43" i="1"/>
  <c r="AN37" i="1"/>
  <c r="AN110" i="1"/>
  <c r="BB23" i="1"/>
  <c r="BC23" i="1" s="1"/>
  <c r="AN35" i="1"/>
  <c r="AW28" i="1"/>
  <c r="AY28" i="1" s="1"/>
  <c r="AU29" i="1"/>
  <c r="AJ24" i="1"/>
  <c r="AL24" i="1"/>
  <c r="AN24" i="1" s="1"/>
  <c r="AO24" i="1" s="1"/>
  <c r="AY45" i="1"/>
  <c r="AN46" i="1"/>
  <c r="AU33" i="1"/>
  <c r="AV34" i="1" s="1"/>
  <c r="AU35" i="1" s="1"/>
  <c r="AV36" i="1" s="1"/>
  <c r="AW39" i="1"/>
  <c r="AY39" i="1" s="1"/>
  <c r="AN39" i="1"/>
  <c r="BB39" i="1" s="1"/>
  <c r="AN26" i="1"/>
  <c r="AN47" i="1"/>
  <c r="AY31" i="1"/>
  <c r="AU135" i="1"/>
  <c r="AV136" i="1" s="1"/>
  <c r="AX42" i="1"/>
  <c r="AW44" i="1"/>
  <c r="AX44" i="1"/>
  <c r="AU45" i="1"/>
  <c r="AV46" i="1" s="1"/>
  <c r="AL122" i="1"/>
  <c r="AJ122" i="1"/>
  <c r="AM122" i="1"/>
  <c r="AK85" i="1"/>
  <c r="AW49" i="1"/>
  <c r="AX49" i="1"/>
  <c r="AU50" i="1"/>
  <c r="AL79" i="1"/>
  <c r="AJ136" i="1"/>
  <c r="AM136" i="1"/>
  <c r="AL136" i="1"/>
  <c r="AX30" i="1"/>
  <c r="AU31" i="1"/>
  <c r="AW30" i="1"/>
  <c r="AN25" i="1"/>
  <c r="AV138" i="1"/>
  <c r="AX34" i="1"/>
  <c r="AK87" i="1"/>
  <c r="AV68" i="1"/>
  <c r="AV86" i="1"/>
  <c r="AN34" i="1"/>
  <c r="AK73" i="1"/>
  <c r="AK56" i="1"/>
  <c r="AL58" i="1"/>
  <c r="AJ58" i="1"/>
  <c r="AM58" i="1"/>
  <c r="AM70" i="1"/>
  <c r="AL70" i="1"/>
  <c r="AJ70" i="1"/>
  <c r="AU41" i="1"/>
  <c r="AV42" i="1" s="1"/>
  <c r="AW42" i="1" s="1"/>
  <c r="AX40" i="1"/>
  <c r="AW40" i="1"/>
  <c r="AY40" i="1" s="1"/>
  <c r="BB40" i="1" s="1"/>
  <c r="AM113" i="1"/>
  <c r="AL113" i="1"/>
  <c r="AN113" i="1" s="1"/>
  <c r="AJ113" i="1"/>
  <c r="AV92" i="1"/>
  <c r="AV91" i="1"/>
  <c r="AN41" i="1"/>
  <c r="AK107" i="1"/>
  <c r="AV88" i="1"/>
  <c r="AM120" i="1"/>
  <c r="AL120" i="1"/>
  <c r="AJ120" i="1"/>
  <c r="AU54" i="1"/>
  <c r="AX53" i="1"/>
  <c r="AW53" i="1"/>
  <c r="AK116" i="1"/>
  <c r="AK93" i="1"/>
  <c r="AV126" i="1"/>
  <c r="AW63" i="1"/>
  <c r="AU64" i="1"/>
  <c r="AX63" i="1"/>
  <c r="AV129" i="1"/>
  <c r="AL125" i="1"/>
  <c r="AJ125" i="1"/>
  <c r="AK126" i="1" s="1"/>
  <c r="AM125" i="1"/>
  <c r="AJ149" i="1"/>
  <c r="AM149" i="1"/>
  <c r="AL149" i="1"/>
  <c r="AN149" i="1" s="1"/>
  <c r="AW144" i="1"/>
  <c r="AX144" i="1"/>
  <c r="AU145" i="1"/>
  <c r="AV146" i="1" s="1"/>
  <c r="AU147" i="1" s="1"/>
  <c r="AV148" i="1" s="1"/>
  <c r="AM48" i="1"/>
  <c r="AJ48" i="1"/>
  <c r="AK49" i="1" s="1"/>
  <c r="AL48" i="1"/>
  <c r="AK147" i="1"/>
  <c r="AX24" i="1"/>
  <c r="AW24" i="1"/>
  <c r="AU25" i="1"/>
  <c r="AV26" i="1" s="1"/>
  <c r="AJ50" i="1"/>
  <c r="AM50" i="1"/>
  <c r="AL50" i="1"/>
  <c r="AV135" i="1"/>
  <c r="AK124" i="1"/>
  <c r="AK84" i="1"/>
  <c r="AY32" i="1"/>
  <c r="AW65" i="1"/>
  <c r="AU66" i="1"/>
  <c r="AV67" i="1" s="1"/>
  <c r="AM80" i="1"/>
  <c r="AL80" i="1"/>
  <c r="AJ80" i="1"/>
  <c r="AK81" i="1" s="1"/>
  <c r="AM91" i="1"/>
  <c r="AL91" i="1"/>
  <c r="AJ91" i="1"/>
  <c r="AK92" i="1" s="1"/>
  <c r="AL137" i="1"/>
  <c r="AM137" i="1"/>
  <c r="AJ137" i="1"/>
  <c r="AK138" i="1" s="1"/>
  <c r="AV94" i="1"/>
  <c r="AK109" i="1"/>
  <c r="AU128" i="1"/>
  <c r="AW127" i="1"/>
  <c r="AX127" i="1"/>
  <c r="AW143" i="1"/>
  <c r="AJ90" i="1"/>
  <c r="AL90" i="1"/>
  <c r="AM90" i="1"/>
  <c r="AM61" i="1"/>
  <c r="AL61" i="1"/>
  <c r="AJ61" i="1"/>
  <c r="AW64" i="1"/>
  <c r="AU65" i="1"/>
  <c r="AX64" i="1"/>
  <c r="AU55" i="1"/>
  <c r="AV56" i="1" s="1"/>
  <c r="AW56" i="1" s="1"/>
  <c r="AX54" i="1"/>
  <c r="AW54" i="1"/>
  <c r="AL153" i="1"/>
  <c r="AJ153" i="1"/>
  <c r="AM153" i="1"/>
  <c r="AV101" i="1"/>
  <c r="AJ97" i="1"/>
  <c r="AM97" i="1"/>
  <c r="AL97" i="1"/>
  <c r="AN97" i="1" s="1"/>
  <c r="AK156" i="1"/>
  <c r="AV51" i="1"/>
  <c r="AU30" i="1"/>
  <c r="AX29" i="1"/>
  <c r="AW29" i="1"/>
  <c r="AK99" i="1"/>
  <c r="AL112" i="1"/>
  <c r="AM112" i="1"/>
  <c r="AJ112" i="1"/>
  <c r="AV97" i="1"/>
  <c r="AN36" i="1"/>
  <c r="AK76" i="1"/>
  <c r="AV55" i="1"/>
  <c r="AV133" i="1"/>
  <c r="AL51" i="1"/>
  <c r="AJ51" i="1"/>
  <c r="AM51" i="1"/>
  <c r="AN96" i="1"/>
  <c r="BB96" i="1" s="1"/>
  <c r="AV131" i="1"/>
  <c r="AX75" i="1"/>
  <c r="AU76" i="1"/>
  <c r="AV77" i="1" s="1"/>
  <c r="AW75" i="1"/>
  <c r="AV81" i="1"/>
  <c r="AK105" i="1"/>
  <c r="AN42" i="1"/>
  <c r="AV82" i="1"/>
  <c r="AU91" i="1"/>
  <c r="AX90" i="1"/>
  <c r="AW90" i="1"/>
  <c r="AY90" i="1" s="1"/>
  <c r="AM155" i="1"/>
  <c r="AJ155" i="1"/>
  <c r="AL155" i="1"/>
  <c r="AM148" i="1"/>
  <c r="AJ148" i="1"/>
  <c r="AL148" i="1"/>
  <c r="AL71" i="1"/>
  <c r="AJ71" i="1"/>
  <c r="AM71" i="1"/>
  <c r="AJ104" i="1"/>
  <c r="AM104" i="1"/>
  <c r="AL104" i="1"/>
  <c r="AX26" i="1"/>
  <c r="AW26" i="1"/>
  <c r="AU27" i="1"/>
  <c r="AL106" i="1"/>
  <c r="AU153" i="1"/>
  <c r="AV154" i="1" s="1"/>
  <c r="AX152" i="1"/>
  <c r="AW152" i="1"/>
  <c r="AY152" i="1" s="1"/>
  <c r="AL72" i="1"/>
  <c r="AM72" i="1"/>
  <c r="AJ72" i="1"/>
  <c r="AM119" i="1"/>
  <c r="AL119" i="1"/>
  <c r="AJ119" i="1"/>
  <c r="AJ78" i="1"/>
  <c r="AX52" i="1"/>
  <c r="AW52" i="1"/>
  <c r="AV95" i="1"/>
  <c r="AK67" i="1"/>
  <c r="AM132" i="1"/>
  <c r="AL132" i="1"/>
  <c r="AJ132" i="1"/>
  <c r="AK133" i="1" s="1"/>
  <c r="AV111" i="1"/>
  <c r="AX85" i="1"/>
  <c r="AW85" i="1"/>
  <c r="AY85" i="1" s="1"/>
  <c r="AU86" i="1"/>
  <c r="AV87" i="1" s="1"/>
  <c r="AJ118" i="1"/>
  <c r="AK128" i="1"/>
  <c r="AK145" i="1"/>
  <c r="AV66" i="1"/>
  <c r="AK83" i="1"/>
  <c r="AK59" i="1"/>
  <c r="AX118" i="1"/>
  <c r="AJ150" i="1"/>
  <c r="AM150" i="1"/>
  <c r="AL150" i="1"/>
  <c r="AJ117" i="1"/>
  <c r="AM117" i="1"/>
  <c r="AL117" i="1"/>
  <c r="AN117" i="1" s="1"/>
  <c r="AM62" i="1"/>
  <c r="AL62" i="1"/>
  <c r="AJ62" i="1"/>
  <c r="AK63" i="1" s="1"/>
  <c r="AL130" i="1"/>
  <c r="AM130" i="1"/>
  <c r="AJ130" i="1"/>
  <c r="AK131" i="1" s="1"/>
  <c r="AL102" i="1"/>
  <c r="AM102" i="1"/>
  <c r="AJ102" i="1"/>
  <c r="AJ77" i="1"/>
  <c r="AM77" i="1"/>
  <c r="AK151" i="1"/>
  <c r="AV142" i="1"/>
  <c r="AK121" i="1"/>
  <c r="AV140" i="1"/>
  <c r="AM111" i="1"/>
  <c r="AL111" i="1"/>
  <c r="AJ111" i="1"/>
  <c r="AN33" i="1"/>
  <c r="AK98" i="1"/>
  <c r="AV108" i="1"/>
  <c r="AM114" i="1"/>
  <c r="AJ114" i="1"/>
  <c r="AL114" i="1"/>
  <c r="AX59" i="1"/>
  <c r="AU60" i="1"/>
  <c r="AV61" i="1" s="1"/>
  <c r="AW61" i="1" s="1"/>
  <c r="AW59" i="1"/>
  <c r="AY89" i="1"/>
  <c r="AY60" i="1"/>
  <c r="AL81" i="1" l="1"/>
  <c r="AN81" i="1" s="1"/>
  <c r="AJ81" i="1"/>
  <c r="AK82" i="1" s="1"/>
  <c r="AM81" i="1"/>
  <c r="AM133" i="1"/>
  <c r="AL133" i="1"/>
  <c r="AN133" i="1" s="1"/>
  <c r="AJ133" i="1"/>
  <c r="AK134" i="1" s="1"/>
  <c r="AL131" i="1"/>
  <c r="AN131" i="1" s="1"/>
  <c r="AJ131" i="1"/>
  <c r="AM131" i="1"/>
  <c r="AM92" i="1"/>
  <c r="AL92" i="1"/>
  <c r="AN92" i="1" s="1"/>
  <c r="AJ92" i="1"/>
  <c r="AM49" i="1"/>
  <c r="AL49" i="1"/>
  <c r="AN49" i="1" s="1"/>
  <c r="AJ49" i="1"/>
  <c r="AL138" i="1"/>
  <c r="AJ138" i="1"/>
  <c r="AK139" i="1" s="1"/>
  <c r="AM138" i="1"/>
  <c r="AM126" i="1"/>
  <c r="AL126" i="1"/>
  <c r="AN126" i="1" s="1"/>
  <c r="AJ126" i="1"/>
  <c r="AK127" i="1" s="1"/>
  <c r="AY64" i="1"/>
  <c r="AU99" i="1"/>
  <c r="AX98" i="1"/>
  <c r="AY98" i="1" s="1"/>
  <c r="AN153" i="1"/>
  <c r="AM45" i="1"/>
  <c r="AL45" i="1"/>
  <c r="AN45" i="1" s="1"/>
  <c r="BB45" i="1" s="1"/>
  <c r="AJ45" i="1"/>
  <c r="AJ115" i="1"/>
  <c r="AW141" i="1"/>
  <c r="AM78" i="1"/>
  <c r="AX79" i="1"/>
  <c r="AW34" i="1"/>
  <c r="AU62" i="1"/>
  <c r="AY47" i="1"/>
  <c r="BB47" i="1" s="1"/>
  <c r="AO25" i="1"/>
  <c r="AO26" i="1" s="1"/>
  <c r="AO27" i="1" s="1"/>
  <c r="AO28" i="1" s="1"/>
  <c r="AM28" i="1"/>
  <c r="AL28" i="1"/>
  <c r="AN28" i="1" s="1"/>
  <c r="BB28" i="1" s="1"/>
  <c r="AJ28" i="1"/>
  <c r="AK29" i="1" s="1"/>
  <c r="AX141" i="1"/>
  <c r="AY141" i="1" s="1"/>
  <c r="AX69" i="1"/>
  <c r="AL115" i="1"/>
  <c r="AW69" i="1"/>
  <c r="AJ52" i="1"/>
  <c r="AK53" i="1" s="1"/>
  <c r="AJ74" i="1"/>
  <c r="AK75" i="1" s="1"/>
  <c r="AL52" i="1"/>
  <c r="AN52" i="1" s="1"/>
  <c r="AM118" i="1"/>
  <c r="AM106" i="1"/>
  <c r="AN106" i="1" s="1"/>
  <c r="AX143" i="1"/>
  <c r="AY143" i="1" s="1"/>
  <c r="AM74" i="1"/>
  <c r="AM79" i="1"/>
  <c r="AN79" i="1" s="1"/>
  <c r="BB79" i="1" s="1"/>
  <c r="AW134" i="1"/>
  <c r="AY134" i="1" s="1"/>
  <c r="AY43" i="1"/>
  <c r="BB43" i="1" s="1"/>
  <c r="AX61" i="1"/>
  <c r="AY61" i="1" s="1"/>
  <c r="AU80" i="1"/>
  <c r="AL63" i="1"/>
  <c r="AN63" i="1" s="1"/>
  <c r="AM63" i="1"/>
  <c r="AJ63" i="1"/>
  <c r="AK64" i="1" s="1"/>
  <c r="AW136" i="1"/>
  <c r="AU137" i="1"/>
  <c r="AX136" i="1"/>
  <c r="AU78" i="1"/>
  <c r="AW77" i="1"/>
  <c r="AX77" i="1"/>
  <c r="AW148" i="1"/>
  <c r="AU149" i="1"/>
  <c r="AV150" i="1" s="1"/>
  <c r="AX148" i="1"/>
  <c r="AY148" i="1" s="1"/>
  <c r="BB148" i="1" s="1"/>
  <c r="AU74" i="1"/>
  <c r="AX73" i="1"/>
  <c r="AW73" i="1"/>
  <c r="AY73" i="1" s="1"/>
  <c r="AW36" i="1"/>
  <c r="AU37" i="1"/>
  <c r="AV38" i="1" s="1"/>
  <c r="AX36" i="1"/>
  <c r="AW71" i="1"/>
  <c r="AX71" i="1"/>
  <c r="AU88" i="1"/>
  <c r="AX87" i="1"/>
  <c r="AW87" i="1"/>
  <c r="AY87" i="1" s="1"/>
  <c r="AU155" i="1"/>
  <c r="AV156" i="1" s="1"/>
  <c r="AX154" i="1"/>
  <c r="AW154" i="1"/>
  <c r="AY154" i="1" s="1"/>
  <c r="BB154" i="1" s="1"/>
  <c r="AW146" i="1"/>
  <c r="AX145" i="1"/>
  <c r="AY145" i="1" s="1"/>
  <c r="AX146" i="1"/>
  <c r="AU146" i="1"/>
  <c r="AV147" i="1" s="1"/>
  <c r="AX56" i="1"/>
  <c r="AX67" i="1"/>
  <c r="AW67" i="1"/>
  <c r="AU68" i="1"/>
  <c r="AX102" i="1"/>
  <c r="AW102" i="1"/>
  <c r="AY102" i="1" s="1"/>
  <c r="AU103" i="1"/>
  <c r="AV104" i="1" s="1"/>
  <c r="AU57" i="1"/>
  <c r="AV58" i="1" s="1"/>
  <c r="AY79" i="1"/>
  <c r="AY127" i="1"/>
  <c r="AN62" i="1"/>
  <c r="BB62" i="1" s="1"/>
  <c r="AN132" i="1"/>
  <c r="AN80" i="1"/>
  <c r="AU36" i="1"/>
  <c r="AV37" i="1" s="1"/>
  <c r="AW35" i="1"/>
  <c r="AX35" i="1"/>
  <c r="AX46" i="1"/>
  <c r="AW46" i="1"/>
  <c r="AY46" i="1" s="1"/>
  <c r="BB46" i="1" s="1"/>
  <c r="AU47" i="1"/>
  <c r="AV48" i="1" s="1"/>
  <c r="AU119" i="1"/>
  <c r="AV120" i="1" s="1"/>
  <c r="BB41" i="1"/>
  <c r="AU43" i="1"/>
  <c r="AY29" i="1"/>
  <c r="AN51" i="1"/>
  <c r="AN137" i="1"/>
  <c r="AN114" i="1"/>
  <c r="AN111" i="1"/>
  <c r="AN148" i="1"/>
  <c r="AN119" i="1"/>
  <c r="AN91" i="1"/>
  <c r="AN50" i="1"/>
  <c r="BB25" i="1"/>
  <c r="AY42" i="1"/>
  <c r="BB42" i="1" s="1"/>
  <c r="AY26" i="1"/>
  <c r="BB26" i="1" s="1"/>
  <c r="AY65" i="1"/>
  <c r="BB33" i="1"/>
  <c r="AY63" i="1"/>
  <c r="BB63" i="1" s="1"/>
  <c r="AY67" i="1"/>
  <c r="AY54" i="1"/>
  <c r="AY49" i="1"/>
  <c r="AY59" i="1"/>
  <c r="AN48" i="1"/>
  <c r="AY30" i="1"/>
  <c r="AY53" i="1"/>
  <c r="AN70" i="1"/>
  <c r="AX138" i="1"/>
  <c r="AU139" i="1"/>
  <c r="AW138" i="1"/>
  <c r="AY138" i="1" s="1"/>
  <c r="AL145" i="1"/>
  <c r="AJ145" i="1"/>
  <c r="AM145" i="1"/>
  <c r="AL93" i="1"/>
  <c r="AM93" i="1"/>
  <c r="AJ93" i="1"/>
  <c r="AK94" i="1" s="1"/>
  <c r="AN74" i="1"/>
  <c r="AX126" i="1"/>
  <c r="AW126" i="1"/>
  <c r="AY126" i="1" s="1"/>
  <c r="BB126" i="1" s="1"/>
  <c r="AU127" i="1"/>
  <c r="AV128" i="1" s="1"/>
  <c r="AL151" i="1"/>
  <c r="AM151" i="1"/>
  <c r="AJ151" i="1"/>
  <c r="AK152" i="1" s="1"/>
  <c r="AW111" i="1"/>
  <c r="AU112" i="1"/>
  <c r="AV113" i="1" s="1"/>
  <c r="AX111" i="1"/>
  <c r="AY69" i="1"/>
  <c r="AY136" i="1"/>
  <c r="AN77" i="1"/>
  <c r="AY118" i="1"/>
  <c r="AJ128" i="1"/>
  <c r="AK129" i="1" s="1"/>
  <c r="AM128" i="1"/>
  <c r="AL128" i="1"/>
  <c r="AY52" i="1"/>
  <c r="AN104" i="1"/>
  <c r="AN61" i="1"/>
  <c r="AL147" i="1"/>
  <c r="AJ147" i="1"/>
  <c r="AM147" i="1"/>
  <c r="AX88" i="1"/>
  <c r="AU89" i="1"/>
  <c r="AW88" i="1"/>
  <c r="AY88" i="1" s="1"/>
  <c r="AN58" i="1"/>
  <c r="AJ73" i="1"/>
  <c r="AM73" i="1"/>
  <c r="AL73" i="1"/>
  <c r="AN73" i="1" s="1"/>
  <c r="AN122" i="1"/>
  <c r="AX92" i="1"/>
  <c r="AU93" i="1"/>
  <c r="AW92" i="1"/>
  <c r="AY92" i="1" s="1"/>
  <c r="AN118" i="1"/>
  <c r="AU102" i="1"/>
  <c r="AV103" i="1" s="1"/>
  <c r="AX101" i="1"/>
  <c r="AW101" i="1"/>
  <c r="AW129" i="1"/>
  <c r="AU130" i="1"/>
  <c r="AX129" i="1"/>
  <c r="AJ121" i="1"/>
  <c r="AM121" i="1"/>
  <c r="AL121" i="1"/>
  <c r="AN130" i="1"/>
  <c r="AN112" i="1"/>
  <c r="AU109" i="1"/>
  <c r="AV110" i="1" s="1"/>
  <c r="AX108" i="1"/>
  <c r="AW108" i="1"/>
  <c r="AN125" i="1"/>
  <c r="AY44" i="1"/>
  <c r="BB44" i="1" s="1"/>
  <c r="AY56" i="1"/>
  <c r="AU87" i="1"/>
  <c r="AW86" i="1"/>
  <c r="AX86" i="1"/>
  <c r="AU56" i="1"/>
  <c r="AX55" i="1"/>
  <c r="AW55" i="1"/>
  <c r="AY55" i="1" s="1"/>
  <c r="AX68" i="1"/>
  <c r="AW68" i="1"/>
  <c r="AU69" i="1"/>
  <c r="AV70" i="1" s="1"/>
  <c r="AM67" i="1"/>
  <c r="AL67" i="1"/>
  <c r="AN67" i="1" s="1"/>
  <c r="AJ67" i="1"/>
  <c r="AK68" i="1" s="1"/>
  <c r="AL105" i="1"/>
  <c r="AJ105" i="1"/>
  <c r="AM105" i="1"/>
  <c r="AN102" i="1"/>
  <c r="AM59" i="1"/>
  <c r="AL59" i="1"/>
  <c r="AN59" i="1" s="1"/>
  <c r="AJ59" i="1"/>
  <c r="AK60" i="1" s="1"/>
  <c r="AX133" i="1"/>
  <c r="AU134" i="1"/>
  <c r="AW133" i="1"/>
  <c r="AY144" i="1"/>
  <c r="AM116" i="1"/>
  <c r="AL116" i="1"/>
  <c r="AJ116" i="1"/>
  <c r="AU141" i="1"/>
  <c r="AW140" i="1"/>
  <c r="AX140" i="1"/>
  <c r="AN115" i="1"/>
  <c r="AW81" i="1"/>
  <c r="AX81" i="1"/>
  <c r="AU82" i="1"/>
  <c r="AM76" i="1"/>
  <c r="AL76" i="1"/>
  <c r="AN76" i="1" s="1"/>
  <c r="AJ76" i="1"/>
  <c r="AM87" i="1"/>
  <c r="AL87" i="1"/>
  <c r="AN87" i="1" s="1"/>
  <c r="AJ87" i="1"/>
  <c r="AK88" i="1" s="1"/>
  <c r="AX131" i="1"/>
  <c r="AU132" i="1"/>
  <c r="AW131" i="1"/>
  <c r="AL99" i="1"/>
  <c r="AM99" i="1"/>
  <c r="AJ99" i="1"/>
  <c r="AK100" i="1" s="1"/>
  <c r="AN78" i="1"/>
  <c r="AN138" i="1"/>
  <c r="AM83" i="1"/>
  <c r="AL83" i="1"/>
  <c r="AN83" i="1" s="1"/>
  <c r="BB83" i="1" s="1"/>
  <c r="AJ83" i="1"/>
  <c r="AU143" i="1"/>
  <c r="AX142" i="1"/>
  <c r="AW142" i="1"/>
  <c r="AY142" i="1" s="1"/>
  <c r="AU67" i="1"/>
  <c r="AW66" i="1"/>
  <c r="AX66" i="1"/>
  <c r="AX82" i="1"/>
  <c r="AU83" i="1"/>
  <c r="AV84" i="1" s="1"/>
  <c r="AW82" i="1"/>
  <c r="AY75" i="1"/>
  <c r="AL84" i="1"/>
  <c r="AM84" i="1"/>
  <c r="AJ84" i="1"/>
  <c r="AY34" i="1"/>
  <c r="BB34" i="1" s="1"/>
  <c r="AU95" i="1"/>
  <c r="AX94" i="1"/>
  <c r="AW94" i="1"/>
  <c r="AN90" i="1"/>
  <c r="BB90" i="1" s="1"/>
  <c r="AN72" i="1"/>
  <c r="AN71" i="1"/>
  <c r="AN150" i="1"/>
  <c r="AY71" i="1"/>
  <c r="AU96" i="1"/>
  <c r="AX95" i="1"/>
  <c r="AW95" i="1"/>
  <c r="AY95" i="1" s="1"/>
  <c r="AY146" i="1"/>
  <c r="BB146" i="1" s="1"/>
  <c r="AN155" i="1"/>
  <c r="AU98" i="1"/>
  <c r="AV99" i="1" s="1"/>
  <c r="AX97" i="1"/>
  <c r="AW97" i="1"/>
  <c r="AY97" i="1" s="1"/>
  <c r="BB97" i="1" s="1"/>
  <c r="AW51" i="1"/>
  <c r="AX51" i="1"/>
  <c r="AU52" i="1"/>
  <c r="AL124" i="1"/>
  <c r="AJ124" i="1"/>
  <c r="AM124" i="1"/>
  <c r="AY24" i="1"/>
  <c r="AN136" i="1"/>
  <c r="AU136" i="1"/>
  <c r="AV137" i="1" s="1"/>
  <c r="AX135" i="1"/>
  <c r="AW135" i="1"/>
  <c r="AY135" i="1" s="1"/>
  <c r="AM107" i="1"/>
  <c r="AL107" i="1"/>
  <c r="AN107" i="1" s="1"/>
  <c r="AJ107" i="1"/>
  <c r="AK108" i="1" s="1"/>
  <c r="AW91" i="1"/>
  <c r="AU92" i="1"/>
  <c r="AV93" i="1" s="1"/>
  <c r="AX91" i="1"/>
  <c r="AM56" i="1"/>
  <c r="AL56" i="1"/>
  <c r="AN56" i="1" s="1"/>
  <c r="AJ56" i="1"/>
  <c r="AK57" i="1" s="1"/>
  <c r="AJ98" i="1"/>
  <c r="AM98" i="1"/>
  <c r="AL98" i="1"/>
  <c r="AJ156" i="1"/>
  <c r="AM156" i="1"/>
  <c r="AL156" i="1"/>
  <c r="AN156" i="1" s="1"/>
  <c r="AJ109" i="1"/>
  <c r="AL109" i="1"/>
  <c r="AM109" i="1"/>
  <c r="AN120" i="1"/>
  <c r="AM85" i="1"/>
  <c r="AJ85" i="1"/>
  <c r="AK86" i="1" s="1"/>
  <c r="AL85" i="1"/>
  <c r="AJ68" i="1" l="1"/>
  <c r="AK69" i="1" s="1"/>
  <c r="AM68" i="1"/>
  <c r="AL68" i="1"/>
  <c r="AJ94" i="1"/>
  <c r="AK95" i="1" s="1"/>
  <c r="AL94" i="1"/>
  <c r="AN94" i="1" s="1"/>
  <c r="AM94" i="1"/>
  <c r="AM127" i="1"/>
  <c r="AL127" i="1"/>
  <c r="AN127" i="1" s="1"/>
  <c r="BB127" i="1" s="1"/>
  <c r="AJ127" i="1"/>
  <c r="BB53" i="1"/>
  <c r="AM108" i="1"/>
  <c r="AJ108" i="1"/>
  <c r="AL108" i="1"/>
  <c r="AJ60" i="1"/>
  <c r="AL60" i="1"/>
  <c r="AM60" i="1"/>
  <c r="AM75" i="1"/>
  <c r="AJ75" i="1"/>
  <c r="AL75" i="1"/>
  <c r="AM134" i="1"/>
  <c r="AL134" i="1"/>
  <c r="AN134" i="1" s="1"/>
  <c r="BB134" i="1" s="1"/>
  <c r="AJ134" i="1"/>
  <c r="AK135" i="1" s="1"/>
  <c r="AM29" i="1"/>
  <c r="AJ29" i="1"/>
  <c r="AK30" i="1" s="1"/>
  <c r="AL29" i="1"/>
  <c r="AL100" i="1"/>
  <c r="AJ100" i="1"/>
  <c r="AK101" i="1" s="1"/>
  <c r="AM100" i="1"/>
  <c r="AJ64" i="1"/>
  <c r="AK65" i="1" s="1"/>
  <c r="AL64" i="1"/>
  <c r="AM64" i="1"/>
  <c r="AM53" i="1"/>
  <c r="AJ53" i="1"/>
  <c r="AK54" i="1" s="1"/>
  <c r="AL53" i="1"/>
  <c r="AN53" i="1" s="1"/>
  <c r="AL88" i="1"/>
  <c r="AJ88" i="1"/>
  <c r="AK89" i="1" s="1"/>
  <c r="AM88" i="1"/>
  <c r="AY77" i="1"/>
  <c r="BB77" i="1" s="1"/>
  <c r="AJ152" i="1"/>
  <c r="AL152" i="1"/>
  <c r="AM152" i="1"/>
  <c r="AY36" i="1"/>
  <c r="BB36" i="1" s="1"/>
  <c r="AM139" i="1"/>
  <c r="AJ139" i="1"/>
  <c r="AK140" i="1" s="1"/>
  <c r="AL139" i="1"/>
  <c r="AJ86" i="1"/>
  <c r="AM86" i="1"/>
  <c r="AL86" i="1"/>
  <c r="AN86" i="1" s="1"/>
  <c r="BB118" i="1"/>
  <c r="AL129" i="1"/>
  <c r="AM129" i="1"/>
  <c r="AJ129" i="1"/>
  <c r="AM57" i="1"/>
  <c r="AL57" i="1"/>
  <c r="AN57" i="1" s="1"/>
  <c r="BB57" i="1" s="1"/>
  <c r="AJ57" i="1"/>
  <c r="BB102" i="1"/>
  <c r="AY131" i="1"/>
  <c r="BB52" i="1"/>
  <c r="AL82" i="1"/>
  <c r="AM82" i="1"/>
  <c r="AJ82" i="1"/>
  <c r="AU39" i="1"/>
  <c r="AW38" i="1"/>
  <c r="AX38" i="1"/>
  <c r="AX103" i="1"/>
  <c r="AU104" i="1"/>
  <c r="AV105" i="1" s="1"/>
  <c r="AW103" i="1"/>
  <c r="AY103" i="1" s="1"/>
  <c r="BB103" i="1" s="1"/>
  <c r="AN145" i="1"/>
  <c r="AX93" i="1"/>
  <c r="AW93" i="1"/>
  <c r="AY93" i="1" s="1"/>
  <c r="AU94" i="1"/>
  <c r="AU121" i="1"/>
  <c r="AV122" i="1" s="1"/>
  <c r="AW120" i="1"/>
  <c r="AY120" i="1" s="1"/>
  <c r="BB120" i="1" s="1"/>
  <c r="AX120" i="1"/>
  <c r="AU49" i="1"/>
  <c r="AV50" i="1" s="1"/>
  <c r="AW48" i="1"/>
  <c r="AX48" i="1"/>
  <c r="AU151" i="1"/>
  <c r="AX150" i="1"/>
  <c r="AW150" i="1"/>
  <c r="AY150" i="1" s="1"/>
  <c r="BB150" i="1" s="1"/>
  <c r="AN147" i="1"/>
  <c r="AY35" i="1"/>
  <c r="BB35" i="1" s="1"/>
  <c r="AW99" i="1"/>
  <c r="AX99" i="1"/>
  <c r="AU100" i="1"/>
  <c r="BB73" i="1"/>
  <c r="AW37" i="1"/>
  <c r="AX37" i="1"/>
  <c r="AU38" i="1"/>
  <c r="AN109" i="1"/>
  <c r="AU105" i="1"/>
  <c r="AV106" i="1" s="1"/>
  <c r="AX104" i="1"/>
  <c r="AW104" i="1"/>
  <c r="AY104" i="1" s="1"/>
  <c r="BB104" i="1" s="1"/>
  <c r="AW137" i="1"/>
  <c r="AX137" i="1"/>
  <c r="AU138" i="1"/>
  <c r="AU114" i="1"/>
  <c r="AV115" i="1" s="1"/>
  <c r="AW113" i="1"/>
  <c r="AX113" i="1"/>
  <c r="AW110" i="1"/>
  <c r="AX110" i="1"/>
  <c r="AU111" i="1"/>
  <c r="AV112" i="1" s="1"/>
  <c r="AU129" i="1"/>
  <c r="AV130" i="1" s="1"/>
  <c r="AX128" i="1"/>
  <c r="AW128" i="1"/>
  <c r="AW58" i="1"/>
  <c r="AX58" i="1"/>
  <c r="AU59" i="1"/>
  <c r="AW156" i="1"/>
  <c r="AX156" i="1"/>
  <c r="BB87" i="1"/>
  <c r="AN85" i="1"/>
  <c r="BB85" i="1" s="1"/>
  <c r="AW84" i="1"/>
  <c r="AU85" i="1"/>
  <c r="AX84" i="1"/>
  <c r="BB138" i="1"/>
  <c r="AW70" i="1"/>
  <c r="AY70" i="1" s="1"/>
  <c r="BB70" i="1" s="1"/>
  <c r="AU71" i="1"/>
  <c r="AV72" i="1" s="1"/>
  <c r="AX70" i="1"/>
  <c r="AX147" i="1"/>
  <c r="AW147" i="1"/>
  <c r="AY147" i="1" s="1"/>
  <c r="AU148" i="1"/>
  <c r="AV149" i="1" s="1"/>
  <c r="AY94" i="1"/>
  <c r="AY101" i="1"/>
  <c r="BB145" i="1"/>
  <c r="BB61" i="1"/>
  <c r="AY86" i="1"/>
  <c r="AY82" i="1"/>
  <c r="BB67" i="1"/>
  <c r="BB136" i="1"/>
  <c r="AY133" i="1"/>
  <c r="BB133" i="1" s="1"/>
  <c r="BB92" i="1"/>
  <c r="AN128" i="1"/>
  <c r="AY51" i="1"/>
  <c r="BB51" i="1" s="1"/>
  <c r="BB59" i="1"/>
  <c r="BB49" i="1"/>
  <c r="AN84" i="1"/>
  <c r="BB86" i="1"/>
  <c r="AN116" i="1"/>
  <c r="AN105" i="1"/>
  <c r="AY111" i="1"/>
  <c r="BB111" i="1" s="1"/>
  <c r="AN93" i="1"/>
  <c r="AY66" i="1"/>
  <c r="AN98" i="1"/>
  <c r="BB98" i="1" s="1"/>
  <c r="AN99" i="1"/>
  <c r="AY81" i="1"/>
  <c r="BB81" i="1" s="1"/>
  <c r="AY68" i="1"/>
  <c r="AN121" i="1"/>
  <c r="AZ24" i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BB24" i="1"/>
  <c r="AY108" i="1"/>
  <c r="AN151" i="1"/>
  <c r="BB71" i="1"/>
  <c r="AY91" i="1"/>
  <c r="BB91" i="1" s="1"/>
  <c r="AN124" i="1"/>
  <c r="BB56" i="1"/>
  <c r="BB131" i="1"/>
  <c r="AY140" i="1"/>
  <c r="AY129" i="1"/>
  <c r="AN88" i="1" l="1"/>
  <c r="BB88" i="1" s="1"/>
  <c r="AN82" i="1"/>
  <c r="BB82" i="1" s="1"/>
  <c r="AL54" i="1"/>
  <c r="AN54" i="1" s="1"/>
  <c r="BB54" i="1" s="1"/>
  <c r="AJ54" i="1"/>
  <c r="AK55" i="1" s="1"/>
  <c r="AM54" i="1"/>
  <c r="AN75" i="1"/>
  <c r="BB75" i="1" s="1"/>
  <c r="AM135" i="1"/>
  <c r="AJ135" i="1"/>
  <c r="AL135" i="1"/>
  <c r="AN135" i="1" s="1"/>
  <c r="BB135" i="1" s="1"/>
  <c r="BB140" i="1"/>
  <c r="BB68" i="1"/>
  <c r="BB94" i="1"/>
  <c r="AN139" i="1"/>
  <c r="BB139" i="1" s="1"/>
  <c r="AM65" i="1"/>
  <c r="AL65" i="1"/>
  <c r="AJ65" i="1"/>
  <c r="AK66" i="1" s="1"/>
  <c r="AN60" i="1"/>
  <c r="BB60" i="1" s="1"/>
  <c r="AN68" i="1"/>
  <c r="AJ30" i="1"/>
  <c r="AK31" i="1" s="1"/>
  <c r="AL30" i="1"/>
  <c r="AM30" i="1"/>
  <c r="AN129" i="1"/>
  <c r="BB129" i="1" s="1"/>
  <c r="AL89" i="1"/>
  <c r="AJ89" i="1"/>
  <c r="AM89" i="1"/>
  <c r="AM95" i="1"/>
  <c r="AL95" i="1"/>
  <c r="AN95" i="1" s="1"/>
  <c r="BB95" i="1" s="1"/>
  <c r="AJ95" i="1"/>
  <c r="BB147" i="1"/>
  <c r="AN152" i="1"/>
  <c r="BB152" i="1" s="1"/>
  <c r="AJ101" i="1"/>
  <c r="AM101" i="1"/>
  <c r="AL101" i="1"/>
  <c r="AN108" i="1"/>
  <c r="BB108" i="1" s="1"/>
  <c r="AJ69" i="1"/>
  <c r="AM69" i="1"/>
  <c r="AL69" i="1"/>
  <c r="AN69" i="1" s="1"/>
  <c r="BB69" i="1" s="1"/>
  <c r="AL140" i="1"/>
  <c r="AN140" i="1" s="1"/>
  <c r="AJ140" i="1"/>
  <c r="AK141" i="1" s="1"/>
  <c r="AM140" i="1"/>
  <c r="AN64" i="1"/>
  <c r="BB64" i="1" s="1"/>
  <c r="AN100" i="1"/>
  <c r="BB100" i="1" s="1"/>
  <c r="AY128" i="1"/>
  <c r="BB128" i="1" s="1"/>
  <c r="AN29" i="1"/>
  <c r="AX72" i="1"/>
  <c r="AW72" i="1"/>
  <c r="AU73" i="1"/>
  <c r="AV74" i="1" s="1"/>
  <c r="AY58" i="1"/>
  <c r="BB58" i="1" s="1"/>
  <c r="AU123" i="1"/>
  <c r="AV124" i="1" s="1"/>
  <c r="AW122" i="1"/>
  <c r="AX122" i="1"/>
  <c r="BB99" i="1"/>
  <c r="AW106" i="1"/>
  <c r="AU107" i="1"/>
  <c r="AX106" i="1"/>
  <c r="AY84" i="1"/>
  <c r="AX105" i="1"/>
  <c r="AU106" i="1"/>
  <c r="AV107" i="1" s="1"/>
  <c r="AW105" i="1"/>
  <c r="AY37" i="1"/>
  <c r="BB37" i="1" s="1"/>
  <c r="AW115" i="1"/>
  <c r="AU116" i="1"/>
  <c r="AV117" i="1" s="1"/>
  <c r="AX115" i="1"/>
  <c r="AY137" i="1"/>
  <c r="BB137" i="1" s="1"/>
  <c r="AU131" i="1"/>
  <c r="AV132" i="1" s="1"/>
  <c r="AX130" i="1"/>
  <c r="AW130" i="1"/>
  <c r="AY130" i="1" s="1"/>
  <c r="BB130" i="1" s="1"/>
  <c r="AW112" i="1"/>
  <c r="AX112" i="1"/>
  <c r="AU113" i="1"/>
  <c r="AV114" i="1" s="1"/>
  <c r="BB93" i="1"/>
  <c r="AU150" i="1"/>
  <c r="AV151" i="1" s="1"/>
  <c r="AW149" i="1"/>
  <c r="AX149" i="1"/>
  <c r="AY110" i="1"/>
  <c r="BB110" i="1" s="1"/>
  <c r="AY113" i="1"/>
  <c r="BB113" i="1" s="1"/>
  <c r="AY48" i="1"/>
  <c r="BB48" i="1" s="1"/>
  <c r="BB84" i="1"/>
  <c r="AY156" i="1"/>
  <c r="BB156" i="1" s="1"/>
  <c r="AU51" i="1"/>
  <c r="AX50" i="1"/>
  <c r="AW50" i="1"/>
  <c r="AY50" i="1" s="1"/>
  <c r="BB50" i="1" s="1"/>
  <c r="AY38" i="1"/>
  <c r="BB38" i="1" s="1"/>
  <c r="AZ35" i="1"/>
  <c r="AZ36" i="1" s="1"/>
  <c r="AY99" i="1"/>
  <c r="BC24" i="1"/>
  <c r="BC25" i="1" s="1"/>
  <c r="BC26" i="1" s="1"/>
  <c r="BC27" i="1" s="1"/>
  <c r="BC28" i="1" s="1"/>
  <c r="AL141" i="1" l="1"/>
  <c r="AJ141" i="1"/>
  <c r="AK142" i="1" s="1"/>
  <c r="AM141" i="1"/>
  <c r="AN30" i="1"/>
  <c r="AY105" i="1"/>
  <c r="BB105" i="1" s="1"/>
  <c r="AY72" i="1"/>
  <c r="BB72" i="1" s="1"/>
  <c r="AN101" i="1"/>
  <c r="BB101" i="1" s="1"/>
  <c r="AM31" i="1"/>
  <c r="AL31" i="1"/>
  <c r="AN31" i="1" s="1"/>
  <c r="BB31" i="1" s="1"/>
  <c r="AJ31" i="1"/>
  <c r="AK32" i="1" s="1"/>
  <c r="AM55" i="1"/>
  <c r="AJ55" i="1"/>
  <c r="AL55" i="1"/>
  <c r="AN55" i="1" s="1"/>
  <c r="BB55" i="1" s="1"/>
  <c r="AO29" i="1"/>
  <c r="AO30" i="1" s="1"/>
  <c r="AO31" i="1" s="1"/>
  <c r="BB29" i="1"/>
  <c r="AL66" i="1"/>
  <c r="AJ66" i="1"/>
  <c r="AM66" i="1"/>
  <c r="AN89" i="1"/>
  <c r="BB89" i="1" s="1"/>
  <c r="AN65" i="1"/>
  <c r="BB65" i="1" s="1"/>
  <c r="BC29" i="1"/>
  <c r="AY122" i="1"/>
  <c r="BB122" i="1" s="1"/>
  <c r="AX124" i="1"/>
  <c r="AU125" i="1"/>
  <c r="AW124" i="1"/>
  <c r="AY124" i="1" s="1"/>
  <c r="BB124" i="1" s="1"/>
  <c r="AU115" i="1"/>
  <c r="AV116" i="1" s="1"/>
  <c r="AX114" i="1"/>
  <c r="AW114" i="1"/>
  <c r="AU133" i="1"/>
  <c r="AX132" i="1"/>
  <c r="AW132" i="1"/>
  <c r="AY149" i="1"/>
  <c r="BB149" i="1" s="1"/>
  <c r="AZ37" i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Z61" i="1" s="1"/>
  <c r="AZ62" i="1" s="1"/>
  <c r="AZ63" i="1" s="1"/>
  <c r="AZ64" i="1" s="1"/>
  <c r="AZ65" i="1" s="1"/>
  <c r="AZ66" i="1" s="1"/>
  <c r="AZ67" i="1" s="1"/>
  <c r="AZ68" i="1" s="1"/>
  <c r="AZ69" i="1" s="1"/>
  <c r="AZ70" i="1" s="1"/>
  <c r="AZ71" i="1" s="1"/>
  <c r="AZ72" i="1" s="1"/>
  <c r="AZ73" i="1" s="1"/>
  <c r="AX74" i="1"/>
  <c r="AW74" i="1"/>
  <c r="AU75" i="1"/>
  <c r="AV76" i="1" s="1"/>
  <c r="AY106" i="1"/>
  <c r="BB106" i="1" s="1"/>
  <c r="AX117" i="1"/>
  <c r="AW117" i="1"/>
  <c r="AY117" i="1" s="1"/>
  <c r="BB117" i="1" s="1"/>
  <c r="AU118" i="1"/>
  <c r="AV119" i="1" s="1"/>
  <c r="AY115" i="1"/>
  <c r="BB115" i="1" s="1"/>
  <c r="AW151" i="1"/>
  <c r="AU152" i="1"/>
  <c r="AV153" i="1" s="1"/>
  <c r="AX151" i="1"/>
  <c r="AW107" i="1"/>
  <c r="AU108" i="1"/>
  <c r="AV109" i="1" s="1"/>
  <c r="AX107" i="1"/>
  <c r="AY112" i="1"/>
  <c r="BB112" i="1" s="1"/>
  <c r="AJ32" i="1" l="1"/>
  <c r="AM32" i="1"/>
  <c r="AL32" i="1"/>
  <c r="AN32" i="1" s="1"/>
  <c r="BB32" i="1" s="1"/>
  <c r="AY132" i="1"/>
  <c r="BB132" i="1" s="1"/>
  <c r="BB30" i="1"/>
  <c r="AN66" i="1"/>
  <c r="BB66" i="1" s="1"/>
  <c r="AM142" i="1"/>
  <c r="AJ142" i="1"/>
  <c r="AK143" i="1" s="1"/>
  <c r="AL142" i="1"/>
  <c r="AN142" i="1" s="1"/>
  <c r="BB142" i="1" s="1"/>
  <c r="BC30" i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AY114" i="1"/>
  <c r="BB114" i="1" s="1"/>
  <c r="AN141" i="1"/>
  <c r="BB141" i="1" s="1"/>
  <c r="AY151" i="1"/>
  <c r="BB151" i="1" s="1"/>
  <c r="AU77" i="1"/>
  <c r="AV78" i="1" s="1"/>
  <c r="AW76" i="1"/>
  <c r="AX76" i="1"/>
  <c r="AU110" i="1"/>
  <c r="AX109" i="1"/>
  <c r="AW109" i="1"/>
  <c r="AY109" i="1" s="1"/>
  <c r="BB109" i="1" s="1"/>
  <c r="AY107" i="1"/>
  <c r="BB107" i="1" s="1"/>
  <c r="AU154" i="1"/>
  <c r="AV155" i="1" s="1"/>
  <c r="AX153" i="1"/>
  <c r="AW153" i="1"/>
  <c r="AY153" i="1" s="1"/>
  <c r="BB153" i="1" s="1"/>
  <c r="AW119" i="1"/>
  <c r="AY119" i="1" s="1"/>
  <c r="BB119" i="1" s="1"/>
  <c r="AU120" i="1"/>
  <c r="AV121" i="1" s="1"/>
  <c r="AX119" i="1"/>
  <c r="AW116" i="1"/>
  <c r="AX116" i="1"/>
  <c r="AU117" i="1"/>
  <c r="AY74" i="1"/>
  <c r="AL143" i="1" l="1"/>
  <c r="AM143" i="1"/>
  <c r="AJ143" i="1"/>
  <c r="AK144" i="1" s="1"/>
  <c r="AO32" i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W155" i="1"/>
  <c r="AX155" i="1"/>
  <c r="AU156" i="1"/>
  <c r="BB74" i="1"/>
  <c r="AY76" i="1"/>
  <c r="BB76" i="1" s="1"/>
  <c r="AU79" i="1"/>
  <c r="AV80" i="1" s="1"/>
  <c r="AW78" i="1"/>
  <c r="AX78" i="1"/>
  <c r="AY116" i="1"/>
  <c r="BB116" i="1" s="1"/>
  <c r="AU122" i="1"/>
  <c r="AV123" i="1" s="1"/>
  <c r="AX121" i="1"/>
  <c r="AW121" i="1"/>
  <c r="AY121" i="1" s="1"/>
  <c r="BB121" i="1" s="1"/>
  <c r="AZ74" i="1"/>
  <c r="AZ75" i="1" s="1"/>
  <c r="AY78" i="1" l="1"/>
  <c r="BB78" i="1" s="1"/>
  <c r="AO143" i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" i="1" s="1"/>
  <c r="AM144" i="1"/>
  <c r="AL144" i="1"/>
  <c r="AN144" i="1" s="1"/>
  <c r="BB144" i="1" s="1"/>
  <c r="AJ144" i="1"/>
  <c r="AN143" i="1"/>
  <c r="AU124" i="1"/>
  <c r="AV125" i="1" s="1"/>
  <c r="AX123" i="1"/>
  <c r="AW123" i="1"/>
  <c r="AY123" i="1" s="1"/>
  <c r="BB123" i="1" s="1"/>
  <c r="AU81" i="1"/>
  <c r="AW80" i="1"/>
  <c r="AX80" i="1"/>
  <c r="BC74" i="1"/>
  <c r="BC75" i="1" s="1"/>
  <c r="BC76" i="1" s="1"/>
  <c r="BC77" i="1" s="1"/>
  <c r="AZ76" i="1"/>
  <c r="AZ77" i="1" s="1"/>
  <c r="AY155" i="1"/>
  <c r="BB155" i="1" s="1"/>
  <c r="AZ78" i="1" l="1"/>
  <c r="AZ79" i="1" s="1"/>
  <c r="BC78" i="1"/>
  <c r="BC79" i="1" s="1"/>
  <c r="BB143" i="1"/>
  <c r="AN10" i="1"/>
  <c r="AN9" i="1"/>
  <c r="AN11" i="1" s="1"/>
  <c r="AY80" i="1"/>
  <c r="AX125" i="1"/>
  <c r="AW125" i="1"/>
  <c r="AY125" i="1" s="1"/>
  <c r="BB125" i="1" s="1"/>
  <c r="AU126" i="1"/>
  <c r="AZ80" i="1"/>
  <c r="AZ81" i="1" s="1"/>
  <c r="AZ82" i="1" s="1"/>
  <c r="AZ83" i="1" s="1"/>
  <c r="AZ84" i="1" s="1"/>
  <c r="AZ85" i="1" s="1"/>
  <c r="AZ86" i="1" s="1"/>
  <c r="AZ87" i="1" s="1"/>
  <c r="AZ88" i="1" s="1"/>
  <c r="AZ89" i="1" s="1"/>
  <c r="AZ90" i="1" s="1"/>
  <c r="AZ91" i="1" s="1"/>
  <c r="AZ92" i="1" s="1"/>
  <c r="AZ93" i="1" s="1"/>
  <c r="AZ94" i="1" s="1"/>
  <c r="AZ95" i="1" s="1"/>
  <c r="AZ96" i="1" s="1"/>
  <c r="AZ97" i="1" s="1"/>
  <c r="AZ98" i="1" s="1"/>
  <c r="AZ99" i="1" s="1"/>
  <c r="AZ100" i="1" s="1"/>
  <c r="AZ101" i="1" s="1"/>
  <c r="AZ102" i="1" s="1"/>
  <c r="AZ103" i="1" s="1"/>
  <c r="AZ104" i="1" s="1"/>
  <c r="AZ105" i="1" s="1"/>
  <c r="AZ106" i="1" s="1"/>
  <c r="AZ107" i="1" s="1"/>
  <c r="AZ108" i="1" s="1"/>
  <c r="AZ109" i="1" s="1"/>
  <c r="AZ110" i="1" s="1"/>
  <c r="AZ111" i="1" s="1"/>
  <c r="AZ112" i="1" s="1"/>
  <c r="AZ113" i="1" s="1"/>
  <c r="AZ114" i="1" s="1"/>
  <c r="AZ115" i="1" s="1"/>
  <c r="AZ116" i="1" s="1"/>
  <c r="AZ117" i="1" s="1"/>
  <c r="AZ118" i="1" s="1"/>
  <c r="AZ119" i="1" s="1"/>
  <c r="AZ120" i="1" s="1"/>
  <c r="AZ121" i="1" s="1"/>
  <c r="AZ122" i="1" s="1"/>
  <c r="AZ123" i="1" s="1"/>
  <c r="AZ124" i="1" s="1"/>
  <c r="AZ125" i="1" s="1"/>
  <c r="AZ126" i="1" s="1"/>
  <c r="AZ127" i="1" s="1"/>
  <c r="AZ128" i="1" s="1"/>
  <c r="AZ129" i="1" s="1"/>
  <c r="AZ130" i="1" s="1"/>
  <c r="AZ131" i="1" s="1"/>
  <c r="AZ132" i="1" s="1"/>
  <c r="AZ133" i="1" s="1"/>
  <c r="AZ134" i="1" s="1"/>
  <c r="AZ135" i="1" s="1"/>
  <c r="AZ136" i="1" s="1"/>
  <c r="AZ137" i="1" s="1"/>
  <c r="AZ138" i="1" s="1"/>
  <c r="AZ139" i="1" s="1"/>
  <c r="AZ140" i="1" s="1"/>
  <c r="AZ141" i="1" s="1"/>
  <c r="AZ142" i="1" s="1"/>
  <c r="AZ143" i="1" s="1"/>
  <c r="AZ144" i="1" s="1"/>
  <c r="AZ145" i="1" s="1"/>
  <c r="AZ146" i="1" s="1"/>
  <c r="AZ147" i="1" s="1"/>
  <c r="AZ148" i="1" s="1"/>
  <c r="AZ149" i="1" s="1"/>
  <c r="AZ150" i="1" s="1"/>
  <c r="AZ151" i="1" s="1"/>
  <c r="AZ152" i="1" s="1"/>
  <c r="AZ153" i="1" s="1"/>
  <c r="AZ154" i="1" s="1"/>
  <c r="AZ155" i="1" s="1"/>
  <c r="AZ156" i="1" s="1"/>
  <c r="AZ1" i="1" s="1"/>
  <c r="BB80" i="1" l="1"/>
  <c r="AY10" i="1"/>
  <c r="AY9" i="1"/>
  <c r="AY11" i="1" s="1"/>
  <c r="BB10" i="1" l="1"/>
  <c r="BB9" i="1"/>
  <c r="BC80" i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" i="1" s="1"/>
  <c r="BB11" i="1" l="1"/>
</calcChain>
</file>

<file path=xl/sharedStrings.xml><?xml version="1.0" encoding="utf-8"?>
<sst xmlns="http://schemas.openxmlformats.org/spreadsheetml/2006/main" count="37" uniqueCount="32">
  <si>
    <t>date</t>
  </si>
  <si>
    <t>CMF</t>
  </si>
  <si>
    <t>VTEC</t>
  </si>
  <si>
    <t>VTEC/CMF</t>
  </si>
  <si>
    <t>VTEC/CMF avg</t>
  </si>
  <si>
    <t>VTEC/CMF 10 dma</t>
  </si>
  <si>
    <t>VTEC/CMF 20 dma</t>
  </si>
  <si>
    <t>CMF avg</t>
  </si>
  <si>
    <t>CMF 10 dma</t>
  </si>
  <si>
    <t>CMF 20 dma</t>
  </si>
  <si>
    <t>avg diff</t>
  </si>
  <si>
    <t>10 dma diff</t>
  </si>
  <si>
    <t>20 dma diff</t>
  </si>
  <si>
    <t>CMF div</t>
  </si>
  <si>
    <t>VTEC div</t>
  </si>
  <si>
    <t>CMF*</t>
  </si>
  <si>
    <t>VTEC*</t>
  </si>
  <si>
    <t>VTEC*/CMF*</t>
  </si>
  <si>
    <t>VTEC*/CMF* avg</t>
  </si>
  <si>
    <t>VTEC*/CMF* 10 dma</t>
  </si>
  <si>
    <t>VTEC*/CMF* 20 dma</t>
  </si>
  <si>
    <t>CMF* avg</t>
  </si>
  <si>
    <t>CMF* 10 dma</t>
  </si>
  <si>
    <t>CMF* 20 dma</t>
  </si>
  <si>
    <t>avg diff*</t>
  </si>
  <si>
    <t>10 dma diff*</t>
  </si>
  <si>
    <t>20 dma diff*</t>
  </si>
  <si>
    <t>signal</t>
  </si>
  <si>
    <t>under</t>
  </si>
  <si>
    <t>over</t>
  </si>
  <si>
    <t>yday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</si>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</sst>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  <numFmt numFmtId="166" formatCode="0.0000%"/>
    <numFmt numFmtId="167" formatCode="_(&quot;$&quot;* #,##0.000_);_(&quot;$&quot;* \(#,##0.000\);_(&quot;$&quot;* &quot;-&quot;??_);_(@_)"/>
    <numFmt numFmtId="168" formatCode="0.00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right"/>
    </xf>
    <xf numFmtId="164" fontId="18" fillId="0" borderId="0" xfId="2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18" fillId="0" borderId="0" xfId="3" applyNumberFormat="1" applyFont="1" applyAlignment="1">
      <alignment horizontal="right"/>
    </xf>
    <xf numFmtId="167" fontId="18" fillId="0" borderId="0" xfId="2" applyNumberFormat="1" applyFont="1" applyAlignment="1">
      <alignment horizontal="right"/>
    </xf>
    <xf numFmtId="44" fontId="18" fillId="0" borderId="0" xfId="2" applyFont="1" applyAlignment="1">
      <alignment horizontal="right"/>
    </xf>
    <xf numFmtId="168" fontId="18" fillId="0" borderId="0" xfId="3" applyNumberFormat="1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65" fontId="0" fillId="0" borderId="0" xfId="1" applyNumberFormat="1" applyFont="1"/>
    <xf numFmtId="166" fontId="0" fillId="0" borderId="0" xfId="3" applyNumberFormat="1" applyFont="1"/>
    <xf numFmtId="167" fontId="0" fillId="0" borderId="0" xfId="2" applyNumberFormat="1" applyFont="1"/>
    <xf numFmtId="44" fontId="0" fillId="0" borderId="0" xfId="2" applyFont="1"/>
    <xf numFmtId="165" fontId="14" fillId="0" borderId="0" xfId="1" applyNumberFormat="1" applyFont="1"/>
    <xf numFmtId="168" fontId="0" fillId="0" borderId="0" xfId="3" applyNumberFormat="1" applyFont="1"/>
    <xf numFmtId="164" fontId="14" fillId="0" borderId="0" xfId="2" applyNumberFormat="1" applyFont="1"/>
    <xf numFmtId="168" fontId="14" fillId="0" borderId="0" xfId="3" applyNumberFormat="1" applyFont="1"/>
    <xf numFmtId="10" fontId="0" fillId="0" borderId="0" xfId="3" applyNumberFormat="1" applyFont="1"/>
    <xf numFmtId="10" fontId="0" fillId="0" borderId="0" xfId="0" applyNumberFormat="1"/>
    <xf numFmtId="44" fontId="19" fillId="0" borderId="0" xfId="2" applyFont="1"/>
    <xf numFmtId="0" fontId="20" fillId="0" borderId="0" xfId="0" applyFont="1"/>
    <xf numFmtId="167" fontId="14" fillId="0" borderId="0" xfId="2" applyNumberFormat="1" applyFont="1"/>
    <xf numFmtId="44" fontId="14" fillId="0" borderId="0" xfId="2" applyFont="1"/>
    <xf numFmtId="0" fontId="0" fillId="34" borderId="0" xfId="0" applyFill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CMF_VTEC!$AO$22:$AO$156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6.1178234084519837E-5</c:v>
                </c:pt>
                <c:pt idx="41">
                  <c:v>1.2238759411084337E-5</c:v>
                </c:pt>
                <c:pt idx="42">
                  <c:v>7.4917602267971645E-4</c:v>
                </c:pt>
                <c:pt idx="43">
                  <c:v>3.6951755318775134E-4</c:v>
                </c:pt>
                <c:pt idx="44">
                  <c:v>1.1774644285457163E-3</c:v>
                </c:pt>
                <c:pt idx="45">
                  <c:v>1.1774644285457163E-3</c:v>
                </c:pt>
                <c:pt idx="46">
                  <c:v>1.1774644285457163E-3</c:v>
                </c:pt>
                <c:pt idx="47">
                  <c:v>1.1774644285457163E-3</c:v>
                </c:pt>
                <c:pt idx="48">
                  <c:v>1.1774644285457163E-3</c:v>
                </c:pt>
                <c:pt idx="49">
                  <c:v>1.1774644285457163E-3</c:v>
                </c:pt>
                <c:pt idx="50">
                  <c:v>1.1774644285457163E-3</c:v>
                </c:pt>
                <c:pt idx="51">
                  <c:v>1.1774644285457163E-3</c:v>
                </c:pt>
                <c:pt idx="52">
                  <c:v>1.1774644285457163E-3</c:v>
                </c:pt>
                <c:pt idx="53">
                  <c:v>1.1774644285457163E-3</c:v>
                </c:pt>
                <c:pt idx="54">
                  <c:v>1.1774644285457163E-3</c:v>
                </c:pt>
                <c:pt idx="55">
                  <c:v>1.1774644285457163E-3</c:v>
                </c:pt>
                <c:pt idx="56">
                  <c:v>1.1774644285457163E-3</c:v>
                </c:pt>
                <c:pt idx="57">
                  <c:v>1.1774644285457163E-3</c:v>
                </c:pt>
                <c:pt idx="58">
                  <c:v>1.1774644285457163E-3</c:v>
                </c:pt>
                <c:pt idx="59">
                  <c:v>1.1774644285457163E-3</c:v>
                </c:pt>
                <c:pt idx="60">
                  <c:v>1.1774644285457163E-3</c:v>
                </c:pt>
                <c:pt idx="61">
                  <c:v>1.1774644285457163E-3</c:v>
                </c:pt>
                <c:pt idx="62">
                  <c:v>1.1774644285457163E-3</c:v>
                </c:pt>
                <c:pt idx="63">
                  <c:v>1.1774644285457163E-3</c:v>
                </c:pt>
                <c:pt idx="64">
                  <c:v>1.1774644285457163E-3</c:v>
                </c:pt>
                <c:pt idx="65">
                  <c:v>1.1774644285457163E-3</c:v>
                </c:pt>
                <c:pt idx="66">
                  <c:v>1.1774644285457163E-3</c:v>
                </c:pt>
                <c:pt idx="67">
                  <c:v>1.1774644285457163E-3</c:v>
                </c:pt>
                <c:pt idx="68">
                  <c:v>1.2000573438814264E-3</c:v>
                </c:pt>
                <c:pt idx="69">
                  <c:v>2.0943582470466524E-3</c:v>
                </c:pt>
                <c:pt idx="70">
                  <c:v>2.4396987822685543E-3</c:v>
                </c:pt>
                <c:pt idx="71">
                  <c:v>2.4396987822685543E-3</c:v>
                </c:pt>
                <c:pt idx="72">
                  <c:v>2.4396987822685543E-3</c:v>
                </c:pt>
                <c:pt idx="73">
                  <c:v>2.4396987822685543E-3</c:v>
                </c:pt>
                <c:pt idx="74">
                  <c:v>2.2759496409478475E-3</c:v>
                </c:pt>
                <c:pt idx="75">
                  <c:v>3.6235668969633447E-3</c:v>
                </c:pt>
                <c:pt idx="76">
                  <c:v>3.6235668969633447E-3</c:v>
                </c:pt>
                <c:pt idx="77">
                  <c:v>3.6235668969633447E-3</c:v>
                </c:pt>
                <c:pt idx="78">
                  <c:v>3.6235668969633447E-3</c:v>
                </c:pt>
                <c:pt idx="79">
                  <c:v>3.6235668969633447E-3</c:v>
                </c:pt>
                <c:pt idx="80">
                  <c:v>3.6235668969633447E-3</c:v>
                </c:pt>
                <c:pt idx="81">
                  <c:v>3.6235668969633447E-3</c:v>
                </c:pt>
                <c:pt idx="82">
                  <c:v>3.6235668969633447E-3</c:v>
                </c:pt>
                <c:pt idx="83">
                  <c:v>3.6235668969633447E-3</c:v>
                </c:pt>
                <c:pt idx="84">
                  <c:v>3.6235668969633447E-3</c:v>
                </c:pt>
                <c:pt idx="85">
                  <c:v>3.6235668969633447E-3</c:v>
                </c:pt>
                <c:pt idx="86">
                  <c:v>3.6235668969633447E-3</c:v>
                </c:pt>
                <c:pt idx="87">
                  <c:v>3.6235668969633447E-3</c:v>
                </c:pt>
                <c:pt idx="88">
                  <c:v>3.6235668969633447E-3</c:v>
                </c:pt>
                <c:pt idx="89">
                  <c:v>3.6235668969633447E-3</c:v>
                </c:pt>
                <c:pt idx="90">
                  <c:v>3.6235668969633447E-3</c:v>
                </c:pt>
                <c:pt idx="91">
                  <c:v>3.6235668969633447E-3</c:v>
                </c:pt>
                <c:pt idx="92">
                  <c:v>3.6235668969633447E-3</c:v>
                </c:pt>
                <c:pt idx="93">
                  <c:v>3.6235668969633447E-3</c:v>
                </c:pt>
                <c:pt idx="94">
                  <c:v>3.6235668969633447E-3</c:v>
                </c:pt>
                <c:pt idx="95">
                  <c:v>3.6235668969633447E-3</c:v>
                </c:pt>
                <c:pt idx="96">
                  <c:v>3.6235668969633447E-3</c:v>
                </c:pt>
                <c:pt idx="97">
                  <c:v>3.6235668969633447E-3</c:v>
                </c:pt>
                <c:pt idx="98">
                  <c:v>3.6235668969633447E-3</c:v>
                </c:pt>
                <c:pt idx="99">
                  <c:v>3.6235668969633447E-3</c:v>
                </c:pt>
                <c:pt idx="100">
                  <c:v>3.6235668969633447E-3</c:v>
                </c:pt>
                <c:pt idx="101">
                  <c:v>3.6235668969633447E-3</c:v>
                </c:pt>
                <c:pt idx="102">
                  <c:v>3.6235668969633447E-3</c:v>
                </c:pt>
                <c:pt idx="103">
                  <c:v>3.6235668969633447E-3</c:v>
                </c:pt>
                <c:pt idx="104">
                  <c:v>3.6235668969633447E-3</c:v>
                </c:pt>
                <c:pt idx="105">
                  <c:v>3.6235668969633447E-3</c:v>
                </c:pt>
                <c:pt idx="106">
                  <c:v>3.6235668969633447E-3</c:v>
                </c:pt>
                <c:pt idx="107">
                  <c:v>3.6235668969633447E-3</c:v>
                </c:pt>
                <c:pt idx="108">
                  <c:v>3.6235668969633447E-3</c:v>
                </c:pt>
                <c:pt idx="109">
                  <c:v>3.6235668969633447E-3</c:v>
                </c:pt>
                <c:pt idx="110">
                  <c:v>3.6235668969633447E-3</c:v>
                </c:pt>
                <c:pt idx="111">
                  <c:v>3.6235668969633447E-3</c:v>
                </c:pt>
                <c:pt idx="112">
                  <c:v>3.6235668969633447E-3</c:v>
                </c:pt>
                <c:pt idx="113">
                  <c:v>3.6235668969633447E-3</c:v>
                </c:pt>
                <c:pt idx="114">
                  <c:v>3.6235668969633447E-3</c:v>
                </c:pt>
                <c:pt idx="115">
                  <c:v>3.6235668969633447E-3</c:v>
                </c:pt>
                <c:pt idx="116">
                  <c:v>3.6235668969633447E-3</c:v>
                </c:pt>
                <c:pt idx="117">
                  <c:v>3.6235668969633447E-3</c:v>
                </c:pt>
                <c:pt idx="118">
                  <c:v>3.6235668969633447E-3</c:v>
                </c:pt>
                <c:pt idx="119">
                  <c:v>3.6235668969633447E-3</c:v>
                </c:pt>
                <c:pt idx="120">
                  <c:v>3.6235668969633447E-3</c:v>
                </c:pt>
                <c:pt idx="121">
                  <c:v>3.6235668969633447E-3</c:v>
                </c:pt>
                <c:pt idx="122">
                  <c:v>3.6235668969633447E-3</c:v>
                </c:pt>
                <c:pt idx="123">
                  <c:v>3.6235668969633447E-3</c:v>
                </c:pt>
                <c:pt idx="124">
                  <c:v>3.6235668969633447E-3</c:v>
                </c:pt>
                <c:pt idx="125">
                  <c:v>3.6235668969633447E-3</c:v>
                </c:pt>
                <c:pt idx="126">
                  <c:v>3.6235668969633447E-3</c:v>
                </c:pt>
                <c:pt idx="127">
                  <c:v>3.6235668969633447E-3</c:v>
                </c:pt>
                <c:pt idx="128">
                  <c:v>3.6235668969633447E-3</c:v>
                </c:pt>
                <c:pt idx="129">
                  <c:v>3.6235668969633447E-3</c:v>
                </c:pt>
                <c:pt idx="130">
                  <c:v>3.6235668969633447E-3</c:v>
                </c:pt>
                <c:pt idx="131">
                  <c:v>3.6235668969633447E-3</c:v>
                </c:pt>
                <c:pt idx="132">
                  <c:v>3.6235668969633447E-3</c:v>
                </c:pt>
                <c:pt idx="133">
                  <c:v>3.6235668969633447E-3</c:v>
                </c:pt>
                <c:pt idx="134">
                  <c:v>3.6235668969633447E-3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3-4E75-8375-AE10E6744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CMF_VTEC!$AZ$22:$AZ$156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8.2786809888977402E-4</c:v>
                </c:pt>
                <c:pt idx="37">
                  <c:v>8.2786809888977402E-4</c:v>
                </c:pt>
                <c:pt idx="38">
                  <c:v>8.2786809888977402E-4</c:v>
                </c:pt>
                <c:pt idx="39">
                  <c:v>8.2786809888977402E-4</c:v>
                </c:pt>
                <c:pt idx="40">
                  <c:v>8.2786809888977402E-4</c:v>
                </c:pt>
                <c:pt idx="41">
                  <c:v>8.2786809888977402E-4</c:v>
                </c:pt>
                <c:pt idx="42">
                  <c:v>8.2786809888977402E-4</c:v>
                </c:pt>
                <c:pt idx="43">
                  <c:v>8.2786809888977402E-4</c:v>
                </c:pt>
                <c:pt idx="44">
                  <c:v>8.2786809888977402E-4</c:v>
                </c:pt>
                <c:pt idx="45">
                  <c:v>8.2786809888977402E-4</c:v>
                </c:pt>
                <c:pt idx="46">
                  <c:v>8.2786809888977402E-4</c:v>
                </c:pt>
                <c:pt idx="47">
                  <c:v>8.2786809888977402E-4</c:v>
                </c:pt>
                <c:pt idx="48">
                  <c:v>8.2786809888977402E-4</c:v>
                </c:pt>
                <c:pt idx="49">
                  <c:v>8.2786809888977402E-4</c:v>
                </c:pt>
                <c:pt idx="50">
                  <c:v>8.2786809888977402E-4</c:v>
                </c:pt>
                <c:pt idx="51">
                  <c:v>8.2786809888977402E-4</c:v>
                </c:pt>
                <c:pt idx="52">
                  <c:v>8.2786809888977402E-4</c:v>
                </c:pt>
                <c:pt idx="53">
                  <c:v>8.2786809888977402E-4</c:v>
                </c:pt>
                <c:pt idx="54">
                  <c:v>8.2786809888977402E-4</c:v>
                </c:pt>
                <c:pt idx="55">
                  <c:v>8.2786809888977402E-4</c:v>
                </c:pt>
                <c:pt idx="56">
                  <c:v>8.2786809888977402E-4</c:v>
                </c:pt>
                <c:pt idx="57">
                  <c:v>8.2786809888977402E-4</c:v>
                </c:pt>
                <c:pt idx="58">
                  <c:v>8.2786809888977402E-4</c:v>
                </c:pt>
                <c:pt idx="59">
                  <c:v>8.2786809888977402E-4</c:v>
                </c:pt>
                <c:pt idx="60">
                  <c:v>8.2786809888977402E-4</c:v>
                </c:pt>
                <c:pt idx="61">
                  <c:v>8.2786809888977402E-4</c:v>
                </c:pt>
                <c:pt idx="62">
                  <c:v>8.2786809888977402E-4</c:v>
                </c:pt>
                <c:pt idx="63">
                  <c:v>8.2786809888977402E-4</c:v>
                </c:pt>
                <c:pt idx="64">
                  <c:v>8.2786809888977402E-4</c:v>
                </c:pt>
                <c:pt idx="65">
                  <c:v>8.2786809888977402E-4</c:v>
                </c:pt>
                <c:pt idx="66">
                  <c:v>8.2786809888977402E-4</c:v>
                </c:pt>
                <c:pt idx="67">
                  <c:v>8.2786809888977402E-4</c:v>
                </c:pt>
                <c:pt idx="68">
                  <c:v>8.2786809888977402E-4</c:v>
                </c:pt>
                <c:pt idx="69">
                  <c:v>8.2786809888977402E-4</c:v>
                </c:pt>
                <c:pt idx="70">
                  <c:v>8.2786809888977402E-4</c:v>
                </c:pt>
                <c:pt idx="71">
                  <c:v>8.2786809888977402E-4</c:v>
                </c:pt>
                <c:pt idx="72">
                  <c:v>8.2786809888977402E-4</c:v>
                </c:pt>
                <c:pt idx="73">
                  <c:v>8.2786809888977402E-4</c:v>
                </c:pt>
                <c:pt idx="74">
                  <c:v>8.2786809888977402E-4</c:v>
                </c:pt>
                <c:pt idx="75">
                  <c:v>8.2786809888977402E-4</c:v>
                </c:pt>
                <c:pt idx="76">
                  <c:v>8.2786809888977402E-4</c:v>
                </c:pt>
                <c:pt idx="77">
                  <c:v>8.2786809888977402E-4</c:v>
                </c:pt>
                <c:pt idx="78">
                  <c:v>8.2786809888977402E-4</c:v>
                </c:pt>
                <c:pt idx="79">
                  <c:v>8.2786809888977402E-4</c:v>
                </c:pt>
                <c:pt idx="80">
                  <c:v>8.2786809888977402E-4</c:v>
                </c:pt>
                <c:pt idx="81">
                  <c:v>8.2786809888977402E-4</c:v>
                </c:pt>
                <c:pt idx="82">
                  <c:v>8.2786809888977402E-4</c:v>
                </c:pt>
                <c:pt idx="83">
                  <c:v>8.2786809888977402E-4</c:v>
                </c:pt>
                <c:pt idx="84">
                  <c:v>8.2786809888977402E-4</c:v>
                </c:pt>
                <c:pt idx="85">
                  <c:v>8.2786809888977402E-4</c:v>
                </c:pt>
                <c:pt idx="86">
                  <c:v>8.2786809888977402E-4</c:v>
                </c:pt>
                <c:pt idx="87">
                  <c:v>8.2786809888977402E-4</c:v>
                </c:pt>
                <c:pt idx="88">
                  <c:v>8.2786809888977402E-4</c:v>
                </c:pt>
                <c:pt idx="89">
                  <c:v>8.2786809888977402E-4</c:v>
                </c:pt>
                <c:pt idx="90">
                  <c:v>8.2786809888977402E-4</c:v>
                </c:pt>
                <c:pt idx="91">
                  <c:v>8.2786809888977402E-4</c:v>
                </c:pt>
                <c:pt idx="92">
                  <c:v>8.2786809888977402E-4</c:v>
                </c:pt>
                <c:pt idx="93">
                  <c:v>8.2786809888977402E-4</c:v>
                </c:pt>
                <c:pt idx="94">
                  <c:v>8.2786809888977402E-4</c:v>
                </c:pt>
                <c:pt idx="95">
                  <c:v>8.2786809888977402E-4</c:v>
                </c:pt>
                <c:pt idx="96">
                  <c:v>8.2786809888977402E-4</c:v>
                </c:pt>
                <c:pt idx="97">
                  <c:v>8.2786809888977402E-4</c:v>
                </c:pt>
                <c:pt idx="98">
                  <c:v>8.2786809888977402E-4</c:v>
                </c:pt>
                <c:pt idx="99">
                  <c:v>8.2786809888977402E-4</c:v>
                </c:pt>
                <c:pt idx="100">
                  <c:v>8.2786809888977402E-4</c:v>
                </c:pt>
                <c:pt idx="101">
                  <c:v>8.2786809888977402E-4</c:v>
                </c:pt>
                <c:pt idx="102">
                  <c:v>8.2786809888977402E-4</c:v>
                </c:pt>
                <c:pt idx="103">
                  <c:v>8.2786809888977402E-4</c:v>
                </c:pt>
                <c:pt idx="104">
                  <c:v>8.2786809888977402E-4</c:v>
                </c:pt>
                <c:pt idx="105">
                  <c:v>8.2786809888977402E-4</c:v>
                </c:pt>
                <c:pt idx="106">
                  <c:v>8.2786809888977402E-4</c:v>
                </c:pt>
                <c:pt idx="107">
                  <c:v>8.2786809888977402E-4</c:v>
                </c:pt>
                <c:pt idx="108">
                  <c:v>8.2786809888977402E-4</c:v>
                </c:pt>
                <c:pt idx="109">
                  <c:v>8.2786809888977402E-4</c:v>
                </c:pt>
                <c:pt idx="110">
                  <c:v>8.2786809888977402E-4</c:v>
                </c:pt>
                <c:pt idx="111">
                  <c:v>8.2786809888977402E-4</c:v>
                </c:pt>
                <c:pt idx="112">
                  <c:v>8.2786809888977402E-4</c:v>
                </c:pt>
                <c:pt idx="113">
                  <c:v>8.2786809888977402E-4</c:v>
                </c:pt>
                <c:pt idx="114">
                  <c:v>8.2786809888977402E-4</c:v>
                </c:pt>
                <c:pt idx="115">
                  <c:v>8.2786809888977402E-4</c:v>
                </c:pt>
                <c:pt idx="116">
                  <c:v>8.2786809888977402E-4</c:v>
                </c:pt>
                <c:pt idx="117">
                  <c:v>8.2786809888977402E-4</c:v>
                </c:pt>
                <c:pt idx="118">
                  <c:v>8.2786809888977402E-4</c:v>
                </c:pt>
                <c:pt idx="119">
                  <c:v>8.2786809888977402E-4</c:v>
                </c:pt>
                <c:pt idx="120">
                  <c:v>8.2786809888977402E-4</c:v>
                </c:pt>
                <c:pt idx="121">
                  <c:v>8.2786809888977402E-4</c:v>
                </c:pt>
                <c:pt idx="122">
                  <c:v>8.2786809888977402E-4</c:v>
                </c:pt>
                <c:pt idx="123">
                  <c:v>1.7147462545100774E-3</c:v>
                </c:pt>
                <c:pt idx="124">
                  <c:v>1.7147462545100774E-3</c:v>
                </c:pt>
                <c:pt idx="125">
                  <c:v>1.0111683812518469E-3</c:v>
                </c:pt>
                <c:pt idx="126">
                  <c:v>1.4587774709527159E-3</c:v>
                </c:pt>
                <c:pt idx="127">
                  <c:v>2.0361649134831312E-3</c:v>
                </c:pt>
                <c:pt idx="128">
                  <c:v>1.9866578964600388E-3</c:v>
                </c:pt>
                <c:pt idx="129">
                  <c:v>2.1542340895051282E-3</c:v>
                </c:pt>
                <c:pt idx="130">
                  <c:v>2.1542340895051282E-3</c:v>
                </c:pt>
                <c:pt idx="131">
                  <c:v>2.1522276471026172E-3</c:v>
                </c:pt>
                <c:pt idx="132">
                  <c:v>2.1522276471026172E-3</c:v>
                </c:pt>
                <c:pt idx="133">
                  <c:v>2.1482970775333005E-3</c:v>
                </c:pt>
                <c:pt idx="134">
                  <c:v>2.1482970775333005E-3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71-4ABA-AA4D-FE9971EC8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927776"/>
        <c:axId val="1284439856"/>
      </c:lineChart>
      <c:catAx>
        <c:axId val="128592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39856"/>
        <c:crosses val="autoZero"/>
        <c:auto val="1"/>
        <c:lblAlgn val="ctr"/>
        <c:lblOffset val="100"/>
        <c:noMultiLvlLbl val="0"/>
      </c:catAx>
      <c:valAx>
        <c:axId val="128443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2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CMF_VTEC!$Z$1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CMF_VTEC!$Z$2:$Z$156</c:f>
              <c:numCache>
                <c:formatCode>0.000%</c:formatCode>
                <c:ptCount val="155"/>
                <c:pt idx="10">
                  <c:v>-6.1713257478847322E-5</c:v>
                </c:pt>
                <c:pt idx="11">
                  <c:v>1.4013289237395444E-3</c:v>
                </c:pt>
                <c:pt idx="12">
                  <c:v>-6.0806048068590417E-4</c:v>
                </c:pt>
                <c:pt idx="13">
                  <c:v>-8.3379152231694942E-4</c:v>
                </c:pt>
                <c:pt idx="14">
                  <c:v>-5.6073294392030096E-4</c:v>
                </c:pt>
                <c:pt idx="15">
                  <c:v>-4.3604588072013238E-4</c:v>
                </c:pt>
                <c:pt idx="16">
                  <c:v>1.0163821300123182E-4</c:v>
                </c:pt>
                <c:pt idx="17">
                  <c:v>1.1379162158797492E-4</c:v>
                </c:pt>
                <c:pt idx="18">
                  <c:v>-1.4606216725781494E-4</c:v>
                </c:pt>
                <c:pt idx="19">
                  <c:v>-1.9623789767868257E-4</c:v>
                </c:pt>
                <c:pt idx="20">
                  <c:v>3.1788896041531802E-4</c:v>
                </c:pt>
                <c:pt idx="21">
                  <c:v>1.9660202693361957E-4</c:v>
                </c:pt>
                <c:pt idx="22">
                  <c:v>5.2789843432465681E-4</c:v>
                </c:pt>
                <c:pt idx="23">
                  <c:v>2.8207025864333233E-4</c:v>
                </c:pt>
                <c:pt idx="24">
                  <c:v>-7.4937473631711817E-5</c:v>
                </c:pt>
                <c:pt idx="25">
                  <c:v>-3.7331137788888506E-5</c:v>
                </c:pt>
                <c:pt idx="26">
                  <c:v>-9.3986145862045905E-4</c:v>
                </c:pt>
                <c:pt idx="27">
                  <c:v>-4.7281800485704495E-4</c:v>
                </c:pt>
                <c:pt idx="28">
                  <c:v>-5.2565909754930494E-4</c:v>
                </c:pt>
                <c:pt idx="29">
                  <c:v>-1.540560067637483E-4</c:v>
                </c:pt>
                <c:pt idx="30">
                  <c:v>9.6920549933409642E-5</c:v>
                </c:pt>
                <c:pt idx="31">
                  <c:v>4.704797564881989E-4</c:v>
                </c:pt>
                <c:pt idx="32">
                  <c:v>1.3743307898928732E-5</c:v>
                </c:pt>
                <c:pt idx="33">
                  <c:v>2.6305595645649966E-4</c:v>
                </c:pt>
                <c:pt idx="34">
                  <c:v>6.2181095643652697E-4</c:v>
                </c:pt>
                <c:pt idx="35">
                  <c:v>6.7356868119858467E-4</c:v>
                </c:pt>
                <c:pt idx="36">
                  <c:v>-3.3336706327927304E-4</c:v>
                </c:pt>
                <c:pt idx="37">
                  <c:v>-3.7210406417814153E-4</c:v>
                </c:pt>
                <c:pt idx="38">
                  <c:v>-3.7439613512812997E-4</c:v>
                </c:pt>
                <c:pt idx="39">
                  <c:v>2.7885914973541657E-4</c:v>
                </c:pt>
                <c:pt idx="40">
                  <c:v>6.0695059425666664E-4</c:v>
                </c:pt>
                <c:pt idx="41">
                  <c:v>-4.2194441650223862E-4</c:v>
                </c:pt>
                <c:pt idx="42">
                  <c:v>-3.582699676590405E-4</c:v>
                </c:pt>
                <c:pt idx="43">
                  <c:v>4.304537631730087E-4</c:v>
                </c:pt>
                <c:pt idx="44">
                  <c:v>-3.9850752487622862E-4</c:v>
                </c:pt>
                <c:pt idx="45">
                  <c:v>7.678429823709935E-4</c:v>
                </c:pt>
                <c:pt idx="46">
                  <c:v>-1.5413865804755807E-4</c:v>
                </c:pt>
                <c:pt idx="47">
                  <c:v>3.8184562402231506E-4</c:v>
                </c:pt>
                <c:pt idx="48">
                  <c:v>-1.8685186112445503E-4</c:v>
                </c:pt>
                <c:pt idx="49">
                  <c:v>-6.6307840199969481E-4</c:v>
                </c:pt>
                <c:pt idx="50">
                  <c:v>-6.5672142380403145E-4</c:v>
                </c:pt>
                <c:pt idx="51">
                  <c:v>6.0394707700511452E-5</c:v>
                </c:pt>
                <c:pt idx="52">
                  <c:v>3.1694124453867959E-7</c:v>
                </c:pt>
                <c:pt idx="53">
                  <c:v>8.0076343923029625E-4</c:v>
                </c:pt>
                <c:pt idx="54">
                  <c:v>-9.0730182907885375E-4</c:v>
                </c:pt>
                <c:pt idx="55">
                  <c:v>1.4448981003746726E-3</c:v>
                </c:pt>
                <c:pt idx="56">
                  <c:v>5.5097427760037983E-4</c:v>
                </c:pt>
                <c:pt idx="57">
                  <c:v>-1.1024831165404355E-4</c:v>
                </c:pt>
                <c:pt idx="58">
                  <c:v>3.001066174438114E-5</c:v>
                </c:pt>
                <c:pt idx="59">
                  <c:v>-1.0152397029555729E-3</c:v>
                </c:pt>
                <c:pt idx="60">
                  <c:v>-9.1326603151467122E-4</c:v>
                </c:pt>
                <c:pt idx="61">
                  <c:v>-9.3492968306945064E-4</c:v>
                </c:pt>
                <c:pt idx="62">
                  <c:v>-1.0671690295617364E-4</c:v>
                </c:pt>
                <c:pt idx="63">
                  <c:v>-4.7179366247256907E-4</c:v>
                </c:pt>
                <c:pt idx="64">
                  <c:v>4.7147297784711829E-4</c:v>
                </c:pt>
                <c:pt idx="65">
                  <c:v>-3.5548511961116543E-4</c:v>
                </c:pt>
                <c:pt idx="66">
                  <c:v>1.6415557993175721E-4</c:v>
                </c:pt>
                <c:pt idx="67">
                  <c:v>5.0868514860690308E-4</c:v>
                </c:pt>
                <c:pt idx="68">
                  <c:v>4.2500115085442405E-4</c:v>
                </c:pt>
                <c:pt idx="69">
                  <c:v>4.0481130601564716E-4</c:v>
                </c:pt>
                <c:pt idx="70">
                  <c:v>1.0520994469570529E-3</c:v>
                </c:pt>
                <c:pt idx="71">
                  <c:v>1.1366650065888018E-4</c:v>
                </c:pt>
                <c:pt idx="72">
                  <c:v>-1.2109697974284459E-4</c:v>
                </c:pt>
                <c:pt idx="73">
                  <c:v>2.9794418903779287E-4</c:v>
                </c:pt>
                <c:pt idx="74">
                  <c:v>1.8429768809307906E-4</c:v>
                </c:pt>
                <c:pt idx="75">
                  <c:v>2.3286033866897293E-4</c:v>
                </c:pt>
                <c:pt idx="76">
                  <c:v>-7.4178437441056028E-4</c:v>
                </c:pt>
                <c:pt idx="77">
                  <c:v>-9.9331386572020341E-5</c:v>
                </c:pt>
                <c:pt idx="78">
                  <c:v>-2.876971938750271E-4</c:v>
                </c:pt>
                <c:pt idx="79">
                  <c:v>-5.1704946012051081E-4</c:v>
                </c:pt>
                <c:pt idx="80">
                  <c:v>1.7141750835660376E-4</c:v>
                </c:pt>
                <c:pt idx="81">
                  <c:v>3.0562344096283828E-4</c:v>
                </c:pt>
                <c:pt idx="82">
                  <c:v>3.4410606544948953E-4</c:v>
                </c:pt>
                <c:pt idx="83">
                  <c:v>-1.8253062460076288E-4</c:v>
                </c:pt>
                <c:pt idx="84">
                  <c:v>8.6073609078022529E-5</c:v>
                </c:pt>
                <c:pt idx="85">
                  <c:v>-5.9164101535739088E-4</c:v>
                </c:pt>
                <c:pt idx="86">
                  <c:v>-6.2642003521213717E-4</c:v>
                </c:pt>
                <c:pt idx="87">
                  <c:v>-1.2105863513065405E-3</c:v>
                </c:pt>
                <c:pt idx="88">
                  <c:v>-1.0540693179557773E-3</c:v>
                </c:pt>
                <c:pt idx="89">
                  <c:v>-4.8041349666976116E-5</c:v>
                </c:pt>
                <c:pt idx="90">
                  <c:v>2.942982238210804E-4</c:v>
                </c:pt>
                <c:pt idx="91">
                  <c:v>-3.3151970987316167E-4</c:v>
                </c:pt>
                <c:pt idx="92">
                  <c:v>-7.3343174789878622E-5</c:v>
                </c:pt>
                <c:pt idx="93">
                  <c:v>-7.6544310854601786E-4</c:v>
                </c:pt>
                <c:pt idx="94">
                  <c:v>-8.0857237726858413E-4</c:v>
                </c:pt>
                <c:pt idx="95">
                  <c:v>6.9871115366121588E-4</c:v>
                </c:pt>
                <c:pt idx="96">
                  <c:v>4.0282699235148355E-4</c:v>
                </c:pt>
                <c:pt idx="97">
                  <c:v>2.4934509546057065E-4</c:v>
                </c:pt>
                <c:pt idx="98">
                  <c:v>8.568556339861417E-5</c:v>
                </c:pt>
                <c:pt idx="99">
                  <c:v>6.7329576011966596E-4</c:v>
                </c:pt>
                <c:pt idx="100">
                  <c:v>4.0908011932914095E-4</c:v>
                </c:pt>
                <c:pt idx="101">
                  <c:v>8.7633257398708167E-4</c:v>
                </c:pt>
                <c:pt idx="102">
                  <c:v>5.9530421737735088E-4</c:v>
                </c:pt>
                <c:pt idx="103">
                  <c:v>5.5974109471283392E-4</c:v>
                </c:pt>
                <c:pt idx="104">
                  <c:v>2.6157740410449843E-4</c:v>
                </c:pt>
                <c:pt idx="105">
                  <c:v>-6.0714528016106374E-4</c:v>
                </c:pt>
                <c:pt idx="106">
                  <c:v>-1.0515017394309224E-4</c:v>
                </c:pt>
                <c:pt idx="107">
                  <c:v>2.0990533336912904E-4</c:v>
                </c:pt>
                <c:pt idx="108">
                  <c:v>-4.4084693985291972E-4</c:v>
                </c:pt>
                <c:pt idx="109">
                  <c:v>4.7120718458938524E-4</c:v>
                </c:pt>
                <c:pt idx="110">
                  <c:v>-1.7852032318431939E-4</c:v>
                </c:pt>
                <c:pt idx="111">
                  <c:v>1.7990062043864093E-4</c:v>
                </c:pt>
                <c:pt idx="112">
                  <c:v>7.9283660423789461E-5</c:v>
                </c:pt>
                <c:pt idx="113">
                  <c:v>-5.518481414352671E-5</c:v>
                </c:pt>
                <c:pt idx="114">
                  <c:v>2.9754635065689874E-4</c:v>
                </c:pt>
                <c:pt idx="115">
                  <c:v>-2.8135384308533161E-4</c:v>
                </c:pt>
                <c:pt idx="116">
                  <c:v>2.6075217130782822E-4</c:v>
                </c:pt>
                <c:pt idx="117">
                  <c:v>5.1406032193023724E-4</c:v>
                </c:pt>
                <c:pt idx="118">
                  <c:v>4.2646264637770127E-4</c:v>
                </c:pt>
                <c:pt idx="119">
                  <c:v>5.3204050645950574E-4</c:v>
                </c:pt>
                <c:pt idx="120">
                  <c:v>3.3620037022425803E-4</c:v>
                </c:pt>
                <c:pt idx="121">
                  <c:v>4.9354303493208981E-4</c:v>
                </c:pt>
                <c:pt idx="122">
                  <c:v>5.1096645101593138E-4</c:v>
                </c:pt>
                <c:pt idx="123">
                  <c:v>-2.9381346274351899E-4</c:v>
                </c:pt>
                <c:pt idx="124">
                  <c:v>-6.3147718255103817E-4</c:v>
                </c:pt>
                <c:pt idx="125">
                  <c:v>-1.8724551771496023E-4</c:v>
                </c:pt>
                <c:pt idx="126">
                  <c:v>-4.9275250557933236E-4</c:v>
                </c:pt>
                <c:pt idx="127">
                  <c:v>-4.4635480890046007E-5</c:v>
                </c:pt>
                <c:pt idx="128">
                  <c:v>-1.4728617043049076E-4</c:v>
                </c:pt>
                <c:pt idx="129">
                  <c:v>4.5505783796545996E-4</c:v>
                </c:pt>
                <c:pt idx="130">
                  <c:v>-4.0479995510445913E-4</c:v>
                </c:pt>
                <c:pt idx="131">
                  <c:v>-2.0286664088622121E-5</c:v>
                </c:pt>
                <c:pt idx="132">
                  <c:v>-1.0159216840229711E-4</c:v>
                </c:pt>
                <c:pt idx="133">
                  <c:v>6.3746976692639543E-4</c:v>
                </c:pt>
                <c:pt idx="134">
                  <c:v>1.4007014830740746E-4</c:v>
                </c:pt>
                <c:pt idx="135">
                  <c:v>-1.484043857672442E-4</c:v>
                </c:pt>
                <c:pt idx="136">
                  <c:v>-4.0041094463154976E-4</c:v>
                </c:pt>
                <c:pt idx="137">
                  <c:v>-1.8238653038523615E-4</c:v>
                </c:pt>
                <c:pt idx="138">
                  <c:v>-6.368344217453373E-4</c:v>
                </c:pt>
                <c:pt idx="139">
                  <c:v>5.9240371656158894E-5</c:v>
                </c:pt>
                <c:pt idx="140">
                  <c:v>-7.1490971041759574E-4</c:v>
                </c:pt>
                <c:pt idx="141">
                  <c:v>-8.8773493178268405E-4</c:v>
                </c:pt>
                <c:pt idx="142">
                  <c:v>1.7627504734793289E-3</c:v>
                </c:pt>
                <c:pt idx="143">
                  <c:v>7.1263112490226651E-4</c:v>
                </c:pt>
                <c:pt idx="144">
                  <c:v>6.277641133957283E-4</c:v>
                </c:pt>
                <c:pt idx="145">
                  <c:v>1.2889218794907931E-3</c:v>
                </c:pt>
                <c:pt idx="146">
                  <c:v>7.0559714707342264E-4</c:v>
                </c:pt>
                <c:pt idx="147">
                  <c:v>1.1816402114983745E-5</c:v>
                </c:pt>
                <c:pt idx="148">
                  <c:v>2.4183727816585207E-5</c:v>
                </c:pt>
                <c:pt idx="149">
                  <c:v>-2.3320141403277914E-4</c:v>
                </c:pt>
                <c:pt idx="150">
                  <c:v>5.8015554002748027E-5</c:v>
                </c:pt>
                <c:pt idx="151">
                  <c:v>-6.192749411542996E-5</c:v>
                </c:pt>
                <c:pt idx="152">
                  <c:v>-1.5487897677830402E-4</c:v>
                </c:pt>
                <c:pt idx="153">
                  <c:v>-4.5921907487171776E-5</c:v>
                </c:pt>
                <c:pt idx="154">
                  <c:v>6.4942368333535035E-5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5-48D6-95C0-41BB0431C98F}"/>
            </c:ext>
          </c:extLst>
        </c:ser>
        <c:ser>
          <c:idx val="2"/>
          <c:order val="1"/>
          <c:tx>
            <c:strRef>
              <c:f>CMF_VTEC!$AA$1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CMF_VTEC!$AA$2:$AA$156</c:f>
              <c:numCache>
                <c:formatCode>0.000%</c:formatCode>
                <c:ptCount val="155"/>
                <c:pt idx="20">
                  <c:v>2.4927435015298285E-4</c:v>
                </c:pt>
                <c:pt idx="21">
                  <c:v>1.4532322767095191E-4</c:v>
                </c:pt>
                <c:pt idx="22">
                  <c:v>3.463775296350617E-4</c:v>
                </c:pt>
                <c:pt idx="23">
                  <c:v>1.5118642771200537E-4</c:v>
                </c:pt>
                <c:pt idx="24">
                  <c:v>-1.2594140056838073E-4</c:v>
                </c:pt>
                <c:pt idx="25">
                  <c:v>-2.0868036584207818E-5</c:v>
                </c:pt>
                <c:pt idx="26">
                  <c:v>-9.179796976372111E-4</c:v>
                </c:pt>
                <c:pt idx="27">
                  <c:v>-4.9584220843103927E-4</c:v>
                </c:pt>
                <c:pt idx="28">
                  <c:v>-5.741961194688052E-4</c:v>
                </c:pt>
                <c:pt idx="29">
                  <c:v>-1.9171856908512756E-4</c:v>
                </c:pt>
                <c:pt idx="30">
                  <c:v>5.8745926074554221E-5</c:v>
                </c:pt>
                <c:pt idx="31">
                  <c:v>4.0531293327367444E-4</c:v>
                </c:pt>
                <c:pt idx="32">
                  <c:v>2.1182784464494233E-5</c:v>
                </c:pt>
                <c:pt idx="33">
                  <c:v>2.0687140135709599E-4</c:v>
                </c:pt>
                <c:pt idx="34">
                  <c:v>5.1635365439101685E-4</c:v>
                </c:pt>
                <c:pt idx="35">
                  <c:v>5.7322874517145293E-4</c:v>
                </c:pt>
                <c:pt idx="36">
                  <c:v>-4.2976121660071736E-4</c:v>
                </c:pt>
                <c:pt idx="37">
                  <c:v>-3.9795245896665952E-4</c:v>
                </c:pt>
                <c:pt idx="38">
                  <c:v>-3.6616539037935038E-4</c:v>
                </c:pt>
                <c:pt idx="39">
                  <c:v>3.1929857611985769E-4</c:v>
                </c:pt>
                <c:pt idx="40">
                  <c:v>6.7473509325741089E-4</c:v>
                </c:pt>
                <c:pt idx="41">
                  <c:v>-3.0700623019836668E-4</c:v>
                </c:pt>
                <c:pt idx="42">
                  <c:v>-2.8363301146224444E-4</c:v>
                </c:pt>
                <c:pt idx="43">
                  <c:v>5.1892653216854259E-4</c:v>
                </c:pt>
                <c:pt idx="44">
                  <c:v>-2.8624421855084008E-4</c:v>
                </c:pt>
                <c:pt idx="45">
                  <c:v>8.16020044643524E-4</c:v>
                </c:pt>
                <c:pt idx="46">
                  <c:v>-1.2194462191847223E-4</c:v>
                </c:pt>
                <c:pt idx="47">
                  <c:v>4.0554309447062399E-4</c:v>
                </c:pt>
                <c:pt idx="48">
                  <c:v>-1.2554100157810636E-4</c:v>
                </c:pt>
                <c:pt idx="49">
                  <c:v>-5.9464737262124019E-4</c:v>
                </c:pt>
                <c:pt idx="50">
                  <c:v>-6.5422241747632639E-4</c:v>
                </c:pt>
                <c:pt idx="51">
                  <c:v>-3.2334836883180213E-5</c:v>
                </c:pt>
                <c:pt idx="52">
                  <c:v>-4.4441578030191274E-5</c:v>
                </c:pt>
                <c:pt idx="53">
                  <c:v>7.8059138953731784E-4</c:v>
                </c:pt>
                <c:pt idx="54">
                  <c:v>-9.2818708369210459E-4</c:v>
                </c:pt>
                <c:pt idx="55">
                  <c:v>1.4362919665344494E-3</c:v>
                </c:pt>
                <c:pt idx="56">
                  <c:v>5.6585807320540455E-4</c:v>
                </c:pt>
                <c:pt idx="57">
                  <c:v>-7.0793118204532735E-5</c:v>
                </c:pt>
                <c:pt idx="58">
                  <c:v>8.7399892472947275E-6</c:v>
                </c:pt>
                <c:pt idx="59">
                  <c:v>-1.0432979807249504E-3</c:v>
                </c:pt>
                <c:pt idx="60">
                  <c:v>-9.2147699329163607E-4</c:v>
                </c:pt>
                <c:pt idx="61">
                  <c:v>-8.9384342527158841E-4</c:v>
                </c:pt>
                <c:pt idx="62">
                  <c:v>-1.2611065196296698E-4</c:v>
                </c:pt>
                <c:pt idx="63">
                  <c:v>-5.1193049102805758E-4</c:v>
                </c:pt>
                <c:pt idx="64">
                  <c:v>3.4716082711521259E-4</c:v>
                </c:pt>
                <c:pt idx="65">
                  <c:v>-3.95778954091423E-4</c:v>
                </c:pt>
                <c:pt idx="66">
                  <c:v>-3.2916898007825458E-6</c:v>
                </c:pt>
                <c:pt idx="67">
                  <c:v>2.6836908116991147E-4</c:v>
                </c:pt>
                <c:pt idx="68">
                  <c:v>2.1227379424222097E-4</c:v>
                </c:pt>
                <c:pt idx="69">
                  <c:v>1.8184459102237009E-4</c:v>
                </c:pt>
                <c:pt idx="70">
                  <c:v>8.9824545535661655E-4</c:v>
                </c:pt>
                <c:pt idx="71">
                  <c:v>5.6356314403480478E-5</c:v>
                </c:pt>
                <c:pt idx="72">
                  <c:v>-8.6088097821767308E-5</c:v>
                </c:pt>
                <c:pt idx="73">
                  <c:v>3.4302504624414009E-4</c:v>
                </c:pt>
                <c:pt idx="74">
                  <c:v>3.4001487615483838E-4</c:v>
                </c:pt>
                <c:pt idx="75">
                  <c:v>3.3329916350811499E-4</c:v>
                </c:pt>
                <c:pt idx="76">
                  <c:v>-5.0780179571035242E-4</c:v>
                </c:pt>
                <c:pt idx="77">
                  <c:v>1.4886724096116601E-4</c:v>
                </c:pt>
                <c:pt idx="78">
                  <c:v>-5.1994159644637879E-5</c:v>
                </c:pt>
                <c:pt idx="79">
                  <c:v>-2.9188234188887152E-4</c:v>
                </c:pt>
                <c:pt idx="80">
                  <c:v>3.2432858694303338E-4</c:v>
                </c:pt>
                <c:pt idx="81">
                  <c:v>3.4689382048366059E-4</c:v>
                </c:pt>
                <c:pt idx="82">
                  <c:v>3.5242407444069341E-4</c:v>
                </c:pt>
                <c:pt idx="83">
                  <c:v>-1.5290068122661521E-4</c:v>
                </c:pt>
                <c:pt idx="84">
                  <c:v>5.1654103595298427E-5</c:v>
                </c:pt>
                <c:pt idx="85">
                  <c:v>-6.3562985236213137E-4</c:v>
                </c:pt>
                <c:pt idx="86">
                  <c:v>-7.554897149183316E-4</c:v>
                </c:pt>
                <c:pt idx="87">
                  <c:v>-1.3249032081883276E-3</c:v>
                </c:pt>
                <c:pt idx="88">
                  <c:v>-1.2297794634353741E-3</c:v>
                </c:pt>
                <c:pt idx="89">
                  <c:v>-2.6756371741520641E-4</c:v>
                </c:pt>
                <c:pt idx="90">
                  <c:v>9.9849241059378892E-5</c:v>
                </c:pt>
                <c:pt idx="91">
                  <c:v>-5.1051480309240692E-4</c:v>
                </c:pt>
                <c:pt idx="92">
                  <c:v>-3.1584454580444945E-4</c:v>
                </c:pt>
                <c:pt idx="93">
                  <c:v>-1.0771962758230925E-3</c:v>
                </c:pt>
                <c:pt idx="94">
                  <c:v>-1.1595867473887275E-3</c:v>
                </c:pt>
                <c:pt idx="95">
                  <c:v>2.7619058781266031E-4</c:v>
                </c:pt>
                <c:pt idx="96">
                  <c:v>4.8237148373945867E-5</c:v>
                </c:pt>
                <c:pt idx="97">
                  <c:v>-8.2089520152017168E-5</c:v>
                </c:pt>
                <c:pt idx="98">
                  <c:v>-1.3890623580867836E-4</c:v>
                </c:pt>
                <c:pt idx="99">
                  <c:v>5.3910463676749582E-4</c:v>
                </c:pt>
                <c:pt idx="100">
                  <c:v>2.9604938235064458E-4</c:v>
                </c:pt>
                <c:pt idx="101">
                  <c:v>7.7104155771641209E-4</c:v>
                </c:pt>
                <c:pt idx="102">
                  <c:v>5.8966495063939538E-4</c:v>
                </c:pt>
                <c:pt idx="103">
                  <c:v>6.3211410385475837E-4</c:v>
                </c:pt>
                <c:pt idx="104">
                  <c:v>4.6772021963572982E-4</c:v>
                </c:pt>
                <c:pt idx="105">
                  <c:v>-2.4713003600194353E-4</c:v>
                </c:pt>
                <c:pt idx="106">
                  <c:v>2.0332125555591349E-4</c:v>
                </c:pt>
                <c:pt idx="107">
                  <c:v>5.0781882725378993E-4</c:v>
                </c:pt>
                <c:pt idx="108">
                  <c:v>-1.5495987478099314E-4</c:v>
                </c:pt>
                <c:pt idx="109">
                  <c:v>7.2484713545033685E-4</c:v>
                </c:pt>
                <c:pt idx="110">
                  <c:v>6.7730637074224677E-5</c:v>
                </c:pt>
                <c:pt idx="111">
                  <c:v>4.2696604338024919E-4</c:v>
                </c:pt>
                <c:pt idx="112">
                  <c:v>2.6636674372516503E-4</c:v>
                </c:pt>
                <c:pt idx="113">
                  <c:v>9.1936735120353488E-5</c:v>
                </c:pt>
                <c:pt idx="114">
                  <c:v>3.5516355993210819E-4</c:v>
                </c:pt>
                <c:pt idx="115">
                  <c:v>-2.9025592642870855E-4</c:v>
                </c:pt>
                <c:pt idx="116">
                  <c:v>2.9651838516815861E-4</c:v>
                </c:pt>
                <c:pt idx="117">
                  <c:v>5.662459140165539E-4</c:v>
                </c:pt>
                <c:pt idx="118">
                  <c:v>4.7125982788990032E-4</c:v>
                </c:pt>
                <c:pt idx="119">
                  <c:v>6.2241001732431711E-4</c:v>
                </c:pt>
                <c:pt idx="120">
                  <c:v>4.233865978818361E-4</c:v>
                </c:pt>
                <c:pt idx="121">
                  <c:v>6.1992993274507168E-4</c:v>
                </c:pt>
                <c:pt idx="122">
                  <c:v>6.7578946275390973E-4</c:v>
                </c:pt>
                <c:pt idx="123">
                  <c:v>-8.3835520031655866E-5</c:v>
                </c:pt>
                <c:pt idx="124">
                  <c:v>-3.9640482614728968E-4</c:v>
                </c:pt>
                <c:pt idx="125">
                  <c:v>1.7339106238050429E-5</c:v>
                </c:pt>
                <c:pt idx="126">
                  <c:v>-2.7840805830280075E-4</c:v>
                </c:pt>
                <c:pt idx="127">
                  <c:v>1.3161077395350165E-4</c:v>
                </c:pt>
                <c:pt idx="128">
                  <c:v>-1.776646111392724E-6</c:v>
                </c:pt>
                <c:pt idx="129">
                  <c:v>5.3859839150481321E-4</c:v>
                </c:pt>
                <c:pt idx="130">
                  <c:v>-3.2883554719838679E-4</c:v>
                </c:pt>
                <c:pt idx="131">
                  <c:v>-8.2239140128998333E-6</c:v>
                </c:pt>
                <c:pt idx="132">
                  <c:v>-1.4234824260896909E-4</c:v>
                </c:pt>
                <c:pt idx="133">
                  <c:v>5.2392358698419707E-4</c:v>
                </c:pt>
                <c:pt idx="134">
                  <c:v>5.2680595038906396E-5</c:v>
                </c:pt>
                <c:pt idx="135">
                  <c:v>-1.8302505886694514E-4</c:v>
                </c:pt>
                <c:pt idx="136">
                  <c:v>-4.6170694388360581E-4</c:v>
                </c:pt>
                <c:pt idx="137">
                  <c:v>-2.2896009814102618E-4</c:v>
                </c:pt>
                <c:pt idx="138">
                  <c:v>-6.8464288899210265E-4</c:v>
                </c:pt>
                <c:pt idx="139">
                  <c:v>-3.6823171592262361E-6</c:v>
                </c:pt>
                <c:pt idx="140">
                  <c:v>-8.0843386588105002E-4</c:v>
                </c:pt>
                <c:pt idx="141">
                  <c:v>-9.7665425450599612E-4</c:v>
                </c:pt>
                <c:pt idx="142">
                  <c:v>1.6460719948515538E-3</c:v>
                </c:pt>
                <c:pt idx="143">
                  <c:v>7.1229322859564374E-4</c:v>
                </c:pt>
                <c:pt idx="144">
                  <c:v>5.9593349347321432E-4</c:v>
                </c:pt>
                <c:pt idx="145">
                  <c:v>1.2484678216974434E-3</c:v>
                </c:pt>
                <c:pt idx="146">
                  <c:v>7.3452106120590495E-4</c:v>
                </c:pt>
                <c:pt idx="147">
                  <c:v>1.0044521163207047E-4</c:v>
                </c:pt>
                <c:pt idx="148">
                  <c:v>1.4292342180764506E-4</c:v>
                </c:pt>
                <c:pt idx="149">
                  <c:v>-4.0319870034513555E-5</c:v>
                </c:pt>
                <c:pt idx="150">
                  <c:v>2.8164926422749115E-4</c:v>
                </c:pt>
                <c:pt idx="151">
                  <c:v>2.4750457846204374E-4</c:v>
                </c:pt>
                <c:pt idx="152">
                  <c:v>2.789309824139541E-4</c:v>
                </c:pt>
                <c:pt idx="153">
                  <c:v>2.5380341064433769E-4</c:v>
                </c:pt>
                <c:pt idx="154">
                  <c:v>3.5299338140599393E-4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5-48D6-95C0-41BB0431C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426223"/>
        <c:axId val="1490453359"/>
      </c:lineChart>
      <c:catAx>
        <c:axId val="1081426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53359"/>
        <c:crosses val="autoZero"/>
        <c:auto val="1"/>
        <c:lblAlgn val="ctr"/>
        <c:lblOffset val="100"/>
        <c:noMultiLvlLbl val="0"/>
      </c:catAx>
      <c:valAx>
        <c:axId val="149045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2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CMF_VTEC!$E$1</c:f>
              <c:strCache>
                <c:ptCount val="1"/>
                <c:pt idx="0">
                  <c:v> VTEC/CMF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CMF_VTEC!$E$2:$E$156</c:f>
              <c:numCache>
                <c:formatCode>_(* #,##0.0000_);_(* \(#,##0.0000\);_(* "-"??_);_(@_)</c:formatCode>
                <c:ptCount val="155"/>
                <c:pt idx="0">
                  <c:v>1.74406374641995</c:v>
                </c:pt>
                <c:pt idx="1">
                  <c:v>1.74406374641995</c:v>
                </c:pt>
                <c:pt idx="2">
                  <c:v>1.74406374641995</c:v>
                </c:pt>
                <c:pt idx="3">
                  <c:v>1.74406374641995</c:v>
                </c:pt>
                <c:pt idx="4">
                  <c:v>1.74406374641995</c:v>
                </c:pt>
                <c:pt idx="5">
                  <c:v>1.74406374641995</c:v>
                </c:pt>
                <c:pt idx="6">
                  <c:v>1.74406374641995</c:v>
                </c:pt>
                <c:pt idx="7">
                  <c:v>1.74406374641995</c:v>
                </c:pt>
                <c:pt idx="8">
                  <c:v>1.74406374641995</c:v>
                </c:pt>
                <c:pt idx="9">
                  <c:v>1.74406374641995</c:v>
                </c:pt>
                <c:pt idx="10">
                  <c:v>1.74406374641995</c:v>
                </c:pt>
                <c:pt idx="11">
                  <c:v>1.74406374641995</c:v>
                </c:pt>
                <c:pt idx="12">
                  <c:v>1.74406374641995</c:v>
                </c:pt>
                <c:pt idx="13">
                  <c:v>1.74406374641995</c:v>
                </c:pt>
                <c:pt idx="14">
                  <c:v>1.74406374641995</c:v>
                </c:pt>
                <c:pt idx="15">
                  <c:v>1.74406374641995</c:v>
                </c:pt>
                <c:pt idx="16">
                  <c:v>1.74406374641995</c:v>
                </c:pt>
                <c:pt idx="17">
                  <c:v>1.74406374641995</c:v>
                </c:pt>
                <c:pt idx="18">
                  <c:v>1.74406374641995</c:v>
                </c:pt>
                <c:pt idx="19">
                  <c:v>1.74406374641995</c:v>
                </c:pt>
                <c:pt idx="20">
                  <c:v>1.74406374641995</c:v>
                </c:pt>
                <c:pt idx="21">
                  <c:v>1.74406374641995</c:v>
                </c:pt>
                <c:pt idx="22">
                  <c:v>1.74406374641995</c:v>
                </c:pt>
                <c:pt idx="23">
                  <c:v>1.74406374641995</c:v>
                </c:pt>
                <c:pt idx="24">
                  <c:v>1.74406374641995</c:v>
                </c:pt>
                <c:pt idx="25">
                  <c:v>1.74406374641995</c:v>
                </c:pt>
                <c:pt idx="26">
                  <c:v>1.74406374641995</c:v>
                </c:pt>
                <c:pt idx="27">
                  <c:v>1.74406374641995</c:v>
                </c:pt>
                <c:pt idx="28">
                  <c:v>1.74406374641995</c:v>
                </c:pt>
                <c:pt idx="29">
                  <c:v>1.74406374641995</c:v>
                </c:pt>
                <c:pt idx="30">
                  <c:v>1.74406374641995</c:v>
                </c:pt>
                <c:pt idx="31">
                  <c:v>1.74406374641995</c:v>
                </c:pt>
                <c:pt idx="32">
                  <c:v>1.74406374641995</c:v>
                </c:pt>
                <c:pt idx="33">
                  <c:v>1.74406374641995</c:v>
                </c:pt>
                <c:pt idx="34">
                  <c:v>1.74406374641995</c:v>
                </c:pt>
                <c:pt idx="35">
                  <c:v>1.74406374641995</c:v>
                </c:pt>
                <c:pt idx="36">
                  <c:v>1.74406374641995</c:v>
                </c:pt>
                <c:pt idx="37">
                  <c:v>1.74406374641995</c:v>
                </c:pt>
                <c:pt idx="38">
                  <c:v>1.74406374641995</c:v>
                </c:pt>
                <c:pt idx="39">
                  <c:v>1.74406374641995</c:v>
                </c:pt>
                <c:pt idx="40">
                  <c:v>1.74406374641995</c:v>
                </c:pt>
                <c:pt idx="41">
                  <c:v>1.74406374641995</c:v>
                </c:pt>
                <c:pt idx="42">
                  <c:v>1.74406374641995</c:v>
                </c:pt>
                <c:pt idx="43">
                  <c:v>1.74406374641995</c:v>
                </c:pt>
                <c:pt idx="44">
                  <c:v>1.74406374641995</c:v>
                </c:pt>
                <c:pt idx="45">
                  <c:v>1.74406374641995</c:v>
                </c:pt>
                <c:pt idx="46">
                  <c:v>1.74406374641995</c:v>
                </c:pt>
                <c:pt idx="47">
                  <c:v>1.74406374641995</c:v>
                </c:pt>
                <c:pt idx="48">
                  <c:v>1.74406374641995</c:v>
                </c:pt>
                <c:pt idx="49">
                  <c:v>1.74406374641995</c:v>
                </c:pt>
                <c:pt idx="50">
                  <c:v>1.74406374641995</c:v>
                </c:pt>
                <c:pt idx="51">
                  <c:v>1.74406374641995</c:v>
                </c:pt>
                <c:pt idx="52">
                  <c:v>1.74406374641995</c:v>
                </c:pt>
                <c:pt idx="53">
                  <c:v>1.74406374641995</c:v>
                </c:pt>
                <c:pt idx="54">
                  <c:v>1.74406374641995</c:v>
                </c:pt>
                <c:pt idx="55">
                  <c:v>1.74406374641995</c:v>
                </c:pt>
                <c:pt idx="56">
                  <c:v>1.74406374641995</c:v>
                </c:pt>
                <c:pt idx="57">
                  <c:v>1.74406374641995</c:v>
                </c:pt>
                <c:pt idx="58">
                  <c:v>1.74406374641995</c:v>
                </c:pt>
                <c:pt idx="59">
                  <c:v>1.74406374641995</c:v>
                </c:pt>
                <c:pt idx="60">
                  <c:v>1.74406374641995</c:v>
                </c:pt>
                <c:pt idx="61">
                  <c:v>1.74406374641995</c:v>
                </c:pt>
                <c:pt idx="62">
                  <c:v>1.74406374641995</c:v>
                </c:pt>
                <c:pt idx="63">
                  <c:v>1.74406374641995</c:v>
                </c:pt>
                <c:pt idx="64">
                  <c:v>1.74406374641995</c:v>
                </c:pt>
                <c:pt idx="65">
                  <c:v>1.74406374641995</c:v>
                </c:pt>
                <c:pt idx="66">
                  <c:v>1.74406374641995</c:v>
                </c:pt>
                <c:pt idx="67">
                  <c:v>1.74406374641995</c:v>
                </c:pt>
                <c:pt idx="68">
                  <c:v>1.74406374641995</c:v>
                </c:pt>
                <c:pt idx="69">
                  <c:v>1.74406374641995</c:v>
                </c:pt>
                <c:pt idx="70">
                  <c:v>1.74406374641995</c:v>
                </c:pt>
                <c:pt idx="71">
                  <c:v>1.74406374641995</c:v>
                </c:pt>
                <c:pt idx="72">
                  <c:v>1.74406374641995</c:v>
                </c:pt>
                <c:pt idx="73">
                  <c:v>1.74406374641995</c:v>
                </c:pt>
                <c:pt idx="74">
                  <c:v>1.74406374641995</c:v>
                </c:pt>
                <c:pt idx="75">
                  <c:v>1.74406374641995</c:v>
                </c:pt>
                <c:pt idx="76">
                  <c:v>1.74406374641995</c:v>
                </c:pt>
                <c:pt idx="77">
                  <c:v>1.74406374641995</c:v>
                </c:pt>
                <c:pt idx="78">
                  <c:v>1.74406374641995</c:v>
                </c:pt>
                <c:pt idx="79">
                  <c:v>1.74406374641995</c:v>
                </c:pt>
                <c:pt idx="80">
                  <c:v>1.74406374641995</c:v>
                </c:pt>
                <c:pt idx="81">
                  <c:v>1.74406374641995</c:v>
                </c:pt>
                <c:pt idx="82">
                  <c:v>1.74406374641995</c:v>
                </c:pt>
                <c:pt idx="83">
                  <c:v>1.74406374641995</c:v>
                </c:pt>
                <c:pt idx="84">
                  <c:v>1.74406374641995</c:v>
                </c:pt>
                <c:pt idx="85">
                  <c:v>1.74406374641995</c:v>
                </c:pt>
                <c:pt idx="86">
                  <c:v>1.74406374641995</c:v>
                </c:pt>
                <c:pt idx="87">
                  <c:v>1.74406374641995</c:v>
                </c:pt>
                <c:pt idx="88">
                  <c:v>1.74406374641995</c:v>
                </c:pt>
                <c:pt idx="89">
                  <c:v>1.74406374641995</c:v>
                </c:pt>
                <c:pt idx="90">
                  <c:v>1.74406374641995</c:v>
                </c:pt>
                <c:pt idx="91">
                  <c:v>1.74406374641995</c:v>
                </c:pt>
                <c:pt idx="92">
                  <c:v>1.74406374641995</c:v>
                </c:pt>
                <c:pt idx="93">
                  <c:v>1.74406374641995</c:v>
                </c:pt>
                <c:pt idx="94">
                  <c:v>1.74406374641995</c:v>
                </c:pt>
                <c:pt idx="95">
                  <c:v>1.74406374641995</c:v>
                </c:pt>
                <c:pt idx="96">
                  <c:v>1.74406374641995</c:v>
                </c:pt>
                <c:pt idx="97">
                  <c:v>1.74406374641995</c:v>
                </c:pt>
                <c:pt idx="98">
                  <c:v>1.74406374641995</c:v>
                </c:pt>
                <c:pt idx="99">
                  <c:v>1.74406374641995</c:v>
                </c:pt>
                <c:pt idx="100">
                  <c:v>1.74406374641995</c:v>
                </c:pt>
                <c:pt idx="101">
                  <c:v>1.74406374641995</c:v>
                </c:pt>
                <c:pt idx="102">
                  <c:v>1.74406374641995</c:v>
                </c:pt>
                <c:pt idx="103">
                  <c:v>1.74406374641995</c:v>
                </c:pt>
                <c:pt idx="104">
                  <c:v>1.74406374641995</c:v>
                </c:pt>
                <c:pt idx="105">
                  <c:v>1.74406374641995</c:v>
                </c:pt>
                <c:pt idx="106">
                  <c:v>1.74406374641995</c:v>
                </c:pt>
                <c:pt idx="107">
                  <c:v>1.74406374641995</c:v>
                </c:pt>
                <c:pt idx="108">
                  <c:v>1.74406374641995</c:v>
                </c:pt>
                <c:pt idx="109">
                  <c:v>1.74406374641995</c:v>
                </c:pt>
                <c:pt idx="110">
                  <c:v>1.74406374641995</c:v>
                </c:pt>
                <c:pt idx="111">
                  <c:v>1.74406374641995</c:v>
                </c:pt>
                <c:pt idx="112">
                  <c:v>1.74406374641995</c:v>
                </c:pt>
                <c:pt idx="113">
                  <c:v>1.74406374641995</c:v>
                </c:pt>
                <c:pt idx="114">
                  <c:v>1.74406374641995</c:v>
                </c:pt>
                <c:pt idx="115">
                  <c:v>1.74406374641995</c:v>
                </c:pt>
                <c:pt idx="116">
                  <c:v>1.74406374641995</c:v>
                </c:pt>
                <c:pt idx="117">
                  <c:v>1.74406374641995</c:v>
                </c:pt>
                <c:pt idx="118">
                  <c:v>1.74406374641995</c:v>
                </c:pt>
                <c:pt idx="119">
                  <c:v>1.74406374641995</c:v>
                </c:pt>
                <c:pt idx="120">
                  <c:v>1.74406374641995</c:v>
                </c:pt>
                <c:pt idx="121">
                  <c:v>1.74406374641995</c:v>
                </c:pt>
                <c:pt idx="122">
                  <c:v>1.74406374641995</c:v>
                </c:pt>
                <c:pt idx="123">
                  <c:v>1.74406374641995</c:v>
                </c:pt>
                <c:pt idx="124">
                  <c:v>1.74406374641995</c:v>
                </c:pt>
                <c:pt idx="125">
                  <c:v>1.74406374641995</c:v>
                </c:pt>
                <c:pt idx="126">
                  <c:v>1.74406374641995</c:v>
                </c:pt>
                <c:pt idx="127">
                  <c:v>1.74406374641995</c:v>
                </c:pt>
                <c:pt idx="128">
                  <c:v>1.74406374641995</c:v>
                </c:pt>
                <c:pt idx="129">
                  <c:v>1.74406374641995</c:v>
                </c:pt>
                <c:pt idx="130">
                  <c:v>1.74406374641995</c:v>
                </c:pt>
                <c:pt idx="131">
                  <c:v>1.74406374641995</c:v>
                </c:pt>
                <c:pt idx="132">
                  <c:v>1.74406374641995</c:v>
                </c:pt>
                <c:pt idx="133">
                  <c:v>1.74406374641995</c:v>
                </c:pt>
                <c:pt idx="134">
                  <c:v>1.74406374641995</c:v>
                </c:pt>
                <c:pt idx="135">
                  <c:v>1.74406374641995</c:v>
                </c:pt>
                <c:pt idx="136">
                  <c:v>1.74406374641995</c:v>
                </c:pt>
                <c:pt idx="137">
                  <c:v>1.74406374641995</c:v>
                </c:pt>
                <c:pt idx="138">
                  <c:v>1.74406374641995</c:v>
                </c:pt>
                <c:pt idx="139">
                  <c:v>1.74406374641995</c:v>
                </c:pt>
                <c:pt idx="140">
                  <c:v>1.74406374641995</c:v>
                </c:pt>
                <c:pt idx="141">
                  <c:v>1.74406374641995</c:v>
                </c:pt>
                <c:pt idx="142">
                  <c:v>1.74406374641995</c:v>
                </c:pt>
                <c:pt idx="143">
                  <c:v>1.74406374641995</c:v>
                </c:pt>
                <c:pt idx="144">
                  <c:v>1.74406374641995</c:v>
                </c:pt>
                <c:pt idx="145">
                  <c:v>1.74406374641995</c:v>
                </c:pt>
                <c:pt idx="146">
                  <c:v>1.74406374641995</c:v>
                </c:pt>
                <c:pt idx="147">
                  <c:v>1.74406374641995</c:v>
                </c:pt>
                <c:pt idx="148">
                  <c:v>1.74406374641995</c:v>
                </c:pt>
                <c:pt idx="149">
                  <c:v>1.74406374641995</c:v>
                </c:pt>
                <c:pt idx="150">
                  <c:v>1.74406374641995</c:v>
                </c:pt>
                <c:pt idx="151">
                  <c:v>1.74406374641995</c:v>
                </c:pt>
                <c:pt idx="152">
                  <c:v>1.74406374641995</c:v>
                </c:pt>
                <c:pt idx="153">
                  <c:v>1.74406374641995</c:v>
                </c:pt>
                <c:pt idx="154">
                  <c:v>1.74406374641995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0-4414-A5FE-0CE9E1C4A972}"/>
            </c:ext>
          </c:extLst>
        </c:ser>
        <c:ser>
          <c:idx val="1"/>
          <c:order val="1"/>
          <c:tx>
            <c:strRef>
              <c:f>CMF_VTEC!$F$1</c:f>
              <c:strCache>
                <c:ptCount val="1"/>
                <c:pt idx="0">
                  <c:v> VTEC/CMF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CMF_VTEC!$F$2:$F$156</c:f>
              <c:numCache>
                <c:formatCode>_(* #,##0.0000_);_(* \(#,##0.0000\);_(* "-"??_);_(@_)</c:formatCode>
                <c:ptCount val="155"/>
                <c:pt idx="9">
                  <c:v>1.74427358789669</c:v>
                </c:pt>
                <c:pt idx="10">
                  <c:v>1.74425539992931</c:v>
                </c:pt>
                <c:pt idx="11">
                  <c:v>1.7444814804443201</c:v>
                </c:pt>
                <c:pt idx="12">
                  <c:v>1.7444396912264</c:v>
                </c:pt>
                <c:pt idx="13">
                  <c:v>1.7443099966387901</c:v>
                </c:pt>
                <c:pt idx="14">
                  <c:v>1.74414156777948</c:v>
                </c:pt>
                <c:pt idx="15">
                  <c:v>1.74419793016771</c:v>
                </c:pt>
                <c:pt idx="16">
                  <c:v>1.7441806231410599</c:v>
                </c:pt>
                <c:pt idx="17">
                  <c:v>1.7441592848935701</c:v>
                </c:pt>
                <c:pt idx="18">
                  <c:v>1.74403824045296</c:v>
                </c:pt>
                <c:pt idx="19">
                  <c:v>1.7440342472253301</c:v>
                </c:pt>
                <c:pt idx="20">
                  <c:v>1.7440765270428999</c:v>
                </c:pt>
                <c:pt idx="21">
                  <c:v>1.7438483331271899</c:v>
                </c:pt>
                <c:pt idx="22">
                  <c:v>1.7439831429599999</c:v>
                </c:pt>
                <c:pt idx="23">
                  <c:v>1.7441320769314901</c:v>
                </c:pt>
                <c:pt idx="24">
                  <c:v>1.7441989971559699</c:v>
                </c:pt>
                <c:pt idx="25">
                  <c:v>1.7442742649176499</c:v>
                </c:pt>
                <c:pt idx="26">
                  <c:v>1.74410030917534</c:v>
                </c:pt>
                <c:pt idx="27">
                  <c:v>1.74398998462471</c:v>
                </c:pt>
                <c:pt idx="28">
                  <c:v>1.7439068779763101</c:v>
                </c:pt>
                <c:pt idx="29">
                  <c:v>1.7439010991468999</c:v>
                </c:pt>
                <c:pt idx="30">
                  <c:v>1.7438492374071699</c:v>
                </c:pt>
                <c:pt idx="31">
                  <c:v>1.7438742800543501</c:v>
                </c:pt>
                <c:pt idx="32">
                  <c:v>1.7437871896404</c:v>
                </c:pt>
                <c:pt idx="33">
                  <c:v>1.74376427218688</c:v>
                </c:pt>
                <c:pt idx="34">
                  <c:v>1.7438490241990701</c:v>
                </c:pt>
                <c:pt idx="35">
                  <c:v>1.7439380378515399</c:v>
                </c:pt>
                <c:pt idx="36">
                  <c:v>1.7440101482844299</c:v>
                </c:pt>
                <c:pt idx="37">
                  <c:v>1.7440186936519699</c:v>
                </c:pt>
                <c:pt idx="38">
                  <c:v>1.7440479317201101</c:v>
                </c:pt>
                <c:pt idx="39">
                  <c:v>1.7441375421121801</c:v>
                </c:pt>
                <c:pt idx="40">
                  <c:v>1.74425017626858</c:v>
                </c:pt>
                <c:pt idx="41">
                  <c:v>1.7441346241376701</c:v>
                </c:pt>
                <c:pt idx="42">
                  <c:v>1.7440957859561701</c:v>
                </c:pt>
                <c:pt idx="43">
                  <c:v>1.7441558596131199</c:v>
                </c:pt>
                <c:pt idx="44">
                  <c:v>1.7440170633885601</c:v>
                </c:pt>
                <c:pt idx="45">
                  <c:v>1.7440503320827301</c:v>
                </c:pt>
                <c:pt idx="46">
                  <c:v>1.74409280848058</c:v>
                </c:pt>
                <c:pt idx="47">
                  <c:v>1.7442325678914701</c:v>
                </c:pt>
                <c:pt idx="48">
                  <c:v>1.7442866502141501</c:v>
                </c:pt>
                <c:pt idx="49">
                  <c:v>1.7441462593663699</c:v>
                </c:pt>
                <c:pt idx="50">
                  <c:v>1.7439267342087901</c:v>
                </c:pt>
                <c:pt idx="51">
                  <c:v>1.74397850485281</c:v>
                </c:pt>
                <c:pt idx="52">
                  <c:v>1.7440254241114601</c:v>
                </c:pt>
                <c:pt idx="53">
                  <c:v>1.74408300761699</c:v>
                </c:pt>
                <c:pt idx="54">
                  <c:v>1.7439870452875299</c:v>
                </c:pt>
                <c:pt idx="55">
                  <c:v>1.74410224941916</c:v>
                </c:pt>
                <c:pt idx="56">
                  <c:v>1.74423044366451</c:v>
                </c:pt>
                <c:pt idx="57">
                  <c:v>1.7441583682594699</c:v>
                </c:pt>
                <c:pt idx="58">
                  <c:v>1.7441887709749599</c:v>
                </c:pt>
                <c:pt idx="59">
                  <c:v>1.7441176174826001</c:v>
                </c:pt>
                <c:pt idx="60">
                  <c:v>1.7440700458877401</c:v>
                </c:pt>
                <c:pt idx="61">
                  <c:v>1.7439108622577899</c:v>
                </c:pt>
                <c:pt idx="62">
                  <c:v>1.7438854332407701</c:v>
                </c:pt>
                <c:pt idx="63">
                  <c:v>1.7436494670396301</c:v>
                </c:pt>
                <c:pt idx="64">
                  <c:v>1.7438465099309399</c:v>
                </c:pt>
                <c:pt idx="65">
                  <c:v>1.7435183057705801</c:v>
                </c:pt>
                <c:pt idx="66">
                  <c:v>1.7433924125552001</c:v>
                </c:pt>
                <c:pt idx="67">
                  <c:v>1.74341654457317</c:v>
                </c:pt>
                <c:pt idx="68">
                  <c:v>1.7434112389426399</c:v>
                </c:pt>
                <c:pt idx="69">
                  <c:v>1.7435810623958301</c:v>
                </c:pt>
                <c:pt idx="70">
                  <c:v>1.74387015711295</c:v>
                </c:pt>
                <c:pt idx="71">
                  <c:v>1.74403297340915</c:v>
                </c:pt>
                <c:pt idx="72">
                  <c:v>1.7440426755740699</c:v>
                </c:pt>
                <c:pt idx="73">
                  <c:v>1.7441926262913301</c:v>
                </c:pt>
                <c:pt idx="74">
                  <c:v>1.74419686250246</c:v>
                </c:pt>
                <c:pt idx="75">
                  <c:v>1.74433449804741</c:v>
                </c:pt>
                <c:pt idx="76">
                  <c:v>1.74425815007115</c:v>
                </c:pt>
                <c:pt idx="77">
                  <c:v>1.74423869238243</c:v>
                </c:pt>
                <c:pt idx="78">
                  <c:v>1.7441966219721099</c:v>
                </c:pt>
                <c:pt idx="79">
                  <c:v>1.74411441044874</c:v>
                </c:pt>
                <c:pt idx="80">
                  <c:v>1.74401410639063</c:v>
                </c:pt>
                <c:pt idx="81">
                  <c:v>1.74406198753507</c:v>
                </c:pt>
                <c:pt idx="82">
                  <c:v>1.7441460319391699</c:v>
                </c:pt>
                <c:pt idx="83">
                  <c:v>1.7440725639947401</c:v>
                </c:pt>
                <c:pt idx="84">
                  <c:v>1.74404342224399</c:v>
                </c:pt>
                <c:pt idx="85">
                  <c:v>1.7438843038177401</c:v>
                </c:pt>
                <c:pt idx="86">
                  <c:v>1.7438594222249399</c:v>
                </c:pt>
                <c:pt idx="87">
                  <c:v>1.7436258930278199</c:v>
                </c:pt>
                <c:pt idx="88">
                  <c:v>1.7434310937065001</c:v>
                </c:pt>
                <c:pt idx="89">
                  <c:v>1.7434363256843499</c:v>
                </c:pt>
                <c:pt idx="90">
                  <c:v>1.74338993404288</c:v>
                </c:pt>
                <c:pt idx="91">
                  <c:v>1.7432164202698199</c:v>
                </c:pt>
                <c:pt idx="92">
                  <c:v>1.7430590541518201</c:v>
                </c:pt>
                <c:pt idx="93">
                  <c:v>1.74284881927029</c:v>
                </c:pt>
                <c:pt idx="94">
                  <c:v>1.7425705673059</c:v>
                </c:pt>
                <c:pt idx="95">
                  <c:v>1.7426482339510101</c:v>
                </c:pt>
                <c:pt idx="96">
                  <c:v>1.7427040458785099</c:v>
                </c:pt>
                <c:pt idx="97">
                  <c:v>1.7428429486425201</c:v>
                </c:pt>
                <c:pt idx="98">
                  <c:v>1.74296328191758</c:v>
                </c:pt>
                <c:pt idx="99">
                  <c:v>1.74304226871006</c:v>
                </c:pt>
                <c:pt idx="100">
                  <c:v>1.7430228654209401</c:v>
                </c:pt>
                <c:pt idx="101">
                  <c:v>1.74319675951138</c:v>
                </c:pt>
                <c:pt idx="102">
                  <c:v>1.7433113824020701</c:v>
                </c:pt>
                <c:pt idx="103">
                  <c:v>1.74356759304812</c:v>
                </c:pt>
                <c:pt idx="104">
                  <c:v>1.74382594916375</c:v>
                </c:pt>
                <c:pt idx="105">
                  <c:v>1.7437238460195501</c:v>
                </c:pt>
                <c:pt idx="106">
                  <c:v>1.7437428601882601</c:v>
                </c:pt>
                <c:pt idx="107">
                  <c:v>1.7438398886650599</c:v>
                </c:pt>
                <c:pt idx="108">
                  <c:v>1.74384778867457</c:v>
                </c:pt>
                <c:pt idx="109">
                  <c:v>1.74390103757959</c:v>
                </c:pt>
                <c:pt idx="110">
                  <c:v>1.7438844660870401</c:v>
                </c:pt>
                <c:pt idx="111">
                  <c:v>1.74384918784607</c:v>
                </c:pt>
                <c:pt idx="112">
                  <c:v>1.7438244529696101</c:v>
                </c:pt>
                <c:pt idx="113">
                  <c:v>1.74376852941194</c:v>
                </c:pt>
                <c:pt idx="114">
                  <c:v>1.74379490221045</c:v>
                </c:pt>
                <c:pt idx="115">
                  <c:v>1.7438485855117101</c:v>
                </c:pt>
                <c:pt idx="116">
                  <c:v>1.74392487094294</c:v>
                </c:pt>
                <c:pt idx="117">
                  <c:v>1.7439961373883299</c:v>
                </c:pt>
                <c:pt idx="118">
                  <c:v>1.7441630127476999</c:v>
                </c:pt>
                <c:pt idx="119">
                  <c:v>1.74420516565882</c:v>
                </c:pt>
                <c:pt idx="120">
                  <c:v>1.7443253579665099</c:v>
                </c:pt>
                <c:pt idx="121">
                  <c:v>1.7444241829537299</c:v>
                </c:pt>
                <c:pt idx="122">
                  <c:v>1.74455701304127</c:v>
                </c:pt>
                <c:pt idx="123">
                  <c:v>1.7445886421413701</c:v>
                </c:pt>
                <c:pt idx="124">
                  <c:v>1.74450862848274</c:v>
                </c:pt>
                <c:pt idx="125">
                  <c:v>1.7445963944642799</c:v>
                </c:pt>
                <c:pt idx="126">
                  <c:v>1.74453975395206</c:v>
                </c:pt>
                <c:pt idx="127">
                  <c:v>1.7445037842853499</c:v>
                </c:pt>
                <c:pt idx="128">
                  <c:v>1.7444544659568699</c:v>
                </c:pt>
                <c:pt idx="129">
                  <c:v>1.74447019088277</c:v>
                </c:pt>
                <c:pt idx="130">
                  <c:v>1.7443674414496599</c:v>
                </c:pt>
                <c:pt idx="131">
                  <c:v>1.7442819998830801</c:v>
                </c:pt>
                <c:pt idx="132">
                  <c:v>1.74416090493749</c:v>
                </c:pt>
                <c:pt idx="133">
                  <c:v>1.7442837644621101</c:v>
                </c:pt>
                <c:pt idx="134">
                  <c:v>1.74438784262939</c:v>
                </c:pt>
                <c:pt idx="135">
                  <c:v>1.74438254056835</c:v>
                </c:pt>
                <c:pt idx="136">
                  <c:v>1.74437726642265</c:v>
                </c:pt>
                <c:pt idx="137">
                  <c:v>1.7443369921424301</c:v>
                </c:pt>
                <c:pt idx="138">
                  <c:v>1.74423495514423</c:v>
                </c:pt>
                <c:pt idx="139">
                  <c:v>1.7441439364493401</c:v>
                </c:pt>
                <c:pt idx="140">
                  <c:v>1.7440572668776899</c:v>
                </c:pt>
                <c:pt idx="141">
                  <c:v>1.74387503077026</c:v>
                </c:pt>
                <c:pt idx="142">
                  <c:v>1.7441597262470301</c:v>
                </c:pt>
                <c:pt idx="143">
                  <c:v>1.74417272649664</c:v>
                </c:pt>
                <c:pt idx="144">
                  <c:v>1.74424671605992</c:v>
                </c:pt>
                <c:pt idx="145">
                  <c:v>1.7444834536881799</c:v>
                </c:pt>
                <c:pt idx="146">
                  <c:v>1.74468651169546</c:v>
                </c:pt>
                <c:pt idx="147">
                  <c:v>1.74475131001724</c:v>
                </c:pt>
                <c:pt idx="148">
                  <c:v>1.7449080113347999</c:v>
                </c:pt>
                <c:pt idx="149">
                  <c:v>1.74492429697782</c:v>
                </c:pt>
                <c:pt idx="150">
                  <c:v>1.7451371025823399</c:v>
                </c:pt>
                <c:pt idx="151">
                  <c:v>1.7453890366446301</c:v>
                </c:pt>
                <c:pt idx="152">
                  <c:v>1.74520573416943</c:v>
                </c:pt>
                <c:pt idx="153">
                  <c:v>1.7451779822787901</c:v>
                </c:pt>
                <c:pt idx="154">
                  <c:v>1.7451803145445901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D0-4414-A5FE-0CE9E1C4A972}"/>
            </c:ext>
          </c:extLst>
        </c:ser>
        <c:ser>
          <c:idx val="2"/>
          <c:order val="2"/>
          <c:tx>
            <c:strRef>
              <c:f>CMF_VTEC!$G$1</c:f>
              <c:strCache>
                <c:ptCount val="1"/>
                <c:pt idx="0">
                  <c:v> VTEC/CMF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CMF_VTEC!$G$2:$G$156</c:f>
              <c:numCache>
                <c:formatCode>_(* #,##0.0000_);_(* \(#,##0.0000\);_(* "-"??_);_(@_)</c:formatCode>
                <c:ptCount val="155"/>
                <c:pt idx="19">
                  <c:v>1.7441539175610099</c:v>
                </c:pt>
                <c:pt idx="20">
                  <c:v>1.7441659634861</c:v>
                </c:pt>
                <c:pt idx="21">
                  <c:v>1.7441649067857601</c:v>
                </c:pt>
                <c:pt idx="22">
                  <c:v>1.7442114170931999</c:v>
                </c:pt>
                <c:pt idx="23">
                  <c:v>1.7442210367851401</c:v>
                </c:pt>
                <c:pt idx="24">
                  <c:v>1.7441702824677201</c:v>
                </c:pt>
                <c:pt idx="25">
                  <c:v>1.7442360975426801</c:v>
                </c:pt>
                <c:pt idx="26">
                  <c:v>1.7441404661582001</c:v>
                </c:pt>
                <c:pt idx="27">
                  <c:v>1.74407463475914</c:v>
                </c:pt>
                <c:pt idx="28">
                  <c:v>1.74397255921464</c:v>
                </c:pt>
                <c:pt idx="29">
                  <c:v>1.74396767318612</c:v>
                </c:pt>
                <c:pt idx="30">
                  <c:v>1.7439628822250299</c:v>
                </c:pt>
                <c:pt idx="31">
                  <c:v>1.74386130659077</c:v>
                </c:pt>
                <c:pt idx="32">
                  <c:v>1.7438851663002</c:v>
                </c:pt>
                <c:pt idx="33">
                  <c:v>1.74394817455919</c:v>
                </c:pt>
                <c:pt idx="34">
                  <c:v>1.74402401067752</c:v>
                </c:pt>
                <c:pt idx="35">
                  <c:v>1.7441061513845999</c:v>
                </c:pt>
                <c:pt idx="36">
                  <c:v>1.7440552287298801</c:v>
                </c:pt>
                <c:pt idx="37">
                  <c:v>1.74400433913834</c:v>
                </c:pt>
                <c:pt idx="38">
                  <c:v>1.74397740484821</c:v>
                </c:pt>
                <c:pt idx="39">
                  <c:v>1.74401932062954</c:v>
                </c:pt>
                <c:pt idx="40">
                  <c:v>1.74404970683787</c:v>
                </c:pt>
                <c:pt idx="41">
                  <c:v>1.7440044520960101</c:v>
                </c:pt>
                <c:pt idx="42">
                  <c:v>1.74394148779828</c:v>
                </c:pt>
                <c:pt idx="43">
                  <c:v>1.7439600659000001</c:v>
                </c:pt>
                <c:pt idx="44">
                  <c:v>1.7439330437938101</c:v>
                </c:pt>
                <c:pt idx="45">
                  <c:v>1.7439941849671401</c:v>
                </c:pt>
                <c:pt idx="46">
                  <c:v>1.7440514783825101</c:v>
                </c:pt>
                <c:pt idx="47">
                  <c:v>1.7441256307717199</c:v>
                </c:pt>
                <c:pt idx="48">
                  <c:v>1.74416729096713</c:v>
                </c:pt>
                <c:pt idx="49">
                  <c:v>1.74414190073928</c:v>
                </c:pt>
                <c:pt idx="50">
                  <c:v>1.7440884552386799</c:v>
                </c:pt>
                <c:pt idx="51">
                  <c:v>1.7440565644952399</c:v>
                </c:pt>
                <c:pt idx="52">
                  <c:v>1.7440606050338101</c:v>
                </c:pt>
                <c:pt idx="53">
                  <c:v>1.7441194336150601</c:v>
                </c:pt>
                <c:pt idx="54">
                  <c:v>1.7440020543380399</c:v>
                </c:pt>
                <c:pt idx="55">
                  <c:v>1.7440762907509499</c:v>
                </c:pt>
                <c:pt idx="56">
                  <c:v>1.7441616260725401</c:v>
                </c:pt>
                <c:pt idx="57">
                  <c:v>1.7441954680754701</c:v>
                </c:pt>
                <c:pt idx="58">
                  <c:v>1.7442377105945599</c:v>
                </c:pt>
                <c:pt idx="59">
                  <c:v>1.74413193842448</c:v>
                </c:pt>
                <c:pt idx="60">
                  <c:v>1.7439983900482701</c:v>
                </c:pt>
                <c:pt idx="61">
                  <c:v>1.7439446835553001</c:v>
                </c:pt>
                <c:pt idx="62">
                  <c:v>1.7439554286761101</c:v>
                </c:pt>
                <c:pt idx="63">
                  <c:v>1.74386623732831</c:v>
                </c:pt>
                <c:pt idx="64">
                  <c:v>1.7439167776092299</c:v>
                </c:pt>
                <c:pt idx="65">
                  <c:v>1.7438102775948701</c:v>
                </c:pt>
                <c:pt idx="66">
                  <c:v>1.74381142810985</c:v>
                </c:pt>
                <c:pt idx="67">
                  <c:v>1.74378745641632</c:v>
                </c:pt>
                <c:pt idx="68">
                  <c:v>1.7438000049588001</c:v>
                </c:pt>
                <c:pt idx="69">
                  <c:v>1.7438493399392101</c:v>
                </c:pt>
                <c:pt idx="70">
                  <c:v>1.7439701015003499</c:v>
                </c:pt>
                <c:pt idx="71">
                  <c:v>1.7439719178334701</c:v>
                </c:pt>
                <c:pt idx="72">
                  <c:v>1.74396405440742</c:v>
                </c:pt>
                <c:pt idx="73">
                  <c:v>1.74392104666548</c:v>
                </c:pt>
                <c:pt idx="74">
                  <c:v>1.7440216862167</c:v>
                </c:pt>
                <c:pt idx="75">
                  <c:v>1.74392640190899</c:v>
                </c:pt>
                <c:pt idx="76">
                  <c:v>1.7438252813131701</c:v>
                </c:pt>
                <c:pt idx="77">
                  <c:v>1.7438276184778001</c:v>
                </c:pt>
                <c:pt idx="78">
                  <c:v>1.74380393045738</c:v>
                </c:pt>
                <c:pt idx="79">
                  <c:v>1.74384773642228</c:v>
                </c:pt>
                <c:pt idx="80">
                  <c:v>1.74394213175179</c:v>
                </c:pt>
                <c:pt idx="81">
                  <c:v>1.74404748047211</c:v>
                </c:pt>
                <c:pt idx="82">
                  <c:v>1.74409435375662</c:v>
                </c:pt>
                <c:pt idx="83">
                  <c:v>1.74413259514303</c:v>
                </c:pt>
                <c:pt idx="84">
                  <c:v>1.74412014237323</c:v>
                </c:pt>
                <c:pt idx="85">
                  <c:v>1.7441094009325699</c:v>
                </c:pt>
                <c:pt idx="86">
                  <c:v>1.7440587861480401</c:v>
                </c:pt>
                <c:pt idx="87">
                  <c:v>1.74393229270512</c:v>
                </c:pt>
                <c:pt idx="88">
                  <c:v>1.7438138578393001</c:v>
                </c:pt>
                <c:pt idx="89">
                  <c:v>1.74377536806654</c:v>
                </c:pt>
                <c:pt idx="90">
                  <c:v>1.7437020202167499</c:v>
                </c:pt>
                <c:pt idx="91">
                  <c:v>1.74363920390245</c:v>
                </c:pt>
                <c:pt idx="92">
                  <c:v>1.7436025430455</c:v>
                </c:pt>
                <c:pt idx="93">
                  <c:v>1.7434606916325099</c:v>
                </c:pt>
                <c:pt idx="94">
                  <c:v>1.74330699477494</c:v>
                </c:pt>
                <c:pt idx="95">
                  <c:v>1.7432662688843801</c:v>
                </c:pt>
                <c:pt idx="96">
                  <c:v>1.7432817340517299</c:v>
                </c:pt>
                <c:pt idx="97">
                  <c:v>1.74323442083517</c:v>
                </c:pt>
                <c:pt idx="98">
                  <c:v>1.74319718781204</c:v>
                </c:pt>
                <c:pt idx="99">
                  <c:v>1.7432392971971999</c:v>
                </c:pt>
                <c:pt idx="100">
                  <c:v>1.7432063997319101</c:v>
                </c:pt>
                <c:pt idx="101">
                  <c:v>1.7432065898906</c:v>
                </c:pt>
                <c:pt idx="102">
                  <c:v>1.7431852182769501</c:v>
                </c:pt>
                <c:pt idx="103">
                  <c:v>1.7432082061592</c:v>
                </c:pt>
                <c:pt idx="104">
                  <c:v>1.74319825823482</c:v>
                </c:pt>
                <c:pt idx="105">
                  <c:v>1.7431860399852801</c:v>
                </c:pt>
                <c:pt idx="106">
                  <c:v>1.7432234530333901</c:v>
                </c:pt>
                <c:pt idx="107">
                  <c:v>1.7433414186537901</c:v>
                </c:pt>
                <c:pt idx="108">
                  <c:v>1.74340553529608</c:v>
                </c:pt>
                <c:pt idx="109">
                  <c:v>1.74347165314483</c:v>
                </c:pt>
                <c:pt idx="110">
                  <c:v>1.7434536657539901</c:v>
                </c:pt>
                <c:pt idx="111">
                  <c:v>1.7435229736787301</c:v>
                </c:pt>
                <c:pt idx="112">
                  <c:v>1.7435679176858401</c:v>
                </c:pt>
                <c:pt idx="113">
                  <c:v>1.7436680612300299</c:v>
                </c:pt>
                <c:pt idx="114">
                  <c:v>1.7438104256871001</c:v>
                </c:pt>
                <c:pt idx="115">
                  <c:v>1.7437862157656301</c:v>
                </c:pt>
                <c:pt idx="116">
                  <c:v>1.7438338655656</c:v>
                </c:pt>
                <c:pt idx="117">
                  <c:v>1.74391801302669</c:v>
                </c:pt>
                <c:pt idx="118">
                  <c:v>1.7440054007111301</c:v>
                </c:pt>
                <c:pt idx="119">
                  <c:v>1.7440531016192</c:v>
                </c:pt>
                <c:pt idx="120">
                  <c:v>1.74410491202677</c:v>
                </c:pt>
                <c:pt idx="121">
                  <c:v>1.7441366853999001</c:v>
                </c:pt>
                <c:pt idx="122">
                  <c:v>1.74419073300544</c:v>
                </c:pt>
                <c:pt idx="123">
                  <c:v>1.7441785857766601</c:v>
                </c:pt>
                <c:pt idx="124">
                  <c:v>1.7441517653466001</c:v>
                </c:pt>
                <c:pt idx="125">
                  <c:v>1.7442224899879999</c:v>
                </c:pt>
                <c:pt idx="126">
                  <c:v>1.7442323124475001</c:v>
                </c:pt>
                <c:pt idx="127">
                  <c:v>1.74424996083684</c:v>
                </c:pt>
                <c:pt idx="128">
                  <c:v>1.74430873935228</c:v>
                </c:pt>
                <c:pt idx="129">
                  <c:v>1.74433767827079</c:v>
                </c:pt>
                <c:pt idx="130">
                  <c:v>1.7443463997080899</c:v>
                </c:pt>
                <c:pt idx="131">
                  <c:v>1.7443530914184</c:v>
                </c:pt>
                <c:pt idx="132">
                  <c:v>1.74435895898938</c:v>
                </c:pt>
                <c:pt idx="133">
                  <c:v>1.74443620330174</c:v>
                </c:pt>
                <c:pt idx="134">
                  <c:v>1.74444823555606</c:v>
                </c:pt>
                <c:pt idx="135">
                  <c:v>1.7444894675163201</c:v>
                </c:pt>
                <c:pt idx="136">
                  <c:v>1.74445851018735</c:v>
                </c:pt>
                <c:pt idx="137">
                  <c:v>1.74442038821389</c:v>
                </c:pt>
                <c:pt idx="138">
                  <c:v>1.7443447105505501</c:v>
                </c:pt>
                <c:pt idx="139">
                  <c:v>1.74430706366606</c:v>
                </c:pt>
                <c:pt idx="140">
                  <c:v>1.74421235416367</c:v>
                </c:pt>
                <c:pt idx="141">
                  <c:v>1.74407851532667</c:v>
                </c:pt>
                <c:pt idx="142">
                  <c:v>1.74416031559226</c:v>
                </c:pt>
                <c:pt idx="143">
                  <c:v>1.7442282454793701</c:v>
                </c:pt>
                <c:pt idx="144">
                  <c:v>1.74431727934465</c:v>
                </c:pt>
                <c:pt idx="145">
                  <c:v>1.7444329971282699</c:v>
                </c:pt>
                <c:pt idx="146">
                  <c:v>1.74453188905906</c:v>
                </c:pt>
                <c:pt idx="147">
                  <c:v>1.7445441510798401</c:v>
                </c:pt>
                <c:pt idx="148">
                  <c:v>1.7445714832395101</c:v>
                </c:pt>
                <c:pt idx="149">
                  <c:v>1.7445341167135799</c:v>
                </c:pt>
                <c:pt idx="150">
                  <c:v>1.7445971847300099</c:v>
                </c:pt>
                <c:pt idx="151">
                  <c:v>1.7446320337074499</c:v>
                </c:pt>
                <c:pt idx="152">
                  <c:v>1.7446827302082299</c:v>
                </c:pt>
                <c:pt idx="153">
                  <c:v>1.74467535438771</c:v>
                </c:pt>
                <c:pt idx="154">
                  <c:v>1.7447135153022499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D0-4414-A5FE-0CE9E1C4A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502319"/>
        <c:axId val="1072590255"/>
      </c:lineChart>
      <c:catAx>
        <c:axId val="1081502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590255"/>
        <c:crosses val="autoZero"/>
        <c:auto val="1"/>
        <c:lblAlgn val="ctr"/>
        <c:lblOffset val="100"/>
        <c:noMultiLvlLbl val="0"/>
      </c:catAx>
      <c:valAx>
        <c:axId val="107259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0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CMF_VTEC!$K$1</c:f>
              <c:strCache>
                <c:ptCount val="1"/>
                <c:pt idx="0">
                  <c:v>avg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CMF_VTEC!$K$2:$K$156</c:f>
              <c:numCache>
                <c:formatCode>0.0000%</c:formatCode>
                <c:ptCount val="155"/>
                <c:pt idx="1">
                  <c:v>2.1604520708948201E-4</c:v>
                </c:pt>
                <c:pt idx="2">
                  <c:v>-1.28903601582117E-4</c:v>
                </c:pt>
                <c:pt idx="3">
                  <c:v>1.2555969635666501E-4</c:v>
                </c:pt>
                <c:pt idx="4">
                  <c:v>5.4611580744566503E-4</c:v>
                </c:pt>
                <c:pt idx="5">
                  <c:v>-7.14771978660875E-4</c:v>
                </c:pt>
                <c:pt idx="6">
                  <c:v>2.7778393409074598E-4</c:v>
                </c:pt>
                <c:pt idx="7">
                  <c:v>3.0312165970976799E-4</c:v>
                </c:pt>
                <c:pt idx="8">
                  <c:v>6.0257493764178998E-4</c:v>
                </c:pt>
                <c:pt idx="9">
                  <c:v>-1.8796177439827299E-4</c:v>
                </c:pt>
                <c:pt idx="10">
                  <c:v>5.8597054789442699E-5</c:v>
                </c:pt>
                <c:pt idx="11">
                  <c:v>1.5112119370254301E-3</c:v>
                </c:pt>
                <c:pt idx="12">
                  <c:v>-3.6857152514240102E-4</c:v>
                </c:pt>
                <c:pt idx="13">
                  <c:v>-6.1825794774694298E-4</c:v>
                </c:pt>
                <c:pt idx="14">
                  <c:v>-4.19549551663404E-4</c:v>
                </c:pt>
                <c:pt idx="15">
                  <c:v>-3.9142616798248502E-4</c:v>
                </c:pt>
                <c:pt idx="16">
                  <c:v>1.7857266360907399E-4</c:v>
                </c:pt>
                <c:pt idx="17">
                  <c:v>1.8080339529087701E-4</c:v>
                </c:pt>
                <c:pt idx="18">
                  <c:v>-9.1284434994464903E-5</c:v>
                </c:pt>
                <c:pt idx="19">
                  <c:v>-2.1086245113489799E-4</c:v>
                </c:pt>
                <c:pt idx="20">
                  <c:v>3.0097475980104502E-4</c:v>
                </c:pt>
                <c:pt idx="21">
                  <c:v>2.0393007107542599E-4</c:v>
                </c:pt>
                <c:pt idx="22">
                  <c:v>4.0437852434815002E-4</c:v>
                </c:pt>
                <c:pt idx="23">
                  <c:v>2.35853299686495E-4</c:v>
                </c:pt>
                <c:pt idx="24">
                  <c:v>-3.5759333980162903E-5</c:v>
                </c:pt>
                <c:pt idx="25">
                  <c:v>4.0215048396389998E-5</c:v>
                </c:pt>
                <c:pt idx="26">
                  <c:v>-8.1916300722440904E-4</c:v>
                </c:pt>
                <c:pt idx="27">
                  <c:v>-4.5185410819997401E-4</c:v>
                </c:pt>
                <c:pt idx="28">
                  <c:v>-5.6795305339672102E-4</c:v>
                </c:pt>
                <c:pt idx="29">
                  <c:v>-2.44004266447294E-4</c:v>
                </c:pt>
                <c:pt idx="30">
                  <c:v>3.65855884776416E-6</c:v>
                </c:pt>
                <c:pt idx="31">
                  <c:v>3.4747840063932903E-4</c:v>
                </c:pt>
                <c:pt idx="32">
                  <c:v>-9.4897593599979903E-5</c:v>
                </c:pt>
                <c:pt idx="33">
                  <c:v>1.0447304382817E-4</c:v>
                </c:pt>
                <c:pt idx="34">
                  <c:v>4.5008561206703998E-4</c:v>
                </c:pt>
                <c:pt idx="35">
                  <c:v>5.5044506242185403E-4</c:v>
                </c:pt>
                <c:pt idx="36">
                  <c:v>-4.05447627588561E-4</c:v>
                </c:pt>
                <c:pt idx="37">
                  <c:v>-4.0283628897580802E-4</c:v>
                </c:pt>
                <c:pt idx="38">
                  <c:v>-4.0022853373225E-4</c:v>
                </c:pt>
                <c:pt idx="39">
                  <c:v>2.6979137823434003E-4</c:v>
                </c:pt>
                <c:pt idx="40">
                  <c:v>6.49262196222312E-4</c:v>
                </c:pt>
                <c:pt idx="41">
                  <c:v>-3.15056187438136E-4</c:v>
                </c:pt>
                <c:pt idx="42">
                  <c:v>-3.1763138567312502E-4</c:v>
                </c:pt>
                <c:pt idx="43">
                  <c:v>4.4882421665942397E-4</c:v>
                </c:pt>
                <c:pt idx="44">
                  <c:v>-3.4569365212992601E-4</c:v>
                </c:pt>
                <c:pt idx="45">
                  <c:v>7.41075809280976E-4</c:v>
                </c:pt>
                <c:pt idx="46">
                  <c:v>-1.6183011360926499E-4</c:v>
                </c:pt>
                <c:pt idx="47">
                  <c:v>3.98508901704942E-4</c:v>
                </c:pt>
                <c:pt idx="48">
                  <c:v>-9.0058781384134097E-5</c:v>
                </c:pt>
                <c:pt idx="49">
                  <c:v>-5.3527943161819805E-4</c:v>
                </c:pt>
                <c:pt idx="50">
                  <c:v>-6.09411802938294E-4</c:v>
                </c:pt>
                <c:pt idx="51">
                  <c:v>-1.8167554431985302E-5</c:v>
                </c:pt>
                <c:pt idx="52">
                  <c:v>-4.8559512084165897E-5</c:v>
                </c:pt>
                <c:pt idx="53">
                  <c:v>7.7879020023377803E-4</c:v>
                </c:pt>
                <c:pt idx="54">
                  <c:v>-8.9625802937428798E-4</c:v>
                </c:pt>
                <c:pt idx="55">
                  <c:v>1.4009187336695901E-3</c:v>
                </c:pt>
                <c:pt idx="56">
                  <c:v>5.73050634779647E-4</c:v>
                </c:pt>
                <c:pt idx="57">
                  <c:v>-1.4673090298496001E-5</c:v>
                </c:pt>
                <c:pt idx="58">
                  <c:v>8.4262848922708403E-5</c:v>
                </c:pt>
                <c:pt idx="59">
                  <c:v>-9.4355650086788104E-4</c:v>
                </c:pt>
                <c:pt idx="60">
                  <c:v>-8.8237826678322102E-4</c:v>
                </c:pt>
                <c:pt idx="61">
                  <c:v>-9.3131774145673799E-4</c:v>
                </c:pt>
                <c:pt idx="62">
                  <c:v>-1.9438047818797499E-4</c:v>
                </c:pt>
                <c:pt idx="63">
                  <c:v>-5.7403894767998995E-4</c:v>
                </c:pt>
                <c:pt idx="64">
                  <c:v>2.3390792767795401E-4</c:v>
                </c:pt>
                <c:pt idx="65">
                  <c:v>-4.8005053174906702E-4</c:v>
                </c:pt>
                <c:pt idx="66">
                  <c:v>-1.4863456845990301E-4</c:v>
                </c:pt>
                <c:pt idx="67">
                  <c:v>1.23685973025792E-4</c:v>
                </c:pt>
                <c:pt idx="68">
                  <c:v>5.3843868112596598E-5</c:v>
                </c:pt>
                <c:pt idx="69">
                  <c:v>3.0610781191193202E-5</c:v>
                </c:pt>
                <c:pt idx="70">
                  <c:v>7.7530289589715601E-4</c:v>
                </c:pt>
                <c:pt idx="71">
                  <c:v>2.6613540300260399E-6</c:v>
                </c:pt>
                <c:pt idx="72">
                  <c:v>-1.3874156546732699E-4</c:v>
                </c:pt>
                <c:pt idx="73">
                  <c:v>2.85862650618977E-4</c:v>
                </c:pt>
                <c:pt idx="74">
                  <c:v>2.5819126566668403E-4</c:v>
                </c:pt>
                <c:pt idx="75">
                  <c:v>3.0918266518027601E-4</c:v>
                </c:pt>
                <c:pt idx="76">
                  <c:v>-5.8655460474081795E-4</c:v>
                </c:pt>
                <c:pt idx="77">
                  <c:v>1.21283107661554E-5</c:v>
                </c:pt>
                <c:pt idx="78">
                  <c:v>-1.87392839137526E-4</c:v>
                </c:pt>
                <c:pt idx="79">
                  <c:v>-4.4086503683139598E-4</c:v>
                </c:pt>
                <c:pt idx="80">
                  <c:v>2.0046649984372899E-4</c:v>
                </c:pt>
                <c:pt idx="81">
                  <c:v>2.7716075668988603E-4</c:v>
                </c:pt>
                <c:pt idx="82">
                  <c:v>3.4309756689730899E-4</c:v>
                </c:pt>
                <c:pt idx="83">
                  <c:v>-1.3535139831160901E-4</c:v>
                </c:pt>
                <c:pt idx="84">
                  <c:v>9.1129360347733804E-5</c:v>
                </c:pt>
                <c:pt idx="85">
                  <c:v>-6.0329442792269802E-4</c:v>
                </c:pt>
                <c:pt idx="86">
                  <c:v>-7.2931296812265005E-4</c:v>
                </c:pt>
                <c:pt idx="87">
                  <c:v>-1.3277473008815001E-3</c:v>
                </c:pt>
                <c:pt idx="88">
                  <c:v>-1.30515438554577E-3</c:v>
                </c:pt>
                <c:pt idx="89">
                  <c:v>-4.1085348238047398E-4</c:v>
                </c:pt>
                <c:pt idx="90">
                  <c:v>-6.5512947158664995E-5</c:v>
                </c:pt>
                <c:pt idx="91">
                  <c:v>-7.1794054707500598E-4</c:v>
                </c:pt>
                <c:pt idx="92">
                  <c:v>-5.5929562271349298E-4</c:v>
                </c:pt>
                <c:pt idx="93">
                  <c:v>-1.3416730570626201E-3</c:v>
                </c:pt>
                <c:pt idx="94">
                  <c:v>-1.50542219838347E-3</c:v>
                </c:pt>
                <c:pt idx="95">
                  <c:v>-1.57804942368006E-4</c:v>
                </c:pt>
                <c:pt idx="96">
                  <c:v>-4.0911993912354401E-4</c:v>
                </c:pt>
                <c:pt idx="97">
                  <c:v>-5.3057527282942695E-4</c:v>
                </c:pt>
                <c:pt idx="98">
                  <c:v>-6.1453267245568498E-4</c:v>
                </c:pt>
                <c:pt idx="99">
                  <c:v>4.2119385543111299E-5</c:v>
                </c:pt>
                <c:pt idx="100">
                  <c:v>-1.76779751103522E-4</c:v>
                </c:pt>
                <c:pt idx="101">
                  <c:v>2.7934078927444901E-4</c:v>
                </c:pt>
                <c:pt idx="102">
                  <c:v>9.8073267779220097E-5</c:v>
                </c:pt>
                <c:pt idx="103">
                  <c:v>1.2826240271170201E-4</c:v>
                </c:pt>
                <c:pt idx="104">
                  <c:v>-2.2944282325328601E-5</c:v>
                </c:pt>
                <c:pt idx="105">
                  <c:v>-7.4350123021566905E-4</c:v>
                </c:pt>
                <c:pt idx="106">
                  <c:v>-3.0005906243524402E-4</c:v>
                </c:pt>
                <c:pt idx="107">
                  <c:v>2.5900731747523499E-5</c:v>
                </c:pt>
                <c:pt idx="108">
                  <c:v>-5.6920929077660504E-4</c:v>
                </c:pt>
                <c:pt idx="109">
                  <c:v>3.4737506128140901E-4</c:v>
                </c:pt>
                <c:pt idx="110">
                  <c:v>-2.7181761862805101E-4</c:v>
                </c:pt>
                <c:pt idx="111">
                  <c:v>7.71007380172287E-5</c:v>
                </c:pt>
                <c:pt idx="112">
                  <c:v>-4.3746115942375998E-5</c:v>
                </c:pt>
                <c:pt idx="113">
                  <c:v>-1.9239875968152701E-4</c:v>
                </c:pt>
                <c:pt idx="114">
                  <c:v>1.2826240271170201E-4</c:v>
                </c:pt>
                <c:pt idx="115">
                  <c:v>-4.3551388058022099E-4</c:v>
                </c:pt>
                <c:pt idx="116">
                  <c:v>1.37376989804769E-4</c:v>
                </c:pt>
                <c:pt idx="117">
                  <c:v>4.3442962795971099E-4</c:v>
                </c:pt>
                <c:pt idx="118">
                  <c:v>3.8769666535593201E-4</c:v>
                </c:pt>
                <c:pt idx="119">
                  <c:v>5.8895557226767395E-4</c:v>
                </c:pt>
                <c:pt idx="120">
                  <c:v>4.1728313219651199E-4</c:v>
                </c:pt>
                <c:pt idx="121">
                  <c:v>6.43532923802985E-4</c:v>
                </c:pt>
                <c:pt idx="122">
                  <c:v>7.1760986922899197E-4</c:v>
                </c:pt>
                <c:pt idx="123">
                  <c:v>-1.1027422861294199E-5</c:v>
                </c:pt>
                <c:pt idx="124">
                  <c:v>-3.3056114568292102E-4</c:v>
                </c:pt>
                <c:pt idx="125">
                  <c:v>6.78055561296067E-5</c:v>
                </c:pt>
                <c:pt idx="126">
                  <c:v>-1.87392839137526E-4</c:v>
                </c:pt>
                <c:pt idx="127">
                  <c:v>2.2825740304509799E-4</c:v>
                </c:pt>
                <c:pt idx="128">
                  <c:v>1.04988073289063E-4</c:v>
                </c:pt>
                <c:pt idx="129">
                  <c:v>6.7906099045947496E-4</c:v>
                </c:pt>
                <c:pt idx="130">
                  <c:v>-1.7178260629036401E-4</c:v>
                </c:pt>
                <c:pt idx="131">
                  <c:v>1.5382887044544999E-4</c:v>
                </c:pt>
                <c:pt idx="132">
                  <c:v>2.3540762386741999E-5</c:v>
                </c:pt>
                <c:pt idx="133">
                  <c:v>6.9317633819533403E-4</c:v>
                </c:pt>
                <c:pt idx="134">
                  <c:v>2.6621471490505402E-4</c:v>
                </c:pt>
                <c:pt idx="135">
                  <c:v>3.7406540427048301E-5</c:v>
                </c:pt>
                <c:pt idx="136">
                  <c:v>-2.1763951972430501E-4</c:v>
                </c:pt>
                <c:pt idx="137">
                  <c:v>-2.6386129650431601E-6</c:v>
                </c:pt>
                <c:pt idx="138">
                  <c:v>-4.8017482697851398E-4</c:v>
                </c:pt>
                <c:pt idx="139">
                  <c:v>1.5740210553489E-4</c:v>
                </c:pt>
                <c:pt idx="140">
                  <c:v>-6.6893192658028201E-4</c:v>
                </c:pt>
                <c:pt idx="141">
                  <c:v>-8.9145013675211702E-4</c:v>
                </c:pt>
                <c:pt idx="142">
                  <c:v>1.65454005929252E-3</c:v>
                </c:pt>
                <c:pt idx="143">
                  <c:v>7.6766190367209201E-4</c:v>
                </c:pt>
                <c:pt idx="144">
                  <c:v>6.9024845330449905E-4</c:v>
                </c:pt>
                <c:pt idx="145">
                  <c:v>1.39382632656277E-3</c:v>
                </c:pt>
                <c:pt idx="146">
                  <c:v>9.4621723686183002E-4</c:v>
                </c:pt>
                <c:pt idx="147">
                  <c:v>3.6882979433159598E-4</c:v>
                </c:pt>
                <c:pt idx="148">
                  <c:v>4.1833681135434802E-4</c:v>
                </c:pt>
                <c:pt idx="149">
                  <c:v>2.5076061830943403E-4</c:v>
                </c:pt>
                <c:pt idx="150">
                  <c:v>5.5131078151287303E-4</c:v>
                </c:pt>
                <c:pt idx="151">
                  <c:v>5.5331722391540499E-4</c:v>
                </c:pt>
                <c:pt idx="152">
                  <c:v>6.0471880017763104E-4</c:v>
                </c:pt>
                <c:pt idx="153">
                  <c:v>6.0864936974698602E-4</c:v>
                </c:pt>
                <c:pt idx="154">
                  <c:v>7.0361173168110702E-4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3D-43D3-A0F5-416858578DC4}"/>
            </c:ext>
          </c:extLst>
        </c:ser>
        <c:ser>
          <c:idx val="1"/>
          <c:order val="1"/>
          <c:tx>
            <c:strRef>
              <c:f>CMF_VTEC!$L$1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CMF_VTEC!$L$2:$L$156</c:f>
              <c:numCache>
                <c:formatCode>0.0000%</c:formatCode>
                <c:ptCount val="155"/>
                <c:pt idx="10">
                  <c:v>-6.1713257478847295E-5</c:v>
                </c:pt>
                <c:pt idx="11">
                  <c:v>1.4013289237391E-3</c:v>
                </c:pt>
                <c:pt idx="12">
                  <c:v>-6.0806048068590395E-4</c:v>
                </c:pt>
                <c:pt idx="13">
                  <c:v>-8.3379152231694898E-4</c:v>
                </c:pt>
                <c:pt idx="14">
                  <c:v>-5.6073294392030096E-4</c:v>
                </c:pt>
                <c:pt idx="15">
                  <c:v>-4.36045880720132E-4</c:v>
                </c:pt>
                <c:pt idx="16">
                  <c:v>1.01638213001231E-4</c:v>
                </c:pt>
                <c:pt idx="17">
                  <c:v>1.13791621587974E-4</c:v>
                </c:pt>
                <c:pt idx="18">
                  <c:v>-1.4606216725781399E-4</c:v>
                </c:pt>
                <c:pt idx="19">
                  <c:v>-1.96237897678682E-4</c:v>
                </c:pt>
                <c:pt idx="20">
                  <c:v>3.1788896041531802E-4</c:v>
                </c:pt>
                <c:pt idx="21">
                  <c:v>1.96602026933619E-4</c:v>
                </c:pt>
                <c:pt idx="22">
                  <c:v>5.2789843432465605E-4</c:v>
                </c:pt>
                <c:pt idx="23">
                  <c:v>2.82070258643332E-4</c:v>
                </c:pt>
                <c:pt idx="24">
                  <c:v>-7.4937473631711803E-5</c:v>
                </c:pt>
                <c:pt idx="25">
                  <c:v>-3.73311377888885E-5</c:v>
                </c:pt>
                <c:pt idx="26">
                  <c:v>-9.3986145862045905E-4</c:v>
                </c:pt>
                <c:pt idx="27">
                  <c:v>-4.7281800485704398E-4</c:v>
                </c:pt>
                <c:pt idx="28">
                  <c:v>-5.2565909754930396E-4</c:v>
                </c:pt>
                <c:pt idx="29">
                  <c:v>-1.5405600676396999E-4</c:v>
                </c:pt>
                <c:pt idx="30">
                  <c:v>9.6920549933409602E-5</c:v>
                </c:pt>
                <c:pt idx="31">
                  <c:v>4.7047975648864201E-4</c:v>
                </c:pt>
                <c:pt idx="32">
                  <c:v>1.3743307898928699E-5</c:v>
                </c:pt>
                <c:pt idx="33">
                  <c:v>2.6305595645649901E-4</c:v>
                </c:pt>
                <c:pt idx="34">
                  <c:v>6.2181095643652697E-4</c:v>
                </c:pt>
                <c:pt idx="35">
                  <c:v>6.7356868119858402E-4</c:v>
                </c:pt>
                <c:pt idx="36">
                  <c:v>-3.33367063279606E-4</c:v>
                </c:pt>
                <c:pt idx="37">
                  <c:v>-3.7210406417814099E-4</c:v>
                </c:pt>
                <c:pt idx="38">
                  <c:v>-3.7439613512812899E-4</c:v>
                </c:pt>
                <c:pt idx="39">
                  <c:v>2.7885914973519398E-4</c:v>
                </c:pt>
                <c:pt idx="40">
                  <c:v>6.0695059425666599E-4</c:v>
                </c:pt>
                <c:pt idx="41">
                  <c:v>-4.2194441650223802E-4</c:v>
                </c:pt>
                <c:pt idx="42">
                  <c:v>-3.5826996765904001E-4</c:v>
                </c:pt>
                <c:pt idx="43">
                  <c:v>4.3045376317300799E-4</c:v>
                </c:pt>
                <c:pt idx="44">
                  <c:v>-3.9850752487622802E-4</c:v>
                </c:pt>
                <c:pt idx="45">
                  <c:v>7.6784298237099295E-4</c:v>
                </c:pt>
                <c:pt idx="46">
                  <c:v>-1.5413865804755799E-4</c:v>
                </c:pt>
                <c:pt idx="47">
                  <c:v>3.8184562402231501E-4</c:v>
                </c:pt>
                <c:pt idx="48">
                  <c:v>-1.86851861124455E-4</c:v>
                </c:pt>
                <c:pt idx="49">
                  <c:v>-6.6307840199969395E-4</c:v>
                </c:pt>
                <c:pt idx="50">
                  <c:v>-6.5672142380414204E-4</c:v>
                </c:pt>
                <c:pt idx="51">
                  <c:v>6.0394707700511398E-5</c:v>
                </c:pt>
                <c:pt idx="52">
                  <c:v>3.1694124453867901E-7</c:v>
                </c:pt>
                <c:pt idx="53">
                  <c:v>8.0076343923074001E-4</c:v>
                </c:pt>
                <c:pt idx="54">
                  <c:v>-9.0730182907885299E-4</c:v>
                </c:pt>
                <c:pt idx="55">
                  <c:v>1.44489810037467E-3</c:v>
                </c:pt>
                <c:pt idx="56">
                  <c:v>5.5097427760037896E-4</c:v>
                </c:pt>
                <c:pt idx="57">
                  <c:v>-1.1024831165404301E-4</c:v>
                </c:pt>
                <c:pt idx="58">
                  <c:v>3.0010661744159099E-5</c:v>
                </c:pt>
                <c:pt idx="59">
                  <c:v>-1.0152397029555701E-3</c:v>
                </c:pt>
                <c:pt idx="60">
                  <c:v>-9.1326603151467101E-4</c:v>
                </c:pt>
                <c:pt idx="61">
                  <c:v>-9.3492968306922795E-4</c:v>
                </c:pt>
                <c:pt idx="62">
                  <c:v>-1.0671690295617299E-4</c:v>
                </c:pt>
                <c:pt idx="63">
                  <c:v>-4.7179366247256902E-4</c:v>
                </c:pt>
                <c:pt idx="64">
                  <c:v>4.7147297784711802E-4</c:v>
                </c:pt>
                <c:pt idx="65">
                  <c:v>-3.55485119611165E-4</c:v>
                </c:pt>
                <c:pt idx="66">
                  <c:v>1.64155579931757E-4</c:v>
                </c:pt>
                <c:pt idx="67">
                  <c:v>5.0868514860668104E-4</c:v>
                </c:pt>
                <c:pt idx="68">
                  <c:v>4.25001150854424E-4</c:v>
                </c:pt>
                <c:pt idx="69">
                  <c:v>4.0481130601520302E-4</c:v>
                </c:pt>
                <c:pt idx="70">
                  <c:v>1.0520994469570501E-3</c:v>
                </c:pt>
                <c:pt idx="71">
                  <c:v>1.1366650065888E-4</c:v>
                </c:pt>
                <c:pt idx="72">
                  <c:v>-1.21096979742844E-4</c:v>
                </c:pt>
                <c:pt idx="73">
                  <c:v>2.97944189037792E-4</c:v>
                </c:pt>
                <c:pt idx="74">
                  <c:v>1.8429768809285701E-4</c:v>
                </c:pt>
                <c:pt idx="75">
                  <c:v>2.3286033866897201E-4</c:v>
                </c:pt>
                <c:pt idx="76">
                  <c:v>-7.4178437441055995E-4</c:v>
                </c:pt>
                <c:pt idx="77">
                  <c:v>-9.93313865720203E-5</c:v>
                </c:pt>
                <c:pt idx="78">
                  <c:v>-2.8769719387491602E-4</c:v>
                </c:pt>
                <c:pt idx="79">
                  <c:v>-5.1704946012028801E-4</c:v>
                </c:pt>
                <c:pt idx="80">
                  <c:v>1.71417508356603E-4</c:v>
                </c:pt>
                <c:pt idx="81">
                  <c:v>3.0562344096306E-4</c:v>
                </c:pt>
                <c:pt idx="82">
                  <c:v>3.4410606544948898E-4</c:v>
                </c:pt>
                <c:pt idx="83">
                  <c:v>-1.8253062460076201E-4</c:v>
                </c:pt>
                <c:pt idx="84">
                  <c:v>8.6073609078244506E-5</c:v>
                </c:pt>
                <c:pt idx="85">
                  <c:v>-5.9164101535739001E-4</c:v>
                </c:pt>
                <c:pt idx="86">
                  <c:v>-6.2642003521213695E-4</c:v>
                </c:pt>
                <c:pt idx="87">
                  <c:v>-1.2105863513065401E-3</c:v>
                </c:pt>
                <c:pt idx="88">
                  <c:v>-1.0540693179557699E-3</c:v>
                </c:pt>
                <c:pt idx="89">
                  <c:v>-4.8041349666976102E-5</c:v>
                </c:pt>
                <c:pt idx="90">
                  <c:v>2.9429822382108002E-4</c:v>
                </c:pt>
                <c:pt idx="91">
                  <c:v>-3.3151970987316102E-4</c:v>
                </c:pt>
                <c:pt idx="92">
                  <c:v>-7.3343174789878594E-5</c:v>
                </c:pt>
                <c:pt idx="93">
                  <c:v>-7.6544310854601699E-4</c:v>
                </c:pt>
                <c:pt idx="94">
                  <c:v>-8.0857237726858402E-4</c:v>
                </c:pt>
                <c:pt idx="95">
                  <c:v>6.9871115366099395E-4</c:v>
                </c:pt>
                <c:pt idx="96">
                  <c:v>4.0282699235148301E-4</c:v>
                </c:pt>
                <c:pt idx="97">
                  <c:v>2.4934509546057E-4</c:v>
                </c:pt>
                <c:pt idx="98">
                  <c:v>8.5685563398614102E-5</c:v>
                </c:pt>
                <c:pt idx="99">
                  <c:v>6.7329576011966596E-4</c:v>
                </c:pt>
                <c:pt idx="100">
                  <c:v>4.0908011932936202E-4</c:v>
                </c:pt>
                <c:pt idx="101">
                  <c:v>8.7633257398730296E-4</c:v>
                </c:pt>
                <c:pt idx="102">
                  <c:v>5.9530421737735001E-4</c:v>
                </c:pt>
                <c:pt idx="103">
                  <c:v>5.5974109471283295E-4</c:v>
                </c:pt>
                <c:pt idx="104">
                  <c:v>2.61577404104498E-4</c:v>
                </c:pt>
                <c:pt idx="105">
                  <c:v>-6.0714528016106298E-4</c:v>
                </c:pt>
                <c:pt idx="106">
                  <c:v>-1.0515017394309199E-4</c:v>
                </c:pt>
                <c:pt idx="107">
                  <c:v>2.0990533336912899E-4</c:v>
                </c:pt>
                <c:pt idx="108">
                  <c:v>-4.4084693985291902E-4</c:v>
                </c:pt>
                <c:pt idx="109">
                  <c:v>4.7120718458938503E-4</c:v>
                </c:pt>
                <c:pt idx="110">
                  <c:v>-1.7852032318431901E-4</c:v>
                </c:pt>
                <c:pt idx="111">
                  <c:v>1.7990062043864001E-4</c:v>
                </c:pt>
                <c:pt idx="112">
                  <c:v>7.9283660423789406E-5</c:v>
                </c:pt>
                <c:pt idx="113">
                  <c:v>-5.5184814143526703E-5</c:v>
                </c:pt>
                <c:pt idx="114">
                  <c:v>2.9754635065689798E-4</c:v>
                </c:pt>
                <c:pt idx="115">
                  <c:v>-2.8135384308533101E-4</c:v>
                </c:pt>
                <c:pt idx="116">
                  <c:v>2.60752171307828E-4</c:v>
                </c:pt>
                <c:pt idx="117">
                  <c:v>5.1406032193023702E-4</c:v>
                </c:pt>
                <c:pt idx="118">
                  <c:v>4.2646264637770099E-4</c:v>
                </c:pt>
                <c:pt idx="119">
                  <c:v>5.3204050645928305E-4</c:v>
                </c:pt>
                <c:pt idx="120">
                  <c:v>3.3620037022425798E-4</c:v>
                </c:pt>
                <c:pt idx="121">
                  <c:v>4.9354303493231099E-4</c:v>
                </c:pt>
                <c:pt idx="122">
                  <c:v>5.1096645101593105E-4</c:v>
                </c:pt>
                <c:pt idx="123">
                  <c:v>-2.9381346274351899E-4</c:v>
                </c:pt>
                <c:pt idx="124">
                  <c:v>-6.3147718255103795E-4</c:v>
                </c:pt>
                <c:pt idx="125">
                  <c:v>-1.8724551771507101E-4</c:v>
                </c:pt>
                <c:pt idx="126">
                  <c:v>-4.9275250557933204E-4</c:v>
                </c:pt>
                <c:pt idx="127">
                  <c:v>-4.4635480890379E-5</c:v>
                </c:pt>
                <c:pt idx="128">
                  <c:v>-1.4728617043049001E-4</c:v>
                </c:pt>
                <c:pt idx="129">
                  <c:v>4.5505783796545899E-4</c:v>
                </c:pt>
                <c:pt idx="130">
                  <c:v>-4.0479995510412498E-4</c:v>
                </c:pt>
                <c:pt idx="131">
                  <c:v>-2.0286664088622101E-5</c:v>
                </c:pt>
                <c:pt idx="132">
                  <c:v>-1.01592168402297E-4</c:v>
                </c:pt>
                <c:pt idx="133">
                  <c:v>6.3746976692639499E-4</c:v>
                </c:pt>
                <c:pt idx="134">
                  <c:v>1.4007014830718501E-4</c:v>
                </c:pt>
                <c:pt idx="135">
                  <c:v>-1.4840438576724401E-4</c:v>
                </c:pt>
                <c:pt idx="136">
                  <c:v>-4.00410944631549E-4</c:v>
                </c:pt>
                <c:pt idx="137">
                  <c:v>-1.8238653038523599E-4</c:v>
                </c:pt>
                <c:pt idx="138">
                  <c:v>-6.3683442174533697E-4</c:v>
                </c:pt>
                <c:pt idx="139">
                  <c:v>5.9240371656158799E-5</c:v>
                </c:pt>
                <c:pt idx="140">
                  <c:v>-7.1490971041759499E-4</c:v>
                </c:pt>
                <c:pt idx="141">
                  <c:v>-8.87734931783017E-4</c:v>
                </c:pt>
                <c:pt idx="142">
                  <c:v>1.76275047347955E-3</c:v>
                </c:pt>
                <c:pt idx="143">
                  <c:v>7.1263112490226597E-4</c:v>
                </c:pt>
                <c:pt idx="144">
                  <c:v>6.2776411339572798E-4</c:v>
                </c:pt>
                <c:pt idx="145">
                  <c:v>1.28892187949079E-3</c:v>
                </c:pt>
                <c:pt idx="146">
                  <c:v>7.0559714707364404E-4</c:v>
                </c:pt>
                <c:pt idx="147">
                  <c:v>1.1816402114983701E-5</c:v>
                </c:pt>
                <c:pt idx="148">
                  <c:v>2.41837278165852E-5</c:v>
                </c:pt>
                <c:pt idx="149">
                  <c:v>-2.3320141403255701E-4</c:v>
                </c:pt>
                <c:pt idx="150">
                  <c:v>5.8015554002969997E-5</c:v>
                </c:pt>
                <c:pt idx="151">
                  <c:v>-6.1927494115429906E-5</c:v>
                </c:pt>
                <c:pt idx="152">
                  <c:v>-1.54878976778304E-4</c:v>
                </c:pt>
                <c:pt idx="153">
                  <c:v>-4.5921907487282799E-5</c:v>
                </c:pt>
                <c:pt idx="154">
                  <c:v>6.4942368333090905E-5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3D-43D3-A0F5-416858578DC4}"/>
            </c:ext>
          </c:extLst>
        </c:ser>
        <c:ser>
          <c:idx val="2"/>
          <c:order val="2"/>
          <c:tx>
            <c:strRef>
              <c:f>CMF_VTEC!$M$1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CMF_VTEC!$M$2:$M$156</c:f>
              <c:numCache>
                <c:formatCode>0.0000%</c:formatCode>
                <c:ptCount val="155"/>
                <c:pt idx="20">
                  <c:v>2.4927435015298198E-4</c:v>
                </c:pt>
                <c:pt idx="21">
                  <c:v>1.4532322767095101E-4</c:v>
                </c:pt>
                <c:pt idx="22">
                  <c:v>3.46377529635061E-4</c:v>
                </c:pt>
                <c:pt idx="23">
                  <c:v>1.51186427712227E-4</c:v>
                </c:pt>
                <c:pt idx="24">
                  <c:v>-1.25941400568269E-4</c:v>
                </c:pt>
                <c:pt idx="25">
                  <c:v>-2.0868036584207801E-5</c:v>
                </c:pt>
                <c:pt idx="26">
                  <c:v>-9.1797969763732202E-4</c:v>
                </c:pt>
                <c:pt idx="27">
                  <c:v>-4.9584220843103895E-4</c:v>
                </c:pt>
                <c:pt idx="28">
                  <c:v>-5.7419611946880498E-4</c:v>
                </c:pt>
                <c:pt idx="29">
                  <c:v>-1.9171856908512699E-4</c:v>
                </c:pt>
                <c:pt idx="30">
                  <c:v>5.8745926074554201E-5</c:v>
                </c:pt>
                <c:pt idx="31">
                  <c:v>4.0531293327411799E-4</c:v>
                </c:pt>
                <c:pt idx="32">
                  <c:v>2.1182784464494199E-5</c:v>
                </c:pt>
                <c:pt idx="33">
                  <c:v>2.0687140135754E-4</c:v>
                </c:pt>
                <c:pt idx="34">
                  <c:v>5.1635365439101598E-4</c:v>
                </c:pt>
                <c:pt idx="35">
                  <c:v>5.7322874517145195E-4</c:v>
                </c:pt>
                <c:pt idx="36">
                  <c:v>-4.2976121660060602E-4</c:v>
                </c:pt>
                <c:pt idx="37">
                  <c:v>-3.9795245896665898E-4</c:v>
                </c:pt>
                <c:pt idx="38">
                  <c:v>-3.6616539037946102E-4</c:v>
                </c:pt>
                <c:pt idx="39">
                  <c:v>3.1929857611963499E-4</c:v>
                </c:pt>
                <c:pt idx="40">
                  <c:v>6.7473509325741002E-4</c:v>
                </c:pt>
                <c:pt idx="41">
                  <c:v>-3.0700623019825501E-4</c:v>
                </c:pt>
                <c:pt idx="42">
                  <c:v>-2.8363301146224401E-4</c:v>
                </c:pt>
                <c:pt idx="43">
                  <c:v>5.1892653216854205E-4</c:v>
                </c:pt>
                <c:pt idx="44">
                  <c:v>-2.8624421855083997E-4</c:v>
                </c:pt>
                <c:pt idx="45">
                  <c:v>8.16020044643524E-4</c:v>
                </c:pt>
                <c:pt idx="46">
                  <c:v>-1.21944621918472E-4</c:v>
                </c:pt>
                <c:pt idx="47">
                  <c:v>4.0554309447084598E-4</c:v>
                </c:pt>
                <c:pt idx="48">
                  <c:v>-1.25541001578439E-4</c:v>
                </c:pt>
                <c:pt idx="49">
                  <c:v>-5.9464737262146202E-4</c:v>
                </c:pt>
                <c:pt idx="50">
                  <c:v>-6.5422241747632595E-4</c:v>
                </c:pt>
                <c:pt idx="51">
                  <c:v>-3.2334836883513199E-5</c:v>
                </c:pt>
                <c:pt idx="52">
                  <c:v>-4.4441578030302297E-5</c:v>
                </c:pt>
                <c:pt idx="53">
                  <c:v>7.8059138953709601E-4</c:v>
                </c:pt>
                <c:pt idx="54">
                  <c:v>-9.2818708369199303E-4</c:v>
                </c:pt>
                <c:pt idx="55">
                  <c:v>1.4362919665344401E-3</c:v>
                </c:pt>
                <c:pt idx="56">
                  <c:v>5.6585807320540401E-4</c:v>
                </c:pt>
                <c:pt idx="57">
                  <c:v>-7.0793118204532694E-5</c:v>
                </c:pt>
                <c:pt idx="58">
                  <c:v>8.7399892472947207E-6</c:v>
                </c:pt>
                <c:pt idx="59">
                  <c:v>-1.04329798072517E-3</c:v>
                </c:pt>
                <c:pt idx="60">
                  <c:v>-9.2147699329163597E-4</c:v>
                </c:pt>
                <c:pt idx="61">
                  <c:v>-8.9384342527158798E-4</c:v>
                </c:pt>
                <c:pt idx="62">
                  <c:v>-1.2611065196285501E-4</c:v>
                </c:pt>
                <c:pt idx="63">
                  <c:v>-5.11930491027835E-4</c:v>
                </c:pt>
                <c:pt idx="64">
                  <c:v>3.4716082711521199E-4</c:v>
                </c:pt>
                <c:pt idx="65">
                  <c:v>-3.9577895409119998E-4</c:v>
                </c:pt>
                <c:pt idx="66">
                  <c:v>-3.2916898007825399E-6</c:v>
                </c:pt>
                <c:pt idx="67">
                  <c:v>2.6836908117013303E-4</c:v>
                </c:pt>
                <c:pt idx="68">
                  <c:v>2.1227379424222E-4</c:v>
                </c:pt>
                <c:pt idx="69">
                  <c:v>1.8184459102237E-4</c:v>
                </c:pt>
                <c:pt idx="70">
                  <c:v>8.9824545535661601E-4</c:v>
                </c:pt>
                <c:pt idx="71">
                  <c:v>5.6356314403480403E-5</c:v>
                </c:pt>
                <c:pt idx="72">
                  <c:v>-8.6088097821434201E-5</c:v>
                </c:pt>
                <c:pt idx="73">
                  <c:v>3.4302504624436202E-4</c:v>
                </c:pt>
                <c:pt idx="74">
                  <c:v>3.40014876154838E-4</c:v>
                </c:pt>
                <c:pt idx="75">
                  <c:v>3.3329916350811499E-4</c:v>
                </c:pt>
                <c:pt idx="76">
                  <c:v>-5.0780179571001903E-4</c:v>
                </c:pt>
                <c:pt idx="77">
                  <c:v>1.4886724096138801E-4</c:v>
                </c:pt>
                <c:pt idx="78">
                  <c:v>-5.1994159644304697E-5</c:v>
                </c:pt>
                <c:pt idx="79">
                  <c:v>-2.9188234188853802E-4</c:v>
                </c:pt>
                <c:pt idx="80">
                  <c:v>3.2432858694325499E-4</c:v>
                </c:pt>
                <c:pt idx="81">
                  <c:v>3.4689382048365999E-4</c:v>
                </c:pt>
                <c:pt idx="82">
                  <c:v>3.5242407444069298E-4</c:v>
                </c:pt>
                <c:pt idx="83">
                  <c:v>-1.52900681226615E-4</c:v>
                </c:pt>
                <c:pt idx="84">
                  <c:v>5.16541035952984E-5</c:v>
                </c:pt>
                <c:pt idx="85">
                  <c:v>-6.3562985236213104E-4</c:v>
                </c:pt>
                <c:pt idx="86">
                  <c:v>-7.5548971491833105E-4</c:v>
                </c:pt>
                <c:pt idx="87">
                  <c:v>-1.32490320818821E-3</c:v>
                </c:pt>
                <c:pt idx="88">
                  <c:v>-1.2297794634351499E-3</c:v>
                </c:pt>
                <c:pt idx="89">
                  <c:v>-2.6756371741498399E-4</c:v>
                </c:pt>
                <c:pt idx="90">
                  <c:v>9.9849241059600896E-5</c:v>
                </c:pt>
                <c:pt idx="91">
                  <c:v>-5.1051480309240605E-4</c:v>
                </c:pt>
                <c:pt idx="92">
                  <c:v>-3.1584454580444902E-4</c:v>
                </c:pt>
                <c:pt idx="93">
                  <c:v>-1.07719627582298E-3</c:v>
                </c:pt>
                <c:pt idx="94">
                  <c:v>-1.1595867473887199E-3</c:v>
                </c:pt>
                <c:pt idx="95">
                  <c:v>2.7619058781265998E-4</c:v>
                </c:pt>
                <c:pt idx="96">
                  <c:v>4.8237148373945799E-5</c:v>
                </c:pt>
                <c:pt idx="97">
                  <c:v>-8.2089520151795096E-5</c:v>
                </c:pt>
                <c:pt idx="98">
                  <c:v>-1.3890623580867801E-4</c:v>
                </c:pt>
                <c:pt idx="99">
                  <c:v>5.3910463676749495E-4</c:v>
                </c:pt>
                <c:pt idx="100">
                  <c:v>2.9604938235064398E-4</c:v>
                </c:pt>
                <c:pt idx="101">
                  <c:v>7.7104155771619005E-4</c:v>
                </c:pt>
                <c:pt idx="102">
                  <c:v>5.8966495063939495E-4</c:v>
                </c:pt>
                <c:pt idx="103">
                  <c:v>6.3211410385475804E-4</c:v>
                </c:pt>
                <c:pt idx="104">
                  <c:v>4.6772021963572901E-4</c:v>
                </c:pt>
                <c:pt idx="105">
                  <c:v>-2.4713003600194299E-4</c:v>
                </c:pt>
                <c:pt idx="106">
                  <c:v>2.0332125555591301E-4</c:v>
                </c:pt>
                <c:pt idx="107">
                  <c:v>5.07818827253568E-4</c:v>
                </c:pt>
                <c:pt idx="108">
                  <c:v>-1.54959874781104E-4</c:v>
                </c:pt>
                <c:pt idx="109">
                  <c:v>7.2484713545033599E-4</c:v>
                </c:pt>
                <c:pt idx="110">
                  <c:v>6.7730637074002605E-5</c:v>
                </c:pt>
                <c:pt idx="111">
                  <c:v>4.2696604338024902E-4</c:v>
                </c:pt>
                <c:pt idx="112">
                  <c:v>2.6636674372494299E-4</c:v>
                </c:pt>
                <c:pt idx="113">
                  <c:v>9.1936735120353406E-5</c:v>
                </c:pt>
                <c:pt idx="114">
                  <c:v>3.5516355993233002E-4</c:v>
                </c:pt>
                <c:pt idx="115">
                  <c:v>-2.9025592642837499E-4</c:v>
                </c:pt>
                <c:pt idx="116">
                  <c:v>2.9651838516815801E-4</c:v>
                </c:pt>
                <c:pt idx="117">
                  <c:v>5.6624591401699701E-4</c:v>
                </c:pt>
                <c:pt idx="118">
                  <c:v>4.7125982789012199E-4</c:v>
                </c:pt>
                <c:pt idx="119">
                  <c:v>6.22410017324317E-4</c:v>
                </c:pt>
                <c:pt idx="120">
                  <c:v>4.2338659788139201E-4</c:v>
                </c:pt>
                <c:pt idx="121">
                  <c:v>6.1992993274484899E-4</c:v>
                </c:pt>
                <c:pt idx="122">
                  <c:v>6.7578946275390897E-4</c:v>
                </c:pt>
                <c:pt idx="123">
                  <c:v>-8.3835520031655798E-5</c:v>
                </c:pt>
                <c:pt idx="124">
                  <c:v>-3.9640482614728897E-4</c:v>
                </c:pt>
                <c:pt idx="125">
                  <c:v>1.7339106238050402E-5</c:v>
                </c:pt>
                <c:pt idx="126">
                  <c:v>-2.78408058303133E-4</c:v>
                </c:pt>
                <c:pt idx="127">
                  <c:v>1.3161077395372299E-4</c:v>
                </c:pt>
                <c:pt idx="128">
                  <c:v>-1.7766461112817E-6</c:v>
                </c:pt>
                <c:pt idx="129">
                  <c:v>5.3859839150481299E-4</c:v>
                </c:pt>
                <c:pt idx="130">
                  <c:v>-3.2883554719838597E-4</c:v>
                </c:pt>
                <c:pt idx="131">
                  <c:v>-8.2239140128998299E-6</c:v>
                </c:pt>
                <c:pt idx="132">
                  <c:v>-1.4234824260896901E-4</c:v>
                </c:pt>
                <c:pt idx="133">
                  <c:v>5.2392358698397502E-4</c:v>
                </c:pt>
                <c:pt idx="134">
                  <c:v>5.2680595038684298E-5</c:v>
                </c:pt>
                <c:pt idx="135">
                  <c:v>-1.8302505886727801E-4</c:v>
                </c:pt>
                <c:pt idx="136">
                  <c:v>-4.61706943883605E-4</c:v>
                </c:pt>
                <c:pt idx="137">
                  <c:v>-2.2896009814091499E-4</c:v>
                </c:pt>
                <c:pt idx="138">
                  <c:v>-6.8464288899176904E-4</c:v>
                </c:pt>
                <c:pt idx="139">
                  <c:v>-3.6823171592262302E-6</c:v>
                </c:pt>
                <c:pt idx="140">
                  <c:v>-8.08433865880827E-4</c:v>
                </c:pt>
                <c:pt idx="141">
                  <c:v>-9.7665425450588401E-4</c:v>
                </c:pt>
                <c:pt idx="142">
                  <c:v>1.64607199485177E-3</c:v>
                </c:pt>
                <c:pt idx="143">
                  <c:v>7.1229322859564298E-4</c:v>
                </c:pt>
                <c:pt idx="144">
                  <c:v>5.9593349347299195E-4</c:v>
                </c:pt>
                <c:pt idx="145">
                  <c:v>1.24846782169744E-3</c:v>
                </c:pt>
                <c:pt idx="146">
                  <c:v>7.3452106120568302E-4</c:v>
                </c:pt>
                <c:pt idx="147">
                  <c:v>1.00445211631848E-4</c:v>
                </c:pt>
                <c:pt idx="148">
                  <c:v>1.4292342180742299E-4</c:v>
                </c:pt>
                <c:pt idx="149">
                  <c:v>-4.0319870034513501E-5</c:v>
                </c:pt>
                <c:pt idx="150">
                  <c:v>2.8164926422749099E-4</c:v>
                </c:pt>
                <c:pt idx="151">
                  <c:v>2.4750457846204298E-4</c:v>
                </c:pt>
                <c:pt idx="152">
                  <c:v>2.7893098241417598E-4</c:v>
                </c:pt>
                <c:pt idx="153">
                  <c:v>2.5380341064478102E-4</c:v>
                </c:pt>
                <c:pt idx="154">
                  <c:v>3.5299338140599301E-4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3D-43D3-A0F5-416858578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434111"/>
        <c:axId val="1072632975"/>
      </c:lineChart>
      <c:catAx>
        <c:axId val="1081434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632975"/>
        <c:crosses val="autoZero"/>
        <c:auto val="1"/>
        <c:lblAlgn val="ctr"/>
        <c:lblOffset val="100"/>
        <c:noMultiLvlLbl val="0"/>
      </c:catAx>
      <c:valAx>
        <c:axId val="107263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3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CMF_VTEC!$S$1</c:f>
              <c:strCache>
                <c:ptCount val="1"/>
                <c:pt idx="0">
                  <c:v> VTEC*/CMF*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CMF_VTEC!$S$2:$S$156</c:f>
              <c:numCache>
                <c:formatCode>_(* #,##0.0000_);_(* \(#,##0.0000\);_(* "-"??_);_(@_)</c:formatCode>
                <c:ptCount val="155"/>
                <c:pt idx="0">
                  <c:v>1.7440637464199518</c:v>
                </c:pt>
                <c:pt idx="1">
                  <c:v>1.7440637464199518</c:v>
                </c:pt>
                <c:pt idx="2">
                  <c:v>1.7440637464199518</c:v>
                </c:pt>
                <c:pt idx="3">
                  <c:v>1.7440637464199518</c:v>
                </c:pt>
                <c:pt idx="4">
                  <c:v>1.7440637464199518</c:v>
                </c:pt>
                <c:pt idx="5">
                  <c:v>1.7440637464199518</c:v>
                </c:pt>
                <c:pt idx="6">
                  <c:v>1.7440637464199518</c:v>
                </c:pt>
                <c:pt idx="7">
                  <c:v>1.7440637464199518</c:v>
                </c:pt>
                <c:pt idx="8">
                  <c:v>1.7440637464199518</c:v>
                </c:pt>
                <c:pt idx="9">
                  <c:v>1.7440637464199518</c:v>
                </c:pt>
                <c:pt idx="10">
                  <c:v>1.7440637464199518</c:v>
                </c:pt>
                <c:pt idx="11">
                  <c:v>1.7440637464199518</c:v>
                </c:pt>
                <c:pt idx="12">
                  <c:v>1.7440637464199518</c:v>
                </c:pt>
                <c:pt idx="13">
                  <c:v>1.7440637464199518</c:v>
                </c:pt>
                <c:pt idx="14">
                  <c:v>1.7440637464199518</c:v>
                </c:pt>
                <c:pt idx="15">
                  <c:v>1.7440637464199518</c:v>
                </c:pt>
                <c:pt idx="16">
                  <c:v>1.7440637464199518</c:v>
                </c:pt>
                <c:pt idx="17">
                  <c:v>1.7440637464199518</c:v>
                </c:pt>
                <c:pt idx="18">
                  <c:v>1.7440637464199518</c:v>
                </c:pt>
                <c:pt idx="19">
                  <c:v>1.7440637464199518</c:v>
                </c:pt>
                <c:pt idx="20">
                  <c:v>1.7440637464199518</c:v>
                </c:pt>
                <c:pt idx="21">
                  <c:v>1.7440637464199518</c:v>
                </c:pt>
                <c:pt idx="22">
                  <c:v>1.7440637464199518</c:v>
                </c:pt>
                <c:pt idx="23">
                  <c:v>1.7440637464199518</c:v>
                </c:pt>
                <c:pt idx="24">
                  <c:v>1.7440637464199518</c:v>
                </c:pt>
                <c:pt idx="25">
                  <c:v>1.7440637464199518</c:v>
                </c:pt>
                <c:pt idx="26">
                  <c:v>1.7440637464199518</c:v>
                </c:pt>
                <c:pt idx="27">
                  <c:v>1.7440637464199518</c:v>
                </c:pt>
                <c:pt idx="28">
                  <c:v>1.7440637464199518</c:v>
                </c:pt>
                <c:pt idx="29">
                  <c:v>1.7440637464199518</c:v>
                </c:pt>
                <c:pt idx="30">
                  <c:v>1.7440637464199518</c:v>
                </c:pt>
                <c:pt idx="31">
                  <c:v>1.7440637464199518</c:v>
                </c:pt>
                <c:pt idx="32">
                  <c:v>1.7440637464199518</c:v>
                </c:pt>
                <c:pt idx="33">
                  <c:v>1.7440637464199518</c:v>
                </c:pt>
                <c:pt idx="34">
                  <c:v>1.7440637464199518</c:v>
                </c:pt>
                <c:pt idx="35">
                  <c:v>1.7440637464199518</c:v>
                </c:pt>
                <c:pt idx="36">
                  <c:v>1.7440637464199518</c:v>
                </c:pt>
                <c:pt idx="37">
                  <c:v>1.7440637464199518</c:v>
                </c:pt>
                <c:pt idx="38">
                  <c:v>1.7440637464199518</c:v>
                </c:pt>
                <c:pt idx="39">
                  <c:v>1.7440637464199518</c:v>
                </c:pt>
                <c:pt idx="40">
                  <c:v>1.7440637464199518</c:v>
                </c:pt>
                <c:pt idx="41">
                  <c:v>1.7440637464199518</c:v>
                </c:pt>
                <c:pt idx="42">
                  <c:v>1.7440637464199518</c:v>
                </c:pt>
                <c:pt idx="43">
                  <c:v>1.7440637464199518</c:v>
                </c:pt>
                <c:pt idx="44">
                  <c:v>1.7440637464199518</c:v>
                </c:pt>
                <c:pt idx="45">
                  <c:v>1.7440637464199518</c:v>
                </c:pt>
                <c:pt idx="46">
                  <c:v>1.7440637464199518</c:v>
                </c:pt>
                <c:pt idx="47">
                  <c:v>1.7440637464199518</c:v>
                </c:pt>
                <c:pt idx="48">
                  <c:v>1.7440637464199518</c:v>
                </c:pt>
                <c:pt idx="49">
                  <c:v>1.7440637464199518</c:v>
                </c:pt>
                <c:pt idx="50">
                  <c:v>1.7440637464199518</c:v>
                </c:pt>
                <c:pt idx="51">
                  <c:v>1.7440637464199518</c:v>
                </c:pt>
                <c:pt idx="52">
                  <c:v>1.7440637464199518</c:v>
                </c:pt>
                <c:pt idx="53">
                  <c:v>1.7440637464199518</c:v>
                </c:pt>
                <c:pt idx="54">
                  <c:v>1.7440637464199518</c:v>
                </c:pt>
                <c:pt idx="55">
                  <c:v>1.7440637464199518</c:v>
                </c:pt>
                <c:pt idx="56">
                  <c:v>1.7440637464199518</c:v>
                </c:pt>
                <c:pt idx="57">
                  <c:v>1.7440637464199518</c:v>
                </c:pt>
                <c:pt idx="58">
                  <c:v>1.7440637464199518</c:v>
                </c:pt>
                <c:pt idx="59">
                  <c:v>1.7440637464199518</c:v>
                </c:pt>
                <c:pt idx="60">
                  <c:v>1.7440637464199518</c:v>
                </c:pt>
                <c:pt idx="61">
                  <c:v>1.7440637464199518</c:v>
                </c:pt>
                <c:pt idx="62">
                  <c:v>1.7440637464199518</c:v>
                </c:pt>
                <c:pt idx="63">
                  <c:v>1.7440637464199518</c:v>
                </c:pt>
                <c:pt idx="64">
                  <c:v>1.7440637464199518</c:v>
                </c:pt>
                <c:pt idx="65">
                  <c:v>1.7440637464199518</c:v>
                </c:pt>
                <c:pt idx="66">
                  <c:v>1.7440637464199518</c:v>
                </c:pt>
                <c:pt idx="67">
                  <c:v>1.7440637464199518</c:v>
                </c:pt>
                <c:pt idx="68">
                  <c:v>1.7440637464199518</c:v>
                </c:pt>
                <c:pt idx="69">
                  <c:v>1.7440637464199518</c:v>
                </c:pt>
                <c:pt idx="70">
                  <c:v>1.7440637464199518</c:v>
                </c:pt>
                <c:pt idx="71">
                  <c:v>1.7440637464199518</c:v>
                </c:pt>
                <c:pt idx="72">
                  <c:v>1.7440637464199518</c:v>
                </c:pt>
                <c:pt idx="73">
                  <c:v>1.7440637464199518</c:v>
                </c:pt>
                <c:pt idx="74">
                  <c:v>1.7440637464199518</c:v>
                </c:pt>
                <c:pt idx="75">
                  <c:v>1.7440637464199518</c:v>
                </c:pt>
                <c:pt idx="76">
                  <c:v>1.7440637464199518</c:v>
                </c:pt>
                <c:pt idx="77">
                  <c:v>1.7440637464199518</c:v>
                </c:pt>
                <c:pt idx="78">
                  <c:v>1.7440637464199518</c:v>
                </c:pt>
                <c:pt idx="79">
                  <c:v>1.7440637464199518</c:v>
                </c:pt>
                <c:pt idx="80">
                  <c:v>1.7440637464199518</c:v>
                </c:pt>
                <c:pt idx="81">
                  <c:v>1.7440637464199518</c:v>
                </c:pt>
                <c:pt idx="82">
                  <c:v>1.7440637464199518</c:v>
                </c:pt>
                <c:pt idx="83">
                  <c:v>1.7440637464199518</c:v>
                </c:pt>
                <c:pt idx="84">
                  <c:v>1.7440637464199518</c:v>
                </c:pt>
                <c:pt idx="85">
                  <c:v>1.7440637464199518</c:v>
                </c:pt>
                <c:pt idx="86">
                  <c:v>1.7440637464199518</c:v>
                </c:pt>
                <c:pt idx="87">
                  <c:v>1.7440637464199518</c:v>
                </c:pt>
                <c:pt idx="88">
                  <c:v>1.7440637464199518</c:v>
                </c:pt>
                <c:pt idx="89">
                  <c:v>1.7440637464199518</c:v>
                </c:pt>
                <c:pt idx="90">
                  <c:v>1.7440637464199518</c:v>
                </c:pt>
                <c:pt idx="91">
                  <c:v>1.7440637464199518</c:v>
                </c:pt>
                <c:pt idx="92">
                  <c:v>1.7440637464199518</c:v>
                </c:pt>
                <c:pt idx="93">
                  <c:v>1.7440637464199518</c:v>
                </c:pt>
                <c:pt idx="94">
                  <c:v>1.7440637464199518</c:v>
                </c:pt>
                <c:pt idx="95">
                  <c:v>1.7440637464199518</c:v>
                </c:pt>
                <c:pt idx="96">
                  <c:v>1.7440637464199518</c:v>
                </c:pt>
                <c:pt idx="97">
                  <c:v>1.7440637464199518</c:v>
                </c:pt>
                <c:pt idx="98">
                  <c:v>1.7440637464199518</c:v>
                </c:pt>
                <c:pt idx="99">
                  <c:v>1.7440637464199518</c:v>
                </c:pt>
                <c:pt idx="100">
                  <c:v>1.7440637464199518</c:v>
                </c:pt>
                <c:pt idx="101">
                  <c:v>1.7440637464199518</c:v>
                </c:pt>
                <c:pt idx="102">
                  <c:v>1.7440637464199518</c:v>
                </c:pt>
                <c:pt idx="103">
                  <c:v>1.7440637464199518</c:v>
                </c:pt>
                <c:pt idx="104">
                  <c:v>1.7440637464199518</c:v>
                </c:pt>
                <c:pt idx="105">
                  <c:v>1.7440637464199518</c:v>
                </c:pt>
                <c:pt idx="106">
                  <c:v>1.7440637464199518</c:v>
                </c:pt>
                <c:pt idx="107">
                  <c:v>1.7440637464199518</c:v>
                </c:pt>
                <c:pt idx="108">
                  <c:v>1.7440637464199518</c:v>
                </c:pt>
                <c:pt idx="109">
                  <c:v>1.7440637464199518</c:v>
                </c:pt>
                <c:pt idx="110">
                  <c:v>1.7440637464199518</c:v>
                </c:pt>
                <c:pt idx="111">
                  <c:v>1.7440637464199518</c:v>
                </c:pt>
                <c:pt idx="112">
                  <c:v>1.7440637464199518</c:v>
                </c:pt>
                <c:pt idx="113">
                  <c:v>1.7440637464199518</c:v>
                </c:pt>
                <c:pt idx="114">
                  <c:v>1.7440637464199518</c:v>
                </c:pt>
                <c:pt idx="115">
                  <c:v>1.7440637464199518</c:v>
                </c:pt>
                <c:pt idx="116">
                  <c:v>1.7440637464199518</c:v>
                </c:pt>
                <c:pt idx="117">
                  <c:v>1.7440637464199518</c:v>
                </c:pt>
                <c:pt idx="118">
                  <c:v>1.7440637464199518</c:v>
                </c:pt>
                <c:pt idx="119">
                  <c:v>1.7440637464199518</c:v>
                </c:pt>
                <c:pt idx="120">
                  <c:v>1.7440637464199518</c:v>
                </c:pt>
                <c:pt idx="121">
                  <c:v>1.7440637464199518</c:v>
                </c:pt>
                <c:pt idx="122">
                  <c:v>1.7440637464199518</c:v>
                </c:pt>
                <c:pt idx="123">
                  <c:v>1.7440637464199518</c:v>
                </c:pt>
                <c:pt idx="124">
                  <c:v>1.7440637464199518</c:v>
                </c:pt>
                <c:pt idx="125">
                  <c:v>1.7440637464199518</c:v>
                </c:pt>
                <c:pt idx="126">
                  <c:v>1.7440637464199518</c:v>
                </c:pt>
                <c:pt idx="127">
                  <c:v>1.7440637464199518</c:v>
                </c:pt>
                <c:pt idx="128">
                  <c:v>1.7440637464199518</c:v>
                </c:pt>
                <c:pt idx="129">
                  <c:v>1.7440637464199518</c:v>
                </c:pt>
                <c:pt idx="130">
                  <c:v>1.7440637464199518</c:v>
                </c:pt>
                <c:pt idx="131">
                  <c:v>1.7440637464199518</c:v>
                </c:pt>
                <c:pt idx="132">
                  <c:v>1.7440637464199518</c:v>
                </c:pt>
                <c:pt idx="133">
                  <c:v>1.7440637464199518</c:v>
                </c:pt>
                <c:pt idx="134">
                  <c:v>1.7440637464199518</c:v>
                </c:pt>
                <c:pt idx="135">
                  <c:v>1.7440637464199518</c:v>
                </c:pt>
                <c:pt idx="136">
                  <c:v>1.7440637464199518</c:v>
                </c:pt>
                <c:pt idx="137">
                  <c:v>1.7440637464199518</c:v>
                </c:pt>
                <c:pt idx="138">
                  <c:v>1.7440637464199518</c:v>
                </c:pt>
                <c:pt idx="139">
                  <c:v>1.7440637464199518</c:v>
                </c:pt>
                <c:pt idx="140">
                  <c:v>1.7440637464199518</c:v>
                </c:pt>
                <c:pt idx="141">
                  <c:v>1.7440637464199518</c:v>
                </c:pt>
                <c:pt idx="142">
                  <c:v>1.7440637464199518</c:v>
                </c:pt>
                <c:pt idx="143">
                  <c:v>1.7440637464199518</c:v>
                </c:pt>
                <c:pt idx="144">
                  <c:v>1.7440637464199518</c:v>
                </c:pt>
                <c:pt idx="145">
                  <c:v>1.7440637464199518</c:v>
                </c:pt>
                <c:pt idx="146">
                  <c:v>1.7440637464199518</c:v>
                </c:pt>
                <c:pt idx="147">
                  <c:v>1.7440637464199518</c:v>
                </c:pt>
                <c:pt idx="148">
                  <c:v>1.7440637464199518</c:v>
                </c:pt>
                <c:pt idx="149">
                  <c:v>1.7440637464199518</c:v>
                </c:pt>
                <c:pt idx="150">
                  <c:v>1.7440637464199518</c:v>
                </c:pt>
                <c:pt idx="151">
                  <c:v>1.7440637464199518</c:v>
                </c:pt>
                <c:pt idx="152">
                  <c:v>1.7440637464199518</c:v>
                </c:pt>
                <c:pt idx="153">
                  <c:v>1.7440637464199518</c:v>
                </c:pt>
                <c:pt idx="154">
                  <c:v>1.7440637464199518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F-45A3-B123-55ADC3F97A11}"/>
            </c:ext>
          </c:extLst>
        </c:ser>
        <c:ser>
          <c:idx val="1"/>
          <c:order val="1"/>
          <c:tx>
            <c:strRef>
              <c:f>CMF_VTEC!$T$1</c:f>
              <c:strCache>
                <c:ptCount val="1"/>
                <c:pt idx="0">
                  <c:v> VTEC*/CMF*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CMF_VTEC!$T$2:$T$156</c:f>
              <c:numCache>
                <c:formatCode>_(* #,##0.0000_);_(* \(#,##0.0000\);_(* "-"??_);_(@_)</c:formatCode>
                <c:ptCount val="155"/>
                <c:pt idx="9">
                  <c:v>1.7442735878966935</c:v>
                </c:pt>
                <c:pt idx="10">
                  <c:v>1.7442553999293113</c:v>
                </c:pt>
                <c:pt idx="11">
                  <c:v>1.7444814804443296</c:v>
                </c:pt>
                <c:pt idx="12">
                  <c:v>1.7444396912264046</c:v>
                </c:pt>
                <c:pt idx="13">
                  <c:v>1.7443099966387954</c:v>
                </c:pt>
                <c:pt idx="14">
                  <c:v>1.744141567779484</c:v>
                </c:pt>
                <c:pt idx="15">
                  <c:v>1.7441979301677182</c:v>
                </c:pt>
                <c:pt idx="16">
                  <c:v>1.7441806231410655</c:v>
                </c:pt>
                <c:pt idx="17">
                  <c:v>1.7441592848935705</c:v>
                </c:pt>
                <c:pt idx="18">
                  <c:v>1.7440382404529688</c:v>
                </c:pt>
                <c:pt idx="19">
                  <c:v>1.7440342472253394</c:v>
                </c:pt>
                <c:pt idx="20">
                  <c:v>1.7440765270429004</c:v>
                </c:pt>
                <c:pt idx="21">
                  <c:v>1.7438483331271903</c:v>
                </c:pt>
                <c:pt idx="22">
                  <c:v>1.7439831429600035</c:v>
                </c:pt>
                <c:pt idx="23">
                  <c:v>1.7441320769314932</c:v>
                </c:pt>
                <c:pt idx="24">
                  <c:v>1.7441989971559724</c:v>
                </c:pt>
                <c:pt idx="25">
                  <c:v>1.7442742649176537</c:v>
                </c:pt>
                <c:pt idx="26">
                  <c:v>1.7441003091753431</c:v>
                </c:pt>
                <c:pt idx="27">
                  <c:v>1.7439899846247162</c:v>
                </c:pt>
                <c:pt idx="28">
                  <c:v>1.7439068779763123</c:v>
                </c:pt>
                <c:pt idx="29">
                  <c:v>1.7439010991469026</c:v>
                </c:pt>
                <c:pt idx="30">
                  <c:v>1.7438492374071757</c:v>
                </c:pt>
                <c:pt idx="31">
                  <c:v>1.7438742800543543</c:v>
                </c:pt>
                <c:pt idx="32">
                  <c:v>1.7437871896404047</c:v>
                </c:pt>
                <c:pt idx="33">
                  <c:v>1.7437642721868898</c:v>
                </c:pt>
                <c:pt idx="34">
                  <c:v>1.7438490241990756</c:v>
                </c:pt>
                <c:pt idx="35">
                  <c:v>1.7439380378515459</c:v>
                </c:pt>
                <c:pt idx="36">
                  <c:v>1.7440101482844348</c:v>
                </c:pt>
                <c:pt idx="37">
                  <c:v>1.7440186936519768</c:v>
                </c:pt>
                <c:pt idx="38">
                  <c:v>1.7440479317201185</c:v>
                </c:pt>
                <c:pt idx="39">
                  <c:v>1.744137542112189</c:v>
                </c:pt>
                <c:pt idx="40">
                  <c:v>1.7442501762685825</c:v>
                </c:pt>
                <c:pt idx="41">
                  <c:v>1.7441346241376749</c:v>
                </c:pt>
                <c:pt idx="42">
                  <c:v>1.7440957859561728</c:v>
                </c:pt>
                <c:pt idx="43">
                  <c:v>1.744155859613123</c:v>
                </c:pt>
                <c:pt idx="44">
                  <c:v>1.744017063388561</c:v>
                </c:pt>
                <c:pt idx="45">
                  <c:v>1.7440503320827379</c:v>
                </c:pt>
                <c:pt idx="46">
                  <c:v>1.7440928084805889</c:v>
                </c:pt>
                <c:pt idx="47">
                  <c:v>1.744232567891475</c:v>
                </c:pt>
                <c:pt idx="48">
                  <c:v>1.7442866502141587</c:v>
                </c:pt>
                <c:pt idx="49">
                  <c:v>1.7441462593663737</c:v>
                </c:pt>
                <c:pt idx="50">
                  <c:v>1.7439267342087952</c:v>
                </c:pt>
                <c:pt idx="51">
                  <c:v>1.743978504852818</c:v>
                </c:pt>
                <c:pt idx="52">
                  <c:v>1.7440254241114612</c:v>
                </c:pt>
                <c:pt idx="53">
                  <c:v>1.744083007616998</c:v>
                </c:pt>
                <c:pt idx="54">
                  <c:v>1.7439870452875372</c:v>
                </c:pt>
                <c:pt idx="55">
                  <c:v>1.7441022494191631</c:v>
                </c:pt>
                <c:pt idx="56">
                  <c:v>1.7442304436645106</c:v>
                </c:pt>
                <c:pt idx="57">
                  <c:v>1.7441583682594715</c:v>
                </c:pt>
                <c:pt idx="58">
                  <c:v>1.7441887709749675</c:v>
                </c:pt>
                <c:pt idx="59">
                  <c:v>1.7441176174826023</c:v>
                </c:pt>
                <c:pt idx="60">
                  <c:v>1.7440700458877498</c:v>
                </c:pt>
                <c:pt idx="61">
                  <c:v>1.743910862257793</c:v>
                </c:pt>
                <c:pt idx="62">
                  <c:v>1.7438854332407758</c:v>
                </c:pt>
                <c:pt idx="63">
                  <c:v>1.743649467039635</c:v>
                </c:pt>
                <c:pt idx="64">
                  <c:v>1.7438465099309419</c:v>
                </c:pt>
                <c:pt idx="65">
                  <c:v>1.7435183057705828</c:v>
                </c:pt>
                <c:pt idx="66">
                  <c:v>1.7433924125552043</c:v>
                </c:pt>
                <c:pt idx="67">
                  <c:v>1.7434165445731715</c:v>
                </c:pt>
                <c:pt idx="68">
                  <c:v>1.7434112389426488</c:v>
                </c:pt>
                <c:pt idx="69">
                  <c:v>1.7435810623958332</c:v>
                </c:pt>
                <c:pt idx="70">
                  <c:v>1.7438701571129542</c:v>
                </c:pt>
                <c:pt idx="71">
                  <c:v>1.7440329734091589</c:v>
                </c:pt>
                <c:pt idx="72">
                  <c:v>1.7440426755740794</c:v>
                </c:pt>
                <c:pt idx="73">
                  <c:v>1.7441926262913303</c:v>
                </c:pt>
                <c:pt idx="74">
                  <c:v>1.7441968625024633</c:v>
                </c:pt>
                <c:pt idx="75">
                  <c:v>1.7443344980474109</c:v>
                </c:pt>
                <c:pt idx="76">
                  <c:v>1.7442581500711516</c:v>
                </c:pt>
                <c:pt idx="77">
                  <c:v>1.7442386923824322</c:v>
                </c:pt>
                <c:pt idx="78">
                  <c:v>1.7441966219721121</c:v>
                </c:pt>
                <c:pt idx="79">
                  <c:v>1.7441144104487409</c:v>
                </c:pt>
                <c:pt idx="80">
                  <c:v>1.7440141063906336</c:v>
                </c:pt>
                <c:pt idx="81">
                  <c:v>1.7440619875350758</c:v>
                </c:pt>
                <c:pt idx="82">
                  <c:v>1.7441460319391755</c:v>
                </c:pt>
                <c:pt idx="83">
                  <c:v>1.7440725639947423</c:v>
                </c:pt>
                <c:pt idx="84">
                  <c:v>1.744043422243998</c:v>
                </c:pt>
                <c:pt idx="85">
                  <c:v>1.7438843038177461</c:v>
                </c:pt>
                <c:pt idx="86">
                  <c:v>1.7438594222249446</c:v>
                </c:pt>
                <c:pt idx="87">
                  <c:v>1.7436258930278257</c:v>
                </c:pt>
                <c:pt idx="88">
                  <c:v>1.743431093706505</c:v>
                </c:pt>
                <c:pt idx="89">
                  <c:v>1.7434363256843537</c:v>
                </c:pt>
                <c:pt idx="90">
                  <c:v>1.7433899340428831</c:v>
                </c:pt>
                <c:pt idx="91">
                  <c:v>1.7432164202698277</c:v>
                </c:pt>
                <c:pt idx="92">
                  <c:v>1.7430590541518298</c:v>
                </c:pt>
                <c:pt idx="93">
                  <c:v>1.742848819270294</c:v>
                </c:pt>
                <c:pt idx="94">
                  <c:v>1.7425705673059007</c:v>
                </c:pt>
                <c:pt idx="95">
                  <c:v>1.7426482339510181</c:v>
                </c:pt>
                <c:pt idx="96">
                  <c:v>1.7427040458785192</c:v>
                </c:pt>
                <c:pt idx="97">
                  <c:v>1.7428429486425299</c:v>
                </c:pt>
                <c:pt idx="98">
                  <c:v>1.742963281917588</c:v>
                </c:pt>
                <c:pt idx="99">
                  <c:v>1.7430422687100648</c:v>
                </c:pt>
                <c:pt idx="100">
                  <c:v>1.7430228654209408</c:v>
                </c:pt>
                <c:pt idx="101">
                  <c:v>1.7431967595113846</c:v>
                </c:pt>
                <c:pt idx="102">
                  <c:v>1.7433113824020741</c:v>
                </c:pt>
                <c:pt idx="103">
                  <c:v>1.7435675930481238</c:v>
                </c:pt>
                <c:pt idx="104">
                  <c:v>1.7438259491637571</c:v>
                </c:pt>
                <c:pt idx="105">
                  <c:v>1.7437238460195588</c:v>
                </c:pt>
                <c:pt idx="106">
                  <c:v>1.7437428601882665</c:v>
                </c:pt>
                <c:pt idx="107">
                  <c:v>1.7438398886650621</c:v>
                </c:pt>
                <c:pt idx="108">
                  <c:v>1.7438477886745773</c:v>
                </c:pt>
                <c:pt idx="109">
                  <c:v>1.7439010375795951</c:v>
                </c:pt>
                <c:pt idx="110">
                  <c:v>1.7438844660870412</c:v>
                </c:pt>
                <c:pt idx="111">
                  <c:v>1.7438491878460791</c:v>
                </c:pt>
                <c:pt idx="112">
                  <c:v>1.743824452969611</c:v>
                </c:pt>
                <c:pt idx="113">
                  <c:v>1.7437685294119454</c:v>
                </c:pt>
                <c:pt idx="114">
                  <c:v>1.7437949022104597</c:v>
                </c:pt>
                <c:pt idx="115">
                  <c:v>1.7438485855117158</c:v>
                </c:pt>
                <c:pt idx="116">
                  <c:v>1.7439248709429447</c:v>
                </c:pt>
                <c:pt idx="117">
                  <c:v>1.7439961373883315</c:v>
                </c:pt>
                <c:pt idx="118">
                  <c:v>1.7441630127477015</c:v>
                </c:pt>
                <c:pt idx="119">
                  <c:v>1.7442051656588216</c:v>
                </c:pt>
                <c:pt idx="120">
                  <c:v>1.7443253579665143</c:v>
                </c:pt>
                <c:pt idx="121">
                  <c:v>1.7444241829537301</c:v>
                </c:pt>
                <c:pt idx="122">
                  <c:v>1.7445570130412746</c:v>
                </c:pt>
                <c:pt idx="123">
                  <c:v>1.7445886421413797</c:v>
                </c:pt>
                <c:pt idx="124">
                  <c:v>1.7445086284827422</c:v>
                </c:pt>
                <c:pt idx="125">
                  <c:v>1.7445963944642879</c:v>
                </c:pt>
                <c:pt idx="126">
                  <c:v>1.7445397539520595</c:v>
                </c:pt>
                <c:pt idx="127">
                  <c:v>1.7445037842853552</c:v>
                </c:pt>
                <c:pt idx="128">
                  <c:v>1.744454465956871</c:v>
                </c:pt>
                <c:pt idx="129">
                  <c:v>1.7444701908827724</c:v>
                </c:pt>
                <c:pt idx="130">
                  <c:v>1.7443674414496655</c:v>
                </c:pt>
                <c:pt idx="131">
                  <c:v>1.7442819998830879</c:v>
                </c:pt>
                <c:pt idx="132">
                  <c:v>1.7441609049374986</c:v>
                </c:pt>
                <c:pt idx="133">
                  <c:v>1.7442837644621114</c:v>
                </c:pt>
                <c:pt idx="134">
                  <c:v>1.7443878426293922</c:v>
                </c:pt>
                <c:pt idx="135">
                  <c:v>1.7443825405683573</c:v>
                </c:pt>
                <c:pt idx="136">
                  <c:v>1.7443772664226589</c:v>
                </c:pt>
                <c:pt idx="137">
                  <c:v>1.744336992142437</c:v>
                </c:pt>
                <c:pt idx="138">
                  <c:v>1.7442349551442309</c:v>
                </c:pt>
                <c:pt idx="139">
                  <c:v>1.7441439364493494</c:v>
                </c:pt>
                <c:pt idx="140">
                  <c:v>1.7440572668776912</c:v>
                </c:pt>
                <c:pt idx="141">
                  <c:v>1.7438750307702673</c:v>
                </c:pt>
                <c:pt idx="142">
                  <c:v>1.7441597262470399</c:v>
                </c:pt>
                <c:pt idx="143">
                  <c:v>1.7441727264966445</c:v>
                </c:pt>
                <c:pt idx="144">
                  <c:v>1.7442467160599253</c:v>
                </c:pt>
                <c:pt idx="145">
                  <c:v>1.7444834536881877</c:v>
                </c:pt>
                <c:pt idx="146">
                  <c:v>1.7446865116954604</c:v>
                </c:pt>
                <c:pt idx="147">
                  <c:v>1.7447513100172447</c:v>
                </c:pt>
                <c:pt idx="148">
                  <c:v>1.7449080113348074</c:v>
                </c:pt>
                <c:pt idx="149">
                  <c:v>1.7449242969778254</c:v>
                </c:pt>
                <c:pt idx="150">
                  <c:v>1.745137102582343</c:v>
                </c:pt>
                <c:pt idx="151">
                  <c:v>1.7453890366446334</c:v>
                </c:pt>
                <c:pt idx="152">
                  <c:v>1.7452057341694389</c:v>
                </c:pt>
                <c:pt idx="153">
                  <c:v>1.7451779822787947</c:v>
                </c:pt>
                <c:pt idx="154">
                  <c:v>1.7451803145445901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F-45A3-B123-55ADC3F97A11}"/>
            </c:ext>
          </c:extLst>
        </c:ser>
        <c:ser>
          <c:idx val="2"/>
          <c:order val="2"/>
          <c:tx>
            <c:strRef>
              <c:f>CMF_VTEC!$U$1</c:f>
              <c:strCache>
                <c:ptCount val="1"/>
                <c:pt idx="0">
                  <c:v> VTEC*/CMF*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CMF_VTEC!$U$2:$U$156</c:f>
              <c:numCache>
                <c:formatCode>_(* #,##0.0000_);_(* \(#,##0.0000\);_(* "-"??_);_(@_)</c:formatCode>
                <c:ptCount val="155"/>
                <c:pt idx="19">
                  <c:v>1.7441539175610168</c:v>
                </c:pt>
                <c:pt idx="20">
                  <c:v>1.7441659634861062</c:v>
                </c:pt>
                <c:pt idx="21">
                  <c:v>1.7441649067857601</c:v>
                </c:pt>
                <c:pt idx="22">
                  <c:v>1.7442114170932044</c:v>
                </c:pt>
                <c:pt idx="23">
                  <c:v>1.7442210367851445</c:v>
                </c:pt>
                <c:pt idx="24">
                  <c:v>1.7441702824677283</c:v>
                </c:pt>
                <c:pt idx="25">
                  <c:v>1.7442360975426858</c:v>
                </c:pt>
                <c:pt idx="26">
                  <c:v>1.7441404661582045</c:v>
                </c:pt>
                <c:pt idx="27">
                  <c:v>1.7440746347591436</c:v>
                </c:pt>
                <c:pt idx="28">
                  <c:v>1.7439725592146407</c:v>
                </c:pt>
                <c:pt idx="29">
                  <c:v>1.7439676731861209</c:v>
                </c:pt>
                <c:pt idx="30">
                  <c:v>1.7439628822250384</c:v>
                </c:pt>
                <c:pt idx="31">
                  <c:v>1.7438613065907724</c:v>
                </c:pt>
                <c:pt idx="32">
                  <c:v>1.7438851663002044</c:v>
                </c:pt>
                <c:pt idx="33">
                  <c:v>1.7439481745591916</c:v>
                </c:pt>
                <c:pt idx="34">
                  <c:v>1.7440240106775238</c:v>
                </c:pt>
                <c:pt idx="35">
                  <c:v>1.7441061513846001</c:v>
                </c:pt>
                <c:pt idx="36">
                  <c:v>1.7440552287298889</c:v>
                </c:pt>
                <c:pt idx="37">
                  <c:v>1.7440043391383466</c:v>
                </c:pt>
                <c:pt idx="38">
                  <c:v>1.7439774048482153</c:v>
                </c:pt>
                <c:pt idx="39">
                  <c:v>1.7440193206295458</c:v>
                </c:pt>
                <c:pt idx="40">
                  <c:v>1.7440497068378793</c:v>
                </c:pt>
                <c:pt idx="41">
                  <c:v>1.7440044520960147</c:v>
                </c:pt>
                <c:pt idx="42">
                  <c:v>1.7439414877982891</c:v>
                </c:pt>
                <c:pt idx="43">
                  <c:v>1.7439600659000063</c:v>
                </c:pt>
                <c:pt idx="44">
                  <c:v>1.7439330437938185</c:v>
                </c:pt>
                <c:pt idx="45">
                  <c:v>1.7439941849671416</c:v>
                </c:pt>
                <c:pt idx="46">
                  <c:v>1.7440514783825118</c:v>
                </c:pt>
                <c:pt idx="47">
                  <c:v>1.7441256307717257</c:v>
                </c:pt>
                <c:pt idx="48">
                  <c:v>1.7441672909671382</c:v>
                </c:pt>
                <c:pt idx="49">
                  <c:v>1.7441419007392813</c:v>
                </c:pt>
                <c:pt idx="50">
                  <c:v>1.7440884552386886</c:v>
                </c:pt>
                <c:pt idx="51">
                  <c:v>1.7440565644952462</c:v>
                </c:pt>
                <c:pt idx="52">
                  <c:v>1.7440606050338168</c:v>
                </c:pt>
                <c:pt idx="53">
                  <c:v>1.7441194336150605</c:v>
                </c:pt>
                <c:pt idx="54">
                  <c:v>1.7440020543380492</c:v>
                </c:pt>
                <c:pt idx="55">
                  <c:v>1.7440762907509508</c:v>
                </c:pt>
                <c:pt idx="56">
                  <c:v>1.7441616260725499</c:v>
                </c:pt>
                <c:pt idx="57">
                  <c:v>1.7441954680754734</c:v>
                </c:pt>
                <c:pt idx="58">
                  <c:v>1.7442377105945632</c:v>
                </c:pt>
                <c:pt idx="59">
                  <c:v>1.7441319384244882</c:v>
                </c:pt>
                <c:pt idx="60">
                  <c:v>1.7439983900482723</c:v>
                </c:pt>
                <c:pt idx="61">
                  <c:v>1.7439446835553056</c:v>
                </c:pt>
                <c:pt idx="62">
                  <c:v>1.7439554286761183</c:v>
                </c:pt>
                <c:pt idx="63">
                  <c:v>1.7438662373283165</c:v>
                </c:pt>
                <c:pt idx="64">
                  <c:v>1.7439167776092397</c:v>
                </c:pt>
                <c:pt idx="65">
                  <c:v>1.7438102775948732</c:v>
                </c:pt>
                <c:pt idx="66">
                  <c:v>1.7438114281098578</c:v>
                </c:pt>
                <c:pt idx="67">
                  <c:v>1.7437874564163216</c:v>
                </c:pt>
                <c:pt idx="68">
                  <c:v>1.7438000049588083</c:v>
                </c:pt>
                <c:pt idx="69">
                  <c:v>1.7438493399392179</c:v>
                </c:pt>
                <c:pt idx="70">
                  <c:v>1.7439701015003517</c:v>
                </c:pt>
                <c:pt idx="71">
                  <c:v>1.7439719178334763</c:v>
                </c:pt>
                <c:pt idx="72">
                  <c:v>1.743964054407428</c:v>
                </c:pt>
                <c:pt idx="73">
                  <c:v>1.7439210466654829</c:v>
                </c:pt>
                <c:pt idx="74">
                  <c:v>1.7440216862167026</c:v>
                </c:pt>
                <c:pt idx="75">
                  <c:v>1.7439264019089973</c:v>
                </c:pt>
                <c:pt idx="76">
                  <c:v>1.7438252813131783</c:v>
                </c:pt>
                <c:pt idx="77">
                  <c:v>1.7438276184778019</c:v>
                </c:pt>
                <c:pt idx="78">
                  <c:v>1.7438039304573807</c:v>
                </c:pt>
                <c:pt idx="79">
                  <c:v>1.7438477364222873</c:v>
                </c:pt>
                <c:pt idx="80">
                  <c:v>1.7439421317517936</c:v>
                </c:pt>
                <c:pt idx="81">
                  <c:v>1.7440474804721173</c:v>
                </c:pt>
                <c:pt idx="82">
                  <c:v>1.7440943537566274</c:v>
                </c:pt>
                <c:pt idx="83">
                  <c:v>1.7441325951430362</c:v>
                </c:pt>
                <c:pt idx="84">
                  <c:v>1.7441201423732307</c:v>
                </c:pt>
                <c:pt idx="85">
                  <c:v>1.7441094009325784</c:v>
                </c:pt>
                <c:pt idx="86">
                  <c:v>1.7440587861480483</c:v>
                </c:pt>
                <c:pt idx="87">
                  <c:v>1.7439322927051291</c:v>
                </c:pt>
                <c:pt idx="88">
                  <c:v>1.7438138578393088</c:v>
                </c:pt>
                <c:pt idx="89">
                  <c:v>1.7437753680665473</c:v>
                </c:pt>
                <c:pt idx="90">
                  <c:v>1.7437020202167581</c:v>
                </c:pt>
                <c:pt idx="91">
                  <c:v>1.7436392039024515</c:v>
                </c:pt>
                <c:pt idx="92">
                  <c:v>1.7436025430455029</c:v>
                </c:pt>
                <c:pt idx="93">
                  <c:v>1.7434606916325184</c:v>
                </c:pt>
                <c:pt idx="94">
                  <c:v>1.7433069947749495</c:v>
                </c:pt>
                <c:pt idx="95">
                  <c:v>1.7432662688843823</c:v>
                </c:pt>
                <c:pt idx="96">
                  <c:v>1.7432817340517321</c:v>
                </c:pt>
                <c:pt idx="97">
                  <c:v>1.743234420835178</c:v>
                </c:pt>
                <c:pt idx="98">
                  <c:v>1.7431971878120465</c:v>
                </c:pt>
                <c:pt idx="99">
                  <c:v>1.7432392971972093</c:v>
                </c:pt>
                <c:pt idx="100">
                  <c:v>1.7432063997319116</c:v>
                </c:pt>
                <c:pt idx="101">
                  <c:v>1.743206589890606</c:v>
                </c:pt>
                <c:pt idx="102">
                  <c:v>1.7431852182769521</c:v>
                </c:pt>
                <c:pt idx="103">
                  <c:v>1.7432082061592091</c:v>
                </c:pt>
                <c:pt idx="104">
                  <c:v>1.7431982582348291</c:v>
                </c:pt>
                <c:pt idx="105">
                  <c:v>1.7431860399852883</c:v>
                </c:pt>
                <c:pt idx="106">
                  <c:v>1.743223453033393</c:v>
                </c:pt>
                <c:pt idx="107">
                  <c:v>1.7433414186537957</c:v>
                </c:pt>
                <c:pt idx="108">
                  <c:v>1.7434055352960827</c:v>
                </c:pt>
                <c:pt idx="109">
                  <c:v>1.7434716531448298</c:v>
                </c:pt>
                <c:pt idx="110">
                  <c:v>1.7434536657539907</c:v>
                </c:pt>
                <c:pt idx="111">
                  <c:v>1.7435229736787317</c:v>
                </c:pt>
                <c:pt idx="112">
                  <c:v>1.7435679176858425</c:v>
                </c:pt>
                <c:pt idx="113">
                  <c:v>1.7436680612300346</c:v>
                </c:pt>
                <c:pt idx="114">
                  <c:v>1.7438104256871085</c:v>
                </c:pt>
                <c:pt idx="115">
                  <c:v>1.7437862157656376</c:v>
                </c:pt>
                <c:pt idx="116">
                  <c:v>1.7438338655656058</c:v>
                </c:pt>
                <c:pt idx="117">
                  <c:v>1.7439180130266969</c:v>
                </c:pt>
                <c:pt idx="118">
                  <c:v>1.7440054007111396</c:v>
                </c:pt>
                <c:pt idx="119">
                  <c:v>1.7440531016192082</c:v>
                </c:pt>
                <c:pt idx="120">
                  <c:v>1.7441049120267773</c:v>
                </c:pt>
                <c:pt idx="121">
                  <c:v>1.7441366853999045</c:v>
                </c:pt>
                <c:pt idx="122">
                  <c:v>1.7441907330054427</c:v>
                </c:pt>
                <c:pt idx="123">
                  <c:v>1.7441785857766625</c:v>
                </c:pt>
                <c:pt idx="124">
                  <c:v>1.7441517653466012</c:v>
                </c:pt>
                <c:pt idx="125">
                  <c:v>1.7442224899880017</c:v>
                </c:pt>
                <c:pt idx="126">
                  <c:v>1.7442323124475023</c:v>
                </c:pt>
                <c:pt idx="127">
                  <c:v>1.7442499608368436</c:v>
                </c:pt>
                <c:pt idx="128">
                  <c:v>1.7443087393522863</c:v>
                </c:pt>
                <c:pt idx="129">
                  <c:v>1.7443376782707969</c:v>
                </c:pt>
                <c:pt idx="130">
                  <c:v>1.7443463997080901</c:v>
                </c:pt>
                <c:pt idx="131">
                  <c:v>1.7443530914184087</c:v>
                </c:pt>
                <c:pt idx="132">
                  <c:v>1.7443589589893864</c:v>
                </c:pt>
                <c:pt idx="133">
                  <c:v>1.7444362033017455</c:v>
                </c:pt>
                <c:pt idx="134">
                  <c:v>1.7444482355560669</c:v>
                </c:pt>
                <c:pt idx="135">
                  <c:v>1.7444894675163229</c:v>
                </c:pt>
                <c:pt idx="136">
                  <c:v>1.7444585101873595</c:v>
                </c:pt>
                <c:pt idx="137">
                  <c:v>1.7444203882138964</c:v>
                </c:pt>
                <c:pt idx="138">
                  <c:v>1.744344710550551</c:v>
                </c:pt>
                <c:pt idx="139">
                  <c:v>1.7443070636660611</c:v>
                </c:pt>
                <c:pt idx="140">
                  <c:v>1.7442123541636785</c:v>
                </c:pt>
                <c:pt idx="141">
                  <c:v>1.7440785153266778</c:v>
                </c:pt>
                <c:pt idx="142">
                  <c:v>1.7441603155922691</c:v>
                </c:pt>
                <c:pt idx="143">
                  <c:v>1.744228245479378</c:v>
                </c:pt>
                <c:pt idx="144">
                  <c:v>1.7443172793446586</c:v>
                </c:pt>
                <c:pt idx="145">
                  <c:v>1.7444329971282719</c:v>
                </c:pt>
                <c:pt idx="146">
                  <c:v>1.7445318890590595</c:v>
                </c:pt>
                <c:pt idx="147">
                  <c:v>1.7445441510798407</c:v>
                </c:pt>
                <c:pt idx="148">
                  <c:v>1.7445714832395189</c:v>
                </c:pt>
                <c:pt idx="149">
                  <c:v>1.7445341167135873</c:v>
                </c:pt>
                <c:pt idx="150">
                  <c:v>1.7445971847300172</c:v>
                </c:pt>
                <c:pt idx="151">
                  <c:v>1.7446320337074503</c:v>
                </c:pt>
                <c:pt idx="152">
                  <c:v>1.7446827302082397</c:v>
                </c:pt>
                <c:pt idx="153">
                  <c:v>1.7446753543877196</c:v>
                </c:pt>
                <c:pt idx="154">
                  <c:v>1.7447135153022575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3F-45A3-B123-55ADC3F97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502783"/>
        <c:axId val="1072594575"/>
      </c:lineChart>
      <c:catAx>
        <c:axId val="1081502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594575"/>
        <c:crosses val="autoZero"/>
        <c:auto val="1"/>
        <c:lblAlgn val="ctr"/>
        <c:lblOffset val="100"/>
        <c:noMultiLvlLbl val="0"/>
      </c:catAx>
      <c:valAx>
        <c:axId val="107259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0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471487</xdr:colOff>
      <xdr:row>4</xdr:row>
      <xdr:rowOff>14287</xdr:rowOff>
    </xdr:from>
    <xdr:to>
      <xdr:col>38</xdr:col>
      <xdr:colOff>309562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45214-3451-44C4-B79F-5FC8F8519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452437</xdr:colOff>
      <xdr:row>4</xdr:row>
      <xdr:rowOff>42862</xdr:rowOff>
    </xdr:from>
    <xdr:to>
      <xdr:col>49</xdr:col>
      <xdr:colOff>252412</xdr:colOff>
      <xdr:row>18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AD8BE4-DC43-4ED9-BAD9-A82FF0698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1211580</xdr:colOff>
      <xdr:row>4</xdr:row>
      <xdr:rowOff>72390</xdr:rowOff>
    </xdr:from>
    <xdr:to>
      <xdr:col>26</xdr:col>
      <xdr:colOff>259080</xdr:colOff>
      <xdr:row>19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27EA37-D8EF-44B8-8CEE-1DA298ACD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373380</xdr:colOff>
      <xdr:row>4</xdr:row>
      <xdr:rowOff>49530</xdr:rowOff>
    </xdr:from>
    <xdr:to>
      <xdr:col>6</xdr:col>
      <xdr:colOff>632460</xdr:colOff>
      <xdr:row>19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31C0C7-2228-792F-6FDF-309844C14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152400</xdr:colOff>
      <xdr:row>11</xdr:row>
      <xdr:rowOff>102870</xdr:rowOff>
    </xdr:from>
    <xdr:to>
      <xdr:col>11</xdr:col>
      <xdr:colOff>480060</xdr:colOff>
      <xdr:row>26</xdr:row>
      <xdr:rowOff>102870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4ED30B-CAAE-0C22-902F-8C434CDB7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533400</xdr:colOff>
      <xdr:row>2</xdr:row>
      <xdr:rowOff>125730</xdr:rowOff>
    </xdr:from>
    <xdr:to>
      <xdr:col>20</xdr:col>
      <xdr:colOff>7620</xdr:colOff>
      <xdr:row>17</xdr:row>
      <xdr:rowOff>125730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318A2C-7D74-D07D-3571-5BD2054DD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BWX_IGOV.xlsx" TargetMode="External"/><Relationship Id="rId1" Type="http://schemas.openxmlformats.org/officeDocument/2006/relationships/externalLinkPath" Target="BWX_IGO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WX_IGOV"/>
    </sheetNames>
    <sheetDataSet>
      <sheetData sheetId="0">
        <row r="1">
          <cell r="Z1" t="str">
            <v>10 dma diff*</v>
          </cell>
          <cell r="AA1" t="str">
            <v>20 dma diff*</v>
          </cell>
        </row>
        <row r="12">
          <cell r="Z12">
            <v>1.2737270782863725E-3</v>
          </cell>
        </row>
        <row r="13">
          <cell r="Z13">
            <v>4.440589707514756E-3</v>
          </cell>
        </row>
        <row r="14">
          <cell r="Z14">
            <v>4.0163545046398453E-3</v>
          </cell>
        </row>
        <row r="15">
          <cell r="Z15">
            <v>2.7024302198122574E-3</v>
          </cell>
        </row>
        <row r="16">
          <cell r="Z16">
            <v>8.7044773954260087E-4</v>
          </cell>
        </row>
        <row r="17">
          <cell r="Z17">
            <v>-7.4163335691244394E-4</v>
          </cell>
        </row>
        <row r="18">
          <cell r="Z18">
            <v>7.5641665722313213E-4</v>
          </cell>
        </row>
        <row r="19">
          <cell r="Z19">
            <v>-1.5202748076471036E-3</v>
          </cell>
        </row>
        <row r="20">
          <cell r="Z20">
            <v>1.1390139299924092E-3</v>
          </cell>
        </row>
        <row r="21">
          <cell r="Z21">
            <v>-2.6203317895335033E-3</v>
          </cell>
        </row>
        <row r="22">
          <cell r="Z22">
            <v>-2.1008902302013725E-3</v>
          </cell>
          <cell r="AA22">
            <v>-5.8830919389642991E-4</v>
          </cell>
        </row>
        <row r="23">
          <cell r="Z23">
            <v>1.2764198743949273E-3</v>
          </cell>
          <cell r="AA23">
            <v>2.5681127881082644E-3</v>
          </cell>
        </row>
        <row r="24">
          <cell r="Z24">
            <v>1.3774948553124137E-3</v>
          </cell>
          <cell r="AA24">
            <v>2.3245817806486838E-3</v>
          </cell>
        </row>
        <row r="25">
          <cell r="Z25">
            <v>-6.7943286632393435E-4</v>
          </cell>
          <cell r="AA25">
            <v>-5.4732328853469769E-5</v>
          </cell>
        </row>
        <row r="26">
          <cell r="Z26">
            <v>2.0301102068055765E-3</v>
          </cell>
          <cell r="AA26">
            <v>2.2901310785519171E-3</v>
          </cell>
        </row>
        <row r="27">
          <cell r="Z27">
            <v>3.2759324134046556E-3</v>
          </cell>
          <cell r="AA27">
            <v>3.3610284121168774E-3</v>
          </cell>
        </row>
        <row r="28">
          <cell r="Z28">
            <v>5.9924969648041625E-4</v>
          </cell>
          <cell r="AA28">
            <v>7.9898850105921391E-4</v>
          </cell>
        </row>
        <row r="29">
          <cell r="Z29">
            <v>4.6967561667650502E-4</v>
          </cell>
          <cell r="AA29">
            <v>5.5878399266609687E-4</v>
          </cell>
        </row>
        <row r="30">
          <cell r="Z30">
            <v>-2.3179961659846432E-3</v>
          </cell>
          <cell r="AA30">
            <v>-2.0764361415733582E-3</v>
          </cell>
        </row>
        <row r="31">
          <cell r="Z31">
            <v>-2.354142257413819E-3</v>
          </cell>
          <cell r="AA31">
            <v>-2.3697621715783649E-3</v>
          </cell>
        </row>
        <row r="32">
          <cell r="Z32">
            <v>-1.246554124517829E-3</v>
          </cell>
          <cell r="AA32">
            <v>-1.1595414908423657E-3</v>
          </cell>
        </row>
        <row r="33">
          <cell r="Z33">
            <v>-2.2788978469021502E-3</v>
          </cell>
          <cell r="AA33">
            <v>-2.1232431117683419E-3</v>
          </cell>
        </row>
        <row r="34">
          <cell r="Z34">
            <v>-1.519214522969786E-3</v>
          </cell>
          <cell r="AA34">
            <v>-1.4966650733754866E-3</v>
          </cell>
        </row>
        <row r="35">
          <cell r="Z35">
            <v>6.7134038301322192E-4</v>
          </cell>
          <cell r="AA35">
            <v>5.8855500528571798E-4</v>
          </cell>
        </row>
        <row r="36">
          <cell r="Z36">
            <v>-3.489428609314981E-3</v>
          </cell>
          <cell r="AA36">
            <v>-3.4062961996018351E-3</v>
          </cell>
        </row>
        <row r="37">
          <cell r="Z37">
            <v>-2.2225168269816649E-3</v>
          </cell>
          <cell r="AA37">
            <v>-2.4910163138407624E-3</v>
          </cell>
        </row>
        <row r="38">
          <cell r="Z38">
            <v>4.5246510797999342E-4</v>
          </cell>
          <cell r="AA38">
            <v>-3.2799535183913745E-4</v>
          </cell>
        </row>
        <row r="39">
          <cell r="Z39">
            <v>-3.7898648266528257E-4</v>
          </cell>
          <cell r="AA39">
            <v>-1.2571247273205966E-3</v>
          </cell>
        </row>
        <row r="40">
          <cell r="Z40">
            <v>2.9102453457466554E-3</v>
          </cell>
          <cell r="AA40">
            <v>1.7931929829200625E-3</v>
          </cell>
        </row>
        <row r="41">
          <cell r="Z41">
            <v>2.6840883240236463E-3</v>
          </cell>
          <cell r="AA41">
            <v>1.8658733289941233E-3</v>
          </cell>
        </row>
        <row r="42">
          <cell r="Z42">
            <v>3.973831610364716E-3</v>
          </cell>
          <cell r="AA42">
            <v>3.3142772107081376E-3</v>
          </cell>
        </row>
        <row r="43">
          <cell r="Z43">
            <v>2.1786518257482616E-3</v>
          </cell>
          <cell r="AA43">
            <v>1.6632992598018897E-3</v>
          </cell>
        </row>
        <row r="44">
          <cell r="Z44">
            <v>1.2840104802653602E-3</v>
          </cell>
          <cell r="AA44">
            <v>1.102299086283309E-3</v>
          </cell>
        </row>
        <row r="45">
          <cell r="Z45">
            <v>1.6263848445450958E-3</v>
          </cell>
          <cell r="AA45">
            <v>1.7092588103480783E-3</v>
          </cell>
        </row>
        <row r="46">
          <cell r="Z46">
            <v>-4.7245934703208888E-4</v>
          </cell>
          <cell r="AA46">
            <v>-3.9275016004894548E-4</v>
          </cell>
        </row>
        <row r="47">
          <cell r="Z47">
            <v>3.3926217452911876E-4</v>
          </cell>
          <cell r="AA47">
            <v>8.4483214854640218E-4</v>
          </cell>
        </row>
        <row r="48">
          <cell r="Z48">
            <v>-3.0265952319833526E-3</v>
          </cell>
          <cell r="AA48">
            <v>-2.0409144708142622E-3</v>
          </cell>
        </row>
        <row r="49">
          <cell r="Z49">
            <v>-9.3439512375686486E-4</v>
          </cell>
          <cell r="AA49">
            <v>6.1578220726101593E-5</v>
          </cell>
        </row>
        <row r="50">
          <cell r="Z50">
            <v>-3.3722169130102468E-3</v>
          </cell>
          <cell r="AA50">
            <v>-2.174367010251226E-3</v>
          </cell>
        </row>
        <row r="51">
          <cell r="Z51">
            <v>-8.6466074291540525E-4</v>
          </cell>
          <cell r="AA51">
            <v>-1.0442688526310405E-5</v>
          </cell>
        </row>
        <row r="52">
          <cell r="Z52">
            <v>1.0048176621834535E-3</v>
          </cell>
          <cell r="AA52">
            <v>1.5969709133353989E-3</v>
          </cell>
        </row>
        <row r="53">
          <cell r="Z53">
            <v>6.4078541028338116E-5</v>
          </cell>
          <cell r="AA53">
            <v>3.7152214733143996E-4</v>
          </cell>
        </row>
        <row r="54">
          <cell r="Z54">
            <v>1.1915251739784125E-3</v>
          </cell>
          <cell r="AA54">
            <v>1.2525620135874574E-3</v>
          </cell>
        </row>
        <row r="55">
          <cell r="Z55">
            <v>2.859663495256812E-4</v>
          </cell>
          <cell r="AA55">
            <v>2.2649989958689896E-4</v>
          </cell>
        </row>
        <row r="56">
          <cell r="Z56">
            <v>-1.0760780638031672E-3</v>
          </cell>
          <cell r="AA56">
            <v>-1.2647040022204137E-3</v>
          </cell>
        </row>
        <row r="57">
          <cell r="Z57">
            <v>7.3264819847201706E-4</v>
          </cell>
          <cell r="AA57">
            <v>3.3647844477232685E-4</v>
          </cell>
        </row>
        <row r="58">
          <cell r="Z58">
            <v>1.7020505070412732E-3</v>
          </cell>
          <cell r="AA58">
            <v>1.1074550894358296E-3</v>
          </cell>
        </row>
        <row r="59">
          <cell r="Z59">
            <v>-6.838582038023144E-4</v>
          </cell>
          <cell r="AA59">
            <v>-1.0262174485309251E-3</v>
          </cell>
        </row>
        <row r="60">
          <cell r="Z60">
            <v>-1.1292947303057316E-3</v>
          </cell>
          <cell r="AA60">
            <v>-1.565136571499106E-3</v>
          </cell>
        </row>
        <row r="61">
          <cell r="Z61">
            <v>-3.143508421647022E-4</v>
          </cell>
          <cell r="AA61">
            <v>-4.8764382149432786E-4</v>
          </cell>
        </row>
        <row r="62">
          <cell r="Z62">
            <v>1.4221437361620277E-3</v>
          </cell>
          <cell r="AA62">
            <v>1.3510392752752872E-3</v>
          </cell>
        </row>
        <row r="63">
          <cell r="Z63">
            <v>1.3336116711266852E-3</v>
          </cell>
          <cell r="AA63">
            <v>1.3656780657841214E-3</v>
          </cell>
        </row>
        <row r="64">
          <cell r="Z64">
            <v>6.9033325105516158E-4</v>
          </cell>
          <cell r="AA64">
            <v>8.6415469178947088E-4</v>
          </cell>
        </row>
        <row r="65">
          <cell r="Z65">
            <v>-8.2760547725633322E-4</v>
          </cell>
          <cell r="AA65">
            <v>-6.6294572100810344E-4</v>
          </cell>
        </row>
        <row r="66">
          <cell r="Z66">
            <v>1.1944421734750221E-3</v>
          </cell>
          <cell r="AA66">
            <v>1.3929469390603333E-3</v>
          </cell>
        </row>
        <row r="67">
          <cell r="Z67">
            <v>5.3610324663310284E-4</v>
          </cell>
          <cell r="AA67">
            <v>9.1691275752855722E-4</v>
          </cell>
        </row>
        <row r="68">
          <cell r="Z68">
            <v>2.3009817352701227E-3</v>
          </cell>
          <cell r="AA68">
            <v>2.7299978598197524E-3</v>
          </cell>
        </row>
        <row r="69">
          <cell r="Z69">
            <v>2.4748847734724186E-3</v>
          </cell>
          <cell r="AA69">
            <v>2.7999596439325426E-3</v>
          </cell>
        </row>
        <row r="70">
          <cell r="Z70">
            <v>1.9817941880760242E-3</v>
          </cell>
          <cell r="AA70">
            <v>2.5189934989305221E-3</v>
          </cell>
        </row>
        <row r="71">
          <cell r="Z71">
            <v>9.1282087238259482E-4</v>
          </cell>
          <cell r="AA71">
            <v>1.590714169427283E-3</v>
          </cell>
        </row>
        <row r="72">
          <cell r="Z72">
            <v>2.1953373637581364E-3</v>
          </cell>
          <cell r="AA72">
            <v>2.9920649328808295E-3</v>
          </cell>
        </row>
        <row r="73">
          <cell r="Z73">
            <v>2.4548598932422963E-3</v>
          </cell>
          <cell r="AA73">
            <v>3.3561949338902536E-3</v>
          </cell>
        </row>
        <row r="74">
          <cell r="Z74">
            <v>1.9159058289925687E-3</v>
          </cell>
          <cell r="AA74">
            <v>2.8968029204233235E-3</v>
          </cell>
        </row>
        <row r="75">
          <cell r="Z75">
            <v>-2.0760028858510401E-4</v>
          </cell>
          <cell r="AA75">
            <v>9.402431511940756E-4</v>
          </cell>
        </row>
        <row r="76">
          <cell r="Z76">
            <v>5.0079030957611982E-4</v>
          </cell>
          <cell r="AA76">
            <v>1.8331867890809467E-3</v>
          </cell>
        </row>
        <row r="77">
          <cell r="Z77">
            <v>-8.6206260797168507E-4</v>
          </cell>
          <cell r="AA77">
            <v>4.3562580670575285E-4</v>
          </cell>
        </row>
        <row r="78">
          <cell r="Z78">
            <v>6.811300172982394E-4</v>
          </cell>
          <cell r="AA78">
            <v>2.0103633267448454E-3</v>
          </cell>
        </row>
        <row r="79">
          <cell r="Z79">
            <v>1.3076710292604598E-3</v>
          </cell>
          <cell r="AA79">
            <v>2.6159901341823778E-3</v>
          </cell>
        </row>
        <row r="80">
          <cell r="Z80">
            <v>9.7477205487697877E-4</v>
          </cell>
          <cell r="AA80">
            <v>2.1653101057372507E-3</v>
          </cell>
        </row>
        <row r="81">
          <cell r="Z81">
            <v>8.8884938947598384E-4</v>
          </cell>
          <cell r="AA81">
            <v>1.9391116015708464E-3</v>
          </cell>
        </row>
        <row r="82">
          <cell r="Z82">
            <v>4.4844570003802273E-4</v>
          </cell>
          <cell r="AA82">
            <v>1.4734852932529925E-3</v>
          </cell>
        </row>
        <row r="83">
          <cell r="Z83">
            <v>1.0879054281513463E-3</v>
          </cell>
          <cell r="AA83">
            <v>2.009791823539477E-3</v>
          </cell>
        </row>
        <row r="84">
          <cell r="Z84">
            <v>-6.1683210629810247E-4</v>
          </cell>
          <cell r="AA84">
            <v>1.8270248859530899E-4</v>
          </cell>
        </row>
        <row r="85">
          <cell r="Z85">
            <v>-6.0289127609544006E-4</v>
          </cell>
          <cell r="AA85">
            <v>-9.3021260103835174E-6</v>
          </cell>
        </row>
        <row r="86">
          <cell r="Z86">
            <v>2.9146618942896729E-3</v>
          </cell>
          <cell r="AA86">
            <v>3.4022926384427478E-3</v>
          </cell>
        </row>
        <row r="87">
          <cell r="Z87">
            <v>2.7308109231574118E-3</v>
          </cell>
          <cell r="AA87">
            <v>3.2894628690890012E-3</v>
          </cell>
        </row>
        <row r="88">
          <cell r="Z88">
            <v>7.4432068465558486E-4</v>
          </cell>
          <cell r="AA88">
            <v>1.4785629548704584E-3</v>
          </cell>
        </row>
        <row r="89">
          <cell r="Z89">
            <v>2.019156972730818E-3</v>
          </cell>
          <cell r="AA89">
            <v>2.7779592197653548E-3</v>
          </cell>
        </row>
        <row r="90">
          <cell r="Z90">
            <v>1.4957737773752134E-3</v>
          </cell>
          <cell r="AA90">
            <v>2.2935235419733395E-3</v>
          </cell>
        </row>
        <row r="91">
          <cell r="Z91">
            <v>-6.0905876104828201E-4</v>
          </cell>
          <cell r="AA91">
            <v>2.2576404099526284E-4</v>
          </cell>
        </row>
        <row r="92">
          <cell r="Z92">
            <v>1.4382967012754346E-3</v>
          </cell>
          <cell r="AA92">
            <v>2.1779536816921821E-3</v>
          </cell>
        </row>
        <row r="93">
          <cell r="Z93">
            <v>-1.3967262955328524E-3</v>
          </cell>
          <cell r="AA93">
            <v>-5.4887601222274561E-4</v>
          </cell>
        </row>
        <row r="94">
          <cell r="Z94">
            <v>-2.8174452292426735E-3</v>
          </cell>
          <cell r="AA94">
            <v>-2.032819084092793E-3</v>
          </cell>
        </row>
        <row r="95">
          <cell r="Z95">
            <v>-5.2089333005127302E-4</v>
          </cell>
          <cell r="AA95">
            <v>2.7890797734691472E-4</v>
          </cell>
        </row>
        <row r="96">
          <cell r="Z96">
            <v>7.5485500264454617E-4</v>
          </cell>
          <cell r="AA96">
            <v>1.5990394159134374E-3</v>
          </cell>
        </row>
        <row r="97">
          <cell r="Z97">
            <v>7.233016964437464E-4</v>
          </cell>
          <cell r="AA97">
            <v>1.3744237823509629E-3</v>
          </cell>
        </row>
        <row r="98">
          <cell r="Z98">
            <v>1.4874460379750093E-3</v>
          </cell>
          <cell r="AA98">
            <v>1.8678689584228057E-3</v>
          </cell>
        </row>
        <row r="99">
          <cell r="Z99">
            <v>1.7893214481113538E-3</v>
          </cell>
          <cell r="AA99">
            <v>2.168397142364051E-3</v>
          </cell>
        </row>
        <row r="100">
          <cell r="Z100">
            <v>2.7875082031323115E-3</v>
          </cell>
          <cell r="AA100">
            <v>3.0815033842822464E-3</v>
          </cell>
        </row>
        <row r="101">
          <cell r="Z101">
            <v>2.599197146920995E-3</v>
          </cell>
          <cell r="AA101">
            <v>2.8814592329273613E-3</v>
          </cell>
        </row>
        <row r="102">
          <cell r="Z102">
            <v>5.0550997734506303E-3</v>
          </cell>
          <cell r="AA102">
            <v>5.5174210842406498E-3</v>
          </cell>
        </row>
        <row r="103">
          <cell r="Z103">
            <v>3.1021454518150278E-3</v>
          </cell>
          <cell r="AA103">
            <v>3.668582114609352E-3</v>
          </cell>
        </row>
        <row r="104">
          <cell r="Z104">
            <v>1.785529065363793E-3</v>
          </cell>
          <cell r="AA104">
            <v>2.6727099349245949E-3</v>
          </cell>
        </row>
        <row r="105">
          <cell r="Z105">
            <v>2.3164142299534861E-3</v>
          </cell>
          <cell r="AA105">
            <v>3.5530409164513895E-3</v>
          </cell>
        </row>
        <row r="106">
          <cell r="Z106">
            <v>-7.5913553543537158E-4</v>
          </cell>
          <cell r="AA106">
            <v>6.5870390014959404E-4</v>
          </cell>
        </row>
        <row r="107">
          <cell r="Z107">
            <v>-5.3028222313895412E-4</v>
          </cell>
          <cell r="AA107">
            <v>9.7707284151073441E-4</v>
          </cell>
        </row>
        <row r="108">
          <cell r="Z108">
            <v>-1.0365074106611608E-3</v>
          </cell>
          <cell r="AA108">
            <v>5.9397318313723143E-4</v>
          </cell>
        </row>
        <row r="109">
          <cell r="Z109">
            <v>-1.4752483680509913E-3</v>
          </cell>
          <cell r="AA109">
            <v>1.1696875259477666E-4</v>
          </cell>
        </row>
        <row r="110">
          <cell r="Z110">
            <v>-3.4087787059476253E-3</v>
          </cell>
          <cell r="AA110">
            <v>-1.8468505778209906E-3</v>
          </cell>
        </row>
        <row r="111">
          <cell r="Z111">
            <v>-2.0732294977443663E-3</v>
          </cell>
          <cell r="AA111">
            <v>-7.5833633403515877E-4</v>
          </cell>
        </row>
        <row r="112">
          <cell r="Z112">
            <v>-1.6769603728411266E-3</v>
          </cell>
          <cell r="AA112">
            <v>-6.5241745131123542E-4</v>
          </cell>
        </row>
        <row r="113">
          <cell r="Z113">
            <v>-1.44933971717907E-3</v>
          </cell>
          <cell r="AA113">
            <v>-8.8640120087460632E-4</v>
          </cell>
        </row>
        <row r="114">
          <cell r="Z114">
            <v>-1.6443451859629128E-3</v>
          </cell>
          <cell r="AA114">
            <v>-1.5341982316855361E-3</v>
          </cell>
        </row>
        <row r="115">
          <cell r="Z115">
            <v>-6.5923867711030319E-4</v>
          </cell>
          <cell r="AA115">
            <v>-1.0280095906831631E-3</v>
          </cell>
        </row>
        <row r="116">
          <cell r="Z116">
            <v>-1.1130919410435685E-3</v>
          </cell>
          <cell r="AA116">
            <v>-1.9334853990897369E-3</v>
          </cell>
        </row>
        <row r="117">
          <cell r="Z117">
            <v>-1.797513500359074E-3</v>
          </cell>
          <cell r="AA117">
            <v>-2.7838453133441649E-3</v>
          </cell>
        </row>
        <row r="118">
          <cell r="Z118">
            <v>-1.3035663118855737E-3</v>
          </cell>
          <cell r="AA118">
            <v>-2.540157366823192E-3</v>
          </cell>
        </row>
        <row r="119">
          <cell r="Z119">
            <v>-1.4327960463733902E-3</v>
          </cell>
          <cell r="AA119">
            <v>-2.8435108092502472E-3</v>
          </cell>
        </row>
        <row r="120">
          <cell r="Z120">
            <v>7.6752730863307379E-4</v>
          </cell>
          <cell r="AA120">
            <v>-7.7837526556637378E-4</v>
          </cell>
        </row>
        <row r="121">
          <cell r="Z121">
            <v>4.7692729058553039E-4</v>
          </cell>
          <cell r="AA121">
            <v>-8.6108704439855782E-4</v>
          </cell>
        </row>
        <row r="122">
          <cell r="Z122">
            <v>-8.1654627229601324E-4</v>
          </cell>
          <cell r="AA122">
            <v>-2.0586962653209215E-3</v>
          </cell>
        </row>
        <row r="123">
          <cell r="Z123">
            <v>1.3544563370524866E-3</v>
          </cell>
          <cell r="AA123">
            <v>2.6566814706316378E-4</v>
          </cell>
        </row>
        <row r="124">
          <cell r="Z124">
            <v>1.3202252550444031E-3</v>
          </cell>
          <cell r="AA124">
            <v>4.3437809855742158E-4</v>
          </cell>
        </row>
        <row r="125">
          <cell r="Z125">
            <v>8.4715292333394326E-5</v>
          </cell>
          <cell r="AA125">
            <v>-5.8074059519255567E-4</v>
          </cell>
        </row>
        <row r="126">
          <cell r="Z126">
            <v>-5.5000477745008368E-4</v>
          </cell>
          <cell r="AA126">
            <v>-1.0587964577756603E-3</v>
          </cell>
        </row>
        <row r="127">
          <cell r="Z127">
            <v>-1.7558115508373915E-3</v>
          </cell>
          <cell r="AA127">
            <v>-2.1875701593959402E-3</v>
          </cell>
        </row>
        <row r="128">
          <cell r="Z128">
            <v>-1.5710253790042318E-3</v>
          </cell>
          <cell r="AA128">
            <v>-1.8818234045072143E-3</v>
          </cell>
        </row>
        <row r="129">
          <cell r="Z129">
            <v>-1.3980989279969269E-3</v>
          </cell>
          <cell r="AA129">
            <v>-1.6163088327674784E-3</v>
          </cell>
        </row>
        <row r="130">
          <cell r="Z130">
            <v>-6.5642706952800952E-5</v>
          </cell>
          <cell r="AA130">
            <v>-1.65031204227779E-4</v>
          </cell>
        </row>
        <row r="131">
          <cell r="Z131">
            <v>-9.6504760536018583E-4</v>
          </cell>
          <cell r="AA131">
            <v>-1.1704285917716649E-3</v>
          </cell>
        </row>
        <row r="132">
          <cell r="Z132">
            <v>-7.384893633063744E-4</v>
          </cell>
          <cell r="AA132">
            <v>-1.0303239965286347E-3</v>
          </cell>
        </row>
        <row r="133">
          <cell r="Z133">
            <v>-1.7091505524404649E-3</v>
          </cell>
          <cell r="AA133">
            <v>-1.945111774770604E-3</v>
          </cell>
        </row>
        <row r="134">
          <cell r="Z134">
            <v>3.3592498826754503E-4</v>
          </cell>
          <cell r="AA134">
            <v>-1.0832430136283479E-4</v>
          </cell>
        </row>
        <row r="135">
          <cell r="Z135">
            <v>5.6736282071250214E-5</v>
          </cell>
          <cell r="AA135">
            <v>-5.4107366578404453E-4</v>
          </cell>
        </row>
        <row r="136">
          <cell r="Z136">
            <v>-4.0721359841225645E-4</v>
          </cell>
          <cell r="AA136">
            <v>-1.0369121178811919E-3</v>
          </cell>
        </row>
        <row r="137">
          <cell r="Z137">
            <v>-2.1141005017706607E-4</v>
          </cell>
          <cell r="AA137">
            <v>-8.7424692890581031E-4</v>
          </cell>
        </row>
        <row r="138">
          <cell r="Z138">
            <v>-3.951760586872603E-4</v>
          </cell>
          <cell r="AA138">
            <v>-1.0059972269217403E-3</v>
          </cell>
        </row>
        <row r="139">
          <cell r="Z139">
            <v>-1.1301895619173431E-3</v>
          </cell>
          <cell r="AA139">
            <v>-1.6988562023252404E-3</v>
          </cell>
        </row>
        <row r="140">
          <cell r="Z140">
            <v>-1.3730391436795419E-3</v>
          </cell>
          <cell r="AA140">
            <v>-1.9650859198942733E-3</v>
          </cell>
        </row>
        <row r="141">
          <cell r="Z141">
            <v>-7.44355763244181E-4</v>
          </cell>
          <cell r="AA141">
            <v>-1.4093822551878748E-3</v>
          </cell>
        </row>
        <row r="142">
          <cell r="Z142">
            <v>2.3788868623939632E-4</v>
          </cell>
          <cell r="AA142">
            <v>-3.8991252831116057E-4</v>
          </cell>
        </row>
        <row r="143">
          <cell r="Z143">
            <v>1.59327656383224E-3</v>
          </cell>
          <cell r="AA143">
            <v>9.7680013283953744E-4</v>
          </cell>
        </row>
        <row r="144">
          <cell r="Z144">
            <v>4.9833222126865974E-4</v>
          </cell>
          <cell r="AA144">
            <v>1.6234446390155807E-4</v>
          </cell>
        </row>
        <row r="145">
          <cell r="Z145">
            <v>-2.9506543956155909E-4</v>
          </cell>
          <cell r="AA145">
            <v>-5.627671290455718E-4</v>
          </cell>
        </row>
        <row r="146">
          <cell r="Z146">
            <v>-1.3421108599727201E-3</v>
          </cell>
          <cell r="AA146">
            <v>-1.5929666844961734E-3</v>
          </cell>
        </row>
        <row r="147">
          <cell r="Z147">
            <v>1.2145312967715399E-3</v>
          </cell>
          <cell r="AA147">
            <v>9.4770569584276207E-4</v>
          </cell>
        </row>
        <row r="148">
          <cell r="Z148">
            <v>-2.4906431245210114E-3</v>
          </cell>
          <cell r="AA148">
            <v>-2.7237646373926439E-3</v>
          </cell>
        </row>
        <row r="149">
          <cell r="Z149">
            <v>-1.6534549959782861E-3</v>
          </cell>
          <cell r="AA149">
            <v>-2.0122878617243492E-3</v>
          </cell>
        </row>
        <row r="150">
          <cell r="Z150">
            <v>-3.8715192869892465E-3</v>
          </cell>
          <cell r="AA150">
            <v>-4.2489121868096247E-3</v>
          </cell>
        </row>
        <row r="151">
          <cell r="Z151">
            <v>-5.0375590250869165E-3</v>
          </cell>
          <cell r="AA151">
            <v>-5.45272808075121E-3</v>
          </cell>
        </row>
        <row r="152">
          <cell r="Z152">
            <v>-1.8157442023669086E-3</v>
          </cell>
          <cell r="AA152">
            <v>-2.4311784649104877E-3</v>
          </cell>
        </row>
        <row r="153">
          <cell r="Z153">
            <v>-2.081277510628322E-3</v>
          </cell>
          <cell r="AA153">
            <v>-2.8470731878238961E-3</v>
          </cell>
        </row>
        <row r="154">
          <cell r="Z154">
            <v>-3.2247280055271959E-3</v>
          </cell>
          <cell r="AA154">
            <v>-4.3548902754530676E-3</v>
          </cell>
        </row>
        <row r="155">
          <cell r="Z155">
            <v>2.4961792266089375E-4</v>
          </cell>
          <cell r="AA155">
            <v>-1.1545237143485063E-3</v>
          </cell>
        </row>
        <row r="156">
          <cell r="Z156">
            <v>5.5341297605489325E-4</v>
          </cell>
          <cell r="AA156">
            <v>-9.1971307187561923E-4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FEB4-49DB-4C03-9DED-1006DBB86D4F}">
  <dimension ref="A1:BD156"/>
  <sheetViews>
    <sheetView tabSelected="1" topLeftCell="T1" workbookViewId="0">
      <selection activeCell="AM3" sqref="AM3"/>
    </sheetView>
  </sheetViews>
  <sheetFormatPr defaultRowHeight="14.4" x14ac:dyDescent="0.3"/>
  <cols>
    <col min="1" max="1" width="9.33203125" bestFit="1" customWidth="1"/>
    <col min="2" max="2" width="9.6640625" style="11" bestFit="1" customWidth="1"/>
    <col min="3" max="3" width="10.6640625" style="11" bestFit="1" customWidth="1"/>
    <col min="4" max="4" width="10.88671875" style="12" bestFit="1" customWidth="1"/>
    <col min="5" max="5" width="14.109375" style="12" bestFit="1" customWidth="1"/>
    <col min="6" max="7" width="17.5546875" style="12" bestFit="1" customWidth="1"/>
    <col min="8" max="8" width="10.6640625" style="11" bestFit="1" customWidth="1"/>
    <col min="9" max="10" width="12.44140625" style="11" bestFit="1" customWidth="1"/>
    <col min="11" max="11" width="8.77734375" style="13" bestFit="1" customWidth="1"/>
    <col min="12" max="13" width="10.21875" style="13" bestFit="1" customWidth="1"/>
    <col min="14" max="14" width="8.88671875" style="14" bestFit="1" customWidth="1"/>
    <col min="15" max="15" width="9.44140625" style="15" bestFit="1" customWidth="1"/>
    <col min="16" max="16" width="7.6640625" style="15" bestFit="1" customWidth="1"/>
    <col min="17" max="17" width="8.6640625" style="15" bestFit="1" customWidth="1"/>
    <col min="18" max="18" width="12.88671875" style="12" bestFit="1" customWidth="1"/>
    <col min="19" max="19" width="16.109375" style="12" bestFit="1" customWidth="1"/>
    <col min="20" max="21" width="19.5546875" style="12" bestFit="1" customWidth="1"/>
    <col min="22" max="22" width="10.6640625" style="11" bestFit="1" customWidth="1"/>
    <col min="23" max="24" width="13.5546875" style="11" bestFit="1" customWidth="1"/>
    <col min="25" max="25" width="7.88671875" style="17" bestFit="1" customWidth="1"/>
    <col min="26" max="27" width="11.21875" style="17" bestFit="1" customWidth="1"/>
    <col min="29" max="33" width="8.88671875" style="15"/>
    <col min="37" max="37" width="13.5546875" bestFit="1" customWidth="1"/>
    <col min="38" max="38" width="12.33203125" bestFit="1" customWidth="1"/>
    <col min="43" max="44" width="8.88671875" style="15"/>
    <col min="48" max="48" width="13.5546875" bestFit="1" customWidth="1"/>
    <col min="49" max="49" width="12.33203125" bestFit="1" customWidth="1"/>
  </cols>
  <sheetData>
    <row r="1" spans="1:56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8" t="s">
        <v>24</v>
      </c>
      <c r="Z1" s="8" t="s">
        <v>25</v>
      </c>
      <c r="AA1" s="8" t="s">
        <v>26</v>
      </c>
      <c r="AC1" s="7"/>
      <c r="AD1" s="7"/>
      <c r="AE1" s="7"/>
      <c r="AF1" s="7" t="s">
        <v>27</v>
      </c>
      <c r="AG1" s="9">
        <v>-1E-3</v>
      </c>
      <c r="AH1" s="2" t="s">
        <v>28</v>
      </c>
      <c r="AI1" s="2" t="s">
        <v>29</v>
      </c>
      <c r="AJ1" s="2" t="s">
        <v>30</v>
      </c>
      <c r="AK1" s="2" t="s">
        <v>31</v>
      </c>
      <c r="AO1" s="10">
        <f>AO156</f>
        <v>3.6235668969633447E-3</v>
      </c>
      <c r="AQ1" s="7" t="s">
        <v>27</v>
      </c>
      <c r="AR1" s="9">
        <v>1E-3</v>
      </c>
      <c r="AS1" s="2" t="s">
        <v>29</v>
      </c>
      <c r="AT1" s="2" t="s">
        <v>28</v>
      </c>
      <c r="AU1" s="2" t="s">
        <v>30</v>
      </c>
      <c r="AV1" s="2" t="s">
        <v>31</v>
      </c>
      <c r="AZ1" s="10">
        <f>AZ156</f>
        <v>2.1482970775333005E-3</v>
      </c>
      <c r="BB1" s="10"/>
      <c r="BC1" s="10">
        <f>BC156</f>
        <v>5.7718639744966452E-3</v>
      </c>
      <c r="BD1" s="10">
        <f>BD156</f>
        <v>0</v>
      </c>
    </row>
    <row r="2" spans="1:56" x14ac:dyDescent="0.3">
      <c r="A2" s="1">
        <v>46024</v>
      </c>
      <c r="B2" s="11">
        <v>57.5</v>
      </c>
      <c r="C2" s="11">
        <v>100.3</v>
      </c>
      <c r="D2" s="12">
        <v>1.74434782608695</v>
      </c>
      <c r="E2" s="12">
        <v>1.74406374641995</v>
      </c>
      <c r="N2" s="14">
        <v>0</v>
      </c>
      <c r="O2" s="15">
        <v>0</v>
      </c>
      <c r="P2" s="25">
        <f t="shared" ref="P2:P4" si="0">B2+N2</f>
        <v>57.5</v>
      </c>
      <c r="Q2" s="25">
        <f t="shared" ref="Q2:Q4" si="1">C2+O2</f>
        <v>100.3</v>
      </c>
      <c r="R2" s="16">
        <f>Q2/P2</f>
        <v>1.7443478260869565</v>
      </c>
      <c r="S2" s="16">
        <f>AVERAGE(R:R)</f>
        <v>1.7440637464199518</v>
      </c>
      <c r="AG2" s="9">
        <v>0</v>
      </c>
      <c r="AR2" s="9">
        <v>0</v>
      </c>
    </row>
    <row r="3" spans="1:56" x14ac:dyDescent="0.3">
      <c r="A3" s="1">
        <v>46027</v>
      </c>
      <c r="B3" s="11">
        <v>57.56</v>
      </c>
      <c r="C3" s="11">
        <v>100.41</v>
      </c>
      <c r="D3" s="12">
        <v>1.7444405837387</v>
      </c>
      <c r="E3" s="12">
        <v>1.74406374641995</v>
      </c>
      <c r="H3" s="11">
        <v>100.388309243932</v>
      </c>
      <c r="K3" s="13">
        <v>2.1604520708948201E-4</v>
      </c>
      <c r="N3" s="14">
        <v>0</v>
      </c>
      <c r="O3" s="15">
        <v>0</v>
      </c>
      <c r="P3" s="25">
        <f t="shared" si="0"/>
        <v>57.56</v>
      </c>
      <c r="Q3" s="25">
        <f t="shared" si="1"/>
        <v>100.41</v>
      </c>
      <c r="R3" s="16">
        <f t="shared" ref="R3:R66" si="2">Q3/P3</f>
        <v>1.7444405837387074</v>
      </c>
      <c r="S3" s="16">
        <f t="shared" ref="S3:S66" si="3">AVERAGE(R:R)</f>
        <v>1.7440637464199518</v>
      </c>
      <c r="V3" s="18">
        <f>S2*P3</f>
        <v>100.38830924393243</v>
      </c>
      <c r="Y3" s="19">
        <f>LN($C3/V3)</f>
        <v>2.1604520708970408E-4</v>
      </c>
      <c r="AC3" s="20">
        <f>LN(B3/B2)</f>
        <v>1.0429342158624476E-3</v>
      </c>
      <c r="AD3" s="20">
        <f>LN(C3/C2)</f>
        <v>1.0961089234551539E-3</v>
      </c>
      <c r="AE3" s="20"/>
    </row>
    <row r="4" spans="1:56" x14ac:dyDescent="0.3">
      <c r="A4" s="1">
        <v>46028</v>
      </c>
      <c r="B4" s="11">
        <v>57.62</v>
      </c>
      <c r="C4" s="11">
        <v>100.48</v>
      </c>
      <c r="D4" s="12">
        <v>1.74383894481082</v>
      </c>
      <c r="E4" s="12">
        <v>1.74406374641995</v>
      </c>
      <c r="H4" s="11">
        <v>100.492953068717</v>
      </c>
      <c r="K4" s="13">
        <v>-1.28903601582117E-4</v>
      </c>
      <c r="N4" s="14">
        <v>0</v>
      </c>
      <c r="O4" s="15">
        <v>0</v>
      </c>
      <c r="P4" s="25">
        <f t="shared" si="0"/>
        <v>57.62</v>
      </c>
      <c r="Q4" s="25">
        <f t="shared" si="1"/>
        <v>100.48</v>
      </c>
      <c r="R4" s="16">
        <f t="shared" si="2"/>
        <v>1.7438389448108298</v>
      </c>
      <c r="S4" s="16">
        <f t="shared" si="3"/>
        <v>1.7440637464199518</v>
      </c>
      <c r="V4" s="18">
        <f t="shared" ref="V4:V67" si="4">S3*P4</f>
        <v>100.49295306871761</v>
      </c>
      <c r="Y4" s="19">
        <f t="shared" ref="Y4:AA67" si="5">LN($C4/V4)</f>
        <v>-1.2890360158178391E-4</v>
      </c>
      <c r="AC4" s="20">
        <f t="shared" ref="AC4:AD67" si="6">LN(B4/B3)</f>
        <v>1.0418476372152459E-3</v>
      </c>
      <c r="AD4" s="20">
        <f t="shared" si="6"/>
        <v>6.9689882854361593E-4</v>
      </c>
      <c r="AE4" s="20"/>
    </row>
    <row r="5" spans="1:56" x14ac:dyDescent="0.3">
      <c r="A5" s="1">
        <v>46029</v>
      </c>
      <c r="B5" s="11">
        <v>57.72</v>
      </c>
      <c r="C5" s="11">
        <v>100.68</v>
      </c>
      <c r="D5" s="12">
        <v>1.74428274428274</v>
      </c>
      <c r="E5" s="12">
        <v>1.74406374641995</v>
      </c>
      <c r="H5" s="11">
        <v>100.667359443359</v>
      </c>
      <c r="K5" s="13">
        <v>1.2555969635666501E-4</v>
      </c>
      <c r="N5" s="14">
        <v>0</v>
      </c>
      <c r="O5" s="15">
        <v>0</v>
      </c>
      <c r="P5" s="25">
        <f t="shared" ref="P5:P21" si="7">B5+N5</f>
        <v>57.72</v>
      </c>
      <c r="Q5" s="25">
        <f t="shared" ref="Q5:Q21" si="8">C5+O5</f>
        <v>100.68</v>
      </c>
      <c r="R5" s="16">
        <f t="shared" si="2"/>
        <v>1.7442827442827444</v>
      </c>
      <c r="S5" s="16">
        <f t="shared" si="3"/>
        <v>1.7440637464199518</v>
      </c>
      <c r="V5" s="18">
        <f t="shared" si="4"/>
        <v>100.66735944335962</v>
      </c>
      <c r="Y5" s="19">
        <f t="shared" si="5"/>
        <v>1.2555969635710953E-4</v>
      </c>
      <c r="AC5" s="20">
        <f t="shared" si="6"/>
        <v>1.7340042492876516E-3</v>
      </c>
      <c r="AD5" s="20">
        <f t="shared" si="6"/>
        <v>1.9884675472266978E-3</v>
      </c>
      <c r="AE5" s="20"/>
    </row>
    <row r="6" spans="1:56" x14ac:dyDescent="0.3">
      <c r="A6" s="1">
        <v>46030</v>
      </c>
      <c r="B6" s="11">
        <v>57.69</v>
      </c>
      <c r="C6" s="11">
        <v>100.67</v>
      </c>
      <c r="D6" s="12">
        <v>1.7450164673253501</v>
      </c>
      <c r="E6" s="12">
        <v>1.74406374641995</v>
      </c>
      <c r="H6" s="11">
        <v>100.615037530967</v>
      </c>
      <c r="K6" s="13">
        <v>5.4611580744566503E-4</v>
      </c>
      <c r="N6" s="14">
        <v>0</v>
      </c>
      <c r="O6" s="15">
        <v>0</v>
      </c>
      <c r="P6" s="25">
        <f t="shared" si="7"/>
        <v>57.69</v>
      </c>
      <c r="Q6" s="25">
        <f t="shared" si="8"/>
        <v>100.67</v>
      </c>
      <c r="R6" s="16">
        <f t="shared" si="2"/>
        <v>1.7450164673253599</v>
      </c>
      <c r="S6" s="16">
        <f t="shared" si="3"/>
        <v>1.7440637464199518</v>
      </c>
      <c r="V6" s="18">
        <f t="shared" si="4"/>
        <v>100.61503753096702</v>
      </c>
      <c r="Y6" s="19">
        <f t="shared" si="5"/>
        <v>5.461158074458874E-4</v>
      </c>
      <c r="AC6" s="20">
        <f t="shared" si="6"/>
        <v>-5.1988563687205421E-4</v>
      </c>
      <c r="AD6" s="20">
        <f t="shared" si="6"/>
        <v>-9.9329525783192318E-5</v>
      </c>
      <c r="AE6" s="20"/>
    </row>
    <row r="7" spans="1:56" x14ac:dyDescent="0.3">
      <c r="A7" s="1">
        <v>46031</v>
      </c>
      <c r="B7" s="11">
        <v>57.78</v>
      </c>
      <c r="C7" s="11">
        <v>100.7</v>
      </c>
      <c r="D7" s="12">
        <v>1.74281758393907</v>
      </c>
      <c r="E7" s="12">
        <v>1.74406374641995</v>
      </c>
      <c r="H7" s="11">
        <v>100.772003268144</v>
      </c>
      <c r="K7" s="13">
        <v>-7.14771978660875E-4</v>
      </c>
      <c r="N7" s="14">
        <v>0</v>
      </c>
      <c r="O7" s="15">
        <v>0</v>
      </c>
      <c r="P7" s="25">
        <f t="shared" si="7"/>
        <v>57.78</v>
      </c>
      <c r="Q7" s="25">
        <f t="shared" si="8"/>
        <v>100.7</v>
      </c>
      <c r="R7" s="16">
        <f t="shared" si="2"/>
        <v>1.7428175839390794</v>
      </c>
      <c r="S7" s="16">
        <f t="shared" si="3"/>
        <v>1.7440637464199518</v>
      </c>
      <c r="V7" s="18">
        <f t="shared" si="4"/>
        <v>100.77200326814481</v>
      </c>
      <c r="Y7" s="19">
        <f t="shared" si="5"/>
        <v>-7.1477197866065285E-4</v>
      </c>
      <c r="AC7" s="20">
        <f t="shared" si="6"/>
        <v>1.5588467692910996E-3</v>
      </c>
      <c r="AD7" s="20">
        <f t="shared" si="6"/>
        <v>2.9795898318468874E-4</v>
      </c>
      <c r="AE7" s="20"/>
    </row>
    <row r="8" spans="1:56" x14ac:dyDescent="0.3">
      <c r="A8" s="1">
        <v>46034</v>
      </c>
      <c r="B8" s="11">
        <v>57.78</v>
      </c>
      <c r="C8" s="11">
        <v>100.8</v>
      </c>
      <c r="D8" s="12">
        <v>1.74454828660436</v>
      </c>
      <c r="E8" s="12">
        <v>1.74406374641995</v>
      </c>
      <c r="H8" s="11">
        <v>100.772003268144</v>
      </c>
      <c r="K8" s="13">
        <v>2.7778393409074598E-4</v>
      </c>
      <c r="N8" s="14">
        <v>0</v>
      </c>
      <c r="O8" s="15">
        <v>0</v>
      </c>
      <c r="P8" s="25">
        <f t="shared" si="7"/>
        <v>57.78</v>
      </c>
      <c r="Q8" s="25">
        <f t="shared" si="8"/>
        <v>100.8</v>
      </c>
      <c r="R8" s="16">
        <f t="shared" si="2"/>
        <v>1.7445482866043613</v>
      </c>
      <c r="S8" s="16">
        <f t="shared" si="3"/>
        <v>1.7440637464199518</v>
      </c>
      <c r="V8" s="18">
        <f t="shared" si="4"/>
        <v>100.77200326814481</v>
      </c>
      <c r="Y8" s="19">
        <f t="shared" si="5"/>
        <v>2.7778393409096824E-4</v>
      </c>
      <c r="AC8" s="20">
        <f t="shared" si="6"/>
        <v>0</v>
      </c>
      <c r="AD8" s="20">
        <f t="shared" si="6"/>
        <v>9.9255591275164293E-4</v>
      </c>
      <c r="AE8" s="20"/>
    </row>
    <row r="9" spans="1:56" x14ac:dyDescent="0.3">
      <c r="A9" s="1">
        <v>46035</v>
      </c>
      <c r="B9" s="11">
        <v>57.79</v>
      </c>
      <c r="C9" s="11">
        <v>100.82</v>
      </c>
      <c r="D9" s="12">
        <v>1.7445924900501799</v>
      </c>
      <c r="E9" s="12">
        <v>1.74406374641995</v>
      </c>
      <c r="H9" s="11">
        <v>100.78944390560901</v>
      </c>
      <c r="K9" s="13">
        <v>3.0312165970976799E-4</v>
      </c>
      <c r="N9" s="14">
        <v>0</v>
      </c>
      <c r="O9" s="15">
        <v>0</v>
      </c>
      <c r="P9" s="25">
        <f t="shared" si="7"/>
        <v>57.79</v>
      </c>
      <c r="Q9" s="25">
        <f t="shared" si="8"/>
        <v>100.82</v>
      </c>
      <c r="R9" s="16">
        <f t="shared" si="2"/>
        <v>1.7445924900501817</v>
      </c>
      <c r="S9" s="16">
        <f t="shared" si="3"/>
        <v>1.7440637464199518</v>
      </c>
      <c r="V9" s="18">
        <f t="shared" si="4"/>
        <v>100.78944390560901</v>
      </c>
      <c r="Y9" s="19">
        <f t="shared" si="5"/>
        <v>3.0312165971021235E-4</v>
      </c>
      <c r="AC9" s="20">
        <f t="shared" si="6"/>
        <v>1.7305529159733748E-4</v>
      </c>
      <c r="AD9" s="20">
        <f t="shared" si="6"/>
        <v>1.983930172165418E-4</v>
      </c>
      <c r="AE9" s="20"/>
      <c r="AN9" s="21">
        <f>AVERAGE(AN22:AN200)</f>
        <v>2.6841236273802555E-5</v>
      </c>
      <c r="AY9" s="21">
        <f>AVERAGE(AY22:AY200)</f>
        <v>1.5913311685431857E-5</v>
      </c>
      <c r="BB9" s="21">
        <f>AVERAGE(BB22:BB200)</f>
        <v>4.2754547959234408E-5</v>
      </c>
    </row>
    <row r="10" spans="1:56" x14ac:dyDescent="0.3">
      <c r="A10" s="1">
        <v>46036</v>
      </c>
      <c r="B10" s="11">
        <v>57.83</v>
      </c>
      <c r="C10" s="11">
        <v>100.92</v>
      </c>
      <c r="D10" s="12">
        <v>1.74511499221857</v>
      </c>
      <c r="E10" s="12">
        <v>1.74406374641995</v>
      </c>
      <c r="H10" s="11">
        <v>100.859206455465</v>
      </c>
      <c r="K10" s="13">
        <v>6.0257493764178998E-4</v>
      </c>
      <c r="N10" s="14">
        <v>0</v>
      </c>
      <c r="O10" s="15">
        <v>0</v>
      </c>
      <c r="P10" s="25">
        <f t="shared" si="7"/>
        <v>57.83</v>
      </c>
      <c r="Q10" s="25">
        <f t="shared" si="8"/>
        <v>100.92</v>
      </c>
      <c r="R10" s="16">
        <f t="shared" si="2"/>
        <v>1.7451149922185718</v>
      </c>
      <c r="S10" s="16">
        <f t="shared" si="3"/>
        <v>1.7440637464199518</v>
      </c>
      <c r="V10" s="18">
        <f t="shared" si="4"/>
        <v>100.85920645546581</v>
      </c>
      <c r="Y10" s="19">
        <f t="shared" si="5"/>
        <v>6.0257493764201203E-4</v>
      </c>
      <c r="AC10" s="20">
        <f t="shared" si="6"/>
        <v>6.9192184044017E-4</v>
      </c>
      <c r="AD10" s="20">
        <f t="shared" si="6"/>
        <v>9.9137511837233934E-4</v>
      </c>
      <c r="AE10" s="20"/>
      <c r="AF10" s="22"/>
      <c r="AN10" s="21">
        <f>STDEV(AN22:AN200)</f>
        <v>1.7301761515466183E-4</v>
      </c>
      <c r="AQ10" s="22"/>
      <c r="AY10" s="21">
        <f>STDEV(AY22:AY200)</f>
        <v>1.365085998930963E-4</v>
      </c>
      <c r="BB10" s="21">
        <f>STDEV(BB22:BB200)</f>
        <v>2.1842401873900372E-4</v>
      </c>
    </row>
    <row r="11" spans="1:56" x14ac:dyDescent="0.3">
      <c r="A11" s="1">
        <v>46037</v>
      </c>
      <c r="B11" s="11">
        <v>57.87</v>
      </c>
      <c r="C11" s="11">
        <v>100.91</v>
      </c>
      <c r="D11" s="12">
        <v>1.7437359599101401</v>
      </c>
      <c r="E11" s="12">
        <v>1.74406374641995</v>
      </c>
      <c r="F11" s="12">
        <v>1.74427358789669</v>
      </c>
      <c r="H11" s="11">
        <v>100.928969005322</v>
      </c>
      <c r="K11" s="13">
        <v>-1.8796177439827299E-4</v>
      </c>
      <c r="N11" s="14">
        <v>0</v>
      </c>
      <c r="O11" s="15">
        <v>0</v>
      </c>
      <c r="P11" s="25">
        <f t="shared" si="7"/>
        <v>57.87</v>
      </c>
      <c r="Q11" s="25">
        <f t="shared" si="8"/>
        <v>100.91</v>
      </c>
      <c r="R11" s="16">
        <f t="shared" si="2"/>
        <v>1.7437359599101434</v>
      </c>
      <c r="S11" s="16">
        <f t="shared" si="3"/>
        <v>1.7440637464199518</v>
      </c>
      <c r="T11" s="16">
        <f>AVERAGE(R2:R11)</f>
        <v>1.7442735878966935</v>
      </c>
      <c r="V11" s="18">
        <f t="shared" si="4"/>
        <v>100.9289690053226</v>
      </c>
      <c r="Y11" s="19">
        <f t="shared" si="5"/>
        <v>-1.8796177439794068E-4</v>
      </c>
      <c r="AC11" s="20">
        <f t="shared" si="6"/>
        <v>6.9144341562048261E-4</v>
      </c>
      <c r="AD11" s="20">
        <f t="shared" si="6"/>
        <v>-9.9093296419667181E-5</v>
      </c>
      <c r="AE11" s="20"/>
      <c r="AN11">
        <f>SQRT(252)*AN9/AN10</f>
        <v>2.4627054071411103</v>
      </c>
      <c r="AY11">
        <f>SQRT(252)*AY9/AY10</f>
        <v>1.8505500146400702</v>
      </c>
      <c r="BB11">
        <f>SQRT(252)*BB9/BB10</f>
        <v>3.1072929241985152</v>
      </c>
    </row>
    <row r="12" spans="1:56" x14ac:dyDescent="0.3">
      <c r="A12" s="1">
        <v>46038</v>
      </c>
      <c r="B12" s="11">
        <v>57.85</v>
      </c>
      <c r="C12" s="11">
        <v>100.9</v>
      </c>
      <c r="D12" s="12">
        <v>1.7441659464131301</v>
      </c>
      <c r="E12" s="12">
        <v>1.74406374641995</v>
      </c>
      <c r="F12" s="12">
        <v>1.74425539992931</v>
      </c>
      <c r="H12" s="11">
        <v>100.89408773039401</v>
      </c>
      <c r="I12" s="11">
        <v>100.906227059823</v>
      </c>
      <c r="K12" s="13">
        <v>5.8597054789442699E-5</v>
      </c>
      <c r="L12" s="13">
        <v>-6.1713257478847295E-5</v>
      </c>
      <c r="N12" s="14">
        <v>0</v>
      </c>
      <c r="O12" s="15">
        <v>0</v>
      </c>
      <c r="P12" s="25">
        <f t="shared" si="7"/>
        <v>57.85</v>
      </c>
      <c r="Q12" s="25">
        <f t="shared" si="8"/>
        <v>100.9</v>
      </c>
      <c r="R12" s="16">
        <f t="shared" si="2"/>
        <v>1.7441659464131374</v>
      </c>
      <c r="S12" s="16">
        <f t="shared" si="3"/>
        <v>1.7440637464199518</v>
      </c>
      <c r="T12" s="16">
        <f t="shared" ref="T12:T75" si="9">AVERAGE(R3:R12)</f>
        <v>1.7442553999293113</v>
      </c>
      <c r="V12" s="18">
        <f t="shared" si="4"/>
        <v>100.89408773039422</v>
      </c>
      <c r="W12" s="18">
        <f>T11*P12</f>
        <v>100.90622705982372</v>
      </c>
      <c r="Y12" s="19">
        <f t="shared" si="5"/>
        <v>5.8597054789664764E-5</v>
      </c>
      <c r="Z12" s="19">
        <f t="shared" si="5"/>
        <v>-6.1713257478847322E-5</v>
      </c>
      <c r="AA12" s="19"/>
      <c r="AC12" s="20">
        <f t="shared" si="6"/>
        <v>-3.4566194606175545E-4</v>
      </c>
      <c r="AD12" s="20">
        <f t="shared" si="6"/>
        <v>-9.9103116874036507E-5</v>
      </c>
      <c r="AE12" s="20"/>
    </row>
    <row r="13" spans="1:56" x14ac:dyDescent="0.3">
      <c r="A13" s="1">
        <v>46042</v>
      </c>
      <c r="B13" s="11">
        <v>57.6</v>
      </c>
      <c r="C13" s="11">
        <v>100.61</v>
      </c>
      <c r="D13" s="12">
        <v>1.74670138888888</v>
      </c>
      <c r="E13" s="12">
        <v>1.74406374641995</v>
      </c>
      <c r="F13" s="12">
        <v>1.7444814804443201</v>
      </c>
      <c r="H13" s="11">
        <v>100.458071793789</v>
      </c>
      <c r="I13" s="11">
        <v>100.46911103592799</v>
      </c>
      <c r="K13" s="13">
        <v>1.5112119370254301E-3</v>
      </c>
      <c r="L13" s="13">
        <v>1.4013289237391E-3</v>
      </c>
      <c r="N13" s="14">
        <v>0</v>
      </c>
      <c r="O13" s="15">
        <v>0</v>
      </c>
      <c r="P13" s="25">
        <f t="shared" si="7"/>
        <v>57.6</v>
      </c>
      <c r="Q13" s="25">
        <f t="shared" si="8"/>
        <v>100.61</v>
      </c>
      <c r="R13" s="16">
        <f t="shared" si="2"/>
        <v>1.7467013888888889</v>
      </c>
      <c r="S13" s="16">
        <f t="shared" si="3"/>
        <v>1.7440637464199518</v>
      </c>
      <c r="T13" s="16">
        <f t="shared" si="9"/>
        <v>1.7444814804443296</v>
      </c>
      <c r="V13" s="18">
        <f t="shared" si="4"/>
        <v>100.45807179378923</v>
      </c>
      <c r="W13" s="18">
        <f t="shared" ref="W13:W76" si="10">T12*P13</f>
        <v>100.46911103592834</v>
      </c>
      <c r="Y13" s="19">
        <f t="shared" si="5"/>
        <v>1.511211937025661E-3</v>
      </c>
      <c r="Z13" s="19">
        <f t="shared" si="5"/>
        <v>1.4013289237395444E-3</v>
      </c>
      <c r="AC13" s="20">
        <f t="shared" si="6"/>
        <v>-4.3308859378400795E-3</v>
      </c>
      <c r="AD13" s="20">
        <f t="shared" si="6"/>
        <v>-2.8782710556039949E-3</v>
      </c>
      <c r="AE13" s="20"/>
    </row>
    <row r="14" spans="1:56" x14ac:dyDescent="0.3">
      <c r="A14" s="1">
        <v>46043</v>
      </c>
      <c r="B14" s="11">
        <v>57.76</v>
      </c>
      <c r="C14" s="11">
        <v>100.7</v>
      </c>
      <c r="D14" s="12">
        <v>1.7434210526315701</v>
      </c>
      <c r="E14" s="12">
        <v>1.74406374641995</v>
      </c>
      <c r="F14" s="12">
        <v>1.7444396912264</v>
      </c>
      <c r="H14" s="11">
        <v>100.73712199321599</v>
      </c>
      <c r="I14" s="11">
        <v>100.76125031046401</v>
      </c>
      <c r="K14" s="13">
        <v>-3.6857152514240102E-4</v>
      </c>
      <c r="L14" s="13">
        <v>-6.0806048068590395E-4</v>
      </c>
      <c r="N14" s="14">
        <v>0</v>
      </c>
      <c r="O14" s="15">
        <v>0</v>
      </c>
      <c r="P14" s="25">
        <f t="shared" si="7"/>
        <v>57.76</v>
      </c>
      <c r="Q14" s="25">
        <f t="shared" si="8"/>
        <v>100.7</v>
      </c>
      <c r="R14" s="16">
        <f t="shared" si="2"/>
        <v>1.743421052631579</v>
      </c>
      <c r="S14" s="16">
        <f t="shared" si="3"/>
        <v>1.7440637464199518</v>
      </c>
      <c r="T14" s="16">
        <f t="shared" si="9"/>
        <v>1.7444396912264046</v>
      </c>
      <c r="V14" s="18">
        <f t="shared" si="4"/>
        <v>100.73712199321641</v>
      </c>
      <c r="W14" s="18">
        <f t="shared" si="10"/>
        <v>100.76125031046448</v>
      </c>
      <c r="Y14" s="19">
        <f t="shared" si="5"/>
        <v>-3.6857152514206871E-4</v>
      </c>
      <c r="Z14" s="19">
        <f t="shared" si="5"/>
        <v>-6.0806048068590417E-4</v>
      </c>
      <c r="AC14" s="20">
        <f t="shared" si="6"/>
        <v>2.7739268827252244E-3</v>
      </c>
      <c r="AD14" s="20">
        <f t="shared" si="6"/>
        <v>8.9414342055734169E-4</v>
      </c>
      <c r="AE14" s="20"/>
    </row>
    <row r="15" spans="1:56" x14ac:dyDescent="0.3">
      <c r="A15" s="1">
        <v>46044</v>
      </c>
      <c r="B15" s="11">
        <v>57.74</v>
      </c>
      <c r="C15" s="11">
        <v>100.64</v>
      </c>
      <c r="D15" s="12">
        <v>1.7429857984066499</v>
      </c>
      <c r="E15" s="12">
        <v>1.74406374641995</v>
      </c>
      <c r="F15" s="12">
        <v>1.7443099966387901</v>
      </c>
      <c r="H15" s="11">
        <v>100.702240718288</v>
      </c>
      <c r="I15" s="11">
        <v>100.723947771412</v>
      </c>
      <c r="K15" s="13">
        <v>-6.1825794774694298E-4</v>
      </c>
      <c r="L15" s="13">
        <v>-8.3379152231694898E-4</v>
      </c>
      <c r="N15" s="14">
        <v>0</v>
      </c>
      <c r="O15" s="15">
        <v>0</v>
      </c>
      <c r="P15" s="25">
        <f t="shared" si="7"/>
        <v>57.74</v>
      </c>
      <c r="Q15" s="25">
        <f t="shared" si="8"/>
        <v>100.64</v>
      </c>
      <c r="R15" s="16">
        <f t="shared" si="2"/>
        <v>1.7429857984066504</v>
      </c>
      <c r="S15" s="16">
        <f t="shared" si="3"/>
        <v>1.7440637464199518</v>
      </c>
      <c r="T15" s="16">
        <f t="shared" si="9"/>
        <v>1.7443099966387954</v>
      </c>
      <c r="V15" s="18">
        <f t="shared" si="4"/>
        <v>100.70224071828802</v>
      </c>
      <c r="W15" s="18">
        <f t="shared" si="10"/>
        <v>100.72394777141261</v>
      </c>
      <c r="Y15" s="19">
        <f t="shared" si="5"/>
        <v>-6.1825794774672137E-4</v>
      </c>
      <c r="Z15" s="19">
        <f t="shared" si="5"/>
        <v>-8.3379152231694942E-4</v>
      </c>
      <c r="AC15" s="20">
        <f t="shared" si="6"/>
        <v>-3.4632034978172318E-4</v>
      </c>
      <c r="AD15" s="20">
        <f t="shared" si="6"/>
        <v>-5.9600677238624497E-4</v>
      </c>
      <c r="AE15" s="20"/>
    </row>
    <row r="16" spans="1:56" x14ac:dyDescent="0.3">
      <c r="A16" s="1">
        <v>46045</v>
      </c>
      <c r="B16" s="11">
        <v>57.74</v>
      </c>
      <c r="C16" s="11">
        <v>100.66</v>
      </c>
      <c r="D16" s="12">
        <v>1.74333217873224</v>
      </c>
      <c r="E16" s="12">
        <v>1.74406374641995</v>
      </c>
      <c r="F16" s="12">
        <v>1.74414156777948</v>
      </c>
      <c r="H16" s="11">
        <v>100.702240718288</v>
      </c>
      <c r="I16" s="11">
        <v>100.716459205924</v>
      </c>
      <c r="K16" s="13">
        <v>-4.19549551663404E-4</v>
      </c>
      <c r="L16" s="13">
        <v>-5.6073294392030096E-4</v>
      </c>
      <c r="N16" s="14">
        <v>0</v>
      </c>
      <c r="O16" s="15">
        <v>0</v>
      </c>
      <c r="P16" s="25">
        <f t="shared" si="7"/>
        <v>57.74</v>
      </c>
      <c r="Q16" s="25">
        <f t="shared" si="8"/>
        <v>100.66</v>
      </c>
      <c r="R16" s="16">
        <f t="shared" si="2"/>
        <v>1.743332178732248</v>
      </c>
      <c r="S16" s="16">
        <f t="shared" si="3"/>
        <v>1.7440637464199518</v>
      </c>
      <c r="T16" s="16">
        <f t="shared" si="9"/>
        <v>1.744141567779484</v>
      </c>
      <c r="V16" s="18">
        <f t="shared" si="4"/>
        <v>100.70224071828802</v>
      </c>
      <c r="W16" s="18">
        <f t="shared" si="10"/>
        <v>100.71645920592405</v>
      </c>
      <c r="Y16" s="19">
        <f t="shared" si="5"/>
        <v>-4.1954955166329373E-4</v>
      </c>
      <c r="Z16" s="19">
        <f t="shared" si="5"/>
        <v>-5.6073294392030096E-4</v>
      </c>
      <c r="AC16" s="20">
        <f t="shared" si="6"/>
        <v>0</v>
      </c>
      <c r="AD16" s="20">
        <f t="shared" si="6"/>
        <v>1.9870839608344406E-4</v>
      </c>
      <c r="AE16" s="20"/>
    </row>
    <row r="17" spans="1:55" x14ac:dyDescent="0.3">
      <c r="A17" s="1">
        <v>46048</v>
      </c>
      <c r="B17" s="11">
        <v>57.79</v>
      </c>
      <c r="C17" s="11">
        <v>100.75</v>
      </c>
      <c r="D17" s="12">
        <v>1.7433812078214199</v>
      </c>
      <c r="E17" s="12">
        <v>1.74406374641995</v>
      </c>
      <c r="F17" s="12">
        <v>1.74419793016771</v>
      </c>
      <c r="H17" s="11">
        <v>100.78944390560901</v>
      </c>
      <c r="I17" s="11">
        <v>100.793941201976</v>
      </c>
      <c r="K17" s="13">
        <v>-3.9142616798248502E-4</v>
      </c>
      <c r="L17" s="13">
        <v>-4.36045880720132E-4</v>
      </c>
      <c r="N17" s="14">
        <v>0</v>
      </c>
      <c r="O17" s="15">
        <v>0</v>
      </c>
      <c r="P17" s="25">
        <f t="shared" si="7"/>
        <v>57.79</v>
      </c>
      <c r="Q17" s="25">
        <f t="shared" si="8"/>
        <v>100.75</v>
      </c>
      <c r="R17" s="16">
        <f t="shared" si="2"/>
        <v>1.7433812078214224</v>
      </c>
      <c r="S17" s="16">
        <f t="shared" si="3"/>
        <v>1.7440637464199518</v>
      </c>
      <c r="T17" s="16">
        <f t="shared" si="9"/>
        <v>1.7441979301677182</v>
      </c>
      <c r="V17" s="18">
        <f t="shared" si="4"/>
        <v>100.78944390560901</v>
      </c>
      <c r="W17" s="18">
        <f t="shared" si="10"/>
        <v>100.79394120197638</v>
      </c>
      <c r="Y17" s="19">
        <f t="shared" si="5"/>
        <v>-3.9142616798226292E-4</v>
      </c>
      <c r="Z17" s="19">
        <f t="shared" si="5"/>
        <v>-4.3604588072013238E-4</v>
      </c>
      <c r="AC17" s="20">
        <f t="shared" si="6"/>
        <v>8.655760948974605E-4</v>
      </c>
      <c r="AD17" s="20">
        <f t="shared" si="6"/>
        <v>8.9369947857843824E-4</v>
      </c>
      <c r="AE17" s="20"/>
    </row>
    <row r="18" spans="1:55" x14ac:dyDescent="0.3">
      <c r="A18" s="1">
        <v>46049</v>
      </c>
      <c r="B18" s="11">
        <v>57.78</v>
      </c>
      <c r="C18" s="11">
        <v>100.79</v>
      </c>
      <c r="D18" s="12">
        <v>1.7443752163378301</v>
      </c>
      <c r="E18" s="12">
        <v>1.74406374641995</v>
      </c>
      <c r="F18" s="12">
        <v>1.7441806231410599</v>
      </c>
      <c r="H18" s="11">
        <v>100.772003268144</v>
      </c>
      <c r="I18" s="11">
        <v>100.77975640509</v>
      </c>
      <c r="K18" s="13">
        <v>1.7857266360907399E-4</v>
      </c>
      <c r="L18" s="13">
        <v>1.01638213001231E-4</v>
      </c>
      <c r="N18" s="14">
        <v>0</v>
      </c>
      <c r="O18" s="15">
        <v>0</v>
      </c>
      <c r="P18" s="25">
        <f t="shared" si="7"/>
        <v>57.78</v>
      </c>
      <c r="Q18" s="25">
        <f t="shared" si="8"/>
        <v>100.79</v>
      </c>
      <c r="R18" s="16">
        <f t="shared" si="2"/>
        <v>1.7443752163378332</v>
      </c>
      <c r="S18" s="16">
        <f t="shared" si="3"/>
        <v>1.7440637464199518</v>
      </c>
      <c r="T18" s="16">
        <f t="shared" si="9"/>
        <v>1.7441806231410655</v>
      </c>
      <c r="V18" s="18">
        <f t="shared" si="4"/>
        <v>100.77200326814481</v>
      </c>
      <c r="W18" s="18">
        <f t="shared" si="10"/>
        <v>100.77975640509077</v>
      </c>
      <c r="Y18" s="19">
        <f t="shared" si="5"/>
        <v>1.7857266360929696E-4</v>
      </c>
      <c r="Z18" s="19">
        <f t="shared" si="5"/>
        <v>1.0163821300123182E-4</v>
      </c>
      <c r="AC18" s="20">
        <f t="shared" si="6"/>
        <v>-1.7305529159738936E-4</v>
      </c>
      <c r="AD18" s="20">
        <f t="shared" si="6"/>
        <v>3.9694353999424981E-4</v>
      </c>
      <c r="AE18" s="20"/>
    </row>
    <row r="19" spans="1:55" x14ac:dyDescent="0.3">
      <c r="A19" s="1">
        <v>46050</v>
      </c>
      <c r="B19" s="11">
        <v>57.82</v>
      </c>
      <c r="C19" s="11">
        <v>100.86</v>
      </c>
      <c r="D19" s="12">
        <v>1.74437910757523</v>
      </c>
      <c r="E19" s="12">
        <v>1.74406374641995</v>
      </c>
      <c r="F19" s="12">
        <v>1.7441592848935701</v>
      </c>
      <c r="H19" s="11">
        <v>100.84176581800099</v>
      </c>
      <c r="I19" s="11">
        <v>100.848523630016</v>
      </c>
      <c r="K19" s="13">
        <v>1.8080339529087701E-4</v>
      </c>
      <c r="L19" s="13">
        <v>1.13791621587974E-4</v>
      </c>
      <c r="N19" s="14">
        <v>0</v>
      </c>
      <c r="O19" s="15">
        <v>0</v>
      </c>
      <c r="P19" s="25">
        <f t="shared" si="7"/>
        <v>57.82</v>
      </c>
      <c r="Q19" s="25">
        <f t="shared" si="8"/>
        <v>100.86</v>
      </c>
      <c r="R19" s="16">
        <f t="shared" si="2"/>
        <v>1.7443791075752335</v>
      </c>
      <c r="S19" s="16">
        <f t="shared" si="3"/>
        <v>1.7440637464199518</v>
      </c>
      <c r="T19" s="16">
        <f t="shared" si="9"/>
        <v>1.7441592848935705</v>
      </c>
      <c r="V19" s="18">
        <f t="shared" si="4"/>
        <v>100.8417658180016</v>
      </c>
      <c r="W19" s="18">
        <f t="shared" si="10"/>
        <v>100.8485236300164</v>
      </c>
      <c r="Y19" s="19">
        <f t="shared" si="5"/>
        <v>1.8080339529132194E-4</v>
      </c>
      <c r="Z19" s="19">
        <f t="shared" si="5"/>
        <v>1.1379162158797492E-4</v>
      </c>
      <c r="AC19" s="20">
        <f t="shared" si="6"/>
        <v>6.920415501107148E-4</v>
      </c>
      <c r="AD19" s="20">
        <f t="shared" si="6"/>
        <v>6.9427228179256585E-4</v>
      </c>
      <c r="AE19" s="20"/>
    </row>
    <row r="20" spans="1:55" x14ac:dyDescent="0.3">
      <c r="A20" s="1">
        <v>46051</v>
      </c>
      <c r="B20" s="11">
        <v>57.83</v>
      </c>
      <c r="C20" s="11">
        <v>100.85</v>
      </c>
      <c r="D20" s="12">
        <v>1.7439045478125501</v>
      </c>
      <c r="E20" s="12">
        <v>1.74406374641995</v>
      </c>
      <c r="F20" s="12">
        <v>1.74403824045296</v>
      </c>
      <c r="H20" s="11">
        <v>100.859206455465</v>
      </c>
      <c r="I20" s="11">
        <v>100.86473144539499</v>
      </c>
      <c r="K20" s="13">
        <v>-9.1284434994464903E-5</v>
      </c>
      <c r="L20" s="13">
        <v>-1.4606216725781399E-4</v>
      </c>
      <c r="N20" s="14">
        <v>0</v>
      </c>
      <c r="O20" s="15">
        <v>0</v>
      </c>
      <c r="P20" s="25">
        <f t="shared" si="7"/>
        <v>57.83</v>
      </c>
      <c r="Q20" s="25">
        <f t="shared" si="8"/>
        <v>100.85</v>
      </c>
      <c r="R20" s="16">
        <f t="shared" si="2"/>
        <v>1.7439045478125539</v>
      </c>
      <c r="S20" s="16">
        <f t="shared" si="3"/>
        <v>1.7440637464199518</v>
      </c>
      <c r="T20" s="16">
        <f t="shared" si="9"/>
        <v>1.7440382404529688</v>
      </c>
      <c r="V20" s="18">
        <f t="shared" si="4"/>
        <v>100.85920645546581</v>
      </c>
      <c r="W20" s="18">
        <f t="shared" si="10"/>
        <v>100.86473144539518</v>
      </c>
      <c r="Y20" s="19">
        <f t="shared" si="5"/>
        <v>-9.1284434994242912E-5</v>
      </c>
      <c r="Z20" s="19">
        <f t="shared" si="5"/>
        <v>-1.4606216725781494E-4</v>
      </c>
      <c r="AC20" s="20">
        <f t="shared" si="6"/>
        <v>1.7293558192674647E-4</v>
      </c>
      <c r="AD20" s="20">
        <f t="shared" si="6"/>
        <v>-9.9152248358528447E-5</v>
      </c>
      <c r="AE20" s="20"/>
    </row>
    <row r="21" spans="1:55" x14ac:dyDescent="0.3">
      <c r="A21" s="1">
        <v>46052</v>
      </c>
      <c r="B21" s="11">
        <v>57.9</v>
      </c>
      <c r="C21" s="11">
        <v>100.96</v>
      </c>
      <c r="D21" s="12">
        <v>1.74369602763385</v>
      </c>
      <c r="E21" s="12">
        <v>1.74406374641995</v>
      </c>
      <c r="F21" s="12">
        <v>1.7440342472253301</v>
      </c>
      <c r="G21" s="12">
        <v>1.7441539175610099</v>
      </c>
      <c r="H21" s="11">
        <v>100.981290917715</v>
      </c>
      <c r="I21" s="11">
        <v>100.979814122226</v>
      </c>
      <c r="K21" s="13">
        <v>-2.1086245113489799E-4</v>
      </c>
      <c r="L21" s="13">
        <v>-1.96237897678682E-4</v>
      </c>
      <c r="N21" s="14">
        <v>0</v>
      </c>
      <c r="O21" s="15">
        <v>0</v>
      </c>
      <c r="P21" s="25">
        <f t="shared" si="7"/>
        <v>57.9</v>
      </c>
      <c r="Q21" s="25">
        <f t="shared" si="8"/>
        <v>100.96</v>
      </c>
      <c r="R21" s="16">
        <f t="shared" si="2"/>
        <v>1.7436960276338513</v>
      </c>
      <c r="S21" s="16">
        <f t="shared" si="3"/>
        <v>1.7440637464199518</v>
      </c>
      <c r="T21" s="16">
        <f t="shared" si="9"/>
        <v>1.7440342472253394</v>
      </c>
      <c r="U21" s="16">
        <f>AVERAGE(R2:R21)</f>
        <v>1.7441539175610168</v>
      </c>
      <c r="V21" s="18">
        <f t="shared" si="4"/>
        <v>100.9812909177152</v>
      </c>
      <c r="W21" s="18">
        <f t="shared" si="10"/>
        <v>100.9798141222269</v>
      </c>
      <c r="Y21" s="19">
        <f t="shared" si="5"/>
        <v>-2.1086245113456514E-4</v>
      </c>
      <c r="Z21" s="19">
        <f t="shared" si="5"/>
        <v>-1.9623789767868257E-4</v>
      </c>
      <c r="AC21" s="20">
        <f t="shared" si="6"/>
        <v>1.2097124088227282E-3</v>
      </c>
      <c r="AD21" s="20">
        <f t="shared" si="6"/>
        <v>1.0901343926823356E-3</v>
      </c>
      <c r="AE21" s="20"/>
      <c r="AK21" s="23">
        <v>0</v>
      </c>
      <c r="AV21" s="23">
        <v>0</v>
      </c>
    </row>
    <row r="22" spans="1:55" x14ac:dyDescent="0.3">
      <c r="A22" s="1">
        <v>46055</v>
      </c>
      <c r="B22" s="11">
        <v>57.75</v>
      </c>
      <c r="C22" s="11">
        <v>100.75</v>
      </c>
      <c r="D22" s="12">
        <v>1.74458874458874</v>
      </c>
      <c r="E22" s="12">
        <v>1.74406374641995</v>
      </c>
      <c r="F22" s="12">
        <v>1.7440765270428999</v>
      </c>
      <c r="G22" s="12">
        <v>1.7441659634861</v>
      </c>
      <c r="H22" s="11">
        <v>100.719681355752</v>
      </c>
      <c r="I22" s="11">
        <v>100.717977777263</v>
      </c>
      <c r="J22" s="11">
        <v>100.724888739148</v>
      </c>
      <c r="K22" s="13">
        <v>3.0097475980104502E-4</v>
      </c>
      <c r="L22" s="13">
        <v>3.1788896041531802E-4</v>
      </c>
      <c r="M22" s="13">
        <v>2.4927435015298198E-4</v>
      </c>
      <c r="N22" s="24">
        <v>0</v>
      </c>
      <c r="O22" s="15">
        <v>0</v>
      </c>
      <c r="P22" s="25">
        <f>B22+N22</f>
        <v>57.75</v>
      </c>
      <c r="Q22" s="25">
        <f>C22+O22</f>
        <v>100.75</v>
      </c>
      <c r="R22" s="16">
        <f t="shared" si="2"/>
        <v>1.7445887445887447</v>
      </c>
      <c r="S22" s="16">
        <f t="shared" si="3"/>
        <v>1.7440637464199518</v>
      </c>
      <c r="T22" s="16">
        <f t="shared" si="9"/>
        <v>1.7440765270429004</v>
      </c>
      <c r="U22" s="16">
        <f t="shared" ref="U22:U85" si="11">AVERAGE(R3:R22)</f>
        <v>1.7441659634861062</v>
      </c>
      <c r="V22" s="18">
        <f t="shared" si="4"/>
        <v>100.71968135575221</v>
      </c>
      <c r="W22" s="18">
        <f t="shared" si="10"/>
        <v>100.71797777726336</v>
      </c>
      <c r="X22" s="18">
        <f>U21*P22</f>
        <v>100.72488873914872</v>
      </c>
      <c r="Y22" s="19">
        <f t="shared" si="5"/>
        <v>3.0097475980148992E-4</v>
      </c>
      <c r="Z22" s="19">
        <f t="shared" si="5"/>
        <v>3.1788896041531802E-4</v>
      </c>
      <c r="AA22" s="19">
        <f t="shared" si="5"/>
        <v>2.4927435015298285E-4</v>
      </c>
      <c r="AC22" s="20">
        <f t="shared" si="6"/>
        <v>-2.5940351770466466E-3</v>
      </c>
      <c r="AD22" s="20">
        <f t="shared" si="6"/>
        <v>-2.0821979661106043E-3</v>
      </c>
      <c r="AE22" s="20"/>
      <c r="AF22" s="20"/>
      <c r="AH22">
        <f>IF($AA22&lt;AG$1,1,0)</f>
        <v>0</v>
      </c>
      <c r="AI22">
        <f>IF($AA22&gt;AG$2,1,0)</f>
        <v>1</v>
      </c>
      <c r="AJ22">
        <f>AK21</f>
        <v>0</v>
      </c>
      <c r="AK22">
        <f t="shared" ref="AK22:AK85" si="12">IF(AH21,1,IF(AI21,0,AJ21))</f>
        <v>0</v>
      </c>
      <c r="AL22" s="20">
        <f>-AK22*$AC22</f>
        <v>0</v>
      </c>
      <c r="AM22" s="20">
        <f>AK22*$AD22</f>
        <v>0</v>
      </c>
      <c r="AN22" s="20">
        <f>AL22+AM22</f>
        <v>0</v>
      </c>
      <c r="AO22" s="21">
        <f>AO21+AN22</f>
        <v>0</v>
      </c>
      <c r="AQ22" s="20"/>
      <c r="AS22">
        <f>IF($AA22&gt;AR$1,1,0)</f>
        <v>0</v>
      </c>
      <c r="AT22">
        <f>IF($AA22&lt;AR$2,1,0)</f>
        <v>0</v>
      </c>
      <c r="AU22">
        <f>AV21</f>
        <v>0</v>
      </c>
      <c r="AV22">
        <f>IF(AS21,1,IF(AT21,0,AU21))</f>
        <v>0</v>
      </c>
      <c r="AW22" s="20">
        <f>AV22*$AC22</f>
        <v>0</v>
      </c>
      <c r="AX22" s="20">
        <f>-AV22*$AD22</f>
        <v>0</v>
      </c>
      <c r="AY22" s="20">
        <f>AW22+AX22</f>
        <v>0</v>
      </c>
      <c r="AZ22" s="21">
        <f>AZ21+AY22</f>
        <v>0</v>
      </c>
      <c r="BB22" s="21">
        <f>AN22+AY22</f>
        <v>0</v>
      </c>
      <c r="BC22" s="21">
        <f>BC21+BB22</f>
        <v>0</v>
      </c>
    </row>
    <row r="23" spans="1:55" x14ac:dyDescent="0.3">
      <c r="A23" s="1">
        <v>46056</v>
      </c>
      <c r="B23" s="11">
        <v>57.79</v>
      </c>
      <c r="C23" s="11">
        <v>100.81</v>
      </c>
      <c r="D23" s="12">
        <v>1.74441944973178</v>
      </c>
      <c r="E23" s="12">
        <v>1.74406374641995</v>
      </c>
      <c r="F23" s="12">
        <v>1.7438483331271899</v>
      </c>
      <c r="G23" s="12">
        <v>1.7441649067857601</v>
      </c>
      <c r="H23" s="11">
        <v>100.78944390560901</v>
      </c>
      <c r="I23" s="11">
        <v>100.790182497809</v>
      </c>
      <c r="J23" s="11">
        <v>100.795351029862</v>
      </c>
      <c r="K23" s="13">
        <v>2.0393007107542599E-4</v>
      </c>
      <c r="L23" s="13">
        <v>1.96602026933619E-4</v>
      </c>
      <c r="M23" s="13">
        <v>1.4532322767095101E-4</v>
      </c>
      <c r="N23" s="24">
        <v>0</v>
      </c>
      <c r="O23" s="15">
        <v>0</v>
      </c>
      <c r="P23" s="25">
        <f t="shared" ref="P23:Q86" si="13">B23+N23</f>
        <v>57.79</v>
      </c>
      <c r="Q23" s="25">
        <f t="shared" si="13"/>
        <v>100.81</v>
      </c>
      <c r="R23" s="16">
        <f t="shared" si="2"/>
        <v>1.7444194497317875</v>
      </c>
      <c r="S23" s="16">
        <f t="shared" si="3"/>
        <v>1.7440637464199518</v>
      </c>
      <c r="T23" s="16">
        <f t="shared" si="9"/>
        <v>1.7438483331271903</v>
      </c>
      <c r="U23" s="16">
        <f t="shared" si="11"/>
        <v>1.7441649067857601</v>
      </c>
      <c r="V23" s="18">
        <f t="shared" si="4"/>
        <v>100.78944390560901</v>
      </c>
      <c r="W23" s="18">
        <f t="shared" si="10"/>
        <v>100.79018249780921</v>
      </c>
      <c r="X23" s="18">
        <f t="shared" ref="X23:X86" si="14">U22*P23</f>
        <v>100.79535102986208</v>
      </c>
      <c r="Y23" s="19">
        <f t="shared" si="5"/>
        <v>2.0393007107564871E-4</v>
      </c>
      <c r="Z23" s="19">
        <f t="shared" si="5"/>
        <v>1.9660202693361957E-4</v>
      </c>
      <c r="AA23" s="19">
        <f t="shared" si="5"/>
        <v>1.4532322767095191E-4</v>
      </c>
      <c r="AC23" s="20">
        <f t="shared" si="6"/>
        <v>6.9240092778362588E-4</v>
      </c>
      <c r="AD23" s="20">
        <f t="shared" si="6"/>
        <v>5.9535623905778952E-4</v>
      </c>
      <c r="AE23" s="20"/>
      <c r="AF23" s="20"/>
      <c r="AH23">
        <f t="shared" ref="AH23:AH86" si="15">IF(AA23&lt;AG$1,1,0)</f>
        <v>0</v>
      </c>
      <c r="AI23">
        <f t="shared" ref="AI23:AI86" si="16">IF($AA23&gt;AG$2,1,0)</f>
        <v>1</v>
      </c>
      <c r="AJ23">
        <f t="shared" ref="AJ23:AJ86" si="17">AK23</f>
        <v>0</v>
      </c>
      <c r="AK23">
        <f t="shared" si="12"/>
        <v>0</v>
      </c>
      <c r="AL23" s="20">
        <f t="shared" ref="AL23:AL86" si="18">-AK23*$AC23</f>
        <v>0</v>
      </c>
      <c r="AM23" s="20">
        <f t="shared" ref="AM23:AM86" si="19">AK23*$AD23</f>
        <v>0</v>
      </c>
      <c r="AN23" s="20">
        <f t="shared" ref="AN23:AN86" si="20">AL23+AM23</f>
        <v>0</v>
      </c>
      <c r="AO23" s="21">
        <f t="shared" ref="AO23:AO86" si="21">AO22+AN23</f>
        <v>0</v>
      </c>
      <c r="AQ23" s="20"/>
      <c r="AS23">
        <f t="shared" ref="AS23:AS86" si="22">IF($AA23&gt;AR$1,1,0)</f>
        <v>0</v>
      </c>
      <c r="AT23">
        <f t="shared" ref="AT23:AT86" si="23">IF($AA23&lt;AR$2,1,0)</f>
        <v>0</v>
      </c>
      <c r="AU23">
        <f t="shared" ref="AU23:AU86" si="24">AV22</f>
        <v>0</v>
      </c>
      <c r="AV23">
        <f t="shared" ref="AV23:AV86" si="25">IF(AS22,1,IF(AT22,0,AU22))</f>
        <v>0</v>
      </c>
      <c r="AW23" s="20">
        <f t="shared" ref="AW23:AW86" si="26">AV23*$AC23</f>
        <v>0</v>
      </c>
      <c r="AX23" s="20">
        <f t="shared" ref="AX23:AX86" si="27">-AV23*$AD23</f>
        <v>0</v>
      </c>
      <c r="AY23" s="20">
        <f t="shared" ref="AY23:AY86" si="28">AW23+AX23</f>
        <v>0</v>
      </c>
      <c r="AZ23" s="21">
        <f t="shared" ref="AZ23:AZ86" si="29">AZ22+AY23</f>
        <v>0</v>
      </c>
      <c r="BB23" s="21">
        <f t="shared" ref="BB23:BB86" si="30">AN23+AY23</f>
        <v>0</v>
      </c>
      <c r="BC23" s="21">
        <f t="shared" ref="BC23:BC86" si="31">BC22+BB23</f>
        <v>0</v>
      </c>
    </row>
    <row r="24" spans="1:55" x14ac:dyDescent="0.3">
      <c r="A24" s="1">
        <v>46057</v>
      </c>
      <c r="B24" s="11">
        <v>57.83</v>
      </c>
      <c r="C24" s="11">
        <v>100.9</v>
      </c>
      <c r="D24" s="12">
        <v>1.7447691509597001</v>
      </c>
      <c r="E24" s="12">
        <v>1.74406374641995</v>
      </c>
      <c r="F24" s="12">
        <v>1.7439831429599999</v>
      </c>
      <c r="G24" s="12">
        <v>1.7442114170931999</v>
      </c>
      <c r="H24" s="11">
        <v>100.859206455465</v>
      </c>
      <c r="I24" s="11">
        <v>100.846749104745</v>
      </c>
      <c r="J24" s="11">
        <v>100.86505655942</v>
      </c>
      <c r="K24" s="13">
        <v>4.0437852434815002E-4</v>
      </c>
      <c r="L24" s="13">
        <v>5.2789843432465605E-4</v>
      </c>
      <c r="M24" s="13">
        <v>3.46377529635061E-4</v>
      </c>
      <c r="N24" s="24">
        <v>0</v>
      </c>
      <c r="O24" s="15">
        <v>0</v>
      </c>
      <c r="P24" s="25">
        <f t="shared" si="13"/>
        <v>57.83</v>
      </c>
      <c r="Q24" s="25">
        <f t="shared" si="13"/>
        <v>100.9</v>
      </c>
      <c r="R24" s="16">
        <f t="shared" si="2"/>
        <v>1.7447691509597096</v>
      </c>
      <c r="S24" s="16">
        <f t="shared" si="3"/>
        <v>1.7440637464199518</v>
      </c>
      <c r="T24" s="16">
        <f t="shared" si="9"/>
        <v>1.7439831429600035</v>
      </c>
      <c r="U24" s="16">
        <f t="shared" si="11"/>
        <v>1.7442114170932044</v>
      </c>
      <c r="V24" s="18">
        <f t="shared" si="4"/>
        <v>100.85920645546581</v>
      </c>
      <c r="W24" s="18">
        <f t="shared" si="10"/>
        <v>100.84674910474541</v>
      </c>
      <c r="X24" s="18">
        <f t="shared" si="14"/>
        <v>100.86505655942051</v>
      </c>
      <c r="Y24" s="19">
        <f t="shared" si="5"/>
        <v>4.0437852434837244E-4</v>
      </c>
      <c r="Z24" s="19">
        <f t="shared" si="5"/>
        <v>5.2789843432465681E-4</v>
      </c>
      <c r="AA24" s="19">
        <f t="shared" si="5"/>
        <v>3.463775296350617E-4</v>
      </c>
      <c r="AC24" s="20">
        <f t="shared" si="6"/>
        <v>6.9192184044017E-4</v>
      </c>
      <c r="AD24" s="20">
        <f t="shared" si="6"/>
        <v>8.9237029371305287E-4</v>
      </c>
      <c r="AE24" s="20"/>
      <c r="AF24" s="20"/>
      <c r="AH24">
        <f t="shared" si="15"/>
        <v>0</v>
      </c>
      <c r="AI24">
        <f t="shared" si="16"/>
        <v>1</v>
      </c>
      <c r="AJ24">
        <f t="shared" si="17"/>
        <v>0</v>
      </c>
      <c r="AK24">
        <f t="shared" si="12"/>
        <v>0</v>
      </c>
      <c r="AL24" s="20">
        <f t="shared" si="18"/>
        <v>0</v>
      </c>
      <c r="AM24" s="20">
        <f t="shared" si="19"/>
        <v>0</v>
      </c>
      <c r="AN24" s="20">
        <f t="shared" si="20"/>
        <v>0</v>
      </c>
      <c r="AO24" s="21">
        <f t="shared" si="21"/>
        <v>0</v>
      </c>
      <c r="AQ24" s="20"/>
      <c r="AS24">
        <f t="shared" si="22"/>
        <v>0</v>
      </c>
      <c r="AT24">
        <f t="shared" si="23"/>
        <v>0</v>
      </c>
      <c r="AU24">
        <f t="shared" si="24"/>
        <v>0</v>
      </c>
      <c r="AV24">
        <f t="shared" si="25"/>
        <v>0</v>
      </c>
      <c r="AW24" s="20">
        <f t="shared" si="26"/>
        <v>0</v>
      </c>
      <c r="AX24" s="20">
        <f t="shared" si="27"/>
        <v>0</v>
      </c>
      <c r="AY24" s="20">
        <f t="shared" si="28"/>
        <v>0</v>
      </c>
      <c r="AZ24" s="21">
        <f t="shared" si="29"/>
        <v>0</v>
      </c>
      <c r="BB24" s="21">
        <f t="shared" si="30"/>
        <v>0</v>
      </c>
      <c r="BC24" s="21">
        <f t="shared" si="31"/>
        <v>0</v>
      </c>
    </row>
    <row r="25" spans="1:55" x14ac:dyDescent="0.3">
      <c r="A25" s="1">
        <v>46058</v>
      </c>
      <c r="B25" s="11">
        <v>57.92</v>
      </c>
      <c r="C25" s="11">
        <v>101.04</v>
      </c>
      <c r="D25" s="12">
        <v>1.74447513812154</v>
      </c>
      <c r="E25" s="12">
        <v>1.74406374641995</v>
      </c>
      <c r="F25" s="12">
        <v>1.7441320769314901</v>
      </c>
      <c r="G25" s="12">
        <v>1.7442210367851401</v>
      </c>
      <c r="H25" s="11">
        <v>101.016172192643</v>
      </c>
      <c r="I25" s="11">
        <v>101.01150364024301</v>
      </c>
      <c r="J25" s="11">
        <v>101.02472527803801</v>
      </c>
      <c r="K25" s="13">
        <v>2.35853299686495E-4</v>
      </c>
      <c r="L25" s="13">
        <v>2.82070258643332E-4</v>
      </c>
      <c r="M25" s="13">
        <v>1.51186427712227E-4</v>
      </c>
      <c r="N25" s="24">
        <v>0</v>
      </c>
      <c r="O25" s="15">
        <v>0</v>
      </c>
      <c r="P25" s="25">
        <f t="shared" si="13"/>
        <v>57.92</v>
      </c>
      <c r="Q25" s="25">
        <f t="shared" si="13"/>
        <v>101.04</v>
      </c>
      <c r="R25" s="16">
        <f t="shared" si="2"/>
        <v>1.7444751381215471</v>
      </c>
      <c r="S25" s="16">
        <f t="shared" si="3"/>
        <v>1.7440637464199518</v>
      </c>
      <c r="T25" s="16">
        <f t="shared" si="9"/>
        <v>1.7441320769314932</v>
      </c>
      <c r="U25" s="16">
        <f t="shared" si="11"/>
        <v>1.7442210367851445</v>
      </c>
      <c r="V25" s="18">
        <f t="shared" si="4"/>
        <v>101.01617219264361</v>
      </c>
      <c r="W25" s="18">
        <f t="shared" si="10"/>
        <v>101.0115036402434</v>
      </c>
      <c r="X25" s="18">
        <f t="shared" si="14"/>
        <v>101.0247252780384</v>
      </c>
      <c r="Y25" s="19">
        <f t="shared" si="5"/>
        <v>2.3585329968671713E-4</v>
      </c>
      <c r="Z25" s="19">
        <f t="shared" si="5"/>
        <v>2.8207025864333233E-4</v>
      </c>
      <c r="AA25" s="19">
        <f t="shared" si="5"/>
        <v>1.5118642771200537E-4</v>
      </c>
      <c r="AC25" s="20">
        <f t="shared" si="6"/>
        <v>1.55507590733408E-3</v>
      </c>
      <c r="AD25" s="20">
        <f t="shared" si="6"/>
        <v>1.3865506826723592E-3</v>
      </c>
      <c r="AE25" s="20"/>
      <c r="AF25" s="20"/>
      <c r="AH25">
        <f t="shared" si="15"/>
        <v>0</v>
      </c>
      <c r="AI25">
        <f t="shared" si="16"/>
        <v>1</v>
      </c>
      <c r="AJ25">
        <f t="shared" si="17"/>
        <v>0</v>
      </c>
      <c r="AK25">
        <f t="shared" si="12"/>
        <v>0</v>
      </c>
      <c r="AL25" s="20">
        <f t="shared" si="18"/>
        <v>0</v>
      </c>
      <c r="AM25" s="20">
        <f t="shared" si="19"/>
        <v>0</v>
      </c>
      <c r="AN25" s="20">
        <f t="shared" si="20"/>
        <v>0</v>
      </c>
      <c r="AO25" s="21">
        <f t="shared" si="21"/>
        <v>0</v>
      </c>
      <c r="AQ25" s="20"/>
      <c r="AS25">
        <f t="shared" si="22"/>
        <v>0</v>
      </c>
      <c r="AT25">
        <f t="shared" si="23"/>
        <v>0</v>
      </c>
      <c r="AU25">
        <f t="shared" si="24"/>
        <v>0</v>
      </c>
      <c r="AV25">
        <f t="shared" si="25"/>
        <v>0</v>
      </c>
      <c r="AW25" s="20">
        <f t="shared" si="26"/>
        <v>0</v>
      </c>
      <c r="AX25" s="20">
        <f t="shared" si="27"/>
        <v>0</v>
      </c>
      <c r="AY25" s="20">
        <f t="shared" si="28"/>
        <v>0</v>
      </c>
      <c r="AZ25" s="21">
        <f t="shared" si="29"/>
        <v>0</v>
      </c>
      <c r="BB25" s="21">
        <f t="shared" si="30"/>
        <v>0</v>
      </c>
      <c r="BC25" s="21">
        <f t="shared" si="31"/>
        <v>0</v>
      </c>
    </row>
    <row r="26" spans="1:55" x14ac:dyDescent="0.3">
      <c r="A26" s="1">
        <v>46059</v>
      </c>
      <c r="B26" s="11">
        <v>57.93</v>
      </c>
      <c r="C26" s="11">
        <v>101.03</v>
      </c>
      <c r="D26" s="12">
        <v>1.74400138097704</v>
      </c>
      <c r="E26" s="12">
        <v>1.74406374641995</v>
      </c>
      <c r="F26" s="12">
        <v>1.7441989971559699</v>
      </c>
      <c r="G26" s="12">
        <v>1.7441702824677201</v>
      </c>
      <c r="H26" s="11">
        <v>101.033612830107</v>
      </c>
      <c r="I26" s="11">
        <v>101.037571216641</v>
      </c>
      <c r="J26" s="11">
        <v>101.042724660963</v>
      </c>
      <c r="K26" s="13">
        <v>-3.5759333980162903E-5</v>
      </c>
      <c r="L26" s="13">
        <v>-7.4937473631711803E-5</v>
      </c>
      <c r="M26" s="13">
        <v>-1.25941400568269E-4</v>
      </c>
      <c r="N26" s="24">
        <v>0</v>
      </c>
      <c r="O26" s="15">
        <v>0</v>
      </c>
      <c r="P26" s="25">
        <f t="shared" si="13"/>
        <v>57.93</v>
      </c>
      <c r="Q26" s="25">
        <f t="shared" si="13"/>
        <v>101.03</v>
      </c>
      <c r="R26" s="16">
        <f t="shared" si="2"/>
        <v>1.7440013809770414</v>
      </c>
      <c r="S26" s="16">
        <f t="shared" si="3"/>
        <v>1.7440637464199518</v>
      </c>
      <c r="T26" s="16">
        <f t="shared" si="9"/>
        <v>1.7441989971559724</v>
      </c>
      <c r="U26" s="16">
        <f t="shared" si="11"/>
        <v>1.7441702824677283</v>
      </c>
      <c r="V26" s="18">
        <f t="shared" si="4"/>
        <v>101.0336128301078</v>
      </c>
      <c r="W26" s="18">
        <f t="shared" si="10"/>
        <v>101.0375712166414</v>
      </c>
      <c r="X26" s="18">
        <f t="shared" si="14"/>
        <v>101.04272466096342</v>
      </c>
      <c r="Y26" s="19">
        <f t="shared" si="5"/>
        <v>-3.5759333979829823E-5</v>
      </c>
      <c r="Z26" s="19">
        <f t="shared" si="5"/>
        <v>-7.4937473631711817E-5</v>
      </c>
      <c r="AA26" s="19">
        <f t="shared" si="5"/>
        <v>-1.2594140056838073E-4</v>
      </c>
      <c r="AC26" s="20">
        <f t="shared" si="6"/>
        <v>1.7263703107171042E-4</v>
      </c>
      <c r="AD26" s="20">
        <f t="shared" si="6"/>
        <v>-9.8975602594825377E-5</v>
      </c>
      <c r="AE26" s="20"/>
      <c r="AF26" s="20"/>
      <c r="AH26">
        <f t="shared" si="15"/>
        <v>0</v>
      </c>
      <c r="AI26">
        <f t="shared" si="16"/>
        <v>0</v>
      </c>
      <c r="AJ26">
        <f t="shared" si="17"/>
        <v>0</v>
      </c>
      <c r="AK26">
        <f t="shared" si="12"/>
        <v>0</v>
      </c>
      <c r="AL26" s="20">
        <f t="shared" si="18"/>
        <v>0</v>
      </c>
      <c r="AM26" s="20">
        <f t="shared" si="19"/>
        <v>0</v>
      </c>
      <c r="AN26" s="20">
        <f t="shared" si="20"/>
        <v>0</v>
      </c>
      <c r="AO26" s="21">
        <f t="shared" si="21"/>
        <v>0</v>
      </c>
      <c r="AQ26" s="20"/>
      <c r="AS26">
        <f t="shared" si="22"/>
        <v>0</v>
      </c>
      <c r="AT26">
        <f t="shared" si="23"/>
        <v>1</v>
      </c>
      <c r="AU26">
        <f t="shared" si="24"/>
        <v>0</v>
      </c>
      <c r="AV26">
        <f t="shared" si="25"/>
        <v>0</v>
      </c>
      <c r="AW26" s="20">
        <f t="shared" si="26"/>
        <v>0</v>
      </c>
      <c r="AX26" s="20">
        <f t="shared" si="27"/>
        <v>0</v>
      </c>
      <c r="AY26" s="20">
        <f t="shared" si="28"/>
        <v>0</v>
      </c>
      <c r="AZ26" s="21">
        <f t="shared" si="29"/>
        <v>0</v>
      </c>
      <c r="BB26" s="21">
        <f t="shared" si="30"/>
        <v>0</v>
      </c>
      <c r="BC26" s="21">
        <f t="shared" si="31"/>
        <v>0</v>
      </c>
    </row>
    <row r="27" spans="1:55" x14ac:dyDescent="0.3">
      <c r="A27" s="1">
        <v>46062</v>
      </c>
      <c r="B27" s="11">
        <v>57.96</v>
      </c>
      <c r="C27" s="11">
        <v>101.09</v>
      </c>
      <c r="D27" s="12">
        <v>1.74413388543823</v>
      </c>
      <c r="E27" s="12">
        <v>1.74406374641995</v>
      </c>
      <c r="F27" s="12">
        <v>1.7442742649176499</v>
      </c>
      <c r="G27" s="12">
        <v>1.7442360975426801</v>
      </c>
      <c r="H27" s="11">
        <v>101.0859347425</v>
      </c>
      <c r="I27" s="11">
        <v>101.09377387516</v>
      </c>
      <c r="J27" s="11">
        <v>101.092109571829</v>
      </c>
      <c r="K27" s="13">
        <v>4.0215048396389998E-5</v>
      </c>
      <c r="L27" s="13">
        <v>-3.73311377888885E-5</v>
      </c>
      <c r="M27" s="13">
        <v>-2.0868036584207801E-5</v>
      </c>
      <c r="N27" s="24">
        <v>0</v>
      </c>
      <c r="O27" s="15">
        <v>0</v>
      </c>
      <c r="P27" s="25">
        <f t="shared" si="13"/>
        <v>57.96</v>
      </c>
      <c r="Q27" s="25">
        <f t="shared" si="13"/>
        <v>101.09</v>
      </c>
      <c r="R27" s="16">
        <f t="shared" si="2"/>
        <v>1.7441338854382333</v>
      </c>
      <c r="S27" s="16">
        <f t="shared" si="3"/>
        <v>1.7440637464199518</v>
      </c>
      <c r="T27" s="16">
        <f t="shared" si="9"/>
        <v>1.7442742649176537</v>
      </c>
      <c r="U27" s="16">
        <f t="shared" si="11"/>
        <v>1.7442360975426858</v>
      </c>
      <c r="V27" s="18">
        <f t="shared" si="4"/>
        <v>101.0859347425004</v>
      </c>
      <c r="W27" s="18">
        <f t="shared" si="10"/>
        <v>101.09377387516017</v>
      </c>
      <c r="X27" s="18">
        <f t="shared" si="14"/>
        <v>101.09210957182954</v>
      </c>
      <c r="Y27" s="19">
        <f t="shared" si="5"/>
        <v>4.0215048396612117E-5</v>
      </c>
      <c r="Z27" s="19">
        <f t="shared" si="5"/>
        <v>-3.7331137788888506E-5</v>
      </c>
      <c r="AA27" s="19">
        <f t="shared" si="5"/>
        <v>-2.0868036584207818E-5</v>
      </c>
      <c r="AC27" s="20">
        <f t="shared" si="6"/>
        <v>5.1773234394885033E-4</v>
      </c>
      <c r="AD27" s="20">
        <f t="shared" si="6"/>
        <v>5.9370672632536449E-4</v>
      </c>
      <c r="AE27" s="20"/>
      <c r="AF27" s="20"/>
      <c r="AH27">
        <f t="shared" si="15"/>
        <v>0</v>
      </c>
      <c r="AI27">
        <f t="shared" si="16"/>
        <v>0</v>
      </c>
      <c r="AJ27">
        <f t="shared" si="17"/>
        <v>0</v>
      </c>
      <c r="AK27">
        <f t="shared" si="12"/>
        <v>0</v>
      </c>
      <c r="AL27" s="20">
        <f t="shared" si="18"/>
        <v>0</v>
      </c>
      <c r="AM27" s="20">
        <f t="shared" si="19"/>
        <v>0</v>
      </c>
      <c r="AN27" s="20">
        <f t="shared" si="20"/>
        <v>0</v>
      </c>
      <c r="AO27" s="21">
        <f t="shared" si="21"/>
        <v>0</v>
      </c>
      <c r="AQ27" s="20"/>
      <c r="AS27">
        <f t="shared" si="22"/>
        <v>0</v>
      </c>
      <c r="AT27">
        <f t="shared" si="23"/>
        <v>1</v>
      </c>
      <c r="AU27">
        <f t="shared" si="24"/>
        <v>0</v>
      </c>
      <c r="AV27">
        <f t="shared" si="25"/>
        <v>0</v>
      </c>
      <c r="AW27" s="20">
        <f t="shared" si="26"/>
        <v>0</v>
      </c>
      <c r="AX27" s="20">
        <f t="shared" si="27"/>
        <v>0</v>
      </c>
      <c r="AY27" s="20">
        <f t="shared" si="28"/>
        <v>0</v>
      </c>
      <c r="AZ27" s="21">
        <f t="shared" si="29"/>
        <v>0</v>
      </c>
      <c r="BB27" s="21">
        <f t="shared" si="30"/>
        <v>0</v>
      </c>
      <c r="BC27" s="21">
        <f t="shared" si="31"/>
        <v>0</v>
      </c>
    </row>
    <row r="28" spans="1:55" x14ac:dyDescent="0.3">
      <c r="A28" s="1">
        <v>46063</v>
      </c>
      <c r="B28" s="11">
        <v>58.05</v>
      </c>
      <c r="C28" s="11">
        <v>101.16</v>
      </c>
      <c r="D28" s="12">
        <v>1.7426356589147201</v>
      </c>
      <c r="E28" s="12">
        <v>1.74406374641995</v>
      </c>
      <c r="F28" s="12">
        <v>1.74410030917534</v>
      </c>
      <c r="G28" s="12">
        <v>1.7441404661582001</v>
      </c>
      <c r="H28" s="11">
        <v>101.242900479678</v>
      </c>
      <c r="I28" s="11">
        <v>101.255121078469</v>
      </c>
      <c r="J28" s="11">
        <v>101.252905462352</v>
      </c>
      <c r="K28" s="13">
        <v>-8.1916300722440904E-4</v>
      </c>
      <c r="L28" s="13">
        <v>-9.3986145862045905E-4</v>
      </c>
      <c r="M28" s="13">
        <v>-9.1797969763732202E-4</v>
      </c>
      <c r="N28" s="24">
        <v>0</v>
      </c>
      <c r="O28" s="15">
        <v>0</v>
      </c>
      <c r="P28" s="25">
        <f t="shared" si="13"/>
        <v>58.05</v>
      </c>
      <c r="Q28" s="25">
        <f t="shared" si="13"/>
        <v>101.16</v>
      </c>
      <c r="R28" s="16">
        <f t="shared" si="2"/>
        <v>1.7426356589147287</v>
      </c>
      <c r="S28" s="16">
        <f t="shared" si="3"/>
        <v>1.7440637464199518</v>
      </c>
      <c r="T28" s="16">
        <f t="shared" si="9"/>
        <v>1.7441003091753431</v>
      </c>
      <c r="U28" s="16">
        <f t="shared" si="11"/>
        <v>1.7441404661582045</v>
      </c>
      <c r="V28" s="18">
        <f t="shared" si="4"/>
        <v>101.2429004796782</v>
      </c>
      <c r="W28" s="18">
        <f t="shared" si="10"/>
        <v>101.2551210784698</v>
      </c>
      <c r="X28" s="18">
        <f t="shared" si="14"/>
        <v>101.25290546235291</v>
      </c>
      <c r="Y28" s="19">
        <f t="shared" si="5"/>
        <v>-8.1916300722418775E-4</v>
      </c>
      <c r="Z28" s="19">
        <f t="shared" si="5"/>
        <v>-9.3986145862045905E-4</v>
      </c>
      <c r="AA28" s="19">
        <f t="shared" si="5"/>
        <v>-9.179796976372111E-4</v>
      </c>
      <c r="AC28" s="20">
        <f t="shared" si="6"/>
        <v>1.55159069141885E-3</v>
      </c>
      <c r="AD28" s="20">
        <f t="shared" si="6"/>
        <v>6.9221263579799573E-4</v>
      </c>
      <c r="AE28" s="20"/>
      <c r="AF28" s="20"/>
      <c r="AH28">
        <f t="shared" si="15"/>
        <v>0</v>
      </c>
      <c r="AI28">
        <f t="shared" si="16"/>
        <v>0</v>
      </c>
      <c r="AJ28">
        <f t="shared" si="17"/>
        <v>0</v>
      </c>
      <c r="AK28">
        <f t="shared" si="12"/>
        <v>0</v>
      </c>
      <c r="AL28" s="20">
        <f t="shared" si="18"/>
        <v>0</v>
      </c>
      <c r="AM28" s="20">
        <f t="shared" si="19"/>
        <v>0</v>
      </c>
      <c r="AN28" s="20">
        <f t="shared" si="20"/>
        <v>0</v>
      </c>
      <c r="AO28" s="21">
        <f t="shared" si="21"/>
        <v>0</v>
      </c>
      <c r="AQ28" s="20"/>
      <c r="AS28">
        <f t="shared" si="22"/>
        <v>0</v>
      </c>
      <c r="AT28">
        <f t="shared" si="23"/>
        <v>1</v>
      </c>
      <c r="AU28">
        <f t="shared" si="24"/>
        <v>0</v>
      </c>
      <c r="AV28">
        <f t="shared" si="25"/>
        <v>0</v>
      </c>
      <c r="AW28" s="20">
        <f t="shared" si="26"/>
        <v>0</v>
      </c>
      <c r="AX28" s="20">
        <f t="shared" si="27"/>
        <v>0</v>
      </c>
      <c r="AY28" s="20">
        <f t="shared" si="28"/>
        <v>0</v>
      </c>
      <c r="AZ28" s="21">
        <f t="shared" si="29"/>
        <v>0</v>
      </c>
      <c r="BB28" s="21">
        <f t="shared" si="30"/>
        <v>0</v>
      </c>
      <c r="BC28" s="21">
        <f t="shared" si="31"/>
        <v>0</v>
      </c>
    </row>
    <row r="29" spans="1:55" x14ac:dyDescent="0.3">
      <c r="A29" s="1">
        <v>46064</v>
      </c>
      <c r="B29" s="11">
        <v>58</v>
      </c>
      <c r="C29" s="11">
        <v>101.11</v>
      </c>
      <c r="D29" s="12">
        <v>1.7432758620689599</v>
      </c>
      <c r="E29" s="12">
        <v>1.74406374641995</v>
      </c>
      <c r="F29" s="12">
        <v>1.74398998462471</v>
      </c>
      <c r="G29" s="12">
        <v>1.74407463475914</v>
      </c>
      <c r="H29" s="11">
        <v>101.155697292357</v>
      </c>
      <c r="I29" s="11">
        <v>101.157817932169</v>
      </c>
      <c r="J29" s="11">
        <v>101.16014703717499</v>
      </c>
      <c r="K29" s="13">
        <v>-4.5185410819997401E-4</v>
      </c>
      <c r="L29" s="13">
        <v>-4.7281800485704398E-4</v>
      </c>
      <c r="M29" s="13">
        <v>-4.9584220843103895E-4</v>
      </c>
      <c r="N29" s="24">
        <v>0</v>
      </c>
      <c r="O29" s="15">
        <v>0</v>
      </c>
      <c r="P29" s="25">
        <f t="shared" si="13"/>
        <v>58</v>
      </c>
      <c r="Q29" s="25">
        <f t="shared" si="13"/>
        <v>101.11</v>
      </c>
      <c r="R29" s="16">
        <f t="shared" si="2"/>
        <v>1.7432758620689655</v>
      </c>
      <c r="S29" s="16">
        <f t="shared" si="3"/>
        <v>1.7440637464199518</v>
      </c>
      <c r="T29" s="16">
        <f t="shared" si="9"/>
        <v>1.7439899846247162</v>
      </c>
      <c r="U29" s="16">
        <f t="shared" si="11"/>
        <v>1.7440746347591436</v>
      </c>
      <c r="V29" s="18">
        <f t="shared" si="4"/>
        <v>101.1556972923572</v>
      </c>
      <c r="W29" s="18">
        <f t="shared" si="10"/>
        <v>101.15781793216991</v>
      </c>
      <c r="X29" s="18">
        <f t="shared" si="14"/>
        <v>101.16014703717586</v>
      </c>
      <c r="Y29" s="19">
        <f t="shared" si="5"/>
        <v>-4.5185410819964105E-4</v>
      </c>
      <c r="Z29" s="19">
        <f t="shared" si="5"/>
        <v>-4.7281800485704495E-4</v>
      </c>
      <c r="AA29" s="19">
        <f t="shared" si="5"/>
        <v>-4.9584220843103927E-4</v>
      </c>
      <c r="AC29" s="20">
        <f t="shared" si="6"/>
        <v>-8.6169759748111973E-4</v>
      </c>
      <c r="AD29" s="20">
        <f t="shared" si="6"/>
        <v>-4.9438869845668009E-4</v>
      </c>
      <c r="AE29" s="20"/>
      <c r="AF29" s="20"/>
      <c r="AH29">
        <f t="shared" si="15"/>
        <v>0</v>
      </c>
      <c r="AI29">
        <f t="shared" si="16"/>
        <v>0</v>
      </c>
      <c r="AJ29">
        <f t="shared" si="17"/>
        <v>0</v>
      </c>
      <c r="AK29">
        <f t="shared" si="12"/>
        <v>0</v>
      </c>
      <c r="AL29" s="20">
        <f t="shared" si="18"/>
        <v>0</v>
      </c>
      <c r="AM29" s="20">
        <f t="shared" si="19"/>
        <v>0</v>
      </c>
      <c r="AN29" s="20">
        <f t="shared" si="20"/>
        <v>0</v>
      </c>
      <c r="AO29" s="21">
        <f t="shared" si="21"/>
        <v>0</v>
      </c>
      <c r="AQ29" s="20"/>
      <c r="AS29">
        <f t="shared" si="22"/>
        <v>0</v>
      </c>
      <c r="AT29">
        <f t="shared" si="23"/>
        <v>1</v>
      </c>
      <c r="AU29">
        <f t="shared" si="24"/>
        <v>0</v>
      </c>
      <c r="AV29">
        <f t="shared" si="25"/>
        <v>0</v>
      </c>
      <c r="AW29" s="20">
        <f t="shared" si="26"/>
        <v>0</v>
      </c>
      <c r="AX29" s="20">
        <f t="shared" si="27"/>
        <v>0</v>
      </c>
      <c r="AY29" s="20">
        <f t="shared" si="28"/>
        <v>0</v>
      </c>
      <c r="AZ29" s="21">
        <f t="shared" si="29"/>
        <v>0</v>
      </c>
      <c r="BB29" s="21">
        <f t="shared" si="30"/>
        <v>0</v>
      </c>
      <c r="BC29" s="21">
        <f t="shared" si="31"/>
        <v>0</v>
      </c>
    </row>
    <row r="30" spans="1:55" x14ac:dyDescent="0.3">
      <c r="A30" s="1">
        <v>46065</v>
      </c>
      <c r="B30" s="11">
        <v>58.11</v>
      </c>
      <c r="C30" s="11">
        <v>101.29</v>
      </c>
      <c r="D30" s="12">
        <v>1.74307348132851</v>
      </c>
      <c r="E30" s="12">
        <v>1.74406374641995</v>
      </c>
      <c r="F30" s="12">
        <v>1.7439068779763101</v>
      </c>
      <c r="G30" s="12">
        <v>1.74397255921464</v>
      </c>
      <c r="H30" s="11">
        <v>101.347544304463</v>
      </c>
      <c r="I30" s="11">
        <v>101.343258006542</v>
      </c>
      <c r="J30" s="11">
        <v>101.348177025853</v>
      </c>
      <c r="K30" s="13">
        <v>-5.6795305339672102E-4</v>
      </c>
      <c r="L30" s="13">
        <v>-5.2565909754930396E-4</v>
      </c>
      <c r="M30" s="13">
        <v>-5.7419611946880498E-4</v>
      </c>
      <c r="N30" s="24">
        <v>0</v>
      </c>
      <c r="O30" s="15">
        <v>0</v>
      </c>
      <c r="P30" s="25">
        <f t="shared" si="13"/>
        <v>58.11</v>
      </c>
      <c r="Q30" s="25">
        <f t="shared" si="13"/>
        <v>101.29</v>
      </c>
      <c r="R30" s="16">
        <f t="shared" si="2"/>
        <v>1.7430734813285149</v>
      </c>
      <c r="S30" s="16">
        <f t="shared" si="3"/>
        <v>1.7440637464199518</v>
      </c>
      <c r="T30" s="16">
        <f t="shared" si="9"/>
        <v>1.7439068779763123</v>
      </c>
      <c r="U30" s="16">
        <f t="shared" si="11"/>
        <v>1.7439725592146407</v>
      </c>
      <c r="V30" s="18">
        <f t="shared" si="4"/>
        <v>101.3475443044634</v>
      </c>
      <c r="W30" s="18">
        <f t="shared" si="10"/>
        <v>101.34325800654226</v>
      </c>
      <c r="X30" s="18">
        <f t="shared" si="14"/>
        <v>101.34817702585383</v>
      </c>
      <c r="Y30" s="19">
        <f t="shared" si="5"/>
        <v>-5.6795305339638871E-4</v>
      </c>
      <c r="Z30" s="19">
        <f t="shared" si="5"/>
        <v>-5.2565909754930494E-4</v>
      </c>
      <c r="AA30" s="19">
        <f t="shared" si="5"/>
        <v>-5.741961194688052E-4</v>
      </c>
      <c r="AC30" s="20">
        <f t="shared" si="6"/>
        <v>1.8947555405947622E-3</v>
      </c>
      <c r="AD30" s="20">
        <f t="shared" si="6"/>
        <v>1.7786565953981286E-3</v>
      </c>
      <c r="AE30" s="20"/>
      <c r="AF30" s="20"/>
      <c r="AH30">
        <f t="shared" si="15"/>
        <v>0</v>
      </c>
      <c r="AI30">
        <f t="shared" si="16"/>
        <v>0</v>
      </c>
      <c r="AJ30">
        <f t="shared" si="17"/>
        <v>0</v>
      </c>
      <c r="AK30">
        <f t="shared" si="12"/>
        <v>0</v>
      </c>
      <c r="AL30" s="20">
        <f t="shared" si="18"/>
        <v>0</v>
      </c>
      <c r="AM30" s="20">
        <f t="shared" si="19"/>
        <v>0</v>
      </c>
      <c r="AN30" s="20">
        <f t="shared" si="20"/>
        <v>0</v>
      </c>
      <c r="AO30" s="21">
        <f t="shared" si="21"/>
        <v>0</v>
      </c>
      <c r="AQ30" s="20"/>
      <c r="AS30">
        <f t="shared" si="22"/>
        <v>0</v>
      </c>
      <c r="AT30">
        <f t="shared" si="23"/>
        <v>1</v>
      </c>
      <c r="AU30">
        <f t="shared" si="24"/>
        <v>0</v>
      </c>
      <c r="AV30">
        <f t="shared" si="25"/>
        <v>0</v>
      </c>
      <c r="AW30" s="20">
        <f t="shared" si="26"/>
        <v>0</v>
      </c>
      <c r="AX30" s="20">
        <f t="shared" si="27"/>
        <v>0</v>
      </c>
      <c r="AY30" s="20">
        <f t="shared" si="28"/>
        <v>0</v>
      </c>
      <c r="AZ30" s="21">
        <f t="shared" si="29"/>
        <v>0</v>
      </c>
      <c r="BB30" s="21">
        <f t="shared" si="30"/>
        <v>0</v>
      </c>
      <c r="BC30" s="21">
        <f t="shared" si="31"/>
        <v>0</v>
      </c>
    </row>
    <row r="31" spans="1:55" x14ac:dyDescent="0.3">
      <c r="A31" s="1">
        <v>46066</v>
      </c>
      <c r="B31" s="11">
        <v>58.16</v>
      </c>
      <c r="C31" s="11">
        <v>101.41</v>
      </c>
      <c r="D31" s="12">
        <v>1.74363823933975</v>
      </c>
      <c r="E31" s="12">
        <v>1.74406374641995</v>
      </c>
      <c r="F31" s="12">
        <v>1.7439010991468999</v>
      </c>
      <c r="G31" s="12">
        <v>1.74396767318612</v>
      </c>
      <c r="H31" s="11">
        <v>101.43474749178399</v>
      </c>
      <c r="I31" s="11">
        <v>101.425624023102</v>
      </c>
      <c r="J31" s="11">
        <v>101.429444043923</v>
      </c>
      <c r="K31" s="13">
        <v>-2.44004266447294E-4</v>
      </c>
      <c r="L31" s="13">
        <v>-1.5405600676396999E-4</v>
      </c>
      <c r="M31" s="13">
        <v>-1.9171856908512699E-4</v>
      </c>
      <c r="N31" s="24">
        <v>0</v>
      </c>
      <c r="O31" s="15">
        <v>0</v>
      </c>
      <c r="P31" s="25">
        <f t="shared" si="13"/>
        <v>58.16</v>
      </c>
      <c r="Q31" s="25">
        <f t="shared" si="13"/>
        <v>101.41</v>
      </c>
      <c r="R31" s="16">
        <f t="shared" si="2"/>
        <v>1.7436382393397525</v>
      </c>
      <c r="S31" s="16">
        <f t="shared" si="3"/>
        <v>1.7440637464199518</v>
      </c>
      <c r="T31" s="16">
        <f t="shared" si="9"/>
        <v>1.7439010991469026</v>
      </c>
      <c r="U31" s="16">
        <f t="shared" si="11"/>
        <v>1.7439676731861209</v>
      </c>
      <c r="V31" s="18">
        <f t="shared" si="4"/>
        <v>101.43474749178439</v>
      </c>
      <c r="W31" s="18">
        <f t="shared" si="10"/>
        <v>101.42562402310232</v>
      </c>
      <c r="X31" s="18">
        <f t="shared" si="14"/>
        <v>101.4294440439235</v>
      </c>
      <c r="Y31" s="19">
        <f t="shared" si="5"/>
        <v>-2.4400426644696096E-4</v>
      </c>
      <c r="Z31" s="19">
        <f t="shared" si="5"/>
        <v>-1.540560067637483E-4</v>
      </c>
      <c r="AA31" s="19">
        <f t="shared" si="5"/>
        <v>-1.9171856908512756E-4</v>
      </c>
      <c r="AC31" s="20">
        <f t="shared" si="6"/>
        <v>8.600671382496363E-4</v>
      </c>
      <c r="AD31" s="20">
        <f t="shared" si="6"/>
        <v>1.1840159251991066E-3</v>
      </c>
      <c r="AE31" s="20"/>
      <c r="AF31" s="20"/>
      <c r="AH31">
        <f t="shared" si="15"/>
        <v>0</v>
      </c>
      <c r="AI31">
        <f t="shared" si="16"/>
        <v>0</v>
      </c>
      <c r="AJ31">
        <f t="shared" si="17"/>
        <v>0</v>
      </c>
      <c r="AK31">
        <f t="shared" si="12"/>
        <v>0</v>
      </c>
      <c r="AL31" s="20">
        <f t="shared" si="18"/>
        <v>0</v>
      </c>
      <c r="AM31" s="20">
        <f t="shared" si="19"/>
        <v>0</v>
      </c>
      <c r="AN31" s="20">
        <f t="shared" si="20"/>
        <v>0</v>
      </c>
      <c r="AO31" s="21">
        <f t="shared" si="21"/>
        <v>0</v>
      </c>
      <c r="AQ31" s="20"/>
      <c r="AS31">
        <f t="shared" si="22"/>
        <v>0</v>
      </c>
      <c r="AT31">
        <f t="shared" si="23"/>
        <v>1</v>
      </c>
      <c r="AU31">
        <f t="shared" si="24"/>
        <v>0</v>
      </c>
      <c r="AV31">
        <f t="shared" si="25"/>
        <v>0</v>
      </c>
      <c r="AW31" s="20">
        <f t="shared" si="26"/>
        <v>0</v>
      </c>
      <c r="AX31" s="20">
        <f t="shared" si="27"/>
        <v>0</v>
      </c>
      <c r="AY31" s="20">
        <f t="shared" si="28"/>
        <v>0</v>
      </c>
      <c r="AZ31" s="21">
        <f t="shared" si="29"/>
        <v>0</v>
      </c>
      <c r="BB31" s="21">
        <f t="shared" si="30"/>
        <v>0</v>
      </c>
      <c r="BC31" s="21">
        <f t="shared" si="31"/>
        <v>0</v>
      </c>
    </row>
    <row r="32" spans="1:55" x14ac:dyDescent="0.3">
      <c r="A32" s="1">
        <v>46070</v>
      </c>
      <c r="B32" s="11">
        <v>58.18</v>
      </c>
      <c r="C32" s="11">
        <v>101.47</v>
      </c>
      <c r="D32" s="12">
        <v>1.74407012719147</v>
      </c>
      <c r="E32" s="12">
        <v>1.74406374641995</v>
      </c>
      <c r="F32" s="12">
        <v>1.7438492374071699</v>
      </c>
      <c r="G32" s="12">
        <v>1.7439628822250299</v>
      </c>
      <c r="H32" s="11">
        <v>101.46962876671201</v>
      </c>
      <c r="I32" s="11">
        <v>101.460165948366</v>
      </c>
      <c r="J32" s="11">
        <v>101.46403922596799</v>
      </c>
      <c r="K32" s="13">
        <v>3.65855884776416E-6</v>
      </c>
      <c r="L32" s="13">
        <v>9.6920549933409602E-5</v>
      </c>
      <c r="M32" s="13">
        <v>5.8745926074554201E-5</v>
      </c>
      <c r="N32" s="24">
        <v>0</v>
      </c>
      <c r="O32" s="15">
        <v>0</v>
      </c>
      <c r="P32" s="25">
        <f t="shared" si="13"/>
        <v>58.18</v>
      </c>
      <c r="Q32" s="25">
        <f t="shared" si="13"/>
        <v>101.47</v>
      </c>
      <c r="R32" s="16">
        <f t="shared" si="2"/>
        <v>1.7440701271914747</v>
      </c>
      <c r="S32" s="16">
        <f t="shared" si="3"/>
        <v>1.7440637464199518</v>
      </c>
      <c r="T32" s="16">
        <f t="shared" si="9"/>
        <v>1.7438492374071757</v>
      </c>
      <c r="U32" s="16">
        <f t="shared" si="11"/>
        <v>1.7439628822250384</v>
      </c>
      <c r="V32" s="18">
        <f t="shared" si="4"/>
        <v>101.46962876671279</v>
      </c>
      <c r="W32" s="18">
        <f t="shared" si="10"/>
        <v>101.46016594836679</v>
      </c>
      <c r="X32" s="18">
        <f t="shared" si="14"/>
        <v>101.46403922596852</v>
      </c>
      <c r="Y32" s="19">
        <f t="shared" si="5"/>
        <v>3.6585588479862135E-6</v>
      </c>
      <c r="Z32" s="19">
        <f t="shared" si="5"/>
        <v>9.6920549933409642E-5</v>
      </c>
      <c r="AA32" s="19">
        <f t="shared" si="5"/>
        <v>5.8745926074554221E-5</v>
      </c>
      <c r="AC32" s="20">
        <f t="shared" si="6"/>
        <v>3.4381984179163752E-4</v>
      </c>
      <c r="AD32" s="20">
        <f t="shared" si="6"/>
        <v>5.9148266708657321E-4</v>
      </c>
      <c r="AE32" s="20"/>
      <c r="AF32" s="20"/>
      <c r="AH32">
        <f t="shared" si="15"/>
        <v>0</v>
      </c>
      <c r="AI32">
        <f t="shared" si="16"/>
        <v>1</v>
      </c>
      <c r="AJ32">
        <f t="shared" si="17"/>
        <v>0</v>
      </c>
      <c r="AK32">
        <f t="shared" si="12"/>
        <v>0</v>
      </c>
      <c r="AL32" s="20">
        <f t="shared" si="18"/>
        <v>0</v>
      </c>
      <c r="AM32" s="20">
        <f t="shared" si="19"/>
        <v>0</v>
      </c>
      <c r="AN32" s="20">
        <f t="shared" si="20"/>
        <v>0</v>
      </c>
      <c r="AO32" s="21">
        <f t="shared" si="21"/>
        <v>0</v>
      </c>
      <c r="AQ32" s="20"/>
      <c r="AS32">
        <f t="shared" si="22"/>
        <v>0</v>
      </c>
      <c r="AT32">
        <f t="shared" si="23"/>
        <v>0</v>
      </c>
      <c r="AU32">
        <f t="shared" si="24"/>
        <v>0</v>
      </c>
      <c r="AV32">
        <f t="shared" si="25"/>
        <v>0</v>
      </c>
      <c r="AW32" s="20">
        <f t="shared" si="26"/>
        <v>0</v>
      </c>
      <c r="AX32" s="20">
        <f t="shared" si="27"/>
        <v>0</v>
      </c>
      <c r="AY32" s="20">
        <f t="shared" si="28"/>
        <v>0</v>
      </c>
      <c r="AZ32" s="21">
        <f t="shared" si="29"/>
        <v>0</v>
      </c>
      <c r="BB32" s="21">
        <f t="shared" si="30"/>
        <v>0</v>
      </c>
      <c r="BC32" s="21">
        <f t="shared" si="31"/>
        <v>0</v>
      </c>
    </row>
    <row r="33" spans="1:55" x14ac:dyDescent="0.3">
      <c r="A33" s="1">
        <v>46071</v>
      </c>
      <c r="B33" s="11">
        <v>58.16</v>
      </c>
      <c r="C33" s="11">
        <v>101.47</v>
      </c>
      <c r="D33" s="12">
        <v>1.7446698762035699</v>
      </c>
      <c r="E33" s="12">
        <v>1.74406374641995</v>
      </c>
      <c r="F33" s="12">
        <v>1.7438742800543501</v>
      </c>
      <c r="G33" s="12">
        <v>1.74386130659077</v>
      </c>
      <c r="H33" s="11">
        <v>101.43474749178399</v>
      </c>
      <c r="I33" s="11">
        <v>101.42227164760099</v>
      </c>
      <c r="J33" s="11">
        <v>101.42888123020801</v>
      </c>
      <c r="K33" s="13">
        <v>3.4747840063932903E-4</v>
      </c>
      <c r="L33" s="13">
        <v>4.7047975648864201E-4</v>
      </c>
      <c r="M33" s="13">
        <v>4.0531293327411799E-4</v>
      </c>
      <c r="N33" s="24">
        <v>0</v>
      </c>
      <c r="O33" s="15">
        <v>0</v>
      </c>
      <c r="P33" s="25">
        <f t="shared" si="13"/>
        <v>58.16</v>
      </c>
      <c r="Q33" s="25">
        <f t="shared" si="13"/>
        <v>101.47</v>
      </c>
      <c r="R33" s="16">
        <f t="shared" si="2"/>
        <v>1.7446698762035764</v>
      </c>
      <c r="S33" s="16">
        <f t="shared" si="3"/>
        <v>1.7440637464199518</v>
      </c>
      <c r="T33" s="16">
        <f t="shared" si="9"/>
        <v>1.7438742800543543</v>
      </c>
      <c r="U33" s="16">
        <f t="shared" si="11"/>
        <v>1.7438613065907724</v>
      </c>
      <c r="V33" s="18">
        <f t="shared" si="4"/>
        <v>101.43474749178439</v>
      </c>
      <c r="W33" s="18">
        <f t="shared" si="10"/>
        <v>101.42227164760133</v>
      </c>
      <c r="X33" s="18">
        <f t="shared" si="14"/>
        <v>101.42888123020822</v>
      </c>
      <c r="Y33" s="19">
        <f t="shared" si="5"/>
        <v>3.4747840063955156E-4</v>
      </c>
      <c r="Z33" s="19">
        <f t="shared" si="5"/>
        <v>4.704797564881989E-4</v>
      </c>
      <c r="AA33" s="19">
        <f t="shared" si="5"/>
        <v>4.0531293327367444E-4</v>
      </c>
      <c r="AC33" s="20">
        <f t="shared" si="6"/>
        <v>-3.438198417917351E-4</v>
      </c>
      <c r="AD33" s="20">
        <f t="shared" si="6"/>
        <v>0</v>
      </c>
      <c r="AE33" s="20"/>
      <c r="AF33" s="20"/>
      <c r="AH33">
        <f t="shared" si="15"/>
        <v>0</v>
      </c>
      <c r="AI33">
        <f t="shared" si="16"/>
        <v>1</v>
      </c>
      <c r="AJ33">
        <f t="shared" si="17"/>
        <v>0</v>
      </c>
      <c r="AK33">
        <f t="shared" si="12"/>
        <v>0</v>
      </c>
      <c r="AL33" s="20">
        <f t="shared" si="18"/>
        <v>0</v>
      </c>
      <c r="AM33" s="20">
        <f t="shared" si="19"/>
        <v>0</v>
      </c>
      <c r="AN33" s="20">
        <f t="shared" si="20"/>
        <v>0</v>
      </c>
      <c r="AO33" s="21">
        <f t="shared" si="21"/>
        <v>0</v>
      </c>
      <c r="AQ33" s="20"/>
      <c r="AS33">
        <f t="shared" si="22"/>
        <v>0</v>
      </c>
      <c r="AT33">
        <f t="shared" si="23"/>
        <v>0</v>
      </c>
      <c r="AU33">
        <f t="shared" si="24"/>
        <v>0</v>
      </c>
      <c r="AV33">
        <f t="shared" si="25"/>
        <v>0</v>
      </c>
      <c r="AW33" s="20">
        <f t="shared" si="26"/>
        <v>0</v>
      </c>
      <c r="AX33" s="20">
        <f t="shared" si="27"/>
        <v>0</v>
      </c>
      <c r="AY33" s="20">
        <f t="shared" si="28"/>
        <v>0</v>
      </c>
      <c r="AZ33" s="21">
        <f t="shared" si="29"/>
        <v>0</v>
      </c>
      <c r="BB33" s="21">
        <f t="shared" si="30"/>
        <v>0</v>
      </c>
      <c r="BC33" s="21">
        <f t="shared" si="31"/>
        <v>0</v>
      </c>
    </row>
    <row r="34" spans="1:55" x14ac:dyDescent="0.3">
      <c r="A34" s="1">
        <v>46072</v>
      </c>
      <c r="B34" s="11">
        <v>58.18</v>
      </c>
      <c r="C34" s="11">
        <v>101.46</v>
      </c>
      <c r="D34" s="12">
        <v>1.74389824682021</v>
      </c>
      <c r="E34" s="12">
        <v>1.74406374641995</v>
      </c>
      <c r="F34" s="12">
        <v>1.7437871896404</v>
      </c>
      <c r="G34" s="12">
        <v>1.7438851663002</v>
      </c>
      <c r="H34" s="11">
        <v>101.46962876671201</v>
      </c>
      <c r="I34" s="11">
        <v>101.458605613562</v>
      </c>
      <c r="J34" s="11">
        <v>101.457850817451</v>
      </c>
      <c r="K34" s="13">
        <v>-9.4897593599979903E-5</v>
      </c>
      <c r="L34" s="13">
        <v>1.3743307898928699E-5</v>
      </c>
      <c r="M34" s="13">
        <v>2.1182784464494199E-5</v>
      </c>
      <c r="N34" s="24">
        <v>0</v>
      </c>
      <c r="O34" s="15">
        <v>0</v>
      </c>
      <c r="P34" s="25">
        <f t="shared" si="13"/>
        <v>58.18</v>
      </c>
      <c r="Q34" s="25">
        <f t="shared" si="13"/>
        <v>101.46</v>
      </c>
      <c r="R34" s="16">
        <f t="shared" si="2"/>
        <v>1.7438982468202131</v>
      </c>
      <c r="S34" s="16">
        <f t="shared" si="3"/>
        <v>1.7440637464199518</v>
      </c>
      <c r="T34" s="16">
        <f t="shared" si="9"/>
        <v>1.7437871896404047</v>
      </c>
      <c r="U34" s="16">
        <f t="shared" si="11"/>
        <v>1.7438851663002044</v>
      </c>
      <c r="V34" s="18">
        <f t="shared" si="4"/>
        <v>101.46962876671279</v>
      </c>
      <c r="W34" s="18">
        <f t="shared" si="10"/>
        <v>101.45860561356233</v>
      </c>
      <c r="X34" s="18">
        <f t="shared" si="14"/>
        <v>101.45785081745115</v>
      </c>
      <c r="Y34" s="19">
        <f t="shared" si="5"/>
        <v>-9.4897593599646836E-5</v>
      </c>
      <c r="Z34" s="19">
        <f t="shared" si="5"/>
        <v>1.3743307898928732E-5</v>
      </c>
      <c r="AA34" s="19">
        <f t="shared" si="5"/>
        <v>2.1182784464494233E-5</v>
      </c>
      <c r="AC34" s="20">
        <f t="shared" si="6"/>
        <v>3.4381984179163752E-4</v>
      </c>
      <c r="AD34" s="20">
        <f t="shared" si="6"/>
        <v>-9.8556152447645853E-5</v>
      </c>
      <c r="AE34" s="20"/>
      <c r="AF34" s="20"/>
      <c r="AH34">
        <f t="shared" si="15"/>
        <v>0</v>
      </c>
      <c r="AI34">
        <f t="shared" si="16"/>
        <v>1</v>
      </c>
      <c r="AJ34">
        <f t="shared" si="17"/>
        <v>0</v>
      </c>
      <c r="AK34">
        <f t="shared" si="12"/>
        <v>0</v>
      </c>
      <c r="AL34" s="20">
        <f t="shared" si="18"/>
        <v>0</v>
      </c>
      <c r="AM34" s="20">
        <f t="shared" si="19"/>
        <v>0</v>
      </c>
      <c r="AN34" s="20">
        <f t="shared" si="20"/>
        <v>0</v>
      </c>
      <c r="AO34" s="21">
        <f t="shared" si="21"/>
        <v>0</v>
      </c>
      <c r="AQ34" s="20"/>
      <c r="AS34">
        <f t="shared" si="22"/>
        <v>0</v>
      </c>
      <c r="AT34">
        <f t="shared" si="23"/>
        <v>0</v>
      </c>
      <c r="AU34">
        <f t="shared" si="24"/>
        <v>0</v>
      </c>
      <c r="AV34">
        <f t="shared" si="25"/>
        <v>0</v>
      </c>
      <c r="AW34" s="20">
        <f t="shared" si="26"/>
        <v>0</v>
      </c>
      <c r="AX34" s="20">
        <f t="shared" si="27"/>
        <v>0</v>
      </c>
      <c r="AY34" s="20">
        <f t="shared" si="28"/>
        <v>0</v>
      </c>
      <c r="AZ34" s="21">
        <f t="shared" si="29"/>
        <v>0</v>
      </c>
      <c r="BB34" s="21">
        <f t="shared" si="30"/>
        <v>0</v>
      </c>
      <c r="BC34" s="21">
        <f t="shared" si="31"/>
        <v>0</v>
      </c>
    </row>
    <row r="35" spans="1:55" x14ac:dyDescent="0.3">
      <c r="A35" s="1">
        <v>46073</v>
      </c>
      <c r="B35" s="11">
        <v>58.22</v>
      </c>
      <c r="C35" s="11">
        <v>101.55</v>
      </c>
      <c r="D35" s="12">
        <v>1.7442459635863901</v>
      </c>
      <c r="E35" s="12">
        <v>1.74406374641995</v>
      </c>
      <c r="F35" s="12">
        <v>1.74376427218688</v>
      </c>
      <c r="G35" s="12">
        <v>1.74394817455919</v>
      </c>
      <c r="H35" s="11">
        <v>101.539391316569</v>
      </c>
      <c r="I35" s="11">
        <v>101.523290180864</v>
      </c>
      <c r="J35" s="11">
        <v>101.52899438199699</v>
      </c>
      <c r="K35" s="13">
        <v>1.0447304382817E-4</v>
      </c>
      <c r="L35" s="13">
        <v>2.6305595645649901E-4</v>
      </c>
      <c r="M35" s="13">
        <v>2.0687140135754E-4</v>
      </c>
      <c r="N35" s="24">
        <v>0</v>
      </c>
      <c r="O35" s="15">
        <v>0</v>
      </c>
      <c r="P35" s="25">
        <f t="shared" si="13"/>
        <v>58.22</v>
      </c>
      <c r="Q35" s="25">
        <f t="shared" si="13"/>
        <v>101.55</v>
      </c>
      <c r="R35" s="16">
        <f t="shared" si="2"/>
        <v>1.7442459635863965</v>
      </c>
      <c r="S35" s="16">
        <f t="shared" si="3"/>
        <v>1.7440637464199518</v>
      </c>
      <c r="T35" s="16">
        <f t="shared" si="9"/>
        <v>1.7437642721868898</v>
      </c>
      <c r="U35" s="16">
        <f t="shared" si="11"/>
        <v>1.7439481745591916</v>
      </c>
      <c r="V35" s="18">
        <f t="shared" si="4"/>
        <v>101.53939131656959</v>
      </c>
      <c r="W35" s="18">
        <f t="shared" si="10"/>
        <v>101.52329018086436</v>
      </c>
      <c r="X35" s="18">
        <f t="shared" si="14"/>
        <v>101.5289943819979</v>
      </c>
      <c r="Y35" s="19">
        <f t="shared" si="5"/>
        <v>1.0447304382839229E-4</v>
      </c>
      <c r="Z35" s="19">
        <f t="shared" si="5"/>
        <v>2.6305595645649966E-4</v>
      </c>
      <c r="AA35" s="19">
        <f t="shared" si="5"/>
        <v>2.0687140135709599E-4</v>
      </c>
      <c r="AC35" s="20">
        <f t="shared" si="6"/>
        <v>6.8728525042154585E-4</v>
      </c>
      <c r="AD35" s="20">
        <f t="shared" si="6"/>
        <v>8.8665588784969803E-4</v>
      </c>
      <c r="AE35" s="20"/>
      <c r="AF35" s="20"/>
      <c r="AH35">
        <f t="shared" si="15"/>
        <v>0</v>
      </c>
      <c r="AI35">
        <f t="shared" si="16"/>
        <v>1</v>
      </c>
      <c r="AJ35">
        <f t="shared" si="17"/>
        <v>0</v>
      </c>
      <c r="AK35">
        <f t="shared" si="12"/>
        <v>0</v>
      </c>
      <c r="AL35" s="20">
        <f t="shared" si="18"/>
        <v>0</v>
      </c>
      <c r="AM35" s="20">
        <f t="shared" si="19"/>
        <v>0</v>
      </c>
      <c r="AN35" s="20">
        <f t="shared" si="20"/>
        <v>0</v>
      </c>
      <c r="AO35" s="21">
        <f t="shared" si="21"/>
        <v>0</v>
      </c>
      <c r="AQ35" s="20"/>
      <c r="AS35">
        <f t="shared" si="22"/>
        <v>0</v>
      </c>
      <c r="AT35">
        <f t="shared" si="23"/>
        <v>0</v>
      </c>
      <c r="AU35">
        <f t="shared" si="24"/>
        <v>0</v>
      </c>
      <c r="AV35">
        <f t="shared" si="25"/>
        <v>0</v>
      </c>
      <c r="AW35" s="20">
        <f t="shared" si="26"/>
        <v>0</v>
      </c>
      <c r="AX35" s="20">
        <f t="shared" si="27"/>
        <v>0</v>
      </c>
      <c r="AY35" s="20">
        <f t="shared" si="28"/>
        <v>0</v>
      </c>
      <c r="AZ35" s="21">
        <f t="shared" si="29"/>
        <v>0</v>
      </c>
      <c r="BB35" s="21">
        <f t="shared" si="30"/>
        <v>0</v>
      </c>
      <c r="BC35" s="21">
        <f t="shared" si="31"/>
        <v>0</v>
      </c>
    </row>
    <row r="36" spans="1:55" x14ac:dyDescent="0.3">
      <c r="A36" s="1">
        <v>46076</v>
      </c>
      <c r="B36" s="11">
        <v>58.24</v>
      </c>
      <c r="C36" s="11">
        <v>101.62</v>
      </c>
      <c r="D36" s="12">
        <v>1.7448489010988999</v>
      </c>
      <c r="E36" s="12">
        <v>1.74406374641995</v>
      </c>
      <c r="F36" s="12">
        <v>1.7438490241990701</v>
      </c>
      <c r="G36" s="12">
        <v>1.74402401067752</v>
      </c>
      <c r="H36" s="11">
        <v>101.574272591498</v>
      </c>
      <c r="I36" s="11">
        <v>101.556831212164</v>
      </c>
      <c r="J36" s="11">
        <v>101.567541686327</v>
      </c>
      <c r="K36" s="13">
        <v>4.5008561206703998E-4</v>
      </c>
      <c r="L36" s="13">
        <v>6.2181095643652697E-4</v>
      </c>
      <c r="M36" s="13">
        <v>5.1635365439101598E-4</v>
      </c>
      <c r="N36" s="24">
        <v>0</v>
      </c>
      <c r="O36" s="15">
        <v>0</v>
      </c>
      <c r="P36" s="25">
        <f t="shared" si="13"/>
        <v>58.24</v>
      </c>
      <c r="Q36" s="25">
        <f t="shared" si="13"/>
        <v>101.62</v>
      </c>
      <c r="R36" s="16">
        <f t="shared" si="2"/>
        <v>1.7448489010989012</v>
      </c>
      <c r="S36" s="16">
        <f t="shared" si="3"/>
        <v>1.7440637464199518</v>
      </c>
      <c r="T36" s="16">
        <f t="shared" si="9"/>
        <v>1.7438490241990756</v>
      </c>
      <c r="U36" s="16">
        <f t="shared" si="11"/>
        <v>1.7440240106775238</v>
      </c>
      <c r="V36" s="18">
        <f t="shared" si="4"/>
        <v>101.574272591498</v>
      </c>
      <c r="W36" s="18">
        <f t="shared" si="10"/>
        <v>101.55683121216447</v>
      </c>
      <c r="X36" s="18">
        <f t="shared" si="14"/>
        <v>101.56754168632732</v>
      </c>
      <c r="Y36" s="19">
        <f t="shared" si="5"/>
        <v>4.500856120672624E-4</v>
      </c>
      <c r="Z36" s="19">
        <f t="shared" si="5"/>
        <v>6.2181095643652697E-4</v>
      </c>
      <c r="AA36" s="19">
        <f t="shared" si="5"/>
        <v>5.1635365439101685E-4</v>
      </c>
      <c r="AC36" s="20">
        <f t="shared" si="6"/>
        <v>3.4346557095343838E-4</v>
      </c>
      <c r="AD36" s="20">
        <f t="shared" si="6"/>
        <v>6.8907813919225145E-4</v>
      </c>
      <c r="AE36" s="20"/>
      <c r="AF36" s="20"/>
      <c r="AH36">
        <f t="shared" si="15"/>
        <v>0</v>
      </c>
      <c r="AI36">
        <f t="shared" si="16"/>
        <v>1</v>
      </c>
      <c r="AJ36">
        <f t="shared" si="17"/>
        <v>0</v>
      </c>
      <c r="AK36">
        <f t="shared" si="12"/>
        <v>0</v>
      </c>
      <c r="AL36" s="20">
        <f t="shared" si="18"/>
        <v>0</v>
      </c>
      <c r="AM36" s="20">
        <f t="shared" si="19"/>
        <v>0</v>
      </c>
      <c r="AN36" s="20">
        <f t="shared" si="20"/>
        <v>0</v>
      </c>
      <c r="AO36" s="21">
        <f t="shared" si="21"/>
        <v>0</v>
      </c>
      <c r="AQ36" s="20"/>
      <c r="AS36">
        <f t="shared" si="22"/>
        <v>0</v>
      </c>
      <c r="AT36">
        <f t="shared" si="23"/>
        <v>0</v>
      </c>
      <c r="AU36">
        <f t="shared" si="24"/>
        <v>0</v>
      </c>
      <c r="AV36">
        <f t="shared" si="25"/>
        <v>0</v>
      </c>
      <c r="AW36" s="20">
        <f t="shared" si="26"/>
        <v>0</v>
      </c>
      <c r="AX36" s="20">
        <f t="shared" si="27"/>
        <v>0</v>
      </c>
      <c r="AY36" s="20">
        <f t="shared" si="28"/>
        <v>0</v>
      </c>
      <c r="AZ36" s="21">
        <f t="shared" si="29"/>
        <v>0</v>
      </c>
      <c r="BB36" s="21">
        <f t="shared" si="30"/>
        <v>0</v>
      </c>
      <c r="BC36" s="21">
        <f t="shared" si="31"/>
        <v>0</v>
      </c>
    </row>
    <row r="37" spans="1:55" x14ac:dyDescent="0.3">
      <c r="A37" s="1">
        <v>46077</v>
      </c>
      <c r="B37" s="11">
        <v>58.28</v>
      </c>
      <c r="C37" s="11">
        <v>101.7</v>
      </c>
      <c r="D37" s="12">
        <v>1.74502402196293</v>
      </c>
      <c r="E37" s="12">
        <v>1.74406374641995</v>
      </c>
      <c r="F37" s="12">
        <v>1.7439380378515399</v>
      </c>
      <c r="G37" s="12">
        <v>1.7441061513845999</v>
      </c>
      <c r="H37" s="11">
        <v>101.644035141354</v>
      </c>
      <c r="I37" s="11">
        <v>101.631521130322</v>
      </c>
      <c r="J37" s="11">
        <v>101.641719342286</v>
      </c>
      <c r="K37" s="13">
        <v>5.5044506242185403E-4</v>
      </c>
      <c r="L37" s="13">
        <v>6.7356868119858402E-4</v>
      </c>
      <c r="M37" s="13">
        <v>5.7322874517145195E-4</v>
      </c>
      <c r="N37" s="24">
        <v>0</v>
      </c>
      <c r="O37" s="15">
        <v>0</v>
      </c>
      <c r="P37" s="25">
        <f t="shared" si="13"/>
        <v>58.28</v>
      </c>
      <c r="Q37" s="25">
        <f t="shared" si="13"/>
        <v>101.7</v>
      </c>
      <c r="R37" s="16">
        <f t="shared" si="2"/>
        <v>1.7450240219629376</v>
      </c>
      <c r="S37" s="16">
        <f t="shared" si="3"/>
        <v>1.7440637464199518</v>
      </c>
      <c r="T37" s="16">
        <f t="shared" si="9"/>
        <v>1.7439380378515459</v>
      </c>
      <c r="U37" s="16">
        <f t="shared" si="11"/>
        <v>1.7441061513846001</v>
      </c>
      <c r="V37" s="18">
        <f t="shared" si="4"/>
        <v>101.64403514135479</v>
      </c>
      <c r="W37" s="18">
        <f t="shared" si="10"/>
        <v>101.63152113032213</v>
      </c>
      <c r="X37" s="18">
        <f t="shared" si="14"/>
        <v>101.64171934228608</v>
      </c>
      <c r="Y37" s="19">
        <f t="shared" si="5"/>
        <v>5.5044506242207661E-4</v>
      </c>
      <c r="Z37" s="19">
        <f t="shared" si="5"/>
        <v>6.7356868119858467E-4</v>
      </c>
      <c r="AA37" s="19">
        <f t="shared" si="5"/>
        <v>5.7322874517145293E-4</v>
      </c>
      <c r="AC37" s="20">
        <f t="shared" si="6"/>
        <v>6.8657743857355145E-4</v>
      </c>
      <c r="AD37" s="20">
        <f t="shared" si="6"/>
        <v>7.8693688892837526E-4</v>
      </c>
      <c r="AE37" s="20"/>
      <c r="AF37" s="20"/>
      <c r="AH37">
        <f t="shared" si="15"/>
        <v>0</v>
      </c>
      <c r="AI37">
        <f t="shared" si="16"/>
        <v>1</v>
      </c>
      <c r="AJ37">
        <f t="shared" si="17"/>
        <v>0</v>
      </c>
      <c r="AK37">
        <f t="shared" si="12"/>
        <v>0</v>
      </c>
      <c r="AL37" s="20">
        <f t="shared" si="18"/>
        <v>0</v>
      </c>
      <c r="AM37" s="20">
        <f t="shared" si="19"/>
        <v>0</v>
      </c>
      <c r="AN37" s="20">
        <f t="shared" si="20"/>
        <v>0</v>
      </c>
      <c r="AO37" s="21">
        <f t="shared" si="21"/>
        <v>0</v>
      </c>
      <c r="AQ37" s="20"/>
      <c r="AS37">
        <f t="shared" si="22"/>
        <v>0</v>
      </c>
      <c r="AT37">
        <f t="shared" si="23"/>
        <v>0</v>
      </c>
      <c r="AU37">
        <f t="shared" si="24"/>
        <v>0</v>
      </c>
      <c r="AV37">
        <f t="shared" si="25"/>
        <v>0</v>
      </c>
      <c r="AW37" s="20">
        <f t="shared" si="26"/>
        <v>0</v>
      </c>
      <c r="AX37" s="20">
        <f t="shared" si="27"/>
        <v>0</v>
      </c>
      <c r="AY37" s="20">
        <f t="shared" si="28"/>
        <v>0</v>
      </c>
      <c r="AZ37" s="21">
        <f t="shared" si="29"/>
        <v>0</v>
      </c>
      <c r="BB37" s="21">
        <f t="shared" si="30"/>
        <v>0</v>
      </c>
      <c r="BC37" s="21">
        <f t="shared" si="31"/>
        <v>0</v>
      </c>
    </row>
    <row r="38" spans="1:55" x14ac:dyDescent="0.3">
      <c r="A38" s="1">
        <v>46078</v>
      </c>
      <c r="B38" s="11">
        <v>58.33</v>
      </c>
      <c r="C38" s="11">
        <v>101.69</v>
      </c>
      <c r="D38" s="12">
        <v>1.74335676324361</v>
      </c>
      <c r="E38" s="12">
        <v>1.74406374641995</v>
      </c>
      <c r="F38" s="12">
        <v>1.7440101482844299</v>
      </c>
      <c r="G38" s="12">
        <v>1.7440552287298801</v>
      </c>
      <c r="H38" s="11">
        <v>101.731238328675</v>
      </c>
      <c r="I38" s="11">
        <v>101.72390574788</v>
      </c>
      <c r="J38" s="11">
        <v>101.733711810263</v>
      </c>
      <c r="K38" s="13">
        <v>-4.05447627588561E-4</v>
      </c>
      <c r="L38" s="13">
        <v>-3.33367063279606E-4</v>
      </c>
      <c r="M38" s="13">
        <v>-4.2976121660060602E-4</v>
      </c>
      <c r="N38" s="24">
        <v>0</v>
      </c>
      <c r="O38" s="15">
        <v>0</v>
      </c>
      <c r="P38" s="25">
        <f t="shared" si="13"/>
        <v>58.33</v>
      </c>
      <c r="Q38" s="25">
        <f t="shared" si="13"/>
        <v>101.69</v>
      </c>
      <c r="R38" s="16">
        <f t="shared" si="2"/>
        <v>1.743356763243614</v>
      </c>
      <c r="S38" s="16">
        <f t="shared" si="3"/>
        <v>1.7440637464199518</v>
      </c>
      <c r="T38" s="16">
        <f t="shared" si="9"/>
        <v>1.7440101482844348</v>
      </c>
      <c r="U38" s="16">
        <f t="shared" si="11"/>
        <v>1.7440552287298889</v>
      </c>
      <c r="V38" s="18">
        <f t="shared" si="4"/>
        <v>101.73123832867579</v>
      </c>
      <c r="W38" s="18">
        <f t="shared" si="10"/>
        <v>101.72390574788066</v>
      </c>
      <c r="X38" s="18">
        <f t="shared" si="14"/>
        <v>101.73371181026373</v>
      </c>
      <c r="Y38" s="19">
        <f t="shared" si="5"/>
        <v>-4.0544762758822794E-4</v>
      </c>
      <c r="Z38" s="19">
        <f t="shared" si="5"/>
        <v>-3.3336706327927304E-4</v>
      </c>
      <c r="AA38" s="19">
        <f t="shared" si="5"/>
        <v>-4.2976121660071736E-4</v>
      </c>
      <c r="AC38" s="20">
        <f t="shared" si="6"/>
        <v>8.5755943854211401E-4</v>
      </c>
      <c r="AD38" s="20">
        <f t="shared" si="6"/>
        <v>-9.8333251468190382E-5</v>
      </c>
      <c r="AE38" s="20"/>
      <c r="AF38" s="20"/>
      <c r="AH38">
        <f t="shared" si="15"/>
        <v>0</v>
      </c>
      <c r="AI38">
        <f t="shared" si="16"/>
        <v>0</v>
      </c>
      <c r="AJ38">
        <f t="shared" si="17"/>
        <v>0</v>
      </c>
      <c r="AK38">
        <f t="shared" si="12"/>
        <v>0</v>
      </c>
      <c r="AL38" s="20">
        <f t="shared" si="18"/>
        <v>0</v>
      </c>
      <c r="AM38" s="20">
        <f t="shared" si="19"/>
        <v>0</v>
      </c>
      <c r="AN38" s="20">
        <f t="shared" si="20"/>
        <v>0</v>
      </c>
      <c r="AO38" s="21">
        <f t="shared" si="21"/>
        <v>0</v>
      </c>
      <c r="AQ38" s="20"/>
      <c r="AS38">
        <f t="shared" si="22"/>
        <v>0</v>
      </c>
      <c r="AT38">
        <f t="shared" si="23"/>
        <v>1</v>
      </c>
      <c r="AU38">
        <f t="shared" si="24"/>
        <v>0</v>
      </c>
      <c r="AV38">
        <f t="shared" si="25"/>
        <v>0</v>
      </c>
      <c r="AW38" s="20">
        <f t="shared" si="26"/>
        <v>0</v>
      </c>
      <c r="AX38" s="20">
        <f t="shared" si="27"/>
        <v>0</v>
      </c>
      <c r="AY38" s="20">
        <f t="shared" si="28"/>
        <v>0</v>
      </c>
      <c r="AZ38" s="21">
        <f t="shared" si="29"/>
        <v>0</v>
      </c>
      <c r="BB38" s="21">
        <f t="shared" si="30"/>
        <v>0</v>
      </c>
      <c r="BC38" s="21">
        <f t="shared" si="31"/>
        <v>0</v>
      </c>
    </row>
    <row r="39" spans="1:55" x14ac:dyDescent="0.3">
      <c r="A39" s="1">
        <v>46079</v>
      </c>
      <c r="B39" s="11">
        <v>58.37</v>
      </c>
      <c r="C39" s="11">
        <v>101.76</v>
      </c>
      <c r="D39" s="12">
        <v>1.7433613157443799</v>
      </c>
      <c r="E39" s="12">
        <v>1.74406374641995</v>
      </c>
      <c r="F39" s="12">
        <v>1.7440186936519699</v>
      </c>
      <c r="G39" s="12">
        <v>1.74400433913834</v>
      </c>
      <c r="H39" s="11">
        <v>101.80100087853199</v>
      </c>
      <c r="I39" s="11">
        <v>101.797872355362</v>
      </c>
      <c r="J39" s="11">
        <v>101.80050370096301</v>
      </c>
      <c r="K39" s="13">
        <v>-4.0283628897580802E-4</v>
      </c>
      <c r="L39" s="13">
        <v>-3.7210406417814099E-4</v>
      </c>
      <c r="M39" s="13">
        <v>-3.9795245896665898E-4</v>
      </c>
      <c r="N39" s="24">
        <v>0</v>
      </c>
      <c r="O39" s="15">
        <v>0</v>
      </c>
      <c r="P39" s="25">
        <f t="shared" si="13"/>
        <v>58.37</v>
      </c>
      <c r="Q39" s="25">
        <f t="shared" si="13"/>
        <v>101.76</v>
      </c>
      <c r="R39" s="16">
        <f t="shared" si="2"/>
        <v>1.7433613157443895</v>
      </c>
      <c r="S39" s="16">
        <f t="shared" si="3"/>
        <v>1.7440637464199518</v>
      </c>
      <c r="T39" s="16">
        <f t="shared" si="9"/>
        <v>1.7440186936519768</v>
      </c>
      <c r="U39" s="16">
        <f t="shared" si="11"/>
        <v>1.7440043391383466</v>
      </c>
      <c r="V39" s="18">
        <f t="shared" si="4"/>
        <v>101.80100087853258</v>
      </c>
      <c r="W39" s="18">
        <f t="shared" si="10"/>
        <v>101.79787235536246</v>
      </c>
      <c r="X39" s="18">
        <f t="shared" si="14"/>
        <v>101.80050370096362</v>
      </c>
      <c r="Y39" s="19">
        <f t="shared" si="5"/>
        <v>-4.0283628897558614E-4</v>
      </c>
      <c r="Z39" s="19">
        <f t="shared" si="5"/>
        <v>-3.7210406417814153E-4</v>
      </c>
      <c r="AA39" s="19">
        <f t="shared" si="5"/>
        <v>-3.9795245896665952E-4</v>
      </c>
      <c r="AC39" s="20">
        <f t="shared" si="6"/>
        <v>6.8551845015338102E-4</v>
      </c>
      <c r="AD39" s="20">
        <f t="shared" si="6"/>
        <v>6.8812978876604217E-4</v>
      </c>
      <c r="AE39" s="20"/>
      <c r="AF39" s="20"/>
      <c r="AH39">
        <f t="shared" si="15"/>
        <v>0</v>
      </c>
      <c r="AI39">
        <f t="shared" si="16"/>
        <v>0</v>
      </c>
      <c r="AJ39">
        <f t="shared" si="17"/>
        <v>0</v>
      </c>
      <c r="AK39">
        <f t="shared" si="12"/>
        <v>0</v>
      </c>
      <c r="AL39" s="20">
        <f t="shared" si="18"/>
        <v>0</v>
      </c>
      <c r="AM39" s="20">
        <f t="shared" si="19"/>
        <v>0</v>
      </c>
      <c r="AN39" s="20">
        <f t="shared" si="20"/>
        <v>0</v>
      </c>
      <c r="AO39" s="21">
        <f t="shared" si="21"/>
        <v>0</v>
      </c>
      <c r="AQ39" s="20"/>
      <c r="AS39">
        <f t="shared" si="22"/>
        <v>0</v>
      </c>
      <c r="AT39">
        <f t="shared" si="23"/>
        <v>1</v>
      </c>
      <c r="AU39">
        <f t="shared" si="24"/>
        <v>0</v>
      </c>
      <c r="AV39">
        <f t="shared" si="25"/>
        <v>0</v>
      </c>
      <c r="AW39" s="20">
        <f t="shared" si="26"/>
        <v>0</v>
      </c>
      <c r="AX39" s="20">
        <f t="shared" si="27"/>
        <v>0</v>
      </c>
      <c r="AY39" s="20">
        <f t="shared" si="28"/>
        <v>0</v>
      </c>
      <c r="AZ39" s="21">
        <f t="shared" si="29"/>
        <v>0</v>
      </c>
      <c r="BB39" s="21">
        <f t="shared" si="30"/>
        <v>0</v>
      </c>
      <c r="BC39" s="21">
        <f t="shared" si="31"/>
        <v>0</v>
      </c>
    </row>
    <row r="40" spans="1:55" x14ac:dyDescent="0.3">
      <c r="A40" s="1">
        <v>46080</v>
      </c>
      <c r="B40" s="11">
        <v>58.41</v>
      </c>
      <c r="C40" s="11">
        <v>101.83</v>
      </c>
      <c r="D40" s="12">
        <v>1.7433658620099299</v>
      </c>
      <c r="E40" s="12">
        <v>1.74406374641995</v>
      </c>
      <c r="F40" s="12">
        <v>1.7440479317201101</v>
      </c>
      <c r="G40" s="12">
        <v>1.74397740484821</v>
      </c>
      <c r="H40" s="11">
        <v>101.870763428389</v>
      </c>
      <c r="I40" s="11">
        <v>101.868131896211</v>
      </c>
      <c r="J40" s="11">
        <v>101.86729344907</v>
      </c>
      <c r="K40" s="13">
        <v>-4.0022853373225E-4</v>
      </c>
      <c r="L40" s="13">
        <v>-3.7439613512812899E-4</v>
      </c>
      <c r="M40" s="13">
        <v>-3.6616539037946102E-4</v>
      </c>
      <c r="N40" s="24">
        <v>0</v>
      </c>
      <c r="O40" s="15">
        <v>0</v>
      </c>
      <c r="P40" s="25">
        <f t="shared" si="13"/>
        <v>58.41</v>
      </c>
      <c r="Q40" s="25">
        <f t="shared" si="13"/>
        <v>101.83</v>
      </c>
      <c r="R40" s="16">
        <f t="shared" si="2"/>
        <v>1.7433658620099299</v>
      </c>
      <c r="S40" s="16">
        <f t="shared" si="3"/>
        <v>1.7440637464199518</v>
      </c>
      <c r="T40" s="16">
        <f t="shared" si="9"/>
        <v>1.7440479317201185</v>
      </c>
      <c r="U40" s="16">
        <f t="shared" si="11"/>
        <v>1.7439774048482153</v>
      </c>
      <c r="V40" s="18">
        <f t="shared" si="4"/>
        <v>101.87076342838938</v>
      </c>
      <c r="W40" s="18">
        <f t="shared" si="10"/>
        <v>101.86813189621196</v>
      </c>
      <c r="X40" s="18">
        <f t="shared" si="14"/>
        <v>101.86729344907081</v>
      </c>
      <c r="Y40" s="19">
        <f t="shared" si="5"/>
        <v>-4.0022853373202806E-4</v>
      </c>
      <c r="Z40" s="19">
        <f t="shared" si="5"/>
        <v>-3.7439613512812997E-4</v>
      </c>
      <c r="AA40" s="19">
        <f t="shared" si="5"/>
        <v>-3.6616539037935038E-4</v>
      </c>
      <c r="AC40" s="20">
        <f t="shared" si="6"/>
        <v>6.8504883651842132E-4</v>
      </c>
      <c r="AD40" s="20">
        <f t="shared" si="6"/>
        <v>6.8765659176191164E-4</v>
      </c>
      <c r="AE40" s="20"/>
      <c r="AF40" s="20"/>
      <c r="AH40">
        <f t="shared" si="15"/>
        <v>0</v>
      </c>
      <c r="AI40">
        <f t="shared" si="16"/>
        <v>0</v>
      </c>
      <c r="AJ40">
        <f t="shared" si="17"/>
        <v>0</v>
      </c>
      <c r="AK40" s="26">
        <v>0</v>
      </c>
      <c r="AL40" s="20">
        <f t="shared" si="18"/>
        <v>0</v>
      </c>
      <c r="AM40" s="20">
        <f t="shared" si="19"/>
        <v>0</v>
      </c>
      <c r="AN40" s="20">
        <f t="shared" si="20"/>
        <v>0</v>
      </c>
      <c r="AO40" s="21">
        <f t="shared" si="21"/>
        <v>0</v>
      </c>
      <c r="AQ40" s="20"/>
      <c r="AS40">
        <f t="shared" si="22"/>
        <v>0</v>
      </c>
      <c r="AT40">
        <f t="shared" si="23"/>
        <v>1</v>
      </c>
      <c r="AU40">
        <f t="shared" si="24"/>
        <v>0</v>
      </c>
      <c r="AV40">
        <f t="shared" si="25"/>
        <v>0</v>
      </c>
      <c r="AW40" s="20">
        <f t="shared" si="26"/>
        <v>0</v>
      </c>
      <c r="AX40" s="20">
        <f t="shared" si="27"/>
        <v>0</v>
      </c>
      <c r="AY40" s="20">
        <f t="shared" si="28"/>
        <v>0</v>
      </c>
      <c r="AZ40" s="21">
        <f t="shared" si="29"/>
        <v>0</v>
      </c>
      <c r="BB40" s="21">
        <f t="shared" si="30"/>
        <v>0</v>
      </c>
      <c r="BC40" s="21">
        <f t="shared" si="31"/>
        <v>0</v>
      </c>
    </row>
    <row r="41" spans="1:55" x14ac:dyDescent="0.3">
      <c r="A41" s="1">
        <v>46083</v>
      </c>
      <c r="B41" s="11">
        <v>58.09</v>
      </c>
      <c r="C41" s="11">
        <v>101.34</v>
      </c>
      <c r="D41" s="12">
        <v>1.7445343432604501</v>
      </c>
      <c r="E41" s="12">
        <v>1.74406374641995</v>
      </c>
      <c r="F41" s="12">
        <v>1.7441375421121801</v>
      </c>
      <c r="G41" s="12">
        <v>1.74401932062954</v>
      </c>
      <c r="H41" s="11">
        <v>101.312663029535</v>
      </c>
      <c r="I41" s="11">
        <v>101.31174435362099</v>
      </c>
      <c r="J41" s="11">
        <v>101.30764744763199</v>
      </c>
      <c r="K41" s="13">
        <v>2.6979137823434003E-4</v>
      </c>
      <c r="L41" s="13">
        <v>2.7885914973519398E-4</v>
      </c>
      <c r="M41" s="13">
        <v>3.1929857611963499E-4</v>
      </c>
      <c r="N41" s="24">
        <v>0</v>
      </c>
      <c r="O41" s="15">
        <v>0</v>
      </c>
      <c r="P41" s="25">
        <f t="shared" si="13"/>
        <v>58.09</v>
      </c>
      <c r="Q41" s="25">
        <f t="shared" si="13"/>
        <v>101.34</v>
      </c>
      <c r="R41" s="16">
        <f t="shared" si="2"/>
        <v>1.7445343432604579</v>
      </c>
      <c r="S41" s="16">
        <f t="shared" si="3"/>
        <v>1.7440637464199518</v>
      </c>
      <c r="T41" s="16">
        <f t="shared" si="9"/>
        <v>1.744137542112189</v>
      </c>
      <c r="U41" s="16">
        <f t="shared" si="11"/>
        <v>1.7440193206295458</v>
      </c>
      <c r="V41" s="18">
        <f t="shared" si="4"/>
        <v>101.312663029535</v>
      </c>
      <c r="W41" s="18">
        <f t="shared" si="10"/>
        <v>101.31174435362169</v>
      </c>
      <c r="X41" s="18">
        <f t="shared" si="14"/>
        <v>101.30764744763283</v>
      </c>
      <c r="Y41" s="19">
        <f t="shared" si="5"/>
        <v>2.6979137823456261E-4</v>
      </c>
      <c r="Z41" s="19">
        <f t="shared" si="5"/>
        <v>2.7885914973541657E-4</v>
      </c>
      <c r="AA41" s="19">
        <f t="shared" si="5"/>
        <v>3.1929857611985769E-4</v>
      </c>
      <c r="AC41" s="20">
        <f t="shared" si="6"/>
        <v>-5.4935760477767201E-3</v>
      </c>
      <c r="AD41" s="20">
        <f t="shared" si="6"/>
        <v>-4.8235561358103227E-3</v>
      </c>
      <c r="AE41" s="20"/>
      <c r="AF41" s="20"/>
      <c r="AH41">
        <f t="shared" si="15"/>
        <v>0</v>
      </c>
      <c r="AI41">
        <f t="shared" si="16"/>
        <v>1</v>
      </c>
      <c r="AJ41">
        <f t="shared" si="17"/>
        <v>0</v>
      </c>
      <c r="AK41">
        <f t="shared" si="12"/>
        <v>0</v>
      </c>
      <c r="AL41" s="20">
        <f t="shared" si="18"/>
        <v>0</v>
      </c>
      <c r="AM41" s="20">
        <f t="shared" si="19"/>
        <v>0</v>
      </c>
      <c r="AN41" s="20">
        <f t="shared" si="20"/>
        <v>0</v>
      </c>
      <c r="AO41" s="21">
        <f t="shared" si="21"/>
        <v>0</v>
      </c>
      <c r="AQ41" s="20"/>
      <c r="AS41">
        <f t="shared" si="22"/>
        <v>0</v>
      </c>
      <c r="AT41">
        <f t="shared" si="23"/>
        <v>0</v>
      </c>
      <c r="AU41">
        <f t="shared" si="24"/>
        <v>0</v>
      </c>
      <c r="AV41">
        <f t="shared" si="25"/>
        <v>0</v>
      </c>
      <c r="AW41" s="20">
        <f t="shared" si="26"/>
        <v>0</v>
      </c>
      <c r="AX41" s="20">
        <f t="shared" si="27"/>
        <v>0</v>
      </c>
      <c r="AY41" s="20">
        <f t="shared" si="28"/>
        <v>0</v>
      </c>
      <c r="AZ41" s="21">
        <f t="shared" si="29"/>
        <v>0</v>
      </c>
      <c r="BB41" s="21">
        <f t="shared" si="30"/>
        <v>0</v>
      </c>
      <c r="BC41" s="21">
        <f t="shared" si="31"/>
        <v>0</v>
      </c>
    </row>
    <row r="42" spans="1:55" x14ac:dyDescent="0.3">
      <c r="A42" s="1">
        <v>46084</v>
      </c>
      <c r="B42" s="11">
        <v>57.77</v>
      </c>
      <c r="C42" s="11">
        <v>100.82</v>
      </c>
      <c r="D42" s="12">
        <v>1.7451964687554</v>
      </c>
      <c r="E42" s="12">
        <v>1.74406374641995</v>
      </c>
      <c r="F42" s="12">
        <v>1.74425017626858</v>
      </c>
      <c r="G42" s="12">
        <v>1.74404970683787</v>
      </c>
      <c r="H42" s="11">
        <v>100.75456263068</v>
      </c>
      <c r="I42" s="11">
        <v>100.758825807821</v>
      </c>
      <c r="J42" s="11">
        <v>100.751996152768</v>
      </c>
      <c r="K42" s="13">
        <v>6.49262196222312E-4</v>
      </c>
      <c r="L42" s="13">
        <v>6.0695059425666599E-4</v>
      </c>
      <c r="M42" s="13">
        <v>6.7473509325741002E-4</v>
      </c>
      <c r="N42" s="24">
        <v>0</v>
      </c>
      <c r="O42" s="15">
        <v>0</v>
      </c>
      <c r="P42" s="25">
        <f t="shared" si="13"/>
        <v>57.77</v>
      </c>
      <c r="Q42" s="25">
        <f t="shared" si="13"/>
        <v>100.82</v>
      </c>
      <c r="R42" s="16">
        <f t="shared" si="2"/>
        <v>1.7451964687554091</v>
      </c>
      <c r="S42" s="16">
        <f t="shared" si="3"/>
        <v>1.7440637464199518</v>
      </c>
      <c r="T42" s="16">
        <f t="shared" si="9"/>
        <v>1.7442501762685825</v>
      </c>
      <c r="U42" s="16">
        <f t="shared" si="11"/>
        <v>1.7440497068378793</v>
      </c>
      <c r="V42" s="18">
        <f t="shared" si="4"/>
        <v>100.75456263068062</v>
      </c>
      <c r="W42" s="18">
        <f t="shared" si="10"/>
        <v>100.75882580782117</v>
      </c>
      <c r="X42" s="18">
        <f t="shared" si="14"/>
        <v>100.75199615276887</v>
      </c>
      <c r="Y42" s="19">
        <f t="shared" si="5"/>
        <v>6.4926219622231211E-4</v>
      </c>
      <c r="Z42" s="19">
        <f t="shared" si="5"/>
        <v>6.0695059425666664E-4</v>
      </c>
      <c r="AA42" s="19">
        <f t="shared" si="5"/>
        <v>6.7473509325741089E-4</v>
      </c>
      <c r="AC42" s="20">
        <f t="shared" si="6"/>
        <v>-5.5239222112670053E-3</v>
      </c>
      <c r="AD42" s="20">
        <f t="shared" si="6"/>
        <v>-5.1444513932790547E-3</v>
      </c>
      <c r="AE42" s="20"/>
      <c r="AF42" s="20"/>
      <c r="AH42">
        <f t="shared" si="15"/>
        <v>0</v>
      </c>
      <c r="AI42">
        <f t="shared" si="16"/>
        <v>1</v>
      </c>
      <c r="AJ42">
        <f t="shared" si="17"/>
        <v>0</v>
      </c>
      <c r="AK42">
        <f t="shared" si="12"/>
        <v>0</v>
      </c>
      <c r="AL42" s="20">
        <f t="shared" si="18"/>
        <v>0</v>
      </c>
      <c r="AM42" s="20">
        <f t="shared" si="19"/>
        <v>0</v>
      </c>
      <c r="AN42" s="20">
        <f t="shared" si="20"/>
        <v>0</v>
      </c>
      <c r="AO42" s="21">
        <f t="shared" si="21"/>
        <v>0</v>
      </c>
      <c r="AQ42" s="20"/>
      <c r="AS42">
        <f t="shared" si="22"/>
        <v>0</v>
      </c>
      <c r="AT42">
        <f t="shared" si="23"/>
        <v>0</v>
      </c>
      <c r="AU42">
        <f t="shared" si="24"/>
        <v>0</v>
      </c>
      <c r="AV42">
        <f t="shared" si="25"/>
        <v>0</v>
      </c>
      <c r="AW42" s="20">
        <f t="shared" si="26"/>
        <v>0</v>
      </c>
      <c r="AX42" s="20">
        <f t="shared" si="27"/>
        <v>0</v>
      </c>
      <c r="AY42" s="20">
        <f t="shared" si="28"/>
        <v>0</v>
      </c>
      <c r="AZ42" s="21">
        <f t="shared" si="29"/>
        <v>0</v>
      </c>
      <c r="BB42" s="21">
        <f t="shared" si="30"/>
        <v>0</v>
      </c>
      <c r="BC42" s="21">
        <f t="shared" si="31"/>
        <v>0</v>
      </c>
    </row>
    <row r="43" spans="1:55" x14ac:dyDescent="0.3">
      <c r="A43" s="1">
        <v>46085</v>
      </c>
      <c r="B43" s="11">
        <v>57.82</v>
      </c>
      <c r="C43" s="11">
        <v>100.81</v>
      </c>
      <c r="D43" s="12">
        <v>1.7435143548945</v>
      </c>
      <c r="E43" s="12">
        <v>1.74406374641995</v>
      </c>
      <c r="F43" s="12">
        <v>1.7441346241376701</v>
      </c>
      <c r="G43" s="12">
        <v>1.7440044520960101</v>
      </c>
      <c r="H43" s="11">
        <v>100.84176581800099</v>
      </c>
      <c r="I43" s="11">
        <v>100.852545191849</v>
      </c>
      <c r="J43" s="11">
        <v>100.840954049366</v>
      </c>
      <c r="K43" s="13">
        <v>-3.15056187438136E-4</v>
      </c>
      <c r="L43" s="13">
        <v>-4.2194441650223802E-4</v>
      </c>
      <c r="M43" s="13">
        <v>-3.0700623019825501E-4</v>
      </c>
      <c r="N43" s="24">
        <v>0</v>
      </c>
      <c r="O43" s="15">
        <v>0</v>
      </c>
      <c r="P43" s="25">
        <f t="shared" si="13"/>
        <v>57.82</v>
      </c>
      <c r="Q43" s="25">
        <f t="shared" si="13"/>
        <v>100.81</v>
      </c>
      <c r="R43" s="16">
        <f t="shared" si="2"/>
        <v>1.7435143548945002</v>
      </c>
      <c r="S43" s="16">
        <f t="shared" si="3"/>
        <v>1.7440637464199518</v>
      </c>
      <c r="T43" s="16">
        <f t="shared" si="9"/>
        <v>1.7441346241376749</v>
      </c>
      <c r="U43" s="16">
        <f t="shared" si="11"/>
        <v>1.7440044520960147</v>
      </c>
      <c r="V43" s="18">
        <f t="shared" si="4"/>
        <v>100.8417658180016</v>
      </c>
      <c r="W43" s="18">
        <f t="shared" si="10"/>
        <v>100.85254519184944</v>
      </c>
      <c r="X43" s="18">
        <f t="shared" si="14"/>
        <v>100.84095404936618</v>
      </c>
      <c r="Y43" s="19">
        <f t="shared" si="5"/>
        <v>-3.1505618743780315E-4</v>
      </c>
      <c r="Z43" s="19">
        <f t="shared" si="5"/>
        <v>-4.2194441650223862E-4</v>
      </c>
      <c r="AA43" s="19">
        <f t="shared" si="5"/>
        <v>-3.0700623019836668E-4</v>
      </c>
      <c r="AC43" s="20">
        <f t="shared" si="6"/>
        <v>8.6512679502586407E-4</v>
      </c>
      <c r="AD43" s="20">
        <f t="shared" si="6"/>
        <v>-9.9191588634498735E-5</v>
      </c>
      <c r="AE43" s="20"/>
      <c r="AF43" s="20"/>
      <c r="AH43">
        <f t="shared" si="15"/>
        <v>0</v>
      </c>
      <c r="AI43">
        <f t="shared" si="16"/>
        <v>0</v>
      </c>
      <c r="AJ43">
        <f t="shared" si="17"/>
        <v>0</v>
      </c>
      <c r="AK43">
        <f t="shared" si="12"/>
        <v>0</v>
      </c>
      <c r="AL43" s="20">
        <f t="shared" si="18"/>
        <v>0</v>
      </c>
      <c r="AM43" s="20">
        <f t="shared" si="19"/>
        <v>0</v>
      </c>
      <c r="AN43" s="20">
        <f t="shared" si="20"/>
        <v>0</v>
      </c>
      <c r="AO43" s="21">
        <f t="shared" si="21"/>
        <v>0</v>
      </c>
      <c r="AQ43" s="20"/>
      <c r="AS43">
        <f t="shared" si="22"/>
        <v>0</v>
      </c>
      <c r="AT43">
        <f t="shared" si="23"/>
        <v>1</v>
      </c>
      <c r="AU43">
        <f t="shared" si="24"/>
        <v>0</v>
      </c>
      <c r="AV43">
        <f t="shared" si="25"/>
        <v>0</v>
      </c>
      <c r="AW43" s="20">
        <f t="shared" si="26"/>
        <v>0</v>
      </c>
      <c r="AX43" s="20">
        <f t="shared" si="27"/>
        <v>0</v>
      </c>
      <c r="AY43" s="20">
        <f t="shared" si="28"/>
        <v>0</v>
      </c>
      <c r="AZ43" s="21">
        <f t="shared" si="29"/>
        <v>0</v>
      </c>
      <c r="BB43" s="21">
        <f t="shared" si="30"/>
        <v>0</v>
      </c>
      <c r="BC43" s="21">
        <f t="shared" si="31"/>
        <v>0</v>
      </c>
    </row>
    <row r="44" spans="1:55" x14ac:dyDescent="0.3">
      <c r="A44" s="1">
        <v>46086</v>
      </c>
      <c r="B44" s="11">
        <v>57.78</v>
      </c>
      <c r="C44" s="11">
        <v>100.74</v>
      </c>
      <c r="D44" s="12">
        <v>1.7435098650051899</v>
      </c>
      <c r="E44" s="12">
        <v>1.74406374641995</v>
      </c>
      <c r="F44" s="12">
        <v>1.7440957859561701</v>
      </c>
      <c r="G44" s="12">
        <v>1.74394148779828</v>
      </c>
      <c r="H44" s="11">
        <v>100.772003268144</v>
      </c>
      <c r="I44" s="11">
        <v>100.776098582674</v>
      </c>
      <c r="J44" s="11">
        <v>100.768577242107</v>
      </c>
      <c r="K44" s="13">
        <v>-3.1763138567312502E-4</v>
      </c>
      <c r="L44" s="13">
        <v>-3.5826996765904001E-4</v>
      </c>
      <c r="M44" s="13">
        <v>-2.8363301146224401E-4</v>
      </c>
      <c r="N44" s="24">
        <v>0</v>
      </c>
      <c r="O44" s="15">
        <v>0</v>
      </c>
      <c r="P44" s="25">
        <f t="shared" si="13"/>
        <v>57.78</v>
      </c>
      <c r="Q44" s="25">
        <f t="shared" si="13"/>
        <v>100.74</v>
      </c>
      <c r="R44" s="16">
        <f t="shared" si="2"/>
        <v>1.7435098650051919</v>
      </c>
      <c r="S44" s="16">
        <f t="shared" si="3"/>
        <v>1.7440637464199518</v>
      </c>
      <c r="T44" s="16">
        <f t="shared" si="9"/>
        <v>1.7440957859561728</v>
      </c>
      <c r="U44" s="16">
        <f t="shared" si="11"/>
        <v>1.7439414877982891</v>
      </c>
      <c r="V44" s="18">
        <f t="shared" si="4"/>
        <v>100.77200326814481</v>
      </c>
      <c r="W44" s="18">
        <f t="shared" si="10"/>
        <v>100.77609858267486</v>
      </c>
      <c r="X44" s="18">
        <f t="shared" si="14"/>
        <v>100.76857724210774</v>
      </c>
      <c r="Y44" s="19">
        <f t="shared" si="5"/>
        <v>-3.1763138567290325E-4</v>
      </c>
      <c r="Z44" s="19">
        <f t="shared" si="5"/>
        <v>-3.582699676590405E-4</v>
      </c>
      <c r="AA44" s="19">
        <f t="shared" si="5"/>
        <v>-2.8363301146224444E-4</v>
      </c>
      <c r="AC44" s="20">
        <f t="shared" si="6"/>
        <v>-6.9204155011080468E-4</v>
      </c>
      <c r="AD44" s="20">
        <f t="shared" si="6"/>
        <v>-6.946167483458175E-4</v>
      </c>
      <c r="AE44" s="20"/>
      <c r="AF44" s="20"/>
      <c r="AH44">
        <f t="shared" si="15"/>
        <v>0</v>
      </c>
      <c r="AI44">
        <f t="shared" si="16"/>
        <v>0</v>
      </c>
      <c r="AJ44">
        <f t="shared" si="17"/>
        <v>0</v>
      </c>
      <c r="AK44">
        <f t="shared" si="12"/>
        <v>0</v>
      </c>
      <c r="AL44" s="20">
        <f t="shared" si="18"/>
        <v>0</v>
      </c>
      <c r="AM44" s="20">
        <f t="shared" si="19"/>
        <v>0</v>
      </c>
      <c r="AN44" s="20">
        <f t="shared" si="20"/>
        <v>0</v>
      </c>
      <c r="AO44" s="21">
        <f t="shared" si="21"/>
        <v>0</v>
      </c>
      <c r="AQ44" s="20"/>
      <c r="AS44">
        <f t="shared" si="22"/>
        <v>0</v>
      </c>
      <c r="AT44">
        <f t="shared" si="23"/>
        <v>1</v>
      </c>
      <c r="AU44">
        <f t="shared" si="24"/>
        <v>0</v>
      </c>
      <c r="AV44">
        <f t="shared" si="25"/>
        <v>0</v>
      </c>
      <c r="AW44" s="20">
        <f t="shared" si="26"/>
        <v>0</v>
      </c>
      <c r="AX44" s="20">
        <f t="shared" si="27"/>
        <v>0</v>
      </c>
      <c r="AY44" s="20">
        <f t="shared" si="28"/>
        <v>0</v>
      </c>
      <c r="AZ44" s="21">
        <f t="shared" si="29"/>
        <v>0</v>
      </c>
      <c r="BB44" s="21">
        <f t="shared" si="30"/>
        <v>0</v>
      </c>
      <c r="BC44" s="21">
        <f t="shared" si="31"/>
        <v>0</v>
      </c>
    </row>
    <row r="45" spans="1:55" x14ac:dyDescent="0.3">
      <c r="A45" s="1">
        <v>46087</v>
      </c>
      <c r="B45" s="11">
        <v>57.73</v>
      </c>
      <c r="C45" s="11">
        <v>100.73</v>
      </c>
      <c r="D45" s="12">
        <v>1.7448467001558901</v>
      </c>
      <c r="E45" s="12">
        <v>1.74406374641995</v>
      </c>
      <c r="F45" s="12">
        <v>1.7441558596131199</v>
      </c>
      <c r="G45" s="12">
        <v>1.7439600659000001</v>
      </c>
      <c r="H45" s="11">
        <v>100.684800080823</v>
      </c>
      <c r="I45" s="11">
        <v>100.686649723249</v>
      </c>
      <c r="J45" s="11">
        <v>100.677742090595</v>
      </c>
      <c r="K45" s="13">
        <v>4.4882421665942397E-4</v>
      </c>
      <c r="L45" s="13">
        <v>4.3045376317300799E-4</v>
      </c>
      <c r="M45" s="13">
        <v>5.1892653216854205E-4</v>
      </c>
      <c r="N45" s="24">
        <v>0</v>
      </c>
      <c r="O45" s="15">
        <v>0</v>
      </c>
      <c r="P45" s="25">
        <f t="shared" si="13"/>
        <v>57.73</v>
      </c>
      <c r="Q45" s="25">
        <f t="shared" si="13"/>
        <v>100.73</v>
      </c>
      <c r="R45" s="16">
        <f t="shared" si="2"/>
        <v>1.7448467001558983</v>
      </c>
      <c r="S45" s="16">
        <f t="shared" si="3"/>
        <v>1.7440637464199518</v>
      </c>
      <c r="T45" s="16">
        <f t="shared" si="9"/>
        <v>1.744155859613123</v>
      </c>
      <c r="U45" s="16">
        <f t="shared" si="11"/>
        <v>1.7439600659000063</v>
      </c>
      <c r="V45" s="18">
        <f t="shared" si="4"/>
        <v>100.68480008082381</v>
      </c>
      <c r="W45" s="18">
        <f t="shared" si="10"/>
        <v>100.68664972324984</v>
      </c>
      <c r="X45" s="18">
        <f t="shared" si="14"/>
        <v>100.67774209059522</v>
      </c>
      <c r="Y45" s="19">
        <f t="shared" si="5"/>
        <v>4.4882421665964624E-4</v>
      </c>
      <c r="Z45" s="19">
        <f t="shared" si="5"/>
        <v>4.304537631730087E-4</v>
      </c>
      <c r="AA45" s="19">
        <f t="shared" si="5"/>
        <v>5.1892653216854259E-4</v>
      </c>
      <c r="AC45" s="20">
        <f t="shared" si="6"/>
        <v>-8.6572596524702318E-4</v>
      </c>
      <c r="AD45" s="20">
        <f t="shared" si="6"/>
        <v>-9.9270362914644357E-5</v>
      </c>
      <c r="AE45" s="20"/>
      <c r="AF45" s="20"/>
      <c r="AH45">
        <f t="shared" si="15"/>
        <v>0</v>
      </c>
      <c r="AI45">
        <f t="shared" si="16"/>
        <v>1</v>
      </c>
      <c r="AJ45">
        <f t="shared" si="17"/>
        <v>0</v>
      </c>
      <c r="AK45">
        <f t="shared" si="12"/>
        <v>0</v>
      </c>
      <c r="AL45" s="20">
        <f t="shared" si="18"/>
        <v>0</v>
      </c>
      <c r="AM45" s="20">
        <f t="shared" si="19"/>
        <v>0</v>
      </c>
      <c r="AN45" s="20">
        <f t="shared" si="20"/>
        <v>0</v>
      </c>
      <c r="AO45" s="21">
        <f t="shared" si="21"/>
        <v>0</v>
      </c>
      <c r="AQ45" s="20"/>
      <c r="AS45">
        <f t="shared" si="22"/>
        <v>0</v>
      </c>
      <c r="AT45">
        <f t="shared" si="23"/>
        <v>0</v>
      </c>
      <c r="AU45">
        <f t="shared" si="24"/>
        <v>0</v>
      </c>
      <c r="AV45">
        <f t="shared" si="25"/>
        <v>0</v>
      </c>
      <c r="AW45" s="20">
        <f t="shared" si="26"/>
        <v>0</v>
      </c>
      <c r="AX45" s="20">
        <f t="shared" si="27"/>
        <v>0</v>
      </c>
      <c r="AY45" s="20">
        <f t="shared" si="28"/>
        <v>0</v>
      </c>
      <c r="AZ45" s="21">
        <f t="shared" si="29"/>
        <v>0</v>
      </c>
      <c r="BB45" s="21">
        <f t="shared" si="30"/>
        <v>0</v>
      </c>
      <c r="BC45" s="21">
        <f t="shared" si="31"/>
        <v>0</v>
      </c>
    </row>
    <row r="46" spans="1:55" x14ac:dyDescent="0.3">
      <c r="A46" s="1">
        <v>46090</v>
      </c>
      <c r="B46" s="11">
        <v>57.73</v>
      </c>
      <c r="C46" s="11">
        <v>100.65</v>
      </c>
      <c r="D46" s="12">
        <v>1.74346093885328</v>
      </c>
      <c r="E46" s="12">
        <v>1.74406374641995</v>
      </c>
      <c r="F46" s="12">
        <v>1.7440170633885601</v>
      </c>
      <c r="G46" s="12">
        <v>1.7439330437938101</v>
      </c>
      <c r="H46" s="11">
        <v>100.684800080823</v>
      </c>
      <c r="I46" s="11">
        <v>100.690117775465</v>
      </c>
      <c r="J46" s="11">
        <v>100.67881460440699</v>
      </c>
      <c r="K46" s="13">
        <v>-3.4569365212992601E-4</v>
      </c>
      <c r="L46" s="13">
        <v>-3.9850752487622802E-4</v>
      </c>
      <c r="M46" s="13">
        <v>-2.8624421855083997E-4</v>
      </c>
      <c r="N46" s="24">
        <v>0</v>
      </c>
      <c r="O46" s="15">
        <v>0</v>
      </c>
      <c r="P46" s="25">
        <f t="shared" si="13"/>
        <v>57.73</v>
      </c>
      <c r="Q46" s="25">
        <f t="shared" si="13"/>
        <v>100.65</v>
      </c>
      <c r="R46" s="16">
        <f t="shared" si="2"/>
        <v>1.7434609388532827</v>
      </c>
      <c r="S46" s="16">
        <f t="shared" si="3"/>
        <v>1.7440637464199518</v>
      </c>
      <c r="T46" s="16">
        <f t="shared" si="9"/>
        <v>1.744017063388561</v>
      </c>
      <c r="U46" s="16">
        <f t="shared" si="11"/>
        <v>1.7439330437938185</v>
      </c>
      <c r="V46" s="18">
        <f t="shared" si="4"/>
        <v>100.68480008082381</v>
      </c>
      <c r="W46" s="18">
        <f t="shared" si="10"/>
        <v>100.69011777546558</v>
      </c>
      <c r="X46" s="18">
        <f t="shared" si="14"/>
        <v>100.67881460440736</v>
      </c>
      <c r="Y46" s="19">
        <f t="shared" si="5"/>
        <v>-3.45693652129593E-4</v>
      </c>
      <c r="Z46" s="19">
        <f t="shared" si="5"/>
        <v>-3.9850752487622862E-4</v>
      </c>
      <c r="AA46" s="19">
        <f t="shared" si="5"/>
        <v>-2.8624421855084008E-4</v>
      </c>
      <c r="AC46" s="20">
        <f t="shared" si="6"/>
        <v>0</v>
      </c>
      <c r="AD46" s="20">
        <f t="shared" si="6"/>
        <v>-7.9451786878919435E-4</v>
      </c>
      <c r="AE46" s="20"/>
      <c r="AF46" s="20"/>
      <c r="AH46">
        <f t="shared" si="15"/>
        <v>0</v>
      </c>
      <c r="AI46">
        <f t="shared" si="16"/>
        <v>0</v>
      </c>
      <c r="AJ46">
        <f t="shared" si="17"/>
        <v>0</v>
      </c>
      <c r="AK46">
        <f t="shared" si="12"/>
        <v>0</v>
      </c>
      <c r="AL46" s="20">
        <f t="shared" si="18"/>
        <v>0</v>
      </c>
      <c r="AM46" s="20">
        <f t="shared" si="19"/>
        <v>0</v>
      </c>
      <c r="AN46" s="20">
        <f t="shared" si="20"/>
        <v>0</v>
      </c>
      <c r="AO46" s="21">
        <f t="shared" si="21"/>
        <v>0</v>
      </c>
      <c r="AQ46" s="20"/>
      <c r="AS46">
        <f t="shared" si="22"/>
        <v>0</v>
      </c>
      <c r="AT46">
        <f t="shared" si="23"/>
        <v>1</v>
      </c>
      <c r="AU46">
        <f t="shared" si="24"/>
        <v>0</v>
      </c>
      <c r="AV46">
        <f t="shared" si="25"/>
        <v>0</v>
      </c>
      <c r="AW46" s="20">
        <f t="shared" si="26"/>
        <v>0</v>
      </c>
      <c r="AX46" s="20">
        <f t="shared" si="27"/>
        <v>0</v>
      </c>
      <c r="AY46" s="20">
        <f t="shared" si="28"/>
        <v>0</v>
      </c>
      <c r="AZ46" s="21">
        <f t="shared" si="29"/>
        <v>0</v>
      </c>
      <c r="BB46" s="21">
        <f t="shared" si="30"/>
        <v>0</v>
      </c>
      <c r="BC46" s="21">
        <f t="shared" si="31"/>
        <v>0</v>
      </c>
    </row>
    <row r="47" spans="1:55" x14ac:dyDescent="0.3">
      <c r="A47" s="1">
        <v>46091</v>
      </c>
      <c r="B47" s="11">
        <v>57.61</v>
      </c>
      <c r="C47" s="11">
        <v>100.55</v>
      </c>
      <c r="D47" s="12">
        <v>1.7453567089047</v>
      </c>
      <c r="E47" s="12">
        <v>1.74406374641995</v>
      </c>
      <c r="F47" s="12">
        <v>1.7440503320827301</v>
      </c>
      <c r="G47" s="12">
        <v>1.7439941849671401</v>
      </c>
      <c r="H47" s="11">
        <v>100.47551243125299</v>
      </c>
      <c r="I47" s="11">
        <v>100.472823021815</v>
      </c>
      <c r="J47" s="11">
        <v>100.467982652961</v>
      </c>
      <c r="K47" s="13">
        <v>7.41075809280976E-4</v>
      </c>
      <c r="L47" s="13">
        <v>7.6784298237099295E-4</v>
      </c>
      <c r="M47" s="13">
        <v>8.16020044643524E-4</v>
      </c>
      <c r="N47" s="24">
        <v>0</v>
      </c>
      <c r="O47" s="15">
        <v>0</v>
      </c>
      <c r="P47" s="25">
        <f t="shared" si="13"/>
        <v>57.61</v>
      </c>
      <c r="Q47" s="25">
        <f t="shared" si="13"/>
        <v>100.55</v>
      </c>
      <c r="R47" s="16">
        <f t="shared" si="2"/>
        <v>1.745356708904704</v>
      </c>
      <c r="S47" s="16">
        <f t="shared" si="3"/>
        <v>1.7440637464199518</v>
      </c>
      <c r="T47" s="16">
        <f t="shared" si="9"/>
        <v>1.7440503320827379</v>
      </c>
      <c r="U47" s="16">
        <f t="shared" si="11"/>
        <v>1.7439941849671416</v>
      </c>
      <c r="V47" s="18">
        <f t="shared" si="4"/>
        <v>100.47551243125342</v>
      </c>
      <c r="W47" s="18">
        <f t="shared" si="10"/>
        <v>100.472823021815</v>
      </c>
      <c r="X47" s="18">
        <f t="shared" si="14"/>
        <v>100.46798265296188</v>
      </c>
      <c r="Y47" s="19">
        <f t="shared" si="5"/>
        <v>7.4107580928119859E-4</v>
      </c>
      <c r="Z47" s="19">
        <f t="shared" si="5"/>
        <v>7.678429823709935E-4</v>
      </c>
      <c r="AA47" s="19">
        <f t="shared" si="5"/>
        <v>8.16020044643524E-4</v>
      </c>
      <c r="AC47" s="20">
        <f t="shared" si="6"/>
        <v>-2.0808053285504002E-3</v>
      </c>
      <c r="AD47" s="20">
        <f t="shared" si="6"/>
        <v>-9.9403586713952955E-4</v>
      </c>
      <c r="AE47" s="20"/>
      <c r="AF47" s="20"/>
      <c r="AH47">
        <f t="shared" si="15"/>
        <v>0</v>
      </c>
      <c r="AI47">
        <f t="shared" si="16"/>
        <v>1</v>
      </c>
      <c r="AJ47">
        <f t="shared" si="17"/>
        <v>0</v>
      </c>
      <c r="AK47">
        <f t="shared" si="12"/>
        <v>0</v>
      </c>
      <c r="AL47" s="20">
        <f t="shared" si="18"/>
        <v>0</v>
      </c>
      <c r="AM47" s="20">
        <f t="shared" si="19"/>
        <v>0</v>
      </c>
      <c r="AN47" s="20">
        <f t="shared" si="20"/>
        <v>0</v>
      </c>
      <c r="AO47" s="21">
        <f t="shared" si="21"/>
        <v>0</v>
      </c>
      <c r="AQ47" s="20"/>
      <c r="AS47">
        <f t="shared" si="22"/>
        <v>0</v>
      </c>
      <c r="AT47">
        <f t="shared" si="23"/>
        <v>0</v>
      </c>
      <c r="AU47">
        <f t="shared" si="24"/>
        <v>0</v>
      </c>
      <c r="AV47">
        <f t="shared" si="25"/>
        <v>0</v>
      </c>
      <c r="AW47" s="20">
        <f t="shared" si="26"/>
        <v>0</v>
      </c>
      <c r="AX47" s="20">
        <f t="shared" si="27"/>
        <v>0</v>
      </c>
      <c r="AY47" s="20">
        <f t="shared" si="28"/>
        <v>0</v>
      </c>
      <c r="AZ47" s="21">
        <f t="shared" si="29"/>
        <v>0</v>
      </c>
      <c r="BB47" s="21">
        <f t="shared" si="30"/>
        <v>0</v>
      </c>
      <c r="BC47" s="21">
        <f t="shared" si="31"/>
        <v>0</v>
      </c>
    </row>
    <row r="48" spans="1:55" x14ac:dyDescent="0.3">
      <c r="A48" s="1">
        <v>46092</v>
      </c>
      <c r="B48" s="11">
        <v>57.49</v>
      </c>
      <c r="C48" s="11">
        <v>100.25</v>
      </c>
      <c r="D48" s="12">
        <v>1.74378152722212</v>
      </c>
      <c r="E48" s="12">
        <v>1.74406374641995</v>
      </c>
      <c r="F48" s="12">
        <v>1.74409280848058</v>
      </c>
      <c r="G48" s="12">
        <v>1.7440514783825101</v>
      </c>
      <c r="H48" s="11">
        <v>100.26622478168299</v>
      </c>
      <c r="I48" s="11">
        <v>100.265453591436</v>
      </c>
      <c r="J48" s="11">
        <v>100.26222569376</v>
      </c>
      <c r="K48" s="13">
        <v>-1.6183011360926499E-4</v>
      </c>
      <c r="L48" s="13">
        <v>-1.5413865804755799E-4</v>
      </c>
      <c r="M48" s="13">
        <v>-1.21944621918472E-4</v>
      </c>
      <c r="N48" s="24">
        <v>0</v>
      </c>
      <c r="O48" s="15">
        <v>0</v>
      </c>
      <c r="P48" s="25">
        <f t="shared" si="13"/>
        <v>57.49</v>
      </c>
      <c r="Q48" s="25">
        <f t="shared" si="13"/>
        <v>100.25</v>
      </c>
      <c r="R48" s="16">
        <f t="shared" si="2"/>
        <v>1.7437815272221255</v>
      </c>
      <c r="S48" s="16">
        <f t="shared" si="3"/>
        <v>1.7440637464199518</v>
      </c>
      <c r="T48" s="16">
        <f t="shared" si="9"/>
        <v>1.7440928084805889</v>
      </c>
      <c r="U48" s="16">
        <f t="shared" si="11"/>
        <v>1.7440514783825118</v>
      </c>
      <c r="V48" s="18">
        <f t="shared" si="4"/>
        <v>100.26622478168304</v>
      </c>
      <c r="W48" s="18">
        <f t="shared" si="10"/>
        <v>100.2654535914366</v>
      </c>
      <c r="X48" s="18">
        <f t="shared" si="14"/>
        <v>100.26222569376098</v>
      </c>
      <c r="Y48" s="19">
        <f t="shared" si="5"/>
        <v>-1.6183011360915492E-4</v>
      </c>
      <c r="Z48" s="19">
        <f t="shared" si="5"/>
        <v>-1.5413865804755807E-4</v>
      </c>
      <c r="AA48" s="19">
        <f t="shared" si="5"/>
        <v>-1.2194462191847223E-4</v>
      </c>
      <c r="AC48" s="20">
        <f t="shared" si="6"/>
        <v>-2.0851441090921114E-3</v>
      </c>
      <c r="AD48" s="20">
        <f t="shared" si="6"/>
        <v>-2.9880500319824877E-3</v>
      </c>
      <c r="AE48" s="20"/>
      <c r="AF48" s="20"/>
      <c r="AH48">
        <f t="shared" si="15"/>
        <v>0</v>
      </c>
      <c r="AI48">
        <f t="shared" si="16"/>
        <v>0</v>
      </c>
      <c r="AJ48">
        <f t="shared" si="17"/>
        <v>0</v>
      </c>
      <c r="AK48">
        <f t="shared" si="12"/>
        <v>0</v>
      </c>
      <c r="AL48" s="20">
        <f t="shared" si="18"/>
        <v>0</v>
      </c>
      <c r="AM48" s="20">
        <f t="shared" si="19"/>
        <v>0</v>
      </c>
      <c r="AN48" s="20">
        <f t="shared" si="20"/>
        <v>0</v>
      </c>
      <c r="AO48" s="21">
        <f t="shared" si="21"/>
        <v>0</v>
      </c>
      <c r="AQ48" s="20"/>
      <c r="AS48">
        <f t="shared" si="22"/>
        <v>0</v>
      </c>
      <c r="AT48">
        <f t="shared" si="23"/>
        <v>1</v>
      </c>
      <c r="AU48">
        <f t="shared" si="24"/>
        <v>0</v>
      </c>
      <c r="AV48">
        <f t="shared" si="25"/>
        <v>0</v>
      </c>
      <c r="AW48" s="20">
        <f t="shared" si="26"/>
        <v>0</v>
      </c>
      <c r="AX48" s="20">
        <f t="shared" si="27"/>
        <v>0</v>
      </c>
      <c r="AY48" s="20">
        <f t="shared" si="28"/>
        <v>0</v>
      </c>
      <c r="AZ48" s="21">
        <f t="shared" si="29"/>
        <v>0</v>
      </c>
      <c r="BB48" s="21">
        <f t="shared" si="30"/>
        <v>0</v>
      </c>
      <c r="BC48" s="21">
        <f t="shared" si="31"/>
        <v>0</v>
      </c>
    </row>
    <row r="49" spans="1:55" x14ac:dyDescent="0.3">
      <c r="A49" s="1">
        <v>46093</v>
      </c>
      <c r="B49" s="11">
        <v>57.24</v>
      </c>
      <c r="C49" s="11">
        <v>99.87</v>
      </c>
      <c r="D49" s="12">
        <v>1.7447589098532399</v>
      </c>
      <c r="E49" s="12">
        <v>1.74406374641995</v>
      </c>
      <c r="F49" s="12">
        <v>1.7442325678914701</v>
      </c>
      <c r="G49" s="12">
        <v>1.7441256307717199</v>
      </c>
      <c r="H49" s="11">
        <v>99.830208845078005</v>
      </c>
      <c r="I49" s="11">
        <v>99.831872357428907</v>
      </c>
      <c r="J49" s="11">
        <v>99.8295066226149</v>
      </c>
      <c r="K49" s="13">
        <v>3.98508901704942E-4</v>
      </c>
      <c r="L49" s="13">
        <v>3.8184562402231501E-4</v>
      </c>
      <c r="M49" s="13">
        <v>4.0554309447084598E-4</v>
      </c>
      <c r="N49" s="24">
        <v>0</v>
      </c>
      <c r="O49" s="15">
        <v>0</v>
      </c>
      <c r="P49" s="25">
        <f t="shared" si="13"/>
        <v>57.24</v>
      </c>
      <c r="Q49" s="25">
        <f t="shared" si="13"/>
        <v>99.87</v>
      </c>
      <c r="R49" s="16">
        <f t="shared" si="2"/>
        <v>1.7447589098532494</v>
      </c>
      <c r="S49" s="16">
        <f t="shared" si="3"/>
        <v>1.7440637464199518</v>
      </c>
      <c r="T49" s="16">
        <f t="shared" si="9"/>
        <v>1.744232567891475</v>
      </c>
      <c r="U49" s="16">
        <f t="shared" si="11"/>
        <v>1.7441256307717257</v>
      </c>
      <c r="V49" s="18">
        <f t="shared" si="4"/>
        <v>99.830208845078047</v>
      </c>
      <c r="W49" s="18">
        <f t="shared" si="10"/>
        <v>99.831872357428907</v>
      </c>
      <c r="X49" s="18">
        <f t="shared" si="14"/>
        <v>99.829506622614986</v>
      </c>
      <c r="Y49" s="19">
        <f t="shared" si="5"/>
        <v>3.985089017049421E-4</v>
      </c>
      <c r="Z49" s="19">
        <f t="shared" si="5"/>
        <v>3.8184562402231506E-4</v>
      </c>
      <c r="AA49" s="19">
        <f t="shared" si="5"/>
        <v>4.0554309447062399E-4</v>
      </c>
      <c r="AC49" s="20">
        <f t="shared" si="6"/>
        <v>-4.3580649469494121E-3</v>
      </c>
      <c r="AD49" s="20">
        <f t="shared" si="6"/>
        <v>-3.7977259316352733E-3</v>
      </c>
      <c r="AE49" s="20"/>
      <c r="AF49" s="20"/>
      <c r="AH49">
        <f t="shared" si="15"/>
        <v>0</v>
      </c>
      <c r="AI49">
        <f t="shared" si="16"/>
        <v>1</v>
      </c>
      <c r="AJ49">
        <f t="shared" si="17"/>
        <v>0</v>
      </c>
      <c r="AK49">
        <f t="shared" si="12"/>
        <v>0</v>
      </c>
      <c r="AL49" s="20">
        <f t="shared" si="18"/>
        <v>0</v>
      </c>
      <c r="AM49" s="20">
        <f t="shared" si="19"/>
        <v>0</v>
      </c>
      <c r="AN49" s="20">
        <f t="shared" si="20"/>
        <v>0</v>
      </c>
      <c r="AO49" s="21">
        <f t="shared" si="21"/>
        <v>0</v>
      </c>
      <c r="AQ49" s="20"/>
      <c r="AS49">
        <f t="shared" si="22"/>
        <v>0</v>
      </c>
      <c r="AT49">
        <f t="shared" si="23"/>
        <v>0</v>
      </c>
      <c r="AU49">
        <f t="shared" si="24"/>
        <v>0</v>
      </c>
      <c r="AV49">
        <f t="shared" si="25"/>
        <v>0</v>
      </c>
      <c r="AW49" s="20">
        <f t="shared" si="26"/>
        <v>0</v>
      </c>
      <c r="AX49" s="20">
        <f t="shared" si="27"/>
        <v>0</v>
      </c>
      <c r="AY49" s="20">
        <f t="shared" si="28"/>
        <v>0</v>
      </c>
      <c r="AZ49" s="21">
        <f t="shared" si="29"/>
        <v>0</v>
      </c>
      <c r="BB49" s="21">
        <f t="shared" si="30"/>
        <v>0</v>
      </c>
      <c r="BC49" s="21">
        <f t="shared" si="31"/>
        <v>0</v>
      </c>
    </row>
    <row r="50" spans="1:55" x14ac:dyDescent="0.3">
      <c r="A50" s="1">
        <v>46094</v>
      </c>
      <c r="B50" s="11">
        <v>57.44</v>
      </c>
      <c r="C50" s="11">
        <v>100.17</v>
      </c>
      <c r="D50" s="12">
        <v>1.74390668523676</v>
      </c>
      <c r="E50" s="12">
        <v>1.74406374641995</v>
      </c>
      <c r="F50" s="12">
        <v>1.7442866502141501</v>
      </c>
      <c r="G50" s="12">
        <v>1.74416729096713</v>
      </c>
      <c r="H50" s="11">
        <v>100.179021594362</v>
      </c>
      <c r="I50" s="11">
        <v>100.18871869968601</v>
      </c>
      <c r="J50" s="11">
        <v>100.18257623152699</v>
      </c>
      <c r="K50" s="13">
        <v>-9.0058781384134097E-5</v>
      </c>
      <c r="L50" s="13">
        <v>-1.86851861124455E-4</v>
      </c>
      <c r="M50" s="13">
        <v>-1.25541001578439E-4</v>
      </c>
      <c r="N50" s="24">
        <v>0</v>
      </c>
      <c r="O50" s="15">
        <v>0</v>
      </c>
      <c r="P50" s="25">
        <f t="shared" si="13"/>
        <v>57.44</v>
      </c>
      <c r="Q50" s="25">
        <f t="shared" si="13"/>
        <v>100.17</v>
      </c>
      <c r="R50" s="16">
        <f t="shared" si="2"/>
        <v>1.7439066852367688</v>
      </c>
      <c r="S50" s="16">
        <f t="shared" si="3"/>
        <v>1.7440637464199518</v>
      </c>
      <c r="T50" s="16">
        <f t="shared" si="9"/>
        <v>1.7442866502141587</v>
      </c>
      <c r="U50" s="16">
        <f t="shared" si="11"/>
        <v>1.7441672909671382</v>
      </c>
      <c r="V50" s="18">
        <f t="shared" si="4"/>
        <v>100.17902159436203</v>
      </c>
      <c r="W50" s="18">
        <f t="shared" si="10"/>
        <v>100.18871869968632</v>
      </c>
      <c r="X50" s="18">
        <f t="shared" si="14"/>
        <v>100.18257623152792</v>
      </c>
      <c r="Y50" s="19">
        <f t="shared" si="5"/>
        <v>-9.0058781383912039E-5</v>
      </c>
      <c r="Z50" s="19">
        <f t="shared" si="5"/>
        <v>-1.8685186112445503E-4</v>
      </c>
      <c r="AA50" s="19">
        <f t="shared" si="5"/>
        <v>-1.2554100157810636E-4</v>
      </c>
      <c r="AC50" s="20">
        <f t="shared" si="6"/>
        <v>3.4879700517186072E-3</v>
      </c>
      <c r="AD50" s="20">
        <f t="shared" si="6"/>
        <v>2.9994023686295331E-3</v>
      </c>
      <c r="AE50" s="20"/>
      <c r="AF50" s="20"/>
      <c r="AH50">
        <f t="shared" si="15"/>
        <v>0</v>
      </c>
      <c r="AI50">
        <f t="shared" si="16"/>
        <v>0</v>
      </c>
      <c r="AJ50">
        <f t="shared" si="17"/>
        <v>0</v>
      </c>
      <c r="AK50">
        <f t="shared" si="12"/>
        <v>0</v>
      </c>
      <c r="AL50" s="20">
        <f t="shared" si="18"/>
        <v>0</v>
      </c>
      <c r="AM50" s="20">
        <f t="shared" si="19"/>
        <v>0</v>
      </c>
      <c r="AN50" s="20">
        <f t="shared" si="20"/>
        <v>0</v>
      </c>
      <c r="AO50" s="21">
        <f t="shared" si="21"/>
        <v>0</v>
      </c>
      <c r="AQ50" s="20"/>
      <c r="AS50">
        <f t="shared" si="22"/>
        <v>0</v>
      </c>
      <c r="AT50">
        <f t="shared" si="23"/>
        <v>1</v>
      </c>
      <c r="AU50">
        <f t="shared" si="24"/>
        <v>0</v>
      </c>
      <c r="AV50">
        <f t="shared" si="25"/>
        <v>0</v>
      </c>
      <c r="AW50" s="20">
        <f t="shared" si="26"/>
        <v>0</v>
      </c>
      <c r="AX50" s="20">
        <f t="shared" si="27"/>
        <v>0</v>
      </c>
      <c r="AY50" s="20">
        <f t="shared" si="28"/>
        <v>0</v>
      </c>
      <c r="AZ50" s="21">
        <f t="shared" si="29"/>
        <v>0</v>
      </c>
      <c r="BB50" s="21">
        <f t="shared" si="30"/>
        <v>0</v>
      </c>
      <c r="BC50" s="21">
        <f t="shared" si="31"/>
        <v>0</v>
      </c>
    </row>
    <row r="51" spans="1:55" x14ac:dyDescent="0.3">
      <c r="A51" s="1">
        <v>46097</v>
      </c>
      <c r="B51" s="11">
        <v>57.5</v>
      </c>
      <c r="C51" s="11">
        <v>100.23</v>
      </c>
      <c r="D51" s="12">
        <v>1.7431304347826</v>
      </c>
      <c r="E51" s="12">
        <v>1.74406374641995</v>
      </c>
      <c r="F51" s="12">
        <v>1.7441462593663699</v>
      </c>
      <c r="G51" s="12">
        <v>1.74414190073928</v>
      </c>
      <c r="H51" s="11">
        <v>100.283665419147</v>
      </c>
      <c r="I51" s="11">
        <v>100.296482387314</v>
      </c>
      <c r="J51" s="11">
        <v>100.28961923061</v>
      </c>
      <c r="K51" s="13">
        <v>-5.3527943161819805E-4</v>
      </c>
      <c r="L51" s="13">
        <v>-6.6307840199969395E-4</v>
      </c>
      <c r="M51" s="13">
        <v>-5.9464737262146202E-4</v>
      </c>
      <c r="N51" s="24">
        <v>0</v>
      </c>
      <c r="O51" s="15">
        <v>0</v>
      </c>
      <c r="P51" s="25">
        <f t="shared" si="13"/>
        <v>57.5</v>
      </c>
      <c r="Q51" s="25">
        <f t="shared" si="13"/>
        <v>100.23</v>
      </c>
      <c r="R51" s="16">
        <f t="shared" si="2"/>
        <v>1.7431304347826089</v>
      </c>
      <c r="S51" s="16">
        <f t="shared" si="3"/>
        <v>1.7440637464199518</v>
      </c>
      <c r="T51" s="16">
        <f t="shared" si="9"/>
        <v>1.7441462593663737</v>
      </c>
      <c r="U51" s="16">
        <f t="shared" si="11"/>
        <v>1.7441419007392813</v>
      </c>
      <c r="V51" s="18">
        <f t="shared" si="4"/>
        <v>100.28366541914723</v>
      </c>
      <c r="W51" s="18">
        <f t="shared" si="10"/>
        <v>100.29648238731413</v>
      </c>
      <c r="X51" s="18">
        <f t="shared" si="14"/>
        <v>100.28961923061044</v>
      </c>
      <c r="Y51" s="19">
        <f t="shared" si="5"/>
        <v>-5.3527943161786476E-4</v>
      </c>
      <c r="Z51" s="19">
        <f t="shared" si="5"/>
        <v>-6.6307840199969481E-4</v>
      </c>
      <c r="AA51" s="19">
        <f t="shared" si="5"/>
        <v>-5.9464737262124019E-4</v>
      </c>
      <c r="AC51" s="20">
        <f t="shared" si="6"/>
        <v>1.0440230633361085E-3</v>
      </c>
      <c r="AD51" s="20">
        <f t="shared" si="6"/>
        <v>5.9880241310202281E-4</v>
      </c>
      <c r="AE51" s="20"/>
      <c r="AF51" s="20"/>
      <c r="AH51">
        <f t="shared" si="15"/>
        <v>0</v>
      </c>
      <c r="AI51">
        <f t="shared" si="16"/>
        <v>0</v>
      </c>
      <c r="AJ51">
        <f t="shared" si="17"/>
        <v>0</v>
      </c>
      <c r="AK51">
        <f t="shared" si="12"/>
        <v>0</v>
      </c>
      <c r="AL51" s="20">
        <f t="shared" si="18"/>
        <v>0</v>
      </c>
      <c r="AM51" s="20">
        <f t="shared" si="19"/>
        <v>0</v>
      </c>
      <c r="AN51" s="20">
        <f t="shared" si="20"/>
        <v>0</v>
      </c>
      <c r="AO51" s="21">
        <f t="shared" si="21"/>
        <v>0</v>
      </c>
      <c r="AQ51" s="20"/>
      <c r="AS51">
        <f t="shared" si="22"/>
        <v>0</v>
      </c>
      <c r="AT51">
        <f t="shared" si="23"/>
        <v>1</v>
      </c>
      <c r="AU51">
        <f t="shared" si="24"/>
        <v>0</v>
      </c>
      <c r="AV51">
        <f t="shared" si="25"/>
        <v>0</v>
      </c>
      <c r="AW51" s="20">
        <f t="shared" si="26"/>
        <v>0</v>
      </c>
      <c r="AX51" s="20">
        <f t="shared" si="27"/>
        <v>0</v>
      </c>
      <c r="AY51" s="20">
        <f t="shared" si="28"/>
        <v>0</v>
      </c>
      <c r="AZ51" s="21">
        <f t="shared" si="29"/>
        <v>0</v>
      </c>
      <c r="BB51" s="21">
        <f t="shared" si="30"/>
        <v>0</v>
      </c>
      <c r="BC51" s="21">
        <f t="shared" si="31"/>
        <v>0</v>
      </c>
    </row>
    <row r="52" spans="1:55" x14ac:dyDescent="0.3">
      <c r="A52" s="1">
        <v>46098</v>
      </c>
      <c r="B52" s="11">
        <v>57.51</v>
      </c>
      <c r="C52" s="11">
        <v>100.24</v>
      </c>
      <c r="D52" s="12">
        <v>1.7430012171796201</v>
      </c>
      <c r="E52" s="12">
        <v>1.74406374641995</v>
      </c>
      <c r="F52" s="12">
        <v>1.7439267342087901</v>
      </c>
      <c r="G52" s="12">
        <v>1.7440884552386799</v>
      </c>
      <c r="H52" s="11">
        <v>100.301106056611</v>
      </c>
      <c r="I52" s="11">
        <v>100.30585137616001</v>
      </c>
      <c r="J52" s="11">
        <v>100.30560071151601</v>
      </c>
      <c r="K52" s="13">
        <v>-6.09411802938294E-4</v>
      </c>
      <c r="L52" s="13">
        <v>-6.5672142380414204E-4</v>
      </c>
      <c r="M52" s="13">
        <v>-6.5422241747632595E-4</v>
      </c>
      <c r="N52" s="24">
        <v>0</v>
      </c>
      <c r="O52" s="15">
        <v>0</v>
      </c>
      <c r="P52" s="25">
        <f t="shared" si="13"/>
        <v>57.51</v>
      </c>
      <c r="Q52" s="25">
        <f t="shared" si="13"/>
        <v>100.24</v>
      </c>
      <c r="R52" s="16">
        <f t="shared" si="2"/>
        <v>1.743001217179621</v>
      </c>
      <c r="S52" s="16">
        <f t="shared" si="3"/>
        <v>1.7440637464199518</v>
      </c>
      <c r="T52" s="16">
        <f t="shared" si="9"/>
        <v>1.7439267342087952</v>
      </c>
      <c r="U52" s="16">
        <f t="shared" si="11"/>
        <v>1.7440884552386886</v>
      </c>
      <c r="V52" s="18">
        <f t="shared" si="4"/>
        <v>100.30110605661142</v>
      </c>
      <c r="W52" s="18">
        <f t="shared" si="10"/>
        <v>100.30585137616015</v>
      </c>
      <c r="X52" s="18">
        <f t="shared" si="14"/>
        <v>100.30560071151606</v>
      </c>
      <c r="Y52" s="19">
        <f t="shared" si="5"/>
        <v>-6.0941180293796126E-4</v>
      </c>
      <c r="Z52" s="19">
        <f t="shared" si="5"/>
        <v>-6.5672142380403145E-4</v>
      </c>
      <c r="AA52" s="19">
        <f t="shared" si="5"/>
        <v>-6.5422241747632639E-4</v>
      </c>
      <c r="AC52" s="20">
        <f t="shared" si="6"/>
        <v>1.7389792235793756E-4</v>
      </c>
      <c r="AD52" s="20">
        <f t="shared" si="6"/>
        <v>9.9765551038003385E-5</v>
      </c>
      <c r="AE52" s="20"/>
      <c r="AF52" s="20"/>
      <c r="AH52">
        <f t="shared" si="15"/>
        <v>0</v>
      </c>
      <c r="AI52">
        <f t="shared" si="16"/>
        <v>0</v>
      </c>
      <c r="AJ52">
        <f t="shared" si="17"/>
        <v>0</v>
      </c>
      <c r="AK52">
        <f t="shared" si="12"/>
        <v>0</v>
      </c>
      <c r="AL52" s="20">
        <f t="shared" si="18"/>
        <v>0</v>
      </c>
      <c r="AM52" s="20">
        <f t="shared" si="19"/>
        <v>0</v>
      </c>
      <c r="AN52" s="20">
        <f t="shared" si="20"/>
        <v>0</v>
      </c>
      <c r="AO52" s="21">
        <f t="shared" si="21"/>
        <v>0</v>
      </c>
      <c r="AQ52" s="20"/>
      <c r="AS52">
        <f t="shared" si="22"/>
        <v>0</v>
      </c>
      <c r="AT52">
        <f t="shared" si="23"/>
        <v>1</v>
      </c>
      <c r="AU52">
        <f t="shared" si="24"/>
        <v>0</v>
      </c>
      <c r="AV52">
        <f t="shared" si="25"/>
        <v>0</v>
      </c>
      <c r="AW52" s="20">
        <f t="shared" si="26"/>
        <v>0</v>
      </c>
      <c r="AX52" s="20">
        <f t="shared" si="27"/>
        <v>0</v>
      </c>
      <c r="AY52" s="20">
        <f t="shared" si="28"/>
        <v>0</v>
      </c>
      <c r="AZ52" s="21">
        <f t="shared" si="29"/>
        <v>0</v>
      </c>
      <c r="BB52" s="21">
        <f t="shared" si="30"/>
        <v>0</v>
      </c>
      <c r="BC52" s="21">
        <f t="shared" si="31"/>
        <v>0</v>
      </c>
    </row>
    <row r="53" spans="1:55" x14ac:dyDescent="0.3">
      <c r="A53" s="1">
        <v>46099</v>
      </c>
      <c r="B53" s="11">
        <v>57.39</v>
      </c>
      <c r="C53" s="11">
        <v>100.09</v>
      </c>
      <c r="D53" s="12">
        <v>1.74403206133472</v>
      </c>
      <c r="E53" s="12">
        <v>1.74406374641995</v>
      </c>
      <c r="F53" s="12">
        <v>1.74397850485281</v>
      </c>
      <c r="G53" s="12">
        <v>1.7440565644952399</v>
      </c>
      <c r="H53" s="11">
        <v>100.091818407041</v>
      </c>
      <c r="I53" s="11">
        <v>100.08395527624199</v>
      </c>
      <c r="J53" s="11">
        <v>100.093236446148</v>
      </c>
      <c r="K53" s="13">
        <v>-1.8167554431985302E-5</v>
      </c>
      <c r="L53" s="13">
        <v>6.0394707700511398E-5</v>
      </c>
      <c r="M53" s="13">
        <v>-3.2334836883513199E-5</v>
      </c>
      <c r="N53" s="24">
        <v>0</v>
      </c>
      <c r="O53" s="15">
        <v>0</v>
      </c>
      <c r="P53" s="25">
        <f t="shared" si="13"/>
        <v>57.39</v>
      </c>
      <c r="Q53" s="25">
        <f t="shared" si="13"/>
        <v>100.09</v>
      </c>
      <c r="R53" s="16">
        <f t="shared" si="2"/>
        <v>1.7440320613347273</v>
      </c>
      <c r="S53" s="16">
        <f t="shared" si="3"/>
        <v>1.7440637464199518</v>
      </c>
      <c r="T53" s="16">
        <f t="shared" si="9"/>
        <v>1.743978504852818</v>
      </c>
      <c r="U53" s="16">
        <f t="shared" si="11"/>
        <v>1.7440565644952462</v>
      </c>
      <c r="V53" s="18">
        <f t="shared" si="4"/>
        <v>100.09181840704103</v>
      </c>
      <c r="W53" s="18">
        <f t="shared" si="10"/>
        <v>100.08395527624276</v>
      </c>
      <c r="X53" s="18">
        <f t="shared" si="14"/>
        <v>100.09323644614834</v>
      </c>
      <c r="Y53" s="19">
        <f t="shared" si="5"/>
        <v>-1.8167554431763271E-5</v>
      </c>
      <c r="Z53" s="19">
        <f t="shared" si="5"/>
        <v>6.0394707700511452E-5</v>
      </c>
      <c r="AA53" s="19">
        <f t="shared" si="5"/>
        <v>-3.2334836883180213E-5</v>
      </c>
      <c r="AC53" s="20">
        <f t="shared" si="6"/>
        <v>-2.0887736053915762E-3</v>
      </c>
      <c r="AD53" s="20">
        <f t="shared" si="6"/>
        <v>-1.4975293568853026E-3</v>
      </c>
      <c r="AE53" s="20"/>
      <c r="AF53" s="20"/>
      <c r="AH53">
        <f t="shared" si="15"/>
        <v>0</v>
      </c>
      <c r="AI53">
        <f t="shared" si="16"/>
        <v>0</v>
      </c>
      <c r="AJ53">
        <f t="shared" si="17"/>
        <v>0</v>
      </c>
      <c r="AK53">
        <f t="shared" si="12"/>
        <v>0</v>
      </c>
      <c r="AL53" s="20">
        <f t="shared" si="18"/>
        <v>0</v>
      </c>
      <c r="AM53" s="20">
        <f t="shared" si="19"/>
        <v>0</v>
      </c>
      <c r="AN53" s="20">
        <f t="shared" si="20"/>
        <v>0</v>
      </c>
      <c r="AO53" s="21">
        <f t="shared" si="21"/>
        <v>0</v>
      </c>
      <c r="AQ53" s="20"/>
      <c r="AS53">
        <f t="shared" si="22"/>
        <v>0</v>
      </c>
      <c r="AT53">
        <f t="shared" si="23"/>
        <v>1</v>
      </c>
      <c r="AU53">
        <f t="shared" si="24"/>
        <v>0</v>
      </c>
      <c r="AV53">
        <f t="shared" si="25"/>
        <v>0</v>
      </c>
      <c r="AW53" s="20">
        <f t="shared" si="26"/>
        <v>0</v>
      </c>
      <c r="AX53" s="20">
        <f t="shared" si="27"/>
        <v>0</v>
      </c>
      <c r="AY53" s="20">
        <f t="shared" si="28"/>
        <v>0</v>
      </c>
      <c r="AZ53" s="21">
        <f t="shared" si="29"/>
        <v>0</v>
      </c>
      <c r="BB53" s="21">
        <f t="shared" si="30"/>
        <v>0</v>
      </c>
      <c r="BC53" s="21">
        <f t="shared" si="31"/>
        <v>0</v>
      </c>
    </row>
    <row r="54" spans="1:55" x14ac:dyDescent="0.3">
      <c r="A54" s="1">
        <v>46100</v>
      </c>
      <c r="B54" s="11">
        <v>57.3</v>
      </c>
      <c r="C54" s="11">
        <v>99.93</v>
      </c>
      <c r="D54" s="12">
        <v>1.7439790575916201</v>
      </c>
      <c r="E54" s="12">
        <v>1.74406374641995</v>
      </c>
      <c r="F54" s="12">
        <v>1.7440254241114601</v>
      </c>
      <c r="G54" s="12">
        <v>1.7440606050338101</v>
      </c>
      <c r="H54" s="11">
        <v>99.934852669863204</v>
      </c>
      <c r="I54" s="11">
        <v>99.929968328066394</v>
      </c>
      <c r="J54" s="11">
        <v>99.934441145577594</v>
      </c>
      <c r="K54" s="13">
        <v>-4.8559512084165897E-5</v>
      </c>
      <c r="L54" s="13">
        <v>3.1694124453867901E-7</v>
      </c>
      <c r="M54" s="13">
        <v>-4.4441578030302297E-5</v>
      </c>
      <c r="N54" s="24">
        <v>0</v>
      </c>
      <c r="O54" s="15">
        <v>0</v>
      </c>
      <c r="P54" s="25">
        <f t="shared" si="13"/>
        <v>57.3</v>
      </c>
      <c r="Q54" s="25">
        <f t="shared" si="13"/>
        <v>99.93</v>
      </c>
      <c r="R54" s="16">
        <f t="shared" si="2"/>
        <v>1.7439790575916232</v>
      </c>
      <c r="S54" s="16">
        <f t="shared" si="3"/>
        <v>1.7440637464199518</v>
      </c>
      <c r="T54" s="16">
        <f t="shared" si="9"/>
        <v>1.7440254241114612</v>
      </c>
      <c r="U54" s="16">
        <f t="shared" si="11"/>
        <v>1.7440606050338168</v>
      </c>
      <c r="V54" s="18">
        <f t="shared" si="4"/>
        <v>99.934852669863233</v>
      </c>
      <c r="W54" s="18">
        <f t="shared" si="10"/>
        <v>99.929968328066465</v>
      </c>
      <c r="X54" s="18">
        <f t="shared" si="14"/>
        <v>99.934441145577594</v>
      </c>
      <c r="Y54" s="19">
        <f t="shared" si="5"/>
        <v>-4.8559512083832878E-5</v>
      </c>
      <c r="Z54" s="19">
        <f t="shared" si="5"/>
        <v>3.1694124453867959E-7</v>
      </c>
      <c r="AA54" s="19">
        <f t="shared" si="5"/>
        <v>-4.4441578030191274E-5</v>
      </c>
      <c r="AC54" s="20">
        <f t="shared" si="6"/>
        <v>-1.5694483995773671E-3</v>
      </c>
      <c r="AD54" s="20">
        <f t="shared" si="6"/>
        <v>-1.5998403572294356E-3</v>
      </c>
      <c r="AE54" s="20"/>
      <c r="AF54" s="20"/>
      <c r="AH54">
        <f t="shared" si="15"/>
        <v>0</v>
      </c>
      <c r="AI54">
        <f t="shared" si="16"/>
        <v>0</v>
      </c>
      <c r="AJ54">
        <f t="shared" si="17"/>
        <v>0</v>
      </c>
      <c r="AK54">
        <f t="shared" si="12"/>
        <v>0</v>
      </c>
      <c r="AL54" s="20">
        <f t="shared" si="18"/>
        <v>0</v>
      </c>
      <c r="AM54" s="20">
        <f t="shared" si="19"/>
        <v>0</v>
      </c>
      <c r="AN54" s="20">
        <f t="shared" si="20"/>
        <v>0</v>
      </c>
      <c r="AO54" s="21">
        <f t="shared" si="21"/>
        <v>0</v>
      </c>
      <c r="AQ54" s="20"/>
      <c r="AS54">
        <f t="shared" si="22"/>
        <v>0</v>
      </c>
      <c r="AT54">
        <f t="shared" si="23"/>
        <v>1</v>
      </c>
      <c r="AU54">
        <f t="shared" si="24"/>
        <v>0</v>
      </c>
      <c r="AV54">
        <f t="shared" si="25"/>
        <v>0</v>
      </c>
      <c r="AW54" s="20">
        <f t="shared" si="26"/>
        <v>0</v>
      </c>
      <c r="AX54" s="20">
        <f t="shared" si="27"/>
        <v>0</v>
      </c>
      <c r="AY54" s="20">
        <f t="shared" si="28"/>
        <v>0</v>
      </c>
      <c r="AZ54" s="21">
        <f t="shared" si="29"/>
        <v>0</v>
      </c>
      <c r="BB54" s="21">
        <f t="shared" si="30"/>
        <v>0</v>
      </c>
      <c r="BC54" s="21">
        <f t="shared" si="31"/>
        <v>0</v>
      </c>
    </row>
    <row r="55" spans="1:55" x14ac:dyDescent="0.3">
      <c r="A55" s="1">
        <v>46101</v>
      </c>
      <c r="B55" s="11">
        <v>56.8</v>
      </c>
      <c r="C55" s="11">
        <v>99.14</v>
      </c>
      <c r="D55" s="12">
        <v>1.74542253521126</v>
      </c>
      <c r="E55" s="12">
        <v>1.74406374641995</v>
      </c>
      <c r="F55" s="12">
        <v>1.74408300761699</v>
      </c>
      <c r="G55" s="12">
        <v>1.7441194336150601</v>
      </c>
      <c r="H55" s="11">
        <v>99.062820796653199</v>
      </c>
      <c r="I55" s="11">
        <v>99.060644089530896</v>
      </c>
      <c r="J55" s="11">
        <v>99.062642365920794</v>
      </c>
      <c r="K55" s="13">
        <v>7.7879020023377803E-4</v>
      </c>
      <c r="L55" s="13">
        <v>8.0076343923074001E-4</v>
      </c>
      <c r="M55" s="13">
        <v>7.8059138953709601E-4</v>
      </c>
      <c r="N55" s="24">
        <v>0</v>
      </c>
      <c r="O55" s="15">
        <v>0</v>
      </c>
      <c r="P55" s="25">
        <f t="shared" si="13"/>
        <v>56.8</v>
      </c>
      <c r="Q55" s="25">
        <f t="shared" si="13"/>
        <v>99.14</v>
      </c>
      <c r="R55" s="16">
        <f t="shared" si="2"/>
        <v>1.7454225352112678</v>
      </c>
      <c r="S55" s="16">
        <f t="shared" si="3"/>
        <v>1.7440637464199518</v>
      </c>
      <c r="T55" s="16">
        <f t="shared" si="9"/>
        <v>1.744083007616998</v>
      </c>
      <c r="U55" s="16">
        <f t="shared" si="11"/>
        <v>1.7441194336150605</v>
      </c>
      <c r="V55" s="18">
        <f t="shared" si="4"/>
        <v>99.062820796653256</v>
      </c>
      <c r="W55" s="18">
        <f t="shared" si="10"/>
        <v>99.060644089530996</v>
      </c>
      <c r="X55" s="18">
        <f t="shared" si="14"/>
        <v>99.062642365920794</v>
      </c>
      <c r="Y55" s="19">
        <f t="shared" si="5"/>
        <v>7.7879020023422234E-4</v>
      </c>
      <c r="Z55" s="19">
        <f t="shared" si="5"/>
        <v>8.0076343923029625E-4</v>
      </c>
      <c r="AA55" s="19">
        <f t="shared" si="5"/>
        <v>7.8059138953731784E-4</v>
      </c>
      <c r="AC55" s="20">
        <f t="shared" si="6"/>
        <v>-8.764297993588242E-3</v>
      </c>
      <c r="AD55" s="20">
        <f t="shared" si="6"/>
        <v>-7.9369482812701696E-3</v>
      </c>
      <c r="AE55" s="20"/>
      <c r="AF55" s="20"/>
      <c r="AH55">
        <f t="shared" si="15"/>
        <v>0</v>
      </c>
      <c r="AI55">
        <f t="shared" si="16"/>
        <v>1</v>
      </c>
      <c r="AJ55">
        <f t="shared" si="17"/>
        <v>0</v>
      </c>
      <c r="AK55">
        <f t="shared" si="12"/>
        <v>0</v>
      </c>
      <c r="AL55" s="20">
        <f t="shared" si="18"/>
        <v>0</v>
      </c>
      <c r="AM55" s="20">
        <f t="shared" si="19"/>
        <v>0</v>
      </c>
      <c r="AN55" s="20">
        <f t="shared" si="20"/>
        <v>0</v>
      </c>
      <c r="AO55" s="21">
        <f t="shared" si="21"/>
        <v>0</v>
      </c>
      <c r="AQ55" s="20"/>
      <c r="AS55">
        <f t="shared" si="22"/>
        <v>0</v>
      </c>
      <c r="AT55">
        <f t="shared" si="23"/>
        <v>0</v>
      </c>
      <c r="AU55">
        <f t="shared" si="24"/>
        <v>0</v>
      </c>
      <c r="AV55">
        <f t="shared" si="25"/>
        <v>0</v>
      </c>
      <c r="AW55" s="20">
        <f t="shared" si="26"/>
        <v>0</v>
      </c>
      <c r="AX55" s="20">
        <f t="shared" si="27"/>
        <v>0</v>
      </c>
      <c r="AY55" s="20">
        <f t="shared" si="28"/>
        <v>0</v>
      </c>
      <c r="AZ55" s="21">
        <f t="shared" si="29"/>
        <v>0</v>
      </c>
      <c r="BB55" s="21">
        <f t="shared" si="30"/>
        <v>0</v>
      </c>
      <c r="BC55" s="21">
        <f t="shared" si="31"/>
        <v>0</v>
      </c>
    </row>
    <row r="56" spans="1:55" x14ac:dyDescent="0.3">
      <c r="A56" s="1">
        <v>46104</v>
      </c>
      <c r="B56" s="11">
        <v>57.01</v>
      </c>
      <c r="C56" s="11">
        <v>99.34</v>
      </c>
      <c r="D56" s="12">
        <v>1.7425013155586699</v>
      </c>
      <c r="E56" s="12">
        <v>1.74406374641995</v>
      </c>
      <c r="F56" s="12">
        <v>1.7439870452875299</v>
      </c>
      <c r="G56" s="12">
        <v>1.7440020543380399</v>
      </c>
      <c r="H56" s="11">
        <v>99.429074183401397</v>
      </c>
      <c r="I56" s="11">
        <v>99.430172264245002</v>
      </c>
      <c r="J56" s="11">
        <v>99.432248910394506</v>
      </c>
      <c r="K56" s="13">
        <v>-8.9625802937428798E-4</v>
      </c>
      <c r="L56" s="13">
        <v>-9.0730182907885299E-4</v>
      </c>
      <c r="M56" s="13">
        <v>-9.2818708369199303E-4</v>
      </c>
      <c r="N56" s="24">
        <v>0</v>
      </c>
      <c r="O56" s="15">
        <v>0</v>
      </c>
      <c r="P56" s="25">
        <f t="shared" si="13"/>
        <v>57.01</v>
      </c>
      <c r="Q56" s="25">
        <f t="shared" si="13"/>
        <v>99.34</v>
      </c>
      <c r="R56" s="16">
        <f t="shared" si="2"/>
        <v>1.7425013155586739</v>
      </c>
      <c r="S56" s="16">
        <f t="shared" si="3"/>
        <v>1.7440637464199518</v>
      </c>
      <c r="T56" s="16">
        <f t="shared" si="9"/>
        <v>1.7439870452875372</v>
      </c>
      <c r="U56" s="16">
        <f t="shared" si="11"/>
        <v>1.7440020543380492</v>
      </c>
      <c r="V56" s="18">
        <f t="shared" si="4"/>
        <v>99.42907418340144</v>
      </c>
      <c r="W56" s="18">
        <f t="shared" si="10"/>
        <v>99.430172264245044</v>
      </c>
      <c r="X56" s="18">
        <f t="shared" si="14"/>
        <v>99.432248910394591</v>
      </c>
      <c r="Y56" s="19">
        <f t="shared" si="5"/>
        <v>-8.9625802937395535E-4</v>
      </c>
      <c r="Z56" s="19">
        <f t="shared" si="5"/>
        <v>-9.0730182907885375E-4</v>
      </c>
      <c r="AA56" s="19">
        <f t="shared" si="5"/>
        <v>-9.2818708369210459E-4</v>
      </c>
      <c r="AC56" s="20">
        <f t="shared" si="6"/>
        <v>3.6903653163847441E-3</v>
      </c>
      <c r="AD56" s="20">
        <f t="shared" si="6"/>
        <v>2.0153170867765525E-3</v>
      </c>
      <c r="AE56" s="20"/>
      <c r="AF56" s="20"/>
      <c r="AH56">
        <f t="shared" si="15"/>
        <v>0</v>
      </c>
      <c r="AI56">
        <f t="shared" si="16"/>
        <v>0</v>
      </c>
      <c r="AJ56">
        <f t="shared" si="17"/>
        <v>0</v>
      </c>
      <c r="AK56">
        <f t="shared" si="12"/>
        <v>0</v>
      </c>
      <c r="AL56" s="20">
        <f t="shared" si="18"/>
        <v>0</v>
      </c>
      <c r="AM56" s="20">
        <f t="shared" si="19"/>
        <v>0</v>
      </c>
      <c r="AN56" s="20">
        <f t="shared" si="20"/>
        <v>0</v>
      </c>
      <c r="AO56" s="21">
        <f t="shared" si="21"/>
        <v>0</v>
      </c>
      <c r="AQ56" s="20"/>
      <c r="AS56">
        <f t="shared" si="22"/>
        <v>0</v>
      </c>
      <c r="AT56">
        <f t="shared" si="23"/>
        <v>1</v>
      </c>
      <c r="AU56">
        <f t="shared" si="24"/>
        <v>0</v>
      </c>
      <c r="AV56">
        <f t="shared" si="25"/>
        <v>0</v>
      </c>
      <c r="AW56" s="20">
        <f t="shared" si="26"/>
        <v>0</v>
      </c>
      <c r="AX56" s="20">
        <f t="shared" si="27"/>
        <v>0</v>
      </c>
      <c r="AY56" s="20">
        <f t="shared" si="28"/>
        <v>0</v>
      </c>
      <c r="AZ56" s="21">
        <f t="shared" si="29"/>
        <v>0</v>
      </c>
      <c r="BB56" s="21">
        <f t="shared" si="30"/>
        <v>0</v>
      </c>
      <c r="BC56" s="21">
        <f t="shared" si="31"/>
        <v>0</v>
      </c>
    </row>
    <row r="57" spans="1:55" x14ac:dyDescent="0.3">
      <c r="A57" s="1">
        <v>46105</v>
      </c>
      <c r="B57" s="11">
        <v>56.57</v>
      </c>
      <c r="C57" s="11">
        <v>98.8</v>
      </c>
      <c r="D57" s="12">
        <v>1.74650875022096</v>
      </c>
      <c r="E57" s="12">
        <v>1.74406374641995</v>
      </c>
      <c r="F57" s="12">
        <v>1.74410224941916</v>
      </c>
      <c r="G57" s="12">
        <v>1.7440762907509499</v>
      </c>
      <c r="H57" s="11">
        <v>98.661686134976605</v>
      </c>
      <c r="I57" s="11">
        <v>98.6573471519159</v>
      </c>
      <c r="J57" s="11">
        <v>98.658196213903395</v>
      </c>
      <c r="K57" s="13">
        <v>1.4009187336695901E-3</v>
      </c>
      <c r="L57" s="13">
        <v>1.44489810037467E-3</v>
      </c>
      <c r="M57" s="13">
        <v>1.4362919665344401E-3</v>
      </c>
      <c r="N57" s="24">
        <v>0</v>
      </c>
      <c r="O57" s="15">
        <v>0</v>
      </c>
      <c r="P57" s="25">
        <f t="shared" si="13"/>
        <v>56.57</v>
      </c>
      <c r="Q57" s="25">
        <f t="shared" si="13"/>
        <v>98.8</v>
      </c>
      <c r="R57" s="16">
        <f t="shared" si="2"/>
        <v>1.7465087502209651</v>
      </c>
      <c r="S57" s="16">
        <f t="shared" si="3"/>
        <v>1.7440637464199518</v>
      </c>
      <c r="T57" s="16">
        <f t="shared" si="9"/>
        <v>1.7441022494191631</v>
      </c>
      <c r="U57" s="16">
        <f t="shared" si="11"/>
        <v>1.7440762907509508</v>
      </c>
      <c r="V57" s="18">
        <f t="shared" si="4"/>
        <v>98.661686134976676</v>
      </c>
      <c r="W57" s="18">
        <f t="shared" si="10"/>
        <v>98.657347151915985</v>
      </c>
      <c r="X57" s="18">
        <f t="shared" si="14"/>
        <v>98.658196213903452</v>
      </c>
      <c r="Y57" s="19">
        <f t="shared" si="5"/>
        <v>1.4009187336695916E-3</v>
      </c>
      <c r="Z57" s="19">
        <f t="shared" si="5"/>
        <v>1.4448981003746726E-3</v>
      </c>
      <c r="AA57" s="19">
        <f t="shared" si="5"/>
        <v>1.4362919665344494E-3</v>
      </c>
      <c r="AC57" s="20">
        <f t="shared" si="6"/>
        <v>-7.747881688426073E-3</v>
      </c>
      <c r="AD57" s="20">
        <f t="shared" si="6"/>
        <v>-5.4507049253824007E-3</v>
      </c>
      <c r="AE57" s="20"/>
      <c r="AF57" s="20"/>
      <c r="AH57">
        <f t="shared" si="15"/>
        <v>0</v>
      </c>
      <c r="AI57">
        <f t="shared" si="16"/>
        <v>1</v>
      </c>
      <c r="AJ57">
        <f t="shared" si="17"/>
        <v>0</v>
      </c>
      <c r="AK57">
        <f t="shared" si="12"/>
        <v>0</v>
      </c>
      <c r="AL57" s="20">
        <f t="shared" si="18"/>
        <v>0</v>
      </c>
      <c r="AM57" s="20">
        <f t="shared" si="19"/>
        <v>0</v>
      </c>
      <c r="AN57" s="20">
        <f t="shared" si="20"/>
        <v>0</v>
      </c>
      <c r="AO57" s="21">
        <f t="shared" si="21"/>
        <v>0</v>
      </c>
      <c r="AQ57" s="20"/>
      <c r="AS57">
        <f t="shared" si="22"/>
        <v>1</v>
      </c>
      <c r="AT57">
        <f t="shared" si="23"/>
        <v>0</v>
      </c>
      <c r="AU57">
        <f t="shared" si="24"/>
        <v>0</v>
      </c>
      <c r="AV57">
        <f t="shared" si="25"/>
        <v>0</v>
      </c>
      <c r="AW57" s="20">
        <f t="shared" si="26"/>
        <v>0</v>
      </c>
      <c r="AX57" s="20">
        <f t="shared" si="27"/>
        <v>0</v>
      </c>
      <c r="AY57" s="20">
        <f t="shared" si="28"/>
        <v>0</v>
      </c>
      <c r="AZ57" s="21">
        <f t="shared" si="29"/>
        <v>0</v>
      </c>
      <c r="BB57" s="21">
        <f t="shared" si="30"/>
        <v>0</v>
      </c>
      <c r="BC57" s="21">
        <f t="shared" si="31"/>
        <v>0</v>
      </c>
    </row>
    <row r="58" spans="1:55" x14ac:dyDescent="0.3">
      <c r="A58" s="1">
        <v>46106</v>
      </c>
      <c r="B58" s="11">
        <v>56.72</v>
      </c>
      <c r="C58" s="11">
        <v>98.98</v>
      </c>
      <c r="D58" s="12">
        <v>1.74506346967559</v>
      </c>
      <c r="E58" s="12">
        <v>1.74406374641995</v>
      </c>
      <c r="F58" s="12">
        <v>1.74423044366451</v>
      </c>
      <c r="G58" s="12">
        <v>1.7441616260725401</v>
      </c>
      <c r="H58" s="11">
        <v>98.923295696939604</v>
      </c>
      <c r="I58" s="11">
        <v>98.925479587054895</v>
      </c>
      <c r="J58" s="11">
        <v>98.924007211393899</v>
      </c>
      <c r="K58" s="13">
        <v>5.73050634779647E-4</v>
      </c>
      <c r="L58" s="13">
        <v>5.5097427760037896E-4</v>
      </c>
      <c r="M58" s="13">
        <v>5.6585807320540401E-4</v>
      </c>
      <c r="N58" s="24">
        <v>0</v>
      </c>
      <c r="O58" s="15">
        <v>0</v>
      </c>
      <c r="P58" s="25">
        <f t="shared" si="13"/>
        <v>56.72</v>
      </c>
      <c r="Q58" s="25">
        <f t="shared" si="13"/>
        <v>98.98</v>
      </c>
      <c r="R58" s="16">
        <f t="shared" si="2"/>
        <v>1.7450634696755996</v>
      </c>
      <c r="S58" s="16">
        <f t="shared" si="3"/>
        <v>1.7440637464199518</v>
      </c>
      <c r="T58" s="16">
        <f t="shared" si="9"/>
        <v>1.7442304436645106</v>
      </c>
      <c r="U58" s="16">
        <f t="shared" si="11"/>
        <v>1.7441616260725499</v>
      </c>
      <c r="V58" s="18">
        <f t="shared" si="4"/>
        <v>98.923295696939661</v>
      </c>
      <c r="W58" s="18">
        <f t="shared" si="10"/>
        <v>98.925479587054937</v>
      </c>
      <c r="X58" s="18">
        <f t="shared" si="14"/>
        <v>98.924007211393928</v>
      </c>
      <c r="Y58" s="19">
        <f t="shared" si="5"/>
        <v>5.7305063477986981E-4</v>
      </c>
      <c r="Z58" s="19">
        <f t="shared" si="5"/>
        <v>5.5097427760037983E-4</v>
      </c>
      <c r="AA58" s="19">
        <f t="shared" si="5"/>
        <v>5.6585807320540455E-4</v>
      </c>
      <c r="AC58" s="20">
        <f t="shared" si="6"/>
        <v>2.6480728688077792E-3</v>
      </c>
      <c r="AD58" s="20">
        <f t="shared" si="6"/>
        <v>1.8202047699180052E-3</v>
      </c>
      <c r="AE58" s="20"/>
      <c r="AF58" s="20"/>
      <c r="AH58">
        <f t="shared" si="15"/>
        <v>0</v>
      </c>
      <c r="AI58">
        <f t="shared" si="16"/>
        <v>1</v>
      </c>
      <c r="AJ58">
        <f t="shared" si="17"/>
        <v>0</v>
      </c>
      <c r="AK58">
        <f t="shared" si="12"/>
        <v>0</v>
      </c>
      <c r="AL58" s="20">
        <f t="shared" si="18"/>
        <v>0</v>
      </c>
      <c r="AM58" s="20">
        <f t="shared" si="19"/>
        <v>0</v>
      </c>
      <c r="AN58" s="20">
        <f t="shared" si="20"/>
        <v>0</v>
      </c>
      <c r="AO58" s="21">
        <f t="shared" si="21"/>
        <v>0</v>
      </c>
      <c r="AQ58" s="20"/>
      <c r="AS58">
        <f t="shared" si="22"/>
        <v>0</v>
      </c>
      <c r="AT58">
        <f t="shared" si="23"/>
        <v>0</v>
      </c>
      <c r="AU58">
        <f t="shared" si="24"/>
        <v>0</v>
      </c>
      <c r="AV58">
        <f t="shared" si="25"/>
        <v>1</v>
      </c>
      <c r="AW58" s="20">
        <f t="shared" si="26"/>
        <v>2.6480728688077792E-3</v>
      </c>
      <c r="AX58" s="20">
        <f t="shared" si="27"/>
        <v>-1.8202047699180052E-3</v>
      </c>
      <c r="AY58" s="20">
        <f t="shared" si="28"/>
        <v>8.2786809888977402E-4</v>
      </c>
      <c r="AZ58" s="21">
        <f t="shared" si="29"/>
        <v>8.2786809888977402E-4</v>
      </c>
      <c r="BB58" s="21">
        <f t="shared" si="30"/>
        <v>8.2786809888977402E-4</v>
      </c>
      <c r="BC58" s="21">
        <f t="shared" si="31"/>
        <v>8.2786809888977402E-4</v>
      </c>
    </row>
    <row r="59" spans="1:55" x14ac:dyDescent="0.3">
      <c r="A59" s="1">
        <v>46107</v>
      </c>
      <c r="B59" s="11">
        <v>56.61</v>
      </c>
      <c r="C59" s="11">
        <v>98.73</v>
      </c>
      <c r="D59" s="12">
        <v>1.7440381558028599</v>
      </c>
      <c r="E59" s="12">
        <v>1.74406374641995</v>
      </c>
      <c r="F59" s="12">
        <v>1.7441583682594699</v>
      </c>
      <c r="G59" s="12">
        <v>1.7441954680754701</v>
      </c>
      <c r="H59" s="11">
        <v>98.731448684833495</v>
      </c>
      <c r="I59" s="11">
        <v>98.740885415847899</v>
      </c>
      <c r="J59" s="11">
        <v>98.736989651966994</v>
      </c>
      <c r="K59" s="13">
        <v>-1.4673090298496001E-5</v>
      </c>
      <c r="L59" s="13">
        <v>-1.1024831165404301E-4</v>
      </c>
      <c r="M59" s="13">
        <v>-7.0793118204532694E-5</v>
      </c>
      <c r="N59" s="24">
        <v>0</v>
      </c>
      <c r="O59" s="15">
        <v>0</v>
      </c>
      <c r="P59" s="25">
        <f t="shared" si="13"/>
        <v>56.61</v>
      </c>
      <c r="Q59" s="25">
        <f t="shared" si="13"/>
        <v>98.73</v>
      </c>
      <c r="R59" s="16">
        <f t="shared" si="2"/>
        <v>1.7440381558028617</v>
      </c>
      <c r="S59" s="16">
        <f t="shared" si="3"/>
        <v>1.7440637464199518</v>
      </c>
      <c r="T59" s="16">
        <f t="shared" si="9"/>
        <v>1.7441583682594715</v>
      </c>
      <c r="U59" s="16">
        <f t="shared" si="11"/>
        <v>1.7441954680754734</v>
      </c>
      <c r="V59" s="18">
        <f t="shared" si="4"/>
        <v>98.731448684833467</v>
      </c>
      <c r="W59" s="18">
        <f t="shared" si="10"/>
        <v>98.740885415847941</v>
      </c>
      <c r="X59" s="18">
        <f t="shared" si="14"/>
        <v>98.73698965196705</v>
      </c>
      <c r="Y59" s="19">
        <f t="shared" si="5"/>
        <v>-1.4673090298274002E-5</v>
      </c>
      <c r="Z59" s="19">
        <f t="shared" si="5"/>
        <v>-1.1024831165404355E-4</v>
      </c>
      <c r="AA59" s="19">
        <f t="shared" si="5"/>
        <v>-7.0793118204532735E-5</v>
      </c>
      <c r="AC59" s="20">
        <f t="shared" si="6"/>
        <v>-1.9412341753035447E-3</v>
      </c>
      <c r="AD59" s="20">
        <f t="shared" si="6"/>
        <v>-2.5289579003817259E-3</v>
      </c>
      <c r="AE59" s="20"/>
      <c r="AF59" s="20"/>
      <c r="AH59">
        <f t="shared" si="15"/>
        <v>0</v>
      </c>
      <c r="AI59">
        <f t="shared" si="16"/>
        <v>0</v>
      </c>
      <c r="AJ59">
        <f t="shared" si="17"/>
        <v>0</v>
      </c>
      <c r="AK59">
        <f t="shared" si="12"/>
        <v>0</v>
      </c>
      <c r="AL59" s="20">
        <f t="shared" si="18"/>
        <v>0</v>
      </c>
      <c r="AM59" s="20">
        <f t="shared" si="19"/>
        <v>0</v>
      </c>
      <c r="AN59" s="20">
        <f t="shared" si="20"/>
        <v>0</v>
      </c>
      <c r="AO59" s="21">
        <f t="shared" si="21"/>
        <v>0</v>
      </c>
      <c r="AQ59" s="20"/>
      <c r="AS59">
        <f t="shared" si="22"/>
        <v>0</v>
      </c>
      <c r="AT59">
        <f t="shared" si="23"/>
        <v>1</v>
      </c>
      <c r="AU59">
        <f t="shared" si="24"/>
        <v>1</v>
      </c>
      <c r="AV59">
        <f t="shared" si="25"/>
        <v>0</v>
      </c>
      <c r="AW59" s="20">
        <f t="shared" si="26"/>
        <v>0</v>
      </c>
      <c r="AX59" s="20">
        <f t="shared" si="27"/>
        <v>0</v>
      </c>
      <c r="AY59" s="20">
        <f t="shared" si="28"/>
        <v>0</v>
      </c>
      <c r="AZ59" s="21">
        <f t="shared" si="29"/>
        <v>8.2786809888977402E-4</v>
      </c>
      <c r="BB59" s="21">
        <f t="shared" si="30"/>
        <v>0</v>
      </c>
      <c r="BC59" s="21">
        <f t="shared" si="31"/>
        <v>8.2786809888977402E-4</v>
      </c>
    </row>
    <row r="60" spans="1:55" x14ac:dyDescent="0.3">
      <c r="A60" s="1">
        <v>46108</v>
      </c>
      <c r="B60" s="11">
        <v>56.57</v>
      </c>
      <c r="C60" s="11">
        <v>98.67</v>
      </c>
      <c r="D60" s="12">
        <v>1.7442107123917201</v>
      </c>
      <c r="E60" s="12">
        <v>1.74406374641995</v>
      </c>
      <c r="F60" s="12">
        <v>1.7441887709749599</v>
      </c>
      <c r="G60" s="12">
        <v>1.7442377105945599</v>
      </c>
      <c r="H60" s="11">
        <v>98.661686134976605</v>
      </c>
      <c r="I60" s="11">
        <v>98.667038892438299</v>
      </c>
      <c r="J60" s="11">
        <v>98.669137629029507</v>
      </c>
      <c r="K60" s="13">
        <v>8.4262848922708403E-5</v>
      </c>
      <c r="L60" s="13">
        <v>3.0010661744159099E-5</v>
      </c>
      <c r="M60" s="13">
        <v>8.7399892472947207E-6</v>
      </c>
      <c r="N60" s="24">
        <v>0</v>
      </c>
      <c r="O60" s="15">
        <v>0</v>
      </c>
      <c r="P60" s="25">
        <f t="shared" si="13"/>
        <v>56.57</v>
      </c>
      <c r="Q60" s="25">
        <f t="shared" si="13"/>
        <v>98.67</v>
      </c>
      <c r="R60" s="16">
        <f t="shared" si="2"/>
        <v>1.744210712391727</v>
      </c>
      <c r="S60" s="16">
        <f t="shared" si="3"/>
        <v>1.7440637464199518</v>
      </c>
      <c r="T60" s="16">
        <f t="shared" si="9"/>
        <v>1.7441887709749675</v>
      </c>
      <c r="U60" s="16">
        <f t="shared" si="11"/>
        <v>1.7442377105945632</v>
      </c>
      <c r="V60" s="18">
        <f t="shared" si="4"/>
        <v>98.661686134976676</v>
      </c>
      <c r="W60" s="18">
        <f t="shared" si="10"/>
        <v>98.667038892438299</v>
      </c>
      <c r="X60" s="18">
        <f t="shared" si="14"/>
        <v>98.669137629029535</v>
      </c>
      <c r="Y60" s="19">
        <f t="shared" si="5"/>
        <v>8.4262848922930501E-5</v>
      </c>
      <c r="Z60" s="19">
        <f t="shared" si="5"/>
        <v>3.001066174438114E-5</v>
      </c>
      <c r="AA60" s="19">
        <f t="shared" si="5"/>
        <v>8.7399892472947275E-6</v>
      </c>
      <c r="AC60" s="20">
        <f t="shared" si="6"/>
        <v>-7.0683869350417216E-4</v>
      </c>
      <c r="AD60" s="20">
        <f t="shared" si="6"/>
        <v>-6.0790275428300618E-4</v>
      </c>
      <c r="AE60" s="20"/>
      <c r="AF60" s="20"/>
      <c r="AH60">
        <f t="shared" si="15"/>
        <v>0</v>
      </c>
      <c r="AI60">
        <f t="shared" si="16"/>
        <v>1</v>
      </c>
      <c r="AJ60">
        <f t="shared" si="17"/>
        <v>0</v>
      </c>
      <c r="AK60">
        <f t="shared" si="12"/>
        <v>0</v>
      </c>
      <c r="AL60" s="20">
        <f t="shared" si="18"/>
        <v>0</v>
      </c>
      <c r="AM60" s="20">
        <f t="shared" si="19"/>
        <v>0</v>
      </c>
      <c r="AN60" s="20">
        <f t="shared" si="20"/>
        <v>0</v>
      </c>
      <c r="AO60" s="21">
        <f t="shared" si="21"/>
        <v>0</v>
      </c>
      <c r="AQ60" s="20"/>
      <c r="AS60">
        <f t="shared" si="22"/>
        <v>0</v>
      </c>
      <c r="AT60">
        <f t="shared" si="23"/>
        <v>0</v>
      </c>
      <c r="AU60">
        <f t="shared" si="24"/>
        <v>0</v>
      </c>
      <c r="AV60">
        <f t="shared" si="25"/>
        <v>0</v>
      </c>
      <c r="AW60" s="20">
        <f t="shared" si="26"/>
        <v>0</v>
      </c>
      <c r="AX60" s="20">
        <f t="shared" si="27"/>
        <v>0</v>
      </c>
      <c r="AY60" s="20">
        <f t="shared" si="28"/>
        <v>0</v>
      </c>
      <c r="AZ60" s="21">
        <f t="shared" si="29"/>
        <v>8.2786809888977402E-4</v>
      </c>
      <c r="BB60" s="21">
        <f t="shared" si="30"/>
        <v>0</v>
      </c>
      <c r="BC60" s="21">
        <f t="shared" si="31"/>
        <v>8.2786809888977402E-4</v>
      </c>
    </row>
    <row r="61" spans="1:55" x14ac:dyDescent="0.3">
      <c r="A61" s="1">
        <v>46111</v>
      </c>
      <c r="B61" s="11">
        <v>56.72</v>
      </c>
      <c r="C61" s="11">
        <v>98.83</v>
      </c>
      <c r="D61" s="12">
        <v>1.74241889985895</v>
      </c>
      <c r="E61" s="12">
        <v>1.74406374641995</v>
      </c>
      <c r="F61" s="12">
        <v>1.7441176174826001</v>
      </c>
      <c r="G61" s="12">
        <v>1.74413193842448</v>
      </c>
      <c r="H61" s="11">
        <v>98.923295696939604</v>
      </c>
      <c r="I61" s="11">
        <v>98.930387089700105</v>
      </c>
      <c r="J61" s="11">
        <v>98.933162944923595</v>
      </c>
      <c r="K61" s="13">
        <v>-9.4355650086788104E-4</v>
      </c>
      <c r="L61" s="13">
        <v>-1.0152397029555701E-3</v>
      </c>
      <c r="M61" s="13">
        <v>-1.04329798072517E-3</v>
      </c>
      <c r="N61" s="24">
        <v>0</v>
      </c>
      <c r="O61" s="15">
        <v>0</v>
      </c>
      <c r="P61" s="25">
        <f t="shared" si="13"/>
        <v>56.72</v>
      </c>
      <c r="Q61" s="25">
        <f t="shared" si="13"/>
        <v>98.83</v>
      </c>
      <c r="R61" s="16">
        <f t="shared" si="2"/>
        <v>1.7424188998589563</v>
      </c>
      <c r="S61" s="16">
        <f t="shared" si="3"/>
        <v>1.7440637464199518</v>
      </c>
      <c r="T61" s="16">
        <f t="shared" si="9"/>
        <v>1.7441176174826023</v>
      </c>
      <c r="U61" s="16">
        <f t="shared" si="11"/>
        <v>1.7441319384244882</v>
      </c>
      <c r="V61" s="18">
        <f t="shared" si="4"/>
        <v>98.923295696939661</v>
      </c>
      <c r="W61" s="18">
        <f t="shared" si="10"/>
        <v>98.930387089700147</v>
      </c>
      <c r="X61" s="18">
        <f t="shared" si="14"/>
        <v>98.933162944923623</v>
      </c>
      <c r="Y61" s="19">
        <f t="shared" si="5"/>
        <v>-9.4355650086754841E-4</v>
      </c>
      <c r="Z61" s="19">
        <f t="shared" si="5"/>
        <v>-1.0152397029555729E-3</v>
      </c>
      <c r="AA61" s="19">
        <f t="shared" si="5"/>
        <v>-1.0432979807249504E-3</v>
      </c>
      <c r="AC61" s="20">
        <f t="shared" si="6"/>
        <v>2.6480728688077792E-3</v>
      </c>
      <c r="AD61" s="20">
        <f t="shared" si="6"/>
        <v>1.620253519017174E-3</v>
      </c>
      <c r="AE61" s="20"/>
      <c r="AF61" s="20"/>
      <c r="AH61">
        <f t="shared" si="15"/>
        <v>1</v>
      </c>
      <c r="AI61">
        <f t="shared" si="16"/>
        <v>0</v>
      </c>
      <c r="AJ61">
        <f t="shared" si="17"/>
        <v>0</v>
      </c>
      <c r="AK61">
        <f t="shared" si="12"/>
        <v>0</v>
      </c>
      <c r="AL61" s="20">
        <f t="shared" si="18"/>
        <v>0</v>
      </c>
      <c r="AM61" s="20">
        <f t="shared" si="19"/>
        <v>0</v>
      </c>
      <c r="AN61" s="20">
        <f t="shared" si="20"/>
        <v>0</v>
      </c>
      <c r="AO61" s="21">
        <f t="shared" si="21"/>
        <v>0</v>
      </c>
      <c r="AQ61" s="20"/>
      <c r="AS61">
        <f t="shared" si="22"/>
        <v>0</v>
      </c>
      <c r="AT61">
        <f t="shared" si="23"/>
        <v>1</v>
      </c>
      <c r="AU61">
        <f t="shared" si="24"/>
        <v>0</v>
      </c>
      <c r="AV61">
        <f t="shared" si="25"/>
        <v>0</v>
      </c>
      <c r="AW61" s="20">
        <f t="shared" si="26"/>
        <v>0</v>
      </c>
      <c r="AX61" s="20">
        <f t="shared" si="27"/>
        <v>0</v>
      </c>
      <c r="AY61" s="20">
        <f t="shared" si="28"/>
        <v>0</v>
      </c>
      <c r="AZ61" s="21">
        <f t="shared" si="29"/>
        <v>8.2786809888977402E-4</v>
      </c>
      <c r="BB61" s="21">
        <f t="shared" si="30"/>
        <v>0</v>
      </c>
      <c r="BC61" s="21">
        <f t="shared" si="31"/>
        <v>8.2786809888977402E-4</v>
      </c>
    </row>
    <row r="62" spans="1:55" x14ac:dyDescent="0.3">
      <c r="A62" s="1">
        <v>46112</v>
      </c>
      <c r="B62" s="11">
        <v>56.86</v>
      </c>
      <c r="C62" s="11">
        <v>99.08</v>
      </c>
      <c r="D62" s="12">
        <v>1.7425255012310901</v>
      </c>
      <c r="E62" s="12">
        <v>1.74406374641995</v>
      </c>
      <c r="F62" s="12">
        <v>1.7440700458877401</v>
      </c>
      <c r="G62" s="12">
        <v>1.7439983900482701</v>
      </c>
      <c r="H62" s="11">
        <v>99.167464621438398</v>
      </c>
      <c r="I62" s="11">
        <v>99.170527730060698</v>
      </c>
      <c r="J62" s="11">
        <v>99.171342018816404</v>
      </c>
      <c r="K62" s="13">
        <v>-8.8237826678322102E-4</v>
      </c>
      <c r="L62" s="13">
        <v>-9.1326603151467101E-4</v>
      </c>
      <c r="M62" s="13">
        <v>-9.2147699329163597E-4</v>
      </c>
      <c r="N62" s="24">
        <v>0</v>
      </c>
      <c r="O62" s="15">
        <v>0</v>
      </c>
      <c r="P62" s="25">
        <f t="shared" si="13"/>
        <v>56.86</v>
      </c>
      <c r="Q62" s="25">
        <f t="shared" si="13"/>
        <v>99.08</v>
      </c>
      <c r="R62" s="16">
        <f t="shared" si="2"/>
        <v>1.7425255012310938</v>
      </c>
      <c r="S62" s="16">
        <f t="shared" si="3"/>
        <v>1.7440637464199518</v>
      </c>
      <c r="T62" s="16">
        <f t="shared" si="9"/>
        <v>1.7440700458877498</v>
      </c>
      <c r="U62" s="16">
        <f t="shared" si="11"/>
        <v>1.7439983900482723</v>
      </c>
      <c r="V62" s="18">
        <f t="shared" si="4"/>
        <v>99.167464621438455</v>
      </c>
      <c r="W62" s="18">
        <f t="shared" si="10"/>
        <v>99.170527730060769</v>
      </c>
      <c r="X62" s="18">
        <f t="shared" si="14"/>
        <v>99.171342018816404</v>
      </c>
      <c r="Y62" s="19">
        <f t="shared" si="5"/>
        <v>-8.8237826678299941E-4</v>
      </c>
      <c r="Z62" s="19">
        <f t="shared" si="5"/>
        <v>-9.1326603151467122E-4</v>
      </c>
      <c r="AA62" s="19">
        <f t="shared" si="5"/>
        <v>-9.2147699329163607E-4</v>
      </c>
      <c r="AC62" s="20">
        <f t="shared" si="6"/>
        <v>2.4652239989817163E-3</v>
      </c>
      <c r="AD62" s="20">
        <f t="shared" si="6"/>
        <v>2.5264022330662361E-3</v>
      </c>
      <c r="AE62" s="20"/>
      <c r="AF62" s="20"/>
      <c r="AH62">
        <f t="shared" si="15"/>
        <v>0</v>
      </c>
      <c r="AI62">
        <f t="shared" si="16"/>
        <v>0</v>
      </c>
      <c r="AJ62">
        <f t="shared" si="17"/>
        <v>1</v>
      </c>
      <c r="AK62">
        <f t="shared" si="12"/>
        <v>1</v>
      </c>
      <c r="AL62" s="20">
        <f t="shared" si="18"/>
        <v>-2.4652239989817163E-3</v>
      </c>
      <c r="AM62" s="20">
        <f t="shared" si="19"/>
        <v>2.5264022330662361E-3</v>
      </c>
      <c r="AN62" s="20">
        <f t="shared" si="20"/>
        <v>6.1178234084519837E-5</v>
      </c>
      <c r="AO62" s="21">
        <f t="shared" si="21"/>
        <v>6.1178234084519837E-5</v>
      </c>
      <c r="AQ62" s="20"/>
      <c r="AS62">
        <f t="shared" si="22"/>
        <v>0</v>
      </c>
      <c r="AT62">
        <f t="shared" si="23"/>
        <v>1</v>
      </c>
      <c r="AU62">
        <f t="shared" si="24"/>
        <v>0</v>
      </c>
      <c r="AV62" s="26">
        <v>0</v>
      </c>
      <c r="AW62" s="20">
        <f t="shared" si="26"/>
        <v>0</v>
      </c>
      <c r="AX62" s="20">
        <f t="shared" si="27"/>
        <v>0</v>
      </c>
      <c r="AY62" s="20">
        <f t="shared" si="28"/>
        <v>0</v>
      </c>
      <c r="AZ62" s="21">
        <f t="shared" si="29"/>
        <v>8.2786809888977402E-4</v>
      </c>
      <c r="BB62" s="21">
        <f t="shared" si="30"/>
        <v>6.1178234084519837E-5</v>
      </c>
      <c r="BC62" s="21">
        <f t="shared" si="31"/>
        <v>8.8904633297429386E-4</v>
      </c>
    </row>
    <row r="63" spans="1:55" x14ac:dyDescent="0.3">
      <c r="A63" s="1">
        <v>46113</v>
      </c>
      <c r="B63" s="11">
        <v>56.88</v>
      </c>
      <c r="C63" s="11">
        <v>99.11</v>
      </c>
      <c r="D63" s="12">
        <v>1.7424402250351601</v>
      </c>
      <c r="E63" s="12">
        <v>1.74406374641995</v>
      </c>
      <c r="F63" s="12">
        <v>1.7439108622577899</v>
      </c>
      <c r="G63" s="12">
        <v>1.7439446835553001</v>
      </c>
      <c r="H63" s="11">
        <v>99.202345896366893</v>
      </c>
      <c r="I63" s="11">
        <v>99.202704210095106</v>
      </c>
      <c r="J63" s="11">
        <v>99.198628425945699</v>
      </c>
      <c r="K63" s="13">
        <v>-9.3131774145673799E-4</v>
      </c>
      <c r="L63" s="13">
        <v>-9.3492968306922795E-4</v>
      </c>
      <c r="M63" s="13">
        <v>-8.9384342527158798E-4</v>
      </c>
      <c r="N63" s="24">
        <v>0</v>
      </c>
      <c r="O63" s="15">
        <v>0</v>
      </c>
      <c r="P63" s="25">
        <f t="shared" si="13"/>
        <v>56.88</v>
      </c>
      <c r="Q63" s="25">
        <f t="shared" si="13"/>
        <v>99.11</v>
      </c>
      <c r="R63" s="16">
        <f t="shared" si="2"/>
        <v>1.7424402250351616</v>
      </c>
      <c r="S63" s="16">
        <f t="shared" si="3"/>
        <v>1.7440637464199518</v>
      </c>
      <c r="T63" s="16">
        <f t="shared" si="9"/>
        <v>1.743910862257793</v>
      </c>
      <c r="U63" s="16">
        <f t="shared" si="11"/>
        <v>1.7439446835553056</v>
      </c>
      <c r="V63" s="18">
        <f t="shared" si="4"/>
        <v>99.202345896366865</v>
      </c>
      <c r="W63" s="18">
        <f t="shared" si="10"/>
        <v>99.20270421009522</v>
      </c>
      <c r="X63" s="18">
        <f t="shared" si="14"/>
        <v>99.198628425945728</v>
      </c>
      <c r="Y63" s="19">
        <f t="shared" si="5"/>
        <v>-9.3131774145651573E-4</v>
      </c>
      <c r="Z63" s="19">
        <f t="shared" si="5"/>
        <v>-9.3492968306945064E-4</v>
      </c>
      <c r="AA63" s="19">
        <f t="shared" si="5"/>
        <v>-8.9384342527158841E-4</v>
      </c>
      <c r="AC63" s="20">
        <f t="shared" si="6"/>
        <v>3.5167927213170853E-4</v>
      </c>
      <c r="AD63" s="20">
        <f t="shared" si="6"/>
        <v>3.0273979745827303E-4</v>
      </c>
      <c r="AE63" s="20"/>
      <c r="AF63" s="20"/>
      <c r="AH63">
        <f t="shared" si="15"/>
        <v>0</v>
      </c>
      <c r="AI63">
        <f t="shared" si="16"/>
        <v>0</v>
      </c>
      <c r="AJ63">
        <f t="shared" si="17"/>
        <v>1</v>
      </c>
      <c r="AK63">
        <f t="shared" si="12"/>
        <v>1</v>
      </c>
      <c r="AL63" s="20">
        <f t="shared" si="18"/>
        <v>-3.5167927213170853E-4</v>
      </c>
      <c r="AM63" s="20">
        <f t="shared" si="19"/>
        <v>3.0273979745827303E-4</v>
      </c>
      <c r="AN63" s="20">
        <f t="shared" si="20"/>
        <v>-4.89394746734355E-5</v>
      </c>
      <c r="AO63" s="21">
        <f t="shared" si="21"/>
        <v>1.2238759411084337E-5</v>
      </c>
      <c r="AQ63" s="20"/>
      <c r="AS63">
        <f t="shared" si="22"/>
        <v>0</v>
      </c>
      <c r="AT63">
        <f t="shared" si="23"/>
        <v>1</v>
      </c>
      <c r="AU63">
        <f t="shared" si="24"/>
        <v>0</v>
      </c>
      <c r="AV63">
        <f t="shared" si="25"/>
        <v>0</v>
      </c>
      <c r="AW63" s="20">
        <f t="shared" si="26"/>
        <v>0</v>
      </c>
      <c r="AX63" s="20">
        <f t="shared" si="27"/>
        <v>0</v>
      </c>
      <c r="AY63" s="20">
        <f t="shared" si="28"/>
        <v>0</v>
      </c>
      <c r="AZ63" s="21">
        <f t="shared" si="29"/>
        <v>8.2786809888977402E-4</v>
      </c>
      <c r="BB63" s="21">
        <f t="shared" si="30"/>
        <v>-4.89394746734355E-5</v>
      </c>
      <c r="BC63" s="21">
        <f t="shared" si="31"/>
        <v>8.4010685830085831E-4</v>
      </c>
    </row>
    <row r="64" spans="1:55" x14ac:dyDescent="0.3">
      <c r="A64" s="1">
        <v>46114</v>
      </c>
      <c r="B64" s="11">
        <v>56.97</v>
      </c>
      <c r="C64" s="11">
        <v>99.34</v>
      </c>
      <c r="D64" s="12">
        <v>1.74372476742145</v>
      </c>
      <c r="E64" s="12">
        <v>1.74406374641995</v>
      </c>
      <c r="F64" s="12">
        <v>1.7438854332407701</v>
      </c>
      <c r="G64" s="12">
        <v>1.7439554286761101</v>
      </c>
      <c r="H64" s="11">
        <v>99.359311633544607</v>
      </c>
      <c r="I64" s="11">
        <v>99.350601822826405</v>
      </c>
      <c r="J64" s="11">
        <v>99.352528622145698</v>
      </c>
      <c r="K64" s="13">
        <v>-1.9438047818797499E-4</v>
      </c>
      <c r="L64" s="13">
        <v>-1.0671690295617299E-4</v>
      </c>
      <c r="M64" s="13">
        <v>-1.2611065196285501E-4</v>
      </c>
      <c r="N64" s="24">
        <v>0</v>
      </c>
      <c r="O64" s="15">
        <v>0</v>
      </c>
      <c r="P64" s="25">
        <f t="shared" si="13"/>
        <v>56.97</v>
      </c>
      <c r="Q64" s="25">
        <f t="shared" si="13"/>
        <v>99.34</v>
      </c>
      <c r="R64" s="16">
        <f t="shared" si="2"/>
        <v>1.74372476742145</v>
      </c>
      <c r="S64" s="16">
        <f t="shared" si="3"/>
        <v>1.7440637464199518</v>
      </c>
      <c r="T64" s="16">
        <f t="shared" si="9"/>
        <v>1.7438854332407758</v>
      </c>
      <c r="U64" s="16">
        <f t="shared" si="11"/>
        <v>1.7439554286761183</v>
      </c>
      <c r="V64" s="18">
        <f t="shared" si="4"/>
        <v>99.35931163354465</v>
      </c>
      <c r="W64" s="18">
        <f t="shared" si="10"/>
        <v>99.350601822826462</v>
      </c>
      <c r="X64" s="18">
        <f t="shared" si="14"/>
        <v>99.352528622145755</v>
      </c>
      <c r="Y64" s="19">
        <f t="shared" si="5"/>
        <v>-1.9438047818775319E-4</v>
      </c>
      <c r="Z64" s="19">
        <f t="shared" si="5"/>
        <v>-1.0671690295617364E-4</v>
      </c>
      <c r="AA64" s="19">
        <f t="shared" si="5"/>
        <v>-1.2611065196296698E-4</v>
      </c>
      <c r="AC64" s="20">
        <f t="shared" si="6"/>
        <v>1.5810279973187732E-3</v>
      </c>
      <c r="AD64" s="20">
        <f t="shared" si="6"/>
        <v>2.3179652605874053E-3</v>
      </c>
      <c r="AE64" s="20"/>
      <c r="AF64" s="20"/>
      <c r="AH64">
        <f t="shared" si="15"/>
        <v>0</v>
      </c>
      <c r="AI64">
        <f t="shared" si="16"/>
        <v>0</v>
      </c>
      <c r="AJ64">
        <f t="shared" si="17"/>
        <v>1</v>
      </c>
      <c r="AK64">
        <f t="shared" si="12"/>
        <v>1</v>
      </c>
      <c r="AL64" s="20">
        <f t="shared" si="18"/>
        <v>-1.5810279973187732E-3</v>
      </c>
      <c r="AM64" s="20">
        <f t="shared" si="19"/>
        <v>2.3179652605874053E-3</v>
      </c>
      <c r="AN64" s="20">
        <f t="shared" si="20"/>
        <v>7.3693726326863216E-4</v>
      </c>
      <c r="AO64" s="21">
        <f t="shared" si="21"/>
        <v>7.4917602267971645E-4</v>
      </c>
      <c r="AQ64" s="20"/>
      <c r="AS64">
        <f t="shared" si="22"/>
        <v>0</v>
      </c>
      <c r="AT64">
        <f t="shared" si="23"/>
        <v>1</v>
      </c>
      <c r="AU64">
        <f t="shared" si="24"/>
        <v>0</v>
      </c>
      <c r="AV64">
        <f t="shared" si="25"/>
        <v>0</v>
      </c>
      <c r="AW64" s="20">
        <f t="shared" si="26"/>
        <v>0</v>
      </c>
      <c r="AX64" s="20">
        <f t="shared" si="27"/>
        <v>0</v>
      </c>
      <c r="AY64" s="20">
        <f t="shared" si="28"/>
        <v>0</v>
      </c>
      <c r="AZ64" s="21">
        <f t="shared" si="29"/>
        <v>8.2786809888977402E-4</v>
      </c>
      <c r="BB64" s="21">
        <f t="shared" si="30"/>
        <v>7.3693726326863216E-4</v>
      </c>
      <c r="BC64" s="21">
        <f t="shared" si="31"/>
        <v>1.5770441215694905E-3</v>
      </c>
    </row>
    <row r="65" spans="1:55" x14ac:dyDescent="0.3">
      <c r="A65" s="1">
        <v>46118</v>
      </c>
      <c r="B65" s="11">
        <v>56.94</v>
      </c>
      <c r="C65" s="11">
        <v>99.25</v>
      </c>
      <c r="D65" s="12">
        <v>1.7430628731998501</v>
      </c>
      <c r="E65" s="12">
        <v>1.74406374641995</v>
      </c>
      <c r="F65" s="12">
        <v>1.7436494670396301</v>
      </c>
      <c r="G65" s="12">
        <v>1.74386623732831</v>
      </c>
      <c r="H65" s="11">
        <v>99.306989721151993</v>
      </c>
      <c r="I65" s="11">
        <v>99.296836568729702</v>
      </c>
      <c r="J65" s="11">
        <v>99.300822108818096</v>
      </c>
      <c r="K65" s="13">
        <v>-5.7403894767998995E-4</v>
      </c>
      <c r="L65" s="13">
        <v>-4.7179366247256902E-4</v>
      </c>
      <c r="M65" s="13">
        <v>-5.11930491027835E-4</v>
      </c>
      <c r="N65" s="24">
        <v>0</v>
      </c>
      <c r="O65" s="15">
        <v>0</v>
      </c>
      <c r="P65" s="25">
        <f t="shared" si="13"/>
        <v>56.94</v>
      </c>
      <c r="Q65" s="25">
        <f t="shared" si="13"/>
        <v>99.25</v>
      </c>
      <c r="R65" s="16">
        <f t="shared" si="2"/>
        <v>1.7430628731998596</v>
      </c>
      <c r="S65" s="16">
        <f t="shared" si="3"/>
        <v>1.7440637464199518</v>
      </c>
      <c r="T65" s="16">
        <f t="shared" si="9"/>
        <v>1.743649467039635</v>
      </c>
      <c r="U65" s="16">
        <f t="shared" si="11"/>
        <v>1.7438662373283165</v>
      </c>
      <c r="V65" s="18">
        <f t="shared" si="4"/>
        <v>99.30698972115205</v>
      </c>
      <c r="W65" s="18">
        <f t="shared" si="10"/>
        <v>99.296836568729773</v>
      </c>
      <c r="X65" s="18">
        <f t="shared" si="14"/>
        <v>99.300822108818167</v>
      </c>
      <c r="Y65" s="19">
        <f t="shared" si="5"/>
        <v>-5.7403894767976856E-4</v>
      </c>
      <c r="Z65" s="19">
        <f t="shared" si="5"/>
        <v>-4.7179366247256907E-4</v>
      </c>
      <c r="AA65" s="19">
        <f t="shared" si="5"/>
        <v>-5.1193049102805758E-4</v>
      </c>
      <c r="AC65" s="20">
        <f t="shared" si="6"/>
        <v>-5.2673164241268469E-4</v>
      </c>
      <c r="AD65" s="20">
        <f t="shared" si="6"/>
        <v>-9.063901119046498E-4</v>
      </c>
      <c r="AE65" s="20"/>
      <c r="AF65" s="20"/>
      <c r="AH65">
        <f t="shared" si="15"/>
        <v>0</v>
      </c>
      <c r="AI65">
        <f t="shared" si="16"/>
        <v>0</v>
      </c>
      <c r="AJ65">
        <f t="shared" si="17"/>
        <v>1</v>
      </c>
      <c r="AK65">
        <f t="shared" si="12"/>
        <v>1</v>
      </c>
      <c r="AL65" s="20">
        <f t="shared" si="18"/>
        <v>5.2673164241268469E-4</v>
      </c>
      <c r="AM65" s="20">
        <f t="shared" si="19"/>
        <v>-9.063901119046498E-4</v>
      </c>
      <c r="AN65" s="20">
        <f t="shared" si="20"/>
        <v>-3.7965846949196511E-4</v>
      </c>
      <c r="AO65" s="21">
        <f t="shared" si="21"/>
        <v>3.6951755318775134E-4</v>
      </c>
      <c r="AQ65" s="20"/>
      <c r="AS65">
        <f t="shared" si="22"/>
        <v>0</v>
      </c>
      <c r="AT65">
        <f t="shared" si="23"/>
        <v>1</v>
      </c>
      <c r="AU65">
        <f t="shared" si="24"/>
        <v>0</v>
      </c>
      <c r="AV65">
        <f t="shared" si="25"/>
        <v>0</v>
      </c>
      <c r="AW65" s="20">
        <f t="shared" si="26"/>
        <v>0</v>
      </c>
      <c r="AX65" s="20">
        <f t="shared" si="27"/>
        <v>0</v>
      </c>
      <c r="AY65" s="20">
        <f t="shared" si="28"/>
        <v>0</v>
      </c>
      <c r="AZ65" s="21">
        <f t="shared" si="29"/>
        <v>8.2786809888977402E-4</v>
      </c>
      <c r="BB65" s="21">
        <f t="shared" si="30"/>
        <v>-3.7965846949196511E-4</v>
      </c>
      <c r="BC65" s="21">
        <f t="shared" si="31"/>
        <v>1.1973856520775253E-3</v>
      </c>
    </row>
    <row r="66" spans="1:55" x14ac:dyDescent="0.3">
      <c r="A66" s="1">
        <v>46119</v>
      </c>
      <c r="B66" s="11">
        <v>56.98</v>
      </c>
      <c r="C66" s="11">
        <v>99.4</v>
      </c>
      <c r="D66" s="12">
        <v>1.7444717444717399</v>
      </c>
      <c r="E66" s="12">
        <v>1.74406374641995</v>
      </c>
      <c r="F66" s="12">
        <v>1.7438465099309399</v>
      </c>
      <c r="G66" s="12">
        <v>1.7439167776092299</v>
      </c>
      <c r="H66" s="11">
        <v>99.376752271008797</v>
      </c>
      <c r="I66" s="11">
        <v>99.353146631918307</v>
      </c>
      <c r="J66" s="11">
        <v>99.365498202967402</v>
      </c>
      <c r="K66" s="13">
        <v>2.3390792767795401E-4</v>
      </c>
      <c r="L66" s="13">
        <v>4.7147297784711802E-4</v>
      </c>
      <c r="M66" s="13">
        <v>3.4716082711521199E-4</v>
      </c>
      <c r="N66" s="24">
        <v>0</v>
      </c>
      <c r="O66" s="15">
        <v>0</v>
      </c>
      <c r="P66" s="25">
        <f t="shared" si="13"/>
        <v>56.98</v>
      </c>
      <c r="Q66" s="25">
        <f t="shared" si="13"/>
        <v>99.4</v>
      </c>
      <c r="R66" s="16">
        <f t="shared" si="2"/>
        <v>1.7444717444717446</v>
      </c>
      <c r="S66" s="16">
        <f t="shared" si="3"/>
        <v>1.7440637464199518</v>
      </c>
      <c r="T66" s="16">
        <f t="shared" si="9"/>
        <v>1.7438465099309419</v>
      </c>
      <c r="U66" s="16">
        <f t="shared" si="11"/>
        <v>1.7439167776092397</v>
      </c>
      <c r="V66" s="18">
        <f t="shared" si="4"/>
        <v>99.37675227100884</v>
      </c>
      <c r="W66" s="18">
        <f t="shared" si="10"/>
        <v>99.353146631918392</v>
      </c>
      <c r="X66" s="18">
        <f t="shared" si="14"/>
        <v>99.365498202967473</v>
      </c>
      <c r="Y66" s="19">
        <f t="shared" si="5"/>
        <v>2.3390792767817692E-4</v>
      </c>
      <c r="Z66" s="19">
        <f t="shared" si="5"/>
        <v>4.7147297784711829E-4</v>
      </c>
      <c r="AA66" s="19">
        <f t="shared" si="5"/>
        <v>3.4716082711521259E-4</v>
      </c>
      <c r="AC66" s="20">
        <f t="shared" si="6"/>
        <v>7.0224721987072842E-4</v>
      </c>
      <c r="AD66" s="20">
        <f t="shared" si="6"/>
        <v>1.5101940952286935E-3</v>
      </c>
      <c r="AE66" s="20"/>
      <c r="AF66" s="20"/>
      <c r="AH66">
        <f t="shared" si="15"/>
        <v>0</v>
      </c>
      <c r="AI66">
        <f t="shared" si="16"/>
        <v>1</v>
      </c>
      <c r="AJ66">
        <f t="shared" si="17"/>
        <v>1</v>
      </c>
      <c r="AK66">
        <f t="shared" si="12"/>
        <v>1</v>
      </c>
      <c r="AL66" s="20">
        <f t="shared" si="18"/>
        <v>-7.0224721987072842E-4</v>
      </c>
      <c r="AM66" s="20">
        <f t="shared" si="19"/>
        <v>1.5101940952286935E-3</v>
      </c>
      <c r="AN66" s="20">
        <f t="shared" si="20"/>
        <v>8.0794687535796507E-4</v>
      </c>
      <c r="AO66" s="21">
        <f t="shared" si="21"/>
        <v>1.1774644285457163E-3</v>
      </c>
      <c r="AQ66" s="20"/>
      <c r="AS66">
        <f t="shared" si="22"/>
        <v>0</v>
      </c>
      <c r="AT66">
        <f t="shared" si="23"/>
        <v>0</v>
      </c>
      <c r="AU66">
        <f t="shared" si="24"/>
        <v>0</v>
      </c>
      <c r="AV66">
        <f t="shared" si="25"/>
        <v>0</v>
      </c>
      <c r="AW66" s="20">
        <f t="shared" si="26"/>
        <v>0</v>
      </c>
      <c r="AX66" s="20">
        <f t="shared" si="27"/>
        <v>0</v>
      </c>
      <c r="AY66" s="20">
        <f t="shared" si="28"/>
        <v>0</v>
      </c>
      <c r="AZ66" s="21">
        <f t="shared" si="29"/>
        <v>8.2786809888977402E-4</v>
      </c>
      <c r="BB66" s="21">
        <f t="shared" si="30"/>
        <v>8.0794687535796507E-4</v>
      </c>
      <c r="BC66" s="21">
        <f t="shared" si="31"/>
        <v>2.0053325274354905E-3</v>
      </c>
    </row>
    <row r="67" spans="1:55" x14ac:dyDescent="0.3">
      <c r="A67" s="1">
        <v>46120</v>
      </c>
      <c r="B67" s="11">
        <v>57.21</v>
      </c>
      <c r="C67" s="11">
        <v>99.73</v>
      </c>
      <c r="D67" s="12">
        <v>1.7432267086173701</v>
      </c>
      <c r="E67" s="12">
        <v>1.74406374641995</v>
      </c>
      <c r="F67" s="12">
        <v>1.7435183057705801</v>
      </c>
      <c r="G67" s="12">
        <v>1.7438102775948701</v>
      </c>
      <c r="H67" s="11">
        <v>99.777886932685405</v>
      </c>
      <c r="I67" s="11">
        <v>99.765458833149097</v>
      </c>
      <c r="J67" s="11">
        <v>99.769478847024502</v>
      </c>
      <c r="K67" s="13">
        <v>-4.8005053174906702E-4</v>
      </c>
      <c r="L67" s="13">
        <v>-3.55485119611165E-4</v>
      </c>
      <c r="M67" s="13">
        <v>-3.9577895409119998E-4</v>
      </c>
      <c r="N67" s="24">
        <v>0</v>
      </c>
      <c r="O67" s="15">
        <v>0</v>
      </c>
      <c r="P67" s="25">
        <f t="shared" si="13"/>
        <v>57.21</v>
      </c>
      <c r="Q67" s="25">
        <f t="shared" si="13"/>
        <v>99.73</v>
      </c>
      <c r="R67" s="16">
        <f t="shared" ref="R67:R130" si="32">Q67/P67</f>
        <v>1.7432267086173747</v>
      </c>
      <c r="S67" s="16">
        <f t="shared" ref="S67:S130" si="33">AVERAGE(R:R)</f>
        <v>1.7440637464199518</v>
      </c>
      <c r="T67" s="16">
        <f t="shared" si="9"/>
        <v>1.7435183057705828</v>
      </c>
      <c r="U67" s="16">
        <f t="shared" si="11"/>
        <v>1.7438102775948732</v>
      </c>
      <c r="V67" s="18">
        <f t="shared" si="4"/>
        <v>99.777886932685448</v>
      </c>
      <c r="W67" s="18">
        <f t="shared" si="10"/>
        <v>99.765458833149182</v>
      </c>
      <c r="X67" s="18">
        <f t="shared" si="14"/>
        <v>99.769478847024601</v>
      </c>
      <c r="Y67" s="19">
        <f t="shared" si="5"/>
        <v>-4.8005053174884508E-4</v>
      </c>
      <c r="Z67" s="19">
        <f t="shared" si="5"/>
        <v>-3.5548511961116543E-4</v>
      </c>
      <c r="AA67" s="19">
        <f t="shared" si="5"/>
        <v>-3.95778954091423E-4</v>
      </c>
      <c r="AC67" s="20">
        <f t="shared" si="6"/>
        <v>4.0283792106751365E-3</v>
      </c>
      <c r="AD67" s="20">
        <f t="shared" si="6"/>
        <v>3.3144207512481451E-3</v>
      </c>
      <c r="AE67" s="20"/>
      <c r="AF67" s="20"/>
      <c r="AH67">
        <f t="shared" si="15"/>
        <v>0</v>
      </c>
      <c r="AI67">
        <f t="shared" si="16"/>
        <v>0</v>
      </c>
      <c r="AJ67">
        <f t="shared" si="17"/>
        <v>0</v>
      </c>
      <c r="AK67">
        <f t="shared" si="12"/>
        <v>0</v>
      </c>
      <c r="AL67" s="20">
        <f t="shared" si="18"/>
        <v>0</v>
      </c>
      <c r="AM67" s="20">
        <f t="shared" si="19"/>
        <v>0</v>
      </c>
      <c r="AN67" s="20">
        <f t="shared" si="20"/>
        <v>0</v>
      </c>
      <c r="AO67" s="21">
        <f t="shared" si="21"/>
        <v>1.1774644285457163E-3</v>
      </c>
      <c r="AQ67" s="20"/>
      <c r="AS67">
        <f t="shared" si="22"/>
        <v>0</v>
      </c>
      <c r="AT67">
        <f t="shared" si="23"/>
        <v>1</v>
      </c>
      <c r="AU67">
        <f t="shared" si="24"/>
        <v>0</v>
      </c>
      <c r="AV67">
        <f t="shared" si="25"/>
        <v>0</v>
      </c>
      <c r="AW67" s="20">
        <f t="shared" si="26"/>
        <v>0</v>
      </c>
      <c r="AX67" s="20">
        <f t="shared" si="27"/>
        <v>0</v>
      </c>
      <c r="AY67" s="20">
        <f t="shared" si="28"/>
        <v>0</v>
      </c>
      <c r="AZ67" s="21">
        <f t="shared" si="29"/>
        <v>8.2786809888977402E-4</v>
      </c>
      <c r="BB67" s="21">
        <f t="shared" si="30"/>
        <v>0</v>
      </c>
      <c r="BC67" s="21">
        <f t="shared" si="31"/>
        <v>2.0053325274354905E-3</v>
      </c>
    </row>
    <row r="68" spans="1:55" x14ac:dyDescent="0.3">
      <c r="A68" s="1">
        <v>46121</v>
      </c>
      <c r="B68" s="11">
        <v>57.3</v>
      </c>
      <c r="C68" s="11">
        <v>99.92</v>
      </c>
      <c r="D68" s="12">
        <v>1.7438045375218101</v>
      </c>
      <c r="E68" s="12">
        <v>1.74406374641995</v>
      </c>
      <c r="F68" s="12">
        <v>1.7433924125552001</v>
      </c>
      <c r="G68" s="12">
        <v>1.74381142810985</v>
      </c>
      <c r="H68" s="11">
        <v>99.934852669863204</v>
      </c>
      <c r="I68" s="11">
        <v>99.903598920654304</v>
      </c>
      <c r="J68" s="11">
        <v>99.920328906186199</v>
      </c>
      <c r="K68" s="13">
        <v>-1.4863456845990301E-4</v>
      </c>
      <c r="L68" s="13">
        <v>1.64155579931757E-4</v>
      </c>
      <c r="M68" s="13">
        <v>-3.2916898007825399E-6</v>
      </c>
      <c r="N68" s="24">
        <v>0</v>
      </c>
      <c r="O68" s="15">
        <v>0</v>
      </c>
      <c r="P68" s="25">
        <f t="shared" si="13"/>
        <v>57.3</v>
      </c>
      <c r="Q68" s="25">
        <f t="shared" si="13"/>
        <v>99.92</v>
      </c>
      <c r="R68" s="16">
        <f t="shared" si="32"/>
        <v>1.7438045375218152</v>
      </c>
      <c r="S68" s="16">
        <f t="shared" si="33"/>
        <v>1.7440637464199518</v>
      </c>
      <c r="T68" s="16">
        <f t="shared" si="9"/>
        <v>1.7433924125552043</v>
      </c>
      <c r="U68" s="16">
        <f t="shared" si="11"/>
        <v>1.7438114281098578</v>
      </c>
      <c r="V68" s="18">
        <f t="shared" ref="V68:V131" si="34">S67*P68</f>
        <v>99.934852669863233</v>
      </c>
      <c r="W68" s="18">
        <f t="shared" si="10"/>
        <v>99.903598920654389</v>
      </c>
      <c r="X68" s="18">
        <f t="shared" si="14"/>
        <v>99.920328906186228</v>
      </c>
      <c r="Y68" s="19">
        <f t="shared" ref="Y68:AA131" si="35">LN($C68/V68)</f>
        <v>-1.4863456845968097E-4</v>
      </c>
      <c r="Z68" s="19">
        <f t="shared" si="35"/>
        <v>1.6415557993175721E-4</v>
      </c>
      <c r="AA68" s="19">
        <f t="shared" si="35"/>
        <v>-3.2916898007825458E-6</v>
      </c>
      <c r="AC68" s="20">
        <f t="shared" ref="AC68:AD131" si="36">LN(B68/B67)</f>
        <v>1.5719154402565193E-3</v>
      </c>
      <c r="AD68" s="20">
        <f t="shared" si="36"/>
        <v>1.9033314035456473E-3</v>
      </c>
      <c r="AE68" s="20"/>
      <c r="AF68" s="20"/>
      <c r="AH68">
        <f t="shared" si="15"/>
        <v>0</v>
      </c>
      <c r="AI68">
        <f t="shared" si="16"/>
        <v>0</v>
      </c>
      <c r="AJ68">
        <f t="shared" si="17"/>
        <v>0</v>
      </c>
      <c r="AK68">
        <f t="shared" si="12"/>
        <v>0</v>
      </c>
      <c r="AL68" s="20">
        <f t="shared" si="18"/>
        <v>0</v>
      </c>
      <c r="AM68" s="20">
        <f t="shared" si="19"/>
        <v>0</v>
      </c>
      <c r="AN68" s="20">
        <f t="shared" si="20"/>
        <v>0</v>
      </c>
      <c r="AO68" s="21">
        <f t="shared" si="21"/>
        <v>1.1774644285457163E-3</v>
      </c>
      <c r="AQ68" s="20"/>
      <c r="AS68">
        <f t="shared" si="22"/>
        <v>0</v>
      </c>
      <c r="AT68">
        <f t="shared" si="23"/>
        <v>1</v>
      </c>
      <c r="AU68">
        <f t="shared" si="24"/>
        <v>0</v>
      </c>
      <c r="AV68">
        <f t="shared" si="25"/>
        <v>0</v>
      </c>
      <c r="AW68" s="20">
        <f t="shared" si="26"/>
        <v>0</v>
      </c>
      <c r="AX68" s="20">
        <f t="shared" si="27"/>
        <v>0</v>
      </c>
      <c r="AY68" s="20">
        <f t="shared" si="28"/>
        <v>0</v>
      </c>
      <c r="AZ68" s="21">
        <f t="shared" si="29"/>
        <v>8.2786809888977402E-4</v>
      </c>
      <c r="BB68" s="21">
        <f t="shared" si="30"/>
        <v>0</v>
      </c>
      <c r="BC68" s="21">
        <f t="shared" si="31"/>
        <v>2.0053325274354905E-3</v>
      </c>
    </row>
    <row r="69" spans="1:55" x14ac:dyDescent="0.3">
      <c r="A69" s="1">
        <v>46122</v>
      </c>
      <c r="B69" s="11">
        <v>57.25</v>
      </c>
      <c r="C69" s="11">
        <v>99.86</v>
      </c>
      <c r="D69" s="12">
        <v>1.74427947598253</v>
      </c>
      <c r="E69" s="12">
        <v>1.74406374641995</v>
      </c>
      <c r="F69" s="12">
        <v>1.74341654457317</v>
      </c>
      <c r="G69" s="12">
        <v>1.74378745641632</v>
      </c>
      <c r="H69" s="11">
        <v>99.847649482542195</v>
      </c>
      <c r="I69" s="11">
        <v>99.809215618785402</v>
      </c>
      <c r="J69" s="11">
        <v>99.833204259289303</v>
      </c>
      <c r="K69" s="13">
        <v>1.23685973025792E-4</v>
      </c>
      <c r="L69" s="13">
        <v>5.0868514860668104E-4</v>
      </c>
      <c r="M69" s="13">
        <v>2.6836908117013303E-4</v>
      </c>
      <c r="N69" s="24">
        <v>0</v>
      </c>
      <c r="O69" s="15">
        <v>0</v>
      </c>
      <c r="P69" s="25">
        <f t="shared" si="13"/>
        <v>57.25</v>
      </c>
      <c r="Q69" s="25">
        <f t="shared" si="13"/>
        <v>99.86</v>
      </c>
      <c r="R69" s="16">
        <f t="shared" si="32"/>
        <v>1.7442794759825326</v>
      </c>
      <c r="S69" s="16">
        <f t="shared" si="33"/>
        <v>1.7440637464199518</v>
      </c>
      <c r="T69" s="16">
        <f t="shared" si="9"/>
        <v>1.7434165445731715</v>
      </c>
      <c r="U69" s="16">
        <f t="shared" si="11"/>
        <v>1.7437874564163216</v>
      </c>
      <c r="V69" s="18">
        <f t="shared" si="34"/>
        <v>99.847649482542238</v>
      </c>
      <c r="W69" s="18">
        <f t="shared" si="10"/>
        <v>99.809215618785444</v>
      </c>
      <c r="X69" s="18">
        <f t="shared" si="14"/>
        <v>99.83320425928936</v>
      </c>
      <c r="Y69" s="19">
        <f t="shared" si="35"/>
        <v>1.2368597302623655E-4</v>
      </c>
      <c r="Z69" s="19">
        <f t="shared" si="35"/>
        <v>5.0868514860690308E-4</v>
      </c>
      <c r="AA69" s="19">
        <f t="shared" si="35"/>
        <v>2.6836908116991147E-4</v>
      </c>
      <c r="AC69" s="20">
        <f t="shared" si="36"/>
        <v>-8.7298128634484226E-4</v>
      </c>
      <c r="AD69" s="20">
        <f t="shared" si="36"/>
        <v>-6.0066074485905447E-4</v>
      </c>
      <c r="AE69" s="20"/>
      <c r="AF69" s="20"/>
      <c r="AH69">
        <f t="shared" si="15"/>
        <v>0</v>
      </c>
      <c r="AI69">
        <f t="shared" si="16"/>
        <v>1</v>
      </c>
      <c r="AJ69">
        <f t="shared" si="17"/>
        <v>0</v>
      </c>
      <c r="AK69">
        <f t="shared" si="12"/>
        <v>0</v>
      </c>
      <c r="AL69" s="20">
        <f t="shared" si="18"/>
        <v>0</v>
      </c>
      <c r="AM69" s="20">
        <f t="shared" si="19"/>
        <v>0</v>
      </c>
      <c r="AN69" s="20">
        <f t="shared" si="20"/>
        <v>0</v>
      </c>
      <c r="AO69" s="21">
        <f t="shared" si="21"/>
        <v>1.1774644285457163E-3</v>
      </c>
      <c r="AQ69" s="20"/>
      <c r="AS69">
        <f t="shared" si="22"/>
        <v>0</v>
      </c>
      <c r="AT69">
        <f t="shared" si="23"/>
        <v>0</v>
      </c>
      <c r="AU69">
        <f t="shared" si="24"/>
        <v>0</v>
      </c>
      <c r="AV69">
        <f t="shared" si="25"/>
        <v>0</v>
      </c>
      <c r="AW69" s="20">
        <f t="shared" si="26"/>
        <v>0</v>
      </c>
      <c r="AX69" s="20">
        <f t="shared" si="27"/>
        <v>0</v>
      </c>
      <c r="AY69" s="20">
        <f t="shared" si="28"/>
        <v>0</v>
      </c>
      <c r="AZ69" s="21">
        <f t="shared" si="29"/>
        <v>8.2786809888977402E-4</v>
      </c>
      <c r="BB69" s="21">
        <f t="shared" si="30"/>
        <v>0</v>
      </c>
      <c r="BC69" s="21">
        <f t="shared" si="31"/>
        <v>2.0053325274354905E-3</v>
      </c>
    </row>
    <row r="70" spans="1:55" x14ac:dyDescent="0.3">
      <c r="A70" s="1">
        <v>46125</v>
      </c>
      <c r="B70" s="11">
        <v>57.34</v>
      </c>
      <c r="C70" s="11">
        <v>100.01</v>
      </c>
      <c r="D70" s="12">
        <v>1.7441576560865</v>
      </c>
      <c r="E70" s="12">
        <v>1.74406374641995</v>
      </c>
      <c r="F70" s="12">
        <v>1.7434112389426399</v>
      </c>
      <c r="G70" s="12">
        <v>1.7438000049588001</v>
      </c>
      <c r="H70" s="11">
        <v>100.00461521971999</v>
      </c>
      <c r="I70" s="11">
        <v>99.967504665825601</v>
      </c>
      <c r="J70" s="11">
        <v>99.988772750911806</v>
      </c>
      <c r="K70" s="13">
        <v>5.3843868112596598E-5</v>
      </c>
      <c r="L70" s="13">
        <v>4.25001150854424E-4</v>
      </c>
      <c r="M70" s="13">
        <v>2.1227379424222E-4</v>
      </c>
      <c r="N70" s="24">
        <v>0</v>
      </c>
      <c r="O70" s="15">
        <v>0</v>
      </c>
      <c r="P70" s="25">
        <f t="shared" si="13"/>
        <v>57.34</v>
      </c>
      <c r="Q70" s="25">
        <f t="shared" si="13"/>
        <v>100.01</v>
      </c>
      <c r="R70" s="16">
        <f t="shared" si="32"/>
        <v>1.7441576560865015</v>
      </c>
      <c r="S70" s="16">
        <f t="shared" si="33"/>
        <v>1.7440637464199518</v>
      </c>
      <c r="T70" s="16">
        <f t="shared" si="9"/>
        <v>1.7434112389426488</v>
      </c>
      <c r="U70" s="16">
        <f t="shared" si="11"/>
        <v>1.7438000049588083</v>
      </c>
      <c r="V70" s="18">
        <f t="shared" si="34"/>
        <v>100.00461521972004</v>
      </c>
      <c r="W70" s="18">
        <f t="shared" si="10"/>
        <v>99.967504665825658</v>
      </c>
      <c r="X70" s="18">
        <f t="shared" si="14"/>
        <v>99.988772750911892</v>
      </c>
      <c r="Y70" s="19">
        <f t="shared" si="35"/>
        <v>5.3843868112818711E-5</v>
      </c>
      <c r="Z70" s="19">
        <f t="shared" si="35"/>
        <v>4.2500115085442405E-4</v>
      </c>
      <c r="AA70" s="19">
        <f t="shared" si="35"/>
        <v>2.1227379424222097E-4</v>
      </c>
      <c r="AC70" s="20">
        <f t="shared" si="36"/>
        <v>1.5708180208748707E-3</v>
      </c>
      <c r="AD70" s="20">
        <f t="shared" si="36"/>
        <v>1.5009759159614674E-3</v>
      </c>
      <c r="AE70" s="20"/>
      <c r="AF70" s="20"/>
      <c r="AH70">
        <f t="shared" si="15"/>
        <v>0</v>
      </c>
      <c r="AI70">
        <f t="shared" si="16"/>
        <v>1</v>
      </c>
      <c r="AJ70">
        <f t="shared" si="17"/>
        <v>0</v>
      </c>
      <c r="AK70">
        <f t="shared" si="12"/>
        <v>0</v>
      </c>
      <c r="AL70" s="20">
        <f t="shared" si="18"/>
        <v>0</v>
      </c>
      <c r="AM70" s="20">
        <f t="shared" si="19"/>
        <v>0</v>
      </c>
      <c r="AN70" s="20">
        <f t="shared" si="20"/>
        <v>0</v>
      </c>
      <c r="AO70" s="21">
        <f t="shared" si="21"/>
        <v>1.1774644285457163E-3</v>
      </c>
      <c r="AQ70" s="20"/>
      <c r="AS70">
        <f t="shared" si="22"/>
        <v>0</v>
      </c>
      <c r="AT70">
        <f t="shared" si="23"/>
        <v>0</v>
      </c>
      <c r="AU70">
        <f t="shared" si="24"/>
        <v>0</v>
      </c>
      <c r="AV70">
        <f t="shared" si="25"/>
        <v>0</v>
      </c>
      <c r="AW70" s="20">
        <f t="shared" si="26"/>
        <v>0</v>
      </c>
      <c r="AX70" s="20">
        <f t="shared" si="27"/>
        <v>0</v>
      </c>
      <c r="AY70" s="20">
        <f t="shared" si="28"/>
        <v>0</v>
      </c>
      <c r="AZ70" s="21">
        <f t="shared" si="29"/>
        <v>8.2786809888977402E-4</v>
      </c>
      <c r="BB70" s="21">
        <f t="shared" si="30"/>
        <v>0</v>
      </c>
      <c r="BC70" s="21">
        <f t="shared" si="31"/>
        <v>2.0053325274354905E-3</v>
      </c>
    </row>
    <row r="71" spans="1:55" x14ac:dyDescent="0.3">
      <c r="A71" s="1">
        <v>46126</v>
      </c>
      <c r="B71" s="11">
        <v>57.37</v>
      </c>
      <c r="C71" s="11">
        <v>100.06</v>
      </c>
      <c r="D71" s="12">
        <v>1.74411713439079</v>
      </c>
      <c r="E71" s="12">
        <v>1.74406374641995</v>
      </c>
      <c r="F71" s="12">
        <v>1.7435810623958301</v>
      </c>
      <c r="G71" s="12">
        <v>1.7438493399392101</v>
      </c>
      <c r="H71" s="11">
        <v>100.056937132112</v>
      </c>
      <c r="I71" s="11">
        <v>100.019502778139</v>
      </c>
      <c r="J71" s="11">
        <v>100.041806284486</v>
      </c>
      <c r="K71" s="13">
        <v>3.0610781191193202E-5</v>
      </c>
      <c r="L71" s="13">
        <v>4.0481130601520302E-4</v>
      </c>
      <c r="M71" s="13">
        <v>1.8184459102237E-4</v>
      </c>
      <c r="N71" s="24">
        <v>0</v>
      </c>
      <c r="O71" s="15">
        <v>0</v>
      </c>
      <c r="P71" s="25">
        <f t="shared" si="13"/>
        <v>57.37</v>
      </c>
      <c r="Q71" s="25">
        <f t="shared" si="13"/>
        <v>100.06</v>
      </c>
      <c r="R71" s="16">
        <f t="shared" si="32"/>
        <v>1.7441171343907966</v>
      </c>
      <c r="S71" s="16">
        <f t="shared" si="33"/>
        <v>1.7440637464199518</v>
      </c>
      <c r="T71" s="16">
        <f t="shared" si="9"/>
        <v>1.7435810623958332</v>
      </c>
      <c r="U71" s="16">
        <f t="shared" si="11"/>
        <v>1.7438493399392179</v>
      </c>
      <c r="V71" s="18">
        <f t="shared" si="34"/>
        <v>100.05693713211262</v>
      </c>
      <c r="W71" s="18">
        <f t="shared" si="10"/>
        <v>100.01950277813975</v>
      </c>
      <c r="X71" s="18">
        <f t="shared" si="14"/>
        <v>100.04180628448682</v>
      </c>
      <c r="Y71" s="19">
        <f t="shared" si="35"/>
        <v>3.0610781191415266E-5</v>
      </c>
      <c r="Z71" s="19">
        <f t="shared" si="35"/>
        <v>4.0481130601564716E-4</v>
      </c>
      <c r="AA71" s="19">
        <f t="shared" si="35"/>
        <v>1.8184459102237009E-4</v>
      </c>
      <c r="AC71" s="20">
        <f t="shared" si="36"/>
        <v>5.2305815855581081E-4</v>
      </c>
      <c r="AD71" s="20">
        <f t="shared" si="36"/>
        <v>4.9982507163416829E-4</v>
      </c>
      <c r="AE71" s="20"/>
      <c r="AF71" s="20"/>
      <c r="AH71">
        <f t="shared" si="15"/>
        <v>0</v>
      </c>
      <c r="AI71">
        <f t="shared" si="16"/>
        <v>1</v>
      </c>
      <c r="AJ71">
        <f t="shared" si="17"/>
        <v>0</v>
      </c>
      <c r="AK71">
        <f t="shared" si="12"/>
        <v>0</v>
      </c>
      <c r="AL71" s="20">
        <f t="shared" si="18"/>
        <v>0</v>
      </c>
      <c r="AM71" s="20">
        <f t="shared" si="19"/>
        <v>0</v>
      </c>
      <c r="AN71" s="20">
        <f t="shared" si="20"/>
        <v>0</v>
      </c>
      <c r="AO71" s="21">
        <f t="shared" si="21"/>
        <v>1.1774644285457163E-3</v>
      </c>
      <c r="AQ71" s="20"/>
      <c r="AS71">
        <f t="shared" si="22"/>
        <v>0</v>
      </c>
      <c r="AT71">
        <f t="shared" si="23"/>
        <v>0</v>
      </c>
      <c r="AU71">
        <f t="shared" si="24"/>
        <v>0</v>
      </c>
      <c r="AV71">
        <f t="shared" si="25"/>
        <v>0</v>
      </c>
      <c r="AW71" s="20">
        <f t="shared" si="26"/>
        <v>0</v>
      </c>
      <c r="AX71" s="20">
        <f t="shared" si="27"/>
        <v>0</v>
      </c>
      <c r="AY71" s="20">
        <f t="shared" si="28"/>
        <v>0</v>
      </c>
      <c r="AZ71" s="21">
        <f t="shared" si="29"/>
        <v>8.2786809888977402E-4</v>
      </c>
      <c r="BB71" s="21">
        <f t="shared" si="30"/>
        <v>0</v>
      </c>
      <c r="BC71" s="21">
        <f t="shared" si="31"/>
        <v>2.0053325274354905E-3</v>
      </c>
    </row>
    <row r="72" spans="1:55" x14ac:dyDescent="0.3">
      <c r="A72" s="1">
        <v>46127</v>
      </c>
      <c r="B72" s="11">
        <v>57.27</v>
      </c>
      <c r="C72" s="11">
        <v>99.96</v>
      </c>
      <c r="D72" s="12">
        <v>1.7454164484023</v>
      </c>
      <c r="E72" s="12">
        <v>1.74406374641995</v>
      </c>
      <c r="F72" s="12">
        <v>1.74387015711295</v>
      </c>
      <c r="G72" s="12">
        <v>1.7439701015003499</v>
      </c>
      <c r="H72" s="11">
        <v>99.882530757470604</v>
      </c>
      <c r="I72" s="11">
        <v>99.854887443409297</v>
      </c>
      <c r="J72" s="11">
        <v>99.870251698318995</v>
      </c>
      <c r="K72" s="13">
        <v>7.7530289589715601E-4</v>
      </c>
      <c r="L72" s="13">
        <v>1.0520994469570501E-3</v>
      </c>
      <c r="M72" s="13">
        <v>8.9824545535661601E-4</v>
      </c>
      <c r="N72" s="24">
        <v>0</v>
      </c>
      <c r="O72" s="15">
        <v>0</v>
      </c>
      <c r="P72" s="25">
        <f t="shared" si="13"/>
        <v>57.27</v>
      </c>
      <c r="Q72" s="25">
        <f t="shared" si="13"/>
        <v>99.96</v>
      </c>
      <c r="R72" s="16">
        <f t="shared" si="32"/>
        <v>1.7454164484023047</v>
      </c>
      <c r="S72" s="16">
        <f t="shared" si="33"/>
        <v>1.7440637464199518</v>
      </c>
      <c r="T72" s="16">
        <f t="shared" si="9"/>
        <v>1.7438701571129542</v>
      </c>
      <c r="U72" s="16">
        <f t="shared" si="11"/>
        <v>1.7439701015003517</v>
      </c>
      <c r="V72" s="18">
        <f t="shared" si="34"/>
        <v>99.882530757470647</v>
      </c>
      <c r="W72" s="18">
        <f t="shared" si="10"/>
        <v>99.854887443409368</v>
      </c>
      <c r="X72" s="18">
        <f t="shared" si="14"/>
        <v>99.870251698319009</v>
      </c>
      <c r="Y72" s="19">
        <f t="shared" si="35"/>
        <v>7.7530289589760042E-4</v>
      </c>
      <c r="Z72" s="19">
        <f t="shared" si="35"/>
        <v>1.0520994469570529E-3</v>
      </c>
      <c r="AA72" s="19">
        <f t="shared" si="35"/>
        <v>8.9824545535661655E-4</v>
      </c>
      <c r="AC72" s="20">
        <f t="shared" si="36"/>
        <v>-1.7445922080137006E-3</v>
      </c>
      <c r="AD72" s="20">
        <f t="shared" si="36"/>
        <v>-9.9990009330740755E-4</v>
      </c>
      <c r="AE72" s="20"/>
      <c r="AF72" s="20"/>
      <c r="AH72">
        <f t="shared" si="15"/>
        <v>0</v>
      </c>
      <c r="AI72">
        <f t="shared" si="16"/>
        <v>1</v>
      </c>
      <c r="AJ72">
        <f t="shared" si="17"/>
        <v>0</v>
      </c>
      <c r="AK72">
        <f t="shared" si="12"/>
        <v>0</v>
      </c>
      <c r="AL72" s="20">
        <f t="shared" si="18"/>
        <v>0</v>
      </c>
      <c r="AM72" s="20">
        <f t="shared" si="19"/>
        <v>0</v>
      </c>
      <c r="AN72" s="20">
        <f t="shared" si="20"/>
        <v>0</v>
      </c>
      <c r="AO72" s="21">
        <f t="shared" si="21"/>
        <v>1.1774644285457163E-3</v>
      </c>
      <c r="AQ72" s="20"/>
      <c r="AS72">
        <f t="shared" si="22"/>
        <v>0</v>
      </c>
      <c r="AT72">
        <f t="shared" si="23"/>
        <v>0</v>
      </c>
      <c r="AU72">
        <f t="shared" si="24"/>
        <v>0</v>
      </c>
      <c r="AV72">
        <f t="shared" si="25"/>
        <v>0</v>
      </c>
      <c r="AW72" s="20">
        <f t="shared" si="26"/>
        <v>0</v>
      </c>
      <c r="AX72" s="20">
        <f t="shared" si="27"/>
        <v>0</v>
      </c>
      <c r="AY72" s="20">
        <f t="shared" si="28"/>
        <v>0</v>
      </c>
      <c r="AZ72" s="21">
        <f t="shared" si="29"/>
        <v>8.2786809888977402E-4</v>
      </c>
      <c r="BB72" s="21">
        <f t="shared" si="30"/>
        <v>0</v>
      </c>
      <c r="BC72" s="21">
        <f t="shared" si="31"/>
        <v>2.0053325274354905E-3</v>
      </c>
    </row>
    <row r="73" spans="1:55" x14ac:dyDescent="0.3">
      <c r="A73" s="1">
        <v>46128</v>
      </c>
      <c r="B73" s="11">
        <v>57.32</v>
      </c>
      <c r="C73" s="11">
        <v>99.97</v>
      </c>
      <c r="D73" s="12">
        <v>1.7440683879972001</v>
      </c>
      <c r="E73" s="12">
        <v>1.74406374641995</v>
      </c>
      <c r="F73" s="12">
        <v>1.74403297340915</v>
      </c>
      <c r="G73" s="12">
        <v>1.7439719178334701</v>
      </c>
      <c r="H73" s="11">
        <v>99.969733944791599</v>
      </c>
      <c r="I73" s="11">
        <v>99.958637405714498</v>
      </c>
      <c r="J73" s="11">
        <v>99.964366218000094</v>
      </c>
      <c r="K73" s="13">
        <v>2.6613540300260399E-6</v>
      </c>
      <c r="L73" s="13">
        <v>1.1366650065888E-4</v>
      </c>
      <c r="M73" s="13">
        <v>5.6356314403480403E-5</v>
      </c>
      <c r="N73" s="24">
        <v>0</v>
      </c>
      <c r="O73" s="15">
        <v>0</v>
      </c>
      <c r="P73" s="25">
        <f t="shared" si="13"/>
        <v>57.32</v>
      </c>
      <c r="Q73" s="25">
        <f t="shared" si="13"/>
        <v>99.97</v>
      </c>
      <c r="R73" s="16">
        <f t="shared" si="32"/>
        <v>1.7440683879972085</v>
      </c>
      <c r="S73" s="16">
        <f t="shared" si="33"/>
        <v>1.7440637464199518</v>
      </c>
      <c r="T73" s="16">
        <f t="shared" si="9"/>
        <v>1.7440329734091589</v>
      </c>
      <c r="U73" s="16">
        <f t="shared" si="11"/>
        <v>1.7439719178334763</v>
      </c>
      <c r="V73" s="18">
        <f t="shared" si="34"/>
        <v>99.969733944791642</v>
      </c>
      <c r="W73" s="18">
        <f t="shared" si="10"/>
        <v>99.958637405714541</v>
      </c>
      <c r="X73" s="18">
        <f t="shared" si="14"/>
        <v>99.964366218000166</v>
      </c>
      <c r="Y73" s="19">
        <f t="shared" si="35"/>
        <v>2.6613540300260432E-6</v>
      </c>
      <c r="Z73" s="19">
        <f t="shared" si="35"/>
        <v>1.1366650065888018E-4</v>
      </c>
      <c r="AA73" s="19">
        <f t="shared" si="35"/>
        <v>5.6356314403480478E-5</v>
      </c>
      <c r="AC73" s="20">
        <f t="shared" si="36"/>
        <v>8.7267655420516447E-4</v>
      </c>
      <c r="AD73" s="20">
        <f t="shared" si="36"/>
        <v>1.0003501233780469E-4</v>
      </c>
      <c r="AE73" s="20"/>
      <c r="AF73" s="20"/>
      <c r="AH73">
        <f t="shared" si="15"/>
        <v>0</v>
      </c>
      <c r="AI73">
        <f t="shared" si="16"/>
        <v>1</v>
      </c>
      <c r="AJ73">
        <f t="shared" si="17"/>
        <v>0</v>
      </c>
      <c r="AK73">
        <f t="shared" si="12"/>
        <v>0</v>
      </c>
      <c r="AL73" s="20">
        <f t="shared" si="18"/>
        <v>0</v>
      </c>
      <c r="AM73" s="20">
        <f t="shared" si="19"/>
        <v>0</v>
      </c>
      <c r="AN73" s="20">
        <f t="shared" si="20"/>
        <v>0</v>
      </c>
      <c r="AO73" s="21">
        <f t="shared" si="21"/>
        <v>1.1774644285457163E-3</v>
      </c>
      <c r="AQ73" s="20"/>
      <c r="AS73">
        <f t="shared" si="22"/>
        <v>0</v>
      </c>
      <c r="AT73">
        <f t="shared" si="23"/>
        <v>0</v>
      </c>
      <c r="AU73">
        <f t="shared" si="24"/>
        <v>0</v>
      </c>
      <c r="AV73">
        <f t="shared" si="25"/>
        <v>0</v>
      </c>
      <c r="AW73" s="20">
        <f t="shared" si="26"/>
        <v>0</v>
      </c>
      <c r="AX73" s="20">
        <f t="shared" si="27"/>
        <v>0</v>
      </c>
      <c r="AY73" s="20">
        <f t="shared" si="28"/>
        <v>0</v>
      </c>
      <c r="AZ73" s="21">
        <f t="shared" si="29"/>
        <v>8.2786809888977402E-4</v>
      </c>
      <c r="BB73" s="21">
        <f t="shared" si="30"/>
        <v>0</v>
      </c>
      <c r="BC73" s="21">
        <f t="shared" si="31"/>
        <v>2.0053325274354905E-3</v>
      </c>
    </row>
    <row r="74" spans="1:55" x14ac:dyDescent="0.3">
      <c r="A74" s="1">
        <v>46129</v>
      </c>
      <c r="B74" s="11">
        <v>57.46</v>
      </c>
      <c r="C74" s="11">
        <v>100.2</v>
      </c>
      <c r="D74" s="12">
        <v>1.74382178907065</v>
      </c>
      <c r="E74" s="12">
        <v>1.74406374641995</v>
      </c>
      <c r="F74" s="12">
        <v>1.7440426755740699</v>
      </c>
      <c r="G74" s="12">
        <v>1.74396405440742</v>
      </c>
      <c r="H74" s="11">
        <v>100.21390286929</v>
      </c>
      <c r="I74" s="11">
        <v>100.21213465209</v>
      </c>
      <c r="J74" s="11">
        <v>100.208626398711</v>
      </c>
      <c r="K74" s="13">
        <v>-1.3874156546732699E-4</v>
      </c>
      <c r="L74" s="13">
        <v>-1.21096979742844E-4</v>
      </c>
      <c r="M74" s="13">
        <v>-8.6088097821434201E-5</v>
      </c>
      <c r="N74" s="24">
        <v>0</v>
      </c>
      <c r="O74" s="15">
        <v>0</v>
      </c>
      <c r="P74" s="25">
        <f t="shared" si="13"/>
        <v>57.46</v>
      </c>
      <c r="Q74" s="25">
        <f t="shared" si="13"/>
        <v>100.2</v>
      </c>
      <c r="R74" s="16">
        <f t="shared" si="32"/>
        <v>1.7438217890706578</v>
      </c>
      <c r="S74" s="16">
        <f t="shared" si="33"/>
        <v>1.7440637464199518</v>
      </c>
      <c r="T74" s="16">
        <f t="shared" si="9"/>
        <v>1.7440426755740794</v>
      </c>
      <c r="U74" s="16">
        <f t="shared" si="11"/>
        <v>1.743964054407428</v>
      </c>
      <c r="V74" s="18">
        <f t="shared" si="34"/>
        <v>100.21390286929044</v>
      </c>
      <c r="W74" s="18">
        <f t="shared" si="10"/>
        <v>100.21213465209027</v>
      </c>
      <c r="X74" s="18">
        <f t="shared" si="14"/>
        <v>100.20862639871154</v>
      </c>
      <c r="Y74" s="19">
        <f t="shared" si="35"/>
        <v>-1.3874156546721611E-4</v>
      </c>
      <c r="Z74" s="19">
        <f t="shared" si="35"/>
        <v>-1.2109697974284459E-4</v>
      </c>
      <c r="AA74" s="19">
        <f t="shared" si="35"/>
        <v>-8.6088097821767308E-5</v>
      </c>
      <c r="AC74" s="20">
        <f t="shared" si="36"/>
        <v>2.43945059117248E-3</v>
      </c>
      <c r="AD74" s="20">
        <f t="shared" si="36"/>
        <v>2.2980476716751024E-3</v>
      </c>
      <c r="AE74" s="20"/>
      <c r="AF74" s="20"/>
      <c r="AH74">
        <f t="shared" si="15"/>
        <v>0</v>
      </c>
      <c r="AI74">
        <f t="shared" si="16"/>
        <v>0</v>
      </c>
      <c r="AJ74">
        <f t="shared" si="17"/>
        <v>0</v>
      </c>
      <c r="AK74">
        <f t="shared" si="12"/>
        <v>0</v>
      </c>
      <c r="AL74" s="20">
        <f t="shared" si="18"/>
        <v>0</v>
      </c>
      <c r="AM74" s="20">
        <f t="shared" si="19"/>
        <v>0</v>
      </c>
      <c r="AN74" s="20">
        <f t="shared" si="20"/>
        <v>0</v>
      </c>
      <c r="AO74" s="21">
        <f t="shared" si="21"/>
        <v>1.1774644285457163E-3</v>
      </c>
      <c r="AQ74" s="20"/>
      <c r="AS74">
        <f t="shared" si="22"/>
        <v>0</v>
      </c>
      <c r="AT74">
        <f t="shared" si="23"/>
        <v>1</v>
      </c>
      <c r="AU74">
        <f t="shared" si="24"/>
        <v>0</v>
      </c>
      <c r="AV74">
        <f t="shared" si="25"/>
        <v>0</v>
      </c>
      <c r="AW74" s="20">
        <f t="shared" si="26"/>
        <v>0</v>
      </c>
      <c r="AX74" s="20">
        <f t="shared" si="27"/>
        <v>0</v>
      </c>
      <c r="AY74" s="20">
        <f t="shared" si="28"/>
        <v>0</v>
      </c>
      <c r="AZ74" s="21">
        <f t="shared" si="29"/>
        <v>8.2786809888977402E-4</v>
      </c>
      <c r="BB74" s="21">
        <f t="shared" si="30"/>
        <v>0</v>
      </c>
      <c r="BC74" s="21">
        <f t="shared" si="31"/>
        <v>2.0053325274354905E-3</v>
      </c>
    </row>
    <row r="75" spans="1:55" x14ac:dyDescent="0.3">
      <c r="A75" s="1">
        <v>46132</v>
      </c>
      <c r="B75" s="11">
        <v>57.47</v>
      </c>
      <c r="C75" s="11">
        <v>100.26</v>
      </c>
      <c r="D75" s="12">
        <v>1.74456238037236</v>
      </c>
      <c r="E75" s="12">
        <v>1.74406374641995</v>
      </c>
      <c r="F75" s="12">
        <v>1.7441926262913301</v>
      </c>
      <c r="G75" s="12">
        <v>1.74392104666548</v>
      </c>
      <c r="H75" s="11">
        <v>100.231343506754</v>
      </c>
      <c r="I75" s="11">
        <v>100.230132565242</v>
      </c>
      <c r="J75" s="11">
        <v>100.22561420679401</v>
      </c>
      <c r="K75" s="13">
        <v>2.85862650618977E-4</v>
      </c>
      <c r="L75" s="13">
        <v>2.97944189037792E-4</v>
      </c>
      <c r="M75" s="13">
        <v>3.4302504624436202E-4</v>
      </c>
      <c r="N75" s="24">
        <v>0</v>
      </c>
      <c r="O75" s="15">
        <v>0</v>
      </c>
      <c r="P75" s="25">
        <f t="shared" si="13"/>
        <v>57.47</v>
      </c>
      <c r="Q75" s="25">
        <f t="shared" si="13"/>
        <v>100.26</v>
      </c>
      <c r="R75" s="16">
        <f t="shared" si="32"/>
        <v>1.7445623803723682</v>
      </c>
      <c r="S75" s="16">
        <f t="shared" si="33"/>
        <v>1.7440637464199518</v>
      </c>
      <c r="T75" s="16">
        <f t="shared" si="9"/>
        <v>1.7441926262913303</v>
      </c>
      <c r="U75" s="16">
        <f t="shared" si="11"/>
        <v>1.7439210466654829</v>
      </c>
      <c r="V75" s="18">
        <f t="shared" si="34"/>
        <v>100.23134350675463</v>
      </c>
      <c r="W75" s="18">
        <f t="shared" si="10"/>
        <v>100.23013256524234</v>
      </c>
      <c r="X75" s="18">
        <f t="shared" si="14"/>
        <v>100.22561420679489</v>
      </c>
      <c r="Y75" s="19">
        <f t="shared" si="35"/>
        <v>2.8586265061919953E-4</v>
      </c>
      <c r="Z75" s="19">
        <f t="shared" si="35"/>
        <v>2.9794418903779287E-4</v>
      </c>
      <c r="AA75" s="19">
        <f t="shared" si="35"/>
        <v>3.4302504624414009E-4</v>
      </c>
      <c r="AC75" s="20">
        <f t="shared" si="36"/>
        <v>1.7401896850669849E-4</v>
      </c>
      <c r="AD75" s="20">
        <f t="shared" si="36"/>
        <v>5.986231845930488E-4</v>
      </c>
      <c r="AE75" s="20"/>
      <c r="AF75" s="20"/>
      <c r="AH75">
        <f t="shared" si="15"/>
        <v>0</v>
      </c>
      <c r="AI75">
        <f t="shared" si="16"/>
        <v>1</v>
      </c>
      <c r="AJ75">
        <f t="shared" si="17"/>
        <v>0</v>
      </c>
      <c r="AK75">
        <f t="shared" si="12"/>
        <v>0</v>
      </c>
      <c r="AL75" s="20">
        <f t="shared" si="18"/>
        <v>0</v>
      </c>
      <c r="AM75" s="20">
        <f t="shared" si="19"/>
        <v>0</v>
      </c>
      <c r="AN75" s="20">
        <f t="shared" si="20"/>
        <v>0</v>
      </c>
      <c r="AO75" s="21">
        <f t="shared" si="21"/>
        <v>1.1774644285457163E-3</v>
      </c>
      <c r="AQ75" s="20"/>
      <c r="AS75">
        <f t="shared" si="22"/>
        <v>0</v>
      </c>
      <c r="AT75">
        <f t="shared" si="23"/>
        <v>0</v>
      </c>
      <c r="AU75">
        <f t="shared" si="24"/>
        <v>0</v>
      </c>
      <c r="AV75">
        <f t="shared" si="25"/>
        <v>0</v>
      </c>
      <c r="AW75" s="20">
        <f t="shared" si="26"/>
        <v>0</v>
      </c>
      <c r="AX75" s="20">
        <f t="shared" si="27"/>
        <v>0</v>
      </c>
      <c r="AY75" s="20">
        <f t="shared" si="28"/>
        <v>0</v>
      </c>
      <c r="AZ75" s="21">
        <f t="shared" si="29"/>
        <v>8.2786809888977402E-4</v>
      </c>
      <c r="BB75" s="21">
        <f t="shared" si="30"/>
        <v>0</v>
      </c>
      <c r="BC75" s="21">
        <f t="shared" si="31"/>
        <v>2.0053325274354905E-3</v>
      </c>
    </row>
    <row r="76" spans="1:55" x14ac:dyDescent="0.3">
      <c r="A76" s="1">
        <v>46133</v>
      </c>
      <c r="B76" s="11">
        <v>57.42</v>
      </c>
      <c r="C76" s="11">
        <v>100.17</v>
      </c>
      <c r="D76" s="12">
        <v>1.74451410658307</v>
      </c>
      <c r="E76" s="12">
        <v>1.74406374641995</v>
      </c>
      <c r="F76" s="12">
        <v>1.74419686250246</v>
      </c>
      <c r="G76" s="12">
        <v>1.7440216862167</v>
      </c>
      <c r="H76" s="11">
        <v>100.14414031943301</v>
      </c>
      <c r="I76" s="11">
        <v>100.15154060164799</v>
      </c>
      <c r="J76" s="11">
        <v>100.135946499532</v>
      </c>
      <c r="K76" s="13">
        <v>2.5819126566668403E-4</v>
      </c>
      <c r="L76" s="13">
        <v>1.8429768809285701E-4</v>
      </c>
      <c r="M76" s="13">
        <v>3.40014876154838E-4</v>
      </c>
      <c r="N76" s="24">
        <v>0</v>
      </c>
      <c r="O76" s="15">
        <v>0</v>
      </c>
      <c r="P76" s="25">
        <f t="shared" si="13"/>
        <v>57.42</v>
      </c>
      <c r="Q76" s="25">
        <f t="shared" si="13"/>
        <v>100.17</v>
      </c>
      <c r="R76" s="16">
        <f t="shared" si="32"/>
        <v>1.744514106583072</v>
      </c>
      <c r="S76" s="16">
        <f t="shared" si="33"/>
        <v>1.7440637464199518</v>
      </c>
      <c r="T76" s="16">
        <f t="shared" ref="T76:T139" si="37">AVERAGE(R67:R76)</f>
        <v>1.7441968625024633</v>
      </c>
      <c r="U76" s="16">
        <f t="shared" si="11"/>
        <v>1.7440216862167026</v>
      </c>
      <c r="V76" s="18">
        <f t="shared" si="34"/>
        <v>100.14414031943363</v>
      </c>
      <c r="W76" s="18">
        <f t="shared" si="10"/>
        <v>100.15154060164819</v>
      </c>
      <c r="X76" s="18">
        <f t="shared" si="14"/>
        <v>100.13594649953203</v>
      </c>
      <c r="Y76" s="19">
        <f t="shared" si="35"/>
        <v>2.5819126566690629E-4</v>
      </c>
      <c r="Z76" s="19">
        <f t="shared" si="35"/>
        <v>1.8429768809307906E-4</v>
      </c>
      <c r="AA76" s="19">
        <f t="shared" si="35"/>
        <v>3.4001487615483838E-4</v>
      </c>
      <c r="AC76" s="20">
        <f t="shared" si="36"/>
        <v>-8.7039782673223732E-4</v>
      </c>
      <c r="AD76" s="20">
        <f t="shared" si="36"/>
        <v>-8.9806921168449289E-4</v>
      </c>
      <c r="AE76" s="20"/>
      <c r="AF76" s="20"/>
      <c r="AH76">
        <f t="shared" si="15"/>
        <v>0</v>
      </c>
      <c r="AI76">
        <f t="shared" si="16"/>
        <v>1</v>
      </c>
      <c r="AJ76">
        <f t="shared" si="17"/>
        <v>0</v>
      </c>
      <c r="AK76">
        <f t="shared" si="12"/>
        <v>0</v>
      </c>
      <c r="AL76" s="20">
        <f t="shared" si="18"/>
        <v>0</v>
      </c>
      <c r="AM76" s="20">
        <f t="shared" si="19"/>
        <v>0</v>
      </c>
      <c r="AN76" s="20">
        <f t="shared" si="20"/>
        <v>0</v>
      </c>
      <c r="AO76" s="21">
        <f t="shared" si="21"/>
        <v>1.1774644285457163E-3</v>
      </c>
      <c r="AQ76" s="20"/>
      <c r="AS76">
        <f t="shared" si="22"/>
        <v>0</v>
      </c>
      <c r="AT76">
        <f t="shared" si="23"/>
        <v>0</v>
      </c>
      <c r="AU76">
        <f t="shared" si="24"/>
        <v>0</v>
      </c>
      <c r="AV76">
        <f t="shared" si="25"/>
        <v>0</v>
      </c>
      <c r="AW76" s="20">
        <f t="shared" si="26"/>
        <v>0</v>
      </c>
      <c r="AX76" s="20">
        <f t="shared" si="27"/>
        <v>0</v>
      </c>
      <c r="AY76" s="20">
        <f t="shared" si="28"/>
        <v>0</v>
      </c>
      <c r="AZ76" s="21">
        <f t="shared" si="29"/>
        <v>8.2786809888977402E-4</v>
      </c>
      <c r="BB76" s="21">
        <f t="shared" si="30"/>
        <v>0</v>
      </c>
      <c r="BC76" s="21">
        <f t="shared" si="31"/>
        <v>2.0053325274354905E-3</v>
      </c>
    </row>
    <row r="77" spans="1:55" x14ac:dyDescent="0.3">
      <c r="A77" s="1">
        <v>46134</v>
      </c>
      <c r="B77" s="11">
        <v>57.44</v>
      </c>
      <c r="C77" s="11">
        <v>100.21</v>
      </c>
      <c r="D77" s="12">
        <v>1.74460306406685</v>
      </c>
      <c r="E77" s="12">
        <v>1.74406374641995</v>
      </c>
      <c r="F77" s="12">
        <v>1.74433449804741</v>
      </c>
      <c r="G77" s="12">
        <v>1.74392640190899</v>
      </c>
      <c r="H77" s="11">
        <v>100.179021594362</v>
      </c>
      <c r="I77" s="11">
        <v>100.186667782141</v>
      </c>
      <c r="J77" s="11">
        <v>100.17660565628699</v>
      </c>
      <c r="K77" s="13">
        <v>3.0918266518027601E-4</v>
      </c>
      <c r="L77" s="13">
        <v>2.3286033866897201E-4</v>
      </c>
      <c r="M77" s="13">
        <v>3.3329916350811499E-4</v>
      </c>
      <c r="N77" s="24">
        <v>0</v>
      </c>
      <c r="O77" s="15">
        <v>0</v>
      </c>
      <c r="P77" s="25">
        <f t="shared" si="13"/>
        <v>57.44</v>
      </c>
      <c r="Q77" s="25">
        <f t="shared" si="13"/>
        <v>100.21</v>
      </c>
      <c r="R77" s="16">
        <f t="shared" si="32"/>
        <v>1.7446030640668524</v>
      </c>
      <c r="S77" s="16">
        <f t="shared" si="33"/>
        <v>1.7440637464199518</v>
      </c>
      <c r="T77" s="16">
        <f t="shared" si="37"/>
        <v>1.7443344980474109</v>
      </c>
      <c r="U77" s="16">
        <f t="shared" si="11"/>
        <v>1.7439264019089973</v>
      </c>
      <c r="V77" s="18">
        <f t="shared" si="34"/>
        <v>100.17902159436203</v>
      </c>
      <c r="W77" s="18">
        <f t="shared" ref="W77:W140" si="38">T76*P77</f>
        <v>100.18666778214148</v>
      </c>
      <c r="X77" s="18">
        <f t="shared" si="14"/>
        <v>100.17660565628739</v>
      </c>
      <c r="Y77" s="19">
        <f t="shared" si="35"/>
        <v>3.0918266518072086E-4</v>
      </c>
      <c r="Z77" s="19">
        <f t="shared" si="35"/>
        <v>2.3286033866897293E-4</v>
      </c>
      <c r="AA77" s="19">
        <f t="shared" si="35"/>
        <v>3.3329916350811499E-4</v>
      </c>
      <c r="AC77" s="20">
        <f t="shared" si="36"/>
        <v>3.4825004705068879E-4</v>
      </c>
      <c r="AD77" s="20">
        <f t="shared" si="36"/>
        <v>3.9924144656458457E-4</v>
      </c>
      <c r="AE77" s="20"/>
      <c r="AF77" s="20"/>
      <c r="AH77">
        <f t="shared" si="15"/>
        <v>0</v>
      </c>
      <c r="AI77">
        <f t="shared" si="16"/>
        <v>1</v>
      </c>
      <c r="AJ77">
        <f t="shared" si="17"/>
        <v>0</v>
      </c>
      <c r="AK77">
        <f t="shared" si="12"/>
        <v>0</v>
      </c>
      <c r="AL77" s="20">
        <f t="shared" si="18"/>
        <v>0</v>
      </c>
      <c r="AM77" s="20">
        <f t="shared" si="19"/>
        <v>0</v>
      </c>
      <c r="AN77" s="20">
        <f t="shared" si="20"/>
        <v>0</v>
      </c>
      <c r="AO77" s="21">
        <f t="shared" si="21"/>
        <v>1.1774644285457163E-3</v>
      </c>
      <c r="AQ77" s="20"/>
      <c r="AS77">
        <f t="shared" si="22"/>
        <v>0</v>
      </c>
      <c r="AT77">
        <f t="shared" si="23"/>
        <v>0</v>
      </c>
      <c r="AU77">
        <f t="shared" si="24"/>
        <v>0</v>
      </c>
      <c r="AV77">
        <f t="shared" si="25"/>
        <v>0</v>
      </c>
      <c r="AW77" s="20">
        <f t="shared" si="26"/>
        <v>0</v>
      </c>
      <c r="AX77" s="20">
        <f t="shared" si="27"/>
        <v>0</v>
      </c>
      <c r="AY77" s="20">
        <f t="shared" si="28"/>
        <v>0</v>
      </c>
      <c r="AZ77" s="21">
        <f t="shared" si="29"/>
        <v>8.2786809888977402E-4</v>
      </c>
      <c r="BB77" s="21">
        <f t="shared" si="30"/>
        <v>0</v>
      </c>
      <c r="BC77" s="21">
        <f t="shared" si="31"/>
        <v>2.0053325274354905E-3</v>
      </c>
    </row>
    <row r="78" spans="1:55" x14ac:dyDescent="0.3">
      <c r="A78" s="1">
        <v>46135</v>
      </c>
      <c r="B78" s="11">
        <v>57.48</v>
      </c>
      <c r="C78" s="11">
        <v>100.19</v>
      </c>
      <c r="D78" s="12">
        <v>1.7430410577592199</v>
      </c>
      <c r="E78" s="12">
        <v>1.74406374641995</v>
      </c>
      <c r="F78" s="12">
        <v>1.74425815007115</v>
      </c>
      <c r="G78" s="12">
        <v>1.7438252813131701</v>
      </c>
      <c r="H78" s="11">
        <v>100.24878414421801</v>
      </c>
      <c r="I78" s="11">
        <v>100.26434694776501</v>
      </c>
      <c r="J78" s="11">
        <v>100.24088958172899</v>
      </c>
      <c r="K78" s="13">
        <v>-5.8655460474081795E-4</v>
      </c>
      <c r="L78" s="13">
        <v>-7.4178437441055995E-4</v>
      </c>
      <c r="M78" s="13">
        <v>-5.0780179571001903E-4</v>
      </c>
      <c r="N78" s="24">
        <v>0</v>
      </c>
      <c r="O78" s="15">
        <v>0</v>
      </c>
      <c r="P78" s="25">
        <f t="shared" si="13"/>
        <v>57.48</v>
      </c>
      <c r="Q78" s="25">
        <f t="shared" si="13"/>
        <v>100.19</v>
      </c>
      <c r="R78" s="16">
        <f t="shared" si="32"/>
        <v>1.7430410577592206</v>
      </c>
      <c r="S78" s="16">
        <f t="shared" si="33"/>
        <v>1.7440637464199518</v>
      </c>
      <c r="T78" s="16">
        <f t="shared" si="37"/>
        <v>1.7442581500711516</v>
      </c>
      <c r="U78" s="16">
        <f t="shared" si="11"/>
        <v>1.7438252813131783</v>
      </c>
      <c r="V78" s="18">
        <f t="shared" si="34"/>
        <v>100.24878414421882</v>
      </c>
      <c r="W78" s="18">
        <f t="shared" si="38"/>
        <v>100.26434694776518</v>
      </c>
      <c r="X78" s="18">
        <f t="shared" si="14"/>
        <v>100.24088958172916</v>
      </c>
      <c r="Y78" s="19">
        <f t="shared" si="35"/>
        <v>-5.8655460474048553E-4</v>
      </c>
      <c r="Z78" s="19">
        <f t="shared" si="35"/>
        <v>-7.4178437441056028E-4</v>
      </c>
      <c r="AA78" s="19">
        <f t="shared" si="35"/>
        <v>-5.0780179571035242E-4</v>
      </c>
      <c r="AC78" s="20">
        <f t="shared" si="36"/>
        <v>6.9613647085542407E-4</v>
      </c>
      <c r="AD78" s="20">
        <f t="shared" si="36"/>
        <v>-1.9960079906578999E-4</v>
      </c>
      <c r="AE78" s="20"/>
      <c r="AF78" s="20"/>
      <c r="AH78">
        <f t="shared" si="15"/>
        <v>0</v>
      </c>
      <c r="AI78">
        <f t="shared" si="16"/>
        <v>0</v>
      </c>
      <c r="AJ78">
        <f t="shared" si="17"/>
        <v>0</v>
      </c>
      <c r="AK78">
        <f t="shared" si="12"/>
        <v>0</v>
      </c>
      <c r="AL78" s="20">
        <f t="shared" si="18"/>
        <v>0</v>
      </c>
      <c r="AM78" s="20">
        <f t="shared" si="19"/>
        <v>0</v>
      </c>
      <c r="AN78" s="20">
        <f t="shared" si="20"/>
        <v>0</v>
      </c>
      <c r="AO78" s="21">
        <f t="shared" si="21"/>
        <v>1.1774644285457163E-3</v>
      </c>
      <c r="AQ78" s="20"/>
      <c r="AS78">
        <f t="shared" si="22"/>
        <v>0</v>
      </c>
      <c r="AT78">
        <f t="shared" si="23"/>
        <v>1</v>
      </c>
      <c r="AU78">
        <f t="shared" si="24"/>
        <v>0</v>
      </c>
      <c r="AV78">
        <f t="shared" si="25"/>
        <v>0</v>
      </c>
      <c r="AW78" s="20">
        <f t="shared" si="26"/>
        <v>0</v>
      </c>
      <c r="AX78" s="20">
        <f t="shared" si="27"/>
        <v>0</v>
      </c>
      <c r="AY78" s="20">
        <f t="shared" si="28"/>
        <v>0</v>
      </c>
      <c r="AZ78" s="21">
        <f t="shared" si="29"/>
        <v>8.2786809888977402E-4</v>
      </c>
      <c r="BB78" s="21">
        <f t="shared" si="30"/>
        <v>0</v>
      </c>
      <c r="BC78" s="21">
        <f t="shared" si="31"/>
        <v>2.0053325274354905E-3</v>
      </c>
    </row>
    <row r="79" spans="1:55" x14ac:dyDescent="0.3">
      <c r="A79" s="1">
        <v>46136</v>
      </c>
      <c r="B79" s="11">
        <v>57.48</v>
      </c>
      <c r="C79" s="11">
        <v>100.25</v>
      </c>
      <c r="D79" s="12">
        <v>1.7440848990953299</v>
      </c>
      <c r="E79" s="12">
        <v>1.74406374641995</v>
      </c>
      <c r="F79" s="12">
        <v>1.74423869238243</v>
      </c>
      <c r="G79" s="12">
        <v>1.7438276184778001</v>
      </c>
      <c r="H79" s="11">
        <v>100.24878414421801</v>
      </c>
      <c r="I79" s="11">
        <v>100.259958466089</v>
      </c>
      <c r="J79" s="11">
        <v>100.235077169881</v>
      </c>
      <c r="K79" s="13">
        <v>1.21283107661554E-5</v>
      </c>
      <c r="L79" s="13">
        <v>-9.93313865720203E-5</v>
      </c>
      <c r="M79" s="13">
        <v>1.4886724096138801E-4</v>
      </c>
      <c r="N79" s="24">
        <v>0</v>
      </c>
      <c r="O79" s="15">
        <v>0</v>
      </c>
      <c r="P79" s="25">
        <f t="shared" si="13"/>
        <v>57.48</v>
      </c>
      <c r="Q79" s="25">
        <f t="shared" si="13"/>
        <v>100.25</v>
      </c>
      <c r="R79" s="16">
        <f t="shared" si="32"/>
        <v>1.7440848990953377</v>
      </c>
      <c r="S79" s="16">
        <f t="shared" si="33"/>
        <v>1.7440637464199518</v>
      </c>
      <c r="T79" s="16">
        <f t="shared" si="37"/>
        <v>1.7442386923824322</v>
      </c>
      <c r="U79" s="16">
        <f t="shared" si="11"/>
        <v>1.7438276184778019</v>
      </c>
      <c r="V79" s="18">
        <f t="shared" si="34"/>
        <v>100.24878414421882</v>
      </c>
      <c r="W79" s="18">
        <f t="shared" si="38"/>
        <v>100.25995846608978</v>
      </c>
      <c r="X79" s="18">
        <f t="shared" si="14"/>
        <v>100.23507716988148</v>
      </c>
      <c r="Y79" s="19">
        <f t="shared" si="35"/>
        <v>1.2128310766377448E-5</v>
      </c>
      <c r="Z79" s="19">
        <f t="shared" si="35"/>
        <v>-9.9331386572020341E-5</v>
      </c>
      <c r="AA79" s="19">
        <f t="shared" si="35"/>
        <v>1.4886724096116601E-4</v>
      </c>
      <c r="AC79" s="20">
        <f t="shared" si="36"/>
        <v>0</v>
      </c>
      <c r="AD79" s="20">
        <f t="shared" si="36"/>
        <v>5.9868291550696355E-4</v>
      </c>
      <c r="AE79" s="20"/>
      <c r="AF79" s="20"/>
      <c r="AH79">
        <f t="shared" si="15"/>
        <v>0</v>
      </c>
      <c r="AI79">
        <f t="shared" si="16"/>
        <v>1</v>
      </c>
      <c r="AJ79">
        <f t="shared" si="17"/>
        <v>0</v>
      </c>
      <c r="AK79">
        <f t="shared" si="12"/>
        <v>0</v>
      </c>
      <c r="AL79" s="20">
        <f t="shared" si="18"/>
        <v>0</v>
      </c>
      <c r="AM79" s="20">
        <f t="shared" si="19"/>
        <v>0</v>
      </c>
      <c r="AN79" s="20">
        <f t="shared" si="20"/>
        <v>0</v>
      </c>
      <c r="AO79" s="21">
        <f t="shared" si="21"/>
        <v>1.1774644285457163E-3</v>
      </c>
      <c r="AQ79" s="20"/>
      <c r="AS79">
        <f t="shared" si="22"/>
        <v>0</v>
      </c>
      <c r="AT79">
        <f t="shared" si="23"/>
        <v>0</v>
      </c>
      <c r="AU79">
        <f t="shared" si="24"/>
        <v>0</v>
      </c>
      <c r="AV79">
        <f t="shared" si="25"/>
        <v>0</v>
      </c>
      <c r="AW79" s="20">
        <f t="shared" si="26"/>
        <v>0</v>
      </c>
      <c r="AX79" s="20">
        <f t="shared" si="27"/>
        <v>0</v>
      </c>
      <c r="AY79" s="20">
        <f t="shared" si="28"/>
        <v>0</v>
      </c>
      <c r="AZ79" s="21">
        <f t="shared" si="29"/>
        <v>8.2786809888977402E-4</v>
      </c>
      <c r="BB79" s="21">
        <f t="shared" si="30"/>
        <v>0</v>
      </c>
      <c r="BC79" s="21">
        <f t="shared" si="31"/>
        <v>2.0053325274354905E-3</v>
      </c>
    </row>
    <row r="80" spans="1:55" x14ac:dyDescent="0.3">
      <c r="A80" s="1">
        <v>46139</v>
      </c>
      <c r="B80" s="11">
        <v>57.48</v>
      </c>
      <c r="C80" s="11">
        <v>100.23</v>
      </c>
      <c r="D80" s="12">
        <v>1.7437369519832899</v>
      </c>
      <c r="E80" s="12">
        <v>1.74406374641995</v>
      </c>
      <c r="F80" s="12">
        <v>1.7441966219721099</v>
      </c>
      <c r="G80" s="12">
        <v>1.74380393045738</v>
      </c>
      <c r="H80" s="11">
        <v>100.24878414421801</v>
      </c>
      <c r="I80" s="11">
        <v>100.258840038142</v>
      </c>
      <c r="J80" s="11">
        <v>100.23521151010399</v>
      </c>
      <c r="K80" s="13">
        <v>-1.87392839137526E-4</v>
      </c>
      <c r="L80" s="13">
        <v>-2.8769719387491602E-4</v>
      </c>
      <c r="M80" s="13">
        <v>-5.1994159644304697E-5</v>
      </c>
      <c r="N80" s="24">
        <v>0</v>
      </c>
      <c r="O80" s="15">
        <v>0</v>
      </c>
      <c r="P80" s="25">
        <f t="shared" si="13"/>
        <v>57.48</v>
      </c>
      <c r="Q80" s="25">
        <f t="shared" si="13"/>
        <v>100.23</v>
      </c>
      <c r="R80" s="16">
        <f t="shared" si="32"/>
        <v>1.7437369519832988</v>
      </c>
      <c r="S80" s="16">
        <f t="shared" si="33"/>
        <v>1.7440637464199518</v>
      </c>
      <c r="T80" s="16">
        <f t="shared" si="37"/>
        <v>1.7441966219721121</v>
      </c>
      <c r="U80" s="16">
        <f t="shared" si="11"/>
        <v>1.7438039304573807</v>
      </c>
      <c r="V80" s="18">
        <f t="shared" si="34"/>
        <v>100.24878414421882</v>
      </c>
      <c r="W80" s="18">
        <f t="shared" si="38"/>
        <v>100.2588400381422</v>
      </c>
      <c r="X80" s="18">
        <f t="shared" si="14"/>
        <v>100.23521151010405</v>
      </c>
      <c r="Y80" s="19">
        <f t="shared" si="35"/>
        <v>-1.8739283913719304E-4</v>
      </c>
      <c r="Z80" s="19">
        <f t="shared" si="35"/>
        <v>-2.876971938750271E-4</v>
      </c>
      <c r="AA80" s="19">
        <f t="shared" si="35"/>
        <v>-5.1994159644637879E-5</v>
      </c>
      <c r="AC80" s="20">
        <f t="shared" si="36"/>
        <v>0</v>
      </c>
      <c r="AD80" s="20">
        <f t="shared" si="36"/>
        <v>-1.9952114990364351E-4</v>
      </c>
      <c r="AE80" s="20"/>
      <c r="AF80" s="20"/>
      <c r="AH80">
        <f t="shared" si="15"/>
        <v>0</v>
      </c>
      <c r="AI80">
        <f t="shared" si="16"/>
        <v>0</v>
      </c>
      <c r="AJ80">
        <f t="shared" si="17"/>
        <v>0</v>
      </c>
      <c r="AK80">
        <f t="shared" si="12"/>
        <v>0</v>
      </c>
      <c r="AL80" s="20">
        <f t="shared" si="18"/>
        <v>0</v>
      </c>
      <c r="AM80" s="20">
        <f t="shared" si="19"/>
        <v>0</v>
      </c>
      <c r="AN80" s="20">
        <f t="shared" si="20"/>
        <v>0</v>
      </c>
      <c r="AO80" s="21">
        <f t="shared" si="21"/>
        <v>1.1774644285457163E-3</v>
      </c>
      <c r="AQ80" s="20"/>
      <c r="AS80">
        <f t="shared" si="22"/>
        <v>0</v>
      </c>
      <c r="AT80">
        <f t="shared" si="23"/>
        <v>1</v>
      </c>
      <c r="AU80">
        <f t="shared" si="24"/>
        <v>0</v>
      </c>
      <c r="AV80">
        <f t="shared" si="25"/>
        <v>0</v>
      </c>
      <c r="AW80" s="20">
        <f t="shared" si="26"/>
        <v>0</v>
      </c>
      <c r="AX80" s="20">
        <f t="shared" si="27"/>
        <v>0</v>
      </c>
      <c r="AY80" s="20">
        <f t="shared" si="28"/>
        <v>0</v>
      </c>
      <c r="AZ80" s="21">
        <f t="shared" si="29"/>
        <v>8.2786809888977402E-4</v>
      </c>
      <c r="BB80" s="21">
        <f t="shared" si="30"/>
        <v>0</v>
      </c>
      <c r="BC80" s="21">
        <f t="shared" si="31"/>
        <v>2.0053325274354905E-3</v>
      </c>
    </row>
    <row r="81" spans="1:55" x14ac:dyDescent="0.3">
      <c r="A81" s="1">
        <v>46140</v>
      </c>
      <c r="B81" s="11">
        <v>57.42</v>
      </c>
      <c r="C81" s="11">
        <v>100.1</v>
      </c>
      <c r="D81" s="12">
        <v>1.74329501915708</v>
      </c>
      <c r="E81" s="12">
        <v>1.74406374641995</v>
      </c>
      <c r="F81" s="12">
        <v>1.74411441044874</v>
      </c>
      <c r="G81" s="12">
        <v>1.74384773642228</v>
      </c>
      <c r="H81" s="11">
        <v>100.14414031943301</v>
      </c>
      <c r="I81" s="11">
        <v>100.151770033638</v>
      </c>
      <c r="J81" s="11">
        <v>100.129221686862</v>
      </c>
      <c r="K81" s="13">
        <v>-4.4086503683139598E-4</v>
      </c>
      <c r="L81" s="13">
        <v>-5.1704946012028801E-4</v>
      </c>
      <c r="M81" s="13">
        <v>-2.9188234188853802E-4</v>
      </c>
      <c r="N81" s="24">
        <v>0</v>
      </c>
      <c r="O81" s="15">
        <v>0</v>
      </c>
      <c r="P81" s="25">
        <f t="shared" si="13"/>
        <v>57.42</v>
      </c>
      <c r="Q81" s="25">
        <f t="shared" si="13"/>
        <v>100.1</v>
      </c>
      <c r="R81" s="16">
        <f t="shared" si="32"/>
        <v>1.743295019157088</v>
      </c>
      <c r="S81" s="16">
        <f t="shared" si="33"/>
        <v>1.7440637464199518</v>
      </c>
      <c r="T81" s="16">
        <f t="shared" si="37"/>
        <v>1.7441144104487409</v>
      </c>
      <c r="U81" s="16">
        <f t="shared" si="11"/>
        <v>1.7438477364222873</v>
      </c>
      <c r="V81" s="18">
        <f t="shared" si="34"/>
        <v>100.14414031943363</v>
      </c>
      <c r="W81" s="18">
        <f t="shared" si="38"/>
        <v>100.15177003363868</v>
      </c>
      <c r="X81" s="18">
        <f t="shared" si="14"/>
        <v>100.12922168686281</v>
      </c>
      <c r="Y81" s="19">
        <f t="shared" si="35"/>
        <v>-4.4086503683106351E-4</v>
      </c>
      <c r="Z81" s="19">
        <f t="shared" si="35"/>
        <v>-5.1704946012051081E-4</v>
      </c>
      <c r="AA81" s="19">
        <f t="shared" si="35"/>
        <v>-2.9188234188887152E-4</v>
      </c>
      <c r="AC81" s="20">
        <f t="shared" si="36"/>
        <v>-1.0443865179061624E-3</v>
      </c>
      <c r="AD81" s="20">
        <f t="shared" si="36"/>
        <v>-1.2978587156000632E-3</v>
      </c>
      <c r="AE81" s="20"/>
      <c r="AF81" s="20"/>
      <c r="AH81">
        <f t="shared" si="15"/>
        <v>0</v>
      </c>
      <c r="AI81">
        <f t="shared" si="16"/>
        <v>0</v>
      </c>
      <c r="AJ81">
        <f t="shared" si="17"/>
        <v>0</v>
      </c>
      <c r="AK81">
        <f t="shared" si="12"/>
        <v>0</v>
      </c>
      <c r="AL81" s="20">
        <f t="shared" si="18"/>
        <v>0</v>
      </c>
      <c r="AM81" s="20">
        <f t="shared" si="19"/>
        <v>0</v>
      </c>
      <c r="AN81" s="20">
        <f t="shared" si="20"/>
        <v>0</v>
      </c>
      <c r="AO81" s="21">
        <f t="shared" si="21"/>
        <v>1.1774644285457163E-3</v>
      </c>
      <c r="AQ81" s="20"/>
      <c r="AS81">
        <f t="shared" si="22"/>
        <v>0</v>
      </c>
      <c r="AT81">
        <f t="shared" si="23"/>
        <v>1</v>
      </c>
      <c r="AU81">
        <f t="shared" si="24"/>
        <v>0</v>
      </c>
      <c r="AV81">
        <f t="shared" si="25"/>
        <v>0</v>
      </c>
      <c r="AW81" s="20">
        <f t="shared" si="26"/>
        <v>0</v>
      </c>
      <c r="AX81" s="20">
        <f t="shared" si="27"/>
        <v>0</v>
      </c>
      <c r="AY81" s="20">
        <f t="shared" si="28"/>
        <v>0</v>
      </c>
      <c r="AZ81" s="21">
        <f t="shared" si="29"/>
        <v>8.2786809888977402E-4</v>
      </c>
      <c r="BB81" s="21">
        <f t="shared" si="30"/>
        <v>0</v>
      </c>
      <c r="BC81" s="21">
        <f t="shared" si="31"/>
        <v>2.0053325274354905E-3</v>
      </c>
    </row>
    <row r="82" spans="1:55" x14ac:dyDescent="0.3">
      <c r="A82" s="1">
        <v>46141</v>
      </c>
      <c r="B82" s="11">
        <v>57.28</v>
      </c>
      <c r="C82" s="11">
        <v>99.92</v>
      </c>
      <c r="D82" s="12">
        <v>1.7444134078212199</v>
      </c>
      <c r="E82" s="12">
        <v>1.74406374641995</v>
      </c>
      <c r="F82" s="12">
        <v>1.74401410639063</v>
      </c>
      <c r="G82" s="12">
        <v>1.74394213175179</v>
      </c>
      <c r="H82" s="11">
        <v>99.899971394934795</v>
      </c>
      <c r="I82" s="11">
        <v>99.902873430503803</v>
      </c>
      <c r="J82" s="11">
        <v>99.887598342268504</v>
      </c>
      <c r="K82" s="13">
        <v>2.0046649984372899E-4</v>
      </c>
      <c r="L82" s="13">
        <v>1.71417508356603E-4</v>
      </c>
      <c r="M82" s="13">
        <v>3.2432858694325499E-4</v>
      </c>
      <c r="N82" s="24">
        <v>0</v>
      </c>
      <c r="O82" s="15">
        <v>0</v>
      </c>
      <c r="P82" s="25">
        <f t="shared" si="13"/>
        <v>57.28</v>
      </c>
      <c r="Q82" s="25">
        <f t="shared" si="13"/>
        <v>99.92</v>
      </c>
      <c r="R82" s="16">
        <f t="shared" si="32"/>
        <v>1.744413407821229</v>
      </c>
      <c r="S82" s="16">
        <f t="shared" si="33"/>
        <v>1.7440637464199518</v>
      </c>
      <c r="T82" s="16">
        <f t="shared" si="37"/>
        <v>1.7440141063906336</v>
      </c>
      <c r="U82" s="16">
        <f t="shared" si="11"/>
        <v>1.7439421317517936</v>
      </c>
      <c r="V82" s="18">
        <f t="shared" si="34"/>
        <v>99.899971394934838</v>
      </c>
      <c r="W82" s="18">
        <f t="shared" si="38"/>
        <v>99.902873430503888</v>
      </c>
      <c r="X82" s="18">
        <f t="shared" si="14"/>
        <v>99.887598342268618</v>
      </c>
      <c r="Y82" s="19">
        <f t="shared" si="35"/>
        <v>2.0046649984395144E-4</v>
      </c>
      <c r="Z82" s="19">
        <f t="shared" si="35"/>
        <v>1.7141750835660376E-4</v>
      </c>
      <c r="AA82" s="19">
        <f t="shared" si="35"/>
        <v>3.2432858694303338E-4</v>
      </c>
      <c r="AC82" s="20">
        <f t="shared" si="36"/>
        <v>-2.4411520405277208E-3</v>
      </c>
      <c r="AD82" s="20">
        <f t="shared" si="36"/>
        <v>-1.7998205038525378E-3</v>
      </c>
      <c r="AE82" s="20"/>
      <c r="AF82" s="20"/>
      <c r="AH82">
        <f t="shared" si="15"/>
        <v>0</v>
      </c>
      <c r="AI82">
        <f t="shared" si="16"/>
        <v>1</v>
      </c>
      <c r="AJ82">
        <f t="shared" si="17"/>
        <v>0</v>
      </c>
      <c r="AK82">
        <f t="shared" si="12"/>
        <v>0</v>
      </c>
      <c r="AL82" s="20">
        <f t="shared" si="18"/>
        <v>0</v>
      </c>
      <c r="AM82" s="20">
        <f t="shared" si="19"/>
        <v>0</v>
      </c>
      <c r="AN82" s="20">
        <f t="shared" si="20"/>
        <v>0</v>
      </c>
      <c r="AO82" s="21">
        <f t="shared" si="21"/>
        <v>1.1774644285457163E-3</v>
      </c>
      <c r="AQ82" s="20"/>
      <c r="AS82">
        <f t="shared" si="22"/>
        <v>0</v>
      </c>
      <c r="AT82">
        <f t="shared" si="23"/>
        <v>0</v>
      </c>
      <c r="AU82">
        <f t="shared" si="24"/>
        <v>0</v>
      </c>
      <c r="AV82">
        <f t="shared" si="25"/>
        <v>0</v>
      </c>
      <c r="AW82" s="20">
        <f t="shared" si="26"/>
        <v>0</v>
      </c>
      <c r="AX82" s="20">
        <f t="shared" si="27"/>
        <v>0</v>
      </c>
      <c r="AY82" s="20">
        <f t="shared" si="28"/>
        <v>0</v>
      </c>
      <c r="AZ82" s="21">
        <f t="shared" si="29"/>
        <v>8.2786809888977402E-4</v>
      </c>
      <c r="BB82" s="21">
        <f t="shared" si="30"/>
        <v>0</v>
      </c>
      <c r="BC82" s="21">
        <f t="shared" si="31"/>
        <v>2.0053325274354905E-3</v>
      </c>
    </row>
    <row r="83" spans="1:55" x14ac:dyDescent="0.3">
      <c r="A83" s="1">
        <v>46142</v>
      </c>
      <c r="B83" s="11">
        <v>57.31</v>
      </c>
      <c r="C83" s="11">
        <v>99.98</v>
      </c>
      <c r="D83" s="12">
        <v>1.7445471994416299</v>
      </c>
      <c r="E83" s="12">
        <v>1.74406374641995</v>
      </c>
      <c r="F83" s="12">
        <v>1.74406198753507</v>
      </c>
      <c r="G83" s="12">
        <v>1.74404748047211</v>
      </c>
      <c r="H83" s="11">
        <v>99.952293307327395</v>
      </c>
      <c r="I83" s="11">
        <v>99.949448437247099</v>
      </c>
      <c r="J83" s="11">
        <v>99.945323570695294</v>
      </c>
      <c r="K83" s="13">
        <v>2.7716075668988603E-4</v>
      </c>
      <c r="L83" s="13">
        <v>3.0562344096306E-4</v>
      </c>
      <c r="M83" s="13">
        <v>3.4689382048365999E-4</v>
      </c>
      <c r="N83" s="24">
        <v>0</v>
      </c>
      <c r="O83" s="15">
        <v>0</v>
      </c>
      <c r="P83" s="25">
        <f t="shared" si="13"/>
        <v>57.31</v>
      </c>
      <c r="Q83" s="25">
        <f t="shared" si="13"/>
        <v>99.98</v>
      </c>
      <c r="R83" s="16">
        <f t="shared" si="32"/>
        <v>1.7445471994416333</v>
      </c>
      <c r="S83" s="16">
        <f t="shared" si="33"/>
        <v>1.7440637464199518</v>
      </c>
      <c r="T83" s="16">
        <f t="shared" si="37"/>
        <v>1.7440619875350758</v>
      </c>
      <c r="U83" s="16">
        <f t="shared" si="11"/>
        <v>1.7440474804721173</v>
      </c>
      <c r="V83" s="18">
        <f t="shared" si="34"/>
        <v>99.952293307327437</v>
      </c>
      <c r="W83" s="18">
        <f t="shared" si="38"/>
        <v>99.949448437247213</v>
      </c>
      <c r="X83" s="18">
        <f t="shared" si="14"/>
        <v>99.945323570695294</v>
      </c>
      <c r="Y83" s="19">
        <f t="shared" si="35"/>
        <v>2.7716075669010894E-4</v>
      </c>
      <c r="Z83" s="19">
        <f t="shared" si="35"/>
        <v>3.0562344096283828E-4</v>
      </c>
      <c r="AA83" s="19">
        <f t="shared" si="35"/>
        <v>3.4689382048366059E-4</v>
      </c>
      <c r="AC83" s="20">
        <f t="shared" si="36"/>
        <v>5.2360591125586808E-4</v>
      </c>
      <c r="AD83" s="20">
        <f t="shared" si="36"/>
        <v>6.0030016810199761E-4</v>
      </c>
      <c r="AE83" s="20"/>
      <c r="AF83" s="20"/>
      <c r="AH83">
        <f t="shared" si="15"/>
        <v>0</v>
      </c>
      <c r="AI83">
        <f t="shared" si="16"/>
        <v>1</v>
      </c>
      <c r="AJ83">
        <f t="shared" si="17"/>
        <v>0</v>
      </c>
      <c r="AK83">
        <f t="shared" si="12"/>
        <v>0</v>
      </c>
      <c r="AL83" s="20">
        <f t="shared" si="18"/>
        <v>0</v>
      </c>
      <c r="AM83" s="20">
        <f t="shared" si="19"/>
        <v>0</v>
      </c>
      <c r="AN83" s="20">
        <f t="shared" si="20"/>
        <v>0</v>
      </c>
      <c r="AO83" s="21">
        <f t="shared" si="21"/>
        <v>1.1774644285457163E-3</v>
      </c>
      <c r="AQ83" s="20"/>
      <c r="AS83">
        <f t="shared" si="22"/>
        <v>0</v>
      </c>
      <c r="AT83">
        <f t="shared" si="23"/>
        <v>0</v>
      </c>
      <c r="AU83">
        <f t="shared" si="24"/>
        <v>0</v>
      </c>
      <c r="AV83" s="26">
        <v>0</v>
      </c>
      <c r="AW83" s="20">
        <f t="shared" si="26"/>
        <v>0</v>
      </c>
      <c r="AX83" s="20">
        <f t="shared" si="27"/>
        <v>0</v>
      </c>
      <c r="AY83" s="20">
        <f t="shared" si="28"/>
        <v>0</v>
      </c>
      <c r="AZ83" s="21">
        <f t="shared" si="29"/>
        <v>8.2786809888977402E-4</v>
      </c>
      <c r="BB83" s="21">
        <f t="shared" si="30"/>
        <v>0</v>
      </c>
      <c r="BC83" s="21">
        <f t="shared" si="31"/>
        <v>2.0053325274354905E-3</v>
      </c>
    </row>
    <row r="84" spans="1:55" x14ac:dyDescent="0.3">
      <c r="A84" s="1">
        <v>46143</v>
      </c>
      <c r="B84" s="11">
        <v>57.14</v>
      </c>
      <c r="C84" s="11">
        <v>99.69</v>
      </c>
      <c r="D84" s="12">
        <v>1.7446622331116499</v>
      </c>
      <c r="E84" s="12">
        <v>1.74406374641995</v>
      </c>
      <c r="F84" s="12">
        <v>1.7441460319391699</v>
      </c>
      <c r="G84" s="12">
        <v>1.74409435375662</v>
      </c>
      <c r="H84" s="11">
        <v>99.655802470436001</v>
      </c>
      <c r="I84" s="11">
        <v>99.655701967754197</v>
      </c>
      <c r="J84" s="11">
        <v>99.654873034176703</v>
      </c>
      <c r="K84" s="13">
        <v>3.4309756689730899E-4</v>
      </c>
      <c r="L84" s="13">
        <v>3.4410606544948898E-4</v>
      </c>
      <c r="M84" s="13">
        <v>3.5242407444069298E-4</v>
      </c>
      <c r="N84" s="24">
        <v>0</v>
      </c>
      <c r="O84" s="15">
        <v>0</v>
      </c>
      <c r="P84" s="25">
        <f t="shared" si="13"/>
        <v>57.14</v>
      </c>
      <c r="Q84" s="25">
        <f t="shared" si="13"/>
        <v>99.69</v>
      </c>
      <c r="R84" s="16">
        <f t="shared" si="32"/>
        <v>1.7446622331116555</v>
      </c>
      <c r="S84" s="16">
        <f t="shared" si="33"/>
        <v>1.7440637464199518</v>
      </c>
      <c r="T84" s="16">
        <f t="shared" si="37"/>
        <v>1.7441460319391755</v>
      </c>
      <c r="U84" s="16">
        <f t="shared" si="11"/>
        <v>1.7440943537566274</v>
      </c>
      <c r="V84" s="18">
        <f t="shared" si="34"/>
        <v>99.655802470436043</v>
      </c>
      <c r="W84" s="18">
        <f t="shared" si="38"/>
        <v>99.655701967754226</v>
      </c>
      <c r="X84" s="18">
        <f t="shared" si="14"/>
        <v>99.654873034176788</v>
      </c>
      <c r="Y84" s="19">
        <f t="shared" si="35"/>
        <v>3.4309756689753098E-4</v>
      </c>
      <c r="Z84" s="19">
        <f t="shared" si="35"/>
        <v>3.4410606544948953E-4</v>
      </c>
      <c r="AA84" s="19">
        <f t="shared" si="35"/>
        <v>3.5242407444069341E-4</v>
      </c>
      <c r="AC84" s="20">
        <f t="shared" si="36"/>
        <v>-2.970731761019143E-3</v>
      </c>
      <c r="AD84" s="20">
        <f t="shared" si="36"/>
        <v>-2.9047949508117263E-3</v>
      </c>
      <c r="AE84" s="20"/>
      <c r="AF84" s="20"/>
      <c r="AH84">
        <f t="shared" si="15"/>
        <v>0</v>
      </c>
      <c r="AI84">
        <f t="shared" si="16"/>
        <v>1</v>
      </c>
      <c r="AJ84">
        <f t="shared" si="17"/>
        <v>0</v>
      </c>
      <c r="AK84">
        <f t="shared" si="12"/>
        <v>0</v>
      </c>
      <c r="AL84" s="20">
        <f t="shared" si="18"/>
        <v>0</v>
      </c>
      <c r="AM84" s="20">
        <f t="shared" si="19"/>
        <v>0</v>
      </c>
      <c r="AN84" s="20">
        <f t="shared" si="20"/>
        <v>0</v>
      </c>
      <c r="AO84" s="21">
        <f t="shared" si="21"/>
        <v>1.1774644285457163E-3</v>
      </c>
      <c r="AQ84" s="20"/>
      <c r="AS84">
        <f t="shared" si="22"/>
        <v>0</v>
      </c>
      <c r="AT84">
        <f t="shared" si="23"/>
        <v>0</v>
      </c>
      <c r="AU84">
        <f t="shared" si="24"/>
        <v>0</v>
      </c>
      <c r="AV84">
        <f t="shared" si="25"/>
        <v>0</v>
      </c>
      <c r="AW84" s="20">
        <f t="shared" si="26"/>
        <v>0</v>
      </c>
      <c r="AX84" s="20">
        <f t="shared" si="27"/>
        <v>0</v>
      </c>
      <c r="AY84" s="20">
        <f t="shared" si="28"/>
        <v>0</v>
      </c>
      <c r="AZ84" s="21">
        <f t="shared" si="29"/>
        <v>8.2786809888977402E-4</v>
      </c>
      <c r="BB84" s="21">
        <f t="shared" si="30"/>
        <v>0</v>
      </c>
      <c r="BC84" s="21">
        <f t="shared" si="31"/>
        <v>2.0053325274354905E-3</v>
      </c>
    </row>
    <row r="85" spans="1:55" x14ac:dyDescent="0.3">
      <c r="A85" s="1">
        <v>46146</v>
      </c>
      <c r="B85" s="11">
        <v>57.11</v>
      </c>
      <c r="C85" s="11">
        <v>99.59</v>
      </c>
      <c r="D85" s="12">
        <v>1.7438277009280301</v>
      </c>
      <c r="E85" s="12">
        <v>1.74406374641995</v>
      </c>
      <c r="F85" s="12">
        <v>1.7440725639947401</v>
      </c>
      <c r="G85" s="12">
        <v>1.74413259514303</v>
      </c>
      <c r="H85" s="11">
        <v>99.603480558043401</v>
      </c>
      <c r="I85" s="11">
        <v>99.608179884046294</v>
      </c>
      <c r="J85" s="11">
        <v>99.605228543040994</v>
      </c>
      <c r="K85" s="13">
        <v>-1.3535139831160901E-4</v>
      </c>
      <c r="L85" s="13">
        <v>-1.8253062460076201E-4</v>
      </c>
      <c r="M85" s="13">
        <v>-1.52900681226615E-4</v>
      </c>
      <c r="N85" s="24">
        <v>0</v>
      </c>
      <c r="O85" s="15">
        <v>0</v>
      </c>
      <c r="P85" s="25">
        <f t="shared" si="13"/>
        <v>57.11</v>
      </c>
      <c r="Q85" s="25">
        <f t="shared" si="13"/>
        <v>99.59</v>
      </c>
      <c r="R85" s="16">
        <f t="shared" si="32"/>
        <v>1.7438277009280336</v>
      </c>
      <c r="S85" s="16">
        <f t="shared" si="33"/>
        <v>1.7440637464199518</v>
      </c>
      <c r="T85" s="16">
        <f t="shared" si="37"/>
        <v>1.7440725639947423</v>
      </c>
      <c r="U85" s="16">
        <f t="shared" si="11"/>
        <v>1.7441325951430362</v>
      </c>
      <c r="V85" s="18">
        <f t="shared" si="34"/>
        <v>99.603480558043444</v>
      </c>
      <c r="W85" s="18">
        <f t="shared" si="38"/>
        <v>99.608179884046308</v>
      </c>
      <c r="X85" s="18">
        <f t="shared" si="14"/>
        <v>99.605228543040994</v>
      </c>
      <c r="Y85" s="19">
        <f t="shared" si="35"/>
        <v>-1.3535139831138775E-4</v>
      </c>
      <c r="Z85" s="19">
        <f t="shared" si="35"/>
        <v>-1.8253062460076288E-4</v>
      </c>
      <c r="AA85" s="19">
        <f t="shared" si="35"/>
        <v>-1.5290068122661521E-4</v>
      </c>
      <c r="AC85" s="20">
        <f t="shared" si="36"/>
        <v>-5.2516412585546445E-4</v>
      </c>
      <c r="AD85" s="20">
        <f t="shared" si="36"/>
        <v>-1.0036130910643869E-3</v>
      </c>
      <c r="AE85" s="20"/>
      <c r="AF85" s="20"/>
      <c r="AH85">
        <f t="shared" si="15"/>
        <v>0</v>
      </c>
      <c r="AI85">
        <f t="shared" si="16"/>
        <v>0</v>
      </c>
      <c r="AJ85">
        <f t="shared" si="17"/>
        <v>0</v>
      </c>
      <c r="AK85">
        <f t="shared" si="12"/>
        <v>0</v>
      </c>
      <c r="AL85" s="20">
        <f t="shared" si="18"/>
        <v>0</v>
      </c>
      <c r="AM85" s="20">
        <f t="shared" si="19"/>
        <v>0</v>
      </c>
      <c r="AN85" s="20">
        <f t="shared" si="20"/>
        <v>0</v>
      </c>
      <c r="AO85" s="21">
        <f t="shared" si="21"/>
        <v>1.1774644285457163E-3</v>
      </c>
      <c r="AQ85" s="20"/>
      <c r="AS85">
        <f t="shared" si="22"/>
        <v>0</v>
      </c>
      <c r="AT85">
        <f t="shared" si="23"/>
        <v>1</v>
      </c>
      <c r="AU85">
        <f t="shared" si="24"/>
        <v>0</v>
      </c>
      <c r="AV85">
        <f t="shared" si="25"/>
        <v>0</v>
      </c>
      <c r="AW85" s="20">
        <f t="shared" si="26"/>
        <v>0</v>
      </c>
      <c r="AX85" s="20">
        <f t="shared" si="27"/>
        <v>0</v>
      </c>
      <c r="AY85" s="20">
        <f t="shared" si="28"/>
        <v>0</v>
      </c>
      <c r="AZ85" s="21">
        <f t="shared" si="29"/>
        <v>8.2786809888977402E-4</v>
      </c>
      <c r="BB85" s="21">
        <f t="shared" si="30"/>
        <v>0</v>
      </c>
      <c r="BC85" s="21">
        <f t="shared" si="31"/>
        <v>2.0053325274354905E-3</v>
      </c>
    </row>
    <row r="86" spans="1:55" x14ac:dyDescent="0.3">
      <c r="A86" s="1">
        <v>46147</v>
      </c>
      <c r="B86" s="11">
        <v>57.12</v>
      </c>
      <c r="C86" s="11">
        <v>99.63</v>
      </c>
      <c r="D86" s="12">
        <v>1.7442226890756301</v>
      </c>
      <c r="E86" s="12">
        <v>1.74406374641995</v>
      </c>
      <c r="F86" s="12">
        <v>1.74404342224399</v>
      </c>
      <c r="G86" s="12">
        <v>1.74412014237323</v>
      </c>
      <c r="H86" s="11">
        <v>99.620921195507606</v>
      </c>
      <c r="I86" s="11">
        <v>99.621424855379601</v>
      </c>
      <c r="J86" s="11">
        <v>99.624853834570203</v>
      </c>
      <c r="K86" s="13">
        <v>9.1129360347733804E-5</v>
      </c>
      <c r="L86" s="13">
        <v>8.6073609078244506E-5</v>
      </c>
      <c r="M86" s="13">
        <v>5.16541035952984E-5</v>
      </c>
      <c r="N86" s="24">
        <v>0</v>
      </c>
      <c r="O86" s="15">
        <v>0</v>
      </c>
      <c r="P86" s="25">
        <f t="shared" si="13"/>
        <v>57.12</v>
      </c>
      <c r="Q86" s="25">
        <f t="shared" si="13"/>
        <v>99.63</v>
      </c>
      <c r="R86" s="16">
        <f t="shared" si="32"/>
        <v>1.7442226890756303</v>
      </c>
      <c r="S86" s="16">
        <f t="shared" si="33"/>
        <v>1.7440637464199518</v>
      </c>
      <c r="T86" s="16">
        <f t="shared" si="37"/>
        <v>1.744043422243998</v>
      </c>
      <c r="U86" s="16">
        <f t="shared" ref="U86:U149" si="39">AVERAGE(R67:R86)</f>
        <v>1.7441201423732307</v>
      </c>
      <c r="V86" s="18">
        <f t="shared" si="34"/>
        <v>99.620921195507634</v>
      </c>
      <c r="W86" s="18">
        <f t="shared" si="38"/>
        <v>99.621424855379672</v>
      </c>
      <c r="X86" s="18">
        <f t="shared" si="14"/>
        <v>99.624853834570217</v>
      </c>
      <c r="Y86" s="19">
        <f t="shared" si="35"/>
        <v>9.1129360347955835E-5</v>
      </c>
      <c r="Z86" s="19">
        <f t="shared" si="35"/>
        <v>8.6073609078022529E-5</v>
      </c>
      <c r="AA86" s="19">
        <f t="shared" si="35"/>
        <v>5.1654103595298427E-5</v>
      </c>
      <c r="AC86" s="20">
        <f t="shared" si="36"/>
        <v>1.7508535455745973E-4</v>
      </c>
      <c r="AD86" s="20">
        <f t="shared" si="36"/>
        <v>4.0156611321668869E-4</v>
      </c>
      <c r="AE86" s="20"/>
      <c r="AF86" s="20"/>
      <c r="AH86">
        <f t="shared" si="15"/>
        <v>0</v>
      </c>
      <c r="AI86">
        <f t="shared" si="16"/>
        <v>1</v>
      </c>
      <c r="AJ86">
        <f t="shared" si="17"/>
        <v>0</v>
      </c>
      <c r="AK86">
        <f t="shared" ref="AK86:AK149" si="40">IF(AH85,1,IF(AI85,0,AJ85))</f>
        <v>0</v>
      </c>
      <c r="AL86" s="20">
        <f t="shared" si="18"/>
        <v>0</v>
      </c>
      <c r="AM86" s="20">
        <f t="shared" si="19"/>
        <v>0</v>
      </c>
      <c r="AN86" s="20">
        <f t="shared" si="20"/>
        <v>0</v>
      </c>
      <c r="AO86" s="21">
        <f t="shared" si="21"/>
        <v>1.1774644285457163E-3</v>
      </c>
      <c r="AQ86" s="20"/>
      <c r="AS86">
        <f t="shared" si="22"/>
        <v>0</v>
      </c>
      <c r="AT86">
        <f t="shared" si="23"/>
        <v>0</v>
      </c>
      <c r="AU86">
        <f t="shared" si="24"/>
        <v>0</v>
      </c>
      <c r="AV86">
        <f t="shared" si="25"/>
        <v>0</v>
      </c>
      <c r="AW86" s="20">
        <f t="shared" si="26"/>
        <v>0</v>
      </c>
      <c r="AX86" s="20">
        <f t="shared" si="27"/>
        <v>0</v>
      </c>
      <c r="AY86" s="20">
        <f t="shared" si="28"/>
        <v>0</v>
      </c>
      <c r="AZ86" s="21">
        <f t="shared" si="29"/>
        <v>8.2786809888977402E-4</v>
      </c>
      <c r="BB86" s="21">
        <f t="shared" si="30"/>
        <v>0</v>
      </c>
      <c r="BC86" s="21">
        <f t="shared" si="31"/>
        <v>2.0053325274354905E-3</v>
      </c>
    </row>
    <row r="87" spans="1:55" x14ac:dyDescent="0.3">
      <c r="A87" s="1">
        <v>46148</v>
      </c>
      <c r="B87" s="11">
        <v>57.24</v>
      </c>
      <c r="C87" s="11">
        <v>99.77</v>
      </c>
      <c r="D87" s="12">
        <v>1.7430118798043299</v>
      </c>
      <c r="E87" s="12">
        <v>1.74406374641995</v>
      </c>
      <c r="F87" s="12">
        <v>1.7438843038177401</v>
      </c>
      <c r="G87" s="12">
        <v>1.7441094009325699</v>
      </c>
      <c r="H87" s="11">
        <v>99.830208845078005</v>
      </c>
      <c r="I87" s="11">
        <v>99.829045489246397</v>
      </c>
      <c r="J87" s="11">
        <v>99.833436949443694</v>
      </c>
      <c r="K87" s="13">
        <v>-6.0329442792269802E-4</v>
      </c>
      <c r="L87" s="13">
        <v>-5.9164101535739001E-4</v>
      </c>
      <c r="M87" s="13">
        <v>-6.3562985236213104E-4</v>
      </c>
      <c r="N87" s="24">
        <v>0</v>
      </c>
      <c r="O87" s="15">
        <v>0</v>
      </c>
      <c r="P87" s="25">
        <f t="shared" ref="P87:Q150" si="41">B87+N87</f>
        <v>57.24</v>
      </c>
      <c r="Q87" s="25">
        <f t="shared" si="41"/>
        <v>99.77</v>
      </c>
      <c r="R87" s="16">
        <f t="shared" si="32"/>
        <v>1.7430118798043326</v>
      </c>
      <c r="S87" s="16">
        <f t="shared" si="33"/>
        <v>1.7440637464199518</v>
      </c>
      <c r="T87" s="16">
        <f t="shared" si="37"/>
        <v>1.7438843038177461</v>
      </c>
      <c r="U87" s="16">
        <f t="shared" si="39"/>
        <v>1.7441094009325784</v>
      </c>
      <c r="V87" s="18">
        <f t="shared" si="34"/>
        <v>99.830208845078047</v>
      </c>
      <c r="W87" s="18">
        <f t="shared" si="38"/>
        <v>99.829045489246454</v>
      </c>
      <c r="X87" s="18">
        <f t="shared" ref="X87:X150" si="42">U86*P87</f>
        <v>99.833436949443723</v>
      </c>
      <c r="Y87" s="19">
        <f t="shared" si="35"/>
        <v>-6.0329442792258722E-4</v>
      </c>
      <c r="Z87" s="19">
        <f t="shared" si="35"/>
        <v>-5.9164101535739088E-4</v>
      </c>
      <c r="AA87" s="19">
        <f t="shared" si="35"/>
        <v>-6.3562985236213137E-4</v>
      </c>
      <c r="AC87" s="20">
        <f t="shared" si="36"/>
        <v>2.0986366569212054E-3</v>
      </c>
      <c r="AD87" s="20">
        <f t="shared" si="36"/>
        <v>1.4042128686508528E-3</v>
      </c>
      <c r="AE87" s="20"/>
      <c r="AF87" s="20"/>
      <c r="AH87">
        <f t="shared" ref="AH87:AH150" si="43">IF(AA87&lt;AG$1,1,0)</f>
        <v>0</v>
      </c>
      <c r="AI87">
        <f t="shared" ref="AI87:AI150" si="44">IF($AA87&gt;AG$2,1,0)</f>
        <v>0</v>
      </c>
      <c r="AJ87">
        <f t="shared" ref="AJ87:AJ150" si="45">AK87</f>
        <v>0</v>
      </c>
      <c r="AK87">
        <f t="shared" si="40"/>
        <v>0</v>
      </c>
      <c r="AL87" s="20">
        <f t="shared" ref="AL87:AL150" si="46">-AK87*$AC87</f>
        <v>0</v>
      </c>
      <c r="AM87" s="20">
        <f t="shared" ref="AM87:AM150" si="47">AK87*$AD87</f>
        <v>0</v>
      </c>
      <c r="AN87" s="20">
        <f t="shared" ref="AN87:AN150" si="48">AL87+AM87</f>
        <v>0</v>
      </c>
      <c r="AO87" s="21">
        <f t="shared" ref="AO87:AO150" si="49">AO86+AN87</f>
        <v>1.1774644285457163E-3</v>
      </c>
      <c r="AQ87" s="20"/>
      <c r="AS87">
        <f t="shared" ref="AS87:AS150" si="50">IF($AA87&gt;AR$1,1,0)</f>
        <v>0</v>
      </c>
      <c r="AT87">
        <f t="shared" ref="AT87:AT150" si="51">IF($AA87&lt;AR$2,1,0)</f>
        <v>1</v>
      </c>
      <c r="AU87">
        <f t="shared" ref="AU87:AU150" si="52">AV86</f>
        <v>0</v>
      </c>
      <c r="AV87">
        <f t="shared" ref="AV87:AV150" si="53">IF(AS86,1,IF(AT86,0,AU86))</f>
        <v>0</v>
      </c>
      <c r="AW87" s="20">
        <f t="shared" ref="AW87:AW150" si="54">AV87*$AC87</f>
        <v>0</v>
      </c>
      <c r="AX87" s="20">
        <f t="shared" ref="AX87:AX150" si="55">-AV87*$AD87</f>
        <v>0</v>
      </c>
      <c r="AY87" s="20">
        <f t="shared" ref="AY87:AY150" si="56">AW87+AX87</f>
        <v>0</v>
      </c>
      <c r="AZ87" s="21">
        <f t="shared" ref="AZ87:AZ150" si="57">AZ86+AY87</f>
        <v>8.2786809888977402E-4</v>
      </c>
      <c r="BB87" s="21">
        <f t="shared" ref="BB87:BB150" si="58">AN87+AY87</f>
        <v>0</v>
      </c>
      <c r="BC87" s="21">
        <f t="shared" ref="BC87:BC150" si="59">BC86+BB87</f>
        <v>2.0053325274354905E-3</v>
      </c>
    </row>
    <row r="88" spans="1:55" x14ac:dyDescent="0.3">
      <c r="A88" s="1">
        <v>46149</v>
      </c>
      <c r="B88" s="11">
        <v>57.23</v>
      </c>
      <c r="C88" s="11">
        <v>99.74</v>
      </c>
      <c r="D88" s="12">
        <v>1.7427922418312001</v>
      </c>
      <c r="E88" s="12">
        <v>1.74406374641995</v>
      </c>
      <c r="F88" s="12">
        <v>1.7438594222249399</v>
      </c>
      <c r="G88" s="12">
        <v>1.7440587861480401</v>
      </c>
      <c r="H88" s="11">
        <v>99.8127682076138</v>
      </c>
      <c r="I88" s="11">
        <v>99.802498707489605</v>
      </c>
      <c r="J88" s="11">
        <v>99.815381015371401</v>
      </c>
      <c r="K88" s="13">
        <v>-7.2931296812265005E-4</v>
      </c>
      <c r="L88" s="13">
        <v>-6.2642003521213695E-4</v>
      </c>
      <c r="M88" s="13">
        <v>-7.5548971491833105E-4</v>
      </c>
      <c r="N88" s="24">
        <v>0</v>
      </c>
      <c r="O88" s="15">
        <v>0</v>
      </c>
      <c r="P88" s="25">
        <f t="shared" si="41"/>
        <v>57.23</v>
      </c>
      <c r="Q88" s="25">
        <f t="shared" si="41"/>
        <v>99.74</v>
      </c>
      <c r="R88" s="16">
        <f t="shared" si="32"/>
        <v>1.7427922418312074</v>
      </c>
      <c r="S88" s="16">
        <f t="shared" si="33"/>
        <v>1.7440637464199518</v>
      </c>
      <c r="T88" s="16">
        <f t="shared" si="37"/>
        <v>1.7438594222249446</v>
      </c>
      <c r="U88" s="16">
        <f t="shared" si="39"/>
        <v>1.7440587861480483</v>
      </c>
      <c r="V88" s="18">
        <f t="shared" si="34"/>
        <v>99.812768207613829</v>
      </c>
      <c r="W88" s="18">
        <f t="shared" si="38"/>
        <v>99.802498707489605</v>
      </c>
      <c r="X88" s="18">
        <f t="shared" si="42"/>
        <v>99.815381015371457</v>
      </c>
      <c r="Y88" s="19">
        <f t="shared" si="35"/>
        <v>-7.2931296812242801E-4</v>
      </c>
      <c r="Z88" s="19">
        <f t="shared" si="35"/>
        <v>-6.2642003521213717E-4</v>
      </c>
      <c r="AA88" s="19">
        <f t="shared" si="35"/>
        <v>-7.554897149183316E-4</v>
      </c>
      <c r="AC88" s="20">
        <f t="shared" si="36"/>
        <v>-1.7471826723932225E-4</v>
      </c>
      <c r="AD88" s="20">
        <f t="shared" si="36"/>
        <v>-3.0073680743926352E-4</v>
      </c>
      <c r="AE88" s="20"/>
      <c r="AF88" s="20"/>
      <c r="AH88">
        <f t="shared" si="43"/>
        <v>0</v>
      </c>
      <c r="AI88">
        <f t="shared" si="44"/>
        <v>0</v>
      </c>
      <c r="AJ88">
        <f t="shared" si="45"/>
        <v>0</v>
      </c>
      <c r="AK88">
        <f t="shared" si="40"/>
        <v>0</v>
      </c>
      <c r="AL88" s="20">
        <f t="shared" si="46"/>
        <v>0</v>
      </c>
      <c r="AM88" s="20">
        <f t="shared" si="47"/>
        <v>0</v>
      </c>
      <c r="AN88" s="20">
        <f t="shared" si="48"/>
        <v>0</v>
      </c>
      <c r="AO88" s="21">
        <f t="shared" si="49"/>
        <v>1.1774644285457163E-3</v>
      </c>
      <c r="AQ88" s="20"/>
      <c r="AS88">
        <f t="shared" si="50"/>
        <v>0</v>
      </c>
      <c r="AT88">
        <f t="shared" si="51"/>
        <v>1</v>
      </c>
      <c r="AU88">
        <f t="shared" si="52"/>
        <v>0</v>
      </c>
      <c r="AV88">
        <f t="shared" si="53"/>
        <v>0</v>
      </c>
      <c r="AW88" s="20">
        <f t="shared" si="54"/>
        <v>0</v>
      </c>
      <c r="AX88" s="20">
        <f t="shared" si="55"/>
        <v>0</v>
      </c>
      <c r="AY88" s="20">
        <f t="shared" si="56"/>
        <v>0</v>
      </c>
      <c r="AZ88" s="21">
        <f t="shared" si="57"/>
        <v>8.2786809888977402E-4</v>
      </c>
      <c r="BB88" s="21">
        <f t="shared" si="58"/>
        <v>0</v>
      </c>
      <c r="BC88" s="21">
        <f t="shared" si="59"/>
        <v>2.0053325274354905E-3</v>
      </c>
    </row>
    <row r="89" spans="1:55" x14ac:dyDescent="0.3">
      <c r="A89" s="1">
        <v>46150</v>
      </c>
      <c r="B89" s="11">
        <v>57.27</v>
      </c>
      <c r="C89" s="11">
        <v>99.75</v>
      </c>
      <c r="D89" s="12">
        <v>1.7417496071241401</v>
      </c>
      <c r="E89" s="12">
        <v>1.74406374641995</v>
      </c>
      <c r="F89" s="12">
        <v>1.7436258930278199</v>
      </c>
      <c r="G89" s="12">
        <v>1.74393229270512</v>
      </c>
      <c r="H89" s="11">
        <v>99.882530757470604</v>
      </c>
      <c r="I89" s="11">
        <v>99.870829110822498</v>
      </c>
      <c r="J89" s="11">
        <v>99.882246682698707</v>
      </c>
      <c r="K89" s="13">
        <v>-1.3277473008815001E-3</v>
      </c>
      <c r="L89" s="13">
        <v>-1.2105863513065401E-3</v>
      </c>
      <c r="M89" s="13">
        <v>-1.32490320818821E-3</v>
      </c>
      <c r="N89" s="24">
        <v>0</v>
      </c>
      <c r="O89" s="15">
        <v>0</v>
      </c>
      <c r="P89" s="25">
        <f t="shared" si="41"/>
        <v>57.27</v>
      </c>
      <c r="Q89" s="25">
        <f t="shared" si="41"/>
        <v>99.75</v>
      </c>
      <c r="R89" s="16">
        <f t="shared" si="32"/>
        <v>1.7417496071241487</v>
      </c>
      <c r="S89" s="16">
        <f t="shared" si="33"/>
        <v>1.7440637464199518</v>
      </c>
      <c r="T89" s="16">
        <f t="shared" si="37"/>
        <v>1.7436258930278257</v>
      </c>
      <c r="U89" s="16">
        <f t="shared" si="39"/>
        <v>1.7439322927051291</v>
      </c>
      <c r="V89" s="18">
        <f t="shared" si="34"/>
        <v>99.882530757470647</v>
      </c>
      <c r="W89" s="18">
        <f t="shared" si="38"/>
        <v>99.870829110822584</v>
      </c>
      <c r="X89" s="18">
        <f t="shared" si="42"/>
        <v>99.882246682698735</v>
      </c>
      <c r="Y89" s="19">
        <f t="shared" si="35"/>
        <v>-1.3277473008812832E-3</v>
      </c>
      <c r="Z89" s="19">
        <f t="shared" si="35"/>
        <v>-1.2105863513065405E-3</v>
      </c>
      <c r="AA89" s="19">
        <f t="shared" si="35"/>
        <v>-1.3249032081883276E-3</v>
      </c>
      <c r="AC89" s="20">
        <f t="shared" si="36"/>
        <v>6.9868998475520723E-4</v>
      </c>
      <c r="AD89" s="20">
        <f t="shared" si="36"/>
        <v>1.0025565199642287E-4</v>
      </c>
      <c r="AE89" s="20"/>
      <c r="AF89" s="20"/>
      <c r="AH89">
        <f t="shared" si="43"/>
        <v>1</v>
      </c>
      <c r="AI89">
        <f t="shared" si="44"/>
        <v>0</v>
      </c>
      <c r="AJ89">
        <f t="shared" si="45"/>
        <v>0</v>
      </c>
      <c r="AK89">
        <f t="shared" si="40"/>
        <v>0</v>
      </c>
      <c r="AL89" s="20">
        <f t="shared" si="46"/>
        <v>0</v>
      </c>
      <c r="AM89" s="20">
        <f t="shared" si="47"/>
        <v>0</v>
      </c>
      <c r="AN89" s="20">
        <f t="shared" si="48"/>
        <v>0</v>
      </c>
      <c r="AO89" s="21">
        <f t="shared" si="49"/>
        <v>1.1774644285457163E-3</v>
      </c>
      <c r="AQ89" s="20"/>
      <c r="AS89">
        <f t="shared" si="50"/>
        <v>0</v>
      </c>
      <c r="AT89">
        <f t="shared" si="51"/>
        <v>1</v>
      </c>
      <c r="AU89">
        <f t="shared" si="52"/>
        <v>0</v>
      </c>
      <c r="AV89">
        <f t="shared" si="53"/>
        <v>0</v>
      </c>
      <c r="AW89" s="20">
        <f t="shared" si="54"/>
        <v>0</v>
      </c>
      <c r="AX89" s="20">
        <f t="shared" si="55"/>
        <v>0</v>
      </c>
      <c r="AY89" s="20">
        <f t="shared" si="56"/>
        <v>0</v>
      </c>
      <c r="AZ89" s="21">
        <f t="shared" si="57"/>
        <v>8.2786809888977402E-4</v>
      </c>
      <c r="BB89" s="21">
        <f t="shared" si="58"/>
        <v>0</v>
      </c>
      <c r="BC89" s="21">
        <f t="shared" si="59"/>
        <v>2.0053325274354905E-3</v>
      </c>
    </row>
    <row r="90" spans="1:55" x14ac:dyDescent="0.3">
      <c r="A90" s="1">
        <v>46153</v>
      </c>
      <c r="B90" s="11">
        <v>57.24</v>
      </c>
      <c r="C90" s="11">
        <v>99.7</v>
      </c>
      <c r="D90" s="12">
        <v>1.7417889587700901</v>
      </c>
      <c r="E90" s="12">
        <v>1.74406374641995</v>
      </c>
      <c r="F90" s="12">
        <v>1.7434310937065001</v>
      </c>
      <c r="G90" s="12">
        <v>1.7438138578393001</v>
      </c>
      <c r="H90" s="11">
        <v>99.830208845078005</v>
      </c>
      <c r="I90" s="11">
        <v>99.805146116912695</v>
      </c>
      <c r="J90" s="11">
        <v>99.822684434441499</v>
      </c>
      <c r="K90" s="13">
        <v>-1.30515438554577E-3</v>
      </c>
      <c r="L90" s="13">
        <v>-1.0540693179557699E-3</v>
      </c>
      <c r="M90" s="13">
        <v>-1.2297794634351499E-3</v>
      </c>
      <c r="N90" s="24">
        <v>0</v>
      </c>
      <c r="O90" s="15">
        <v>0</v>
      </c>
      <c r="P90" s="25">
        <f t="shared" si="41"/>
        <v>57.24</v>
      </c>
      <c r="Q90" s="25">
        <f t="shared" si="41"/>
        <v>99.7</v>
      </c>
      <c r="R90" s="16">
        <f t="shared" si="32"/>
        <v>1.7417889587700908</v>
      </c>
      <c r="S90" s="16">
        <f t="shared" si="33"/>
        <v>1.7440637464199518</v>
      </c>
      <c r="T90" s="16">
        <f t="shared" si="37"/>
        <v>1.743431093706505</v>
      </c>
      <c r="U90" s="16">
        <f t="shared" si="39"/>
        <v>1.7438138578393088</v>
      </c>
      <c r="V90" s="18">
        <f t="shared" si="34"/>
        <v>99.830208845078047</v>
      </c>
      <c r="W90" s="18">
        <f t="shared" si="38"/>
        <v>99.805146116912738</v>
      </c>
      <c r="X90" s="18">
        <f t="shared" si="42"/>
        <v>99.822684434441598</v>
      </c>
      <c r="Y90" s="19">
        <f t="shared" si="35"/>
        <v>-1.3051543855456605E-3</v>
      </c>
      <c r="Z90" s="19">
        <f t="shared" si="35"/>
        <v>-1.0540693179557773E-3</v>
      </c>
      <c r="AA90" s="19">
        <f t="shared" si="35"/>
        <v>-1.2297794634353741E-3</v>
      </c>
      <c r="AC90" s="20">
        <f t="shared" si="36"/>
        <v>-5.2397171751582369E-4</v>
      </c>
      <c r="AD90" s="20">
        <f t="shared" si="36"/>
        <v>-5.013788021801137E-4</v>
      </c>
      <c r="AE90" s="20"/>
      <c r="AF90" s="20"/>
      <c r="AH90">
        <f t="shared" si="43"/>
        <v>1</v>
      </c>
      <c r="AI90">
        <f t="shared" si="44"/>
        <v>0</v>
      </c>
      <c r="AJ90">
        <f t="shared" si="45"/>
        <v>1</v>
      </c>
      <c r="AK90">
        <f t="shared" si="40"/>
        <v>1</v>
      </c>
      <c r="AL90" s="20">
        <f t="shared" si="46"/>
        <v>5.2397171751582369E-4</v>
      </c>
      <c r="AM90" s="20">
        <f t="shared" si="47"/>
        <v>-5.013788021801137E-4</v>
      </c>
      <c r="AN90" s="20">
        <f t="shared" si="48"/>
        <v>2.2592915335709995E-5</v>
      </c>
      <c r="AO90" s="21">
        <f t="shared" si="49"/>
        <v>1.2000573438814264E-3</v>
      </c>
      <c r="AQ90" s="20"/>
      <c r="AS90">
        <f t="shared" si="50"/>
        <v>0</v>
      </c>
      <c r="AT90">
        <f t="shared" si="51"/>
        <v>1</v>
      </c>
      <c r="AU90">
        <f t="shared" si="52"/>
        <v>0</v>
      </c>
      <c r="AV90">
        <f t="shared" si="53"/>
        <v>0</v>
      </c>
      <c r="AW90" s="20">
        <f t="shared" si="54"/>
        <v>0</v>
      </c>
      <c r="AX90" s="20">
        <f t="shared" si="55"/>
        <v>0</v>
      </c>
      <c r="AY90" s="20">
        <f t="shared" si="56"/>
        <v>0</v>
      </c>
      <c r="AZ90" s="21">
        <f t="shared" si="57"/>
        <v>8.2786809888977402E-4</v>
      </c>
      <c r="BB90" s="21">
        <f t="shared" si="58"/>
        <v>2.2592915335709995E-5</v>
      </c>
      <c r="BC90" s="21">
        <f t="shared" si="59"/>
        <v>2.0279254427712006E-3</v>
      </c>
    </row>
    <row r="91" spans="1:55" x14ac:dyDescent="0.3">
      <c r="A91" s="1">
        <v>46154</v>
      </c>
      <c r="B91" s="11">
        <v>57.12</v>
      </c>
      <c r="C91" s="11">
        <v>99.58</v>
      </c>
      <c r="D91" s="12">
        <v>1.74334733893557</v>
      </c>
      <c r="E91" s="12">
        <v>1.74406374641995</v>
      </c>
      <c r="F91" s="12">
        <v>1.7434363256843499</v>
      </c>
      <c r="G91" s="12">
        <v>1.74377536806654</v>
      </c>
      <c r="H91" s="11">
        <v>99.620921195507606</v>
      </c>
      <c r="I91" s="11">
        <v>99.584784072515504</v>
      </c>
      <c r="J91" s="11">
        <v>99.606647559781194</v>
      </c>
      <c r="K91" s="13">
        <v>-4.1085348238047398E-4</v>
      </c>
      <c r="L91" s="13">
        <v>-4.8041349666976102E-5</v>
      </c>
      <c r="M91" s="13">
        <v>-2.6756371741498399E-4</v>
      </c>
      <c r="N91" s="24">
        <v>0</v>
      </c>
      <c r="O91" s="15">
        <v>0</v>
      </c>
      <c r="P91" s="25">
        <f t="shared" si="41"/>
        <v>57.12</v>
      </c>
      <c r="Q91" s="25">
        <f t="shared" si="41"/>
        <v>99.58</v>
      </c>
      <c r="R91" s="16">
        <f t="shared" si="32"/>
        <v>1.7433473389355743</v>
      </c>
      <c r="S91" s="16">
        <f t="shared" si="33"/>
        <v>1.7440637464199518</v>
      </c>
      <c r="T91" s="16">
        <f t="shared" si="37"/>
        <v>1.7434363256843537</v>
      </c>
      <c r="U91" s="16">
        <f t="shared" si="39"/>
        <v>1.7437753680665473</v>
      </c>
      <c r="V91" s="18">
        <f t="shared" si="34"/>
        <v>99.620921195507634</v>
      </c>
      <c r="W91" s="18">
        <f t="shared" si="38"/>
        <v>99.584784072515561</v>
      </c>
      <c r="X91" s="18">
        <f t="shared" si="42"/>
        <v>99.606647559781308</v>
      </c>
      <c r="Y91" s="19">
        <f t="shared" si="35"/>
        <v>-4.1085348238025199E-4</v>
      </c>
      <c r="Z91" s="19">
        <f t="shared" si="35"/>
        <v>-4.8041349666976116E-5</v>
      </c>
      <c r="AA91" s="19">
        <f t="shared" si="35"/>
        <v>-2.6756371741520641E-4</v>
      </c>
      <c r="AC91" s="20">
        <f t="shared" si="36"/>
        <v>-2.0986366569212492E-3</v>
      </c>
      <c r="AD91" s="20">
        <f t="shared" si="36"/>
        <v>-1.2043357537560233E-3</v>
      </c>
      <c r="AE91" s="20"/>
      <c r="AF91" s="20"/>
      <c r="AH91">
        <f t="shared" si="43"/>
        <v>0</v>
      </c>
      <c r="AI91">
        <f t="shared" si="44"/>
        <v>0</v>
      </c>
      <c r="AJ91">
        <f t="shared" si="45"/>
        <v>1</v>
      </c>
      <c r="AK91">
        <f t="shared" si="40"/>
        <v>1</v>
      </c>
      <c r="AL91" s="20">
        <f t="shared" si="46"/>
        <v>2.0986366569212492E-3</v>
      </c>
      <c r="AM91" s="20">
        <f t="shared" si="47"/>
        <v>-1.2043357537560233E-3</v>
      </c>
      <c r="AN91" s="20">
        <f t="shared" si="48"/>
        <v>8.9430090316522598E-4</v>
      </c>
      <c r="AO91" s="21">
        <f t="shared" si="49"/>
        <v>2.0943582470466524E-3</v>
      </c>
      <c r="AQ91" s="20"/>
      <c r="AS91">
        <f t="shared" si="50"/>
        <v>0</v>
      </c>
      <c r="AT91">
        <f t="shared" si="51"/>
        <v>1</v>
      </c>
      <c r="AU91">
        <f t="shared" si="52"/>
        <v>0</v>
      </c>
      <c r="AV91">
        <f t="shared" si="53"/>
        <v>0</v>
      </c>
      <c r="AW91" s="20">
        <f t="shared" si="54"/>
        <v>0</v>
      </c>
      <c r="AX91" s="20">
        <f t="shared" si="55"/>
        <v>0</v>
      </c>
      <c r="AY91" s="20">
        <f t="shared" si="56"/>
        <v>0</v>
      </c>
      <c r="AZ91" s="21">
        <f t="shared" si="57"/>
        <v>8.2786809888977402E-4</v>
      </c>
      <c r="BB91" s="21">
        <f t="shared" si="58"/>
        <v>8.9430090316522598E-4</v>
      </c>
      <c r="BC91" s="21">
        <f t="shared" si="59"/>
        <v>2.9222263459364266E-3</v>
      </c>
    </row>
    <row r="92" spans="1:55" x14ac:dyDescent="0.3">
      <c r="A92" s="1">
        <v>46155</v>
      </c>
      <c r="B92" s="11">
        <v>57.02</v>
      </c>
      <c r="C92" s="11">
        <v>99.44</v>
      </c>
      <c r="D92" s="12">
        <v>1.7439494914065199</v>
      </c>
      <c r="E92" s="12">
        <v>1.74406374641995</v>
      </c>
      <c r="F92" s="12">
        <v>1.74338993404288</v>
      </c>
      <c r="G92" s="12">
        <v>1.7437020202167499</v>
      </c>
      <c r="H92" s="11">
        <v>99.446514820865602</v>
      </c>
      <c r="I92" s="11">
        <v>99.410739290521803</v>
      </c>
      <c r="J92" s="11">
        <v>99.430071487154507</v>
      </c>
      <c r="K92" s="13">
        <v>-6.5512947158664995E-5</v>
      </c>
      <c r="L92" s="13">
        <v>2.9429822382108002E-4</v>
      </c>
      <c r="M92" s="13">
        <v>9.9849241059600896E-5</v>
      </c>
      <c r="N92" s="24">
        <v>0</v>
      </c>
      <c r="O92" s="15">
        <v>0</v>
      </c>
      <c r="P92" s="25">
        <f t="shared" si="41"/>
        <v>57.02</v>
      </c>
      <c r="Q92" s="25">
        <f t="shared" si="41"/>
        <v>99.44</v>
      </c>
      <c r="R92" s="16">
        <f t="shared" si="32"/>
        <v>1.7439494914065239</v>
      </c>
      <c r="S92" s="16">
        <f t="shared" si="33"/>
        <v>1.7440637464199518</v>
      </c>
      <c r="T92" s="16">
        <f t="shared" si="37"/>
        <v>1.7433899340428831</v>
      </c>
      <c r="U92" s="16">
        <f t="shared" si="39"/>
        <v>1.7437020202167581</v>
      </c>
      <c r="V92" s="18">
        <f t="shared" si="34"/>
        <v>99.446514820865659</v>
      </c>
      <c r="W92" s="18">
        <f t="shared" si="38"/>
        <v>99.410739290521846</v>
      </c>
      <c r="X92" s="18">
        <f t="shared" si="42"/>
        <v>99.430071487154535</v>
      </c>
      <c r="Y92" s="19">
        <f t="shared" si="35"/>
        <v>-6.5512947158443004E-5</v>
      </c>
      <c r="Z92" s="19">
        <f t="shared" si="35"/>
        <v>2.942982238210804E-4</v>
      </c>
      <c r="AA92" s="19">
        <f t="shared" si="35"/>
        <v>9.9849241059378892E-5</v>
      </c>
      <c r="AC92" s="20">
        <f t="shared" si="36"/>
        <v>-1.7522345468028949E-3</v>
      </c>
      <c r="AD92" s="20">
        <f t="shared" si="36"/>
        <v>-1.406894011580993E-3</v>
      </c>
      <c r="AE92" s="20"/>
      <c r="AF92" s="20"/>
      <c r="AH92">
        <f t="shared" si="43"/>
        <v>0</v>
      </c>
      <c r="AI92">
        <f t="shared" si="44"/>
        <v>1</v>
      </c>
      <c r="AJ92">
        <f t="shared" si="45"/>
        <v>1</v>
      </c>
      <c r="AK92">
        <f t="shared" si="40"/>
        <v>1</v>
      </c>
      <c r="AL92" s="20">
        <f t="shared" si="46"/>
        <v>1.7522345468028949E-3</v>
      </c>
      <c r="AM92" s="20">
        <f t="shared" si="47"/>
        <v>-1.406894011580993E-3</v>
      </c>
      <c r="AN92" s="20">
        <f t="shared" si="48"/>
        <v>3.4534053522190192E-4</v>
      </c>
      <c r="AO92" s="21">
        <f t="shared" si="49"/>
        <v>2.4396987822685543E-3</v>
      </c>
      <c r="AQ92" s="20"/>
      <c r="AS92">
        <f t="shared" si="50"/>
        <v>0</v>
      </c>
      <c r="AT92">
        <f t="shared" si="51"/>
        <v>0</v>
      </c>
      <c r="AU92">
        <f t="shared" si="52"/>
        <v>0</v>
      </c>
      <c r="AV92">
        <f t="shared" si="53"/>
        <v>0</v>
      </c>
      <c r="AW92" s="20">
        <f t="shared" si="54"/>
        <v>0</v>
      </c>
      <c r="AX92" s="20">
        <f t="shared" si="55"/>
        <v>0</v>
      </c>
      <c r="AY92" s="20">
        <f t="shared" si="56"/>
        <v>0</v>
      </c>
      <c r="AZ92" s="21">
        <f t="shared" si="57"/>
        <v>8.2786809888977402E-4</v>
      </c>
      <c r="BB92" s="21">
        <f t="shared" si="58"/>
        <v>3.4534053522190192E-4</v>
      </c>
      <c r="BC92" s="21">
        <f t="shared" si="59"/>
        <v>3.2675668811583286E-3</v>
      </c>
    </row>
    <row r="93" spans="1:55" x14ac:dyDescent="0.3">
      <c r="A93" s="1">
        <v>46156</v>
      </c>
      <c r="B93" s="11">
        <v>57.04</v>
      </c>
      <c r="C93" s="11">
        <v>99.41</v>
      </c>
      <c r="D93" s="12">
        <v>1.7428120617110701</v>
      </c>
      <c r="E93" s="12">
        <v>1.74406374641995</v>
      </c>
      <c r="F93" s="12">
        <v>1.7432164202698199</v>
      </c>
      <c r="G93" s="12">
        <v>1.74363920390245</v>
      </c>
      <c r="H93" s="11">
        <v>99.481396095793997</v>
      </c>
      <c r="I93" s="11">
        <v>99.442961837805996</v>
      </c>
      <c r="J93" s="11">
        <v>99.460763233163803</v>
      </c>
      <c r="K93" s="13">
        <v>-7.1794054707500598E-4</v>
      </c>
      <c r="L93" s="13">
        <v>-3.3151970987316102E-4</v>
      </c>
      <c r="M93" s="13">
        <v>-5.1051480309240605E-4</v>
      </c>
      <c r="N93" s="24">
        <v>0</v>
      </c>
      <c r="O93" s="15">
        <v>0</v>
      </c>
      <c r="P93" s="25">
        <f t="shared" si="41"/>
        <v>57.04</v>
      </c>
      <c r="Q93" s="25">
        <f t="shared" si="41"/>
        <v>99.41</v>
      </c>
      <c r="R93" s="16">
        <f t="shared" si="32"/>
        <v>1.7428120617110798</v>
      </c>
      <c r="S93" s="16">
        <f t="shared" si="33"/>
        <v>1.7440637464199518</v>
      </c>
      <c r="T93" s="16">
        <f t="shared" si="37"/>
        <v>1.7432164202698277</v>
      </c>
      <c r="U93" s="16">
        <f t="shared" si="39"/>
        <v>1.7436392039024515</v>
      </c>
      <c r="V93" s="18">
        <f t="shared" si="34"/>
        <v>99.481396095794054</v>
      </c>
      <c r="W93" s="18">
        <f t="shared" si="38"/>
        <v>99.442961837806052</v>
      </c>
      <c r="X93" s="18">
        <f t="shared" si="42"/>
        <v>99.460763233163888</v>
      </c>
      <c r="Y93" s="19">
        <f t="shared" si="35"/>
        <v>-7.179405470748955E-4</v>
      </c>
      <c r="Z93" s="19">
        <f t="shared" si="35"/>
        <v>-3.3151970987316167E-4</v>
      </c>
      <c r="AA93" s="19">
        <f t="shared" si="35"/>
        <v>-5.1051480309240692E-4</v>
      </c>
      <c r="AC93" s="20">
        <f t="shared" si="36"/>
        <v>3.5069262151440043E-4</v>
      </c>
      <c r="AD93" s="20">
        <f t="shared" si="36"/>
        <v>-3.0173497840193917E-4</v>
      </c>
      <c r="AE93" s="20"/>
      <c r="AF93" s="20"/>
      <c r="AH93">
        <f t="shared" si="43"/>
        <v>0</v>
      </c>
      <c r="AI93">
        <f t="shared" si="44"/>
        <v>0</v>
      </c>
      <c r="AJ93">
        <f t="shared" si="45"/>
        <v>0</v>
      </c>
      <c r="AK93">
        <f t="shared" si="40"/>
        <v>0</v>
      </c>
      <c r="AL93" s="20">
        <f t="shared" si="46"/>
        <v>0</v>
      </c>
      <c r="AM93" s="20">
        <f t="shared" si="47"/>
        <v>0</v>
      </c>
      <c r="AN93" s="20">
        <f t="shared" si="48"/>
        <v>0</v>
      </c>
      <c r="AO93" s="21">
        <f t="shared" si="49"/>
        <v>2.4396987822685543E-3</v>
      </c>
      <c r="AQ93" s="20"/>
      <c r="AS93">
        <f t="shared" si="50"/>
        <v>0</v>
      </c>
      <c r="AT93">
        <f t="shared" si="51"/>
        <v>1</v>
      </c>
      <c r="AU93">
        <f t="shared" si="52"/>
        <v>0</v>
      </c>
      <c r="AV93">
        <f t="shared" si="53"/>
        <v>0</v>
      </c>
      <c r="AW93" s="20">
        <f t="shared" si="54"/>
        <v>0</v>
      </c>
      <c r="AX93" s="20">
        <f t="shared" si="55"/>
        <v>0</v>
      </c>
      <c r="AY93" s="20">
        <f t="shared" si="56"/>
        <v>0</v>
      </c>
      <c r="AZ93" s="21">
        <f t="shared" si="57"/>
        <v>8.2786809888977402E-4</v>
      </c>
      <c r="BB93" s="21">
        <f t="shared" si="58"/>
        <v>0</v>
      </c>
      <c r="BC93" s="21">
        <f t="shared" si="59"/>
        <v>3.2675668811583286E-3</v>
      </c>
    </row>
    <row r="94" spans="1:55" x14ac:dyDescent="0.3">
      <c r="A94" s="1">
        <v>46157</v>
      </c>
      <c r="B94" s="11">
        <v>56.79</v>
      </c>
      <c r="C94" s="11">
        <v>98.99</v>
      </c>
      <c r="D94" s="12">
        <v>1.74308857193167</v>
      </c>
      <c r="E94" s="12">
        <v>1.74406374641995</v>
      </c>
      <c r="F94" s="12">
        <v>1.7430590541518201</v>
      </c>
      <c r="G94" s="12">
        <v>1.7436025430455</v>
      </c>
      <c r="H94" s="11">
        <v>99.045380159188994</v>
      </c>
      <c r="I94" s="11">
        <v>98.997260507123499</v>
      </c>
      <c r="J94" s="11">
        <v>99.021270389620199</v>
      </c>
      <c r="K94" s="13">
        <v>-5.5929562271349298E-4</v>
      </c>
      <c r="L94" s="13">
        <v>-7.3343174789878594E-5</v>
      </c>
      <c r="M94" s="13">
        <v>-3.1584454580444902E-4</v>
      </c>
      <c r="N94" s="24">
        <v>0</v>
      </c>
      <c r="O94" s="15">
        <v>0</v>
      </c>
      <c r="P94" s="25">
        <f t="shared" si="41"/>
        <v>56.79</v>
      </c>
      <c r="Q94" s="25">
        <f t="shared" si="41"/>
        <v>98.99</v>
      </c>
      <c r="R94" s="16">
        <f t="shared" si="32"/>
        <v>1.743088571931678</v>
      </c>
      <c r="S94" s="16">
        <f t="shared" si="33"/>
        <v>1.7440637464199518</v>
      </c>
      <c r="T94" s="16">
        <f t="shared" si="37"/>
        <v>1.7430590541518298</v>
      </c>
      <c r="U94" s="16">
        <f t="shared" si="39"/>
        <v>1.7436025430455029</v>
      </c>
      <c r="V94" s="18">
        <f t="shared" si="34"/>
        <v>99.045380159189065</v>
      </c>
      <c r="W94" s="18">
        <f t="shared" si="38"/>
        <v>98.997260507123514</v>
      </c>
      <c r="X94" s="18">
        <f t="shared" si="42"/>
        <v>99.021270389620227</v>
      </c>
      <c r="Y94" s="19">
        <f t="shared" si="35"/>
        <v>-5.5929562271327127E-4</v>
      </c>
      <c r="Z94" s="19">
        <f t="shared" si="35"/>
        <v>-7.3343174789878622E-5</v>
      </c>
      <c r="AA94" s="19">
        <f t="shared" si="35"/>
        <v>-3.1584454580444945E-4</v>
      </c>
      <c r="AC94" s="20">
        <f t="shared" si="36"/>
        <v>-4.3925222166992725E-3</v>
      </c>
      <c r="AD94" s="20">
        <f t="shared" si="36"/>
        <v>-4.2338772923377925E-3</v>
      </c>
      <c r="AE94" s="20"/>
      <c r="AF94" s="20"/>
      <c r="AH94">
        <f t="shared" si="43"/>
        <v>0</v>
      </c>
      <c r="AI94">
        <f t="shared" si="44"/>
        <v>0</v>
      </c>
      <c r="AJ94">
        <f t="shared" si="45"/>
        <v>0</v>
      </c>
      <c r="AK94">
        <f t="shared" si="40"/>
        <v>0</v>
      </c>
      <c r="AL94" s="20">
        <f t="shared" si="46"/>
        <v>0</v>
      </c>
      <c r="AM94" s="20">
        <f t="shared" si="47"/>
        <v>0</v>
      </c>
      <c r="AN94" s="20">
        <f t="shared" si="48"/>
        <v>0</v>
      </c>
      <c r="AO94" s="21">
        <f t="shared" si="49"/>
        <v>2.4396987822685543E-3</v>
      </c>
      <c r="AQ94" s="20"/>
      <c r="AS94">
        <f t="shared" si="50"/>
        <v>0</v>
      </c>
      <c r="AT94">
        <f t="shared" si="51"/>
        <v>1</v>
      </c>
      <c r="AU94">
        <f t="shared" si="52"/>
        <v>0</v>
      </c>
      <c r="AV94">
        <f t="shared" si="53"/>
        <v>0</v>
      </c>
      <c r="AW94" s="20">
        <f t="shared" si="54"/>
        <v>0</v>
      </c>
      <c r="AX94" s="20">
        <f t="shared" si="55"/>
        <v>0</v>
      </c>
      <c r="AY94" s="20">
        <f t="shared" si="56"/>
        <v>0</v>
      </c>
      <c r="AZ94" s="21">
        <f t="shared" si="57"/>
        <v>8.2786809888977402E-4</v>
      </c>
      <c r="BB94" s="21">
        <f t="shared" si="58"/>
        <v>0</v>
      </c>
      <c r="BC94" s="21">
        <f t="shared" si="59"/>
        <v>3.2675668811583286E-3</v>
      </c>
    </row>
    <row r="95" spans="1:55" x14ac:dyDescent="0.3">
      <c r="A95" s="1">
        <v>46160</v>
      </c>
      <c r="B95" s="11">
        <v>56.8</v>
      </c>
      <c r="C95" s="11">
        <v>98.93</v>
      </c>
      <c r="D95" s="12">
        <v>1.7417253521126701</v>
      </c>
      <c r="E95" s="12">
        <v>1.74406374641995</v>
      </c>
      <c r="F95" s="12">
        <v>1.74284881927029</v>
      </c>
      <c r="G95" s="12">
        <v>1.7434606916325099</v>
      </c>
      <c r="H95" s="11">
        <v>99.062820796653199</v>
      </c>
      <c r="I95" s="11">
        <v>99.005754275823904</v>
      </c>
      <c r="J95" s="11">
        <v>99.036624444984497</v>
      </c>
      <c r="K95" s="13">
        <v>-1.3416730570626201E-3</v>
      </c>
      <c r="L95" s="13">
        <v>-7.6544310854601699E-4</v>
      </c>
      <c r="M95" s="13">
        <v>-1.07719627582298E-3</v>
      </c>
      <c r="N95" s="24">
        <v>0</v>
      </c>
      <c r="O95" s="15">
        <v>0</v>
      </c>
      <c r="P95" s="25">
        <f t="shared" si="41"/>
        <v>56.8</v>
      </c>
      <c r="Q95" s="25">
        <f t="shared" si="41"/>
        <v>98.93</v>
      </c>
      <c r="R95" s="16">
        <f t="shared" si="32"/>
        <v>1.7417253521126763</v>
      </c>
      <c r="S95" s="16">
        <f t="shared" si="33"/>
        <v>1.7440637464199518</v>
      </c>
      <c r="T95" s="16">
        <f t="shared" si="37"/>
        <v>1.742848819270294</v>
      </c>
      <c r="U95" s="16">
        <f t="shared" si="39"/>
        <v>1.7434606916325184</v>
      </c>
      <c r="V95" s="18">
        <f t="shared" si="34"/>
        <v>99.062820796653256</v>
      </c>
      <c r="W95" s="18">
        <f t="shared" si="38"/>
        <v>99.005754275823932</v>
      </c>
      <c r="X95" s="18">
        <f t="shared" si="42"/>
        <v>99.036624444984554</v>
      </c>
      <c r="Y95" s="19">
        <f t="shared" si="35"/>
        <v>-1.3416730570624054E-3</v>
      </c>
      <c r="Z95" s="19">
        <f t="shared" si="35"/>
        <v>-7.6544310854601786E-4</v>
      </c>
      <c r="AA95" s="19">
        <f t="shared" si="35"/>
        <v>-1.0771962758230925E-3</v>
      </c>
      <c r="AC95" s="20">
        <f t="shared" si="36"/>
        <v>1.7607183776436518E-4</v>
      </c>
      <c r="AD95" s="20">
        <f t="shared" si="36"/>
        <v>-6.0630559658468217E-4</v>
      </c>
      <c r="AE95" s="20"/>
      <c r="AF95" s="20"/>
      <c r="AH95">
        <f t="shared" si="43"/>
        <v>1</v>
      </c>
      <c r="AI95">
        <f t="shared" si="44"/>
        <v>0</v>
      </c>
      <c r="AJ95">
        <f t="shared" si="45"/>
        <v>0</v>
      </c>
      <c r="AK95">
        <f t="shared" si="40"/>
        <v>0</v>
      </c>
      <c r="AL95" s="20">
        <f t="shared" si="46"/>
        <v>0</v>
      </c>
      <c r="AM95" s="20">
        <f t="shared" si="47"/>
        <v>0</v>
      </c>
      <c r="AN95" s="20">
        <f t="shared" si="48"/>
        <v>0</v>
      </c>
      <c r="AO95" s="21">
        <f t="shared" si="49"/>
        <v>2.4396987822685543E-3</v>
      </c>
      <c r="AQ95" s="20"/>
      <c r="AS95">
        <f t="shared" si="50"/>
        <v>0</v>
      </c>
      <c r="AT95">
        <f t="shared" si="51"/>
        <v>1</v>
      </c>
      <c r="AU95">
        <f t="shared" si="52"/>
        <v>0</v>
      </c>
      <c r="AV95">
        <f t="shared" si="53"/>
        <v>0</v>
      </c>
      <c r="AW95" s="20">
        <f t="shared" si="54"/>
        <v>0</v>
      </c>
      <c r="AX95" s="20">
        <f t="shared" si="55"/>
        <v>0</v>
      </c>
      <c r="AY95" s="20">
        <f t="shared" si="56"/>
        <v>0</v>
      </c>
      <c r="AZ95" s="21">
        <f t="shared" si="57"/>
        <v>8.2786809888977402E-4</v>
      </c>
      <c r="BB95" s="21">
        <f t="shared" si="58"/>
        <v>0</v>
      </c>
      <c r="BC95" s="21">
        <f t="shared" si="59"/>
        <v>3.2675668811583286E-3</v>
      </c>
    </row>
    <row r="96" spans="1:55" x14ac:dyDescent="0.3">
      <c r="A96" s="1">
        <v>46161</v>
      </c>
      <c r="B96" s="11">
        <v>56.66</v>
      </c>
      <c r="C96" s="11">
        <v>98.67</v>
      </c>
      <c r="D96" s="12">
        <v>1.7414401694316901</v>
      </c>
      <c r="E96" s="12">
        <v>1.74406374641995</v>
      </c>
      <c r="F96" s="12">
        <v>1.7425705673059</v>
      </c>
      <c r="G96" s="12">
        <v>1.74330699477494</v>
      </c>
      <c r="H96" s="11">
        <v>98.818651872154405</v>
      </c>
      <c r="I96" s="11">
        <v>98.749814099854802</v>
      </c>
      <c r="J96" s="11">
        <v>98.784482787898398</v>
      </c>
      <c r="K96" s="13">
        <v>-1.50542219838347E-3</v>
      </c>
      <c r="L96" s="13">
        <v>-8.0857237726858402E-4</v>
      </c>
      <c r="M96" s="13">
        <v>-1.1595867473887199E-3</v>
      </c>
      <c r="N96" s="24">
        <v>0</v>
      </c>
      <c r="O96" s="15">
        <v>0</v>
      </c>
      <c r="P96" s="25">
        <f t="shared" si="41"/>
        <v>56.66</v>
      </c>
      <c r="Q96" s="25">
        <f t="shared" si="41"/>
        <v>98.67</v>
      </c>
      <c r="R96" s="16">
        <f t="shared" si="32"/>
        <v>1.7414401694316979</v>
      </c>
      <c r="S96" s="16">
        <f t="shared" si="33"/>
        <v>1.7440637464199518</v>
      </c>
      <c r="T96" s="16">
        <f t="shared" si="37"/>
        <v>1.7425705673059007</v>
      </c>
      <c r="U96" s="16">
        <f t="shared" si="39"/>
        <v>1.7433069947749495</v>
      </c>
      <c r="V96" s="18">
        <f t="shared" si="34"/>
        <v>98.818651872154462</v>
      </c>
      <c r="W96" s="18">
        <f t="shared" si="38"/>
        <v>98.749814099854859</v>
      </c>
      <c r="X96" s="18">
        <f t="shared" si="42"/>
        <v>98.784482787898483</v>
      </c>
      <c r="Y96" s="19">
        <f t="shared" si="35"/>
        <v>-1.505422198383146E-3</v>
      </c>
      <c r="Z96" s="19">
        <f t="shared" si="35"/>
        <v>-8.0857237726858413E-4</v>
      </c>
      <c r="AA96" s="19">
        <f t="shared" si="35"/>
        <v>-1.1595867473887275E-3</v>
      </c>
      <c r="AC96" s="20">
        <f t="shared" si="36"/>
        <v>-2.467831324735225E-3</v>
      </c>
      <c r="AD96" s="20">
        <f t="shared" si="36"/>
        <v>-2.6315804660559318E-3</v>
      </c>
      <c r="AE96" s="20"/>
      <c r="AF96" s="20"/>
      <c r="AH96">
        <f t="shared" si="43"/>
        <v>1</v>
      </c>
      <c r="AI96">
        <f t="shared" si="44"/>
        <v>0</v>
      </c>
      <c r="AJ96">
        <f t="shared" si="45"/>
        <v>1</v>
      </c>
      <c r="AK96">
        <f t="shared" si="40"/>
        <v>1</v>
      </c>
      <c r="AL96" s="20">
        <f t="shared" si="46"/>
        <v>2.467831324735225E-3</v>
      </c>
      <c r="AM96" s="20">
        <f t="shared" si="47"/>
        <v>-2.6315804660559318E-3</v>
      </c>
      <c r="AN96" s="20">
        <f t="shared" si="48"/>
        <v>-1.637491413207068E-4</v>
      </c>
      <c r="AO96" s="21">
        <f t="shared" si="49"/>
        <v>2.2759496409478475E-3</v>
      </c>
      <c r="AQ96" s="20"/>
      <c r="AS96">
        <f t="shared" si="50"/>
        <v>0</v>
      </c>
      <c r="AT96">
        <f t="shared" si="51"/>
        <v>1</v>
      </c>
      <c r="AU96">
        <f t="shared" si="52"/>
        <v>0</v>
      </c>
      <c r="AV96">
        <f t="shared" si="53"/>
        <v>0</v>
      </c>
      <c r="AW96" s="20">
        <f t="shared" si="54"/>
        <v>0</v>
      </c>
      <c r="AX96" s="20">
        <f t="shared" si="55"/>
        <v>0</v>
      </c>
      <c r="AY96" s="20">
        <f t="shared" si="56"/>
        <v>0</v>
      </c>
      <c r="AZ96" s="21">
        <f t="shared" si="57"/>
        <v>8.2786809888977402E-4</v>
      </c>
      <c r="BB96" s="21">
        <f t="shared" si="58"/>
        <v>-1.637491413207068E-4</v>
      </c>
      <c r="BC96" s="21">
        <f t="shared" si="59"/>
        <v>3.1038177398376218E-3</v>
      </c>
    </row>
    <row r="97" spans="1:55" x14ac:dyDescent="0.3">
      <c r="A97" s="1">
        <v>46162</v>
      </c>
      <c r="B97" s="11">
        <v>56.75</v>
      </c>
      <c r="C97" s="11">
        <v>98.96</v>
      </c>
      <c r="D97" s="12">
        <v>1.7437885462555001</v>
      </c>
      <c r="E97" s="12">
        <v>1.74406374641995</v>
      </c>
      <c r="F97" s="12">
        <v>1.7426482339510101</v>
      </c>
      <c r="G97" s="12">
        <v>1.7432662688843801</v>
      </c>
      <c r="H97" s="11">
        <v>98.975617609332204</v>
      </c>
      <c r="I97" s="11">
        <v>98.890879694609893</v>
      </c>
      <c r="J97" s="11">
        <v>98.932671953478305</v>
      </c>
      <c r="K97" s="13">
        <v>-1.57804942368006E-4</v>
      </c>
      <c r="L97" s="13">
        <v>6.9871115366099395E-4</v>
      </c>
      <c r="M97" s="13">
        <v>2.7619058781265998E-4</v>
      </c>
      <c r="N97" s="24">
        <v>0</v>
      </c>
      <c r="O97" s="15">
        <v>0</v>
      </c>
      <c r="P97" s="25">
        <f t="shared" si="41"/>
        <v>56.75</v>
      </c>
      <c r="Q97" s="25">
        <f t="shared" si="41"/>
        <v>98.96</v>
      </c>
      <c r="R97" s="16">
        <f t="shared" si="32"/>
        <v>1.7437885462555065</v>
      </c>
      <c r="S97" s="16">
        <f t="shared" si="33"/>
        <v>1.7440637464199518</v>
      </c>
      <c r="T97" s="16">
        <f t="shared" si="37"/>
        <v>1.7426482339510181</v>
      </c>
      <c r="U97" s="16">
        <f t="shared" si="39"/>
        <v>1.7432662688843823</v>
      </c>
      <c r="V97" s="18">
        <f t="shared" si="34"/>
        <v>98.975617609332261</v>
      </c>
      <c r="W97" s="18">
        <f t="shared" si="38"/>
        <v>98.890879694609865</v>
      </c>
      <c r="X97" s="18">
        <f t="shared" si="42"/>
        <v>98.93267195347839</v>
      </c>
      <c r="Y97" s="19">
        <f t="shared" si="35"/>
        <v>-1.5780494236767366E-4</v>
      </c>
      <c r="Z97" s="19">
        <f t="shared" si="35"/>
        <v>6.9871115366121588E-4</v>
      </c>
      <c r="AA97" s="19">
        <f t="shared" si="35"/>
        <v>2.7619058781266031E-4</v>
      </c>
      <c r="AC97" s="20">
        <f t="shared" si="36"/>
        <v>1.5871619591416801E-3</v>
      </c>
      <c r="AD97" s="20">
        <f t="shared" si="36"/>
        <v>2.934779215157177E-3</v>
      </c>
      <c r="AE97" s="20"/>
      <c r="AF97" s="20"/>
      <c r="AH97">
        <f t="shared" si="43"/>
        <v>0</v>
      </c>
      <c r="AI97">
        <f t="shared" si="44"/>
        <v>1</v>
      </c>
      <c r="AJ97">
        <f t="shared" si="45"/>
        <v>1</v>
      </c>
      <c r="AK97">
        <f t="shared" si="40"/>
        <v>1</v>
      </c>
      <c r="AL97" s="20">
        <f t="shared" si="46"/>
        <v>-1.5871619591416801E-3</v>
      </c>
      <c r="AM97" s="20">
        <f t="shared" si="47"/>
        <v>2.934779215157177E-3</v>
      </c>
      <c r="AN97" s="20">
        <f t="shared" si="48"/>
        <v>1.347617256015497E-3</v>
      </c>
      <c r="AO97" s="21">
        <f t="shared" si="49"/>
        <v>3.6235668969633447E-3</v>
      </c>
      <c r="AQ97" s="20"/>
      <c r="AS97">
        <f t="shared" si="50"/>
        <v>0</v>
      </c>
      <c r="AT97">
        <f t="shared" si="51"/>
        <v>0</v>
      </c>
      <c r="AU97">
        <f t="shared" si="52"/>
        <v>0</v>
      </c>
      <c r="AV97">
        <f t="shared" si="53"/>
        <v>0</v>
      </c>
      <c r="AW97" s="20">
        <f t="shared" si="54"/>
        <v>0</v>
      </c>
      <c r="AX97" s="20">
        <f t="shared" si="55"/>
        <v>0</v>
      </c>
      <c r="AY97" s="20">
        <f t="shared" si="56"/>
        <v>0</v>
      </c>
      <c r="AZ97" s="21">
        <f t="shared" si="57"/>
        <v>8.2786809888977402E-4</v>
      </c>
      <c r="BB97" s="21">
        <f t="shared" si="58"/>
        <v>1.347617256015497E-3</v>
      </c>
      <c r="BC97" s="21">
        <f t="shared" si="59"/>
        <v>4.4514349958531185E-3</v>
      </c>
    </row>
    <row r="98" spans="1:55" x14ac:dyDescent="0.3">
      <c r="A98" s="1">
        <v>46163</v>
      </c>
      <c r="B98" s="11">
        <v>56.77</v>
      </c>
      <c r="C98" s="11">
        <v>98.97</v>
      </c>
      <c r="D98" s="12">
        <v>1.74335036110621</v>
      </c>
      <c r="E98" s="12">
        <v>1.74406374641995</v>
      </c>
      <c r="F98" s="12">
        <v>1.7427040458785099</v>
      </c>
      <c r="G98" s="12">
        <v>1.7432817340517299</v>
      </c>
      <c r="H98" s="11">
        <v>99.010498884260699</v>
      </c>
      <c r="I98" s="11">
        <v>98.9301402413993</v>
      </c>
      <c r="J98" s="11">
        <v>98.965226084566297</v>
      </c>
      <c r="K98" s="13">
        <v>-4.0911993912354401E-4</v>
      </c>
      <c r="L98" s="13">
        <v>4.0282699235148301E-4</v>
      </c>
      <c r="M98" s="13">
        <v>4.8237148373945799E-5</v>
      </c>
      <c r="N98" s="24">
        <v>0</v>
      </c>
      <c r="O98" s="15">
        <v>0</v>
      </c>
      <c r="P98" s="25">
        <f t="shared" si="41"/>
        <v>56.77</v>
      </c>
      <c r="Q98" s="25">
        <f t="shared" si="41"/>
        <v>98.97</v>
      </c>
      <c r="R98" s="16">
        <f t="shared" si="32"/>
        <v>1.743350361106218</v>
      </c>
      <c r="S98" s="16">
        <f t="shared" si="33"/>
        <v>1.7440637464199518</v>
      </c>
      <c r="T98" s="16">
        <f t="shared" si="37"/>
        <v>1.7427040458785192</v>
      </c>
      <c r="U98" s="16">
        <f t="shared" si="39"/>
        <v>1.7432817340517321</v>
      </c>
      <c r="V98" s="18">
        <f t="shared" si="34"/>
        <v>99.01049888426067</v>
      </c>
      <c r="W98" s="18">
        <f t="shared" si="38"/>
        <v>98.9301402413993</v>
      </c>
      <c r="X98" s="18">
        <f t="shared" si="42"/>
        <v>98.965226084566382</v>
      </c>
      <c r="Y98" s="19">
        <f t="shared" si="35"/>
        <v>-4.0911993912321111E-4</v>
      </c>
      <c r="Z98" s="19">
        <f t="shared" si="35"/>
        <v>4.0282699235148355E-4</v>
      </c>
      <c r="AA98" s="19">
        <f t="shared" si="35"/>
        <v>4.8237148373945867E-5</v>
      </c>
      <c r="AC98" s="20">
        <f t="shared" si="36"/>
        <v>3.5236082112275157E-4</v>
      </c>
      <c r="AD98" s="20">
        <f t="shared" si="36"/>
        <v>1.0104582436734524E-4</v>
      </c>
      <c r="AE98" s="20"/>
      <c r="AF98" s="20"/>
      <c r="AH98">
        <f t="shared" si="43"/>
        <v>0</v>
      </c>
      <c r="AI98">
        <f t="shared" si="44"/>
        <v>1</v>
      </c>
      <c r="AJ98">
        <f t="shared" si="45"/>
        <v>0</v>
      </c>
      <c r="AK98">
        <f t="shared" si="40"/>
        <v>0</v>
      </c>
      <c r="AL98" s="20">
        <f t="shared" si="46"/>
        <v>0</v>
      </c>
      <c r="AM98" s="20">
        <f t="shared" si="47"/>
        <v>0</v>
      </c>
      <c r="AN98" s="20">
        <f t="shared" si="48"/>
        <v>0</v>
      </c>
      <c r="AO98" s="21">
        <f t="shared" si="49"/>
        <v>3.6235668969633447E-3</v>
      </c>
      <c r="AQ98" s="20"/>
      <c r="AS98">
        <f t="shared" si="50"/>
        <v>0</v>
      </c>
      <c r="AT98">
        <f t="shared" si="51"/>
        <v>0</v>
      </c>
      <c r="AU98">
        <f t="shared" si="52"/>
        <v>0</v>
      </c>
      <c r="AV98">
        <f t="shared" si="53"/>
        <v>0</v>
      </c>
      <c r="AW98" s="20">
        <f t="shared" si="54"/>
        <v>0</v>
      </c>
      <c r="AX98" s="20">
        <f t="shared" si="55"/>
        <v>0</v>
      </c>
      <c r="AY98" s="20">
        <f t="shared" si="56"/>
        <v>0</v>
      </c>
      <c r="AZ98" s="21">
        <f t="shared" si="57"/>
        <v>8.2786809888977402E-4</v>
      </c>
      <c r="BB98" s="21">
        <f t="shared" si="58"/>
        <v>0</v>
      </c>
      <c r="BC98" s="21">
        <f t="shared" si="59"/>
        <v>4.4514349958531185E-3</v>
      </c>
    </row>
    <row r="99" spans="1:55" x14ac:dyDescent="0.3">
      <c r="A99" s="1">
        <v>46164</v>
      </c>
      <c r="B99" s="11">
        <v>56.84</v>
      </c>
      <c r="C99" s="11">
        <v>99.08</v>
      </c>
      <c r="D99" s="12">
        <v>1.7431386347642499</v>
      </c>
      <c r="E99" s="12">
        <v>1.74406374641995</v>
      </c>
      <c r="F99" s="12">
        <v>1.7428429486425201</v>
      </c>
      <c r="G99" s="12">
        <v>1.74323442083517</v>
      </c>
      <c r="H99" s="11">
        <v>99.132583346510003</v>
      </c>
      <c r="I99" s="11">
        <v>99.055297967735001</v>
      </c>
      <c r="J99" s="11">
        <v>99.088133763500394</v>
      </c>
      <c r="K99" s="13">
        <v>-5.3057527282942695E-4</v>
      </c>
      <c r="L99" s="13">
        <v>2.4934509546057E-4</v>
      </c>
      <c r="M99" s="13">
        <v>-8.2089520151795096E-5</v>
      </c>
      <c r="N99" s="24">
        <v>0</v>
      </c>
      <c r="O99" s="15">
        <v>0</v>
      </c>
      <c r="P99" s="25">
        <f t="shared" si="41"/>
        <v>56.84</v>
      </c>
      <c r="Q99" s="25">
        <f t="shared" si="41"/>
        <v>99.08</v>
      </c>
      <c r="R99" s="16">
        <f t="shared" si="32"/>
        <v>1.7431386347642503</v>
      </c>
      <c r="S99" s="16">
        <f t="shared" si="33"/>
        <v>1.7440637464199518</v>
      </c>
      <c r="T99" s="16">
        <f t="shared" si="37"/>
        <v>1.7428429486425299</v>
      </c>
      <c r="U99" s="16">
        <f t="shared" si="39"/>
        <v>1.743234420835178</v>
      </c>
      <c r="V99" s="18">
        <f t="shared" si="34"/>
        <v>99.13258334651006</v>
      </c>
      <c r="W99" s="18">
        <f t="shared" si="38"/>
        <v>99.055297967735044</v>
      </c>
      <c r="X99" s="18">
        <f t="shared" si="42"/>
        <v>99.088133763500466</v>
      </c>
      <c r="Y99" s="19">
        <f t="shared" si="35"/>
        <v>-5.305752728292049E-4</v>
      </c>
      <c r="Z99" s="19">
        <f t="shared" si="35"/>
        <v>2.4934509546057065E-4</v>
      </c>
      <c r="AA99" s="19">
        <f t="shared" si="35"/>
        <v>-8.2089520152017168E-5</v>
      </c>
      <c r="AC99" s="20">
        <f t="shared" si="36"/>
        <v>1.2322860462651017E-3</v>
      </c>
      <c r="AD99" s="20">
        <f t="shared" si="36"/>
        <v>1.1108307125589514E-3</v>
      </c>
      <c r="AE99" s="20"/>
      <c r="AF99" s="20"/>
      <c r="AH99">
        <f t="shared" si="43"/>
        <v>0</v>
      </c>
      <c r="AI99">
        <f t="shared" si="44"/>
        <v>0</v>
      </c>
      <c r="AJ99">
        <f t="shared" si="45"/>
        <v>0</v>
      </c>
      <c r="AK99">
        <f t="shared" si="40"/>
        <v>0</v>
      </c>
      <c r="AL99" s="20">
        <f t="shared" si="46"/>
        <v>0</v>
      </c>
      <c r="AM99" s="20">
        <f t="shared" si="47"/>
        <v>0</v>
      </c>
      <c r="AN99" s="20">
        <f t="shared" si="48"/>
        <v>0</v>
      </c>
      <c r="AO99" s="21">
        <f t="shared" si="49"/>
        <v>3.6235668969633447E-3</v>
      </c>
      <c r="AQ99" s="20"/>
      <c r="AS99">
        <f t="shared" si="50"/>
        <v>0</v>
      </c>
      <c r="AT99">
        <f t="shared" si="51"/>
        <v>1</v>
      </c>
      <c r="AU99">
        <f t="shared" si="52"/>
        <v>0</v>
      </c>
      <c r="AV99">
        <f t="shared" si="53"/>
        <v>0</v>
      </c>
      <c r="AW99" s="20">
        <f t="shared" si="54"/>
        <v>0</v>
      </c>
      <c r="AX99" s="20">
        <f t="shared" si="55"/>
        <v>0</v>
      </c>
      <c r="AY99" s="20">
        <f t="shared" si="56"/>
        <v>0</v>
      </c>
      <c r="AZ99" s="21">
        <f t="shared" si="57"/>
        <v>8.2786809888977402E-4</v>
      </c>
      <c r="BB99" s="21">
        <f t="shared" si="58"/>
        <v>0</v>
      </c>
      <c r="BC99" s="21">
        <f t="shared" si="59"/>
        <v>4.4514349958531185E-3</v>
      </c>
    </row>
    <row r="100" spans="1:55" x14ac:dyDescent="0.3">
      <c r="A100" s="1">
        <v>46168</v>
      </c>
      <c r="B100" s="11">
        <v>57.08</v>
      </c>
      <c r="C100" s="11">
        <v>99.49</v>
      </c>
      <c r="D100" s="12">
        <v>1.7429922915206699</v>
      </c>
      <c r="E100" s="12">
        <v>1.74406374641995</v>
      </c>
      <c r="F100" s="12">
        <v>1.74296328191758</v>
      </c>
      <c r="G100" s="12">
        <v>1.74319718781204</v>
      </c>
      <c r="H100" s="11">
        <v>99.551158645650801</v>
      </c>
      <c r="I100" s="11">
        <v>99.481475508515601</v>
      </c>
      <c r="J100" s="11">
        <v>99.503820741271895</v>
      </c>
      <c r="K100" s="13">
        <v>-6.1453267245568498E-4</v>
      </c>
      <c r="L100" s="13">
        <v>8.5685563398614102E-5</v>
      </c>
      <c r="M100" s="13">
        <v>-1.3890623580867801E-4</v>
      </c>
      <c r="N100" s="24">
        <v>0</v>
      </c>
      <c r="O100" s="15">
        <v>0</v>
      </c>
      <c r="P100" s="25">
        <f t="shared" si="41"/>
        <v>57.08</v>
      </c>
      <c r="Q100" s="25">
        <f t="shared" si="41"/>
        <v>99.49</v>
      </c>
      <c r="R100" s="16">
        <f t="shared" si="32"/>
        <v>1.7429922915206728</v>
      </c>
      <c r="S100" s="16">
        <f t="shared" si="33"/>
        <v>1.7440637464199518</v>
      </c>
      <c r="T100" s="16">
        <f t="shared" si="37"/>
        <v>1.742963281917588</v>
      </c>
      <c r="U100" s="16">
        <f t="shared" si="39"/>
        <v>1.7431971878120465</v>
      </c>
      <c r="V100" s="18">
        <f t="shared" si="34"/>
        <v>99.551158645650844</v>
      </c>
      <c r="W100" s="18">
        <f t="shared" si="38"/>
        <v>99.481475508515601</v>
      </c>
      <c r="X100" s="18">
        <f t="shared" si="42"/>
        <v>99.503820741271952</v>
      </c>
      <c r="Y100" s="19">
        <f t="shared" si="35"/>
        <v>-6.1453267245535213E-4</v>
      </c>
      <c r="Z100" s="19">
        <f t="shared" si="35"/>
        <v>8.568556339861417E-5</v>
      </c>
      <c r="AA100" s="19">
        <f t="shared" si="35"/>
        <v>-1.3890623580867836E-4</v>
      </c>
      <c r="AC100" s="20">
        <f t="shared" si="36"/>
        <v>4.2134893797356162E-3</v>
      </c>
      <c r="AD100" s="20">
        <f t="shared" si="36"/>
        <v>4.1295319801095626E-3</v>
      </c>
      <c r="AE100" s="20"/>
      <c r="AF100" s="20"/>
      <c r="AH100">
        <f t="shared" si="43"/>
        <v>0</v>
      </c>
      <c r="AI100">
        <f t="shared" si="44"/>
        <v>0</v>
      </c>
      <c r="AJ100">
        <f t="shared" si="45"/>
        <v>0</v>
      </c>
      <c r="AK100">
        <f t="shared" si="40"/>
        <v>0</v>
      </c>
      <c r="AL100" s="20">
        <f t="shared" si="46"/>
        <v>0</v>
      </c>
      <c r="AM100" s="20">
        <f t="shared" si="47"/>
        <v>0</v>
      </c>
      <c r="AN100" s="20">
        <f t="shared" si="48"/>
        <v>0</v>
      </c>
      <c r="AO100" s="21">
        <f t="shared" si="49"/>
        <v>3.6235668969633447E-3</v>
      </c>
      <c r="AQ100" s="20"/>
      <c r="AS100">
        <f t="shared" si="50"/>
        <v>0</v>
      </c>
      <c r="AT100">
        <f t="shared" si="51"/>
        <v>1</v>
      </c>
      <c r="AU100">
        <f t="shared" si="52"/>
        <v>0</v>
      </c>
      <c r="AV100">
        <f t="shared" si="53"/>
        <v>0</v>
      </c>
      <c r="AW100" s="20">
        <f t="shared" si="54"/>
        <v>0</v>
      </c>
      <c r="AX100" s="20">
        <f t="shared" si="55"/>
        <v>0</v>
      </c>
      <c r="AY100" s="20">
        <f t="shared" si="56"/>
        <v>0</v>
      </c>
      <c r="AZ100" s="21">
        <f t="shared" si="57"/>
        <v>8.2786809888977402E-4</v>
      </c>
      <c r="BB100" s="21">
        <f t="shared" si="58"/>
        <v>0</v>
      </c>
      <c r="BC100" s="21">
        <f t="shared" si="59"/>
        <v>4.4514349958531185E-3</v>
      </c>
    </row>
    <row r="101" spans="1:55" x14ac:dyDescent="0.3">
      <c r="A101" s="1">
        <v>46169</v>
      </c>
      <c r="B101" s="11">
        <v>57.14</v>
      </c>
      <c r="C101" s="11">
        <v>99.66</v>
      </c>
      <c r="D101" s="12">
        <v>1.74413720686034</v>
      </c>
      <c r="E101" s="12">
        <v>1.74406374641995</v>
      </c>
      <c r="F101" s="12">
        <v>1.74304226871006</v>
      </c>
      <c r="G101" s="12">
        <v>1.7432392971971999</v>
      </c>
      <c r="H101" s="11">
        <v>99.655802470436001</v>
      </c>
      <c r="I101" s="11">
        <v>99.592921928770906</v>
      </c>
      <c r="J101" s="11">
        <v>99.606287311580303</v>
      </c>
      <c r="K101" s="13">
        <v>4.2119385543111299E-5</v>
      </c>
      <c r="L101" s="13">
        <v>6.7329576011966596E-4</v>
      </c>
      <c r="M101" s="13">
        <v>5.3910463676749495E-4</v>
      </c>
      <c r="N101" s="24">
        <v>0</v>
      </c>
      <c r="O101" s="15">
        <v>0</v>
      </c>
      <c r="P101" s="25">
        <f t="shared" si="41"/>
        <v>57.14</v>
      </c>
      <c r="Q101" s="25">
        <f t="shared" si="41"/>
        <v>99.66</v>
      </c>
      <c r="R101" s="16">
        <f t="shared" si="32"/>
        <v>1.7441372068603429</v>
      </c>
      <c r="S101" s="16">
        <f t="shared" si="33"/>
        <v>1.7440637464199518</v>
      </c>
      <c r="T101" s="16">
        <f t="shared" si="37"/>
        <v>1.7430422687100648</v>
      </c>
      <c r="U101" s="16">
        <f t="shared" si="39"/>
        <v>1.7432392971972093</v>
      </c>
      <c r="V101" s="18">
        <f t="shared" si="34"/>
        <v>99.655802470436043</v>
      </c>
      <c r="W101" s="18">
        <f t="shared" si="38"/>
        <v>99.592921928770977</v>
      </c>
      <c r="X101" s="18">
        <f t="shared" si="42"/>
        <v>99.606287311580331</v>
      </c>
      <c r="Y101" s="19">
        <f t="shared" si="35"/>
        <v>4.2119385543333371E-5</v>
      </c>
      <c r="Z101" s="19">
        <f t="shared" si="35"/>
        <v>6.7329576011966596E-4</v>
      </c>
      <c r="AA101" s="19">
        <f t="shared" si="35"/>
        <v>5.3910463676749582E-4</v>
      </c>
      <c r="AC101" s="20">
        <f t="shared" si="36"/>
        <v>1.0506041939913687E-3</v>
      </c>
      <c r="AD101" s="20">
        <f t="shared" si="36"/>
        <v>1.7072562519901966E-3</v>
      </c>
      <c r="AE101" s="20"/>
      <c r="AF101" s="20"/>
      <c r="AH101">
        <f t="shared" si="43"/>
        <v>0</v>
      </c>
      <c r="AI101">
        <f t="shared" si="44"/>
        <v>1</v>
      </c>
      <c r="AJ101">
        <f t="shared" si="45"/>
        <v>0</v>
      </c>
      <c r="AK101">
        <f t="shared" si="40"/>
        <v>0</v>
      </c>
      <c r="AL101" s="20">
        <f t="shared" si="46"/>
        <v>0</v>
      </c>
      <c r="AM101" s="20">
        <f t="shared" si="47"/>
        <v>0</v>
      </c>
      <c r="AN101" s="20">
        <f t="shared" si="48"/>
        <v>0</v>
      </c>
      <c r="AO101" s="21">
        <f t="shared" si="49"/>
        <v>3.6235668969633447E-3</v>
      </c>
      <c r="AQ101" s="20"/>
      <c r="AS101">
        <f t="shared" si="50"/>
        <v>0</v>
      </c>
      <c r="AT101">
        <f t="shared" si="51"/>
        <v>0</v>
      </c>
      <c r="AU101">
        <f t="shared" si="52"/>
        <v>0</v>
      </c>
      <c r="AV101">
        <f t="shared" si="53"/>
        <v>0</v>
      </c>
      <c r="AW101" s="20">
        <f t="shared" si="54"/>
        <v>0</v>
      </c>
      <c r="AX101" s="20">
        <f t="shared" si="55"/>
        <v>0</v>
      </c>
      <c r="AY101" s="20">
        <f t="shared" si="56"/>
        <v>0</v>
      </c>
      <c r="AZ101" s="21">
        <f t="shared" si="57"/>
        <v>8.2786809888977402E-4</v>
      </c>
      <c r="BB101" s="21">
        <f t="shared" si="58"/>
        <v>0</v>
      </c>
      <c r="BC101" s="21">
        <f t="shared" si="59"/>
        <v>4.4514349958531185E-3</v>
      </c>
    </row>
    <row r="102" spans="1:55" x14ac:dyDescent="0.3">
      <c r="A102" s="1">
        <v>46170</v>
      </c>
      <c r="B102" s="11">
        <v>57.25</v>
      </c>
      <c r="C102" s="11">
        <v>99.83</v>
      </c>
      <c r="D102" s="12">
        <v>1.7437554585152799</v>
      </c>
      <c r="E102" s="12">
        <v>1.74406374641995</v>
      </c>
      <c r="F102" s="12">
        <v>1.7430228654209401</v>
      </c>
      <c r="G102" s="12">
        <v>1.7432063997319101</v>
      </c>
      <c r="H102" s="11">
        <v>99.847649482542195</v>
      </c>
      <c r="I102" s="11">
        <v>99.789169883651098</v>
      </c>
      <c r="J102" s="11">
        <v>99.800449764540204</v>
      </c>
      <c r="K102" s="13">
        <v>-1.76779751103522E-4</v>
      </c>
      <c r="L102" s="13">
        <v>4.0908011932936202E-4</v>
      </c>
      <c r="M102" s="13">
        <v>2.9604938235064398E-4</v>
      </c>
      <c r="N102" s="24">
        <v>0</v>
      </c>
      <c r="O102" s="15">
        <v>0</v>
      </c>
      <c r="P102" s="25">
        <f t="shared" si="41"/>
        <v>57.25</v>
      </c>
      <c r="Q102" s="25">
        <f t="shared" si="41"/>
        <v>99.83</v>
      </c>
      <c r="R102" s="16">
        <f t="shared" si="32"/>
        <v>1.7437554585152839</v>
      </c>
      <c r="S102" s="16">
        <f t="shared" si="33"/>
        <v>1.7440637464199518</v>
      </c>
      <c r="T102" s="16">
        <f t="shared" si="37"/>
        <v>1.7430228654209408</v>
      </c>
      <c r="U102" s="16">
        <f t="shared" si="39"/>
        <v>1.7432063997319116</v>
      </c>
      <c r="V102" s="18">
        <f t="shared" si="34"/>
        <v>99.847649482542238</v>
      </c>
      <c r="W102" s="18">
        <f t="shared" si="38"/>
        <v>99.789169883651212</v>
      </c>
      <c r="X102" s="18">
        <f t="shared" si="42"/>
        <v>99.800449764540232</v>
      </c>
      <c r="Y102" s="19">
        <f t="shared" si="35"/>
        <v>-1.7677975110330039E-4</v>
      </c>
      <c r="Z102" s="19">
        <f t="shared" si="35"/>
        <v>4.0908011932914095E-4</v>
      </c>
      <c r="AA102" s="19">
        <f t="shared" si="35"/>
        <v>2.9604938235064458E-4</v>
      </c>
      <c r="AC102" s="20">
        <f t="shared" si="36"/>
        <v>1.923245631722017E-3</v>
      </c>
      <c r="AD102" s="20">
        <f t="shared" si="36"/>
        <v>1.7043464950754063E-3</v>
      </c>
      <c r="AE102" s="20"/>
      <c r="AF102" s="20"/>
      <c r="AH102">
        <f t="shared" si="43"/>
        <v>0</v>
      </c>
      <c r="AI102">
        <f t="shared" si="44"/>
        <v>1</v>
      </c>
      <c r="AJ102">
        <f t="shared" si="45"/>
        <v>0</v>
      </c>
      <c r="AK102">
        <f t="shared" si="40"/>
        <v>0</v>
      </c>
      <c r="AL102" s="20">
        <f t="shared" si="46"/>
        <v>0</v>
      </c>
      <c r="AM102" s="20">
        <f t="shared" si="47"/>
        <v>0</v>
      </c>
      <c r="AN102" s="20">
        <f t="shared" si="48"/>
        <v>0</v>
      </c>
      <c r="AO102" s="21">
        <f t="shared" si="49"/>
        <v>3.6235668969633447E-3</v>
      </c>
      <c r="AQ102" s="20"/>
      <c r="AS102">
        <f t="shared" si="50"/>
        <v>0</v>
      </c>
      <c r="AT102">
        <f t="shared" si="51"/>
        <v>0</v>
      </c>
      <c r="AU102">
        <f t="shared" si="52"/>
        <v>0</v>
      </c>
      <c r="AV102">
        <f t="shared" si="53"/>
        <v>0</v>
      </c>
      <c r="AW102" s="20">
        <f t="shared" si="54"/>
        <v>0</v>
      </c>
      <c r="AX102" s="20">
        <f t="shared" si="55"/>
        <v>0</v>
      </c>
      <c r="AY102" s="20">
        <f t="shared" si="56"/>
        <v>0</v>
      </c>
      <c r="AZ102" s="21">
        <f t="shared" si="57"/>
        <v>8.2786809888977402E-4</v>
      </c>
      <c r="BB102" s="21">
        <f t="shared" si="58"/>
        <v>0</v>
      </c>
      <c r="BC102" s="21">
        <f t="shared" si="59"/>
        <v>4.4514349958531185E-3</v>
      </c>
    </row>
    <row r="103" spans="1:55" x14ac:dyDescent="0.3">
      <c r="A103" s="1">
        <v>46171</v>
      </c>
      <c r="B103" s="11">
        <v>57.35</v>
      </c>
      <c r="C103" s="11">
        <v>100.05</v>
      </c>
      <c r="D103" s="12">
        <v>1.74455100261551</v>
      </c>
      <c r="E103" s="12">
        <v>1.74406374641995</v>
      </c>
      <c r="F103" s="12">
        <v>1.74319675951138</v>
      </c>
      <c r="G103" s="12">
        <v>1.7432065898906</v>
      </c>
      <c r="H103" s="11">
        <v>100.022055857184</v>
      </c>
      <c r="I103" s="11">
        <v>99.962361331890904</v>
      </c>
      <c r="J103" s="11">
        <v>99.972887024625095</v>
      </c>
      <c r="K103" s="13">
        <v>2.7934078927444901E-4</v>
      </c>
      <c r="L103" s="13">
        <v>8.7633257398730296E-4</v>
      </c>
      <c r="M103" s="13">
        <v>7.7104155771619005E-4</v>
      </c>
      <c r="N103" s="24">
        <v>0</v>
      </c>
      <c r="O103" s="15">
        <v>0</v>
      </c>
      <c r="P103" s="25">
        <f t="shared" si="41"/>
        <v>57.35</v>
      </c>
      <c r="Q103" s="25">
        <f t="shared" si="41"/>
        <v>100.05</v>
      </c>
      <c r="R103" s="16">
        <f t="shared" si="32"/>
        <v>1.7445510026155187</v>
      </c>
      <c r="S103" s="16">
        <f t="shared" si="33"/>
        <v>1.7440637464199518</v>
      </c>
      <c r="T103" s="16">
        <f t="shared" si="37"/>
        <v>1.7431967595113846</v>
      </c>
      <c r="U103" s="16">
        <f t="shared" si="39"/>
        <v>1.743206589890606</v>
      </c>
      <c r="V103" s="18">
        <f t="shared" si="34"/>
        <v>100.02205585718424</v>
      </c>
      <c r="W103" s="18">
        <f t="shared" si="38"/>
        <v>99.962361331890961</v>
      </c>
      <c r="X103" s="18">
        <f t="shared" si="42"/>
        <v>99.972887024625138</v>
      </c>
      <c r="Y103" s="19">
        <f t="shared" si="35"/>
        <v>2.7934078927467106E-4</v>
      </c>
      <c r="Z103" s="19">
        <f t="shared" si="35"/>
        <v>8.7633257398708167E-4</v>
      </c>
      <c r="AA103" s="19">
        <f t="shared" si="35"/>
        <v>7.7104155771641209E-4</v>
      </c>
      <c r="AC103" s="20">
        <f t="shared" si="36"/>
        <v>1.7452011410305827E-3</v>
      </c>
      <c r="AD103" s="20">
        <f t="shared" si="36"/>
        <v>2.2013216814084973E-3</v>
      </c>
      <c r="AE103" s="20"/>
      <c r="AF103" s="20"/>
      <c r="AH103">
        <f t="shared" si="43"/>
        <v>0</v>
      </c>
      <c r="AI103">
        <f t="shared" si="44"/>
        <v>1</v>
      </c>
      <c r="AJ103">
        <f t="shared" si="45"/>
        <v>0</v>
      </c>
      <c r="AK103" s="26">
        <v>0</v>
      </c>
      <c r="AL103" s="20">
        <f t="shared" si="46"/>
        <v>0</v>
      </c>
      <c r="AM103" s="20">
        <f t="shared" si="47"/>
        <v>0</v>
      </c>
      <c r="AN103" s="20">
        <f t="shared" si="48"/>
        <v>0</v>
      </c>
      <c r="AO103" s="21">
        <f t="shared" si="49"/>
        <v>3.6235668969633447E-3</v>
      </c>
      <c r="AQ103" s="20"/>
      <c r="AS103">
        <f t="shared" si="50"/>
        <v>0</v>
      </c>
      <c r="AT103">
        <f t="shared" si="51"/>
        <v>0</v>
      </c>
      <c r="AU103">
        <f t="shared" si="52"/>
        <v>0</v>
      </c>
      <c r="AV103">
        <f t="shared" si="53"/>
        <v>0</v>
      </c>
      <c r="AW103" s="20">
        <f t="shared" si="54"/>
        <v>0</v>
      </c>
      <c r="AX103" s="20">
        <f t="shared" si="55"/>
        <v>0</v>
      </c>
      <c r="AY103" s="20">
        <f t="shared" si="56"/>
        <v>0</v>
      </c>
      <c r="AZ103" s="21">
        <f t="shared" si="57"/>
        <v>8.2786809888977402E-4</v>
      </c>
      <c r="BB103" s="21">
        <f t="shared" si="58"/>
        <v>0</v>
      </c>
      <c r="BC103" s="21">
        <f t="shared" si="59"/>
        <v>4.4514349958531185E-3</v>
      </c>
    </row>
    <row r="104" spans="1:55" x14ac:dyDescent="0.3">
      <c r="A104" s="1">
        <v>46174</v>
      </c>
      <c r="B104" s="11">
        <v>57.24</v>
      </c>
      <c r="C104" s="11">
        <v>99.84</v>
      </c>
      <c r="D104" s="12">
        <v>1.74423480083857</v>
      </c>
      <c r="E104" s="12">
        <v>1.74406374641995</v>
      </c>
      <c r="F104" s="12">
        <v>1.7433113824020701</v>
      </c>
      <c r="G104" s="12">
        <v>1.7431852182769501</v>
      </c>
      <c r="H104" s="11">
        <v>99.830208845078005</v>
      </c>
      <c r="I104" s="11">
        <v>99.7805825144316</v>
      </c>
      <c r="J104" s="11">
        <v>99.781145205338206</v>
      </c>
      <c r="K104" s="13">
        <v>9.8073267779220097E-5</v>
      </c>
      <c r="L104" s="13">
        <v>5.9530421737735001E-4</v>
      </c>
      <c r="M104" s="13">
        <v>5.8966495063939495E-4</v>
      </c>
      <c r="N104" s="24">
        <v>0</v>
      </c>
      <c r="O104" s="15">
        <v>0</v>
      </c>
      <c r="P104" s="25">
        <f t="shared" si="41"/>
        <v>57.24</v>
      </c>
      <c r="Q104" s="25">
        <f t="shared" si="41"/>
        <v>99.84</v>
      </c>
      <c r="R104" s="16">
        <f t="shared" si="32"/>
        <v>1.7442348008385744</v>
      </c>
      <c r="S104" s="16">
        <f t="shared" si="33"/>
        <v>1.7440637464199518</v>
      </c>
      <c r="T104" s="16">
        <f t="shared" si="37"/>
        <v>1.7433113824020741</v>
      </c>
      <c r="U104" s="16">
        <f t="shared" si="39"/>
        <v>1.7431852182769521</v>
      </c>
      <c r="V104" s="18">
        <f t="shared" si="34"/>
        <v>99.830208845078047</v>
      </c>
      <c r="W104" s="18">
        <f t="shared" si="38"/>
        <v>99.780582514431657</v>
      </c>
      <c r="X104" s="18">
        <f t="shared" si="42"/>
        <v>99.781145205338291</v>
      </c>
      <c r="Y104" s="19">
        <f t="shared" si="35"/>
        <v>9.8073267779220165E-5</v>
      </c>
      <c r="Z104" s="19">
        <f t="shared" si="35"/>
        <v>5.9530421737735088E-4</v>
      </c>
      <c r="AA104" s="19">
        <f t="shared" si="35"/>
        <v>5.8966495063939538E-4</v>
      </c>
      <c r="AC104" s="20">
        <f t="shared" si="36"/>
        <v>-1.9198888871295396E-3</v>
      </c>
      <c r="AD104" s="20">
        <f t="shared" si="36"/>
        <v>-2.1011564086247693E-3</v>
      </c>
      <c r="AE104" s="20"/>
      <c r="AF104" s="20"/>
      <c r="AH104">
        <f t="shared" si="43"/>
        <v>0</v>
      </c>
      <c r="AI104">
        <f t="shared" si="44"/>
        <v>1</v>
      </c>
      <c r="AJ104">
        <f t="shared" si="45"/>
        <v>0</v>
      </c>
      <c r="AK104">
        <f t="shared" si="40"/>
        <v>0</v>
      </c>
      <c r="AL104" s="20">
        <f t="shared" si="46"/>
        <v>0</v>
      </c>
      <c r="AM104" s="20">
        <f t="shared" si="47"/>
        <v>0</v>
      </c>
      <c r="AN104" s="20">
        <f t="shared" si="48"/>
        <v>0</v>
      </c>
      <c r="AO104" s="21">
        <f t="shared" si="49"/>
        <v>3.6235668969633447E-3</v>
      </c>
      <c r="AQ104" s="20"/>
      <c r="AS104">
        <f t="shared" si="50"/>
        <v>0</v>
      </c>
      <c r="AT104">
        <f t="shared" si="51"/>
        <v>0</v>
      </c>
      <c r="AU104">
        <f t="shared" si="52"/>
        <v>0</v>
      </c>
      <c r="AV104">
        <f t="shared" si="53"/>
        <v>0</v>
      </c>
      <c r="AW104" s="20">
        <f t="shared" si="54"/>
        <v>0</v>
      </c>
      <c r="AX104" s="20">
        <f t="shared" si="55"/>
        <v>0</v>
      </c>
      <c r="AY104" s="20">
        <f t="shared" si="56"/>
        <v>0</v>
      </c>
      <c r="AZ104" s="21">
        <f t="shared" si="57"/>
        <v>8.2786809888977402E-4</v>
      </c>
      <c r="BB104" s="21">
        <f t="shared" si="58"/>
        <v>0</v>
      </c>
      <c r="BC104" s="21">
        <f t="shared" si="59"/>
        <v>4.4514349958531185E-3</v>
      </c>
    </row>
    <row r="105" spans="1:55" x14ac:dyDescent="0.3">
      <c r="A105" s="1">
        <v>46175</v>
      </c>
      <c r="B105" s="11">
        <v>57.33</v>
      </c>
      <c r="C105" s="11">
        <v>100</v>
      </c>
      <c r="D105" s="12">
        <v>1.74428745857317</v>
      </c>
      <c r="E105" s="12">
        <v>1.74406374641995</v>
      </c>
      <c r="F105" s="12">
        <v>1.74356759304812</v>
      </c>
      <c r="G105" s="12">
        <v>1.7432082061592</v>
      </c>
      <c r="H105" s="11">
        <v>99.987174582255804</v>
      </c>
      <c r="I105" s="11">
        <v>99.944041553110907</v>
      </c>
      <c r="J105" s="11">
        <v>99.936808563817607</v>
      </c>
      <c r="K105" s="13">
        <v>1.2826240271170201E-4</v>
      </c>
      <c r="L105" s="13">
        <v>5.5974109471283295E-4</v>
      </c>
      <c r="M105" s="13">
        <v>6.3211410385475804E-4</v>
      </c>
      <c r="N105" s="24">
        <v>0</v>
      </c>
      <c r="O105" s="15">
        <v>0</v>
      </c>
      <c r="P105" s="25">
        <f t="shared" si="41"/>
        <v>57.33</v>
      </c>
      <c r="Q105" s="25">
        <f t="shared" si="41"/>
        <v>100</v>
      </c>
      <c r="R105" s="16">
        <f t="shared" si="32"/>
        <v>1.7442874585731729</v>
      </c>
      <c r="S105" s="16">
        <f t="shared" si="33"/>
        <v>1.7440637464199518</v>
      </c>
      <c r="T105" s="16">
        <f t="shared" si="37"/>
        <v>1.7435675930481238</v>
      </c>
      <c r="U105" s="16">
        <f t="shared" si="39"/>
        <v>1.7432082061592091</v>
      </c>
      <c r="V105" s="18">
        <f t="shared" si="34"/>
        <v>99.987174582255832</v>
      </c>
      <c r="W105" s="18">
        <f t="shared" si="38"/>
        <v>99.944041553110907</v>
      </c>
      <c r="X105" s="18">
        <f t="shared" si="42"/>
        <v>99.936808563817664</v>
      </c>
      <c r="Y105" s="19">
        <f t="shared" si="35"/>
        <v>1.2826240271192414E-4</v>
      </c>
      <c r="Z105" s="19">
        <f t="shared" si="35"/>
        <v>5.5974109471283392E-4</v>
      </c>
      <c r="AA105" s="19">
        <f t="shared" si="35"/>
        <v>6.3211410385475837E-4</v>
      </c>
      <c r="AC105" s="20">
        <f t="shared" si="36"/>
        <v>1.5710922320411461E-3</v>
      </c>
      <c r="AD105" s="20">
        <f t="shared" si="36"/>
        <v>1.6012813669738276E-3</v>
      </c>
      <c r="AE105" s="20"/>
      <c r="AF105" s="20"/>
      <c r="AH105">
        <f t="shared" si="43"/>
        <v>0</v>
      </c>
      <c r="AI105">
        <f t="shared" si="44"/>
        <v>1</v>
      </c>
      <c r="AJ105">
        <f t="shared" si="45"/>
        <v>0</v>
      </c>
      <c r="AK105">
        <f t="shared" si="40"/>
        <v>0</v>
      </c>
      <c r="AL105" s="20">
        <f t="shared" si="46"/>
        <v>0</v>
      </c>
      <c r="AM105" s="20">
        <f t="shared" si="47"/>
        <v>0</v>
      </c>
      <c r="AN105" s="20">
        <f t="shared" si="48"/>
        <v>0</v>
      </c>
      <c r="AO105" s="21">
        <f t="shared" si="49"/>
        <v>3.6235668969633447E-3</v>
      </c>
      <c r="AQ105" s="20"/>
      <c r="AS105">
        <f t="shared" si="50"/>
        <v>0</v>
      </c>
      <c r="AT105">
        <f t="shared" si="51"/>
        <v>0</v>
      </c>
      <c r="AU105">
        <f t="shared" si="52"/>
        <v>0</v>
      </c>
      <c r="AV105">
        <f t="shared" si="53"/>
        <v>0</v>
      </c>
      <c r="AW105" s="20">
        <f t="shared" si="54"/>
        <v>0</v>
      </c>
      <c r="AX105" s="20">
        <f t="shared" si="55"/>
        <v>0</v>
      </c>
      <c r="AY105" s="20">
        <f t="shared" si="56"/>
        <v>0</v>
      </c>
      <c r="AZ105" s="21">
        <f t="shared" si="57"/>
        <v>8.2786809888977402E-4</v>
      </c>
      <c r="BB105" s="21">
        <f t="shared" si="58"/>
        <v>0</v>
      </c>
      <c r="BC105" s="21">
        <f t="shared" si="59"/>
        <v>4.4514349958531185E-3</v>
      </c>
    </row>
    <row r="106" spans="1:55" x14ac:dyDescent="0.3">
      <c r="A106" s="1">
        <v>46176</v>
      </c>
      <c r="B106" s="11">
        <v>57.31</v>
      </c>
      <c r="C106" s="11">
        <v>99.95</v>
      </c>
      <c r="D106" s="12">
        <v>1.74402373058803</v>
      </c>
      <c r="E106" s="12">
        <v>1.74406374641995</v>
      </c>
      <c r="F106" s="12">
        <v>1.74382594916375</v>
      </c>
      <c r="G106" s="12">
        <v>1.74319825823482</v>
      </c>
      <c r="H106" s="11">
        <v>99.952293307327395</v>
      </c>
      <c r="I106" s="11">
        <v>99.923858757587894</v>
      </c>
      <c r="J106" s="11">
        <v>99.903262294984202</v>
      </c>
      <c r="K106" s="13">
        <v>-2.2944282325328601E-5</v>
      </c>
      <c r="L106" s="13">
        <v>2.61577404104498E-4</v>
      </c>
      <c r="M106" s="13">
        <v>4.6772021963572901E-4</v>
      </c>
      <c r="N106" s="24">
        <v>0</v>
      </c>
      <c r="O106" s="15">
        <v>0</v>
      </c>
      <c r="P106" s="25">
        <f t="shared" si="41"/>
        <v>57.31</v>
      </c>
      <c r="Q106" s="25">
        <f t="shared" si="41"/>
        <v>99.95</v>
      </c>
      <c r="R106" s="16">
        <f t="shared" si="32"/>
        <v>1.74402373058803</v>
      </c>
      <c r="S106" s="16">
        <f t="shared" si="33"/>
        <v>1.7440637464199518</v>
      </c>
      <c r="T106" s="16">
        <f t="shared" si="37"/>
        <v>1.7438259491637571</v>
      </c>
      <c r="U106" s="16">
        <f t="shared" si="39"/>
        <v>1.7431982582348291</v>
      </c>
      <c r="V106" s="18">
        <f t="shared" si="34"/>
        <v>99.952293307327437</v>
      </c>
      <c r="W106" s="18">
        <f t="shared" si="38"/>
        <v>99.923858757587979</v>
      </c>
      <c r="X106" s="18">
        <f t="shared" si="42"/>
        <v>99.903262294984273</v>
      </c>
      <c r="Y106" s="19">
        <f t="shared" si="35"/>
        <v>-2.2944282325106584E-5</v>
      </c>
      <c r="Z106" s="19">
        <f t="shared" si="35"/>
        <v>2.6157740410449843E-4</v>
      </c>
      <c r="AA106" s="19">
        <f t="shared" si="35"/>
        <v>4.6772021963572982E-4</v>
      </c>
      <c r="AC106" s="20">
        <f t="shared" si="36"/>
        <v>-3.4891835664517046E-4</v>
      </c>
      <c r="AD106" s="20">
        <f t="shared" si="36"/>
        <v>-5.0012504168224286E-4</v>
      </c>
      <c r="AE106" s="20"/>
      <c r="AF106" s="20"/>
      <c r="AH106">
        <f t="shared" si="43"/>
        <v>0</v>
      </c>
      <c r="AI106">
        <f t="shared" si="44"/>
        <v>1</v>
      </c>
      <c r="AJ106">
        <f t="shared" si="45"/>
        <v>0</v>
      </c>
      <c r="AK106">
        <f t="shared" si="40"/>
        <v>0</v>
      </c>
      <c r="AL106" s="20">
        <f t="shared" si="46"/>
        <v>0</v>
      </c>
      <c r="AM106" s="20">
        <f t="shared" si="47"/>
        <v>0</v>
      </c>
      <c r="AN106" s="20">
        <f t="shared" si="48"/>
        <v>0</v>
      </c>
      <c r="AO106" s="21">
        <f t="shared" si="49"/>
        <v>3.6235668969633447E-3</v>
      </c>
      <c r="AQ106" s="20"/>
      <c r="AS106">
        <f t="shared" si="50"/>
        <v>0</v>
      </c>
      <c r="AT106">
        <f t="shared" si="51"/>
        <v>0</v>
      </c>
      <c r="AU106">
        <f t="shared" si="52"/>
        <v>0</v>
      </c>
      <c r="AV106">
        <f t="shared" si="53"/>
        <v>0</v>
      </c>
      <c r="AW106" s="20">
        <f t="shared" si="54"/>
        <v>0</v>
      </c>
      <c r="AX106" s="20">
        <f t="shared" si="55"/>
        <v>0</v>
      </c>
      <c r="AY106" s="20">
        <f t="shared" si="56"/>
        <v>0</v>
      </c>
      <c r="AZ106" s="21">
        <f t="shared" si="57"/>
        <v>8.2786809888977402E-4</v>
      </c>
      <c r="BB106" s="21">
        <f t="shared" si="58"/>
        <v>0</v>
      </c>
      <c r="BC106" s="21">
        <f t="shared" si="59"/>
        <v>4.4514349958531185E-3</v>
      </c>
    </row>
    <row r="107" spans="1:55" x14ac:dyDescent="0.3">
      <c r="A107" s="1">
        <v>46177</v>
      </c>
      <c r="B107" s="11">
        <v>57.38</v>
      </c>
      <c r="C107" s="11">
        <v>100</v>
      </c>
      <c r="D107" s="12">
        <v>1.74276751481352</v>
      </c>
      <c r="E107" s="12">
        <v>1.74406374641995</v>
      </c>
      <c r="F107" s="12">
        <v>1.7437238460195501</v>
      </c>
      <c r="G107" s="12">
        <v>1.7431860399852801</v>
      </c>
      <c r="H107" s="11">
        <v>100.074377769576</v>
      </c>
      <c r="I107" s="11">
        <v>100.06073296301599</v>
      </c>
      <c r="J107" s="11">
        <v>100.024716057514</v>
      </c>
      <c r="K107" s="13">
        <v>-7.4350123021566905E-4</v>
      </c>
      <c r="L107" s="13">
        <v>-6.0714528016106298E-4</v>
      </c>
      <c r="M107" s="13">
        <v>-2.4713003600194299E-4</v>
      </c>
      <c r="N107" s="24">
        <v>0</v>
      </c>
      <c r="O107" s="15">
        <v>0</v>
      </c>
      <c r="P107" s="25">
        <f t="shared" si="41"/>
        <v>57.38</v>
      </c>
      <c r="Q107" s="25">
        <f t="shared" si="41"/>
        <v>100</v>
      </c>
      <c r="R107" s="16">
        <f t="shared" si="32"/>
        <v>1.7427675148135238</v>
      </c>
      <c r="S107" s="16">
        <f t="shared" si="33"/>
        <v>1.7440637464199518</v>
      </c>
      <c r="T107" s="16">
        <f t="shared" si="37"/>
        <v>1.7437238460195588</v>
      </c>
      <c r="U107" s="16">
        <f t="shared" si="39"/>
        <v>1.7431860399852883</v>
      </c>
      <c r="V107" s="18">
        <f t="shared" si="34"/>
        <v>100.07437776957684</v>
      </c>
      <c r="W107" s="18">
        <f t="shared" si="38"/>
        <v>100.06073296301639</v>
      </c>
      <c r="X107" s="18">
        <f t="shared" si="42"/>
        <v>100.0247160575145</v>
      </c>
      <c r="Y107" s="19">
        <f t="shared" si="35"/>
        <v>-7.4350123021544754E-4</v>
      </c>
      <c r="Z107" s="19">
        <f t="shared" si="35"/>
        <v>-6.0714528016106374E-4</v>
      </c>
      <c r="AA107" s="19">
        <f t="shared" si="35"/>
        <v>-2.4713003600194353E-4</v>
      </c>
      <c r="AC107" s="20">
        <f t="shared" si="36"/>
        <v>1.2206819895726096E-3</v>
      </c>
      <c r="AD107" s="20">
        <f t="shared" si="36"/>
        <v>5.001250416823734E-4</v>
      </c>
      <c r="AE107" s="20"/>
      <c r="AF107" s="20"/>
      <c r="AH107">
        <f t="shared" si="43"/>
        <v>0</v>
      </c>
      <c r="AI107">
        <f t="shared" si="44"/>
        <v>0</v>
      </c>
      <c r="AJ107">
        <f t="shared" si="45"/>
        <v>0</v>
      </c>
      <c r="AK107">
        <f t="shared" si="40"/>
        <v>0</v>
      </c>
      <c r="AL107" s="20">
        <f t="shared" si="46"/>
        <v>0</v>
      </c>
      <c r="AM107" s="20">
        <f t="shared" si="47"/>
        <v>0</v>
      </c>
      <c r="AN107" s="20">
        <f t="shared" si="48"/>
        <v>0</v>
      </c>
      <c r="AO107" s="21">
        <f t="shared" si="49"/>
        <v>3.6235668969633447E-3</v>
      </c>
      <c r="AQ107" s="20"/>
      <c r="AS107">
        <f t="shared" si="50"/>
        <v>0</v>
      </c>
      <c r="AT107">
        <f t="shared" si="51"/>
        <v>1</v>
      </c>
      <c r="AU107">
        <f t="shared" si="52"/>
        <v>0</v>
      </c>
      <c r="AV107">
        <f t="shared" si="53"/>
        <v>0</v>
      </c>
      <c r="AW107" s="20">
        <f t="shared" si="54"/>
        <v>0</v>
      </c>
      <c r="AX107" s="20">
        <f t="shared" si="55"/>
        <v>0</v>
      </c>
      <c r="AY107" s="20">
        <f t="shared" si="56"/>
        <v>0</v>
      </c>
      <c r="AZ107" s="21">
        <f t="shared" si="57"/>
        <v>8.2786809888977402E-4</v>
      </c>
      <c r="BB107" s="21">
        <f t="shared" si="58"/>
        <v>0</v>
      </c>
      <c r="BC107" s="21">
        <f t="shared" si="59"/>
        <v>4.4514349958531185E-3</v>
      </c>
    </row>
    <row r="108" spans="1:55" x14ac:dyDescent="0.3">
      <c r="A108" s="1">
        <v>46178</v>
      </c>
      <c r="B108" s="11">
        <v>57.28</v>
      </c>
      <c r="C108" s="11">
        <v>99.87</v>
      </c>
      <c r="D108" s="12">
        <v>1.74354050279329</v>
      </c>
      <c r="E108" s="12">
        <v>1.74406374641995</v>
      </c>
      <c r="F108" s="12">
        <v>1.7437428601882601</v>
      </c>
      <c r="G108" s="12">
        <v>1.7432234530333901</v>
      </c>
      <c r="H108" s="11">
        <v>99.899971394934795</v>
      </c>
      <c r="I108" s="11">
        <v>99.880501900000297</v>
      </c>
      <c r="J108" s="11">
        <v>99.849696370357293</v>
      </c>
      <c r="K108" s="13">
        <v>-3.0005906243524402E-4</v>
      </c>
      <c r="L108" s="13">
        <v>-1.0515017394309199E-4</v>
      </c>
      <c r="M108" s="13">
        <v>2.0332125555591301E-4</v>
      </c>
      <c r="N108" s="24">
        <v>0</v>
      </c>
      <c r="O108" s="15">
        <v>0</v>
      </c>
      <c r="P108" s="25">
        <f t="shared" si="41"/>
        <v>57.28</v>
      </c>
      <c r="Q108" s="25">
        <f t="shared" si="41"/>
        <v>99.87</v>
      </c>
      <c r="R108" s="16">
        <f t="shared" si="32"/>
        <v>1.7435405027932962</v>
      </c>
      <c r="S108" s="16">
        <f t="shared" si="33"/>
        <v>1.7440637464199518</v>
      </c>
      <c r="T108" s="16">
        <f t="shared" si="37"/>
        <v>1.7437428601882665</v>
      </c>
      <c r="U108" s="16">
        <f t="shared" si="39"/>
        <v>1.743223453033393</v>
      </c>
      <c r="V108" s="18">
        <f t="shared" si="34"/>
        <v>99.899971394934838</v>
      </c>
      <c r="W108" s="18">
        <f t="shared" si="38"/>
        <v>99.880501900000326</v>
      </c>
      <c r="X108" s="18">
        <f t="shared" si="42"/>
        <v>99.849696370357321</v>
      </c>
      <c r="Y108" s="19">
        <f t="shared" si="35"/>
        <v>-3.0005906243491095E-4</v>
      </c>
      <c r="Z108" s="19">
        <f t="shared" si="35"/>
        <v>-1.0515017394309224E-4</v>
      </c>
      <c r="AA108" s="19">
        <f t="shared" si="35"/>
        <v>2.0332125555591349E-4</v>
      </c>
      <c r="AC108" s="20">
        <f t="shared" si="36"/>
        <v>-1.7442879008285346E-3</v>
      </c>
      <c r="AD108" s="20">
        <f t="shared" si="36"/>
        <v>-1.3008457330480696E-3</v>
      </c>
      <c r="AE108" s="20"/>
      <c r="AF108" s="20"/>
      <c r="AH108">
        <f t="shared" si="43"/>
        <v>0</v>
      </c>
      <c r="AI108">
        <f t="shared" si="44"/>
        <v>1</v>
      </c>
      <c r="AJ108">
        <f t="shared" si="45"/>
        <v>0</v>
      </c>
      <c r="AK108">
        <f t="shared" si="40"/>
        <v>0</v>
      </c>
      <c r="AL108" s="20">
        <f t="shared" si="46"/>
        <v>0</v>
      </c>
      <c r="AM108" s="20">
        <f t="shared" si="47"/>
        <v>0</v>
      </c>
      <c r="AN108" s="20">
        <f t="shared" si="48"/>
        <v>0</v>
      </c>
      <c r="AO108" s="21">
        <f t="shared" si="49"/>
        <v>3.6235668969633447E-3</v>
      </c>
      <c r="AQ108" s="20"/>
      <c r="AS108">
        <f t="shared" si="50"/>
        <v>0</v>
      </c>
      <c r="AT108">
        <f t="shared" si="51"/>
        <v>0</v>
      </c>
      <c r="AU108">
        <f t="shared" si="52"/>
        <v>0</v>
      </c>
      <c r="AV108">
        <f t="shared" si="53"/>
        <v>0</v>
      </c>
      <c r="AW108" s="20">
        <f t="shared" si="54"/>
        <v>0</v>
      </c>
      <c r="AX108" s="20">
        <f t="shared" si="55"/>
        <v>0</v>
      </c>
      <c r="AY108" s="20">
        <f t="shared" si="56"/>
        <v>0</v>
      </c>
      <c r="AZ108" s="21">
        <f t="shared" si="57"/>
        <v>8.2786809888977402E-4</v>
      </c>
      <c r="BB108" s="21">
        <f t="shared" si="58"/>
        <v>0</v>
      </c>
      <c r="BC108" s="21">
        <f t="shared" si="59"/>
        <v>4.4514349958531185E-3</v>
      </c>
    </row>
    <row r="109" spans="1:55" x14ac:dyDescent="0.3">
      <c r="A109" s="1">
        <v>46181</v>
      </c>
      <c r="B109" s="11">
        <v>57.29</v>
      </c>
      <c r="C109" s="11">
        <v>99.92</v>
      </c>
      <c r="D109" s="12">
        <v>1.7441089195321999</v>
      </c>
      <c r="E109" s="12">
        <v>1.74406374641995</v>
      </c>
      <c r="F109" s="12">
        <v>1.7438398886650599</v>
      </c>
      <c r="G109" s="12">
        <v>1.7433414186537901</v>
      </c>
      <c r="H109" s="11">
        <v>99.917412032399</v>
      </c>
      <c r="I109" s="11">
        <v>99.899028460185704</v>
      </c>
      <c r="J109" s="11">
        <v>99.869271624283101</v>
      </c>
      <c r="K109" s="13">
        <v>2.5900731747523499E-5</v>
      </c>
      <c r="L109" s="13">
        <v>2.0990533336912899E-4</v>
      </c>
      <c r="M109" s="13">
        <v>5.07818827253568E-4</v>
      </c>
      <c r="N109" s="24">
        <v>0</v>
      </c>
      <c r="O109" s="15">
        <v>0</v>
      </c>
      <c r="P109" s="25">
        <f t="shared" si="41"/>
        <v>57.29</v>
      </c>
      <c r="Q109" s="25">
        <f t="shared" si="41"/>
        <v>99.92</v>
      </c>
      <c r="R109" s="16">
        <f t="shared" si="32"/>
        <v>1.7441089195322046</v>
      </c>
      <c r="S109" s="16">
        <f t="shared" si="33"/>
        <v>1.7440637464199518</v>
      </c>
      <c r="T109" s="16">
        <f t="shared" si="37"/>
        <v>1.7438398886650621</v>
      </c>
      <c r="U109" s="16">
        <f t="shared" si="39"/>
        <v>1.7433414186537957</v>
      </c>
      <c r="V109" s="18">
        <f t="shared" si="34"/>
        <v>99.917412032399042</v>
      </c>
      <c r="W109" s="18">
        <f t="shared" si="38"/>
        <v>99.899028460185789</v>
      </c>
      <c r="X109" s="18">
        <f t="shared" si="42"/>
        <v>99.869271624283087</v>
      </c>
      <c r="Y109" s="19">
        <f t="shared" si="35"/>
        <v>2.5900731747745601E-5</v>
      </c>
      <c r="Z109" s="19">
        <f t="shared" si="35"/>
        <v>2.0990533336912904E-4</v>
      </c>
      <c r="AA109" s="19">
        <f t="shared" si="35"/>
        <v>5.0781882725378993E-4</v>
      </c>
      <c r="AC109" s="20">
        <f t="shared" si="36"/>
        <v>1.7456576809631854E-4</v>
      </c>
      <c r="AD109" s="20">
        <f t="shared" si="36"/>
        <v>5.0052556227888787E-4</v>
      </c>
      <c r="AE109" s="20"/>
      <c r="AF109" s="20"/>
      <c r="AH109">
        <f t="shared" si="43"/>
        <v>0</v>
      </c>
      <c r="AI109">
        <f t="shared" si="44"/>
        <v>1</v>
      </c>
      <c r="AJ109">
        <f t="shared" si="45"/>
        <v>0</v>
      </c>
      <c r="AK109">
        <f t="shared" si="40"/>
        <v>0</v>
      </c>
      <c r="AL109" s="20">
        <f t="shared" si="46"/>
        <v>0</v>
      </c>
      <c r="AM109" s="20">
        <f t="shared" si="47"/>
        <v>0</v>
      </c>
      <c r="AN109" s="20">
        <f t="shared" si="48"/>
        <v>0</v>
      </c>
      <c r="AO109" s="21">
        <f t="shared" si="49"/>
        <v>3.6235668969633447E-3</v>
      </c>
      <c r="AQ109" s="20"/>
      <c r="AS109">
        <f t="shared" si="50"/>
        <v>0</v>
      </c>
      <c r="AT109">
        <f t="shared" si="51"/>
        <v>0</v>
      </c>
      <c r="AU109">
        <f t="shared" si="52"/>
        <v>0</v>
      </c>
      <c r="AV109">
        <f t="shared" si="53"/>
        <v>0</v>
      </c>
      <c r="AW109" s="20">
        <f t="shared" si="54"/>
        <v>0</v>
      </c>
      <c r="AX109" s="20">
        <f t="shared" si="55"/>
        <v>0</v>
      </c>
      <c r="AY109" s="20">
        <f t="shared" si="56"/>
        <v>0</v>
      </c>
      <c r="AZ109" s="21">
        <f t="shared" si="57"/>
        <v>8.2786809888977402E-4</v>
      </c>
      <c r="BB109" s="21">
        <f t="shared" si="58"/>
        <v>0</v>
      </c>
      <c r="BC109" s="21">
        <f t="shared" si="59"/>
        <v>4.4514349958531185E-3</v>
      </c>
    </row>
    <row r="110" spans="1:55" x14ac:dyDescent="0.3">
      <c r="A110" s="1">
        <v>46182</v>
      </c>
      <c r="B110" s="11">
        <v>57.37</v>
      </c>
      <c r="C110" s="11">
        <v>100</v>
      </c>
      <c r="D110" s="12">
        <v>1.74307129161582</v>
      </c>
      <c r="E110" s="12">
        <v>1.74406374641995</v>
      </c>
      <c r="F110" s="12">
        <v>1.74384778867457</v>
      </c>
      <c r="G110" s="12">
        <v>1.74340553529608</v>
      </c>
      <c r="H110" s="11">
        <v>100.056937132112</v>
      </c>
      <c r="I110" s="11">
        <v>100.044094412714</v>
      </c>
      <c r="J110" s="11">
        <v>100.015497188168</v>
      </c>
      <c r="K110" s="13">
        <v>-5.6920929077660504E-4</v>
      </c>
      <c r="L110" s="13">
        <v>-4.4084693985291902E-4</v>
      </c>
      <c r="M110" s="13">
        <v>-1.54959874781104E-4</v>
      </c>
      <c r="N110" s="24">
        <v>0</v>
      </c>
      <c r="O110" s="15">
        <v>0</v>
      </c>
      <c r="P110" s="25">
        <f t="shared" si="41"/>
        <v>57.37</v>
      </c>
      <c r="Q110" s="25">
        <f t="shared" si="41"/>
        <v>100</v>
      </c>
      <c r="R110" s="16">
        <f t="shared" si="32"/>
        <v>1.7430712916158271</v>
      </c>
      <c r="S110" s="16">
        <f t="shared" si="33"/>
        <v>1.7440637464199518</v>
      </c>
      <c r="T110" s="16">
        <f t="shared" si="37"/>
        <v>1.7438477886745773</v>
      </c>
      <c r="U110" s="16">
        <f t="shared" si="39"/>
        <v>1.7434055352960827</v>
      </c>
      <c r="V110" s="18">
        <f t="shared" si="34"/>
        <v>100.05693713211262</v>
      </c>
      <c r="W110" s="18">
        <f t="shared" si="38"/>
        <v>100.04409441271461</v>
      </c>
      <c r="X110" s="18">
        <f t="shared" si="42"/>
        <v>100.01549718816825</v>
      </c>
      <c r="Y110" s="19">
        <f t="shared" si="35"/>
        <v>-5.6920929077627208E-4</v>
      </c>
      <c r="Z110" s="19">
        <f t="shared" si="35"/>
        <v>-4.4084693985291972E-4</v>
      </c>
      <c r="AA110" s="19">
        <f t="shared" si="35"/>
        <v>-1.5495987478099314E-4</v>
      </c>
      <c r="AC110" s="20">
        <f t="shared" si="36"/>
        <v>1.3954301932931352E-3</v>
      </c>
      <c r="AD110" s="20">
        <f t="shared" si="36"/>
        <v>8.0032017076911573E-4</v>
      </c>
      <c r="AE110" s="20"/>
      <c r="AF110" s="20"/>
      <c r="AH110">
        <f t="shared" si="43"/>
        <v>0</v>
      </c>
      <c r="AI110">
        <f t="shared" si="44"/>
        <v>0</v>
      </c>
      <c r="AJ110">
        <f t="shared" si="45"/>
        <v>0</v>
      </c>
      <c r="AK110">
        <f t="shared" si="40"/>
        <v>0</v>
      </c>
      <c r="AL110" s="20">
        <f t="shared" si="46"/>
        <v>0</v>
      </c>
      <c r="AM110" s="20">
        <f t="shared" si="47"/>
        <v>0</v>
      </c>
      <c r="AN110" s="20">
        <f t="shared" si="48"/>
        <v>0</v>
      </c>
      <c r="AO110" s="21">
        <f t="shared" si="49"/>
        <v>3.6235668969633447E-3</v>
      </c>
      <c r="AQ110" s="20"/>
      <c r="AS110">
        <f t="shared" si="50"/>
        <v>0</v>
      </c>
      <c r="AT110">
        <f t="shared" si="51"/>
        <v>1</v>
      </c>
      <c r="AU110">
        <f t="shared" si="52"/>
        <v>0</v>
      </c>
      <c r="AV110">
        <f t="shared" si="53"/>
        <v>0</v>
      </c>
      <c r="AW110" s="20">
        <f t="shared" si="54"/>
        <v>0</v>
      </c>
      <c r="AX110" s="20">
        <f t="shared" si="55"/>
        <v>0</v>
      </c>
      <c r="AY110" s="20">
        <f t="shared" si="56"/>
        <v>0</v>
      </c>
      <c r="AZ110" s="21">
        <f t="shared" si="57"/>
        <v>8.2786809888977402E-4</v>
      </c>
      <c r="BB110" s="21">
        <f t="shared" si="58"/>
        <v>0</v>
      </c>
      <c r="BC110" s="21">
        <f t="shared" si="59"/>
        <v>4.4514349958531185E-3</v>
      </c>
    </row>
    <row r="111" spans="1:55" x14ac:dyDescent="0.3">
      <c r="A111" s="1">
        <v>46183</v>
      </c>
      <c r="B111" s="11">
        <v>57.22</v>
      </c>
      <c r="C111" s="11">
        <v>99.83</v>
      </c>
      <c r="D111" s="12">
        <v>1.7446696959105199</v>
      </c>
      <c r="E111" s="12">
        <v>1.74406374641995</v>
      </c>
      <c r="F111" s="12">
        <v>1.74390103757959</v>
      </c>
      <c r="G111" s="12">
        <v>1.74347165314483</v>
      </c>
      <c r="H111" s="11">
        <v>99.795327570149595</v>
      </c>
      <c r="I111" s="11">
        <v>99.782970467959302</v>
      </c>
      <c r="J111" s="11">
        <v>99.757664729641803</v>
      </c>
      <c r="K111" s="13">
        <v>3.4737506128140901E-4</v>
      </c>
      <c r="L111" s="13">
        <v>4.7120718458938503E-4</v>
      </c>
      <c r="M111" s="13">
        <v>7.2484713545033599E-4</v>
      </c>
      <c r="N111" s="24">
        <v>0</v>
      </c>
      <c r="O111" s="15">
        <v>0</v>
      </c>
      <c r="P111" s="25">
        <f t="shared" si="41"/>
        <v>57.22</v>
      </c>
      <c r="Q111" s="25">
        <f t="shared" si="41"/>
        <v>99.83</v>
      </c>
      <c r="R111" s="16">
        <f t="shared" si="32"/>
        <v>1.7446696959105208</v>
      </c>
      <c r="S111" s="16">
        <f t="shared" si="33"/>
        <v>1.7440637464199518</v>
      </c>
      <c r="T111" s="16">
        <f t="shared" si="37"/>
        <v>1.7439010375795951</v>
      </c>
      <c r="U111" s="16">
        <f t="shared" si="39"/>
        <v>1.7434716531448298</v>
      </c>
      <c r="V111" s="18">
        <f t="shared" si="34"/>
        <v>99.795327570149638</v>
      </c>
      <c r="W111" s="18">
        <f t="shared" si="38"/>
        <v>99.782970467959316</v>
      </c>
      <c r="X111" s="18">
        <f t="shared" si="42"/>
        <v>99.757664729641846</v>
      </c>
      <c r="Y111" s="19">
        <f t="shared" si="35"/>
        <v>3.4737506128163122E-4</v>
      </c>
      <c r="Z111" s="19">
        <f t="shared" si="35"/>
        <v>4.7120718458938524E-4</v>
      </c>
      <c r="AA111" s="19">
        <f t="shared" si="35"/>
        <v>7.2484713545033685E-4</v>
      </c>
      <c r="AC111" s="20">
        <f t="shared" si="36"/>
        <v>-2.6180309918155211E-3</v>
      </c>
      <c r="AD111" s="20">
        <f t="shared" si="36"/>
        <v>-1.7014466397575704E-3</v>
      </c>
      <c r="AE111" s="20"/>
      <c r="AF111" s="20"/>
      <c r="AH111">
        <f t="shared" si="43"/>
        <v>0</v>
      </c>
      <c r="AI111">
        <f t="shared" si="44"/>
        <v>1</v>
      </c>
      <c r="AJ111">
        <f t="shared" si="45"/>
        <v>0</v>
      </c>
      <c r="AK111">
        <f t="shared" si="40"/>
        <v>0</v>
      </c>
      <c r="AL111" s="20">
        <f t="shared" si="46"/>
        <v>0</v>
      </c>
      <c r="AM111" s="20">
        <f t="shared" si="47"/>
        <v>0</v>
      </c>
      <c r="AN111" s="20">
        <f t="shared" si="48"/>
        <v>0</v>
      </c>
      <c r="AO111" s="21">
        <f t="shared" si="49"/>
        <v>3.6235668969633447E-3</v>
      </c>
      <c r="AQ111" s="20"/>
      <c r="AS111">
        <f t="shared" si="50"/>
        <v>0</v>
      </c>
      <c r="AT111">
        <f t="shared" si="51"/>
        <v>0</v>
      </c>
      <c r="AU111">
        <f t="shared" si="52"/>
        <v>0</v>
      </c>
      <c r="AV111">
        <f t="shared" si="53"/>
        <v>0</v>
      </c>
      <c r="AW111" s="20">
        <f t="shared" si="54"/>
        <v>0</v>
      </c>
      <c r="AX111" s="20">
        <f t="shared" si="55"/>
        <v>0</v>
      </c>
      <c r="AY111" s="20">
        <f t="shared" si="56"/>
        <v>0</v>
      </c>
      <c r="AZ111" s="21">
        <f t="shared" si="57"/>
        <v>8.2786809888977402E-4</v>
      </c>
      <c r="BB111" s="21">
        <f t="shared" si="58"/>
        <v>0</v>
      </c>
      <c r="BC111" s="21">
        <f t="shared" si="59"/>
        <v>4.4514349958531185E-3</v>
      </c>
    </row>
    <row r="112" spans="1:55" x14ac:dyDescent="0.3">
      <c r="A112" s="1">
        <v>46184</v>
      </c>
      <c r="B112" s="11">
        <v>57.33</v>
      </c>
      <c r="C112" s="11">
        <v>99.96</v>
      </c>
      <c r="D112" s="12">
        <v>1.7435897435897401</v>
      </c>
      <c r="E112" s="12">
        <v>1.74406374641995</v>
      </c>
      <c r="F112" s="12">
        <v>1.7438844660870401</v>
      </c>
      <c r="G112" s="12">
        <v>1.7434536657539901</v>
      </c>
      <c r="H112" s="11">
        <v>99.987174582255804</v>
      </c>
      <c r="I112" s="11">
        <v>99.977846484438103</v>
      </c>
      <c r="J112" s="11">
        <v>99.953229874793095</v>
      </c>
      <c r="K112" s="13">
        <v>-2.7181761862805101E-4</v>
      </c>
      <c r="L112" s="13">
        <v>-1.7852032318431901E-4</v>
      </c>
      <c r="M112" s="13">
        <v>6.7730637074002605E-5</v>
      </c>
      <c r="N112" s="24">
        <v>0</v>
      </c>
      <c r="O112" s="15">
        <v>0</v>
      </c>
      <c r="P112" s="25">
        <f t="shared" si="41"/>
        <v>57.33</v>
      </c>
      <c r="Q112" s="25">
        <f t="shared" si="41"/>
        <v>99.96</v>
      </c>
      <c r="R112" s="16">
        <f t="shared" si="32"/>
        <v>1.7435897435897436</v>
      </c>
      <c r="S112" s="16">
        <f t="shared" si="33"/>
        <v>1.7440637464199518</v>
      </c>
      <c r="T112" s="16">
        <f t="shared" si="37"/>
        <v>1.7438844660870412</v>
      </c>
      <c r="U112" s="16">
        <f t="shared" si="39"/>
        <v>1.7434536657539907</v>
      </c>
      <c r="V112" s="18">
        <f t="shared" si="34"/>
        <v>99.987174582255832</v>
      </c>
      <c r="W112" s="18">
        <f t="shared" si="38"/>
        <v>99.977846484438189</v>
      </c>
      <c r="X112" s="18">
        <f t="shared" si="42"/>
        <v>99.953229874793081</v>
      </c>
      <c r="Y112" s="19">
        <f t="shared" si="35"/>
        <v>-2.7181761862782929E-4</v>
      </c>
      <c r="Z112" s="19">
        <f t="shared" si="35"/>
        <v>-1.7852032318431939E-4</v>
      </c>
      <c r="AA112" s="19">
        <f t="shared" si="35"/>
        <v>6.7730637074224677E-5</v>
      </c>
      <c r="AC112" s="20">
        <f t="shared" si="36"/>
        <v>1.9205592983271261E-3</v>
      </c>
      <c r="AD112" s="20">
        <f t="shared" si="36"/>
        <v>1.3013666184178098E-3</v>
      </c>
      <c r="AE112" s="20"/>
      <c r="AF112" s="20"/>
      <c r="AH112">
        <f t="shared" si="43"/>
        <v>0</v>
      </c>
      <c r="AI112">
        <f t="shared" si="44"/>
        <v>1</v>
      </c>
      <c r="AJ112">
        <f t="shared" si="45"/>
        <v>0</v>
      </c>
      <c r="AK112">
        <f t="shared" si="40"/>
        <v>0</v>
      </c>
      <c r="AL112" s="20">
        <f t="shared" si="46"/>
        <v>0</v>
      </c>
      <c r="AM112" s="20">
        <f t="shared" si="47"/>
        <v>0</v>
      </c>
      <c r="AN112" s="20">
        <f t="shared" si="48"/>
        <v>0</v>
      </c>
      <c r="AO112" s="21">
        <f t="shared" si="49"/>
        <v>3.6235668969633447E-3</v>
      </c>
      <c r="AQ112" s="20"/>
      <c r="AS112">
        <f t="shared" si="50"/>
        <v>0</v>
      </c>
      <c r="AT112">
        <f t="shared" si="51"/>
        <v>0</v>
      </c>
      <c r="AU112">
        <f t="shared" si="52"/>
        <v>0</v>
      </c>
      <c r="AV112">
        <f t="shared" si="53"/>
        <v>0</v>
      </c>
      <c r="AW112" s="20">
        <f t="shared" si="54"/>
        <v>0</v>
      </c>
      <c r="AX112" s="20">
        <f t="shared" si="55"/>
        <v>0</v>
      </c>
      <c r="AY112" s="20">
        <f t="shared" si="56"/>
        <v>0</v>
      </c>
      <c r="AZ112" s="21">
        <f t="shared" si="57"/>
        <v>8.2786809888977402E-4</v>
      </c>
      <c r="BB112" s="21">
        <f t="shared" si="58"/>
        <v>0</v>
      </c>
      <c r="BC112" s="21">
        <f t="shared" si="59"/>
        <v>4.4514349958531185E-3</v>
      </c>
    </row>
    <row r="113" spans="1:55" x14ac:dyDescent="0.3">
      <c r="A113" s="1">
        <v>46185</v>
      </c>
      <c r="B113" s="11">
        <v>57.31</v>
      </c>
      <c r="C113" s="11">
        <v>99.96</v>
      </c>
      <c r="D113" s="12">
        <v>1.7441982202058901</v>
      </c>
      <c r="E113" s="12">
        <v>1.74406374641995</v>
      </c>
      <c r="F113" s="12">
        <v>1.74384918784607</v>
      </c>
      <c r="G113" s="12">
        <v>1.7435229736787301</v>
      </c>
      <c r="H113" s="11">
        <v>99.952293307327395</v>
      </c>
      <c r="I113" s="11">
        <v>99.942018751448302</v>
      </c>
      <c r="J113" s="11">
        <v>99.917329584361198</v>
      </c>
      <c r="K113" s="13">
        <v>7.71007380172287E-5</v>
      </c>
      <c r="L113" s="13">
        <v>1.7990062043864001E-4</v>
      </c>
      <c r="M113" s="13">
        <v>4.2696604338024902E-4</v>
      </c>
      <c r="N113" s="24">
        <v>0</v>
      </c>
      <c r="O113" s="15">
        <v>0</v>
      </c>
      <c r="P113" s="25">
        <f t="shared" si="41"/>
        <v>57.31</v>
      </c>
      <c r="Q113" s="25">
        <f t="shared" si="41"/>
        <v>99.96</v>
      </c>
      <c r="R113" s="16">
        <f t="shared" si="32"/>
        <v>1.7441982202058977</v>
      </c>
      <c r="S113" s="16">
        <f t="shared" si="33"/>
        <v>1.7440637464199518</v>
      </c>
      <c r="T113" s="16">
        <f t="shared" si="37"/>
        <v>1.7438491878460791</v>
      </c>
      <c r="U113" s="16">
        <f t="shared" si="39"/>
        <v>1.7435229736787317</v>
      </c>
      <c r="V113" s="18">
        <f t="shared" si="34"/>
        <v>99.952293307327437</v>
      </c>
      <c r="W113" s="18">
        <f t="shared" si="38"/>
        <v>99.94201875144833</v>
      </c>
      <c r="X113" s="18">
        <f t="shared" si="42"/>
        <v>99.917329584361212</v>
      </c>
      <c r="Y113" s="19">
        <f t="shared" si="35"/>
        <v>7.7100738017450731E-5</v>
      </c>
      <c r="Z113" s="19">
        <f t="shared" si="35"/>
        <v>1.7990062043864093E-4</v>
      </c>
      <c r="AA113" s="19">
        <f t="shared" si="35"/>
        <v>4.2696604338024919E-4</v>
      </c>
      <c r="AC113" s="20">
        <f t="shared" si="36"/>
        <v>-3.4891835664517046E-4</v>
      </c>
      <c r="AD113" s="20">
        <f t="shared" si="36"/>
        <v>0</v>
      </c>
      <c r="AE113" s="20"/>
      <c r="AF113" s="20"/>
      <c r="AH113">
        <f t="shared" si="43"/>
        <v>0</v>
      </c>
      <c r="AI113">
        <f t="shared" si="44"/>
        <v>1</v>
      </c>
      <c r="AJ113">
        <f t="shared" si="45"/>
        <v>0</v>
      </c>
      <c r="AK113">
        <f t="shared" si="40"/>
        <v>0</v>
      </c>
      <c r="AL113" s="20">
        <f t="shared" si="46"/>
        <v>0</v>
      </c>
      <c r="AM113" s="20">
        <f t="shared" si="47"/>
        <v>0</v>
      </c>
      <c r="AN113" s="20">
        <f t="shared" si="48"/>
        <v>0</v>
      </c>
      <c r="AO113" s="21">
        <f t="shared" si="49"/>
        <v>3.6235668969633447E-3</v>
      </c>
      <c r="AQ113" s="20"/>
      <c r="AS113">
        <f t="shared" si="50"/>
        <v>0</v>
      </c>
      <c r="AT113">
        <f t="shared" si="51"/>
        <v>0</v>
      </c>
      <c r="AU113">
        <f t="shared" si="52"/>
        <v>0</v>
      </c>
      <c r="AV113">
        <f t="shared" si="53"/>
        <v>0</v>
      </c>
      <c r="AW113" s="20">
        <f t="shared" si="54"/>
        <v>0</v>
      </c>
      <c r="AX113" s="20">
        <f t="shared" si="55"/>
        <v>0</v>
      </c>
      <c r="AY113" s="20">
        <f t="shared" si="56"/>
        <v>0</v>
      </c>
      <c r="AZ113" s="21">
        <f t="shared" si="57"/>
        <v>8.2786809888977402E-4</v>
      </c>
      <c r="BB113" s="21">
        <f t="shared" si="58"/>
        <v>0</v>
      </c>
      <c r="BC113" s="21">
        <f t="shared" si="59"/>
        <v>4.4514349958531185E-3</v>
      </c>
    </row>
    <row r="114" spans="1:55" x14ac:dyDescent="0.3">
      <c r="A114" s="1">
        <v>46188</v>
      </c>
      <c r="B114" s="11">
        <v>57.38</v>
      </c>
      <c r="C114" s="11">
        <v>100.07</v>
      </c>
      <c r="D114" s="12">
        <v>1.7439874520738901</v>
      </c>
      <c r="E114" s="12">
        <v>1.74406374641995</v>
      </c>
      <c r="F114" s="12">
        <v>1.7438244529696101</v>
      </c>
      <c r="G114" s="12">
        <v>1.7435679176858401</v>
      </c>
      <c r="H114" s="11">
        <v>100.074377769576</v>
      </c>
      <c r="I114" s="11">
        <v>100.062066398608</v>
      </c>
      <c r="J114" s="11">
        <v>100.04334822968499</v>
      </c>
      <c r="K114" s="13">
        <v>-4.3746115942375998E-5</v>
      </c>
      <c r="L114" s="13">
        <v>7.9283660423789406E-5</v>
      </c>
      <c r="M114" s="13">
        <v>2.6636674372494299E-4</v>
      </c>
      <c r="N114" s="24">
        <v>0</v>
      </c>
      <c r="O114" s="15">
        <v>0</v>
      </c>
      <c r="P114" s="25">
        <f t="shared" si="41"/>
        <v>57.38</v>
      </c>
      <c r="Q114" s="25">
        <f t="shared" si="41"/>
        <v>100.07</v>
      </c>
      <c r="R114" s="16">
        <f t="shared" si="32"/>
        <v>1.7439874520738932</v>
      </c>
      <c r="S114" s="16">
        <f t="shared" si="33"/>
        <v>1.7440637464199518</v>
      </c>
      <c r="T114" s="16">
        <f t="shared" si="37"/>
        <v>1.743824452969611</v>
      </c>
      <c r="U114" s="16">
        <f t="shared" si="39"/>
        <v>1.7435679176858425</v>
      </c>
      <c r="V114" s="18">
        <f t="shared" si="34"/>
        <v>100.07437776957684</v>
      </c>
      <c r="W114" s="18">
        <f t="shared" si="38"/>
        <v>100.06206639860802</v>
      </c>
      <c r="X114" s="18">
        <f t="shared" si="42"/>
        <v>100.04334822968563</v>
      </c>
      <c r="Y114" s="19">
        <f t="shared" si="35"/>
        <v>-4.3746115942265037E-5</v>
      </c>
      <c r="Z114" s="19">
        <f t="shared" si="35"/>
        <v>7.9283660423789461E-5</v>
      </c>
      <c r="AA114" s="19">
        <f t="shared" si="35"/>
        <v>2.6636674372516503E-4</v>
      </c>
      <c r="AC114" s="20">
        <f t="shared" si="36"/>
        <v>1.2206819895726096E-3</v>
      </c>
      <c r="AD114" s="20">
        <f t="shared" si="36"/>
        <v>1.0998351356130099E-3</v>
      </c>
      <c r="AE114" s="20"/>
      <c r="AF114" s="20"/>
      <c r="AH114">
        <f t="shared" si="43"/>
        <v>0</v>
      </c>
      <c r="AI114">
        <f t="shared" si="44"/>
        <v>1</v>
      </c>
      <c r="AJ114">
        <f t="shared" si="45"/>
        <v>0</v>
      </c>
      <c r="AK114">
        <f t="shared" si="40"/>
        <v>0</v>
      </c>
      <c r="AL114" s="20">
        <f t="shared" si="46"/>
        <v>0</v>
      </c>
      <c r="AM114" s="20">
        <f t="shared" si="47"/>
        <v>0</v>
      </c>
      <c r="AN114" s="20">
        <f t="shared" si="48"/>
        <v>0</v>
      </c>
      <c r="AO114" s="21">
        <f t="shared" si="49"/>
        <v>3.6235668969633447E-3</v>
      </c>
      <c r="AQ114" s="20"/>
      <c r="AS114">
        <f t="shared" si="50"/>
        <v>0</v>
      </c>
      <c r="AT114">
        <f t="shared" si="51"/>
        <v>0</v>
      </c>
      <c r="AU114">
        <f t="shared" si="52"/>
        <v>0</v>
      </c>
      <c r="AV114">
        <f t="shared" si="53"/>
        <v>0</v>
      </c>
      <c r="AW114" s="20">
        <f t="shared" si="54"/>
        <v>0</v>
      </c>
      <c r="AX114" s="20">
        <f t="shared" si="55"/>
        <v>0</v>
      </c>
      <c r="AY114" s="20">
        <f t="shared" si="56"/>
        <v>0</v>
      </c>
      <c r="AZ114" s="21">
        <f t="shared" si="57"/>
        <v>8.2786809888977402E-4</v>
      </c>
      <c r="BB114" s="21">
        <f t="shared" si="58"/>
        <v>0</v>
      </c>
      <c r="BC114" s="21">
        <f t="shared" si="59"/>
        <v>4.4514349958531185E-3</v>
      </c>
    </row>
    <row r="115" spans="1:55" x14ac:dyDescent="0.3">
      <c r="A115" s="1">
        <v>46189</v>
      </c>
      <c r="B115" s="11">
        <v>57.4</v>
      </c>
      <c r="C115" s="11">
        <v>100.09</v>
      </c>
      <c r="D115" s="12">
        <v>1.7437282229965101</v>
      </c>
      <c r="E115" s="12">
        <v>1.74406374641995</v>
      </c>
      <c r="F115" s="12">
        <v>1.74376852941194</v>
      </c>
      <c r="G115" s="12">
        <v>1.7436680612300299</v>
      </c>
      <c r="H115" s="11">
        <v>100.109259044505</v>
      </c>
      <c r="I115" s="11">
        <v>100.095523600455</v>
      </c>
      <c r="J115" s="11">
        <v>100.080798475167</v>
      </c>
      <c r="K115" s="13">
        <v>-1.9239875968152701E-4</v>
      </c>
      <c r="L115" s="13">
        <v>-5.5184814143526703E-5</v>
      </c>
      <c r="M115" s="13">
        <v>9.1936735120353406E-5</v>
      </c>
      <c r="N115" s="24">
        <v>0</v>
      </c>
      <c r="O115" s="15">
        <v>0</v>
      </c>
      <c r="P115" s="25">
        <f t="shared" si="41"/>
        <v>57.4</v>
      </c>
      <c r="Q115" s="25">
        <f t="shared" si="41"/>
        <v>100.09</v>
      </c>
      <c r="R115" s="16">
        <f t="shared" si="32"/>
        <v>1.7437282229965159</v>
      </c>
      <c r="S115" s="16">
        <f t="shared" si="33"/>
        <v>1.7440637464199518</v>
      </c>
      <c r="T115" s="16">
        <f t="shared" si="37"/>
        <v>1.7437685294119454</v>
      </c>
      <c r="U115" s="16">
        <f t="shared" si="39"/>
        <v>1.7436680612300346</v>
      </c>
      <c r="V115" s="18">
        <f t="shared" si="34"/>
        <v>100.10925904450522</v>
      </c>
      <c r="W115" s="18">
        <f t="shared" si="38"/>
        <v>100.09552360045566</v>
      </c>
      <c r="X115" s="18">
        <f t="shared" si="42"/>
        <v>100.08079847516736</v>
      </c>
      <c r="Y115" s="19">
        <f t="shared" si="35"/>
        <v>-1.9239875968119432E-4</v>
      </c>
      <c r="Z115" s="19">
        <f t="shared" si="35"/>
        <v>-5.518481414352671E-5</v>
      </c>
      <c r="AA115" s="19">
        <f t="shared" si="35"/>
        <v>9.1936735120353488E-5</v>
      </c>
      <c r="AC115" s="20">
        <f t="shared" si="36"/>
        <v>3.4849277230188916E-4</v>
      </c>
      <c r="AD115" s="20">
        <f t="shared" si="36"/>
        <v>1.9984012856290648E-4</v>
      </c>
      <c r="AE115" s="20"/>
      <c r="AF115" s="20"/>
      <c r="AH115">
        <f t="shared" si="43"/>
        <v>0</v>
      </c>
      <c r="AI115">
        <f t="shared" si="44"/>
        <v>1</v>
      </c>
      <c r="AJ115">
        <f t="shared" si="45"/>
        <v>0</v>
      </c>
      <c r="AK115">
        <f t="shared" si="40"/>
        <v>0</v>
      </c>
      <c r="AL115" s="20">
        <f t="shared" si="46"/>
        <v>0</v>
      </c>
      <c r="AM115" s="20">
        <f t="shared" si="47"/>
        <v>0</v>
      </c>
      <c r="AN115" s="20">
        <f t="shared" si="48"/>
        <v>0</v>
      </c>
      <c r="AO115" s="21">
        <f t="shared" si="49"/>
        <v>3.6235668969633447E-3</v>
      </c>
      <c r="AQ115" s="20"/>
      <c r="AS115">
        <f t="shared" si="50"/>
        <v>0</v>
      </c>
      <c r="AT115">
        <f t="shared" si="51"/>
        <v>0</v>
      </c>
      <c r="AU115">
        <f t="shared" si="52"/>
        <v>0</v>
      </c>
      <c r="AV115">
        <f t="shared" si="53"/>
        <v>0</v>
      </c>
      <c r="AW115" s="20">
        <f t="shared" si="54"/>
        <v>0</v>
      </c>
      <c r="AX115" s="20">
        <f t="shared" si="55"/>
        <v>0</v>
      </c>
      <c r="AY115" s="20">
        <f t="shared" si="56"/>
        <v>0</v>
      </c>
      <c r="AZ115" s="21">
        <f t="shared" si="57"/>
        <v>8.2786809888977402E-4</v>
      </c>
      <c r="BB115" s="21">
        <f t="shared" si="58"/>
        <v>0</v>
      </c>
      <c r="BC115" s="21">
        <f t="shared" si="59"/>
        <v>4.4514349958531185E-3</v>
      </c>
    </row>
    <row r="116" spans="1:55" x14ac:dyDescent="0.3">
      <c r="A116" s="1">
        <v>46190</v>
      </c>
      <c r="B116" s="11">
        <v>57.33</v>
      </c>
      <c r="C116" s="11">
        <v>100</v>
      </c>
      <c r="D116" s="12">
        <v>1.74428745857317</v>
      </c>
      <c r="E116" s="12">
        <v>1.74406374641995</v>
      </c>
      <c r="F116" s="12">
        <v>1.74379490221045</v>
      </c>
      <c r="G116" s="12">
        <v>1.7438104256871001</v>
      </c>
      <c r="H116" s="11">
        <v>99.987174582255804</v>
      </c>
      <c r="I116" s="11">
        <v>99.970249791186802</v>
      </c>
      <c r="J116" s="11">
        <v>99.964489950317798</v>
      </c>
      <c r="K116" s="13">
        <v>1.2826240271170201E-4</v>
      </c>
      <c r="L116" s="13">
        <v>2.9754635065689798E-4</v>
      </c>
      <c r="M116" s="13">
        <v>3.5516355993233002E-4</v>
      </c>
      <c r="N116" s="24">
        <v>0</v>
      </c>
      <c r="O116" s="15">
        <v>0</v>
      </c>
      <c r="P116" s="25">
        <f t="shared" si="41"/>
        <v>57.33</v>
      </c>
      <c r="Q116" s="25">
        <f t="shared" si="41"/>
        <v>100</v>
      </c>
      <c r="R116" s="16">
        <f t="shared" si="32"/>
        <v>1.7442874585731729</v>
      </c>
      <c r="S116" s="16">
        <f t="shared" si="33"/>
        <v>1.7440637464199518</v>
      </c>
      <c r="T116" s="16">
        <f t="shared" si="37"/>
        <v>1.7437949022104597</v>
      </c>
      <c r="U116" s="16">
        <f t="shared" si="39"/>
        <v>1.7438104256871085</v>
      </c>
      <c r="V116" s="18">
        <f t="shared" si="34"/>
        <v>99.987174582255832</v>
      </c>
      <c r="W116" s="18">
        <f t="shared" si="38"/>
        <v>99.970249791186831</v>
      </c>
      <c r="X116" s="18">
        <f t="shared" si="42"/>
        <v>99.964489950317883</v>
      </c>
      <c r="Y116" s="19">
        <f t="shared" si="35"/>
        <v>1.2826240271192414E-4</v>
      </c>
      <c r="Z116" s="19">
        <f t="shared" si="35"/>
        <v>2.9754635065689874E-4</v>
      </c>
      <c r="AA116" s="19">
        <f t="shared" si="35"/>
        <v>3.5516355993210819E-4</v>
      </c>
      <c r="AC116" s="20">
        <f t="shared" si="36"/>
        <v>-1.2202564052293744E-3</v>
      </c>
      <c r="AD116" s="20">
        <f t="shared" si="36"/>
        <v>-8.9959524283614865E-4</v>
      </c>
      <c r="AE116" s="20"/>
      <c r="AF116" s="20"/>
      <c r="AH116">
        <f t="shared" si="43"/>
        <v>0</v>
      </c>
      <c r="AI116">
        <f t="shared" si="44"/>
        <v>1</v>
      </c>
      <c r="AJ116">
        <f t="shared" si="45"/>
        <v>0</v>
      </c>
      <c r="AK116">
        <f t="shared" si="40"/>
        <v>0</v>
      </c>
      <c r="AL116" s="20">
        <f t="shared" si="46"/>
        <v>0</v>
      </c>
      <c r="AM116" s="20">
        <f t="shared" si="47"/>
        <v>0</v>
      </c>
      <c r="AN116" s="20">
        <f t="shared" si="48"/>
        <v>0</v>
      </c>
      <c r="AO116" s="21">
        <f t="shared" si="49"/>
        <v>3.6235668969633447E-3</v>
      </c>
      <c r="AQ116" s="20"/>
      <c r="AS116">
        <f t="shared" si="50"/>
        <v>0</v>
      </c>
      <c r="AT116">
        <f t="shared" si="51"/>
        <v>0</v>
      </c>
      <c r="AU116">
        <f t="shared" si="52"/>
        <v>0</v>
      </c>
      <c r="AV116">
        <f t="shared" si="53"/>
        <v>0</v>
      </c>
      <c r="AW116" s="20">
        <f t="shared" si="54"/>
        <v>0</v>
      </c>
      <c r="AX116" s="20">
        <f t="shared" si="55"/>
        <v>0</v>
      </c>
      <c r="AY116" s="20">
        <f t="shared" si="56"/>
        <v>0</v>
      </c>
      <c r="AZ116" s="21">
        <f t="shared" si="57"/>
        <v>8.2786809888977402E-4</v>
      </c>
      <c r="BB116" s="21">
        <f t="shared" si="58"/>
        <v>0</v>
      </c>
      <c r="BC116" s="21">
        <f t="shared" si="59"/>
        <v>4.4514349958531185E-3</v>
      </c>
    </row>
    <row r="117" spans="1:55" x14ac:dyDescent="0.3">
      <c r="A117" s="1">
        <v>46191</v>
      </c>
      <c r="B117" s="11">
        <v>57.5</v>
      </c>
      <c r="C117" s="11">
        <v>100.24</v>
      </c>
      <c r="D117" s="12">
        <v>1.7433043478260799</v>
      </c>
      <c r="E117" s="12">
        <v>1.74406374641995</v>
      </c>
      <c r="F117" s="12">
        <v>1.7438485855117101</v>
      </c>
      <c r="G117" s="12">
        <v>1.7437862157656301</v>
      </c>
      <c r="H117" s="11">
        <v>100.283665419147</v>
      </c>
      <c r="I117" s="11">
        <v>100.26820687710099</v>
      </c>
      <c r="J117" s="11">
        <v>100.269099477008</v>
      </c>
      <c r="K117" s="13">
        <v>-4.3551388058022099E-4</v>
      </c>
      <c r="L117" s="13">
        <v>-2.8135384308533101E-4</v>
      </c>
      <c r="M117" s="13">
        <v>-2.9025592642837499E-4</v>
      </c>
      <c r="N117" s="24">
        <v>0</v>
      </c>
      <c r="O117" s="15">
        <v>0</v>
      </c>
      <c r="P117" s="25">
        <f t="shared" si="41"/>
        <v>57.5</v>
      </c>
      <c r="Q117" s="25">
        <f t="shared" si="41"/>
        <v>100.24</v>
      </c>
      <c r="R117" s="16">
        <f t="shared" si="32"/>
        <v>1.7433043478260868</v>
      </c>
      <c r="S117" s="16">
        <f t="shared" si="33"/>
        <v>1.7440637464199518</v>
      </c>
      <c r="T117" s="16">
        <f t="shared" si="37"/>
        <v>1.7438485855117158</v>
      </c>
      <c r="U117" s="16">
        <f t="shared" si="39"/>
        <v>1.7437862157656376</v>
      </c>
      <c r="V117" s="18">
        <f t="shared" si="34"/>
        <v>100.28366541914723</v>
      </c>
      <c r="W117" s="18">
        <f t="shared" si="38"/>
        <v>100.26820687710143</v>
      </c>
      <c r="X117" s="18">
        <f t="shared" si="42"/>
        <v>100.26909947700874</v>
      </c>
      <c r="Y117" s="19">
        <f t="shared" si="35"/>
        <v>-4.3551388057999927E-4</v>
      </c>
      <c r="Z117" s="19">
        <f t="shared" si="35"/>
        <v>-2.8135384308533161E-4</v>
      </c>
      <c r="AA117" s="19">
        <f t="shared" si="35"/>
        <v>-2.9025592642870855E-4</v>
      </c>
      <c r="AC117" s="20">
        <f t="shared" si="36"/>
        <v>2.9609008830133528E-3</v>
      </c>
      <c r="AD117" s="20">
        <f t="shared" si="36"/>
        <v>2.3971245997214514E-3</v>
      </c>
      <c r="AE117" s="20"/>
      <c r="AF117" s="20"/>
      <c r="AH117">
        <f t="shared" si="43"/>
        <v>0</v>
      </c>
      <c r="AI117">
        <f t="shared" si="44"/>
        <v>0</v>
      </c>
      <c r="AJ117">
        <f t="shared" si="45"/>
        <v>0</v>
      </c>
      <c r="AK117">
        <f t="shared" si="40"/>
        <v>0</v>
      </c>
      <c r="AL117" s="20">
        <f t="shared" si="46"/>
        <v>0</v>
      </c>
      <c r="AM117" s="20">
        <f t="shared" si="47"/>
        <v>0</v>
      </c>
      <c r="AN117" s="20">
        <f t="shared" si="48"/>
        <v>0</v>
      </c>
      <c r="AO117" s="21">
        <f t="shared" si="49"/>
        <v>3.6235668969633447E-3</v>
      </c>
      <c r="AQ117" s="20"/>
      <c r="AS117">
        <f t="shared" si="50"/>
        <v>0</v>
      </c>
      <c r="AT117">
        <f t="shared" si="51"/>
        <v>1</v>
      </c>
      <c r="AU117">
        <f t="shared" si="52"/>
        <v>0</v>
      </c>
      <c r="AV117">
        <f t="shared" si="53"/>
        <v>0</v>
      </c>
      <c r="AW117" s="20">
        <f t="shared" si="54"/>
        <v>0</v>
      </c>
      <c r="AX117" s="20">
        <f t="shared" si="55"/>
        <v>0</v>
      </c>
      <c r="AY117" s="20">
        <f t="shared" si="56"/>
        <v>0</v>
      </c>
      <c r="AZ117" s="21">
        <f t="shared" si="57"/>
        <v>8.2786809888977402E-4</v>
      </c>
      <c r="BB117" s="21">
        <f t="shared" si="58"/>
        <v>0</v>
      </c>
      <c r="BC117" s="21">
        <f t="shared" si="59"/>
        <v>4.4514349958531185E-3</v>
      </c>
    </row>
    <row r="118" spans="1:55" x14ac:dyDescent="0.3">
      <c r="A118" s="1">
        <v>46195</v>
      </c>
      <c r="B118" s="11">
        <v>57.49</v>
      </c>
      <c r="C118" s="11">
        <v>100.28</v>
      </c>
      <c r="D118" s="12">
        <v>1.7443033571055799</v>
      </c>
      <c r="E118" s="12">
        <v>1.74406374641995</v>
      </c>
      <c r="F118" s="12">
        <v>1.74392487094294</v>
      </c>
      <c r="G118" s="12">
        <v>1.7438338655656</v>
      </c>
      <c r="H118" s="11">
        <v>100.26622478168299</v>
      </c>
      <c r="I118" s="11">
        <v>100.253855181068</v>
      </c>
      <c r="J118" s="11">
        <v>100.25026954436601</v>
      </c>
      <c r="K118" s="13">
        <v>1.37376989804769E-4</v>
      </c>
      <c r="L118" s="13">
        <v>2.60752171307828E-4</v>
      </c>
      <c r="M118" s="13">
        <v>2.9651838516815801E-4</v>
      </c>
      <c r="N118" s="24">
        <v>0</v>
      </c>
      <c r="O118" s="15">
        <v>0</v>
      </c>
      <c r="P118" s="25">
        <f t="shared" si="41"/>
        <v>57.49</v>
      </c>
      <c r="Q118" s="25">
        <f t="shared" si="41"/>
        <v>100.28</v>
      </c>
      <c r="R118" s="16">
        <f t="shared" si="32"/>
        <v>1.7443033571055835</v>
      </c>
      <c r="S118" s="16">
        <f t="shared" si="33"/>
        <v>1.7440637464199518</v>
      </c>
      <c r="T118" s="16">
        <f t="shared" si="37"/>
        <v>1.7439248709429447</v>
      </c>
      <c r="U118" s="16">
        <f t="shared" si="39"/>
        <v>1.7438338655656058</v>
      </c>
      <c r="V118" s="18">
        <f t="shared" si="34"/>
        <v>100.26622478168304</v>
      </c>
      <c r="W118" s="18">
        <f t="shared" si="38"/>
        <v>100.25385518106854</v>
      </c>
      <c r="X118" s="18">
        <f t="shared" si="42"/>
        <v>100.25026954436652</v>
      </c>
      <c r="Y118" s="19">
        <f t="shared" si="35"/>
        <v>1.3737698980499148E-4</v>
      </c>
      <c r="Z118" s="19">
        <f t="shared" si="35"/>
        <v>2.6075217130782822E-4</v>
      </c>
      <c r="AA118" s="19">
        <f t="shared" si="35"/>
        <v>2.9651838516815861E-4</v>
      </c>
      <c r="AC118" s="20">
        <f t="shared" si="36"/>
        <v>-1.7392816810519782E-4</v>
      </c>
      <c r="AD118" s="20">
        <f t="shared" si="36"/>
        <v>3.9896270227978402E-4</v>
      </c>
      <c r="AE118" s="20"/>
      <c r="AF118" s="20"/>
      <c r="AH118">
        <f t="shared" si="43"/>
        <v>0</v>
      </c>
      <c r="AI118">
        <f t="shared" si="44"/>
        <v>1</v>
      </c>
      <c r="AJ118">
        <f t="shared" si="45"/>
        <v>0</v>
      </c>
      <c r="AK118">
        <f t="shared" si="40"/>
        <v>0</v>
      </c>
      <c r="AL118" s="20">
        <f t="shared" si="46"/>
        <v>0</v>
      </c>
      <c r="AM118" s="20">
        <f t="shared" si="47"/>
        <v>0</v>
      </c>
      <c r="AN118" s="20">
        <f t="shared" si="48"/>
        <v>0</v>
      </c>
      <c r="AO118" s="21">
        <f t="shared" si="49"/>
        <v>3.6235668969633447E-3</v>
      </c>
      <c r="AQ118" s="20"/>
      <c r="AS118">
        <f t="shared" si="50"/>
        <v>0</v>
      </c>
      <c r="AT118">
        <f t="shared" si="51"/>
        <v>0</v>
      </c>
      <c r="AU118">
        <f t="shared" si="52"/>
        <v>0</v>
      </c>
      <c r="AV118">
        <f t="shared" si="53"/>
        <v>0</v>
      </c>
      <c r="AW118" s="20">
        <f t="shared" si="54"/>
        <v>0</v>
      </c>
      <c r="AX118" s="20">
        <f t="shared" si="55"/>
        <v>0</v>
      </c>
      <c r="AY118" s="20">
        <f t="shared" si="56"/>
        <v>0</v>
      </c>
      <c r="AZ118" s="21">
        <f t="shared" si="57"/>
        <v>8.2786809888977402E-4</v>
      </c>
      <c r="BB118" s="21">
        <f t="shared" si="58"/>
        <v>0</v>
      </c>
      <c r="BC118" s="21">
        <f t="shared" si="59"/>
        <v>4.4514349958531185E-3</v>
      </c>
    </row>
    <row r="119" spans="1:55" x14ac:dyDescent="0.3">
      <c r="A119" s="1">
        <v>46196</v>
      </c>
      <c r="B119" s="11">
        <v>57.45</v>
      </c>
      <c r="C119" s="11">
        <v>100.24</v>
      </c>
      <c r="D119" s="12">
        <v>1.7448215839860699</v>
      </c>
      <c r="E119" s="12">
        <v>1.74406374641995</v>
      </c>
      <c r="F119" s="12">
        <v>1.7439961373883299</v>
      </c>
      <c r="G119" s="12">
        <v>1.74391801302669</v>
      </c>
      <c r="H119" s="11">
        <v>100.196462231826</v>
      </c>
      <c r="I119" s="11">
        <v>100.188483835672</v>
      </c>
      <c r="J119" s="11">
        <v>100.183255576744</v>
      </c>
      <c r="K119" s="13">
        <v>4.3442962795971099E-4</v>
      </c>
      <c r="L119" s="13">
        <v>5.1406032193023702E-4</v>
      </c>
      <c r="M119" s="13">
        <v>5.6624591401699701E-4</v>
      </c>
      <c r="N119" s="24">
        <v>0</v>
      </c>
      <c r="O119" s="15">
        <v>0</v>
      </c>
      <c r="P119" s="25">
        <f t="shared" si="41"/>
        <v>57.45</v>
      </c>
      <c r="Q119" s="25">
        <f t="shared" si="41"/>
        <v>100.24</v>
      </c>
      <c r="R119" s="16">
        <f t="shared" si="32"/>
        <v>1.7448215839860746</v>
      </c>
      <c r="S119" s="16">
        <f t="shared" si="33"/>
        <v>1.7440637464199518</v>
      </c>
      <c r="T119" s="16">
        <f t="shared" si="37"/>
        <v>1.7439961373883315</v>
      </c>
      <c r="U119" s="16">
        <f t="shared" si="39"/>
        <v>1.7439180130266969</v>
      </c>
      <c r="V119" s="18">
        <f t="shared" si="34"/>
        <v>100.19646223182623</v>
      </c>
      <c r="W119" s="18">
        <f t="shared" si="38"/>
        <v>100.18848383567217</v>
      </c>
      <c r="X119" s="18">
        <f t="shared" si="42"/>
        <v>100.18325557674406</v>
      </c>
      <c r="Y119" s="19">
        <f t="shared" si="35"/>
        <v>4.3442962796015567E-4</v>
      </c>
      <c r="Z119" s="19">
        <f t="shared" si="35"/>
        <v>5.1406032193023724E-4</v>
      </c>
      <c r="AA119" s="19">
        <f t="shared" si="35"/>
        <v>5.662459140165539E-4</v>
      </c>
      <c r="AC119" s="20">
        <f t="shared" si="36"/>
        <v>-6.9601534043486912E-4</v>
      </c>
      <c r="AD119" s="20">
        <f t="shared" si="36"/>
        <v>-3.9896270227985053E-4</v>
      </c>
      <c r="AE119" s="20"/>
      <c r="AF119" s="20"/>
      <c r="AH119">
        <f t="shared" si="43"/>
        <v>0</v>
      </c>
      <c r="AI119">
        <f t="shared" si="44"/>
        <v>1</v>
      </c>
      <c r="AJ119">
        <f t="shared" si="45"/>
        <v>0</v>
      </c>
      <c r="AK119">
        <f t="shared" si="40"/>
        <v>0</v>
      </c>
      <c r="AL119" s="20">
        <f t="shared" si="46"/>
        <v>0</v>
      </c>
      <c r="AM119" s="20">
        <f t="shared" si="47"/>
        <v>0</v>
      </c>
      <c r="AN119" s="20">
        <f t="shared" si="48"/>
        <v>0</v>
      </c>
      <c r="AO119" s="21">
        <f t="shared" si="49"/>
        <v>3.6235668969633447E-3</v>
      </c>
      <c r="AQ119" s="20"/>
      <c r="AS119">
        <f t="shared" si="50"/>
        <v>0</v>
      </c>
      <c r="AT119">
        <f t="shared" si="51"/>
        <v>0</v>
      </c>
      <c r="AU119">
        <f t="shared" si="52"/>
        <v>0</v>
      </c>
      <c r="AV119">
        <f t="shared" si="53"/>
        <v>0</v>
      </c>
      <c r="AW119" s="20">
        <f t="shared" si="54"/>
        <v>0</v>
      </c>
      <c r="AX119" s="20">
        <f t="shared" si="55"/>
        <v>0</v>
      </c>
      <c r="AY119" s="20">
        <f t="shared" si="56"/>
        <v>0</v>
      </c>
      <c r="AZ119" s="21">
        <f t="shared" si="57"/>
        <v>8.2786809888977402E-4</v>
      </c>
      <c r="BB119" s="21">
        <f t="shared" si="58"/>
        <v>0</v>
      </c>
      <c r="BC119" s="21">
        <f t="shared" si="59"/>
        <v>4.4514349958531185E-3</v>
      </c>
    </row>
    <row r="120" spans="1:55" x14ac:dyDescent="0.3">
      <c r="A120" s="1">
        <v>46197</v>
      </c>
      <c r="B120" s="11">
        <v>57.51</v>
      </c>
      <c r="C120" s="11">
        <v>100.34</v>
      </c>
      <c r="D120" s="12">
        <v>1.7447400452095201</v>
      </c>
      <c r="E120" s="12">
        <v>1.74406374641995</v>
      </c>
      <c r="F120" s="12">
        <v>1.7441630127476999</v>
      </c>
      <c r="G120" s="12">
        <v>1.7440054007111301</v>
      </c>
      <c r="H120" s="11">
        <v>100.301106056611</v>
      </c>
      <c r="I120" s="11">
        <v>100.297217861202</v>
      </c>
      <c r="J120" s="11">
        <v>100.292724929165</v>
      </c>
      <c r="K120" s="13">
        <v>3.8769666535593201E-4</v>
      </c>
      <c r="L120" s="13">
        <v>4.2646264637770099E-4</v>
      </c>
      <c r="M120" s="13">
        <v>4.7125982789012199E-4</v>
      </c>
      <c r="N120" s="24">
        <v>0</v>
      </c>
      <c r="O120" s="15">
        <v>0</v>
      </c>
      <c r="P120" s="25">
        <f t="shared" si="41"/>
        <v>57.51</v>
      </c>
      <c r="Q120" s="25">
        <f t="shared" si="41"/>
        <v>100.34</v>
      </c>
      <c r="R120" s="16">
        <f t="shared" si="32"/>
        <v>1.744740045209529</v>
      </c>
      <c r="S120" s="16">
        <f t="shared" si="33"/>
        <v>1.7440637464199518</v>
      </c>
      <c r="T120" s="16">
        <f t="shared" si="37"/>
        <v>1.7441630127477015</v>
      </c>
      <c r="U120" s="16">
        <f t="shared" si="39"/>
        <v>1.7440054007111396</v>
      </c>
      <c r="V120" s="18">
        <f t="shared" si="34"/>
        <v>100.30110605661142</v>
      </c>
      <c r="W120" s="18">
        <f t="shared" si="38"/>
        <v>100.29721786120294</v>
      </c>
      <c r="X120" s="18">
        <f t="shared" si="42"/>
        <v>100.29272492916533</v>
      </c>
      <c r="Y120" s="19">
        <f t="shared" si="35"/>
        <v>3.8769666535615422E-4</v>
      </c>
      <c r="Z120" s="19">
        <f t="shared" si="35"/>
        <v>4.2646264637770127E-4</v>
      </c>
      <c r="AA120" s="19">
        <f t="shared" si="35"/>
        <v>4.7125982788990032E-4</v>
      </c>
      <c r="AC120" s="20">
        <f t="shared" si="36"/>
        <v>1.0438414308979586E-3</v>
      </c>
      <c r="AD120" s="20">
        <f t="shared" si="36"/>
        <v>9.9710846829406284E-4</v>
      </c>
      <c r="AE120" s="20"/>
      <c r="AF120" s="20"/>
      <c r="AH120">
        <f t="shared" si="43"/>
        <v>0</v>
      </c>
      <c r="AI120">
        <f t="shared" si="44"/>
        <v>1</v>
      </c>
      <c r="AJ120">
        <f t="shared" si="45"/>
        <v>0</v>
      </c>
      <c r="AK120">
        <f t="shared" si="40"/>
        <v>0</v>
      </c>
      <c r="AL120" s="20">
        <f t="shared" si="46"/>
        <v>0</v>
      </c>
      <c r="AM120" s="20">
        <f t="shared" si="47"/>
        <v>0</v>
      </c>
      <c r="AN120" s="20">
        <f t="shared" si="48"/>
        <v>0</v>
      </c>
      <c r="AO120" s="21">
        <f t="shared" si="49"/>
        <v>3.6235668969633447E-3</v>
      </c>
      <c r="AQ120" s="20"/>
      <c r="AS120">
        <f t="shared" si="50"/>
        <v>0</v>
      </c>
      <c r="AT120">
        <f t="shared" si="51"/>
        <v>0</v>
      </c>
      <c r="AU120">
        <f t="shared" si="52"/>
        <v>0</v>
      </c>
      <c r="AV120">
        <f t="shared" si="53"/>
        <v>0</v>
      </c>
      <c r="AW120" s="20">
        <f t="shared" si="54"/>
        <v>0</v>
      </c>
      <c r="AX120" s="20">
        <f t="shared" si="55"/>
        <v>0</v>
      </c>
      <c r="AY120" s="20">
        <f t="shared" si="56"/>
        <v>0</v>
      </c>
      <c r="AZ120" s="21">
        <f t="shared" si="57"/>
        <v>8.2786809888977402E-4</v>
      </c>
      <c r="BB120" s="21">
        <f t="shared" si="58"/>
        <v>0</v>
      </c>
      <c r="BC120" s="21">
        <f t="shared" si="59"/>
        <v>4.4514349958531185E-3</v>
      </c>
    </row>
    <row r="121" spans="1:55" x14ac:dyDescent="0.3">
      <c r="A121" s="1">
        <v>46198</v>
      </c>
      <c r="B121" s="11">
        <v>57.55</v>
      </c>
      <c r="C121" s="11">
        <v>100.43</v>
      </c>
      <c r="D121" s="12">
        <v>1.7450912250217201</v>
      </c>
      <c r="E121" s="12">
        <v>1.74406374641995</v>
      </c>
      <c r="F121" s="12">
        <v>1.74420516565882</v>
      </c>
      <c r="G121" s="12">
        <v>1.7440531016192</v>
      </c>
      <c r="H121" s="11">
        <v>100.37086860646799</v>
      </c>
      <c r="I121" s="11">
        <v>100.37658138363</v>
      </c>
      <c r="J121" s="11">
        <v>100.36751081092601</v>
      </c>
      <c r="K121" s="13">
        <v>5.8895557226767395E-4</v>
      </c>
      <c r="L121" s="13">
        <v>5.3204050645928305E-4</v>
      </c>
      <c r="M121" s="13">
        <v>6.22410017324317E-4</v>
      </c>
      <c r="N121" s="24">
        <v>0</v>
      </c>
      <c r="O121" s="15">
        <v>0</v>
      </c>
      <c r="P121" s="25">
        <f t="shared" si="41"/>
        <v>57.55</v>
      </c>
      <c r="Q121" s="25">
        <f t="shared" si="41"/>
        <v>100.43</v>
      </c>
      <c r="R121" s="16">
        <f t="shared" si="32"/>
        <v>1.7450912250217205</v>
      </c>
      <c r="S121" s="16">
        <f t="shared" si="33"/>
        <v>1.7440637464199518</v>
      </c>
      <c r="T121" s="16">
        <f t="shared" si="37"/>
        <v>1.7442051656588216</v>
      </c>
      <c r="U121" s="16">
        <f t="shared" si="39"/>
        <v>1.7440531016192082</v>
      </c>
      <c r="V121" s="18">
        <f t="shared" si="34"/>
        <v>100.37086860646822</v>
      </c>
      <c r="W121" s="18">
        <f t="shared" si="38"/>
        <v>100.37658138363021</v>
      </c>
      <c r="X121" s="18">
        <f t="shared" si="42"/>
        <v>100.36751081092608</v>
      </c>
      <c r="Y121" s="19">
        <f t="shared" si="35"/>
        <v>5.8895557226811793E-4</v>
      </c>
      <c r="Z121" s="19">
        <f t="shared" si="35"/>
        <v>5.3204050645950574E-4</v>
      </c>
      <c r="AA121" s="19">
        <f t="shared" si="35"/>
        <v>6.2241001732431711E-4</v>
      </c>
      <c r="AC121" s="20">
        <f t="shared" si="36"/>
        <v>6.9528944222889096E-4</v>
      </c>
      <c r="AD121" s="20">
        <f t="shared" si="36"/>
        <v>8.9654834914083944E-4</v>
      </c>
      <c r="AE121" s="20"/>
      <c r="AF121" s="20"/>
      <c r="AH121">
        <f t="shared" si="43"/>
        <v>0</v>
      </c>
      <c r="AI121">
        <f t="shared" si="44"/>
        <v>1</v>
      </c>
      <c r="AJ121">
        <f t="shared" si="45"/>
        <v>0</v>
      </c>
      <c r="AK121">
        <f t="shared" si="40"/>
        <v>0</v>
      </c>
      <c r="AL121" s="20">
        <f t="shared" si="46"/>
        <v>0</v>
      </c>
      <c r="AM121" s="20">
        <f t="shared" si="47"/>
        <v>0</v>
      </c>
      <c r="AN121" s="20">
        <f t="shared" si="48"/>
        <v>0</v>
      </c>
      <c r="AO121" s="21">
        <f t="shared" si="49"/>
        <v>3.6235668969633447E-3</v>
      </c>
      <c r="AQ121" s="20"/>
      <c r="AS121">
        <f t="shared" si="50"/>
        <v>0</v>
      </c>
      <c r="AT121">
        <f t="shared" si="51"/>
        <v>0</v>
      </c>
      <c r="AU121">
        <f t="shared" si="52"/>
        <v>0</v>
      </c>
      <c r="AV121">
        <f t="shared" si="53"/>
        <v>0</v>
      </c>
      <c r="AW121" s="20">
        <f t="shared" si="54"/>
        <v>0</v>
      </c>
      <c r="AX121" s="20">
        <f t="shared" si="55"/>
        <v>0</v>
      </c>
      <c r="AY121" s="20">
        <f t="shared" si="56"/>
        <v>0</v>
      </c>
      <c r="AZ121" s="21">
        <f t="shared" si="57"/>
        <v>8.2786809888977402E-4</v>
      </c>
      <c r="BB121" s="21">
        <f t="shared" si="58"/>
        <v>0</v>
      </c>
      <c r="BC121" s="21">
        <f t="shared" si="59"/>
        <v>4.4514349958531185E-3</v>
      </c>
    </row>
    <row r="122" spans="1:55" x14ac:dyDescent="0.3">
      <c r="A122" s="1">
        <v>46199</v>
      </c>
      <c r="B122" s="11">
        <v>57.6</v>
      </c>
      <c r="C122" s="11">
        <v>100.5</v>
      </c>
      <c r="D122" s="12">
        <v>1.7447916666666601</v>
      </c>
      <c r="E122" s="12">
        <v>1.74406374641995</v>
      </c>
      <c r="F122" s="12">
        <v>1.7443253579665099</v>
      </c>
      <c r="G122" s="12">
        <v>1.74410491202677</v>
      </c>
      <c r="H122" s="11">
        <v>100.458071793789</v>
      </c>
      <c r="I122" s="11">
        <v>100.466217541948</v>
      </c>
      <c r="J122" s="11">
        <v>100.457458653266</v>
      </c>
      <c r="K122" s="13">
        <v>4.1728313219651199E-4</v>
      </c>
      <c r="L122" s="13">
        <v>3.3620037022425798E-4</v>
      </c>
      <c r="M122" s="13">
        <v>4.2338659788139201E-4</v>
      </c>
      <c r="N122" s="24">
        <v>0</v>
      </c>
      <c r="O122" s="15">
        <v>0</v>
      </c>
      <c r="P122" s="25">
        <f t="shared" si="41"/>
        <v>57.6</v>
      </c>
      <c r="Q122" s="25">
        <f t="shared" si="41"/>
        <v>100.5</v>
      </c>
      <c r="R122" s="16">
        <f t="shared" si="32"/>
        <v>1.7447916666666665</v>
      </c>
      <c r="S122" s="16">
        <f t="shared" si="33"/>
        <v>1.7440637464199518</v>
      </c>
      <c r="T122" s="16">
        <f t="shared" si="37"/>
        <v>1.7443253579665143</v>
      </c>
      <c r="U122" s="16">
        <f t="shared" si="39"/>
        <v>1.7441049120267773</v>
      </c>
      <c r="V122" s="18">
        <f t="shared" si="34"/>
        <v>100.45807179378923</v>
      </c>
      <c r="W122" s="18">
        <f t="shared" si="38"/>
        <v>100.46621754194813</v>
      </c>
      <c r="X122" s="18">
        <f t="shared" si="42"/>
        <v>100.4574586532664</v>
      </c>
      <c r="Y122" s="19">
        <f t="shared" si="35"/>
        <v>4.1728313219673458E-4</v>
      </c>
      <c r="Z122" s="19">
        <f t="shared" si="35"/>
        <v>3.3620037022425803E-4</v>
      </c>
      <c r="AA122" s="19">
        <f t="shared" si="35"/>
        <v>4.233865978818361E-4</v>
      </c>
      <c r="AC122" s="20">
        <f t="shared" si="36"/>
        <v>8.6843253395397244E-4</v>
      </c>
      <c r="AD122" s="20">
        <f t="shared" si="36"/>
        <v>6.9676009388263804E-4</v>
      </c>
      <c r="AE122" s="20"/>
      <c r="AF122" s="20"/>
      <c r="AH122">
        <f t="shared" si="43"/>
        <v>0</v>
      </c>
      <c r="AI122">
        <f t="shared" si="44"/>
        <v>1</v>
      </c>
      <c r="AJ122">
        <f t="shared" si="45"/>
        <v>0</v>
      </c>
      <c r="AK122">
        <f t="shared" si="40"/>
        <v>0</v>
      </c>
      <c r="AL122" s="20">
        <f t="shared" si="46"/>
        <v>0</v>
      </c>
      <c r="AM122" s="20">
        <f t="shared" si="47"/>
        <v>0</v>
      </c>
      <c r="AN122" s="20">
        <f t="shared" si="48"/>
        <v>0</v>
      </c>
      <c r="AO122" s="21">
        <f t="shared" si="49"/>
        <v>3.6235668969633447E-3</v>
      </c>
      <c r="AQ122" s="20"/>
      <c r="AS122">
        <f t="shared" si="50"/>
        <v>0</v>
      </c>
      <c r="AT122">
        <f t="shared" si="51"/>
        <v>0</v>
      </c>
      <c r="AU122">
        <f t="shared" si="52"/>
        <v>0</v>
      </c>
      <c r="AV122">
        <f t="shared" si="53"/>
        <v>0</v>
      </c>
      <c r="AW122" s="20">
        <f t="shared" si="54"/>
        <v>0</v>
      </c>
      <c r="AX122" s="20">
        <f t="shared" si="55"/>
        <v>0</v>
      </c>
      <c r="AY122" s="20">
        <f t="shared" si="56"/>
        <v>0</v>
      </c>
      <c r="AZ122" s="21">
        <f t="shared" si="57"/>
        <v>8.2786809888977402E-4</v>
      </c>
      <c r="BB122" s="21">
        <f t="shared" si="58"/>
        <v>0</v>
      </c>
      <c r="BC122" s="21">
        <f t="shared" si="59"/>
        <v>4.4514349958531185E-3</v>
      </c>
    </row>
    <row r="123" spans="1:55" x14ac:dyDescent="0.3">
      <c r="A123" s="1">
        <v>46202</v>
      </c>
      <c r="B123" s="11">
        <v>57.65</v>
      </c>
      <c r="C123" s="11">
        <v>100.61</v>
      </c>
      <c r="D123" s="12">
        <v>1.7451864700780499</v>
      </c>
      <c r="E123" s="12">
        <v>1.74406374641995</v>
      </c>
      <c r="F123" s="12">
        <v>1.7444241829537299</v>
      </c>
      <c r="G123" s="12">
        <v>1.7441366853999001</v>
      </c>
      <c r="H123" s="11">
        <v>100.54527498111</v>
      </c>
      <c r="I123" s="11">
        <v>100.560356886769</v>
      </c>
      <c r="J123" s="11">
        <v>100.547648178343</v>
      </c>
      <c r="K123" s="13">
        <v>6.43532923802985E-4</v>
      </c>
      <c r="L123" s="13">
        <v>4.9354303493231099E-4</v>
      </c>
      <c r="M123" s="13">
        <v>6.1992993274484899E-4</v>
      </c>
      <c r="N123" s="24">
        <v>0</v>
      </c>
      <c r="O123" s="15">
        <v>0</v>
      </c>
      <c r="P123" s="25">
        <f t="shared" si="41"/>
        <v>57.65</v>
      </c>
      <c r="Q123" s="25">
        <f t="shared" si="41"/>
        <v>100.61</v>
      </c>
      <c r="R123" s="16">
        <f t="shared" si="32"/>
        <v>1.7451864700780573</v>
      </c>
      <c r="S123" s="16">
        <f t="shared" si="33"/>
        <v>1.7440637464199518</v>
      </c>
      <c r="T123" s="16">
        <f t="shared" si="37"/>
        <v>1.7444241829537301</v>
      </c>
      <c r="U123" s="16">
        <f t="shared" si="39"/>
        <v>1.7441366853999045</v>
      </c>
      <c r="V123" s="18">
        <f t="shared" si="34"/>
        <v>100.54527498111021</v>
      </c>
      <c r="W123" s="18">
        <f t="shared" si="38"/>
        <v>100.56035688676955</v>
      </c>
      <c r="X123" s="18">
        <f t="shared" si="42"/>
        <v>100.54764817834371</v>
      </c>
      <c r="Y123" s="19">
        <f t="shared" si="35"/>
        <v>6.4353292380342876E-4</v>
      </c>
      <c r="Z123" s="19">
        <f t="shared" si="35"/>
        <v>4.9354303493208981E-4</v>
      </c>
      <c r="AA123" s="19">
        <f t="shared" si="35"/>
        <v>6.1992993274507168E-4</v>
      </c>
      <c r="AC123" s="20">
        <f t="shared" si="36"/>
        <v>8.6767901322250187E-4</v>
      </c>
      <c r="AD123" s="20">
        <f t="shared" si="36"/>
        <v>1.0939288048289668E-3</v>
      </c>
      <c r="AE123" s="20"/>
      <c r="AF123" s="20"/>
      <c r="AH123">
        <f t="shared" si="43"/>
        <v>0</v>
      </c>
      <c r="AI123">
        <f t="shared" si="44"/>
        <v>1</v>
      </c>
      <c r="AJ123">
        <f t="shared" si="45"/>
        <v>0</v>
      </c>
      <c r="AK123">
        <f t="shared" si="40"/>
        <v>0</v>
      </c>
      <c r="AL123" s="20">
        <f t="shared" si="46"/>
        <v>0</v>
      </c>
      <c r="AM123" s="20">
        <f t="shared" si="47"/>
        <v>0</v>
      </c>
      <c r="AN123" s="20">
        <f t="shared" si="48"/>
        <v>0</v>
      </c>
      <c r="AO123" s="21">
        <f t="shared" si="49"/>
        <v>3.6235668969633447E-3</v>
      </c>
      <c r="AQ123" s="20"/>
      <c r="AS123">
        <f t="shared" si="50"/>
        <v>0</v>
      </c>
      <c r="AT123">
        <f t="shared" si="51"/>
        <v>0</v>
      </c>
      <c r="AU123">
        <f t="shared" si="52"/>
        <v>0</v>
      </c>
      <c r="AV123">
        <f t="shared" si="53"/>
        <v>0</v>
      </c>
      <c r="AW123" s="20">
        <f t="shared" si="54"/>
        <v>0</v>
      </c>
      <c r="AX123" s="20">
        <f t="shared" si="55"/>
        <v>0</v>
      </c>
      <c r="AY123" s="20">
        <f t="shared" si="56"/>
        <v>0</v>
      </c>
      <c r="AZ123" s="21">
        <f t="shared" si="57"/>
        <v>8.2786809888977402E-4</v>
      </c>
      <c r="BB123" s="21">
        <f t="shared" si="58"/>
        <v>0</v>
      </c>
      <c r="BC123" s="21">
        <f t="shared" si="59"/>
        <v>4.4514349958531185E-3</v>
      </c>
    </row>
    <row r="124" spans="1:55" x14ac:dyDescent="0.3">
      <c r="A124" s="1">
        <v>46203</v>
      </c>
      <c r="B124" s="11">
        <v>57.64</v>
      </c>
      <c r="C124" s="11">
        <v>100.6</v>
      </c>
      <c r="D124" s="12">
        <v>1.7453157529493399</v>
      </c>
      <c r="E124" s="12">
        <v>1.74406374641995</v>
      </c>
      <c r="F124" s="12">
        <v>1.74455701304127</v>
      </c>
      <c r="G124" s="12">
        <v>1.74419073300544</v>
      </c>
      <c r="H124" s="11">
        <v>100.52783434364601</v>
      </c>
      <c r="I124" s="11">
        <v>100.54860990545301</v>
      </c>
      <c r="J124" s="11">
        <v>100.53203854645</v>
      </c>
      <c r="K124" s="13">
        <v>7.1760986922899197E-4</v>
      </c>
      <c r="L124" s="13">
        <v>5.1096645101593105E-4</v>
      </c>
      <c r="M124" s="13">
        <v>6.7578946275390897E-4</v>
      </c>
      <c r="N124" s="24">
        <v>0</v>
      </c>
      <c r="O124" s="15">
        <v>0</v>
      </c>
      <c r="P124" s="25">
        <f t="shared" si="41"/>
        <v>57.64</v>
      </c>
      <c r="Q124" s="25">
        <f t="shared" si="41"/>
        <v>100.6</v>
      </c>
      <c r="R124" s="16">
        <f t="shared" si="32"/>
        <v>1.7453157529493406</v>
      </c>
      <c r="S124" s="16">
        <f t="shared" si="33"/>
        <v>1.7440637464199518</v>
      </c>
      <c r="T124" s="16">
        <f t="shared" si="37"/>
        <v>1.7445570130412746</v>
      </c>
      <c r="U124" s="16">
        <f t="shared" si="39"/>
        <v>1.7441907330054427</v>
      </c>
      <c r="V124" s="18">
        <f t="shared" si="34"/>
        <v>100.52783434364602</v>
      </c>
      <c r="W124" s="18">
        <f t="shared" si="38"/>
        <v>100.54860990545301</v>
      </c>
      <c r="X124" s="18">
        <f t="shared" si="42"/>
        <v>100.53203854645049</v>
      </c>
      <c r="Y124" s="19">
        <f t="shared" si="35"/>
        <v>7.1760986922943595E-4</v>
      </c>
      <c r="Z124" s="19">
        <f t="shared" si="35"/>
        <v>5.1096645101593138E-4</v>
      </c>
      <c r="AA124" s="19">
        <f t="shared" si="35"/>
        <v>6.7578946275390973E-4</v>
      </c>
      <c r="AC124" s="20">
        <f t="shared" si="36"/>
        <v>-1.7347558374662539E-4</v>
      </c>
      <c r="AD124" s="20">
        <f t="shared" si="36"/>
        <v>-9.9398638320563276E-5</v>
      </c>
      <c r="AE124" s="20"/>
      <c r="AF124" s="20"/>
      <c r="AH124">
        <f t="shared" si="43"/>
        <v>0</v>
      </c>
      <c r="AI124">
        <f t="shared" si="44"/>
        <v>1</v>
      </c>
      <c r="AJ124">
        <f t="shared" si="45"/>
        <v>0</v>
      </c>
      <c r="AK124">
        <f t="shared" si="40"/>
        <v>0</v>
      </c>
      <c r="AL124" s="20">
        <f t="shared" si="46"/>
        <v>0</v>
      </c>
      <c r="AM124" s="20">
        <f t="shared" si="47"/>
        <v>0</v>
      </c>
      <c r="AN124" s="20">
        <f t="shared" si="48"/>
        <v>0</v>
      </c>
      <c r="AO124" s="21">
        <f t="shared" si="49"/>
        <v>3.6235668969633447E-3</v>
      </c>
      <c r="AQ124" s="20"/>
      <c r="AS124">
        <f t="shared" si="50"/>
        <v>0</v>
      </c>
      <c r="AT124">
        <f t="shared" si="51"/>
        <v>0</v>
      </c>
      <c r="AU124">
        <f t="shared" si="52"/>
        <v>0</v>
      </c>
      <c r="AV124">
        <f t="shared" si="53"/>
        <v>0</v>
      </c>
      <c r="AW124" s="20">
        <f t="shared" si="54"/>
        <v>0</v>
      </c>
      <c r="AX124" s="20">
        <f t="shared" si="55"/>
        <v>0</v>
      </c>
      <c r="AY124" s="20">
        <f t="shared" si="56"/>
        <v>0</v>
      </c>
      <c r="AZ124" s="21">
        <f t="shared" si="57"/>
        <v>8.2786809888977402E-4</v>
      </c>
      <c r="BB124" s="21">
        <f t="shared" si="58"/>
        <v>0</v>
      </c>
      <c r="BC124" s="21">
        <f t="shared" si="59"/>
        <v>4.4514349958531185E-3</v>
      </c>
    </row>
    <row r="125" spans="1:55" x14ac:dyDescent="0.3">
      <c r="A125" s="1">
        <v>46204</v>
      </c>
      <c r="B125" s="11">
        <v>57.51</v>
      </c>
      <c r="C125" s="11">
        <v>100.3</v>
      </c>
      <c r="D125" s="12">
        <v>1.74404451399756</v>
      </c>
      <c r="E125" s="12">
        <v>1.74406374641995</v>
      </c>
      <c r="F125" s="12">
        <v>1.7445886421413701</v>
      </c>
      <c r="G125" s="12">
        <v>1.7441785857766601</v>
      </c>
      <c r="H125" s="11">
        <v>100.301106056611</v>
      </c>
      <c r="I125" s="11">
        <v>100.329473820003</v>
      </c>
      <c r="J125" s="11">
        <v>100.308409055143</v>
      </c>
      <c r="K125" s="13">
        <v>-1.1027422861294199E-5</v>
      </c>
      <c r="L125" s="13">
        <v>-2.9381346274351899E-4</v>
      </c>
      <c r="M125" s="13">
        <v>-8.3835520031655798E-5</v>
      </c>
      <c r="N125" s="24">
        <v>0</v>
      </c>
      <c r="O125" s="25">
        <v>0</v>
      </c>
      <c r="P125" s="25">
        <f t="shared" si="41"/>
        <v>57.51</v>
      </c>
      <c r="Q125" s="25">
        <f t="shared" si="41"/>
        <v>100.3</v>
      </c>
      <c r="R125" s="16">
        <f t="shared" si="32"/>
        <v>1.7440445139975655</v>
      </c>
      <c r="S125" s="16">
        <f t="shared" si="33"/>
        <v>1.7440637464199518</v>
      </c>
      <c r="T125" s="16">
        <f t="shared" si="37"/>
        <v>1.7445886421413797</v>
      </c>
      <c r="U125" s="16">
        <f t="shared" si="39"/>
        <v>1.7441785857766625</v>
      </c>
      <c r="V125" s="18">
        <f t="shared" si="34"/>
        <v>100.30110605661142</v>
      </c>
      <c r="W125" s="18">
        <f t="shared" si="38"/>
        <v>100.3294738200037</v>
      </c>
      <c r="X125" s="18">
        <f t="shared" si="42"/>
        <v>100.308409055143</v>
      </c>
      <c r="Y125" s="19">
        <f t="shared" si="35"/>
        <v>-1.10274228609612E-5</v>
      </c>
      <c r="Z125" s="19">
        <f t="shared" si="35"/>
        <v>-2.9381346274351899E-4</v>
      </c>
      <c r="AA125" s="19">
        <f t="shared" si="35"/>
        <v>-8.3835520031655866E-5</v>
      </c>
      <c r="AC125" s="20">
        <f t="shared" si="36"/>
        <v>-2.2579254056586122E-3</v>
      </c>
      <c r="AD125" s="20">
        <f t="shared" si="36"/>
        <v>-2.9865626977489674E-3</v>
      </c>
      <c r="AE125" s="20"/>
      <c r="AF125" s="20"/>
      <c r="AH125">
        <f t="shared" si="43"/>
        <v>0</v>
      </c>
      <c r="AI125">
        <f t="shared" si="44"/>
        <v>0</v>
      </c>
      <c r="AJ125">
        <f t="shared" si="45"/>
        <v>0</v>
      </c>
      <c r="AK125">
        <f t="shared" si="40"/>
        <v>0</v>
      </c>
      <c r="AL125" s="20">
        <f t="shared" si="46"/>
        <v>0</v>
      </c>
      <c r="AM125" s="20">
        <f t="shared" si="47"/>
        <v>0</v>
      </c>
      <c r="AN125" s="20">
        <f t="shared" si="48"/>
        <v>0</v>
      </c>
      <c r="AO125" s="21">
        <f t="shared" si="49"/>
        <v>3.6235668969633447E-3</v>
      </c>
      <c r="AQ125" s="20"/>
      <c r="AS125">
        <f t="shared" si="50"/>
        <v>0</v>
      </c>
      <c r="AT125">
        <f t="shared" si="51"/>
        <v>1</v>
      </c>
      <c r="AU125">
        <f t="shared" si="52"/>
        <v>0</v>
      </c>
      <c r="AV125">
        <f t="shared" si="53"/>
        <v>0</v>
      </c>
      <c r="AW125" s="20">
        <f t="shared" si="54"/>
        <v>0</v>
      </c>
      <c r="AX125" s="20">
        <f t="shared" si="55"/>
        <v>0</v>
      </c>
      <c r="AY125" s="20">
        <f t="shared" si="56"/>
        <v>0</v>
      </c>
      <c r="AZ125" s="21">
        <f t="shared" si="57"/>
        <v>8.2786809888977402E-4</v>
      </c>
      <c r="BB125" s="21">
        <f t="shared" si="58"/>
        <v>0</v>
      </c>
      <c r="BC125" s="21">
        <f t="shared" si="59"/>
        <v>4.4514349958531185E-3</v>
      </c>
    </row>
    <row r="126" spans="1:55" x14ac:dyDescent="0.3">
      <c r="A126" s="1">
        <v>46205</v>
      </c>
      <c r="B126" s="11">
        <v>57.58</v>
      </c>
      <c r="C126" s="11">
        <v>100.39</v>
      </c>
      <c r="D126" s="12">
        <v>1.7434873219867999</v>
      </c>
      <c r="E126" s="12">
        <v>1.74406374641995</v>
      </c>
      <c r="F126" s="12">
        <v>1.74450862848274</v>
      </c>
      <c r="G126" s="12">
        <v>1.7441517653466001</v>
      </c>
      <c r="H126" s="11">
        <v>100.42319051886</v>
      </c>
      <c r="I126" s="11">
        <v>100.4534140145</v>
      </c>
      <c r="J126" s="11">
        <v>100.42980296902</v>
      </c>
      <c r="K126" s="13">
        <v>-3.3056114568292102E-4</v>
      </c>
      <c r="L126" s="13">
        <v>-6.3147718255103795E-4</v>
      </c>
      <c r="M126" s="13">
        <v>-3.9640482614728897E-4</v>
      </c>
      <c r="N126" s="24">
        <v>0</v>
      </c>
      <c r="O126" s="25">
        <v>0</v>
      </c>
      <c r="P126" s="25">
        <f t="shared" si="41"/>
        <v>57.58</v>
      </c>
      <c r="Q126" s="25">
        <f t="shared" si="41"/>
        <v>100.39</v>
      </c>
      <c r="R126" s="16">
        <f t="shared" si="32"/>
        <v>1.743487321986801</v>
      </c>
      <c r="S126" s="16">
        <f t="shared" si="33"/>
        <v>1.7440637464199518</v>
      </c>
      <c r="T126" s="16">
        <f t="shared" si="37"/>
        <v>1.7445086284827422</v>
      </c>
      <c r="U126" s="16">
        <f t="shared" si="39"/>
        <v>1.7441517653466012</v>
      </c>
      <c r="V126" s="18">
        <f t="shared" si="34"/>
        <v>100.42319051886082</v>
      </c>
      <c r="W126" s="18">
        <f t="shared" si="38"/>
        <v>100.45341401450064</v>
      </c>
      <c r="X126" s="18">
        <f t="shared" si="42"/>
        <v>100.42980296902023</v>
      </c>
      <c r="Y126" s="19">
        <f t="shared" si="35"/>
        <v>-3.3056114568258844E-4</v>
      </c>
      <c r="Z126" s="19">
        <f t="shared" si="35"/>
        <v>-6.3147718255103817E-4</v>
      </c>
      <c r="AA126" s="19">
        <f t="shared" si="35"/>
        <v>-3.9640482614728968E-4</v>
      </c>
      <c r="AC126" s="20">
        <f t="shared" si="36"/>
        <v>1.2164394583669873E-3</v>
      </c>
      <c r="AD126" s="20">
        <f t="shared" si="36"/>
        <v>8.9690573554549607E-4</v>
      </c>
      <c r="AE126" s="20"/>
      <c r="AF126" s="20"/>
      <c r="AH126">
        <f t="shared" si="43"/>
        <v>0</v>
      </c>
      <c r="AI126">
        <f t="shared" si="44"/>
        <v>0</v>
      </c>
      <c r="AJ126">
        <f t="shared" si="45"/>
        <v>0</v>
      </c>
      <c r="AK126">
        <f t="shared" si="40"/>
        <v>0</v>
      </c>
      <c r="AL126" s="20">
        <f t="shared" si="46"/>
        <v>0</v>
      </c>
      <c r="AM126" s="20">
        <f t="shared" si="47"/>
        <v>0</v>
      </c>
      <c r="AN126" s="20">
        <f t="shared" si="48"/>
        <v>0</v>
      </c>
      <c r="AO126" s="21">
        <f t="shared" si="49"/>
        <v>3.6235668969633447E-3</v>
      </c>
      <c r="AQ126" s="20"/>
      <c r="AS126">
        <f t="shared" si="50"/>
        <v>0</v>
      </c>
      <c r="AT126">
        <f t="shared" si="51"/>
        <v>1</v>
      </c>
      <c r="AU126">
        <f t="shared" si="52"/>
        <v>0</v>
      </c>
      <c r="AV126">
        <f t="shared" si="53"/>
        <v>0</v>
      </c>
      <c r="AW126" s="20">
        <f t="shared" si="54"/>
        <v>0</v>
      </c>
      <c r="AX126" s="20">
        <f t="shared" si="55"/>
        <v>0</v>
      </c>
      <c r="AY126" s="20">
        <f t="shared" si="56"/>
        <v>0</v>
      </c>
      <c r="AZ126" s="21">
        <f t="shared" si="57"/>
        <v>8.2786809888977402E-4</v>
      </c>
      <c r="BB126" s="21">
        <f t="shared" si="58"/>
        <v>0</v>
      </c>
      <c r="BC126" s="21">
        <f t="shared" si="59"/>
        <v>4.4514349958531185E-3</v>
      </c>
    </row>
    <row r="127" spans="1:55" x14ac:dyDescent="0.3">
      <c r="A127" s="1">
        <v>46209</v>
      </c>
      <c r="B127" s="11">
        <v>57.58</v>
      </c>
      <c r="C127" s="11">
        <v>100.43</v>
      </c>
      <c r="D127" s="12">
        <v>1.74418200764154</v>
      </c>
      <c r="E127" s="12">
        <v>1.74406374641995</v>
      </c>
      <c r="F127" s="12">
        <v>1.7445963944642799</v>
      </c>
      <c r="G127" s="12">
        <v>1.7442224899879999</v>
      </c>
      <c r="H127" s="11">
        <v>100.42319051886</v>
      </c>
      <c r="I127" s="11">
        <v>100.448806828036</v>
      </c>
      <c r="J127" s="11">
        <v>100.42825864865701</v>
      </c>
      <c r="K127" s="13">
        <v>6.78055561296067E-5</v>
      </c>
      <c r="L127" s="13">
        <v>-1.8724551771507101E-4</v>
      </c>
      <c r="M127" s="13">
        <v>1.7339106238050402E-5</v>
      </c>
      <c r="N127" s="24">
        <v>0</v>
      </c>
      <c r="O127" s="25">
        <v>0</v>
      </c>
      <c r="P127" s="25">
        <f t="shared" si="41"/>
        <v>57.58</v>
      </c>
      <c r="Q127" s="25">
        <f t="shared" si="41"/>
        <v>100.43</v>
      </c>
      <c r="R127" s="16">
        <f t="shared" si="32"/>
        <v>1.7441820076415424</v>
      </c>
      <c r="S127" s="16">
        <f t="shared" si="33"/>
        <v>1.7440637464199518</v>
      </c>
      <c r="T127" s="16">
        <f t="shared" si="37"/>
        <v>1.7445963944642879</v>
      </c>
      <c r="U127" s="16">
        <f t="shared" si="39"/>
        <v>1.7442224899880017</v>
      </c>
      <c r="V127" s="18">
        <f t="shared" si="34"/>
        <v>100.42319051886082</v>
      </c>
      <c r="W127" s="18">
        <f t="shared" si="38"/>
        <v>100.4488068280363</v>
      </c>
      <c r="X127" s="18">
        <f t="shared" si="42"/>
        <v>100.42825864865729</v>
      </c>
      <c r="Y127" s="19">
        <f t="shared" si="35"/>
        <v>6.7805556129828744E-5</v>
      </c>
      <c r="Z127" s="19">
        <f t="shared" si="35"/>
        <v>-1.8724551771496023E-4</v>
      </c>
      <c r="AA127" s="19">
        <f t="shared" si="35"/>
        <v>1.7339106238050429E-5</v>
      </c>
      <c r="AC127" s="20">
        <f t="shared" si="36"/>
        <v>0</v>
      </c>
      <c r="AD127" s="20">
        <f t="shared" si="36"/>
        <v>3.9836670181240196E-4</v>
      </c>
      <c r="AE127" s="20"/>
      <c r="AF127" s="20"/>
      <c r="AH127">
        <f t="shared" si="43"/>
        <v>0</v>
      </c>
      <c r="AI127">
        <f t="shared" si="44"/>
        <v>1</v>
      </c>
      <c r="AJ127">
        <f t="shared" si="45"/>
        <v>0</v>
      </c>
      <c r="AK127">
        <f t="shared" si="40"/>
        <v>0</v>
      </c>
      <c r="AL127" s="20">
        <f t="shared" si="46"/>
        <v>0</v>
      </c>
      <c r="AM127" s="20">
        <f t="shared" si="47"/>
        <v>0</v>
      </c>
      <c r="AN127" s="20">
        <f t="shared" si="48"/>
        <v>0</v>
      </c>
      <c r="AO127" s="21">
        <f t="shared" si="49"/>
        <v>3.6235668969633447E-3</v>
      </c>
      <c r="AQ127" s="20"/>
      <c r="AS127">
        <f t="shared" si="50"/>
        <v>0</v>
      </c>
      <c r="AT127">
        <f t="shared" si="51"/>
        <v>0</v>
      </c>
      <c r="AU127">
        <f t="shared" si="52"/>
        <v>0</v>
      </c>
      <c r="AV127">
        <f t="shared" si="53"/>
        <v>0</v>
      </c>
      <c r="AW127" s="20">
        <f t="shared" si="54"/>
        <v>0</v>
      </c>
      <c r="AX127" s="20">
        <f t="shared" si="55"/>
        <v>0</v>
      </c>
      <c r="AY127" s="20">
        <f t="shared" si="56"/>
        <v>0</v>
      </c>
      <c r="AZ127" s="21">
        <f t="shared" si="57"/>
        <v>8.2786809888977402E-4</v>
      </c>
      <c r="BB127" s="21">
        <f t="shared" si="58"/>
        <v>0</v>
      </c>
      <c r="BC127" s="21">
        <f t="shared" si="59"/>
        <v>4.4514349958531185E-3</v>
      </c>
    </row>
    <row r="128" spans="1:55" x14ac:dyDescent="0.3">
      <c r="A128" s="1">
        <v>46210</v>
      </c>
      <c r="B128" s="11">
        <v>57.48</v>
      </c>
      <c r="C128" s="11">
        <v>100.23</v>
      </c>
      <c r="D128" s="12">
        <v>1.7437369519832899</v>
      </c>
      <c r="E128" s="12">
        <v>1.74406374641995</v>
      </c>
      <c r="F128" s="12">
        <v>1.74453975395206</v>
      </c>
      <c r="G128" s="12">
        <v>1.7442323124475001</v>
      </c>
      <c r="H128" s="11">
        <v>100.24878414421801</v>
      </c>
      <c r="I128" s="11">
        <v>100.279400753807</v>
      </c>
      <c r="J128" s="11">
        <v>100.25790872451</v>
      </c>
      <c r="K128" s="13">
        <v>-1.87392839137526E-4</v>
      </c>
      <c r="L128" s="13">
        <v>-4.9275250557933204E-4</v>
      </c>
      <c r="M128" s="13">
        <v>-2.78408058303133E-4</v>
      </c>
      <c r="N128" s="24">
        <v>0</v>
      </c>
      <c r="O128" s="25">
        <v>0</v>
      </c>
      <c r="P128" s="25">
        <f t="shared" si="41"/>
        <v>57.48</v>
      </c>
      <c r="Q128" s="25">
        <f t="shared" si="41"/>
        <v>100.23</v>
      </c>
      <c r="R128" s="16">
        <f t="shared" si="32"/>
        <v>1.7437369519832988</v>
      </c>
      <c r="S128" s="16">
        <f t="shared" si="33"/>
        <v>1.7440637464199518</v>
      </c>
      <c r="T128" s="16">
        <f t="shared" si="37"/>
        <v>1.7445397539520595</v>
      </c>
      <c r="U128" s="16">
        <f t="shared" si="39"/>
        <v>1.7442323124475023</v>
      </c>
      <c r="V128" s="18">
        <f t="shared" si="34"/>
        <v>100.24878414421882</v>
      </c>
      <c r="W128" s="18">
        <f t="shared" si="38"/>
        <v>100.27940075380727</v>
      </c>
      <c r="X128" s="18">
        <f t="shared" si="42"/>
        <v>100.25790872451033</v>
      </c>
      <c r="Y128" s="19">
        <f t="shared" si="35"/>
        <v>-1.8739283913719304E-4</v>
      </c>
      <c r="Z128" s="19">
        <f t="shared" si="35"/>
        <v>-4.9275250557933236E-4</v>
      </c>
      <c r="AA128" s="19">
        <f t="shared" si="35"/>
        <v>-2.7840805830280075E-4</v>
      </c>
      <c r="AC128" s="20">
        <f t="shared" si="36"/>
        <v>-1.7382239732056191E-3</v>
      </c>
      <c r="AD128" s="20">
        <f t="shared" si="36"/>
        <v>-1.9934223684728676E-3</v>
      </c>
      <c r="AE128" s="20"/>
      <c r="AF128" s="20"/>
      <c r="AH128">
        <f t="shared" si="43"/>
        <v>0</v>
      </c>
      <c r="AI128">
        <f t="shared" si="44"/>
        <v>0</v>
      </c>
      <c r="AJ128">
        <f t="shared" si="45"/>
        <v>0</v>
      </c>
      <c r="AK128">
        <f t="shared" si="40"/>
        <v>0</v>
      </c>
      <c r="AL128" s="20">
        <f t="shared" si="46"/>
        <v>0</v>
      </c>
      <c r="AM128" s="20">
        <f t="shared" si="47"/>
        <v>0</v>
      </c>
      <c r="AN128" s="20">
        <f t="shared" si="48"/>
        <v>0</v>
      </c>
      <c r="AO128" s="21">
        <f t="shared" si="49"/>
        <v>3.6235668969633447E-3</v>
      </c>
      <c r="AQ128" s="20"/>
      <c r="AS128">
        <f t="shared" si="50"/>
        <v>0</v>
      </c>
      <c r="AT128">
        <f t="shared" si="51"/>
        <v>1</v>
      </c>
      <c r="AU128">
        <f t="shared" si="52"/>
        <v>0</v>
      </c>
      <c r="AV128">
        <f t="shared" si="53"/>
        <v>0</v>
      </c>
      <c r="AW128" s="20">
        <f t="shared" si="54"/>
        <v>0</v>
      </c>
      <c r="AX128" s="20">
        <f t="shared" si="55"/>
        <v>0</v>
      </c>
      <c r="AY128" s="20">
        <f t="shared" si="56"/>
        <v>0</v>
      </c>
      <c r="AZ128" s="21">
        <f t="shared" si="57"/>
        <v>8.2786809888977402E-4</v>
      </c>
      <c r="BB128" s="21">
        <f t="shared" si="58"/>
        <v>0</v>
      </c>
      <c r="BC128" s="21">
        <f t="shared" si="59"/>
        <v>4.4514349958531185E-3</v>
      </c>
    </row>
    <row r="129" spans="1:55" x14ac:dyDescent="0.3">
      <c r="A129" s="1">
        <v>46211</v>
      </c>
      <c r="B129" s="11">
        <v>57.33</v>
      </c>
      <c r="C129" s="11">
        <v>100.01</v>
      </c>
      <c r="D129" s="12">
        <v>1.7444618873190301</v>
      </c>
      <c r="E129" s="12">
        <v>1.74406374641995</v>
      </c>
      <c r="F129" s="12">
        <v>1.7445037842853499</v>
      </c>
      <c r="G129" s="12">
        <v>1.74424996083684</v>
      </c>
      <c r="H129" s="11">
        <v>99.987174582255804</v>
      </c>
      <c r="I129" s="11">
        <v>100.014464094071</v>
      </c>
      <c r="J129" s="11">
        <v>99.996838472615295</v>
      </c>
      <c r="K129" s="13">
        <v>2.2825740304509799E-4</v>
      </c>
      <c r="L129" s="13">
        <v>-4.4635480890379E-5</v>
      </c>
      <c r="M129" s="13">
        <v>1.3161077395372299E-4</v>
      </c>
      <c r="N129" s="24">
        <v>0</v>
      </c>
      <c r="O129" s="25">
        <v>0</v>
      </c>
      <c r="P129" s="25">
        <f t="shared" si="41"/>
        <v>57.33</v>
      </c>
      <c r="Q129" s="25">
        <f t="shared" si="41"/>
        <v>100.01</v>
      </c>
      <c r="R129" s="16">
        <f t="shared" si="32"/>
        <v>1.7444618873190303</v>
      </c>
      <c r="S129" s="16">
        <f t="shared" si="33"/>
        <v>1.7440637464199518</v>
      </c>
      <c r="T129" s="16">
        <f t="shared" si="37"/>
        <v>1.7445037842853552</v>
      </c>
      <c r="U129" s="16">
        <f t="shared" si="39"/>
        <v>1.7442499608368436</v>
      </c>
      <c r="V129" s="18">
        <f t="shared" si="34"/>
        <v>99.987174582255832</v>
      </c>
      <c r="W129" s="18">
        <f t="shared" si="38"/>
        <v>100.01446409407157</v>
      </c>
      <c r="X129" s="18">
        <f t="shared" si="42"/>
        <v>99.996838472615309</v>
      </c>
      <c r="Y129" s="19">
        <f t="shared" si="35"/>
        <v>2.2825740304532023E-4</v>
      </c>
      <c r="Z129" s="19">
        <f t="shared" si="35"/>
        <v>-4.4635480890046007E-5</v>
      </c>
      <c r="AA129" s="19">
        <f t="shared" si="35"/>
        <v>1.3161077395350165E-4</v>
      </c>
      <c r="AC129" s="20">
        <f t="shared" si="36"/>
        <v>-2.6130142905327952E-3</v>
      </c>
      <c r="AD129" s="20">
        <f t="shared" si="36"/>
        <v>-2.1973640483501735E-3</v>
      </c>
      <c r="AE129" s="20"/>
      <c r="AF129" s="20"/>
      <c r="AH129">
        <f t="shared" si="43"/>
        <v>0</v>
      </c>
      <c r="AI129">
        <f t="shared" si="44"/>
        <v>1</v>
      </c>
      <c r="AJ129">
        <f t="shared" si="45"/>
        <v>0</v>
      </c>
      <c r="AK129">
        <f t="shared" si="40"/>
        <v>0</v>
      </c>
      <c r="AL129" s="20">
        <f t="shared" si="46"/>
        <v>0</v>
      </c>
      <c r="AM129" s="20">
        <f t="shared" si="47"/>
        <v>0</v>
      </c>
      <c r="AN129" s="20">
        <f t="shared" si="48"/>
        <v>0</v>
      </c>
      <c r="AO129" s="21">
        <f t="shared" si="49"/>
        <v>3.6235668969633447E-3</v>
      </c>
      <c r="AQ129" s="20"/>
      <c r="AS129">
        <f t="shared" si="50"/>
        <v>0</v>
      </c>
      <c r="AT129">
        <f t="shared" si="51"/>
        <v>0</v>
      </c>
      <c r="AU129">
        <f t="shared" si="52"/>
        <v>0</v>
      </c>
      <c r="AV129">
        <f t="shared" si="53"/>
        <v>0</v>
      </c>
      <c r="AW129" s="20">
        <f t="shared" si="54"/>
        <v>0</v>
      </c>
      <c r="AX129" s="20">
        <f t="shared" si="55"/>
        <v>0</v>
      </c>
      <c r="AY129" s="20">
        <f t="shared" si="56"/>
        <v>0</v>
      </c>
      <c r="AZ129" s="21">
        <f t="shared" si="57"/>
        <v>8.2786809888977402E-4</v>
      </c>
      <c r="BB129" s="21">
        <f t="shared" si="58"/>
        <v>0</v>
      </c>
      <c r="BC129" s="21">
        <f t="shared" si="59"/>
        <v>4.4514349958531185E-3</v>
      </c>
    </row>
    <row r="130" spans="1:55" x14ac:dyDescent="0.3">
      <c r="A130" s="1">
        <v>46212</v>
      </c>
      <c r="B130" s="11">
        <v>57.36</v>
      </c>
      <c r="C130" s="11">
        <v>100.05</v>
      </c>
      <c r="D130" s="12">
        <v>1.74424686192468</v>
      </c>
      <c r="E130" s="12">
        <v>1.74406374641995</v>
      </c>
      <c r="F130" s="12">
        <v>1.7444544659568699</v>
      </c>
      <c r="G130" s="12">
        <v>1.74430873935228</v>
      </c>
      <c r="H130" s="11">
        <v>100.03949649464801</v>
      </c>
      <c r="I130" s="11">
        <v>100.06473706660699</v>
      </c>
      <c r="J130" s="11">
        <v>100.05017775360101</v>
      </c>
      <c r="K130" s="13">
        <v>1.04988073289063E-4</v>
      </c>
      <c r="L130" s="13">
        <v>-1.4728617043049001E-4</v>
      </c>
      <c r="M130" s="13">
        <v>-1.7766461112817E-6</v>
      </c>
      <c r="N130" s="24">
        <v>0</v>
      </c>
      <c r="O130" s="25">
        <v>0</v>
      </c>
      <c r="P130" s="25">
        <f t="shared" si="41"/>
        <v>57.36</v>
      </c>
      <c r="Q130" s="25">
        <f t="shared" si="41"/>
        <v>100.05</v>
      </c>
      <c r="R130" s="16">
        <f t="shared" si="32"/>
        <v>1.7442468619246863</v>
      </c>
      <c r="S130" s="16">
        <f t="shared" si="33"/>
        <v>1.7440637464199518</v>
      </c>
      <c r="T130" s="16">
        <f t="shared" si="37"/>
        <v>1.744454465956871</v>
      </c>
      <c r="U130" s="16">
        <f t="shared" si="39"/>
        <v>1.7443087393522863</v>
      </c>
      <c r="V130" s="18">
        <f t="shared" si="34"/>
        <v>100.03949649464843</v>
      </c>
      <c r="W130" s="18">
        <f t="shared" si="38"/>
        <v>100.06473706660798</v>
      </c>
      <c r="X130" s="18">
        <f t="shared" si="42"/>
        <v>100.05017775360135</v>
      </c>
      <c r="Y130" s="19">
        <f t="shared" si="35"/>
        <v>1.0498807328950751E-4</v>
      </c>
      <c r="Z130" s="19">
        <f t="shared" si="35"/>
        <v>-1.4728617043049076E-4</v>
      </c>
      <c r="AA130" s="19">
        <f t="shared" si="35"/>
        <v>-1.776646111392724E-6</v>
      </c>
      <c r="AC130" s="20">
        <f t="shared" si="36"/>
        <v>5.23149371073524E-4</v>
      </c>
      <c r="AD130" s="20">
        <f t="shared" si="36"/>
        <v>3.9988004131758404E-4</v>
      </c>
      <c r="AE130" s="20"/>
      <c r="AF130" s="20"/>
      <c r="AH130">
        <f t="shared" si="43"/>
        <v>0</v>
      </c>
      <c r="AI130">
        <f t="shared" si="44"/>
        <v>0</v>
      </c>
      <c r="AJ130">
        <f t="shared" si="45"/>
        <v>0</v>
      </c>
      <c r="AK130">
        <f t="shared" si="40"/>
        <v>0</v>
      </c>
      <c r="AL130" s="20">
        <f t="shared" si="46"/>
        <v>0</v>
      </c>
      <c r="AM130" s="20">
        <f t="shared" si="47"/>
        <v>0</v>
      </c>
      <c r="AN130" s="20">
        <f t="shared" si="48"/>
        <v>0</v>
      </c>
      <c r="AO130" s="21">
        <f t="shared" si="49"/>
        <v>3.6235668969633447E-3</v>
      </c>
      <c r="AQ130" s="20"/>
      <c r="AS130">
        <f t="shared" si="50"/>
        <v>0</v>
      </c>
      <c r="AT130">
        <f t="shared" si="51"/>
        <v>1</v>
      </c>
      <c r="AU130">
        <f t="shared" si="52"/>
        <v>0</v>
      </c>
      <c r="AV130">
        <f t="shared" si="53"/>
        <v>0</v>
      </c>
      <c r="AW130" s="20">
        <f t="shared" si="54"/>
        <v>0</v>
      </c>
      <c r="AX130" s="20">
        <f t="shared" si="55"/>
        <v>0</v>
      </c>
      <c r="AY130" s="20">
        <f t="shared" si="56"/>
        <v>0</v>
      </c>
      <c r="AZ130" s="21">
        <f t="shared" si="57"/>
        <v>8.2786809888977402E-4</v>
      </c>
      <c r="BB130" s="21">
        <f t="shared" si="58"/>
        <v>0</v>
      </c>
      <c r="BC130" s="21">
        <f t="shared" si="59"/>
        <v>4.4514349958531185E-3</v>
      </c>
    </row>
    <row r="131" spans="1:55" x14ac:dyDescent="0.3">
      <c r="A131" s="1">
        <v>46213</v>
      </c>
      <c r="B131" s="11">
        <v>57.35</v>
      </c>
      <c r="C131" s="11">
        <v>100.09</v>
      </c>
      <c r="D131" s="12">
        <v>1.7452484742807299</v>
      </c>
      <c r="E131" s="12">
        <v>1.74406374641995</v>
      </c>
      <c r="F131" s="12">
        <v>1.74447019088277</v>
      </c>
      <c r="G131" s="12">
        <v>1.74433767827079</v>
      </c>
      <c r="H131" s="11">
        <v>100.022055857184</v>
      </c>
      <c r="I131" s="11">
        <v>100.044463622626</v>
      </c>
      <c r="J131" s="11">
        <v>100.036106201853</v>
      </c>
      <c r="K131" s="13">
        <v>6.7906099045947496E-4</v>
      </c>
      <c r="L131" s="13">
        <v>4.5505783796545899E-4</v>
      </c>
      <c r="M131" s="13">
        <v>5.3859839150481299E-4</v>
      </c>
      <c r="N131" s="24">
        <v>0</v>
      </c>
      <c r="O131" s="25">
        <v>0</v>
      </c>
      <c r="P131" s="25">
        <f t="shared" si="41"/>
        <v>57.35</v>
      </c>
      <c r="Q131" s="25">
        <f t="shared" si="41"/>
        <v>100.09</v>
      </c>
      <c r="R131" s="16">
        <f t="shared" ref="R131:R156" si="60">Q131/P131</f>
        <v>1.7452484742807324</v>
      </c>
      <c r="S131" s="16">
        <f t="shared" ref="S131:S156" si="61">AVERAGE(R:R)</f>
        <v>1.7440637464199518</v>
      </c>
      <c r="T131" s="16">
        <f t="shared" si="37"/>
        <v>1.7444701908827724</v>
      </c>
      <c r="U131" s="16">
        <f t="shared" si="39"/>
        <v>1.7443376782707969</v>
      </c>
      <c r="V131" s="18">
        <f t="shared" si="34"/>
        <v>100.02205585718424</v>
      </c>
      <c r="W131" s="18">
        <f t="shared" si="38"/>
        <v>100.04446362262655</v>
      </c>
      <c r="X131" s="18">
        <f t="shared" si="42"/>
        <v>100.03610620185361</v>
      </c>
      <c r="Y131" s="19">
        <f t="shared" si="35"/>
        <v>6.7906099045969776E-4</v>
      </c>
      <c r="Z131" s="19">
        <f t="shared" si="35"/>
        <v>4.5505783796545996E-4</v>
      </c>
      <c r="AA131" s="19">
        <f t="shared" si="35"/>
        <v>5.3859839150481321E-4</v>
      </c>
      <c r="AC131" s="20">
        <f t="shared" si="36"/>
        <v>-1.7435271598514583E-4</v>
      </c>
      <c r="AD131" s="20">
        <f t="shared" si="36"/>
        <v>3.9972020118512954E-4</v>
      </c>
      <c r="AE131" s="20"/>
      <c r="AF131" s="20"/>
      <c r="AH131">
        <f t="shared" si="43"/>
        <v>0</v>
      </c>
      <c r="AI131">
        <f t="shared" si="44"/>
        <v>1</v>
      </c>
      <c r="AJ131">
        <f t="shared" si="45"/>
        <v>0</v>
      </c>
      <c r="AK131">
        <f t="shared" si="40"/>
        <v>0</v>
      </c>
      <c r="AL131" s="20">
        <f t="shared" si="46"/>
        <v>0</v>
      </c>
      <c r="AM131" s="20">
        <f t="shared" si="47"/>
        <v>0</v>
      </c>
      <c r="AN131" s="20">
        <f t="shared" si="48"/>
        <v>0</v>
      </c>
      <c r="AO131" s="21">
        <f t="shared" si="49"/>
        <v>3.6235668969633447E-3</v>
      </c>
      <c r="AQ131" s="20"/>
      <c r="AS131">
        <f t="shared" si="50"/>
        <v>0</v>
      </c>
      <c r="AT131">
        <f t="shared" si="51"/>
        <v>0</v>
      </c>
      <c r="AU131">
        <f t="shared" si="52"/>
        <v>0</v>
      </c>
      <c r="AV131">
        <f t="shared" si="53"/>
        <v>0</v>
      </c>
      <c r="AW131" s="20">
        <f t="shared" si="54"/>
        <v>0</v>
      </c>
      <c r="AX131" s="20">
        <f t="shared" si="55"/>
        <v>0</v>
      </c>
      <c r="AY131" s="20">
        <f t="shared" si="56"/>
        <v>0</v>
      </c>
      <c r="AZ131" s="21">
        <f t="shared" si="57"/>
        <v>8.2786809888977402E-4</v>
      </c>
      <c r="BB131" s="21">
        <f t="shared" si="58"/>
        <v>0</v>
      </c>
      <c r="BC131" s="21">
        <f t="shared" si="59"/>
        <v>4.4514349958531185E-3</v>
      </c>
    </row>
    <row r="132" spans="1:55" x14ac:dyDescent="0.3">
      <c r="A132" s="1">
        <v>46216</v>
      </c>
      <c r="B132" s="11">
        <v>57.33</v>
      </c>
      <c r="C132" s="11">
        <v>99.97</v>
      </c>
      <c r="D132" s="12">
        <v>1.7437641723356001</v>
      </c>
      <c r="E132" s="12">
        <v>1.74406374641995</v>
      </c>
      <c r="F132" s="12">
        <v>1.7443674414496599</v>
      </c>
      <c r="G132" s="12">
        <v>1.7443463997080899</v>
      </c>
      <c r="H132" s="11">
        <v>99.987174582255804</v>
      </c>
      <c r="I132" s="11">
        <v>100.010476043309</v>
      </c>
      <c r="J132" s="11">
        <v>100.00287909526401</v>
      </c>
      <c r="K132" s="13">
        <v>-1.7178260629036401E-4</v>
      </c>
      <c r="L132" s="13">
        <v>-4.0479995510412498E-4</v>
      </c>
      <c r="M132" s="13">
        <v>-3.2883554719838597E-4</v>
      </c>
      <c r="N132" s="24">
        <v>0</v>
      </c>
      <c r="O132" s="25">
        <v>0</v>
      </c>
      <c r="P132" s="25">
        <f t="shared" si="41"/>
        <v>57.33</v>
      </c>
      <c r="Q132" s="25">
        <f t="shared" si="41"/>
        <v>99.97</v>
      </c>
      <c r="R132" s="16">
        <f t="shared" si="60"/>
        <v>1.743764172335601</v>
      </c>
      <c r="S132" s="16">
        <f t="shared" si="61"/>
        <v>1.7440637464199518</v>
      </c>
      <c r="T132" s="16">
        <f t="shared" si="37"/>
        <v>1.7443674414496655</v>
      </c>
      <c r="U132" s="16">
        <f t="shared" si="39"/>
        <v>1.7443463997080901</v>
      </c>
      <c r="V132" s="18">
        <f t="shared" ref="V132:V156" si="62">S131*P132</f>
        <v>99.987174582255832</v>
      </c>
      <c r="W132" s="18">
        <f t="shared" si="38"/>
        <v>100.01047604330934</v>
      </c>
      <c r="X132" s="18">
        <f t="shared" si="42"/>
        <v>100.00287909526479</v>
      </c>
      <c r="Y132" s="19">
        <f t="shared" ref="Y132:AA156" si="63">LN($C132/V132)</f>
        <v>-1.717826062900316E-4</v>
      </c>
      <c r="Z132" s="19">
        <f t="shared" si="63"/>
        <v>-4.0479995510445913E-4</v>
      </c>
      <c r="AA132" s="19">
        <f t="shared" si="63"/>
        <v>-3.2883554719838679E-4</v>
      </c>
      <c r="AC132" s="20">
        <f t="shared" ref="AC132:AD156" si="64">LN(B132/B131)</f>
        <v>-3.4879665508839679E-4</v>
      </c>
      <c r="AD132" s="20">
        <f t="shared" si="64"/>
        <v>-1.1996402518381927E-3</v>
      </c>
      <c r="AE132" s="20"/>
      <c r="AF132" s="20"/>
      <c r="AH132">
        <f t="shared" si="43"/>
        <v>0</v>
      </c>
      <c r="AI132">
        <f t="shared" si="44"/>
        <v>0</v>
      </c>
      <c r="AJ132">
        <f t="shared" si="45"/>
        <v>0</v>
      </c>
      <c r="AK132">
        <f t="shared" si="40"/>
        <v>0</v>
      </c>
      <c r="AL132" s="20">
        <f t="shared" si="46"/>
        <v>0</v>
      </c>
      <c r="AM132" s="20">
        <f t="shared" si="47"/>
        <v>0</v>
      </c>
      <c r="AN132" s="20">
        <f t="shared" si="48"/>
        <v>0</v>
      </c>
      <c r="AO132" s="21">
        <f t="shared" si="49"/>
        <v>3.6235668969633447E-3</v>
      </c>
      <c r="AQ132" s="20"/>
      <c r="AS132">
        <f t="shared" si="50"/>
        <v>0</v>
      </c>
      <c r="AT132">
        <f t="shared" si="51"/>
        <v>1</v>
      </c>
      <c r="AU132">
        <f t="shared" si="52"/>
        <v>0</v>
      </c>
      <c r="AV132">
        <f t="shared" si="53"/>
        <v>0</v>
      </c>
      <c r="AW132" s="20">
        <f t="shared" si="54"/>
        <v>0</v>
      </c>
      <c r="AX132" s="20">
        <f t="shared" si="55"/>
        <v>0</v>
      </c>
      <c r="AY132" s="20">
        <f t="shared" si="56"/>
        <v>0</v>
      </c>
      <c r="AZ132" s="21">
        <f t="shared" si="57"/>
        <v>8.2786809888977402E-4</v>
      </c>
      <c r="BB132" s="21">
        <f t="shared" si="58"/>
        <v>0</v>
      </c>
      <c r="BC132" s="21">
        <f t="shared" si="59"/>
        <v>4.4514349958531185E-3</v>
      </c>
    </row>
    <row r="133" spans="1:55" x14ac:dyDescent="0.3">
      <c r="A133" s="1">
        <v>46217</v>
      </c>
      <c r="B133" s="11">
        <v>57.34</v>
      </c>
      <c r="C133" s="11">
        <v>100.02</v>
      </c>
      <c r="D133" s="12">
        <v>1.74433205441227</v>
      </c>
      <c r="E133" s="12">
        <v>1.74406374641995</v>
      </c>
      <c r="F133" s="12">
        <v>1.7442819998830801</v>
      </c>
      <c r="G133" s="12">
        <v>1.7443530914184</v>
      </c>
      <c r="H133" s="11">
        <v>100.00461521971999</v>
      </c>
      <c r="I133" s="11">
        <v>100.022029092723</v>
      </c>
      <c r="J133" s="11">
        <v>100.02082255926101</v>
      </c>
      <c r="K133" s="13">
        <v>1.5382887044544999E-4</v>
      </c>
      <c r="L133" s="13">
        <v>-2.0286664088622101E-5</v>
      </c>
      <c r="M133" s="13">
        <v>-8.2239140128998299E-6</v>
      </c>
      <c r="N133" s="24">
        <v>0</v>
      </c>
      <c r="O133" s="25">
        <v>0</v>
      </c>
      <c r="P133" s="25">
        <f t="shared" si="41"/>
        <v>57.34</v>
      </c>
      <c r="Q133" s="25">
        <f t="shared" si="41"/>
        <v>100.02</v>
      </c>
      <c r="R133" s="16">
        <f t="shared" si="60"/>
        <v>1.7443320544122776</v>
      </c>
      <c r="S133" s="16">
        <f t="shared" si="61"/>
        <v>1.7440637464199518</v>
      </c>
      <c r="T133" s="16">
        <f t="shared" si="37"/>
        <v>1.7442819998830879</v>
      </c>
      <c r="U133" s="16">
        <f t="shared" si="39"/>
        <v>1.7443530914184087</v>
      </c>
      <c r="V133" s="18">
        <f t="shared" si="62"/>
        <v>100.00461521972004</v>
      </c>
      <c r="W133" s="18">
        <f t="shared" si="38"/>
        <v>100.02202909272383</v>
      </c>
      <c r="X133" s="18">
        <f t="shared" si="42"/>
        <v>100.02082255926189</v>
      </c>
      <c r="Y133" s="19">
        <f t="shared" si="63"/>
        <v>1.5382887044567231E-4</v>
      </c>
      <c r="Z133" s="19">
        <f t="shared" si="63"/>
        <v>-2.0286664088622121E-5</v>
      </c>
      <c r="AA133" s="19">
        <f t="shared" si="63"/>
        <v>-8.2239140128998333E-6</v>
      </c>
      <c r="AC133" s="20">
        <f t="shared" si="64"/>
        <v>1.7441353493247874E-4</v>
      </c>
      <c r="AD133" s="20">
        <f t="shared" si="64"/>
        <v>5.0002501166825813E-4</v>
      </c>
      <c r="AE133" s="20"/>
      <c r="AF133" s="20"/>
      <c r="AH133">
        <f t="shared" si="43"/>
        <v>0</v>
      </c>
      <c r="AI133">
        <f t="shared" si="44"/>
        <v>0</v>
      </c>
      <c r="AJ133">
        <f t="shared" si="45"/>
        <v>0</v>
      </c>
      <c r="AK133">
        <f t="shared" si="40"/>
        <v>0</v>
      </c>
      <c r="AL133" s="20">
        <f t="shared" si="46"/>
        <v>0</v>
      </c>
      <c r="AM133" s="20">
        <f t="shared" si="47"/>
        <v>0</v>
      </c>
      <c r="AN133" s="20">
        <f t="shared" si="48"/>
        <v>0</v>
      </c>
      <c r="AO133" s="21">
        <f t="shared" si="49"/>
        <v>3.6235668969633447E-3</v>
      </c>
      <c r="AQ133" s="20"/>
      <c r="AS133">
        <f t="shared" si="50"/>
        <v>0</v>
      </c>
      <c r="AT133">
        <f t="shared" si="51"/>
        <v>1</v>
      </c>
      <c r="AU133">
        <f t="shared" si="52"/>
        <v>0</v>
      </c>
      <c r="AV133">
        <f t="shared" si="53"/>
        <v>0</v>
      </c>
      <c r="AW133" s="20">
        <f t="shared" si="54"/>
        <v>0</v>
      </c>
      <c r="AX133" s="20">
        <f t="shared" si="55"/>
        <v>0</v>
      </c>
      <c r="AY133" s="20">
        <f t="shared" si="56"/>
        <v>0</v>
      </c>
      <c r="AZ133" s="21">
        <f t="shared" si="57"/>
        <v>8.2786809888977402E-4</v>
      </c>
      <c r="BB133" s="21">
        <f t="shared" si="58"/>
        <v>0</v>
      </c>
      <c r="BC133" s="21">
        <f t="shared" si="59"/>
        <v>4.4514349958531185E-3</v>
      </c>
    </row>
    <row r="134" spans="1:55" x14ac:dyDescent="0.3">
      <c r="A134" s="1">
        <v>46218</v>
      </c>
      <c r="B134" s="11">
        <v>57.25</v>
      </c>
      <c r="C134" s="11">
        <v>99.85</v>
      </c>
      <c r="D134" s="12">
        <v>1.7441048034934401</v>
      </c>
      <c r="E134" s="12">
        <v>1.74406374641995</v>
      </c>
      <c r="F134" s="12">
        <v>1.74416090493749</v>
      </c>
      <c r="G134" s="12">
        <v>1.74435895898938</v>
      </c>
      <c r="H134" s="11">
        <v>99.847649482542195</v>
      </c>
      <c r="I134" s="11">
        <v>99.860144493306706</v>
      </c>
      <c r="J134" s="11">
        <v>99.864214483703805</v>
      </c>
      <c r="K134" s="13">
        <v>2.3540762386741999E-5</v>
      </c>
      <c r="L134" s="13">
        <v>-1.01592168402297E-4</v>
      </c>
      <c r="M134" s="13">
        <v>-1.4234824260896901E-4</v>
      </c>
      <c r="N134" s="24">
        <v>0</v>
      </c>
      <c r="O134" s="25">
        <v>0</v>
      </c>
      <c r="P134" s="25">
        <f t="shared" si="41"/>
        <v>57.25</v>
      </c>
      <c r="Q134" s="25">
        <f t="shared" si="41"/>
        <v>99.85</v>
      </c>
      <c r="R134" s="16">
        <f t="shared" si="60"/>
        <v>1.7441048034934497</v>
      </c>
      <c r="S134" s="16">
        <f t="shared" si="61"/>
        <v>1.7440637464199518</v>
      </c>
      <c r="T134" s="16">
        <f t="shared" si="37"/>
        <v>1.7441609049374986</v>
      </c>
      <c r="U134" s="16">
        <f t="shared" si="39"/>
        <v>1.7443589589893864</v>
      </c>
      <c r="V134" s="18">
        <f t="shared" si="62"/>
        <v>99.847649482542238</v>
      </c>
      <c r="W134" s="18">
        <f t="shared" si="38"/>
        <v>99.860144493306777</v>
      </c>
      <c r="X134" s="18">
        <f t="shared" si="42"/>
        <v>99.86421448370389</v>
      </c>
      <c r="Y134" s="19">
        <f t="shared" si="63"/>
        <v>2.3540762387186108E-5</v>
      </c>
      <c r="Z134" s="19">
        <f t="shared" si="63"/>
        <v>-1.0159216840229711E-4</v>
      </c>
      <c r="AA134" s="19">
        <f t="shared" si="63"/>
        <v>-1.4234824260896909E-4</v>
      </c>
      <c r="AC134" s="20">
        <f t="shared" si="64"/>
        <v>-1.5708180208747634E-3</v>
      </c>
      <c r="AD134" s="20">
        <f t="shared" si="64"/>
        <v>-1.7011061289333956E-3</v>
      </c>
      <c r="AE134" s="20"/>
      <c r="AF134" s="20"/>
      <c r="AH134">
        <f t="shared" si="43"/>
        <v>0</v>
      </c>
      <c r="AI134">
        <f t="shared" si="44"/>
        <v>0</v>
      </c>
      <c r="AJ134">
        <f t="shared" si="45"/>
        <v>0</v>
      </c>
      <c r="AK134">
        <f t="shared" si="40"/>
        <v>0</v>
      </c>
      <c r="AL134" s="20">
        <f t="shared" si="46"/>
        <v>0</v>
      </c>
      <c r="AM134" s="20">
        <f t="shared" si="47"/>
        <v>0</v>
      </c>
      <c r="AN134" s="20">
        <f t="shared" si="48"/>
        <v>0</v>
      </c>
      <c r="AO134" s="21">
        <f t="shared" si="49"/>
        <v>3.6235668969633447E-3</v>
      </c>
      <c r="AQ134" s="20"/>
      <c r="AS134">
        <f t="shared" si="50"/>
        <v>0</v>
      </c>
      <c r="AT134">
        <f t="shared" si="51"/>
        <v>1</v>
      </c>
      <c r="AU134">
        <f t="shared" si="52"/>
        <v>0</v>
      </c>
      <c r="AV134">
        <f t="shared" si="53"/>
        <v>0</v>
      </c>
      <c r="AW134" s="20">
        <f t="shared" si="54"/>
        <v>0</v>
      </c>
      <c r="AX134" s="20">
        <f t="shared" si="55"/>
        <v>0</v>
      </c>
      <c r="AY134" s="20">
        <f t="shared" si="56"/>
        <v>0</v>
      </c>
      <c r="AZ134" s="21">
        <f t="shared" si="57"/>
        <v>8.2786809888977402E-4</v>
      </c>
      <c r="BB134" s="21">
        <f t="shared" si="58"/>
        <v>0</v>
      </c>
      <c r="BC134" s="21">
        <f t="shared" si="59"/>
        <v>4.4514349958531185E-3</v>
      </c>
    </row>
    <row r="135" spans="1:55" x14ac:dyDescent="0.3">
      <c r="A135" s="1">
        <v>46219</v>
      </c>
      <c r="B135" s="11">
        <v>57.12</v>
      </c>
      <c r="C135" s="11">
        <v>99.69</v>
      </c>
      <c r="D135" s="12">
        <v>1.7452731092436899</v>
      </c>
      <c r="E135" s="12">
        <v>1.74406374641995</v>
      </c>
      <c r="F135" s="12">
        <v>1.7442837644621101</v>
      </c>
      <c r="G135" s="12">
        <v>1.74443620330174</v>
      </c>
      <c r="H135" s="11">
        <v>99.620921195507606</v>
      </c>
      <c r="I135" s="11">
        <v>99.626470890029907</v>
      </c>
      <c r="J135" s="11">
        <v>99.637783737473697</v>
      </c>
      <c r="K135" s="13">
        <v>6.9317633819533403E-4</v>
      </c>
      <c r="L135" s="13">
        <v>6.3746976692639499E-4</v>
      </c>
      <c r="M135" s="13">
        <v>5.2392358698397502E-4</v>
      </c>
      <c r="N135" s="24">
        <v>0</v>
      </c>
      <c r="O135" s="25">
        <v>0</v>
      </c>
      <c r="P135" s="25">
        <f t="shared" si="41"/>
        <v>57.12</v>
      </c>
      <c r="Q135" s="25">
        <f t="shared" si="41"/>
        <v>99.69</v>
      </c>
      <c r="R135" s="16">
        <f t="shared" si="60"/>
        <v>1.7452731092436975</v>
      </c>
      <c r="S135" s="16">
        <f t="shared" si="61"/>
        <v>1.7440637464199518</v>
      </c>
      <c r="T135" s="16">
        <f t="shared" si="37"/>
        <v>1.7442837644621114</v>
      </c>
      <c r="U135" s="16">
        <f t="shared" si="39"/>
        <v>1.7444362033017455</v>
      </c>
      <c r="V135" s="18">
        <f t="shared" si="62"/>
        <v>99.620921195507634</v>
      </c>
      <c r="W135" s="18">
        <f t="shared" si="38"/>
        <v>99.626470890029921</v>
      </c>
      <c r="X135" s="18">
        <f t="shared" si="42"/>
        <v>99.637783737473754</v>
      </c>
      <c r="Y135" s="19">
        <f t="shared" si="63"/>
        <v>6.9317633819577823E-4</v>
      </c>
      <c r="Z135" s="19">
        <f t="shared" si="63"/>
        <v>6.3746976692639543E-4</v>
      </c>
      <c r="AA135" s="19">
        <f t="shared" si="63"/>
        <v>5.2392358698419707E-4</v>
      </c>
      <c r="AC135" s="20">
        <f t="shared" si="64"/>
        <v>-2.2733244030201509E-3</v>
      </c>
      <c r="AD135" s="20">
        <f t="shared" si="64"/>
        <v>-1.6036888272115942E-3</v>
      </c>
      <c r="AE135" s="20"/>
      <c r="AF135" s="20"/>
      <c r="AH135">
        <f t="shared" si="43"/>
        <v>0</v>
      </c>
      <c r="AI135">
        <f t="shared" si="44"/>
        <v>1</v>
      </c>
      <c r="AJ135">
        <f t="shared" si="45"/>
        <v>0</v>
      </c>
      <c r="AK135">
        <f t="shared" si="40"/>
        <v>0</v>
      </c>
      <c r="AL135" s="20">
        <f t="shared" si="46"/>
        <v>0</v>
      </c>
      <c r="AM135" s="20">
        <f t="shared" si="47"/>
        <v>0</v>
      </c>
      <c r="AN135" s="20">
        <f t="shared" si="48"/>
        <v>0</v>
      </c>
      <c r="AO135" s="21">
        <f t="shared" si="49"/>
        <v>3.6235668969633447E-3</v>
      </c>
      <c r="AQ135" s="20"/>
      <c r="AS135">
        <f t="shared" si="50"/>
        <v>0</v>
      </c>
      <c r="AT135">
        <f t="shared" si="51"/>
        <v>0</v>
      </c>
      <c r="AU135">
        <f t="shared" si="52"/>
        <v>0</v>
      </c>
      <c r="AV135">
        <f t="shared" si="53"/>
        <v>0</v>
      </c>
      <c r="AW135" s="20">
        <f t="shared" si="54"/>
        <v>0</v>
      </c>
      <c r="AX135" s="20">
        <f t="shared" si="55"/>
        <v>0</v>
      </c>
      <c r="AY135" s="20">
        <f t="shared" si="56"/>
        <v>0</v>
      </c>
      <c r="AZ135" s="21">
        <f t="shared" si="57"/>
        <v>8.2786809888977402E-4</v>
      </c>
      <c r="BB135" s="21">
        <f t="shared" si="58"/>
        <v>0</v>
      </c>
      <c r="BC135" s="21">
        <f t="shared" si="59"/>
        <v>4.4514349958531185E-3</v>
      </c>
    </row>
    <row r="136" spans="1:55" x14ac:dyDescent="0.3">
      <c r="A136" s="1">
        <v>46220</v>
      </c>
      <c r="B136" s="11">
        <v>57.11</v>
      </c>
      <c r="C136" s="11">
        <v>99.63</v>
      </c>
      <c r="D136" s="12">
        <v>1.7445281036596001</v>
      </c>
      <c r="E136" s="12">
        <v>1.74406374641995</v>
      </c>
      <c r="F136" s="12">
        <v>1.74438784262939</v>
      </c>
      <c r="G136" s="12">
        <v>1.74444823555606</v>
      </c>
      <c r="H136" s="11">
        <v>99.603480558043401</v>
      </c>
      <c r="I136" s="11">
        <v>99.616045788431194</v>
      </c>
      <c r="J136" s="11">
        <v>99.624751570562694</v>
      </c>
      <c r="K136" s="13">
        <v>2.6621471490505402E-4</v>
      </c>
      <c r="L136" s="13">
        <v>1.4007014830718501E-4</v>
      </c>
      <c r="M136" s="13">
        <v>5.2680595038684298E-5</v>
      </c>
      <c r="N136" s="24">
        <v>0</v>
      </c>
      <c r="O136" s="25">
        <v>0</v>
      </c>
      <c r="P136" s="25">
        <f t="shared" si="41"/>
        <v>57.11</v>
      </c>
      <c r="Q136" s="25">
        <f t="shared" si="41"/>
        <v>99.63</v>
      </c>
      <c r="R136" s="16">
        <f t="shared" si="60"/>
        <v>1.7445281036596043</v>
      </c>
      <c r="S136" s="16">
        <f t="shared" si="61"/>
        <v>1.7440637464199518</v>
      </c>
      <c r="T136" s="16">
        <f t="shared" si="37"/>
        <v>1.7443878426293922</v>
      </c>
      <c r="U136" s="16">
        <f t="shared" si="39"/>
        <v>1.7444482355560669</v>
      </c>
      <c r="V136" s="18">
        <f t="shared" si="62"/>
        <v>99.603480558043444</v>
      </c>
      <c r="W136" s="18">
        <f t="shared" si="38"/>
        <v>99.61604578843118</v>
      </c>
      <c r="X136" s="18">
        <f t="shared" si="42"/>
        <v>99.62475157056268</v>
      </c>
      <c r="Y136" s="19">
        <f t="shared" si="63"/>
        <v>2.6621471490527606E-4</v>
      </c>
      <c r="Z136" s="19">
        <f t="shared" si="63"/>
        <v>1.4007014830740746E-4</v>
      </c>
      <c r="AA136" s="19">
        <f t="shared" si="63"/>
        <v>5.2680595038906396E-5</v>
      </c>
      <c r="AC136" s="20">
        <f t="shared" si="64"/>
        <v>-1.7508535455739647E-4</v>
      </c>
      <c r="AD136" s="20">
        <f t="shared" si="64"/>
        <v>-6.0204697784770446E-4</v>
      </c>
      <c r="AE136" s="20"/>
      <c r="AF136" s="20"/>
      <c r="AH136">
        <f t="shared" si="43"/>
        <v>0</v>
      </c>
      <c r="AI136">
        <f t="shared" si="44"/>
        <v>1</v>
      </c>
      <c r="AJ136">
        <f t="shared" si="45"/>
        <v>0</v>
      </c>
      <c r="AK136">
        <f t="shared" si="40"/>
        <v>0</v>
      </c>
      <c r="AL136" s="20">
        <f t="shared" si="46"/>
        <v>0</v>
      </c>
      <c r="AM136" s="20">
        <f t="shared" si="47"/>
        <v>0</v>
      </c>
      <c r="AN136" s="20">
        <f t="shared" si="48"/>
        <v>0</v>
      </c>
      <c r="AO136" s="21">
        <f t="shared" si="49"/>
        <v>3.6235668969633447E-3</v>
      </c>
      <c r="AQ136" s="20"/>
      <c r="AS136">
        <f t="shared" si="50"/>
        <v>0</v>
      </c>
      <c r="AT136">
        <f t="shared" si="51"/>
        <v>0</v>
      </c>
      <c r="AU136">
        <f t="shared" si="52"/>
        <v>0</v>
      </c>
      <c r="AV136">
        <f t="shared" si="53"/>
        <v>0</v>
      </c>
      <c r="AW136" s="20">
        <f t="shared" si="54"/>
        <v>0</v>
      </c>
      <c r="AX136" s="20">
        <f t="shared" si="55"/>
        <v>0</v>
      </c>
      <c r="AY136" s="20">
        <f t="shared" si="56"/>
        <v>0</v>
      </c>
      <c r="AZ136" s="21">
        <f t="shared" si="57"/>
        <v>8.2786809888977402E-4</v>
      </c>
      <c r="BB136" s="21">
        <f t="shared" si="58"/>
        <v>0</v>
      </c>
      <c r="BC136" s="21">
        <f t="shared" si="59"/>
        <v>4.4514349958531185E-3</v>
      </c>
    </row>
    <row r="137" spans="1:55" x14ac:dyDescent="0.3">
      <c r="A137" s="1">
        <v>46223</v>
      </c>
      <c r="B137" s="11">
        <v>57.06</v>
      </c>
      <c r="C137" s="11">
        <v>99.52</v>
      </c>
      <c r="D137" s="12">
        <v>1.74412898703119</v>
      </c>
      <c r="E137" s="12">
        <v>1.74406374641995</v>
      </c>
      <c r="F137" s="12">
        <v>1.74438254056835</v>
      </c>
      <c r="G137" s="12">
        <v>1.7444894675163201</v>
      </c>
      <c r="H137" s="11">
        <v>99.516277370722406</v>
      </c>
      <c r="I137" s="11">
        <v>99.534770300433095</v>
      </c>
      <c r="J137" s="11">
        <v>99.538216320829207</v>
      </c>
      <c r="K137" s="13">
        <v>3.7406540427048301E-5</v>
      </c>
      <c r="L137" s="13">
        <v>-1.4840438576724401E-4</v>
      </c>
      <c r="M137" s="13">
        <v>-1.8302505886727801E-4</v>
      </c>
      <c r="N137" s="24">
        <v>0</v>
      </c>
      <c r="O137" s="25">
        <v>0</v>
      </c>
      <c r="P137" s="25">
        <f t="shared" si="41"/>
        <v>57.06</v>
      </c>
      <c r="Q137" s="25">
        <f t="shared" si="41"/>
        <v>99.52</v>
      </c>
      <c r="R137" s="16">
        <f t="shared" si="60"/>
        <v>1.7441289870311951</v>
      </c>
      <c r="S137" s="16">
        <f t="shared" si="61"/>
        <v>1.7440637464199518</v>
      </c>
      <c r="T137" s="16">
        <f t="shared" si="37"/>
        <v>1.7443825405683573</v>
      </c>
      <c r="U137" s="16">
        <f t="shared" si="39"/>
        <v>1.7444894675163229</v>
      </c>
      <c r="V137" s="18">
        <f t="shared" si="62"/>
        <v>99.516277370722449</v>
      </c>
      <c r="W137" s="18">
        <f t="shared" si="38"/>
        <v>99.534770300433124</v>
      </c>
      <c r="X137" s="18">
        <f t="shared" si="42"/>
        <v>99.538216320829179</v>
      </c>
      <c r="Y137" s="19">
        <f t="shared" si="63"/>
        <v>3.7406540427270379E-5</v>
      </c>
      <c r="Z137" s="19">
        <f t="shared" si="63"/>
        <v>-1.484043857672442E-4</v>
      </c>
      <c r="AA137" s="19">
        <f t="shared" si="63"/>
        <v>-1.8302505886694514E-4</v>
      </c>
      <c r="AC137" s="20">
        <f t="shared" si="64"/>
        <v>-8.758868914175912E-4</v>
      </c>
      <c r="AD137" s="20">
        <f t="shared" si="64"/>
        <v>-1.1046950658955691E-3</v>
      </c>
      <c r="AE137" s="20"/>
      <c r="AF137" s="20"/>
      <c r="AH137">
        <f t="shared" si="43"/>
        <v>0</v>
      </c>
      <c r="AI137">
        <f t="shared" si="44"/>
        <v>0</v>
      </c>
      <c r="AJ137">
        <f t="shared" si="45"/>
        <v>0</v>
      </c>
      <c r="AK137">
        <f t="shared" si="40"/>
        <v>0</v>
      </c>
      <c r="AL137" s="20">
        <f t="shared" si="46"/>
        <v>0</v>
      </c>
      <c r="AM137" s="20">
        <f t="shared" si="47"/>
        <v>0</v>
      </c>
      <c r="AN137" s="20">
        <f t="shared" si="48"/>
        <v>0</v>
      </c>
      <c r="AO137" s="21">
        <f t="shared" si="49"/>
        <v>3.6235668969633447E-3</v>
      </c>
      <c r="AQ137" s="20"/>
      <c r="AS137">
        <f t="shared" si="50"/>
        <v>0</v>
      </c>
      <c r="AT137">
        <f t="shared" si="51"/>
        <v>1</v>
      </c>
      <c r="AU137">
        <f t="shared" si="52"/>
        <v>0</v>
      </c>
      <c r="AV137">
        <f t="shared" si="53"/>
        <v>0</v>
      </c>
      <c r="AW137" s="20">
        <f t="shared" si="54"/>
        <v>0</v>
      </c>
      <c r="AX137" s="20">
        <f t="shared" si="55"/>
        <v>0</v>
      </c>
      <c r="AY137" s="20">
        <f t="shared" si="56"/>
        <v>0</v>
      </c>
      <c r="AZ137" s="21">
        <f t="shared" si="57"/>
        <v>8.2786809888977402E-4</v>
      </c>
      <c r="BB137" s="21">
        <f t="shared" si="58"/>
        <v>0</v>
      </c>
      <c r="BC137" s="21">
        <f t="shared" si="59"/>
        <v>4.4514349958531185E-3</v>
      </c>
    </row>
    <row r="138" spans="1:55" x14ac:dyDescent="0.3">
      <c r="A138" s="1">
        <v>46224</v>
      </c>
      <c r="B138" s="11">
        <v>57</v>
      </c>
      <c r="C138" s="11">
        <v>99.39</v>
      </c>
      <c r="D138" s="12">
        <v>1.74368421052631</v>
      </c>
      <c r="E138" s="12">
        <v>1.74406374641995</v>
      </c>
      <c r="F138" s="12">
        <v>1.74437726642265</v>
      </c>
      <c r="G138" s="12">
        <v>1.74445851018735</v>
      </c>
      <c r="H138" s="11">
        <v>99.411633545937207</v>
      </c>
      <c r="I138" s="11">
        <v>99.429804812396299</v>
      </c>
      <c r="J138" s="11">
        <v>99.435899648430393</v>
      </c>
      <c r="K138" s="13">
        <v>-2.1763951972430501E-4</v>
      </c>
      <c r="L138" s="13">
        <v>-4.00410944631549E-4</v>
      </c>
      <c r="M138" s="13">
        <v>-4.61706943883605E-4</v>
      </c>
      <c r="N138" s="24">
        <v>0</v>
      </c>
      <c r="O138" s="25">
        <v>0</v>
      </c>
      <c r="P138" s="25">
        <f t="shared" si="41"/>
        <v>57</v>
      </c>
      <c r="Q138" s="25">
        <f t="shared" si="41"/>
        <v>99.39</v>
      </c>
      <c r="R138" s="16">
        <f t="shared" si="60"/>
        <v>1.7436842105263157</v>
      </c>
      <c r="S138" s="16">
        <f t="shared" si="61"/>
        <v>1.7440637464199518</v>
      </c>
      <c r="T138" s="16">
        <f t="shared" si="37"/>
        <v>1.7443772664226589</v>
      </c>
      <c r="U138" s="16">
        <f t="shared" si="39"/>
        <v>1.7444585101873595</v>
      </c>
      <c r="V138" s="18">
        <f t="shared" si="62"/>
        <v>99.411633545937249</v>
      </c>
      <c r="W138" s="18">
        <f t="shared" si="38"/>
        <v>99.42980481239637</v>
      </c>
      <c r="X138" s="18">
        <f t="shared" si="42"/>
        <v>99.435899648430407</v>
      </c>
      <c r="Y138" s="19">
        <f t="shared" si="63"/>
        <v>-2.1763951972397243E-4</v>
      </c>
      <c r="Z138" s="19">
        <f t="shared" si="63"/>
        <v>-4.0041094463154976E-4</v>
      </c>
      <c r="AA138" s="19">
        <f t="shared" si="63"/>
        <v>-4.6170694388360581E-4</v>
      </c>
      <c r="AC138" s="20">
        <f t="shared" si="64"/>
        <v>-1.0520779508037803E-3</v>
      </c>
      <c r="AD138" s="20">
        <f t="shared" si="64"/>
        <v>-1.3071240109551079E-3</v>
      </c>
      <c r="AE138" s="20"/>
      <c r="AF138" s="20"/>
      <c r="AH138">
        <f t="shared" si="43"/>
        <v>0</v>
      </c>
      <c r="AI138">
        <f t="shared" si="44"/>
        <v>0</v>
      </c>
      <c r="AJ138">
        <f t="shared" si="45"/>
        <v>0</v>
      </c>
      <c r="AK138">
        <f t="shared" si="40"/>
        <v>0</v>
      </c>
      <c r="AL138" s="20">
        <f t="shared" si="46"/>
        <v>0</v>
      </c>
      <c r="AM138" s="20">
        <f t="shared" si="47"/>
        <v>0</v>
      </c>
      <c r="AN138" s="20">
        <f t="shared" si="48"/>
        <v>0</v>
      </c>
      <c r="AO138" s="21">
        <f t="shared" si="49"/>
        <v>3.6235668969633447E-3</v>
      </c>
      <c r="AQ138" s="20"/>
      <c r="AS138">
        <f t="shared" si="50"/>
        <v>0</v>
      </c>
      <c r="AT138">
        <f t="shared" si="51"/>
        <v>1</v>
      </c>
      <c r="AU138">
        <f t="shared" si="52"/>
        <v>0</v>
      </c>
      <c r="AV138">
        <f t="shared" si="53"/>
        <v>0</v>
      </c>
      <c r="AW138" s="20">
        <f t="shared" si="54"/>
        <v>0</v>
      </c>
      <c r="AX138" s="20">
        <f t="shared" si="55"/>
        <v>0</v>
      </c>
      <c r="AY138" s="20">
        <f t="shared" si="56"/>
        <v>0</v>
      </c>
      <c r="AZ138" s="21">
        <f t="shared" si="57"/>
        <v>8.2786809888977402E-4</v>
      </c>
      <c r="BB138" s="21">
        <f t="shared" si="58"/>
        <v>0</v>
      </c>
      <c r="BC138" s="21">
        <f t="shared" si="59"/>
        <v>4.4514349958531185E-3</v>
      </c>
    </row>
    <row r="139" spans="1:55" x14ac:dyDescent="0.3">
      <c r="A139" s="1">
        <v>46225</v>
      </c>
      <c r="B139" s="11">
        <v>56.81</v>
      </c>
      <c r="C139" s="11">
        <v>99.08</v>
      </c>
      <c r="D139" s="12">
        <v>1.7440591445168101</v>
      </c>
      <c r="E139" s="12">
        <v>1.74406374641995</v>
      </c>
      <c r="F139" s="12">
        <v>1.7443369921424301</v>
      </c>
      <c r="G139" s="12">
        <v>1.74442038821389</v>
      </c>
      <c r="H139" s="11">
        <v>99.080261434117403</v>
      </c>
      <c r="I139" s="11">
        <v>99.098072505471194</v>
      </c>
      <c r="J139" s="11">
        <v>99.102687963743804</v>
      </c>
      <c r="K139" s="13">
        <v>-2.6386129650431601E-6</v>
      </c>
      <c r="L139" s="13">
        <v>-1.8238653038523599E-4</v>
      </c>
      <c r="M139" s="13">
        <v>-2.2896009814091499E-4</v>
      </c>
      <c r="N139" s="24">
        <v>0</v>
      </c>
      <c r="O139" s="25">
        <v>0</v>
      </c>
      <c r="P139" s="25">
        <f t="shared" si="41"/>
        <v>56.81</v>
      </c>
      <c r="Q139" s="25">
        <f t="shared" si="41"/>
        <v>99.08</v>
      </c>
      <c r="R139" s="16">
        <f t="shared" si="60"/>
        <v>1.7440591445168103</v>
      </c>
      <c r="S139" s="16">
        <f t="shared" si="61"/>
        <v>1.7440637464199518</v>
      </c>
      <c r="T139" s="16">
        <f t="shared" si="37"/>
        <v>1.744336992142437</v>
      </c>
      <c r="U139" s="16">
        <f t="shared" si="39"/>
        <v>1.7444203882138964</v>
      </c>
      <c r="V139" s="18">
        <f t="shared" si="62"/>
        <v>99.08026143411746</v>
      </c>
      <c r="W139" s="18">
        <f t="shared" si="38"/>
        <v>99.098072505471251</v>
      </c>
      <c r="X139" s="18">
        <f t="shared" si="42"/>
        <v>99.102687963743904</v>
      </c>
      <c r="Y139" s="19">
        <f t="shared" si="63"/>
        <v>-2.6386129648211223E-6</v>
      </c>
      <c r="Z139" s="19">
        <f t="shared" si="63"/>
        <v>-1.8238653038523615E-4</v>
      </c>
      <c r="AA139" s="19">
        <f t="shared" si="63"/>
        <v>-2.2896009814102618E-4</v>
      </c>
      <c r="AC139" s="20">
        <f t="shared" si="64"/>
        <v>-3.3389012655145986E-3</v>
      </c>
      <c r="AD139" s="20">
        <f t="shared" si="64"/>
        <v>-3.1239003587553629E-3</v>
      </c>
      <c r="AE139" s="20"/>
      <c r="AF139" s="20"/>
      <c r="AH139">
        <f t="shared" si="43"/>
        <v>0</v>
      </c>
      <c r="AI139">
        <f t="shared" si="44"/>
        <v>0</v>
      </c>
      <c r="AJ139">
        <f t="shared" si="45"/>
        <v>0</v>
      </c>
      <c r="AK139">
        <f t="shared" si="40"/>
        <v>0</v>
      </c>
      <c r="AL139" s="20">
        <f t="shared" si="46"/>
        <v>0</v>
      </c>
      <c r="AM139" s="20">
        <f t="shared" si="47"/>
        <v>0</v>
      </c>
      <c r="AN139" s="20">
        <f t="shared" si="48"/>
        <v>0</v>
      </c>
      <c r="AO139" s="21">
        <f t="shared" si="49"/>
        <v>3.6235668969633447E-3</v>
      </c>
      <c r="AQ139" s="20"/>
      <c r="AS139">
        <f t="shared" si="50"/>
        <v>0</v>
      </c>
      <c r="AT139">
        <f t="shared" si="51"/>
        <v>1</v>
      </c>
      <c r="AU139">
        <f t="shared" si="52"/>
        <v>0</v>
      </c>
      <c r="AV139">
        <f t="shared" si="53"/>
        <v>0</v>
      </c>
      <c r="AW139" s="20">
        <f t="shared" si="54"/>
        <v>0</v>
      </c>
      <c r="AX139" s="20">
        <f t="shared" si="55"/>
        <v>0</v>
      </c>
      <c r="AY139" s="20">
        <f t="shared" si="56"/>
        <v>0</v>
      </c>
      <c r="AZ139" s="21">
        <f t="shared" si="57"/>
        <v>8.2786809888977402E-4</v>
      </c>
      <c r="BB139" s="21">
        <f t="shared" si="58"/>
        <v>0</v>
      </c>
      <c r="BC139" s="21">
        <f t="shared" si="59"/>
        <v>4.4514349958531185E-3</v>
      </c>
    </row>
    <row r="140" spans="1:55" x14ac:dyDescent="0.3">
      <c r="A140" s="1">
        <v>46226</v>
      </c>
      <c r="B140" s="11">
        <v>56.47</v>
      </c>
      <c r="C140" s="11">
        <v>98.44</v>
      </c>
      <c r="D140" s="12">
        <v>1.7432264919426199</v>
      </c>
      <c r="E140" s="12">
        <v>1.74406374641995</v>
      </c>
      <c r="F140" s="12">
        <v>1.74423495514423</v>
      </c>
      <c r="G140" s="12">
        <v>1.7443447105505501</v>
      </c>
      <c r="H140" s="11">
        <v>98.487279760334701</v>
      </c>
      <c r="I140" s="11">
        <v>98.502709946283403</v>
      </c>
      <c r="J140" s="11">
        <v>98.507419322438693</v>
      </c>
      <c r="K140" s="13">
        <v>-4.8017482697851398E-4</v>
      </c>
      <c r="L140" s="13">
        <v>-6.3683442174533697E-4</v>
      </c>
      <c r="M140" s="13">
        <v>-6.8464288899176904E-4</v>
      </c>
      <c r="N140" s="24">
        <v>0</v>
      </c>
      <c r="O140" s="25">
        <v>0</v>
      </c>
      <c r="P140" s="25">
        <f t="shared" si="41"/>
        <v>56.47</v>
      </c>
      <c r="Q140" s="25">
        <f t="shared" si="41"/>
        <v>98.44</v>
      </c>
      <c r="R140" s="16">
        <f t="shared" si="60"/>
        <v>1.7432264919426244</v>
      </c>
      <c r="S140" s="16">
        <f t="shared" si="61"/>
        <v>1.7440637464199518</v>
      </c>
      <c r="T140" s="16">
        <f t="shared" ref="T140:T156" si="65">AVERAGE(R131:R140)</f>
        <v>1.7442349551442309</v>
      </c>
      <c r="U140" s="16">
        <f t="shared" si="39"/>
        <v>1.744344710550551</v>
      </c>
      <c r="V140" s="18">
        <f t="shared" si="62"/>
        <v>98.487279760334673</v>
      </c>
      <c r="W140" s="18">
        <f t="shared" si="38"/>
        <v>98.502709946283417</v>
      </c>
      <c r="X140" s="18">
        <f t="shared" si="42"/>
        <v>98.507419322438736</v>
      </c>
      <c r="Y140" s="19">
        <f t="shared" si="63"/>
        <v>-4.8017482697829274E-4</v>
      </c>
      <c r="Z140" s="19">
        <f t="shared" si="63"/>
        <v>-6.368344217453373E-4</v>
      </c>
      <c r="AA140" s="19">
        <f t="shared" si="63"/>
        <v>-6.8464288899210265E-4</v>
      </c>
      <c r="AC140" s="20">
        <f t="shared" si="64"/>
        <v>-6.0028428842902586E-3</v>
      </c>
      <c r="AD140" s="20">
        <f t="shared" si="64"/>
        <v>-6.4803790983036852E-3</v>
      </c>
      <c r="AE140" s="20"/>
      <c r="AF140" s="20"/>
      <c r="AH140">
        <f t="shared" si="43"/>
        <v>0</v>
      </c>
      <c r="AI140">
        <f t="shared" si="44"/>
        <v>0</v>
      </c>
      <c r="AJ140">
        <f t="shared" si="45"/>
        <v>0</v>
      </c>
      <c r="AK140">
        <f t="shared" si="40"/>
        <v>0</v>
      </c>
      <c r="AL140" s="20">
        <f t="shared" si="46"/>
        <v>0</v>
      </c>
      <c r="AM140" s="20">
        <f t="shared" si="47"/>
        <v>0</v>
      </c>
      <c r="AN140" s="20">
        <f t="shared" si="48"/>
        <v>0</v>
      </c>
      <c r="AO140" s="21">
        <f t="shared" si="49"/>
        <v>3.6235668969633447E-3</v>
      </c>
      <c r="AQ140" s="20"/>
      <c r="AS140">
        <f t="shared" si="50"/>
        <v>0</v>
      </c>
      <c r="AT140">
        <f t="shared" si="51"/>
        <v>1</v>
      </c>
      <c r="AU140">
        <f t="shared" si="52"/>
        <v>0</v>
      </c>
      <c r="AV140">
        <f t="shared" si="53"/>
        <v>0</v>
      </c>
      <c r="AW140" s="20">
        <f t="shared" si="54"/>
        <v>0</v>
      </c>
      <c r="AX140" s="20">
        <f t="shared" si="55"/>
        <v>0</v>
      </c>
      <c r="AY140" s="20">
        <f t="shared" si="56"/>
        <v>0</v>
      </c>
      <c r="AZ140" s="21">
        <f t="shared" si="57"/>
        <v>8.2786809888977402E-4</v>
      </c>
      <c r="BB140" s="21">
        <f t="shared" si="58"/>
        <v>0</v>
      </c>
      <c r="BC140" s="21">
        <f t="shared" si="59"/>
        <v>4.4514349958531185E-3</v>
      </c>
    </row>
    <row r="141" spans="1:55" x14ac:dyDescent="0.3">
      <c r="A141" s="1">
        <v>46227</v>
      </c>
      <c r="B141" s="11">
        <v>56.52</v>
      </c>
      <c r="C141" s="11">
        <v>98.59</v>
      </c>
      <c r="D141" s="12">
        <v>1.74433828733191</v>
      </c>
      <c r="E141" s="12">
        <v>1.74406374641995</v>
      </c>
      <c r="F141" s="12">
        <v>1.7441439364493401</v>
      </c>
      <c r="G141" s="12">
        <v>1.74430706366606</v>
      </c>
      <c r="H141" s="11">
        <v>98.574482947655696</v>
      </c>
      <c r="I141" s="11">
        <v>98.584159664751894</v>
      </c>
      <c r="J141" s="11">
        <v>98.590363040317101</v>
      </c>
      <c r="K141" s="13">
        <v>1.5740210553489E-4</v>
      </c>
      <c r="L141" s="13">
        <v>5.9240371656158799E-5</v>
      </c>
      <c r="M141" s="13">
        <v>-3.6823171592262302E-6</v>
      </c>
      <c r="N141" s="24">
        <v>0</v>
      </c>
      <c r="O141" s="25">
        <v>0</v>
      </c>
      <c r="P141" s="25">
        <f t="shared" si="41"/>
        <v>56.52</v>
      </c>
      <c r="Q141" s="25">
        <f t="shared" si="41"/>
        <v>98.59</v>
      </c>
      <c r="R141" s="16">
        <f t="shared" si="60"/>
        <v>1.7443382873319178</v>
      </c>
      <c r="S141" s="16">
        <f t="shared" si="61"/>
        <v>1.7440637464199518</v>
      </c>
      <c r="T141" s="16">
        <f t="shared" si="65"/>
        <v>1.7441439364493494</v>
      </c>
      <c r="U141" s="16">
        <f t="shared" si="39"/>
        <v>1.7443070636660611</v>
      </c>
      <c r="V141" s="18">
        <f t="shared" si="62"/>
        <v>98.574482947655682</v>
      </c>
      <c r="W141" s="18">
        <f t="shared" ref="W141:W156" si="66">T140*P141</f>
        <v>98.584159664751937</v>
      </c>
      <c r="X141" s="18">
        <f t="shared" si="42"/>
        <v>98.590363040317143</v>
      </c>
      <c r="Y141" s="19">
        <f t="shared" si="63"/>
        <v>1.5740210553511199E-4</v>
      </c>
      <c r="Z141" s="19">
        <f t="shared" si="63"/>
        <v>5.9240371656158894E-5</v>
      </c>
      <c r="AA141" s="19">
        <f t="shared" si="63"/>
        <v>-3.6823171592262361E-6</v>
      </c>
      <c r="AC141" s="20">
        <f t="shared" si="64"/>
        <v>8.850341315815313E-4</v>
      </c>
      <c r="AD141" s="20">
        <f t="shared" si="64"/>
        <v>1.522611064095012E-3</v>
      </c>
      <c r="AE141" s="20"/>
      <c r="AF141" s="20"/>
      <c r="AH141">
        <f t="shared" si="43"/>
        <v>0</v>
      </c>
      <c r="AI141">
        <f t="shared" si="44"/>
        <v>0</v>
      </c>
      <c r="AJ141">
        <f t="shared" si="45"/>
        <v>0</v>
      </c>
      <c r="AK141">
        <f t="shared" si="40"/>
        <v>0</v>
      </c>
      <c r="AL141" s="20">
        <f t="shared" si="46"/>
        <v>0</v>
      </c>
      <c r="AM141" s="20">
        <f t="shared" si="47"/>
        <v>0</v>
      </c>
      <c r="AN141" s="20">
        <f t="shared" si="48"/>
        <v>0</v>
      </c>
      <c r="AO141" s="21">
        <f t="shared" si="49"/>
        <v>3.6235668969633447E-3</v>
      </c>
      <c r="AQ141" s="20"/>
      <c r="AS141">
        <f t="shared" si="50"/>
        <v>0</v>
      </c>
      <c r="AT141">
        <f t="shared" si="51"/>
        <v>1</v>
      </c>
      <c r="AU141">
        <f t="shared" si="52"/>
        <v>0</v>
      </c>
      <c r="AV141">
        <f t="shared" si="53"/>
        <v>0</v>
      </c>
      <c r="AW141" s="20">
        <f t="shared" si="54"/>
        <v>0</v>
      </c>
      <c r="AX141" s="20">
        <f t="shared" si="55"/>
        <v>0</v>
      </c>
      <c r="AY141" s="20">
        <f t="shared" si="56"/>
        <v>0</v>
      </c>
      <c r="AZ141" s="21">
        <f t="shared" si="57"/>
        <v>8.2786809888977402E-4</v>
      </c>
      <c r="BB141" s="21">
        <f t="shared" si="58"/>
        <v>0</v>
      </c>
      <c r="BC141" s="21">
        <f t="shared" si="59"/>
        <v>4.4514349958531185E-3</v>
      </c>
    </row>
    <row r="142" spans="1:55" x14ac:dyDescent="0.3">
      <c r="A142" s="1">
        <v>46230</v>
      </c>
      <c r="B142" s="11">
        <v>56.67</v>
      </c>
      <c r="C142" s="11">
        <v>98.77</v>
      </c>
      <c r="D142" s="12">
        <v>1.7428974766190199</v>
      </c>
      <c r="E142" s="12">
        <v>1.74406374641995</v>
      </c>
      <c r="F142" s="12">
        <v>1.7440572668776899</v>
      </c>
      <c r="G142" s="12">
        <v>1.74421235416367</v>
      </c>
      <c r="H142" s="11">
        <v>98.836092509618695</v>
      </c>
      <c r="I142" s="11">
        <v>98.840636878584604</v>
      </c>
      <c r="J142" s="11">
        <v>98.849881297955605</v>
      </c>
      <c r="K142" s="13">
        <v>-6.6893192658028201E-4</v>
      </c>
      <c r="L142" s="13">
        <v>-7.1490971041759499E-4</v>
      </c>
      <c r="M142" s="13">
        <v>-8.08433865880827E-4</v>
      </c>
      <c r="N142" s="24">
        <v>0</v>
      </c>
      <c r="O142" s="25">
        <v>0</v>
      </c>
      <c r="P142" s="25">
        <f t="shared" si="41"/>
        <v>56.67</v>
      </c>
      <c r="Q142" s="25">
        <f t="shared" si="41"/>
        <v>98.77</v>
      </c>
      <c r="R142" s="16">
        <f t="shared" si="60"/>
        <v>1.7428974766190224</v>
      </c>
      <c r="S142" s="16">
        <f t="shared" si="61"/>
        <v>1.7440637464199518</v>
      </c>
      <c r="T142" s="16">
        <f t="shared" si="65"/>
        <v>1.7440572668776912</v>
      </c>
      <c r="U142" s="16">
        <f t="shared" si="39"/>
        <v>1.7442123541636785</v>
      </c>
      <c r="V142" s="18">
        <f t="shared" si="62"/>
        <v>98.836092509618666</v>
      </c>
      <c r="W142" s="18">
        <f t="shared" si="66"/>
        <v>98.840636878584633</v>
      </c>
      <c r="X142" s="18">
        <f t="shared" si="42"/>
        <v>98.84988129795569</v>
      </c>
      <c r="Y142" s="19">
        <f t="shared" si="63"/>
        <v>-6.689319265800605E-4</v>
      </c>
      <c r="Z142" s="19">
        <f t="shared" si="63"/>
        <v>-7.1490971041759574E-4</v>
      </c>
      <c r="AA142" s="19">
        <f t="shared" si="63"/>
        <v>-8.0843386588105002E-4</v>
      </c>
      <c r="AC142" s="20">
        <f t="shared" si="64"/>
        <v>2.6504123652011284E-3</v>
      </c>
      <c r="AD142" s="20">
        <f t="shared" si="64"/>
        <v>1.8240783330858636E-3</v>
      </c>
      <c r="AE142" s="20"/>
      <c r="AF142" s="20"/>
      <c r="AH142">
        <f t="shared" si="43"/>
        <v>0</v>
      </c>
      <c r="AI142">
        <f t="shared" si="44"/>
        <v>0</v>
      </c>
      <c r="AJ142">
        <f t="shared" si="45"/>
        <v>0</v>
      </c>
      <c r="AK142">
        <f t="shared" si="40"/>
        <v>0</v>
      </c>
      <c r="AL142" s="20">
        <f t="shared" si="46"/>
        <v>0</v>
      </c>
      <c r="AM142" s="20">
        <f t="shared" si="47"/>
        <v>0</v>
      </c>
      <c r="AN142" s="20">
        <f t="shared" si="48"/>
        <v>0</v>
      </c>
      <c r="AO142" s="21">
        <f t="shared" si="49"/>
        <v>3.6235668969633447E-3</v>
      </c>
      <c r="AQ142" s="20"/>
      <c r="AS142">
        <f t="shared" si="50"/>
        <v>0</v>
      </c>
      <c r="AT142">
        <f t="shared" si="51"/>
        <v>1</v>
      </c>
      <c r="AU142">
        <f t="shared" si="52"/>
        <v>0</v>
      </c>
      <c r="AV142">
        <f t="shared" si="53"/>
        <v>0</v>
      </c>
      <c r="AW142" s="20">
        <f t="shared" si="54"/>
        <v>0</v>
      </c>
      <c r="AX142" s="20">
        <f t="shared" si="55"/>
        <v>0</v>
      </c>
      <c r="AY142" s="20">
        <f t="shared" si="56"/>
        <v>0</v>
      </c>
      <c r="AZ142" s="21">
        <f t="shared" si="57"/>
        <v>8.2786809888977402E-4</v>
      </c>
      <c r="BB142" s="21">
        <f t="shared" si="58"/>
        <v>0</v>
      </c>
      <c r="BC142" s="21">
        <f t="shared" si="59"/>
        <v>4.4514349958531185E-3</v>
      </c>
    </row>
    <row r="143" spans="1:55" x14ac:dyDescent="0.3">
      <c r="A143" s="1">
        <v>46231</v>
      </c>
      <c r="B143" s="11">
        <v>56.74</v>
      </c>
      <c r="C143" s="11">
        <v>98.87</v>
      </c>
      <c r="D143" s="12">
        <v>1.74250969333803</v>
      </c>
      <c r="E143" s="12">
        <v>1.74406374641995</v>
      </c>
      <c r="F143" s="12">
        <v>1.74387503077026</v>
      </c>
      <c r="G143" s="12">
        <v>1.74407851532667</v>
      </c>
      <c r="H143" s="11">
        <v>98.958176971868099</v>
      </c>
      <c r="I143" s="11">
        <v>98.957809322640202</v>
      </c>
      <c r="J143" s="11">
        <v>98.966608975247098</v>
      </c>
      <c r="K143" s="13">
        <v>-8.9145013675211702E-4</v>
      </c>
      <c r="L143" s="13">
        <v>-8.87734931783017E-4</v>
      </c>
      <c r="M143" s="13">
        <v>-9.7665425450588401E-4</v>
      </c>
      <c r="N143" s="24">
        <v>0</v>
      </c>
      <c r="O143" s="25">
        <v>0</v>
      </c>
      <c r="P143" s="25">
        <f t="shared" si="41"/>
        <v>56.74</v>
      </c>
      <c r="Q143" s="25">
        <f t="shared" si="41"/>
        <v>98.87</v>
      </c>
      <c r="R143" s="16">
        <f t="shared" si="60"/>
        <v>1.7425096933380331</v>
      </c>
      <c r="S143" s="16">
        <f t="shared" si="61"/>
        <v>1.7440637464199518</v>
      </c>
      <c r="T143" s="16">
        <f t="shared" si="65"/>
        <v>1.7438750307702673</v>
      </c>
      <c r="U143" s="16">
        <f t="shared" si="39"/>
        <v>1.7440785153266778</v>
      </c>
      <c r="V143" s="18">
        <f t="shared" si="62"/>
        <v>98.95817697186807</v>
      </c>
      <c r="W143" s="18">
        <f t="shared" si="66"/>
        <v>98.957809322640202</v>
      </c>
      <c r="X143" s="18">
        <f t="shared" si="42"/>
        <v>98.966608975247127</v>
      </c>
      <c r="Y143" s="19">
        <f t="shared" si="63"/>
        <v>-8.9145013675178406E-4</v>
      </c>
      <c r="Z143" s="19">
        <f t="shared" si="63"/>
        <v>-8.8773493178268405E-4</v>
      </c>
      <c r="AA143" s="19">
        <f t="shared" si="63"/>
        <v>-9.7665425450599612E-4</v>
      </c>
      <c r="AC143" s="20">
        <f t="shared" si="64"/>
        <v>1.2344591991773695E-3</v>
      </c>
      <c r="AD143" s="20">
        <f t="shared" si="64"/>
        <v>1.0119409890056955E-3</v>
      </c>
      <c r="AE143" s="20"/>
      <c r="AF143" s="20"/>
      <c r="AH143">
        <f t="shared" si="43"/>
        <v>0</v>
      </c>
      <c r="AI143">
        <f t="shared" si="44"/>
        <v>0</v>
      </c>
      <c r="AJ143">
        <f t="shared" si="45"/>
        <v>0</v>
      </c>
      <c r="AK143">
        <f t="shared" si="40"/>
        <v>0</v>
      </c>
      <c r="AL143" s="20">
        <f t="shared" si="46"/>
        <v>0</v>
      </c>
      <c r="AM143" s="20">
        <f t="shared" si="47"/>
        <v>0</v>
      </c>
      <c r="AN143" s="20">
        <f t="shared" si="48"/>
        <v>0</v>
      </c>
      <c r="AO143" s="21">
        <f t="shared" si="49"/>
        <v>3.6235668969633447E-3</v>
      </c>
      <c r="AQ143" s="20"/>
      <c r="AS143">
        <f t="shared" si="50"/>
        <v>0</v>
      </c>
      <c r="AT143">
        <f t="shared" si="51"/>
        <v>1</v>
      </c>
      <c r="AU143">
        <f t="shared" si="52"/>
        <v>0</v>
      </c>
      <c r="AV143">
        <f t="shared" si="53"/>
        <v>0</v>
      </c>
      <c r="AW143" s="20">
        <f t="shared" si="54"/>
        <v>0</v>
      </c>
      <c r="AX143" s="20">
        <f t="shared" si="55"/>
        <v>0</v>
      </c>
      <c r="AY143" s="20">
        <f t="shared" si="56"/>
        <v>0</v>
      </c>
      <c r="AZ143" s="21">
        <f t="shared" si="57"/>
        <v>8.2786809888977402E-4</v>
      </c>
      <c r="BB143" s="21">
        <f t="shared" si="58"/>
        <v>0</v>
      </c>
      <c r="BC143" s="21">
        <f t="shared" si="59"/>
        <v>4.4514349958531185E-3</v>
      </c>
    </row>
    <row r="144" spans="1:55" x14ac:dyDescent="0.3">
      <c r="A144" s="1">
        <v>46232</v>
      </c>
      <c r="B144" s="11">
        <v>56.59</v>
      </c>
      <c r="C144" s="11">
        <v>98.86</v>
      </c>
      <c r="D144" s="12">
        <v>1.74695175826117</v>
      </c>
      <c r="E144" s="12">
        <v>1.74406374641995</v>
      </c>
      <c r="F144" s="12">
        <v>1.7441597262470301</v>
      </c>
      <c r="G144" s="12">
        <v>1.74416031559226</v>
      </c>
      <c r="H144" s="11">
        <v>98.6965674099051</v>
      </c>
      <c r="I144" s="11">
        <v>98.685887991289405</v>
      </c>
      <c r="J144" s="11">
        <v>98.6974031823366</v>
      </c>
      <c r="K144" s="13">
        <v>1.65454005929252E-3</v>
      </c>
      <c r="L144" s="13">
        <v>1.76275047347955E-3</v>
      </c>
      <c r="M144" s="13">
        <v>1.64607199485177E-3</v>
      </c>
      <c r="N144" s="24">
        <v>0</v>
      </c>
      <c r="O144" s="25">
        <v>0</v>
      </c>
      <c r="P144" s="25">
        <f t="shared" si="41"/>
        <v>56.59</v>
      </c>
      <c r="Q144" s="25">
        <f t="shared" si="41"/>
        <v>98.86</v>
      </c>
      <c r="R144" s="16">
        <f t="shared" si="60"/>
        <v>1.7469517582611769</v>
      </c>
      <c r="S144" s="16">
        <f t="shared" si="61"/>
        <v>1.7440637464199518</v>
      </c>
      <c r="T144" s="16">
        <f t="shared" si="65"/>
        <v>1.7441597262470399</v>
      </c>
      <c r="U144" s="16">
        <f t="shared" si="39"/>
        <v>1.7441603155922691</v>
      </c>
      <c r="V144" s="18">
        <f t="shared" si="62"/>
        <v>98.696567409905072</v>
      </c>
      <c r="W144" s="18">
        <f t="shared" si="66"/>
        <v>98.685887991289434</v>
      </c>
      <c r="X144" s="18">
        <f t="shared" si="42"/>
        <v>98.6974031823367</v>
      </c>
      <c r="Y144" s="19">
        <f t="shared" si="63"/>
        <v>1.6545400592927475E-3</v>
      </c>
      <c r="Z144" s="19">
        <f t="shared" si="63"/>
        <v>1.7627504734793289E-3</v>
      </c>
      <c r="AA144" s="19">
        <f t="shared" si="63"/>
        <v>1.6460719948515538E-3</v>
      </c>
      <c r="AC144" s="20">
        <f t="shared" si="64"/>
        <v>-2.6471382262728532E-3</v>
      </c>
      <c r="AD144" s="20">
        <f t="shared" si="64"/>
        <v>-1.0114803022844188E-4</v>
      </c>
      <c r="AE144" s="20"/>
      <c r="AF144" s="20"/>
      <c r="AH144">
        <f t="shared" si="43"/>
        <v>0</v>
      </c>
      <c r="AI144">
        <f t="shared" si="44"/>
        <v>1</v>
      </c>
      <c r="AJ144">
        <f t="shared" si="45"/>
        <v>0</v>
      </c>
      <c r="AK144">
        <f t="shared" si="40"/>
        <v>0</v>
      </c>
      <c r="AL144" s="20">
        <f t="shared" si="46"/>
        <v>0</v>
      </c>
      <c r="AM144" s="20">
        <f t="shared" si="47"/>
        <v>0</v>
      </c>
      <c r="AN144" s="20">
        <f t="shared" si="48"/>
        <v>0</v>
      </c>
      <c r="AO144" s="21">
        <f t="shared" si="49"/>
        <v>3.6235668969633447E-3</v>
      </c>
      <c r="AQ144" s="20"/>
      <c r="AS144">
        <f t="shared" si="50"/>
        <v>1</v>
      </c>
      <c r="AT144">
        <f t="shared" si="51"/>
        <v>0</v>
      </c>
      <c r="AU144">
        <f t="shared" si="52"/>
        <v>0</v>
      </c>
      <c r="AV144">
        <f t="shared" si="53"/>
        <v>0</v>
      </c>
      <c r="AW144" s="20">
        <f t="shared" si="54"/>
        <v>0</v>
      </c>
      <c r="AX144" s="20">
        <f t="shared" si="55"/>
        <v>0</v>
      </c>
      <c r="AY144" s="20">
        <f t="shared" si="56"/>
        <v>0</v>
      </c>
      <c r="AZ144" s="21">
        <f t="shared" si="57"/>
        <v>8.2786809888977402E-4</v>
      </c>
      <c r="BB144" s="21">
        <f t="shared" si="58"/>
        <v>0</v>
      </c>
      <c r="BC144" s="21">
        <f t="shared" si="59"/>
        <v>4.4514349958531185E-3</v>
      </c>
    </row>
    <row r="145" spans="1:55" x14ac:dyDescent="0.3">
      <c r="A145" s="1">
        <v>46233</v>
      </c>
      <c r="B145" s="11">
        <v>56.56</v>
      </c>
      <c r="C145" s="11">
        <v>98.72</v>
      </c>
      <c r="D145" s="12">
        <v>1.7454031117397399</v>
      </c>
      <c r="E145" s="12">
        <v>1.74406374641995</v>
      </c>
      <c r="F145" s="12">
        <v>1.74417272649664</v>
      </c>
      <c r="G145" s="12">
        <v>1.7442282454793701</v>
      </c>
      <c r="H145" s="11">
        <v>98.6442454975125</v>
      </c>
      <c r="I145" s="11">
        <v>98.649674116532495</v>
      </c>
      <c r="J145" s="11">
        <v>98.649707449898699</v>
      </c>
      <c r="K145" s="13">
        <v>7.6766190367209201E-4</v>
      </c>
      <c r="L145" s="13">
        <v>7.1263112490226597E-4</v>
      </c>
      <c r="M145" s="13">
        <v>7.1229322859564298E-4</v>
      </c>
      <c r="N145" s="24">
        <v>0</v>
      </c>
      <c r="O145" s="25">
        <v>0</v>
      </c>
      <c r="P145" s="25">
        <f t="shared" si="41"/>
        <v>56.56</v>
      </c>
      <c r="Q145" s="25">
        <f t="shared" si="41"/>
        <v>98.72</v>
      </c>
      <c r="R145" s="16">
        <f t="shared" si="60"/>
        <v>1.7454031117397453</v>
      </c>
      <c r="S145" s="16">
        <f t="shared" si="61"/>
        <v>1.7440637464199518</v>
      </c>
      <c r="T145" s="16">
        <f t="shared" si="65"/>
        <v>1.7441727264966445</v>
      </c>
      <c r="U145" s="16">
        <f t="shared" si="39"/>
        <v>1.744228245479378</v>
      </c>
      <c r="V145" s="18">
        <f t="shared" si="62"/>
        <v>98.644245497512472</v>
      </c>
      <c r="W145" s="18">
        <f t="shared" si="66"/>
        <v>98.64967411653258</v>
      </c>
      <c r="X145" s="18">
        <f t="shared" si="42"/>
        <v>98.649707449898742</v>
      </c>
      <c r="Y145" s="19">
        <f t="shared" si="63"/>
        <v>7.6766190367231395E-4</v>
      </c>
      <c r="Z145" s="19">
        <f t="shared" si="63"/>
        <v>7.1263112490226651E-4</v>
      </c>
      <c r="AA145" s="19">
        <f t="shared" si="63"/>
        <v>7.1229322859564374E-4</v>
      </c>
      <c r="AC145" s="20">
        <f t="shared" si="64"/>
        <v>-5.3026956611522229E-4</v>
      </c>
      <c r="AD145" s="20">
        <f t="shared" si="64"/>
        <v>-1.4171477217355256E-3</v>
      </c>
      <c r="AE145" s="20"/>
      <c r="AF145" s="20"/>
      <c r="AH145">
        <f t="shared" si="43"/>
        <v>0</v>
      </c>
      <c r="AI145">
        <f t="shared" si="44"/>
        <v>1</v>
      </c>
      <c r="AJ145">
        <f t="shared" si="45"/>
        <v>0</v>
      </c>
      <c r="AK145">
        <f t="shared" si="40"/>
        <v>0</v>
      </c>
      <c r="AL145" s="20">
        <f t="shared" si="46"/>
        <v>0</v>
      </c>
      <c r="AM145" s="20">
        <f t="shared" si="47"/>
        <v>0</v>
      </c>
      <c r="AN145" s="20">
        <f t="shared" si="48"/>
        <v>0</v>
      </c>
      <c r="AO145" s="21">
        <f t="shared" si="49"/>
        <v>3.6235668969633447E-3</v>
      </c>
      <c r="AQ145" s="20"/>
      <c r="AS145">
        <f t="shared" si="50"/>
        <v>0</v>
      </c>
      <c r="AT145">
        <f t="shared" si="51"/>
        <v>0</v>
      </c>
      <c r="AU145">
        <f t="shared" si="52"/>
        <v>0</v>
      </c>
      <c r="AV145">
        <f t="shared" si="53"/>
        <v>1</v>
      </c>
      <c r="AW145" s="20">
        <f t="shared" si="54"/>
        <v>-5.3026956611522229E-4</v>
      </c>
      <c r="AX145" s="20">
        <f t="shared" si="55"/>
        <v>1.4171477217355256E-3</v>
      </c>
      <c r="AY145" s="20">
        <f t="shared" si="56"/>
        <v>8.8687815562030333E-4</v>
      </c>
      <c r="AZ145" s="21">
        <f t="shared" si="57"/>
        <v>1.7147462545100774E-3</v>
      </c>
      <c r="BB145" s="21">
        <f t="shared" si="58"/>
        <v>8.8687815562030333E-4</v>
      </c>
      <c r="BC145" s="21">
        <f t="shared" si="59"/>
        <v>5.3383131514734214E-3</v>
      </c>
    </row>
    <row r="146" spans="1:55" x14ac:dyDescent="0.3">
      <c r="A146" s="1">
        <v>46234</v>
      </c>
      <c r="B146" s="11">
        <v>56.53</v>
      </c>
      <c r="C146" s="11">
        <v>98.66</v>
      </c>
      <c r="D146" s="12">
        <v>1.7452679992924101</v>
      </c>
      <c r="E146" s="12">
        <v>1.74406374641995</v>
      </c>
      <c r="F146" s="12">
        <v>1.74424671605992</v>
      </c>
      <c r="G146" s="12">
        <v>1.74431727934465</v>
      </c>
      <c r="H146" s="11">
        <v>98.591923585119901</v>
      </c>
      <c r="I146" s="11">
        <v>98.598084228855299</v>
      </c>
      <c r="J146" s="11">
        <v>98.601222716949195</v>
      </c>
      <c r="K146" s="13">
        <v>6.9024845330449905E-4</v>
      </c>
      <c r="L146" s="13">
        <v>6.2776411339572798E-4</v>
      </c>
      <c r="M146" s="13">
        <v>5.9593349347299195E-4</v>
      </c>
      <c r="N146" s="24">
        <v>0</v>
      </c>
      <c r="O146" s="25">
        <v>0</v>
      </c>
      <c r="P146" s="25">
        <f t="shared" si="41"/>
        <v>56.53</v>
      </c>
      <c r="Q146" s="25">
        <f t="shared" si="41"/>
        <v>98.66</v>
      </c>
      <c r="R146" s="16">
        <f t="shared" si="60"/>
        <v>1.7452679992924109</v>
      </c>
      <c r="S146" s="16">
        <f t="shared" si="61"/>
        <v>1.7440637464199518</v>
      </c>
      <c r="T146" s="16">
        <f t="shared" si="65"/>
        <v>1.7442467160599253</v>
      </c>
      <c r="U146" s="16">
        <f t="shared" si="39"/>
        <v>1.7443172793446586</v>
      </c>
      <c r="V146" s="18">
        <f t="shared" si="62"/>
        <v>98.591923585119872</v>
      </c>
      <c r="W146" s="18">
        <f t="shared" si="66"/>
        <v>98.598084228855313</v>
      </c>
      <c r="X146" s="18">
        <f t="shared" si="42"/>
        <v>98.601222716949238</v>
      </c>
      <c r="Y146" s="19">
        <f t="shared" si="63"/>
        <v>6.9024845330472099E-4</v>
      </c>
      <c r="Z146" s="19">
        <f t="shared" si="63"/>
        <v>6.277641133957283E-4</v>
      </c>
      <c r="AA146" s="19">
        <f t="shared" si="63"/>
        <v>5.9593349347321432E-4</v>
      </c>
      <c r="AC146" s="20">
        <f t="shared" si="64"/>
        <v>-5.305509011179143E-4</v>
      </c>
      <c r="AD146" s="20">
        <f t="shared" si="64"/>
        <v>-6.079643514854716E-4</v>
      </c>
      <c r="AE146" s="20"/>
      <c r="AF146" s="20"/>
      <c r="AH146">
        <f t="shared" si="43"/>
        <v>0</v>
      </c>
      <c r="AI146">
        <f t="shared" si="44"/>
        <v>1</v>
      </c>
      <c r="AJ146">
        <f t="shared" si="45"/>
        <v>0</v>
      </c>
      <c r="AK146" s="26">
        <v>0</v>
      </c>
      <c r="AL146" s="20">
        <f t="shared" si="46"/>
        <v>0</v>
      </c>
      <c r="AM146" s="20">
        <f t="shared" si="47"/>
        <v>0</v>
      </c>
      <c r="AN146" s="20">
        <f t="shared" si="48"/>
        <v>0</v>
      </c>
      <c r="AO146" s="21">
        <f t="shared" si="49"/>
        <v>3.6235668969633447E-3</v>
      </c>
      <c r="AQ146" s="20"/>
      <c r="AS146">
        <f t="shared" si="50"/>
        <v>0</v>
      </c>
      <c r="AT146">
        <f t="shared" si="51"/>
        <v>0</v>
      </c>
      <c r="AU146">
        <f t="shared" si="52"/>
        <v>1</v>
      </c>
      <c r="AV146">
        <f t="shared" si="53"/>
        <v>0</v>
      </c>
      <c r="AW146" s="20">
        <f t="shared" si="54"/>
        <v>0</v>
      </c>
      <c r="AX146" s="20">
        <f t="shared" si="55"/>
        <v>0</v>
      </c>
      <c r="AY146" s="20">
        <f t="shared" si="56"/>
        <v>0</v>
      </c>
      <c r="AZ146" s="21">
        <f t="shared" si="57"/>
        <v>1.7147462545100774E-3</v>
      </c>
      <c r="BB146" s="21">
        <f t="shared" si="58"/>
        <v>0</v>
      </c>
      <c r="BC146" s="21">
        <f t="shared" si="59"/>
        <v>5.3383131514734214E-3</v>
      </c>
    </row>
    <row r="147" spans="1:55" x14ac:dyDescent="0.3">
      <c r="A147" s="1">
        <v>46237</v>
      </c>
      <c r="B147" s="11">
        <v>56.37</v>
      </c>
      <c r="C147" s="11">
        <v>98.45</v>
      </c>
      <c r="D147" s="12">
        <v>1.74649636331381</v>
      </c>
      <c r="E147" s="12">
        <v>1.74406374641995</v>
      </c>
      <c r="F147" s="12">
        <v>1.7444834536881799</v>
      </c>
      <c r="G147" s="12">
        <v>1.7444329971282699</v>
      </c>
      <c r="H147" s="11">
        <v>98.312873385692697</v>
      </c>
      <c r="I147" s="11">
        <v>98.323187384297896</v>
      </c>
      <c r="J147" s="11">
        <v>98.3271650366584</v>
      </c>
      <c r="K147" s="13">
        <v>1.39382632656277E-3</v>
      </c>
      <c r="L147" s="13">
        <v>1.28892187949079E-3</v>
      </c>
      <c r="M147" s="13">
        <v>1.24846782169744E-3</v>
      </c>
      <c r="N147" s="24">
        <v>0</v>
      </c>
      <c r="O147" s="15">
        <v>0</v>
      </c>
      <c r="P147" s="25">
        <f t="shared" si="41"/>
        <v>56.37</v>
      </c>
      <c r="Q147" s="25">
        <f t="shared" si="41"/>
        <v>98.45</v>
      </c>
      <c r="R147" s="16">
        <f t="shared" si="60"/>
        <v>1.7464963633138195</v>
      </c>
      <c r="S147" s="16">
        <f t="shared" si="61"/>
        <v>1.7440637464199518</v>
      </c>
      <c r="T147" s="16">
        <f t="shared" si="65"/>
        <v>1.7444834536881877</v>
      </c>
      <c r="U147" s="16">
        <f t="shared" si="39"/>
        <v>1.7444329971282719</v>
      </c>
      <c r="V147" s="18">
        <f t="shared" si="62"/>
        <v>98.312873385692683</v>
      </c>
      <c r="W147" s="18">
        <f t="shared" si="66"/>
        <v>98.323187384297981</v>
      </c>
      <c r="X147" s="18">
        <f t="shared" si="42"/>
        <v>98.3271650366584</v>
      </c>
      <c r="Y147" s="19">
        <f t="shared" si="63"/>
        <v>1.3938263265627761E-3</v>
      </c>
      <c r="Z147" s="19">
        <f t="shared" si="63"/>
        <v>1.2889218794907931E-3</v>
      </c>
      <c r="AA147" s="19">
        <f t="shared" si="63"/>
        <v>1.2484678216974434E-3</v>
      </c>
      <c r="AC147" s="20">
        <f t="shared" si="64"/>
        <v>-2.8343685937158494E-3</v>
      </c>
      <c r="AD147" s="20">
        <f t="shared" si="64"/>
        <v>-2.1307907204576189E-3</v>
      </c>
      <c r="AE147" s="20"/>
      <c r="AF147" s="20"/>
      <c r="AH147">
        <f t="shared" si="43"/>
        <v>0</v>
      </c>
      <c r="AI147">
        <f t="shared" si="44"/>
        <v>1</v>
      </c>
      <c r="AJ147">
        <f t="shared" si="45"/>
        <v>0</v>
      </c>
      <c r="AK147">
        <f t="shared" si="40"/>
        <v>0</v>
      </c>
      <c r="AL147" s="20">
        <f t="shared" si="46"/>
        <v>0</v>
      </c>
      <c r="AM147" s="20">
        <f t="shared" si="47"/>
        <v>0</v>
      </c>
      <c r="AN147" s="20">
        <f t="shared" si="48"/>
        <v>0</v>
      </c>
      <c r="AO147" s="21">
        <f t="shared" si="49"/>
        <v>3.6235668969633447E-3</v>
      </c>
      <c r="AQ147" s="20"/>
      <c r="AS147">
        <f t="shared" si="50"/>
        <v>1</v>
      </c>
      <c r="AT147">
        <f t="shared" si="51"/>
        <v>0</v>
      </c>
      <c r="AU147">
        <f t="shared" si="52"/>
        <v>0</v>
      </c>
      <c r="AV147">
        <f t="shared" si="53"/>
        <v>1</v>
      </c>
      <c r="AW147" s="20">
        <f t="shared" si="54"/>
        <v>-2.8343685937158494E-3</v>
      </c>
      <c r="AX147" s="20">
        <f t="shared" si="55"/>
        <v>2.1307907204576189E-3</v>
      </c>
      <c r="AY147" s="20">
        <f t="shared" si="56"/>
        <v>-7.0357787325823042E-4</v>
      </c>
      <c r="AZ147" s="21">
        <f t="shared" si="57"/>
        <v>1.0111683812518469E-3</v>
      </c>
      <c r="BB147" s="21">
        <f t="shared" si="58"/>
        <v>-7.0357787325823042E-4</v>
      </c>
      <c r="BC147" s="21">
        <f t="shared" si="59"/>
        <v>4.6347352782151914E-3</v>
      </c>
    </row>
    <row r="148" spans="1:55" x14ac:dyDescent="0.3">
      <c r="A148" s="1">
        <v>46238</v>
      </c>
      <c r="B148" s="11">
        <v>56.59</v>
      </c>
      <c r="C148" s="11">
        <v>98.79</v>
      </c>
      <c r="D148" s="12">
        <v>1.74571479059904</v>
      </c>
      <c r="E148" s="12">
        <v>1.74406374641995</v>
      </c>
      <c r="F148" s="12">
        <v>1.74468651169546</v>
      </c>
      <c r="G148" s="12">
        <v>1.74453188905906</v>
      </c>
      <c r="H148" s="11">
        <v>98.6965674099051</v>
      </c>
      <c r="I148" s="11">
        <v>98.720318644214501</v>
      </c>
      <c r="J148" s="11">
        <v>98.717463307488899</v>
      </c>
      <c r="K148" s="13">
        <v>9.4621723686183002E-4</v>
      </c>
      <c r="L148" s="13">
        <v>7.0559714707364404E-4</v>
      </c>
      <c r="M148" s="13">
        <v>7.3452106120568302E-4</v>
      </c>
      <c r="N148" s="24">
        <v>0</v>
      </c>
      <c r="O148" s="15">
        <v>0</v>
      </c>
      <c r="P148" s="25">
        <f t="shared" si="41"/>
        <v>56.59</v>
      </c>
      <c r="Q148" s="25">
        <f t="shared" si="41"/>
        <v>98.79</v>
      </c>
      <c r="R148" s="16">
        <f t="shared" si="60"/>
        <v>1.7457147905990458</v>
      </c>
      <c r="S148" s="16">
        <f t="shared" si="61"/>
        <v>1.7440637464199518</v>
      </c>
      <c r="T148" s="16">
        <f t="shared" si="65"/>
        <v>1.7446865116954604</v>
      </c>
      <c r="U148" s="16">
        <f t="shared" si="39"/>
        <v>1.7445318890590595</v>
      </c>
      <c r="V148" s="18">
        <f t="shared" si="62"/>
        <v>98.696567409905072</v>
      </c>
      <c r="W148" s="18">
        <f t="shared" si="66"/>
        <v>98.720318644214544</v>
      </c>
      <c r="X148" s="18">
        <f t="shared" si="42"/>
        <v>98.717463307488913</v>
      </c>
      <c r="Y148" s="19">
        <f t="shared" si="63"/>
        <v>9.4621723686205206E-4</v>
      </c>
      <c r="Z148" s="19">
        <f t="shared" si="63"/>
        <v>7.0559714707342264E-4</v>
      </c>
      <c r="AA148" s="19">
        <f t="shared" si="63"/>
        <v>7.3452106120590495E-4</v>
      </c>
      <c r="AC148" s="20">
        <f t="shared" si="64"/>
        <v>3.8951890609489146E-3</v>
      </c>
      <c r="AD148" s="20">
        <f t="shared" si="64"/>
        <v>3.4475799712480456E-3</v>
      </c>
      <c r="AE148" s="20"/>
      <c r="AF148" s="20"/>
      <c r="AH148">
        <f t="shared" si="43"/>
        <v>0</v>
      </c>
      <c r="AI148">
        <f t="shared" si="44"/>
        <v>1</v>
      </c>
      <c r="AJ148">
        <f t="shared" si="45"/>
        <v>0</v>
      </c>
      <c r="AK148">
        <f t="shared" si="40"/>
        <v>0</v>
      </c>
      <c r="AL148" s="20">
        <f t="shared" si="46"/>
        <v>0</v>
      </c>
      <c r="AM148" s="20">
        <f t="shared" si="47"/>
        <v>0</v>
      </c>
      <c r="AN148" s="20">
        <f t="shared" si="48"/>
        <v>0</v>
      </c>
      <c r="AO148" s="21">
        <f t="shared" si="49"/>
        <v>3.6235668969633447E-3</v>
      </c>
      <c r="AQ148" s="20"/>
      <c r="AS148">
        <f t="shared" si="50"/>
        <v>0</v>
      </c>
      <c r="AT148">
        <f t="shared" si="51"/>
        <v>0</v>
      </c>
      <c r="AU148">
        <f t="shared" si="52"/>
        <v>1</v>
      </c>
      <c r="AV148">
        <f t="shared" si="53"/>
        <v>1</v>
      </c>
      <c r="AW148" s="20">
        <f t="shared" si="54"/>
        <v>3.8951890609489146E-3</v>
      </c>
      <c r="AX148" s="20">
        <f t="shared" si="55"/>
        <v>-3.4475799712480456E-3</v>
      </c>
      <c r="AY148" s="20">
        <f t="shared" si="56"/>
        <v>4.4760908970086898E-4</v>
      </c>
      <c r="AZ148" s="21">
        <f t="shared" si="57"/>
        <v>1.4587774709527159E-3</v>
      </c>
      <c r="BB148" s="21">
        <f t="shared" si="58"/>
        <v>4.4760908970086898E-4</v>
      </c>
      <c r="BC148" s="21">
        <f t="shared" si="59"/>
        <v>5.0823443679160604E-3</v>
      </c>
    </row>
    <row r="149" spans="1:55" x14ac:dyDescent="0.3">
      <c r="A149" s="1">
        <v>46239</v>
      </c>
      <c r="B149" s="11">
        <v>56.68</v>
      </c>
      <c r="C149" s="11">
        <v>98.89</v>
      </c>
      <c r="D149" s="12">
        <v>1.74470712773465</v>
      </c>
      <c r="E149" s="12">
        <v>1.74406374641995</v>
      </c>
      <c r="F149" s="12">
        <v>1.74475131001724</v>
      </c>
      <c r="G149" s="12">
        <v>1.7445441510798401</v>
      </c>
      <c r="H149" s="11">
        <v>98.8535331470828</v>
      </c>
      <c r="I149" s="11">
        <v>98.888831482898695</v>
      </c>
      <c r="J149" s="11">
        <v>98.880067471867505</v>
      </c>
      <c r="K149" s="13">
        <v>3.6882979433159598E-4</v>
      </c>
      <c r="L149" s="13">
        <v>1.1816402114983701E-5</v>
      </c>
      <c r="M149" s="13">
        <v>1.00445211631848E-4</v>
      </c>
      <c r="N149" s="24">
        <v>0</v>
      </c>
      <c r="O149" s="15">
        <v>0</v>
      </c>
      <c r="P149" s="25">
        <f t="shared" si="41"/>
        <v>56.68</v>
      </c>
      <c r="Q149" s="25">
        <f t="shared" si="41"/>
        <v>98.89</v>
      </c>
      <c r="R149" s="16">
        <f t="shared" si="60"/>
        <v>1.7447071277346506</v>
      </c>
      <c r="S149" s="16">
        <f t="shared" si="61"/>
        <v>1.7440637464199518</v>
      </c>
      <c r="T149" s="16">
        <f t="shared" si="65"/>
        <v>1.7447513100172447</v>
      </c>
      <c r="U149" s="16">
        <f t="shared" si="39"/>
        <v>1.7445441510798407</v>
      </c>
      <c r="V149" s="18">
        <f t="shared" si="62"/>
        <v>98.853533147082871</v>
      </c>
      <c r="W149" s="18">
        <f t="shared" si="66"/>
        <v>98.888831482898695</v>
      </c>
      <c r="X149" s="18">
        <f t="shared" si="42"/>
        <v>98.880067471867491</v>
      </c>
      <c r="Y149" s="19">
        <f t="shared" si="63"/>
        <v>3.6882979433159636E-4</v>
      </c>
      <c r="Z149" s="19">
        <f t="shared" si="63"/>
        <v>1.1816402114983745E-5</v>
      </c>
      <c r="AA149" s="19">
        <f t="shared" si="63"/>
        <v>1.0044521163207047E-4</v>
      </c>
      <c r="AC149" s="20">
        <f t="shared" si="64"/>
        <v>1.5891236680471107E-3</v>
      </c>
      <c r="AD149" s="20">
        <f t="shared" si="64"/>
        <v>1.0117362255166957E-3</v>
      </c>
      <c r="AE149" s="20"/>
      <c r="AF149" s="20"/>
      <c r="AH149">
        <f t="shared" si="43"/>
        <v>0</v>
      </c>
      <c r="AI149">
        <f t="shared" si="44"/>
        <v>1</v>
      </c>
      <c r="AJ149">
        <f t="shared" si="45"/>
        <v>0</v>
      </c>
      <c r="AK149">
        <f t="shared" si="40"/>
        <v>0</v>
      </c>
      <c r="AL149" s="20">
        <f t="shared" si="46"/>
        <v>0</v>
      </c>
      <c r="AM149" s="20">
        <f t="shared" si="47"/>
        <v>0</v>
      </c>
      <c r="AN149" s="20">
        <f t="shared" si="48"/>
        <v>0</v>
      </c>
      <c r="AO149" s="21">
        <f t="shared" si="49"/>
        <v>3.6235668969633447E-3</v>
      </c>
      <c r="AQ149" s="20"/>
      <c r="AS149">
        <f t="shared" si="50"/>
        <v>0</v>
      </c>
      <c r="AT149">
        <f t="shared" si="51"/>
        <v>0</v>
      </c>
      <c r="AU149">
        <f t="shared" si="52"/>
        <v>1</v>
      </c>
      <c r="AV149">
        <f t="shared" si="53"/>
        <v>1</v>
      </c>
      <c r="AW149" s="20">
        <f t="shared" si="54"/>
        <v>1.5891236680471107E-3</v>
      </c>
      <c r="AX149" s="20">
        <f t="shared" si="55"/>
        <v>-1.0117362255166957E-3</v>
      </c>
      <c r="AY149" s="20">
        <f t="shared" si="56"/>
        <v>5.7738744253041504E-4</v>
      </c>
      <c r="AZ149" s="21">
        <f t="shared" si="57"/>
        <v>2.0361649134831312E-3</v>
      </c>
      <c r="BB149" s="21">
        <f t="shared" si="58"/>
        <v>5.7738744253041504E-4</v>
      </c>
      <c r="BC149" s="21">
        <f t="shared" si="59"/>
        <v>5.659731810446475E-3</v>
      </c>
    </row>
    <row r="150" spans="1:55" x14ac:dyDescent="0.3">
      <c r="A150" s="1">
        <v>46240</v>
      </c>
      <c r="B150" s="11">
        <v>56.66</v>
      </c>
      <c r="C150" s="11">
        <v>98.86</v>
      </c>
      <c r="D150" s="12">
        <v>1.7447935051182399</v>
      </c>
      <c r="E150" s="12">
        <v>1.74406374641995</v>
      </c>
      <c r="F150" s="12">
        <v>1.7449080113347999</v>
      </c>
      <c r="G150" s="12">
        <v>1.7445714832395101</v>
      </c>
      <c r="H150" s="11">
        <v>98.818651872154405</v>
      </c>
      <c r="I150" s="11">
        <v>98.857609225576994</v>
      </c>
      <c r="J150" s="11">
        <v>98.845871600183699</v>
      </c>
      <c r="K150" s="13">
        <v>4.1833681135434802E-4</v>
      </c>
      <c r="L150" s="13">
        <v>2.41837278165852E-5</v>
      </c>
      <c r="M150" s="13">
        <v>1.4292342180742299E-4</v>
      </c>
      <c r="N150" s="24">
        <v>0</v>
      </c>
      <c r="O150" s="15">
        <v>0</v>
      </c>
      <c r="P150" s="25">
        <f t="shared" si="41"/>
        <v>56.66</v>
      </c>
      <c r="Q150" s="25">
        <f t="shared" si="41"/>
        <v>98.86</v>
      </c>
      <c r="R150" s="16">
        <f t="shared" si="60"/>
        <v>1.7447935051182493</v>
      </c>
      <c r="S150" s="16">
        <f t="shared" si="61"/>
        <v>1.7440637464199518</v>
      </c>
      <c r="T150" s="16">
        <f t="shared" si="65"/>
        <v>1.7449080113348074</v>
      </c>
      <c r="U150" s="16">
        <f t="shared" ref="U150:U156" si="67">AVERAGE(R131:R150)</f>
        <v>1.7445714832395189</v>
      </c>
      <c r="V150" s="18">
        <f t="shared" si="62"/>
        <v>98.818651872154462</v>
      </c>
      <c r="W150" s="18">
        <f t="shared" si="66"/>
        <v>98.857609225577079</v>
      </c>
      <c r="X150" s="18">
        <f t="shared" si="42"/>
        <v>98.84587160018377</v>
      </c>
      <c r="Y150" s="19">
        <f t="shared" si="63"/>
        <v>4.1833681135479243E-4</v>
      </c>
      <c r="Z150" s="19">
        <f t="shared" si="63"/>
        <v>2.4183727816585207E-5</v>
      </c>
      <c r="AA150" s="19">
        <f t="shared" si="63"/>
        <v>1.4292342180764506E-4</v>
      </c>
      <c r="AC150" s="20">
        <f t="shared" si="64"/>
        <v>-3.5292042010927755E-4</v>
      </c>
      <c r="AD150" s="20">
        <f t="shared" si="64"/>
        <v>-3.0341340308618513E-4</v>
      </c>
      <c r="AE150" s="20"/>
      <c r="AF150" s="20"/>
      <c r="AH150">
        <f t="shared" si="43"/>
        <v>0</v>
      </c>
      <c r="AI150">
        <f t="shared" si="44"/>
        <v>1</v>
      </c>
      <c r="AJ150">
        <f t="shared" si="45"/>
        <v>0</v>
      </c>
      <c r="AK150">
        <f t="shared" ref="AK150:AK156" si="68">IF(AH149,1,IF(AI149,0,AJ149))</f>
        <v>0</v>
      </c>
      <c r="AL150" s="20">
        <f t="shared" si="46"/>
        <v>0</v>
      </c>
      <c r="AM150" s="20">
        <f t="shared" si="47"/>
        <v>0</v>
      </c>
      <c r="AN150" s="20">
        <f t="shared" si="48"/>
        <v>0</v>
      </c>
      <c r="AO150" s="21">
        <f t="shared" si="49"/>
        <v>3.6235668969633447E-3</v>
      </c>
      <c r="AQ150" s="20"/>
      <c r="AS150">
        <f t="shared" si="50"/>
        <v>0</v>
      </c>
      <c r="AT150">
        <f t="shared" si="51"/>
        <v>0</v>
      </c>
      <c r="AU150">
        <f t="shared" si="52"/>
        <v>1</v>
      </c>
      <c r="AV150">
        <f t="shared" si="53"/>
        <v>1</v>
      </c>
      <c r="AW150" s="20">
        <f t="shared" si="54"/>
        <v>-3.5292042010927755E-4</v>
      </c>
      <c r="AX150" s="20">
        <f t="shared" si="55"/>
        <v>3.0341340308618513E-4</v>
      </c>
      <c r="AY150" s="20">
        <f t="shared" si="56"/>
        <v>-4.9507017023092421E-5</v>
      </c>
      <c r="AZ150" s="21">
        <f t="shared" si="57"/>
        <v>1.9866578964600388E-3</v>
      </c>
      <c r="BB150" s="21">
        <f t="shared" si="58"/>
        <v>-4.9507017023092421E-5</v>
      </c>
      <c r="BC150" s="21">
        <f t="shared" si="59"/>
        <v>5.610224793423383E-3</v>
      </c>
    </row>
    <row r="151" spans="1:55" x14ac:dyDescent="0.3">
      <c r="A151" s="1">
        <v>46241</v>
      </c>
      <c r="B151" s="11">
        <v>56.83</v>
      </c>
      <c r="C151" s="11">
        <v>99.14</v>
      </c>
      <c r="D151" s="12">
        <v>1.7445011437620901</v>
      </c>
      <c r="E151" s="12">
        <v>1.74406374641995</v>
      </c>
      <c r="F151" s="12">
        <v>1.74492429697782</v>
      </c>
      <c r="G151" s="12">
        <v>1.7445341167135799</v>
      </c>
      <c r="H151" s="11">
        <v>99.115142709045799</v>
      </c>
      <c r="I151" s="11">
        <v>99.163122284156998</v>
      </c>
      <c r="J151" s="11">
        <v>99.143997392501802</v>
      </c>
      <c r="K151" s="13">
        <v>2.5076061830943403E-4</v>
      </c>
      <c r="L151" s="13">
        <v>-2.3320141403255701E-4</v>
      </c>
      <c r="M151" s="13">
        <v>-4.0319870034513501E-5</v>
      </c>
      <c r="N151" s="24">
        <v>0</v>
      </c>
      <c r="O151" s="15">
        <v>0</v>
      </c>
      <c r="P151" s="25">
        <f t="shared" ref="P151:Q156" si="69">B151+N151</f>
        <v>56.83</v>
      </c>
      <c r="Q151" s="25">
        <f t="shared" si="69"/>
        <v>99.14</v>
      </c>
      <c r="R151" s="16">
        <f t="shared" si="60"/>
        <v>1.7445011437620976</v>
      </c>
      <c r="S151" s="16">
        <f t="shared" si="61"/>
        <v>1.7440637464199518</v>
      </c>
      <c r="T151" s="16">
        <f t="shared" si="65"/>
        <v>1.7449242969778254</v>
      </c>
      <c r="U151" s="16">
        <f t="shared" si="67"/>
        <v>1.7445341167135873</v>
      </c>
      <c r="V151" s="18">
        <f t="shared" si="62"/>
        <v>99.115142709045855</v>
      </c>
      <c r="W151" s="18">
        <f t="shared" si="66"/>
        <v>99.163122284157097</v>
      </c>
      <c r="X151" s="18">
        <f t="shared" ref="X151:X156" si="70">U150*P151</f>
        <v>99.143997392501859</v>
      </c>
      <c r="Y151" s="19">
        <f t="shared" si="63"/>
        <v>2.5076061830965656E-4</v>
      </c>
      <c r="Z151" s="19">
        <f t="shared" si="63"/>
        <v>-2.3320141403277914E-4</v>
      </c>
      <c r="AA151" s="19">
        <f t="shared" si="63"/>
        <v>-4.0319870034513555E-5</v>
      </c>
      <c r="AC151" s="20">
        <f t="shared" si="64"/>
        <v>2.9958609066596301E-3</v>
      </c>
      <c r="AD151" s="20">
        <f t="shared" si="64"/>
        <v>2.8282847136145406E-3</v>
      </c>
      <c r="AE151" s="20"/>
      <c r="AF151" s="20"/>
      <c r="AH151">
        <f t="shared" ref="AH151:AH156" si="71">IF(AA151&lt;AG$1,1,0)</f>
        <v>0</v>
      </c>
      <c r="AI151">
        <f t="shared" ref="AI151:AI156" si="72">IF($AA151&gt;AG$2,1,0)</f>
        <v>0</v>
      </c>
      <c r="AJ151">
        <f t="shared" ref="AJ151:AJ156" si="73">AK151</f>
        <v>0</v>
      </c>
      <c r="AK151">
        <f t="shared" si="68"/>
        <v>0</v>
      </c>
      <c r="AL151" s="20">
        <f t="shared" ref="AL151:AL156" si="74">-AK151*$AC151</f>
        <v>0</v>
      </c>
      <c r="AM151" s="20">
        <f t="shared" ref="AM151:AM156" si="75">AK151*$AD151</f>
        <v>0</v>
      </c>
      <c r="AN151" s="20">
        <f t="shared" ref="AN151:AN156" si="76">AL151+AM151</f>
        <v>0</v>
      </c>
      <c r="AO151" s="21">
        <f t="shared" ref="AO151:AO156" si="77">AO150+AN151</f>
        <v>3.6235668969633447E-3</v>
      </c>
      <c r="AQ151" s="20"/>
      <c r="AS151">
        <f t="shared" ref="AS151:AS156" si="78">IF($AA151&gt;AR$1,1,0)</f>
        <v>0</v>
      </c>
      <c r="AT151">
        <f t="shared" ref="AT151:AT156" si="79">IF($AA151&lt;AR$2,1,0)</f>
        <v>1</v>
      </c>
      <c r="AU151">
        <f t="shared" ref="AU151:AU156" si="80">AV150</f>
        <v>1</v>
      </c>
      <c r="AV151">
        <f t="shared" ref="AV151:AV156" si="81">IF(AS150,1,IF(AT150,0,AU150))</f>
        <v>1</v>
      </c>
      <c r="AW151" s="20">
        <f t="shared" ref="AW151:AW156" si="82">AV151*$AC151</f>
        <v>2.9958609066596301E-3</v>
      </c>
      <c r="AX151" s="20">
        <f t="shared" ref="AX151:AX156" si="83">-AV151*$AD151</f>
        <v>-2.8282847136145406E-3</v>
      </c>
      <c r="AY151" s="20">
        <f t="shared" ref="AY151:AY156" si="84">AW151+AX151</f>
        <v>1.6757619304508947E-4</v>
      </c>
      <c r="AZ151" s="21">
        <f t="shared" ref="AZ151:AZ156" si="85">AZ150+AY151</f>
        <v>2.1542340895051282E-3</v>
      </c>
      <c r="BB151" s="21">
        <f t="shared" ref="BB151:BB156" si="86">AN151+AY151</f>
        <v>1.6757619304508947E-4</v>
      </c>
      <c r="BC151" s="21">
        <f t="shared" ref="BC151:BC156" si="87">BC150+BB151</f>
        <v>5.7778009864684725E-3</v>
      </c>
    </row>
    <row r="152" spans="1:55" x14ac:dyDescent="0.3">
      <c r="A152" s="1">
        <v>46244</v>
      </c>
      <c r="B152" s="11">
        <v>56.79</v>
      </c>
      <c r="C152" s="11">
        <v>99.1</v>
      </c>
      <c r="D152" s="12">
        <v>1.7450255326641999</v>
      </c>
      <c r="E152" s="12">
        <v>1.74406374641995</v>
      </c>
      <c r="F152" s="12">
        <v>1.7451371025823399</v>
      </c>
      <c r="G152" s="12">
        <v>1.7445971847300099</v>
      </c>
      <c r="H152" s="11">
        <v>99.045380159188994</v>
      </c>
      <c r="I152" s="11">
        <v>99.094250825370693</v>
      </c>
      <c r="J152" s="11">
        <v>99.0720924881646</v>
      </c>
      <c r="K152" s="13">
        <v>5.5131078151287303E-4</v>
      </c>
      <c r="L152" s="13">
        <v>5.8015554002969997E-5</v>
      </c>
      <c r="M152" s="13">
        <v>2.8164926422749099E-4</v>
      </c>
      <c r="N152" s="24">
        <v>0</v>
      </c>
      <c r="O152" s="15">
        <v>0</v>
      </c>
      <c r="P152" s="25">
        <f t="shared" si="69"/>
        <v>56.79</v>
      </c>
      <c r="Q152" s="25">
        <f t="shared" si="69"/>
        <v>99.1</v>
      </c>
      <c r="R152" s="16">
        <f t="shared" si="60"/>
        <v>1.7450255326642015</v>
      </c>
      <c r="S152" s="16">
        <f t="shared" si="61"/>
        <v>1.7440637464199518</v>
      </c>
      <c r="T152" s="16">
        <f t="shared" si="65"/>
        <v>1.745137102582343</v>
      </c>
      <c r="U152" s="16">
        <f t="shared" si="67"/>
        <v>1.7445971847300172</v>
      </c>
      <c r="V152" s="18">
        <f t="shared" si="62"/>
        <v>99.045380159189065</v>
      </c>
      <c r="W152" s="18">
        <f t="shared" si="66"/>
        <v>99.094250825370708</v>
      </c>
      <c r="X152" s="18">
        <f t="shared" si="70"/>
        <v>99.072092488164614</v>
      </c>
      <c r="Y152" s="19">
        <f t="shared" si="63"/>
        <v>5.5131078151287379E-4</v>
      </c>
      <c r="Z152" s="19">
        <f t="shared" si="63"/>
        <v>5.8015554002748027E-5</v>
      </c>
      <c r="AA152" s="19">
        <f t="shared" si="63"/>
        <v>2.8164926422749115E-4</v>
      </c>
      <c r="AC152" s="20">
        <f t="shared" si="64"/>
        <v>-7.0410141968891681E-4</v>
      </c>
      <c r="AD152" s="20">
        <f t="shared" si="64"/>
        <v>-4.0355125648555815E-4</v>
      </c>
      <c r="AE152" s="20"/>
      <c r="AF152" s="20"/>
      <c r="AH152">
        <f t="shared" si="71"/>
        <v>0</v>
      </c>
      <c r="AI152">
        <f t="shared" si="72"/>
        <v>1</v>
      </c>
      <c r="AJ152">
        <f t="shared" si="73"/>
        <v>0</v>
      </c>
      <c r="AK152">
        <f t="shared" si="68"/>
        <v>0</v>
      </c>
      <c r="AL152" s="20">
        <f t="shared" si="74"/>
        <v>0</v>
      </c>
      <c r="AM152" s="20">
        <f t="shared" si="75"/>
        <v>0</v>
      </c>
      <c r="AN152" s="20">
        <f t="shared" si="76"/>
        <v>0</v>
      </c>
      <c r="AO152" s="21">
        <f t="shared" si="77"/>
        <v>3.6235668969633447E-3</v>
      </c>
      <c r="AQ152" s="20"/>
      <c r="AS152">
        <f t="shared" si="78"/>
        <v>0</v>
      </c>
      <c r="AT152">
        <f t="shared" si="79"/>
        <v>0</v>
      </c>
      <c r="AU152">
        <f t="shared" si="80"/>
        <v>1</v>
      </c>
      <c r="AV152">
        <f t="shared" si="81"/>
        <v>0</v>
      </c>
      <c r="AW152" s="20">
        <f t="shared" si="82"/>
        <v>0</v>
      </c>
      <c r="AX152" s="20">
        <f t="shared" si="83"/>
        <v>0</v>
      </c>
      <c r="AY152" s="20">
        <f t="shared" si="84"/>
        <v>0</v>
      </c>
      <c r="AZ152" s="21">
        <f t="shared" si="85"/>
        <v>2.1542340895051282E-3</v>
      </c>
      <c r="BB152" s="21">
        <f t="shared" si="86"/>
        <v>0</v>
      </c>
      <c r="BC152" s="21">
        <f t="shared" si="87"/>
        <v>5.7778009864684725E-3</v>
      </c>
    </row>
    <row r="153" spans="1:55" x14ac:dyDescent="0.3">
      <c r="A153" s="1">
        <v>46245</v>
      </c>
      <c r="B153" s="11">
        <v>56.83</v>
      </c>
      <c r="C153" s="11">
        <v>99.17</v>
      </c>
      <c r="D153" s="12">
        <v>1.74502903396093</v>
      </c>
      <c r="E153" s="12">
        <v>1.74406374641995</v>
      </c>
      <c r="F153" s="12">
        <v>1.7453890366446301</v>
      </c>
      <c r="G153" s="12">
        <v>1.7446320337074499</v>
      </c>
      <c r="H153" s="11">
        <v>99.115142709045799</v>
      </c>
      <c r="I153" s="11">
        <v>99.176141539754497</v>
      </c>
      <c r="J153" s="11">
        <v>99.145458008206802</v>
      </c>
      <c r="K153" s="13">
        <v>5.5331722391540499E-4</v>
      </c>
      <c r="L153" s="13">
        <v>-6.1927494115429906E-5</v>
      </c>
      <c r="M153" s="13">
        <v>2.4750457846204298E-4</v>
      </c>
      <c r="N153" s="24">
        <v>0</v>
      </c>
      <c r="O153" s="15">
        <v>0</v>
      </c>
      <c r="P153" s="25">
        <f t="shared" si="69"/>
        <v>56.83</v>
      </c>
      <c r="Q153" s="25">
        <f t="shared" si="69"/>
        <v>99.17</v>
      </c>
      <c r="R153" s="16">
        <f t="shared" si="60"/>
        <v>1.7450290339609362</v>
      </c>
      <c r="S153" s="16">
        <f t="shared" si="61"/>
        <v>1.7440637464199518</v>
      </c>
      <c r="T153" s="16">
        <f t="shared" si="65"/>
        <v>1.7453890366446334</v>
      </c>
      <c r="U153" s="16">
        <f t="shared" si="67"/>
        <v>1.7446320337074503</v>
      </c>
      <c r="V153" s="18">
        <f t="shared" si="62"/>
        <v>99.115142709045855</v>
      </c>
      <c r="W153" s="18">
        <f t="shared" si="66"/>
        <v>99.176141539754553</v>
      </c>
      <c r="X153" s="18">
        <f t="shared" si="70"/>
        <v>99.145458008206873</v>
      </c>
      <c r="Y153" s="19">
        <f t="shared" si="63"/>
        <v>5.5331722391562693E-4</v>
      </c>
      <c r="Z153" s="19">
        <f t="shared" si="63"/>
        <v>-6.192749411542996E-5</v>
      </c>
      <c r="AA153" s="19">
        <f t="shared" si="63"/>
        <v>2.4750457846204374E-4</v>
      </c>
      <c r="AC153" s="20">
        <f t="shared" si="64"/>
        <v>7.0410141968888244E-4</v>
      </c>
      <c r="AD153" s="20">
        <f t="shared" si="64"/>
        <v>7.0610786209139348E-4</v>
      </c>
      <c r="AE153" s="20"/>
      <c r="AF153" s="20"/>
      <c r="AH153">
        <f t="shared" si="71"/>
        <v>0</v>
      </c>
      <c r="AI153">
        <f t="shared" si="72"/>
        <v>1</v>
      </c>
      <c r="AJ153">
        <f t="shared" si="73"/>
        <v>0</v>
      </c>
      <c r="AK153">
        <f t="shared" si="68"/>
        <v>0</v>
      </c>
      <c r="AL153" s="20">
        <f t="shared" si="74"/>
        <v>0</v>
      </c>
      <c r="AM153" s="20">
        <f t="shared" si="75"/>
        <v>0</v>
      </c>
      <c r="AN153" s="20">
        <f t="shared" si="76"/>
        <v>0</v>
      </c>
      <c r="AO153" s="21">
        <f t="shared" si="77"/>
        <v>3.6235668969633447E-3</v>
      </c>
      <c r="AQ153" s="20"/>
      <c r="AS153">
        <f t="shared" si="78"/>
        <v>0</v>
      </c>
      <c r="AT153">
        <f t="shared" si="79"/>
        <v>0</v>
      </c>
      <c r="AU153">
        <f t="shared" si="80"/>
        <v>0</v>
      </c>
      <c r="AV153">
        <f t="shared" si="81"/>
        <v>1</v>
      </c>
      <c r="AW153" s="20">
        <f t="shared" si="82"/>
        <v>7.0410141968888244E-4</v>
      </c>
      <c r="AX153" s="20">
        <f t="shared" si="83"/>
        <v>-7.0610786209139348E-4</v>
      </c>
      <c r="AY153" s="20">
        <f t="shared" si="84"/>
        <v>-2.0064424025110356E-6</v>
      </c>
      <c r="AZ153" s="21">
        <f t="shared" si="85"/>
        <v>2.1522276471026172E-3</v>
      </c>
      <c r="BB153" s="21">
        <f t="shared" si="86"/>
        <v>-2.0064424025110356E-6</v>
      </c>
      <c r="BC153" s="21">
        <f t="shared" si="87"/>
        <v>5.7757945440659614E-3</v>
      </c>
    </row>
    <row r="154" spans="1:55" x14ac:dyDescent="0.3">
      <c r="A154" s="1">
        <v>46246</v>
      </c>
      <c r="B154" s="11">
        <v>56.85</v>
      </c>
      <c r="C154" s="11">
        <v>99.21</v>
      </c>
      <c r="D154" s="12">
        <v>1.74511873350923</v>
      </c>
      <c r="E154" s="12">
        <v>1.74406374641995</v>
      </c>
      <c r="F154" s="12">
        <v>1.74520573416943</v>
      </c>
      <c r="G154" s="12">
        <v>1.7446827302082299</v>
      </c>
      <c r="H154" s="11">
        <v>99.150023983974194</v>
      </c>
      <c r="I154" s="11">
        <v>99.225366733247398</v>
      </c>
      <c r="J154" s="11">
        <v>99.1823311162685</v>
      </c>
      <c r="K154" s="13">
        <v>6.0471880017763104E-4</v>
      </c>
      <c r="L154" s="13">
        <v>-1.54878976778304E-4</v>
      </c>
      <c r="M154" s="13">
        <v>2.7893098241417598E-4</v>
      </c>
      <c r="N154" s="24">
        <v>0</v>
      </c>
      <c r="O154" s="15">
        <v>0</v>
      </c>
      <c r="P154" s="25">
        <f t="shared" si="69"/>
        <v>56.85</v>
      </c>
      <c r="Q154" s="25">
        <f t="shared" si="69"/>
        <v>99.21</v>
      </c>
      <c r="R154" s="16">
        <f t="shared" si="60"/>
        <v>1.7451187335092346</v>
      </c>
      <c r="S154" s="16">
        <f t="shared" si="61"/>
        <v>1.7440637464199518</v>
      </c>
      <c r="T154" s="16">
        <f t="shared" si="65"/>
        <v>1.7452057341694389</v>
      </c>
      <c r="U154" s="16">
        <f t="shared" si="67"/>
        <v>1.7446827302082397</v>
      </c>
      <c r="V154" s="18">
        <f t="shared" si="62"/>
        <v>99.150023983974265</v>
      </c>
      <c r="W154" s="18">
        <f t="shared" si="66"/>
        <v>99.225366733247412</v>
      </c>
      <c r="X154" s="18">
        <f t="shared" si="70"/>
        <v>99.182331116268557</v>
      </c>
      <c r="Y154" s="19">
        <f t="shared" si="63"/>
        <v>6.0471880017785298E-4</v>
      </c>
      <c r="Z154" s="19">
        <f t="shared" si="63"/>
        <v>-1.5487897677830402E-4</v>
      </c>
      <c r="AA154" s="19">
        <f t="shared" si="63"/>
        <v>2.789309824139541E-4</v>
      </c>
      <c r="AC154" s="20">
        <f t="shared" si="64"/>
        <v>3.5186488751495998E-4</v>
      </c>
      <c r="AD154" s="20">
        <f t="shared" si="64"/>
        <v>4.0326646377735322E-4</v>
      </c>
      <c r="AE154" s="20"/>
      <c r="AF154" s="20"/>
      <c r="AH154">
        <f t="shared" si="71"/>
        <v>0</v>
      </c>
      <c r="AI154">
        <f t="shared" si="72"/>
        <v>1</v>
      </c>
      <c r="AJ154">
        <f t="shared" si="73"/>
        <v>0</v>
      </c>
      <c r="AK154">
        <f t="shared" si="68"/>
        <v>0</v>
      </c>
      <c r="AL154" s="20">
        <f t="shared" si="74"/>
        <v>0</v>
      </c>
      <c r="AM154" s="20">
        <f t="shared" si="75"/>
        <v>0</v>
      </c>
      <c r="AN154" s="20">
        <f t="shared" si="76"/>
        <v>0</v>
      </c>
      <c r="AO154" s="21">
        <f t="shared" si="77"/>
        <v>3.6235668969633447E-3</v>
      </c>
      <c r="AQ154" s="20"/>
      <c r="AS154">
        <f t="shared" si="78"/>
        <v>0</v>
      </c>
      <c r="AT154">
        <f t="shared" si="79"/>
        <v>0</v>
      </c>
      <c r="AU154">
        <f t="shared" si="80"/>
        <v>1</v>
      </c>
      <c r="AV154">
        <f t="shared" si="81"/>
        <v>0</v>
      </c>
      <c r="AW154" s="20">
        <f t="shared" si="82"/>
        <v>0</v>
      </c>
      <c r="AX154" s="20">
        <f t="shared" si="83"/>
        <v>0</v>
      </c>
      <c r="AY154" s="20">
        <f t="shared" si="84"/>
        <v>0</v>
      </c>
      <c r="AZ154" s="21">
        <f t="shared" si="85"/>
        <v>2.1522276471026172E-3</v>
      </c>
      <c r="BB154" s="21">
        <f t="shared" si="86"/>
        <v>0</v>
      </c>
      <c r="BC154" s="21">
        <f t="shared" si="87"/>
        <v>5.7757945440659614E-3</v>
      </c>
    </row>
    <row r="155" spans="1:55" x14ac:dyDescent="0.3">
      <c r="A155" s="1">
        <v>46247</v>
      </c>
      <c r="B155" s="11">
        <v>56.93</v>
      </c>
      <c r="C155" s="11">
        <v>99.35</v>
      </c>
      <c r="D155" s="12">
        <v>1.7451255928333</v>
      </c>
      <c r="E155" s="12">
        <v>1.74406374641995</v>
      </c>
      <c r="F155" s="12">
        <v>1.7451779822787901</v>
      </c>
      <c r="G155" s="12">
        <v>1.74467535438771</v>
      </c>
      <c r="H155" s="11">
        <v>99.289549083687803</v>
      </c>
      <c r="I155" s="11">
        <v>99.354562446266101</v>
      </c>
      <c r="J155" s="11">
        <v>99.324787830755</v>
      </c>
      <c r="K155" s="13">
        <v>6.0864936974698602E-4</v>
      </c>
      <c r="L155" s="13">
        <v>-4.5921907487282799E-5</v>
      </c>
      <c r="M155" s="13">
        <v>2.5380341064478102E-4</v>
      </c>
      <c r="N155" s="24">
        <v>0</v>
      </c>
      <c r="O155" s="15">
        <v>0</v>
      </c>
      <c r="P155" s="25">
        <f t="shared" si="69"/>
        <v>56.93</v>
      </c>
      <c r="Q155" s="25">
        <f t="shared" si="69"/>
        <v>99.35</v>
      </c>
      <c r="R155" s="16">
        <f t="shared" si="60"/>
        <v>1.745125592833304</v>
      </c>
      <c r="S155" s="16">
        <f t="shared" si="61"/>
        <v>1.7440637464199518</v>
      </c>
      <c r="T155" s="16">
        <f t="shared" si="65"/>
        <v>1.7451779822787947</v>
      </c>
      <c r="U155" s="16">
        <f t="shared" si="67"/>
        <v>1.7446753543877196</v>
      </c>
      <c r="V155" s="18">
        <f t="shared" si="62"/>
        <v>99.289549083687859</v>
      </c>
      <c r="W155" s="18">
        <f t="shared" si="66"/>
        <v>99.354562446266158</v>
      </c>
      <c r="X155" s="18">
        <f t="shared" si="70"/>
        <v>99.324787830755085</v>
      </c>
      <c r="Y155" s="19">
        <f t="shared" si="63"/>
        <v>6.0864936974720796E-4</v>
      </c>
      <c r="Z155" s="19">
        <f t="shared" si="63"/>
        <v>-4.5921907487171776E-5</v>
      </c>
      <c r="AA155" s="19">
        <f t="shared" si="63"/>
        <v>2.5380341064433769E-4</v>
      </c>
      <c r="AC155" s="20">
        <f t="shared" si="64"/>
        <v>1.406222766445355E-3</v>
      </c>
      <c r="AD155" s="20">
        <f t="shared" si="64"/>
        <v>1.4101533360146717E-3</v>
      </c>
      <c r="AE155" s="20"/>
      <c r="AF155" s="20"/>
      <c r="AH155">
        <f t="shared" si="71"/>
        <v>0</v>
      </c>
      <c r="AI155">
        <f t="shared" si="72"/>
        <v>1</v>
      </c>
      <c r="AJ155">
        <f t="shared" si="73"/>
        <v>0</v>
      </c>
      <c r="AK155">
        <f t="shared" si="68"/>
        <v>0</v>
      </c>
      <c r="AL155" s="20">
        <f t="shared" si="74"/>
        <v>0</v>
      </c>
      <c r="AM155" s="20">
        <f t="shared" si="75"/>
        <v>0</v>
      </c>
      <c r="AN155" s="20">
        <f t="shared" si="76"/>
        <v>0</v>
      </c>
      <c r="AO155" s="21">
        <f t="shared" si="77"/>
        <v>3.6235668969633447E-3</v>
      </c>
      <c r="AQ155" s="20"/>
      <c r="AS155">
        <f t="shared" si="78"/>
        <v>0</v>
      </c>
      <c r="AT155">
        <f t="shared" si="79"/>
        <v>0</v>
      </c>
      <c r="AU155">
        <f t="shared" si="80"/>
        <v>0</v>
      </c>
      <c r="AV155">
        <f t="shared" si="81"/>
        <v>1</v>
      </c>
      <c r="AW155" s="20">
        <f t="shared" si="82"/>
        <v>1.406222766445355E-3</v>
      </c>
      <c r="AX155" s="20">
        <f t="shared" si="83"/>
        <v>-1.4101533360146717E-3</v>
      </c>
      <c r="AY155" s="20">
        <f t="shared" si="84"/>
        <v>-3.9305695693167032E-6</v>
      </c>
      <c r="AZ155" s="21">
        <f t="shared" si="85"/>
        <v>2.1482970775333005E-3</v>
      </c>
      <c r="BB155" s="21">
        <f t="shared" si="86"/>
        <v>-3.9305695693167032E-6</v>
      </c>
      <c r="BC155" s="21">
        <f t="shared" si="87"/>
        <v>5.7718639744966452E-3</v>
      </c>
    </row>
    <row r="156" spans="1:55" x14ac:dyDescent="0.3">
      <c r="A156" s="1">
        <v>46248</v>
      </c>
      <c r="B156" s="11">
        <v>56.81</v>
      </c>
      <c r="C156" s="11">
        <v>99.15</v>
      </c>
      <c r="D156" s="12">
        <v>1.7452913219503601</v>
      </c>
      <c r="E156" s="12">
        <v>1.74406374641995</v>
      </c>
      <c r="F156" s="12">
        <v>1.7451803145445901</v>
      </c>
      <c r="G156" s="12">
        <v>1.7447135153022499</v>
      </c>
      <c r="H156" s="11">
        <v>99.080261434117403</v>
      </c>
      <c r="I156" s="11">
        <v>99.143561173258306</v>
      </c>
      <c r="J156" s="11">
        <v>99.115006882766295</v>
      </c>
      <c r="K156" s="13">
        <v>7.0361173168110702E-4</v>
      </c>
      <c r="L156" s="13">
        <v>6.4942368333090905E-5</v>
      </c>
      <c r="M156" s="13">
        <v>3.5299338140599301E-4</v>
      </c>
      <c r="N156" s="24">
        <v>0</v>
      </c>
      <c r="O156" s="15">
        <v>0</v>
      </c>
      <c r="P156" s="25">
        <f t="shared" si="69"/>
        <v>56.81</v>
      </c>
      <c r="Q156" s="25">
        <f t="shared" si="69"/>
        <v>99.15</v>
      </c>
      <c r="R156" s="16">
        <f t="shared" si="60"/>
        <v>1.745291321950361</v>
      </c>
      <c r="S156" s="16">
        <f t="shared" si="61"/>
        <v>1.7440637464199518</v>
      </c>
      <c r="T156" s="16">
        <f t="shared" si="65"/>
        <v>1.7451803145445901</v>
      </c>
      <c r="U156" s="16">
        <f t="shared" si="67"/>
        <v>1.7447135153022575</v>
      </c>
      <c r="V156" s="18">
        <f t="shared" si="62"/>
        <v>99.08026143411746</v>
      </c>
      <c r="W156" s="18">
        <f t="shared" si="66"/>
        <v>99.143561173258334</v>
      </c>
      <c r="X156" s="18">
        <f t="shared" si="70"/>
        <v>99.115006882766352</v>
      </c>
      <c r="Y156" s="19">
        <f t="shared" si="63"/>
        <v>7.0361173168155078E-4</v>
      </c>
      <c r="Z156" s="19">
        <f t="shared" si="63"/>
        <v>6.4942368333535035E-5</v>
      </c>
      <c r="AA156" s="19">
        <f t="shared" si="63"/>
        <v>3.5299338140599393E-4</v>
      </c>
      <c r="AC156" s="20">
        <f t="shared" si="64"/>
        <v>-2.1100763939549908E-3</v>
      </c>
      <c r="AD156" s="20">
        <f t="shared" si="64"/>
        <v>-2.0151140320207547E-3</v>
      </c>
      <c r="AE156" s="20"/>
      <c r="AF156" s="20"/>
      <c r="AH156">
        <f t="shared" si="71"/>
        <v>0</v>
      </c>
      <c r="AI156">
        <f t="shared" si="72"/>
        <v>1</v>
      </c>
      <c r="AJ156">
        <f t="shared" si="73"/>
        <v>0</v>
      </c>
      <c r="AK156">
        <f t="shared" si="68"/>
        <v>0</v>
      </c>
      <c r="AL156" s="20">
        <f t="shared" si="74"/>
        <v>0</v>
      </c>
      <c r="AM156" s="20">
        <f t="shared" si="75"/>
        <v>0</v>
      </c>
      <c r="AN156" s="20">
        <f t="shared" si="76"/>
        <v>0</v>
      </c>
      <c r="AO156" s="21">
        <f t="shared" si="77"/>
        <v>3.6235668969633447E-3</v>
      </c>
      <c r="AQ156" s="20"/>
      <c r="AS156">
        <f t="shared" si="78"/>
        <v>0</v>
      </c>
      <c r="AT156">
        <f t="shared" si="79"/>
        <v>0</v>
      </c>
      <c r="AU156">
        <f t="shared" si="80"/>
        <v>1</v>
      </c>
      <c r="AV156">
        <f t="shared" si="81"/>
        <v>0</v>
      </c>
      <c r="AW156" s="20">
        <f t="shared" si="82"/>
        <v>0</v>
      </c>
      <c r="AX156" s="20">
        <f t="shared" si="83"/>
        <v>0</v>
      </c>
      <c r="AY156" s="20">
        <f t="shared" si="84"/>
        <v>0</v>
      </c>
      <c r="AZ156" s="21">
        <f t="shared" si="85"/>
        <v>2.1482970775333005E-3</v>
      </c>
      <c r="BB156" s="21">
        <f t="shared" si="86"/>
        <v>0</v>
      </c>
      <c r="BC156" s="21">
        <f t="shared" si="87"/>
        <v>5.7718639744966452E-3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CMF_VTEC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2026-09-03T01:48:31Z</dcterms:created>
  <dcterms:modified xsi:type="dcterms:W3CDTF">2026-09-03T01:48:31Z</dcterms:modified>
</cp:coreProperties>
</file>