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1_{B4EA1CC3-3539-4EBD-8CBF-1204EF08E518}" xr6:coauthVersionLast="47" xr6:coauthVersionMax="47" xr10:uidLastSave="{00000000-0000-0000-0000-000000000000}"/>
  <bookViews>
    <workbookView xWindow="-108" yWindow="-108" windowWidth="23256" windowHeight="12456" xr2:uid="{6F7807C4-CAF4-4DC8-8B0B-7DD34A4C08D4}"/>
  </bookViews>
  <sheets>
    <sheet name="IYJ_XLI_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67" i="1" l="1"/>
  <c r="BO167" i="1"/>
  <c r="BN167" i="1"/>
  <c r="BE167" i="1"/>
  <c r="BC167" i="1"/>
  <c r="BB167" i="1"/>
  <c r="BQ166" i="1"/>
  <c r="BO166" i="1"/>
  <c r="BN166" i="1"/>
  <c r="BE166" i="1"/>
  <c r="BC166" i="1"/>
  <c r="BB166" i="1"/>
  <c r="BQ165" i="1"/>
  <c r="BO165" i="1"/>
  <c r="BN165" i="1"/>
  <c r="BE165" i="1"/>
  <c r="BC165" i="1"/>
  <c r="BB165" i="1"/>
  <c r="BQ164" i="1"/>
  <c r="BO164" i="1"/>
  <c r="BN164" i="1"/>
  <c r="BR165" i="1" s="1"/>
  <c r="BE164" i="1"/>
  <c r="BC164" i="1"/>
  <c r="BB164" i="1"/>
  <c r="BQ163" i="1"/>
  <c r="BO163" i="1"/>
  <c r="BN163" i="1"/>
  <c r="BE163" i="1"/>
  <c r="BC163" i="1"/>
  <c r="BB163" i="1"/>
  <c r="BQ162" i="1"/>
  <c r="BO162" i="1"/>
  <c r="BN162" i="1"/>
  <c r="BE162" i="1"/>
  <c r="BC162" i="1"/>
  <c r="BB162" i="1"/>
  <c r="BQ161" i="1"/>
  <c r="BO161" i="1"/>
  <c r="BN161" i="1"/>
  <c r="BE161" i="1"/>
  <c r="BC161" i="1"/>
  <c r="BB161" i="1"/>
  <c r="BQ160" i="1"/>
  <c r="BO160" i="1"/>
  <c r="BN160" i="1"/>
  <c r="BE160" i="1"/>
  <c r="BC160" i="1"/>
  <c r="BB160" i="1"/>
  <c r="BQ159" i="1"/>
  <c r="BO159" i="1"/>
  <c r="BN159" i="1"/>
  <c r="BE159" i="1"/>
  <c r="BC159" i="1"/>
  <c r="BB159" i="1"/>
  <c r="BQ158" i="1"/>
  <c r="BO158" i="1"/>
  <c r="BN158" i="1"/>
  <c r="BE158" i="1"/>
  <c r="BC158" i="1"/>
  <c r="BB158" i="1"/>
  <c r="BQ157" i="1"/>
  <c r="BO157" i="1"/>
  <c r="BN157" i="1"/>
  <c r="BE157" i="1"/>
  <c r="BC157" i="1"/>
  <c r="BB157" i="1"/>
  <c r="BQ156" i="1"/>
  <c r="BO156" i="1"/>
  <c r="BN156" i="1"/>
  <c r="BE156" i="1"/>
  <c r="BC156" i="1"/>
  <c r="BB156" i="1"/>
  <c r="BQ155" i="1"/>
  <c r="BO155" i="1"/>
  <c r="BN155" i="1"/>
  <c r="BE155" i="1"/>
  <c r="BC155" i="1"/>
  <c r="BB155" i="1"/>
  <c r="BQ154" i="1"/>
  <c r="BO154" i="1"/>
  <c r="BN154" i="1"/>
  <c r="BR155" i="1" s="1"/>
  <c r="BT155" i="1" s="1"/>
  <c r="BE154" i="1"/>
  <c r="BC154" i="1"/>
  <c r="BB154" i="1"/>
  <c r="BQ153" i="1"/>
  <c r="BO153" i="1"/>
  <c r="BN153" i="1"/>
  <c r="BE153" i="1"/>
  <c r="BC153" i="1"/>
  <c r="BB153" i="1"/>
  <c r="BQ152" i="1"/>
  <c r="BO152" i="1"/>
  <c r="BN152" i="1"/>
  <c r="BE152" i="1"/>
  <c r="BC152" i="1"/>
  <c r="BB152" i="1"/>
  <c r="BQ151" i="1"/>
  <c r="BO151" i="1"/>
  <c r="BN151" i="1"/>
  <c r="BE151" i="1"/>
  <c r="BC151" i="1"/>
  <c r="BF152" i="1" s="1"/>
  <c r="BD152" i="1" s="1"/>
  <c r="BB151" i="1"/>
  <c r="BQ150" i="1"/>
  <c r="BO150" i="1"/>
  <c r="BN150" i="1"/>
  <c r="BR151" i="1" s="1"/>
  <c r="BS151" i="1" s="1"/>
  <c r="BE150" i="1"/>
  <c r="BC150" i="1"/>
  <c r="BB150" i="1"/>
  <c r="BQ149" i="1"/>
  <c r="BO149" i="1"/>
  <c r="BN149" i="1"/>
  <c r="BE149" i="1"/>
  <c r="BC149" i="1"/>
  <c r="BB149" i="1"/>
  <c r="BQ148" i="1"/>
  <c r="BO148" i="1"/>
  <c r="BN148" i="1"/>
  <c r="BE148" i="1"/>
  <c r="BC148" i="1"/>
  <c r="BB148" i="1"/>
  <c r="BQ147" i="1"/>
  <c r="BO147" i="1"/>
  <c r="BN147" i="1"/>
  <c r="BR148" i="1" s="1"/>
  <c r="BS148" i="1" s="1"/>
  <c r="BE147" i="1"/>
  <c r="BC147" i="1"/>
  <c r="BB147" i="1"/>
  <c r="BQ146" i="1"/>
  <c r="BO146" i="1"/>
  <c r="BN146" i="1"/>
  <c r="BE146" i="1"/>
  <c r="BC146" i="1"/>
  <c r="BB146" i="1"/>
  <c r="BQ145" i="1"/>
  <c r="BO145" i="1"/>
  <c r="BN145" i="1"/>
  <c r="BE145" i="1"/>
  <c r="BC145" i="1"/>
  <c r="BB145" i="1"/>
  <c r="BQ144" i="1"/>
  <c r="BO144" i="1"/>
  <c r="BN144" i="1"/>
  <c r="BE144" i="1"/>
  <c r="BC144" i="1"/>
  <c r="BB144" i="1"/>
  <c r="BQ143" i="1"/>
  <c r="BO143" i="1"/>
  <c r="BN143" i="1"/>
  <c r="BR144" i="1" s="1"/>
  <c r="BE143" i="1"/>
  <c r="BC143" i="1"/>
  <c r="BB143" i="1"/>
  <c r="BQ142" i="1"/>
  <c r="BO142" i="1"/>
  <c r="BN142" i="1"/>
  <c r="BE142" i="1"/>
  <c r="BC142" i="1"/>
  <c r="BB142" i="1"/>
  <c r="BF143" i="1" s="1"/>
  <c r="BQ141" i="1"/>
  <c r="BO141" i="1"/>
  <c r="BN141" i="1"/>
  <c r="BE141" i="1"/>
  <c r="BC141" i="1"/>
  <c r="BB141" i="1"/>
  <c r="BQ140" i="1"/>
  <c r="BO140" i="1"/>
  <c r="BN140" i="1"/>
  <c r="BE140" i="1"/>
  <c r="BC140" i="1"/>
  <c r="BB140" i="1"/>
  <c r="BQ139" i="1"/>
  <c r="BO139" i="1"/>
  <c r="BN139" i="1"/>
  <c r="BE139" i="1"/>
  <c r="BC139" i="1"/>
  <c r="BB139" i="1"/>
  <c r="BF140" i="1" s="1"/>
  <c r="BQ138" i="1"/>
  <c r="BO138" i="1"/>
  <c r="BN138" i="1"/>
  <c r="BE138" i="1"/>
  <c r="BC138" i="1"/>
  <c r="BB138" i="1"/>
  <c r="BQ137" i="1"/>
  <c r="BR138" i="1" s="1"/>
  <c r="BO137" i="1"/>
  <c r="BN137" i="1"/>
  <c r="BE137" i="1"/>
  <c r="BC137" i="1"/>
  <c r="BB137" i="1"/>
  <c r="BQ136" i="1"/>
  <c r="BO136" i="1"/>
  <c r="BN136" i="1"/>
  <c r="BR137" i="1" s="1"/>
  <c r="BE136" i="1"/>
  <c r="BC136" i="1"/>
  <c r="BB136" i="1"/>
  <c r="BQ135" i="1"/>
  <c r="BO135" i="1"/>
  <c r="BN135" i="1"/>
  <c r="BE135" i="1"/>
  <c r="BC135" i="1"/>
  <c r="BB135" i="1"/>
  <c r="BQ134" i="1"/>
  <c r="BR135" i="1" s="1"/>
  <c r="BO134" i="1"/>
  <c r="BN134" i="1"/>
  <c r="BE134" i="1"/>
  <c r="BC134" i="1"/>
  <c r="BB134" i="1"/>
  <c r="BF135" i="1" s="1"/>
  <c r="BQ133" i="1"/>
  <c r="BO133" i="1"/>
  <c r="BN133" i="1"/>
  <c r="BE133" i="1"/>
  <c r="BC133" i="1"/>
  <c r="BB133" i="1"/>
  <c r="BQ132" i="1"/>
  <c r="BO132" i="1"/>
  <c r="BN132" i="1"/>
  <c r="BE132" i="1"/>
  <c r="BC132" i="1"/>
  <c r="BB132" i="1"/>
  <c r="BF133" i="1" s="1"/>
  <c r="BG133" i="1" s="1"/>
  <c r="BQ131" i="1"/>
  <c r="BO131" i="1"/>
  <c r="BN131" i="1"/>
  <c r="BE131" i="1"/>
  <c r="BC131" i="1"/>
  <c r="BB131" i="1"/>
  <c r="BQ130" i="1"/>
  <c r="BO130" i="1"/>
  <c r="BN130" i="1"/>
  <c r="BE130" i="1"/>
  <c r="BC130" i="1"/>
  <c r="BB130" i="1"/>
  <c r="BQ129" i="1"/>
  <c r="BO129" i="1"/>
  <c r="BN129" i="1"/>
  <c r="BR130" i="1" s="1"/>
  <c r="BT130" i="1" s="1"/>
  <c r="BE129" i="1"/>
  <c r="BC129" i="1"/>
  <c r="BB129" i="1"/>
  <c r="BQ128" i="1"/>
  <c r="BO128" i="1"/>
  <c r="BN128" i="1"/>
  <c r="BE128" i="1"/>
  <c r="BC128" i="1"/>
  <c r="BB128" i="1"/>
  <c r="BF129" i="1" s="1"/>
  <c r="BD129" i="1" s="1"/>
  <c r="BQ127" i="1"/>
  <c r="BO127" i="1"/>
  <c r="BN127" i="1"/>
  <c r="BE127" i="1"/>
  <c r="BC127" i="1"/>
  <c r="BB127" i="1"/>
  <c r="BQ126" i="1"/>
  <c r="BO126" i="1"/>
  <c r="BN126" i="1"/>
  <c r="BE126" i="1"/>
  <c r="BC126" i="1"/>
  <c r="BB126" i="1"/>
  <c r="BQ125" i="1"/>
  <c r="BO125" i="1"/>
  <c r="BN125" i="1"/>
  <c r="BE125" i="1"/>
  <c r="BC125" i="1"/>
  <c r="BB125" i="1"/>
  <c r="BR124" i="1"/>
  <c r="BQ124" i="1"/>
  <c r="BO124" i="1"/>
  <c r="BN124" i="1"/>
  <c r="BE124" i="1"/>
  <c r="BC124" i="1"/>
  <c r="BB124" i="1"/>
  <c r="BQ123" i="1"/>
  <c r="BO123" i="1"/>
  <c r="BN123" i="1"/>
  <c r="BE123" i="1"/>
  <c r="BC123" i="1"/>
  <c r="BB123" i="1"/>
  <c r="BQ122" i="1"/>
  <c r="BO122" i="1"/>
  <c r="BN122" i="1"/>
  <c r="BE122" i="1"/>
  <c r="BC122" i="1"/>
  <c r="BB122" i="1"/>
  <c r="BQ121" i="1"/>
  <c r="BO121" i="1"/>
  <c r="BN121" i="1"/>
  <c r="BF121" i="1"/>
  <c r="BG121" i="1" s="1"/>
  <c r="BE121" i="1"/>
  <c r="BC121" i="1"/>
  <c r="BB121" i="1"/>
  <c r="BQ120" i="1"/>
  <c r="BO120" i="1"/>
  <c r="BN120" i="1"/>
  <c r="BE120" i="1"/>
  <c r="BC120" i="1"/>
  <c r="BB120" i="1"/>
  <c r="BQ119" i="1"/>
  <c r="BO119" i="1"/>
  <c r="BN119" i="1"/>
  <c r="BE119" i="1"/>
  <c r="BC119" i="1"/>
  <c r="BB119" i="1"/>
  <c r="BQ118" i="1"/>
  <c r="BO118" i="1"/>
  <c r="BN118" i="1"/>
  <c r="BE118" i="1"/>
  <c r="BF119" i="1" s="1"/>
  <c r="BC118" i="1"/>
  <c r="BB118" i="1"/>
  <c r="BQ117" i="1"/>
  <c r="BO117" i="1"/>
  <c r="BN117" i="1"/>
  <c r="BE117" i="1"/>
  <c r="BC117" i="1"/>
  <c r="BB117" i="1"/>
  <c r="BQ116" i="1"/>
  <c r="BO116" i="1"/>
  <c r="BN116" i="1"/>
  <c r="BR117" i="1" s="1"/>
  <c r="BE116" i="1"/>
  <c r="BC116" i="1"/>
  <c r="BB116" i="1"/>
  <c r="BQ115" i="1"/>
  <c r="BO115" i="1"/>
  <c r="BN115" i="1"/>
  <c r="BE115" i="1"/>
  <c r="BC115" i="1"/>
  <c r="BB115" i="1"/>
  <c r="BQ114" i="1"/>
  <c r="BO114" i="1"/>
  <c r="BN114" i="1"/>
  <c r="BE114" i="1"/>
  <c r="BC114" i="1"/>
  <c r="BB114" i="1"/>
  <c r="BQ113" i="1"/>
  <c r="BO113" i="1"/>
  <c r="BN113" i="1"/>
  <c r="BE113" i="1"/>
  <c r="BC113" i="1"/>
  <c r="BB113" i="1"/>
  <c r="BQ112" i="1"/>
  <c r="BO112" i="1"/>
  <c r="BN112" i="1"/>
  <c r="BR113" i="1" s="1"/>
  <c r="BS113" i="1" s="1"/>
  <c r="BE112" i="1"/>
  <c r="BC112" i="1"/>
  <c r="BB112" i="1"/>
  <c r="BQ111" i="1"/>
  <c r="BO111" i="1"/>
  <c r="BN111" i="1"/>
  <c r="BE111" i="1"/>
  <c r="BC111" i="1"/>
  <c r="BF112" i="1" s="1"/>
  <c r="BB111" i="1"/>
  <c r="BQ110" i="1"/>
  <c r="BO110" i="1"/>
  <c r="BN110" i="1"/>
  <c r="BE110" i="1"/>
  <c r="BC110" i="1"/>
  <c r="BB110" i="1"/>
  <c r="BQ109" i="1"/>
  <c r="BO109" i="1"/>
  <c r="BN109" i="1"/>
  <c r="BE109" i="1"/>
  <c r="BC109" i="1"/>
  <c r="BB109" i="1"/>
  <c r="BQ108" i="1"/>
  <c r="BO108" i="1"/>
  <c r="BN108" i="1"/>
  <c r="BE108" i="1"/>
  <c r="BC108" i="1"/>
  <c r="BB108" i="1"/>
  <c r="BQ107" i="1"/>
  <c r="BR108" i="1" s="1"/>
  <c r="BO107" i="1"/>
  <c r="BN107" i="1"/>
  <c r="BE107" i="1"/>
  <c r="BC107" i="1"/>
  <c r="BB107" i="1"/>
  <c r="BQ106" i="1"/>
  <c r="BO106" i="1"/>
  <c r="BN106" i="1"/>
  <c r="BE106" i="1"/>
  <c r="BF107" i="1" s="1"/>
  <c r="BC106" i="1"/>
  <c r="BB106" i="1"/>
  <c r="BQ105" i="1"/>
  <c r="BO105" i="1"/>
  <c r="BN105" i="1"/>
  <c r="BE105" i="1"/>
  <c r="BC105" i="1"/>
  <c r="BB105" i="1"/>
  <c r="BQ104" i="1"/>
  <c r="BO104" i="1"/>
  <c r="BN104" i="1"/>
  <c r="BE104" i="1"/>
  <c r="BC104" i="1"/>
  <c r="BB104" i="1"/>
  <c r="BQ103" i="1"/>
  <c r="BO103" i="1"/>
  <c r="BN103" i="1"/>
  <c r="BE103" i="1"/>
  <c r="BC103" i="1"/>
  <c r="BB103" i="1"/>
  <c r="BQ102" i="1"/>
  <c r="BO102" i="1"/>
  <c r="BN102" i="1"/>
  <c r="BE102" i="1"/>
  <c r="BC102" i="1"/>
  <c r="BB102" i="1"/>
  <c r="BQ101" i="1"/>
  <c r="BO101" i="1"/>
  <c r="BN101" i="1"/>
  <c r="BE101" i="1"/>
  <c r="BC101" i="1"/>
  <c r="BB101" i="1"/>
  <c r="BF102" i="1" s="1"/>
  <c r="BQ100" i="1"/>
  <c r="BO100" i="1"/>
  <c r="BN100" i="1"/>
  <c r="BE100" i="1"/>
  <c r="BC100" i="1"/>
  <c r="BB100" i="1"/>
  <c r="BQ99" i="1"/>
  <c r="BO99" i="1"/>
  <c r="BN99" i="1"/>
  <c r="BE99" i="1"/>
  <c r="BC99" i="1"/>
  <c r="BB99" i="1"/>
  <c r="BQ98" i="1"/>
  <c r="BO98" i="1"/>
  <c r="BN98" i="1"/>
  <c r="BE98" i="1"/>
  <c r="BC98" i="1"/>
  <c r="BB98" i="1"/>
  <c r="BF99" i="1" s="1"/>
  <c r="BQ97" i="1"/>
  <c r="BO97" i="1"/>
  <c r="BN97" i="1"/>
  <c r="BE97" i="1"/>
  <c r="BC97" i="1"/>
  <c r="BB97" i="1"/>
  <c r="BQ96" i="1"/>
  <c r="BO96" i="1"/>
  <c r="BN96" i="1"/>
  <c r="BE96" i="1"/>
  <c r="BC96" i="1"/>
  <c r="BB96" i="1"/>
  <c r="BQ95" i="1"/>
  <c r="BO95" i="1"/>
  <c r="BN95" i="1"/>
  <c r="BE95" i="1"/>
  <c r="BC95" i="1"/>
  <c r="BB95" i="1"/>
  <c r="BQ94" i="1"/>
  <c r="BO94" i="1"/>
  <c r="BN94" i="1"/>
  <c r="BE94" i="1"/>
  <c r="BC94" i="1"/>
  <c r="BB94" i="1"/>
  <c r="BQ93" i="1"/>
  <c r="BO93" i="1"/>
  <c r="BN93" i="1"/>
  <c r="BE93" i="1"/>
  <c r="BC93" i="1"/>
  <c r="BB93" i="1"/>
  <c r="BQ92" i="1"/>
  <c r="BO92" i="1"/>
  <c r="BN92" i="1"/>
  <c r="BE92" i="1"/>
  <c r="BC92" i="1"/>
  <c r="BB92" i="1"/>
  <c r="BF93" i="1" s="1"/>
  <c r="BQ91" i="1"/>
  <c r="BO91" i="1"/>
  <c r="BN91" i="1"/>
  <c r="BR92" i="1" s="1"/>
  <c r="BE91" i="1"/>
  <c r="BC91" i="1"/>
  <c r="BB91" i="1"/>
  <c r="BF92" i="1" s="1"/>
  <c r="BG92" i="1" s="1"/>
  <c r="BQ90" i="1"/>
  <c r="BO90" i="1"/>
  <c r="BN90" i="1"/>
  <c r="BE90" i="1"/>
  <c r="BF91" i="1" s="1"/>
  <c r="BG91" i="1" s="1"/>
  <c r="BC90" i="1"/>
  <c r="BB90" i="1"/>
  <c r="BQ89" i="1"/>
  <c r="BO89" i="1"/>
  <c r="BN89" i="1"/>
  <c r="BE89" i="1"/>
  <c r="BC89" i="1"/>
  <c r="BB89" i="1"/>
  <c r="BQ88" i="1"/>
  <c r="BO88" i="1"/>
  <c r="BN88" i="1"/>
  <c r="BE88" i="1"/>
  <c r="BC88" i="1"/>
  <c r="BB88" i="1"/>
  <c r="BQ87" i="1"/>
  <c r="BO87" i="1"/>
  <c r="BN87" i="1"/>
  <c r="BE87" i="1"/>
  <c r="BC87" i="1"/>
  <c r="BB87" i="1"/>
  <c r="BF88" i="1" s="1"/>
  <c r="BQ86" i="1"/>
  <c r="BO86" i="1"/>
  <c r="BN86" i="1"/>
  <c r="BR87" i="1" s="1"/>
  <c r="BS87" i="1" s="1"/>
  <c r="BE86" i="1"/>
  <c r="BC86" i="1"/>
  <c r="BB86" i="1"/>
  <c r="BQ85" i="1"/>
  <c r="BO85" i="1"/>
  <c r="BN85" i="1"/>
  <c r="BE85" i="1"/>
  <c r="BC85" i="1"/>
  <c r="BB85" i="1"/>
  <c r="BQ84" i="1"/>
  <c r="BO84" i="1"/>
  <c r="BN84" i="1"/>
  <c r="BR85" i="1" s="1"/>
  <c r="BS85" i="1" s="1"/>
  <c r="BE84" i="1"/>
  <c r="BC84" i="1"/>
  <c r="BB84" i="1"/>
  <c r="BQ83" i="1"/>
  <c r="BO83" i="1"/>
  <c r="BN83" i="1"/>
  <c r="BE83" i="1"/>
  <c r="BC83" i="1"/>
  <c r="BB83" i="1"/>
  <c r="BQ82" i="1"/>
  <c r="BO82" i="1"/>
  <c r="BN82" i="1"/>
  <c r="BE82" i="1"/>
  <c r="BC82" i="1"/>
  <c r="BB82" i="1"/>
  <c r="BF83" i="1" s="1"/>
  <c r="BH83" i="1" s="1"/>
  <c r="BQ81" i="1"/>
  <c r="BO81" i="1"/>
  <c r="BN81" i="1"/>
  <c r="BE81" i="1"/>
  <c r="BC81" i="1"/>
  <c r="BB81" i="1"/>
  <c r="BQ80" i="1"/>
  <c r="BO80" i="1"/>
  <c r="BN80" i="1"/>
  <c r="BE80" i="1"/>
  <c r="BC80" i="1"/>
  <c r="BB80" i="1"/>
  <c r="BQ79" i="1"/>
  <c r="BO79" i="1"/>
  <c r="BN79" i="1"/>
  <c r="BE79" i="1"/>
  <c r="BC79" i="1"/>
  <c r="BB79" i="1"/>
  <c r="BQ78" i="1"/>
  <c r="BO78" i="1"/>
  <c r="BN78" i="1"/>
  <c r="BE78" i="1"/>
  <c r="BC78" i="1"/>
  <c r="BB78" i="1"/>
  <c r="BF79" i="1" s="1"/>
  <c r="BQ77" i="1"/>
  <c r="BO77" i="1"/>
  <c r="BN77" i="1"/>
  <c r="BE77" i="1"/>
  <c r="BC77" i="1"/>
  <c r="BB77" i="1"/>
  <c r="BQ76" i="1"/>
  <c r="BO76" i="1"/>
  <c r="BN76" i="1"/>
  <c r="BE76" i="1"/>
  <c r="BC76" i="1"/>
  <c r="BB76" i="1"/>
  <c r="BQ75" i="1"/>
  <c r="BR76" i="1" s="1"/>
  <c r="BT76" i="1" s="1"/>
  <c r="BO75" i="1"/>
  <c r="BN75" i="1"/>
  <c r="BE75" i="1"/>
  <c r="BC75" i="1"/>
  <c r="BB75" i="1"/>
  <c r="BQ74" i="1"/>
  <c r="BO74" i="1"/>
  <c r="BN74" i="1"/>
  <c r="BR75" i="1" s="1"/>
  <c r="BS75" i="1" s="1"/>
  <c r="BE74" i="1"/>
  <c r="BC74" i="1"/>
  <c r="BB74" i="1"/>
  <c r="BQ73" i="1"/>
  <c r="BR74" i="1" s="1"/>
  <c r="BP74" i="1" s="1"/>
  <c r="BO73" i="1"/>
  <c r="BN73" i="1"/>
  <c r="BE73" i="1"/>
  <c r="BC73" i="1"/>
  <c r="BB73" i="1"/>
  <c r="BQ72" i="1"/>
  <c r="BR73" i="1" s="1"/>
  <c r="BP73" i="1" s="1"/>
  <c r="BO72" i="1"/>
  <c r="BN72" i="1"/>
  <c r="BF72" i="1"/>
  <c r="BE72" i="1"/>
  <c r="BC72" i="1"/>
  <c r="BB72" i="1"/>
  <c r="BQ71" i="1"/>
  <c r="BO71" i="1"/>
  <c r="BN71" i="1"/>
  <c r="BE71" i="1"/>
  <c r="BC71" i="1"/>
  <c r="BB71" i="1"/>
  <c r="BQ70" i="1"/>
  <c r="BO70" i="1"/>
  <c r="BN70" i="1"/>
  <c r="BE70" i="1"/>
  <c r="BC70" i="1"/>
  <c r="BB70" i="1"/>
  <c r="BQ69" i="1"/>
  <c r="BO69" i="1"/>
  <c r="BN69" i="1"/>
  <c r="BE69" i="1"/>
  <c r="BC69" i="1"/>
  <c r="BB69" i="1"/>
  <c r="BQ68" i="1"/>
  <c r="BO68" i="1"/>
  <c r="BN68" i="1"/>
  <c r="BE68" i="1"/>
  <c r="BC68" i="1"/>
  <c r="BB68" i="1"/>
  <c r="BQ67" i="1"/>
  <c r="BO67" i="1"/>
  <c r="BN67" i="1"/>
  <c r="BE67" i="1"/>
  <c r="BC67" i="1"/>
  <c r="BB67" i="1"/>
  <c r="BQ66" i="1"/>
  <c r="BO66" i="1"/>
  <c r="BN66" i="1"/>
  <c r="BE66" i="1"/>
  <c r="BC66" i="1"/>
  <c r="BB66" i="1"/>
  <c r="BQ65" i="1"/>
  <c r="BO65" i="1"/>
  <c r="BN65" i="1"/>
  <c r="BE65" i="1"/>
  <c r="BC65" i="1"/>
  <c r="BB65" i="1"/>
  <c r="BF66" i="1" s="1"/>
  <c r="BQ64" i="1"/>
  <c r="BO64" i="1"/>
  <c r="BN64" i="1"/>
  <c r="BE64" i="1"/>
  <c r="BC64" i="1"/>
  <c r="BB64" i="1"/>
  <c r="BF65" i="1" s="1"/>
  <c r="BD65" i="1" s="1"/>
  <c r="BQ63" i="1"/>
  <c r="BO63" i="1"/>
  <c r="BN63" i="1"/>
  <c r="BE63" i="1"/>
  <c r="BC63" i="1"/>
  <c r="BB63" i="1"/>
  <c r="BQ62" i="1"/>
  <c r="BO62" i="1"/>
  <c r="BN62" i="1"/>
  <c r="BE62" i="1"/>
  <c r="BC62" i="1"/>
  <c r="BB62" i="1"/>
  <c r="BQ61" i="1"/>
  <c r="BO61" i="1"/>
  <c r="BN61" i="1"/>
  <c r="BR62" i="1" s="1"/>
  <c r="BP62" i="1" s="1"/>
  <c r="BE61" i="1"/>
  <c r="BC61" i="1"/>
  <c r="BB61" i="1"/>
  <c r="BQ60" i="1"/>
  <c r="BO60" i="1"/>
  <c r="BN60" i="1"/>
  <c r="BE60" i="1"/>
  <c r="BC60" i="1"/>
  <c r="BB60" i="1"/>
  <c r="BQ59" i="1"/>
  <c r="BO59" i="1"/>
  <c r="BN59" i="1"/>
  <c r="BE59" i="1"/>
  <c r="BC59" i="1"/>
  <c r="BB59" i="1"/>
  <c r="BQ58" i="1"/>
  <c r="BO58" i="1"/>
  <c r="BN58" i="1"/>
  <c r="BE58" i="1"/>
  <c r="BC58" i="1"/>
  <c r="BB58" i="1"/>
  <c r="BQ57" i="1"/>
  <c r="BO57" i="1"/>
  <c r="BN57" i="1"/>
  <c r="BF57" i="1"/>
  <c r="BE57" i="1"/>
  <c r="BC57" i="1"/>
  <c r="BB57" i="1"/>
  <c r="BQ56" i="1"/>
  <c r="BO56" i="1"/>
  <c r="BN56" i="1"/>
  <c r="BE56" i="1"/>
  <c r="BC56" i="1"/>
  <c r="BB56" i="1"/>
  <c r="BQ55" i="1"/>
  <c r="BO55" i="1"/>
  <c r="BN55" i="1"/>
  <c r="BE55" i="1"/>
  <c r="BC55" i="1"/>
  <c r="BB55" i="1"/>
  <c r="BQ54" i="1"/>
  <c r="BO54" i="1"/>
  <c r="BN54" i="1"/>
  <c r="BE54" i="1"/>
  <c r="BC54" i="1"/>
  <c r="BB54" i="1"/>
  <c r="BQ53" i="1"/>
  <c r="BO53" i="1"/>
  <c r="BN53" i="1"/>
  <c r="BE53" i="1"/>
  <c r="BC53" i="1"/>
  <c r="BB53" i="1"/>
  <c r="BF54" i="1" s="1"/>
  <c r="BQ52" i="1"/>
  <c r="BO52" i="1"/>
  <c r="BN52" i="1"/>
  <c r="BE52" i="1"/>
  <c r="BC52" i="1"/>
  <c r="BB52" i="1"/>
  <c r="BQ51" i="1"/>
  <c r="BO51" i="1"/>
  <c r="BN51" i="1"/>
  <c r="BE51" i="1"/>
  <c r="BC51" i="1"/>
  <c r="BB51" i="1"/>
  <c r="BQ50" i="1"/>
  <c r="BO50" i="1"/>
  <c r="BN50" i="1"/>
  <c r="BE50" i="1"/>
  <c r="BC50" i="1"/>
  <c r="BB50" i="1"/>
  <c r="BQ49" i="1"/>
  <c r="BO49" i="1"/>
  <c r="BN49" i="1"/>
  <c r="BE49" i="1"/>
  <c r="BC49" i="1"/>
  <c r="BB49" i="1"/>
  <c r="BQ48" i="1"/>
  <c r="BO48" i="1"/>
  <c r="BN48" i="1"/>
  <c r="BR49" i="1" s="1"/>
  <c r="BE48" i="1"/>
  <c r="BC48" i="1"/>
  <c r="BB48" i="1"/>
  <c r="BF49" i="1" s="1"/>
  <c r="BQ47" i="1"/>
  <c r="BO47" i="1"/>
  <c r="BN47" i="1"/>
  <c r="BE47" i="1"/>
  <c r="BC47" i="1"/>
  <c r="BB47" i="1"/>
  <c r="BF48" i="1" s="1"/>
  <c r="BH48" i="1" s="1"/>
  <c r="BQ46" i="1"/>
  <c r="BO46" i="1"/>
  <c r="BN46" i="1"/>
  <c r="BE46" i="1"/>
  <c r="BC46" i="1"/>
  <c r="BB46" i="1"/>
  <c r="BQ45" i="1"/>
  <c r="BO45" i="1"/>
  <c r="BN45" i="1"/>
  <c r="BE45" i="1"/>
  <c r="BC45" i="1"/>
  <c r="BB45" i="1"/>
  <c r="BF46" i="1" s="1"/>
  <c r="BH46" i="1" s="1"/>
  <c r="BQ44" i="1"/>
  <c r="BO44" i="1"/>
  <c r="BN44" i="1"/>
  <c r="BE44" i="1"/>
  <c r="BC44" i="1"/>
  <c r="BB44" i="1"/>
  <c r="BQ43" i="1"/>
  <c r="BO43" i="1"/>
  <c r="BN43" i="1"/>
  <c r="BE43" i="1"/>
  <c r="BC43" i="1"/>
  <c r="BB43" i="1"/>
  <c r="BF44" i="1" s="1"/>
  <c r="BQ42" i="1"/>
  <c r="BO42" i="1"/>
  <c r="BN42" i="1"/>
  <c r="BE42" i="1"/>
  <c r="BC42" i="1"/>
  <c r="BB42" i="1"/>
  <c r="BQ41" i="1"/>
  <c r="BO41" i="1"/>
  <c r="BN41" i="1"/>
  <c r="BE41" i="1"/>
  <c r="BC41" i="1"/>
  <c r="BB41" i="1"/>
  <c r="BF42" i="1" s="1"/>
  <c r="BQ40" i="1"/>
  <c r="BO40" i="1"/>
  <c r="BN40" i="1"/>
  <c r="BE40" i="1"/>
  <c r="BC40" i="1"/>
  <c r="BB40" i="1"/>
  <c r="BQ39" i="1"/>
  <c r="BO39" i="1"/>
  <c r="BN39" i="1"/>
  <c r="BE39" i="1"/>
  <c r="BC39" i="1"/>
  <c r="BB39" i="1"/>
  <c r="BR38" i="1"/>
  <c r="BQ38" i="1"/>
  <c r="BO38" i="1"/>
  <c r="BN38" i="1"/>
  <c r="BE38" i="1"/>
  <c r="BC38" i="1"/>
  <c r="BB38" i="1"/>
  <c r="BQ37" i="1"/>
  <c r="BO37" i="1"/>
  <c r="BN37" i="1"/>
  <c r="BE37" i="1"/>
  <c r="BC37" i="1"/>
  <c r="BB37" i="1"/>
  <c r="BQ36" i="1"/>
  <c r="BO36" i="1"/>
  <c r="BN36" i="1"/>
  <c r="BE36" i="1"/>
  <c r="BC36" i="1"/>
  <c r="BB36" i="1"/>
  <c r="BQ35" i="1"/>
  <c r="BO35" i="1"/>
  <c r="BN35" i="1"/>
  <c r="BE35" i="1"/>
  <c r="BC35" i="1"/>
  <c r="BB35" i="1"/>
  <c r="BF36" i="1" s="1"/>
  <c r="BG36" i="1" s="1"/>
  <c r="BR34" i="1"/>
  <c r="BQ34" i="1"/>
  <c r="BO34" i="1"/>
  <c r="BN34" i="1"/>
  <c r="BE34" i="1"/>
  <c r="BC34" i="1"/>
  <c r="BB34" i="1"/>
  <c r="BQ33" i="1"/>
  <c r="BO33" i="1"/>
  <c r="BN33" i="1"/>
  <c r="BE33" i="1"/>
  <c r="BC33" i="1"/>
  <c r="BB33" i="1"/>
  <c r="BF34" i="1" s="1"/>
  <c r="BH34" i="1" s="1"/>
  <c r="BR32" i="1"/>
  <c r="BQ32" i="1"/>
  <c r="BO32" i="1"/>
  <c r="BN32" i="1"/>
  <c r="BE32" i="1"/>
  <c r="BC32" i="1"/>
  <c r="BB32" i="1"/>
  <c r="BQ31" i="1"/>
  <c r="BO31" i="1"/>
  <c r="BN31" i="1"/>
  <c r="BE31" i="1"/>
  <c r="BC31" i="1"/>
  <c r="BB31" i="1"/>
  <c r="BQ30" i="1"/>
  <c r="BO30" i="1"/>
  <c r="BN30" i="1"/>
  <c r="BR31" i="1" s="1"/>
  <c r="BT31" i="1" s="1"/>
  <c r="BF30" i="1"/>
  <c r="BG30" i="1" s="1"/>
  <c r="BE30" i="1"/>
  <c r="BC30" i="1"/>
  <c r="BB30" i="1"/>
  <c r="BF31" i="1" s="1"/>
  <c r="BQ29" i="1"/>
  <c r="BO29" i="1"/>
  <c r="BN29" i="1"/>
  <c r="BE29" i="1"/>
  <c r="BC29" i="1"/>
  <c r="BB29" i="1"/>
  <c r="BQ28" i="1"/>
  <c r="BO28" i="1"/>
  <c r="BN28" i="1"/>
  <c r="BF28" i="1"/>
  <c r="BE28" i="1"/>
  <c r="BC28" i="1"/>
  <c r="BB28" i="1"/>
  <c r="BQ27" i="1"/>
  <c r="BO27" i="1"/>
  <c r="BN27" i="1"/>
  <c r="BE27" i="1"/>
  <c r="BC27" i="1"/>
  <c r="BB27" i="1"/>
  <c r="BQ26" i="1"/>
  <c r="BO26" i="1"/>
  <c r="BN26" i="1"/>
  <c r="BR27" i="1" s="1"/>
  <c r="BE26" i="1"/>
  <c r="BC26" i="1"/>
  <c r="BB26" i="1"/>
  <c r="BQ25" i="1"/>
  <c r="BO25" i="1"/>
  <c r="BN25" i="1"/>
  <c r="BE25" i="1"/>
  <c r="BC25" i="1"/>
  <c r="BB25" i="1"/>
  <c r="BF26" i="1" s="1"/>
  <c r="BD26" i="1" s="1"/>
  <c r="BQ24" i="1"/>
  <c r="BO24" i="1"/>
  <c r="BN24" i="1"/>
  <c r="BE24" i="1"/>
  <c r="BC24" i="1"/>
  <c r="BB24" i="1"/>
  <c r="BF25" i="1" s="1"/>
  <c r="BG25" i="1" s="1"/>
  <c r="BQ23" i="1"/>
  <c r="BO23" i="1"/>
  <c r="BN23" i="1"/>
  <c r="BE23" i="1"/>
  <c r="BC23" i="1"/>
  <c r="BB23" i="1"/>
  <c r="BF24" i="1" s="1"/>
  <c r="BQ22" i="1"/>
  <c r="BR23" i="1" s="1"/>
  <c r="BP22" i="1"/>
  <c r="BO22" i="1"/>
  <c r="BN22" i="1"/>
  <c r="BE22" i="1"/>
  <c r="BD22" i="1"/>
  <c r="BC22" i="1"/>
  <c r="BB22" i="1"/>
  <c r="BQ21" i="1"/>
  <c r="BR22" i="1" s="1"/>
  <c r="BT22" i="1" s="1"/>
  <c r="BE21" i="1"/>
  <c r="BF22" i="1" s="1"/>
  <c r="BT20" i="1"/>
  <c r="BS20" i="1"/>
  <c r="BH20" i="1"/>
  <c r="BG20" i="1"/>
  <c r="BS137" i="1" l="1"/>
  <c r="BP137" i="1"/>
  <c r="BH49" i="1"/>
  <c r="BD49" i="1"/>
  <c r="BR166" i="1"/>
  <c r="BF167" i="1"/>
  <c r="BH167" i="1" s="1"/>
  <c r="BF101" i="1"/>
  <c r="BF32" i="1"/>
  <c r="BR47" i="1"/>
  <c r="BS47" i="1" s="1"/>
  <c r="BF50" i="1"/>
  <c r="BD50" i="1" s="1"/>
  <c r="BR146" i="1"/>
  <c r="BT146" i="1" s="1"/>
  <c r="BR45" i="1"/>
  <c r="BS45" i="1" s="1"/>
  <c r="BR54" i="1"/>
  <c r="BR56" i="1"/>
  <c r="BP56" i="1" s="1"/>
  <c r="BR57" i="1" s="1"/>
  <c r="BR83" i="1"/>
  <c r="BR115" i="1"/>
  <c r="BR162" i="1"/>
  <c r="BP162" i="1" s="1"/>
  <c r="BR164" i="1"/>
  <c r="BS164" i="1" s="1"/>
  <c r="BR63" i="1"/>
  <c r="BF100" i="1"/>
  <c r="BR111" i="1"/>
  <c r="BR149" i="1"/>
  <c r="BF163" i="1"/>
  <c r="BD163" i="1" s="1"/>
  <c r="BS22" i="1"/>
  <c r="BU22" i="1" s="1"/>
  <c r="BF55" i="1"/>
  <c r="BD55" i="1" s="1"/>
  <c r="BF56" i="1" s="1"/>
  <c r="BF59" i="1"/>
  <c r="BR70" i="1"/>
  <c r="BP70" i="1" s="1"/>
  <c r="BR71" i="1" s="1"/>
  <c r="BF77" i="1"/>
  <c r="BD77" i="1" s="1"/>
  <c r="BR28" i="1"/>
  <c r="BF75" i="1"/>
  <c r="BF134" i="1"/>
  <c r="BD134" i="1" s="1"/>
  <c r="BF145" i="1"/>
  <c r="BR158" i="1"/>
  <c r="BT158" i="1" s="1"/>
  <c r="BF33" i="1"/>
  <c r="BR46" i="1"/>
  <c r="BS46" i="1" s="1"/>
  <c r="BF98" i="1"/>
  <c r="BR109" i="1"/>
  <c r="BT109" i="1" s="1"/>
  <c r="BR127" i="1"/>
  <c r="BP127" i="1" s="1"/>
  <c r="BR128" i="1" s="1"/>
  <c r="BF161" i="1"/>
  <c r="BH161" i="1" s="1"/>
  <c r="BR39" i="1"/>
  <c r="BP39" i="1" s="1"/>
  <c r="BF62" i="1"/>
  <c r="BD62" i="1" s="1"/>
  <c r="BF71" i="1"/>
  <c r="BD71" i="1" s="1"/>
  <c r="BR116" i="1"/>
  <c r="BR125" i="1"/>
  <c r="BR35" i="1"/>
  <c r="BT35" i="1" s="1"/>
  <c r="BF40" i="1"/>
  <c r="BG40" i="1" s="1"/>
  <c r="BR53" i="1"/>
  <c r="BF58" i="1"/>
  <c r="BR82" i="1"/>
  <c r="BS82" i="1" s="1"/>
  <c r="BR91" i="1"/>
  <c r="BS91" i="1" s="1"/>
  <c r="BR136" i="1"/>
  <c r="BS136" i="1" s="1"/>
  <c r="BF27" i="1"/>
  <c r="BH27" i="1" s="1"/>
  <c r="BF51" i="1"/>
  <c r="BD51" i="1" s="1"/>
  <c r="BF52" i="1" s="1"/>
  <c r="BH52" i="1" s="1"/>
  <c r="BF103" i="1"/>
  <c r="BD103" i="1" s="1"/>
  <c r="BF137" i="1"/>
  <c r="BG137" i="1" s="1"/>
  <c r="BR145" i="1"/>
  <c r="BP145" i="1" s="1"/>
  <c r="BF157" i="1"/>
  <c r="BF166" i="1"/>
  <c r="BP117" i="1"/>
  <c r="BS117" i="1"/>
  <c r="BH140" i="1"/>
  <c r="BG140" i="1"/>
  <c r="BI140" i="1" s="1"/>
  <c r="BD140" i="1"/>
  <c r="BF141" i="1" s="1"/>
  <c r="BD93" i="1"/>
  <c r="BH93" i="1"/>
  <c r="BG93" i="1"/>
  <c r="BI93" i="1" s="1"/>
  <c r="BD44" i="1"/>
  <c r="BF45" i="1" s="1"/>
  <c r="BH44" i="1"/>
  <c r="BG44" i="1"/>
  <c r="BP91" i="1"/>
  <c r="BD157" i="1"/>
  <c r="BF158" i="1" s="1"/>
  <c r="BH157" i="1"/>
  <c r="BG157" i="1"/>
  <c r="BP49" i="1"/>
  <c r="BT49" i="1"/>
  <c r="BR29" i="1"/>
  <c r="BT29" i="1" s="1"/>
  <c r="BR55" i="1"/>
  <c r="BT55" i="1" s="1"/>
  <c r="BR150" i="1"/>
  <c r="BP150" i="1" s="1"/>
  <c r="BR95" i="1"/>
  <c r="BP95" i="1" s="1"/>
  <c r="BR96" i="1" s="1"/>
  <c r="BI25" i="1"/>
  <c r="BF60" i="1"/>
  <c r="BD60" i="1" s="1"/>
  <c r="BF122" i="1"/>
  <c r="BF149" i="1"/>
  <c r="BH25" i="1"/>
  <c r="BF38" i="1"/>
  <c r="BG38" i="1" s="1"/>
  <c r="BR42" i="1"/>
  <c r="BS42" i="1" s="1"/>
  <c r="BF108" i="1"/>
  <c r="BR142" i="1"/>
  <c r="BG49" i="1"/>
  <c r="BI49" i="1" s="1"/>
  <c r="BH59" i="1"/>
  <c r="BF94" i="1"/>
  <c r="BD94" i="1" s="1"/>
  <c r="BH101" i="1"/>
  <c r="BR106" i="1"/>
  <c r="BF120" i="1"/>
  <c r="BD120" i="1" s="1"/>
  <c r="BP130" i="1"/>
  <c r="BF23" i="1"/>
  <c r="BD23" i="1" s="1"/>
  <c r="BR24" i="1"/>
  <c r="BR26" i="1"/>
  <c r="BS26" i="1" s="1"/>
  <c r="BF43" i="1"/>
  <c r="BG43" i="1" s="1"/>
  <c r="BR48" i="1"/>
  <c r="BT48" i="1" s="1"/>
  <c r="BR50" i="1"/>
  <c r="BT50" i="1" s="1"/>
  <c r="BR60" i="1"/>
  <c r="BR64" i="1"/>
  <c r="BP64" i="1" s="1"/>
  <c r="BR65" i="1" s="1"/>
  <c r="BF96" i="1"/>
  <c r="BD96" i="1" s="1"/>
  <c r="BR118" i="1"/>
  <c r="BT118" i="1" s="1"/>
  <c r="BF126" i="1"/>
  <c r="BF130" i="1"/>
  <c r="BH130" i="1" s="1"/>
  <c r="BR131" i="1"/>
  <c r="BS131" i="1" s="1"/>
  <c r="BP136" i="1"/>
  <c r="BF147" i="1"/>
  <c r="BH147" i="1" s="1"/>
  <c r="BF162" i="1"/>
  <c r="BP164" i="1"/>
  <c r="BR167" i="1"/>
  <c r="BT167" i="1" s="1"/>
  <c r="BF165" i="1"/>
  <c r="BH165" i="1" s="1"/>
  <c r="BR153" i="1"/>
  <c r="BT153" i="1" s="1"/>
  <c r="BR52" i="1"/>
  <c r="BT52" i="1" s="1"/>
  <c r="BT164" i="1"/>
  <c r="BU164" i="1" s="1"/>
  <c r="BS155" i="1"/>
  <c r="BU155" i="1" s="1"/>
  <c r="BF39" i="1"/>
  <c r="BD39" i="1" s="1"/>
  <c r="BF41" i="1"/>
  <c r="BH41" i="1" s="1"/>
  <c r="BF47" i="1"/>
  <c r="BD47" i="1" s="1"/>
  <c r="BF67" i="1"/>
  <c r="BH67" i="1" s="1"/>
  <c r="BR69" i="1"/>
  <c r="BT69" i="1" s="1"/>
  <c r="BF128" i="1"/>
  <c r="BH128" i="1" s="1"/>
  <c r="BS31" i="1"/>
  <c r="BU31" i="1" s="1"/>
  <c r="BF35" i="1"/>
  <c r="BD35" i="1" s="1"/>
  <c r="BF63" i="1"/>
  <c r="BD63" i="1" s="1"/>
  <c r="BF64" i="1" s="1"/>
  <c r="BR110" i="1"/>
  <c r="BR122" i="1"/>
  <c r="BP122" i="1" s="1"/>
  <c r="BF138" i="1"/>
  <c r="BD138" i="1" s="1"/>
  <c r="BR139" i="1"/>
  <c r="BT139" i="1" s="1"/>
  <c r="BR141" i="1"/>
  <c r="BT141" i="1" s="1"/>
  <c r="BR89" i="1"/>
  <c r="BT89" i="1" s="1"/>
  <c r="BF148" i="1"/>
  <c r="BG148" i="1" s="1"/>
  <c r="BF68" i="1"/>
  <c r="BG68" i="1" s="1"/>
  <c r="BR93" i="1"/>
  <c r="BP93" i="1" s="1"/>
  <c r="BR154" i="1"/>
  <c r="BP155" i="1"/>
  <c r="BR25" i="1"/>
  <c r="BG26" i="1"/>
  <c r="BD30" i="1"/>
  <c r="BR43" i="1"/>
  <c r="BP43" i="1" s="1"/>
  <c r="BR94" i="1"/>
  <c r="BP94" i="1" s="1"/>
  <c r="BF97" i="1"/>
  <c r="BF105" i="1"/>
  <c r="BD105" i="1" s="1"/>
  <c r="BF106" i="1" s="1"/>
  <c r="BH26" i="1"/>
  <c r="BF29" i="1"/>
  <c r="BD29" i="1" s="1"/>
  <c r="BR80" i="1"/>
  <c r="BF95" i="1"/>
  <c r="BG95" i="1" s="1"/>
  <c r="BR121" i="1"/>
  <c r="BP121" i="1" s="1"/>
  <c r="BF127" i="1"/>
  <c r="BH127" i="1" s="1"/>
  <c r="BR134" i="1"/>
  <c r="BT134" i="1" s="1"/>
  <c r="BR156" i="1"/>
  <c r="BP156" i="1" s="1"/>
  <c r="BR157" i="1" s="1"/>
  <c r="BS63" i="1"/>
  <c r="BP63" i="1"/>
  <c r="BT63" i="1"/>
  <c r="BV22" i="1"/>
  <c r="BH31" i="1"/>
  <c r="BG31" i="1"/>
  <c r="BD31" i="1"/>
  <c r="BS34" i="1"/>
  <c r="BP34" i="1"/>
  <c r="BH79" i="1"/>
  <c r="BD79" i="1"/>
  <c r="BG79" i="1"/>
  <c r="BG24" i="1"/>
  <c r="BH24" i="1"/>
  <c r="BD24" i="1"/>
  <c r="BT34" i="1"/>
  <c r="BT39" i="1"/>
  <c r="BS39" i="1"/>
  <c r="BU39" i="1" s="1"/>
  <c r="BD43" i="1"/>
  <c r="BT80" i="1"/>
  <c r="BS80" i="1"/>
  <c r="BP80" i="1"/>
  <c r="BS142" i="1"/>
  <c r="BT142" i="1"/>
  <c r="BP142" i="1"/>
  <c r="BR143" i="1" s="1"/>
  <c r="BT27" i="1"/>
  <c r="BP27" i="1"/>
  <c r="BS27" i="1"/>
  <c r="BH28" i="1"/>
  <c r="BD28" i="1"/>
  <c r="BG57" i="1"/>
  <c r="BH57" i="1"/>
  <c r="BD57" i="1"/>
  <c r="BH94" i="1"/>
  <c r="BD165" i="1"/>
  <c r="BG28" i="1"/>
  <c r="BT45" i="1"/>
  <c r="BP45" i="1"/>
  <c r="BS38" i="1"/>
  <c r="BT38" i="1"/>
  <c r="BP38" i="1"/>
  <c r="BH66" i="1"/>
  <c r="BG66" i="1"/>
  <c r="BI66" i="1" s="1"/>
  <c r="BD66" i="1"/>
  <c r="BS62" i="1"/>
  <c r="BT62" i="1"/>
  <c r="BH22" i="1"/>
  <c r="BG22" i="1"/>
  <c r="BS24" i="1"/>
  <c r="BT24" i="1"/>
  <c r="BS29" i="1"/>
  <c r="BG33" i="1"/>
  <c r="BH33" i="1"/>
  <c r="BD33" i="1"/>
  <c r="BS48" i="1"/>
  <c r="BU48" i="1" s="1"/>
  <c r="BP48" i="1"/>
  <c r="BD68" i="1"/>
  <c r="BF69" i="1" s="1"/>
  <c r="BH68" i="1"/>
  <c r="BP23" i="1"/>
  <c r="BT23" i="1"/>
  <c r="BS23" i="1"/>
  <c r="BD38" i="1"/>
  <c r="BR41" i="1"/>
  <c r="BP26" i="1"/>
  <c r="BT26" i="1"/>
  <c r="BG27" i="1"/>
  <c r="BI27" i="1" s="1"/>
  <c r="BP35" i="1"/>
  <c r="BS35" i="1"/>
  <c r="BU35" i="1" s="1"/>
  <c r="BH40" i="1"/>
  <c r="BD40" i="1"/>
  <c r="BT60" i="1"/>
  <c r="BP60" i="1"/>
  <c r="BR61" i="1" s="1"/>
  <c r="BS60" i="1"/>
  <c r="BH32" i="1"/>
  <c r="BD32" i="1"/>
  <c r="BG32" i="1"/>
  <c r="BT53" i="1"/>
  <c r="BP53" i="1"/>
  <c r="BS53" i="1"/>
  <c r="BD95" i="1"/>
  <c r="BS76" i="1"/>
  <c r="BU76" i="1" s="1"/>
  <c r="BP76" i="1"/>
  <c r="BR77" i="1" s="1"/>
  <c r="BS25" i="1"/>
  <c r="BP25" i="1"/>
  <c r="BT25" i="1"/>
  <c r="BS28" i="1"/>
  <c r="BT28" i="1"/>
  <c r="BP28" i="1"/>
  <c r="BG58" i="1"/>
  <c r="BD58" i="1"/>
  <c r="BD102" i="1"/>
  <c r="BG102" i="1"/>
  <c r="BH102" i="1"/>
  <c r="BS124" i="1"/>
  <c r="BP124" i="1"/>
  <c r="BH58" i="1"/>
  <c r="BT124" i="1"/>
  <c r="BH143" i="1"/>
  <c r="BD143" i="1"/>
  <c r="BT32" i="1"/>
  <c r="BP32" i="1"/>
  <c r="BT42" i="1"/>
  <c r="BG65" i="1"/>
  <c r="BH65" i="1"/>
  <c r="BP24" i="1"/>
  <c r="BS32" i="1"/>
  <c r="BS49" i="1"/>
  <c r="BD54" i="1"/>
  <c r="BG54" i="1"/>
  <c r="BH54" i="1"/>
  <c r="BS93" i="1"/>
  <c r="BT93" i="1"/>
  <c r="BG143" i="1"/>
  <c r="BT162" i="1"/>
  <c r="BS162" i="1"/>
  <c r="BU162" i="1" s="1"/>
  <c r="BT74" i="1"/>
  <c r="BS74" i="1"/>
  <c r="BT87" i="1"/>
  <c r="BU87" i="1" s="1"/>
  <c r="BP87" i="1"/>
  <c r="BG96" i="1"/>
  <c r="BH30" i="1"/>
  <c r="BI30" i="1" s="1"/>
  <c r="BH42" i="1"/>
  <c r="BD42" i="1"/>
  <c r="BD48" i="1"/>
  <c r="BD46" i="1"/>
  <c r="BS73" i="1"/>
  <c r="BD88" i="1"/>
  <c r="BF89" i="1" s="1"/>
  <c r="BH88" i="1"/>
  <c r="BG88" i="1"/>
  <c r="BP89" i="1"/>
  <c r="BD128" i="1"/>
  <c r="BS165" i="1"/>
  <c r="BP165" i="1"/>
  <c r="BH72" i="1"/>
  <c r="BD72" i="1"/>
  <c r="BG83" i="1"/>
  <c r="BI83" i="1" s="1"/>
  <c r="BD83" i="1"/>
  <c r="BF84" i="1" s="1"/>
  <c r="BS146" i="1"/>
  <c r="BD161" i="1"/>
  <c r="BG161" i="1"/>
  <c r="BF78" i="1"/>
  <c r="BR81" i="1"/>
  <c r="BP153" i="1"/>
  <c r="BR30" i="1"/>
  <c r="BD34" i="1"/>
  <c r="BD36" i="1"/>
  <c r="BG35" i="1"/>
  <c r="BG47" i="1"/>
  <c r="BG48" i="1"/>
  <c r="BI48" i="1" s="1"/>
  <c r="BP54" i="1"/>
  <c r="BT73" i="1"/>
  <c r="BS83" i="1"/>
  <c r="BT83" i="1"/>
  <c r="BP83" i="1"/>
  <c r="BD121" i="1"/>
  <c r="BH121" i="1"/>
  <c r="BI121" i="1" s="1"/>
  <c r="BH163" i="1"/>
  <c r="BG163" i="1"/>
  <c r="BI163" i="1" s="1"/>
  <c r="BD127" i="1"/>
  <c r="BD149" i="1"/>
  <c r="BH149" i="1"/>
  <c r="BG149" i="1"/>
  <c r="BG72" i="1"/>
  <c r="BH99" i="1"/>
  <c r="BG99" i="1"/>
  <c r="BD99" i="1"/>
  <c r="BD112" i="1"/>
  <c r="BF113" i="1" s="1"/>
  <c r="BH112" i="1"/>
  <c r="BG112" i="1"/>
  <c r="BI112" i="1" s="1"/>
  <c r="BG34" i="1"/>
  <c r="BI34" i="1" s="1"/>
  <c r="BH35" i="1"/>
  <c r="BH36" i="1"/>
  <c r="BI36" i="1" s="1"/>
  <c r="BG46" i="1"/>
  <c r="BI46" i="1" s="1"/>
  <c r="BF61" i="1"/>
  <c r="BT125" i="1"/>
  <c r="BS125" i="1"/>
  <c r="BP125" i="1"/>
  <c r="BR126" i="1" s="1"/>
  <c r="BH166" i="1"/>
  <c r="BG166" i="1"/>
  <c r="BI166" i="1" s="1"/>
  <c r="BD166" i="1"/>
  <c r="BD25" i="1"/>
  <c r="BP31" i="1"/>
  <c r="BR51" i="1"/>
  <c r="BH75" i="1"/>
  <c r="BG75" i="1"/>
  <c r="BI75" i="1" s="1"/>
  <c r="BD75" i="1"/>
  <c r="BT92" i="1"/>
  <c r="BS92" i="1"/>
  <c r="BU92" i="1" s="1"/>
  <c r="BP92" i="1"/>
  <c r="BD100" i="1"/>
  <c r="BH100" i="1"/>
  <c r="BG100" i="1"/>
  <c r="BR33" i="1"/>
  <c r="BR36" i="1"/>
  <c r="BG42" i="1"/>
  <c r="BS50" i="1"/>
  <c r="BU50" i="1" s="1"/>
  <c r="BP50" i="1"/>
  <c r="BT70" i="1"/>
  <c r="BT85" i="1"/>
  <c r="BU85" i="1" s="1"/>
  <c r="BP85" i="1"/>
  <c r="BR86" i="1" s="1"/>
  <c r="BS109" i="1"/>
  <c r="BP109" i="1"/>
  <c r="BR123" i="1"/>
  <c r="BP154" i="1"/>
  <c r="BT154" i="1"/>
  <c r="BS154" i="1"/>
  <c r="BU154" i="1" s="1"/>
  <c r="BR40" i="1"/>
  <c r="BT46" i="1"/>
  <c r="BU46" i="1" s="1"/>
  <c r="BP46" i="1"/>
  <c r="BH60" i="1"/>
  <c r="BG60" i="1"/>
  <c r="BH91" i="1"/>
  <c r="BI91" i="1" s="1"/>
  <c r="BD91" i="1"/>
  <c r="BT144" i="1"/>
  <c r="BS144" i="1"/>
  <c r="BU144" i="1" s="1"/>
  <c r="BP144" i="1"/>
  <c r="BT166" i="1"/>
  <c r="BS166" i="1"/>
  <c r="BP166" i="1"/>
  <c r="BR44" i="1"/>
  <c r="BT64" i="1"/>
  <c r="BS64" i="1"/>
  <c r="BU64" i="1" s="1"/>
  <c r="BT82" i="1"/>
  <c r="BU82" i="1" s="1"/>
  <c r="BP82" i="1"/>
  <c r="BH119" i="1"/>
  <c r="BG119" i="1"/>
  <c r="BD119" i="1"/>
  <c r="BH134" i="1"/>
  <c r="BG134" i="1"/>
  <c r="BI134" i="1" s="1"/>
  <c r="BT165" i="1"/>
  <c r="BF76" i="1"/>
  <c r="BT138" i="1"/>
  <c r="BS138" i="1"/>
  <c r="BU138" i="1" s="1"/>
  <c r="BP138" i="1"/>
  <c r="BS149" i="1"/>
  <c r="BT149" i="1"/>
  <c r="BP149" i="1"/>
  <c r="BG98" i="1"/>
  <c r="BD98" i="1"/>
  <c r="BH98" i="1"/>
  <c r="BT113" i="1"/>
  <c r="BU113" i="1" s="1"/>
  <c r="BP113" i="1"/>
  <c r="BR119" i="1"/>
  <c r="BR163" i="1"/>
  <c r="BF37" i="1"/>
  <c r="BF74" i="1"/>
  <c r="BR90" i="1"/>
  <c r="BT91" i="1"/>
  <c r="BS121" i="1"/>
  <c r="BT121" i="1"/>
  <c r="BR78" i="1"/>
  <c r="BR79" i="1"/>
  <c r="BH92" i="1"/>
  <c r="BI92" i="1" s="1"/>
  <c r="BD92" i="1"/>
  <c r="BD135" i="1"/>
  <c r="BH135" i="1"/>
  <c r="BG135" i="1"/>
  <c r="BI135" i="1" s="1"/>
  <c r="BF159" i="1"/>
  <c r="BT75" i="1"/>
  <c r="BU75" i="1" s="1"/>
  <c r="BP75" i="1"/>
  <c r="BR114" i="1"/>
  <c r="BT150" i="1"/>
  <c r="BH152" i="1"/>
  <c r="BG152" i="1"/>
  <c r="BR37" i="1"/>
  <c r="BR104" i="1"/>
  <c r="BH129" i="1"/>
  <c r="BG129" i="1"/>
  <c r="BI129" i="1" s="1"/>
  <c r="BH133" i="1"/>
  <c r="BI133" i="1" s="1"/>
  <c r="BD133" i="1"/>
  <c r="BR159" i="1"/>
  <c r="BD145" i="1"/>
  <c r="BH145" i="1"/>
  <c r="BG145" i="1"/>
  <c r="BI145" i="1" s="1"/>
  <c r="BP158" i="1"/>
  <c r="BS158" i="1"/>
  <c r="BF80" i="1"/>
  <c r="BD107" i="1"/>
  <c r="BG107" i="1"/>
  <c r="BH107" i="1"/>
  <c r="BS108" i="1"/>
  <c r="BT108" i="1"/>
  <c r="BP108" i="1"/>
  <c r="BS130" i="1"/>
  <c r="BU130" i="1" s="1"/>
  <c r="BS135" i="1"/>
  <c r="BP135" i="1"/>
  <c r="BT135" i="1"/>
  <c r="BF151" i="1"/>
  <c r="BR107" i="1"/>
  <c r="BT111" i="1"/>
  <c r="BS111" i="1"/>
  <c r="BU111" i="1" s="1"/>
  <c r="BP111" i="1"/>
  <c r="BR120" i="1"/>
  <c r="BP134" i="1"/>
  <c r="BT148" i="1"/>
  <c r="BU148" i="1" s="1"/>
  <c r="BP148" i="1"/>
  <c r="BF104" i="1"/>
  <c r="BR132" i="1"/>
  <c r="BS115" i="1"/>
  <c r="BP115" i="1"/>
  <c r="BP116" i="1"/>
  <c r="BT156" i="1"/>
  <c r="BR88" i="1"/>
  <c r="BT117" i="1"/>
  <c r="BU117" i="1" s="1"/>
  <c r="BT137" i="1"/>
  <c r="BU137" i="1" s="1"/>
  <c r="BF144" i="1"/>
  <c r="BP151" i="1"/>
  <c r="BR152" i="1" s="1"/>
  <c r="BD167" i="1"/>
  <c r="BF86" i="1"/>
  <c r="BT115" i="1"/>
  <c r="BF139" i="1"/>
  <c r="BT151" i="1"/>
  <c r="BU151" i="1" s="1"/>
  <c r="BF160" i="1"/>
  <c r="BG167" i="1"/>
  <c r="BI167" i="1" s="1"/>
  <c r="BR84" i="1"/>
  <c r="BF118" i="1"/>
  <c r="BF156" i="1"/>
  <c r="BG162" i="1"/>
  <c r="BF73" i="1"/>
  <c r="BR147" i="1"/>
  <c r="BR112" i="1"/>
  <c r="BF146" i="1"/>
  <c r="BF153" i="1"/>
  <c r="BF136" i="1"/>
  <c r="BF150" i="1"/>
  <c r="BF164" i="1"/>
  <c r="BP71" i="1" l="1"/>
  <c r="BR72" i="1" s="1"/>
  <c r="BS71" i="1"/>
  <c r="BS128" i="1"/>
  <c r="BT128" i="1"/>
  <c r="BU128" i="1" s="1"/>
  <c r="BX128" i="1" s="1"/>
  <c r="BP128" i="1"/>
  <c r="BR129" i="1" s="1"/>
  <c r="BS129" i="1" s="1"/>
  <c r="BU129" i="1" s="1"/>
  <c r="BX129" i="1" s="1"/>
  <c r="BH106" i="1"/>
  <c r="BG106" i="1"/>
  <c r="BD106" i="1"/>
  <c r="BT54" i="1"/>
  <c r="BS54" i="1"/>
  <c r="BU54" i="1" s="1"/>
  <c r="BI148" i="1"/>
  <c r="BX148" i="1" s="1"/>
  <c r="BU53" i="1"/>
  <c r="BI98" i="1"/>
  <c r="BG23" i="1"/>
  <c r="BI23" i="1" s="1"/>
  <c r="BD147" i="1"/>
  <c r="BH71" i="1"/>
  <c r="BI65" i="1"/>
  <c r="BD27" i="1"/>
  <c r="BD59" i="1"/>
  <c r="BG59" i="1"/>
  <c r="BG147" i="1"/>
  <c r="BG67" i="1"/>
  <c r="BI67" i="1" s="1"/>
  <c r="BP146" i="1"/>
  <c r="BT43" i="1"/>
  <c r="BI59" i="1"/>
  <c r="BG71" i="1"/>
  <c r="BI71" i="1" s="1"/>
  <c r="BG105" i="1"/>
  <c r="BD148" i="1"/>
  <c r="BD137" i="1"/>
  <c r="BU60" i="1"/>
  <c r="BG55" i="1"/>
  <c r="BS43" i="1"/>
  <c r="BT56" i="1"/>
  <c r="BP69" i="1"/>
  <c r="BD67" i="1"/>
  <c r="BG101" i="1"/>
  <c r="BI101" i="1" s="1"/>
  <c r="BD101" i="1"/>
  <c r="BS95" i="1"/>
  <c r="BU95" i="1" s="1"/>
  <c r="BH105" i="1"/>
  <c r="BH148" i="1"/>
  <c r="BG120" i="1"/>
  <c r="BI120" i="1" s="1"/>
  <c r="BT47" i="1"/>
  <c r="BU47" i="1" s="1"/>
  <c r="BS56" i="1"/>
  <c r="BS69" i="1"/>
  <c r="BI26" i="1"/>
  <c r="BH55" i="1"/>
  <c r="BH120" i="1"/>
  <c r="BG52" i="1"/>
  <c r="BP47" i="1"/>
  <c r="BH51" i="1"/>
  <c r="BI51" i="1" s="1"/>
  <c r="BS141" i="1"/>
  <c r="BU141" i="1" s="1"/>
  <c r="BH23" i="1"/>
  <c r="BH62" i="1"/>
  <c r="BI62" i="1" s="1"/>
  <c r="BI72" i="1"/>
  <c r="BG77" i="1"/>
  <c r="BI77" i="1" s="1"/>
  <c r="BD52" i="1"/>
  <c r="BF53" i="1" s="1"/>
  <c r="BH53" i="1" s="1"/>
  <c r="BS55" i="1"/>
  <c r="BP52" i="1"/>
  <c r="BU42" i="1"/>
  <c r="BI157" i="1"/>
  <c r="BG51" i="1"/>
  <c r="BS89" i="1"/>
  <c r="BU89" i="1" s="1"/>
  <c r="BH77" i="1"/>
  <c r="BH29" i="1"/>
  <c r="BT136" i="1"/>
  <c r="BU136" i="1" s="1"/>
  <c r="BT145" i="1"/>
  <c r="BS145" i="1"/>
  <c r="BX92" i="1"/>
  <c r="BH50" i="1"/>
  <c r="BS127" i="1"/>
  <c r="BT127" i="1"/>
  <c r="BH137" i="1"/>
  <c r="BI137" i="1" s="1"/>
  <c r="BP141" i="1"/>
  <c r="BS70" i="1"/>
  <c r="BG103" i="1"/>
  <c r="BG62" i="1"/>
  <c r="BG39" i="1"/>
  <c r="BP55" i="1"/>
  <c r="BT94" i="1"/>
  <c r="BH103" i="1"/>
  <c r="BI103" i="1" s="1"/>
  <c r="BG50" i="1"/>
  <c r="BD130" i="1"/>
  <c r="BF131" i="1" s="1"/>
  <c r="BH131" i="1" s="1"/>
  <c r="BH39" i="1"/>
  <c r="BH38" i="1"/>
  <c r="BH43" i="1"/>
  <c r="BH47" i="1"/>
  <c r="BG128" i="1"/>
  <c r="BI143" i="1"/>
  <c r="BH95" i="1"/>
  <c r="BI68" i="1"/>
  <c r="BS116" i="1"/>
  <c r="BT116" i="1"/>
  <c r="BD45" i="1"/>
  <c r="BH45" i="1"/>
  <c r="BG45" i="1"/>
  <c r="BD141" i="1"/>
  <c r="BF142" i="1" s="1"/>
  <c r="BH141" i="1"/>
  <c r="BG141" i="1"/>
  <c r="BP118" i="1"/>
  <c r="BD97" i="1"/>
  <c r="BH97" i="1"/>
  <c r="BS156" i="1"/>
  <c r="BU156" i="1" s="1"/>
  <c r="BS134" i="1"/>
  <c r="BU134" i="1" s="1"/>
  <c r="BX134" i="1" s="1"/>
  <c r="BU149" i="1"/>
  <c r="BG127" i="1"/>
  <c r="BI161" i="1"/>
  <c r="BI128" i="1"/>
  <c r="BH96" i="1"/>
  <c r="BI96" i="1" s="1"/>
  <c r="BU55" i="1"/>
  <c r="BG94" i="1"/>
  <c r="BI94" i="1" s="1"/>
  <c r="BS52" i="1"/>
  <c r="BU52" i="1" s="1"/>
  <c r="BI79" i="1"/>
  <c r="BD122" i="1"/>
  <c r="BF123" i="1" s="1"/>
  <c r="BH122" i="1"/>
  <c r="BG122" i="1"/>
  <c r="BI122" i="1" s="1"/>
  <c r="BU135" i="1"/>
  <c r="BX135" i="1" s="1"/>
  <c r="BI60" i="1"/>
  <c r="BX60" i="1" s="1"/>
  <c r="BI100" i="1"/>
  <c r="BU32" i="1"/>
  <c r="BU28" i="1"/>
  <c r="BU24" i="1"/>
  <c r="BU45" i="1"/>
  <c r="BG126" i="1"/>
  <c r="BH126" i="1"/>
  <c r="BD126" i="1"/>
  <c r="BT106" i="1"/>
  <c r="BS106" i="1"/>
  <c r="BU106" i="1" s="1"/>
  <c r="BP106" i="1"/>
  <c r="BI44" i="1"/>
  <c r="BU146" i="1"/>
  <c r="BS110" i="1"/>
  <c r="BT110" i="1"/>
  <c r="BP110" i="1"/>
  <c r="BU91" i="1"/>
  <c r="BX91" i="1" s="1"/>
  <c r="BS150" i="1"/>
  <c r="BU150" i="1" s="1"/>
  <c r="BP42" i="1"/>
  <c r="BT71" i="1"/>
  <c r="BU71" i="1" s="1"/>
  <c r="BX71" i="1" s="1"/>
  <c r="BS94" i="1"/>
  <c r="BU94" i="1" s="1"/>
  <c r="BX94" i="1" s="1"/>
  <c r="BU166" i="1"/>
  <c r="BX166" i="1" s="1"/>
  <c r="BX137" i="1"/>
  <c r="BI149" i="1"/>
  <c r="BI31" i="1"/>
  <c r="BX31" i="1" s="1"/>
  <c r="BG108" i="1"/>
  <c r="BD108" i="1"/>
  <c r="BF109" i="1" s="1"/>
  <c r="BH108" i="1"/>
  <c r="BG63" i="1"/>
  <c r="BD41" i="1"/>
  <c r="BP167" i="1"/>
  <c r="BT131" i="1"/>
  <c r="BU131" i="1" s="1"/>
  <c r="BU49" i="1"/>
  <c r="BX49" i="1" s="1"/>
  <c r="BH63" i="1"/>
  <c r="BI63" i="1" s="1"/>
  <c r="BG41" i="1"/>
  <c r="BI41" i="1" s="1"/>
  <c r="BX41" i="1" s="1"/>
  <c r="BG97" i="1"/>
  <c r="BP139" i="1"/>
  <c r="BR140" i="1" s="1"/>
  <c r="BS167" i="1"/>
  <c r="BU167" i="1" s="1"/>
  <c r="BP131" i="1"/>
  <c r="BS153" i="1"/>
  <c r="BU153" i="1" s="1"/>
  <c r="BU69" i="1"/>
  <c r="BH162" i="1"/>
  <c r="BI162" i="1" s="1"/>
  <c r="BX162" i="1" s="1"/>
  <c r="BD162" i="1"/>
  <c r="BS139" i="1"/>
  <c r="BU139" i="1" s="1"/>
  <c r="BU158" i="1"/>
  <c r="BT122" i="1"/>
  <c r="BI147" i="1"/>
  <c r="BU165" i="1"/>
  <c r="BS118" i="1"/>
  <c r="BU118" i="1" s="1"/>
  <c r="BG138" i="1"/>
  <c r="BP29" i="1"/>
  <c r="BG165" i="1"/>
  <c r="BG29" i="1"/>
  <c r="BT95" i="1"/>
  <c r="BS122" i="1"/>
  <c r="BI119" i="1"/>
  <c r="BU125" i="1"/>
  <c r="BI99" i="1"/>
  <c r="BG130" i="1"/>
  <c r="BI130" i="1" s="1"/>
  <c r="BX130" i="1" s="1"/>
  <c r="BH138" i="1"/>
  <c r="BU23" i="1"/>
  <c r="BV23" i="1" s="1"/>
  <c r="BV24" i="1" s="1"/>
  <c r="BS143" i="1"/>
  <c r="BT143" i="1"/>
  <c r="BP143" i="1"/>
  <c r="BD84" i="1"/>
  <c r="BF85" i="1" s="1"/>
  <c r="BH84" i="1"/>
  <c r="BG84" i="1"/>
  <c r="BD89" i="1"/>
  <c r="BF90" i="1" s="1"/>
  <c r="BG89" i="1"/>
  <c r="BH89" i="1"/>
  <c r="BP140" i="1"/>
  <c r="BT140" i="1"/>
  <c r="BS140" i="1"/>
  <c r="BH113" i="1"/>
  <c r="BG113" i="1"/>
  <c r="BD113" i="1"/>
  <c r="BF114" i="1" s="1"/>
  <c r="BH64" i="1"/>
  <c r="BG64" i="1"/>
  <c r="BD64" i="1"/>
  <c r="BP126" i="1"/>
  <c r="BT126" i="1"/>
  <c r="BS126" i="1"/>
  <c r="BS157" i="1"/>
  <c r="BT157" i="1"/>
  <c r="BP157" i="1"/>
  <c r="BH146" i="1"/>
  <c r="BG146" i="1"/>
  <c r="BD146" i="1"/>
  <c r="BD151" i="1"/>
  <c r="BH151" i="1"/>
  <c r="BG151" i="1"/>
  <c r="BS159" i="1"/>
  <c r="BT159" i="1"/>
  <c r="BP159" i="1"/>
  <c r="BR160" i="1" s="1"/>
  <c r="BS147" i="1"/>
  <c r="BP147" i="1"/>
  <c r="BT147" i="1"/>
  <c r="BS114" i="1"/>
  <c r="BP114" i="1"/>
  <c r="BT114" i="1"/>
  <c r="BT119" i="1"/>
  <c r="BS119" i="1"/>
  <c r="BP119" i="1"/>
  <c r="BU38" i="1"/>
  <c r="BP65" i="1"/>
  <c r="BR66" i="1" s="1"/>
  <c r="BT65" i="1"/>
  <c r="BS65" i="1"/>
  <c r="BU109" i="1"/>
  <c r="BU93" i="1"/>
  <c r="BX93" i="1" s="1"/>
  <c r="BI40" i="1"/>
  <c r="BT41" i="1"/>
  <c r="BS41" i="1"/>
  <c r="BU41" i="1" s="1"/>
  <c r="BP41" i="1"/>
  <c r="BU43" i="1"/>
  <c r="BH56" i="1"/>
  <c r="BG56" i="1"/>
  <c r="BD56" i="1"/>
  <c r="BD69" i="1"/>
  <c r="BF70" i="1" s="1"/>
  <c r="BH69" i="1"/>
  <c r="BG69" i="1"/>
  <c r="BD73" i="1"/>
  <c r="BH73" i="1"/>
  <c r="BG73" i="1"/>
  <c r="BD86" i="1"/>
  <c r="BF87" i="1" s="1"/>
  <c r="BH86" i="1"/>
  <c r="BG86" i="1"/>
  <c r="BI86" i="1" s="1"/>
  <c r="BD159" i="1"/>
  <c r="BH159" i="1"/>
  <c r="BG159" i="1"/>
  <c r="BP90" i="1"/>
  <c r="BS90" i="1"/>
  <c r="BT90" i="1"/>
  <c r="BD76" i="1"/>
  <c r="BH76" i="1"/>
  <c r="BG76" i="1"/>
  <c r="BD61" i="1"/>
  <c r="BH61" i="1"/>
  <c r="BG61" i="1"/>
  <c r="BI61" i="1" s="1"/>
  <c r="BI127" i="1"/>
  <c r="BI88" i="1"/>
  <c r="BU74" i="1"/>
  <c r="BI32" i="1"/>
  <c r="BX32" i="1" s="1"/>
  <c r="BU27" i="1"/>
  <c r="BX27" i="1" s="1"/>
  <c r="BP112" i="1"/>
  <c r="BS112" i="1"/>
  <c r="BT112" i="1"/>
  <c r="BG160" i="1"/>
  <c r="BH160" i="1"/>
  <c r="BD160" i="1"/>
  <c r="BS72" i="1"/>
  <c r="BT72" i="1"/>
  <c r="BP72" i="1"/>
  <c r="BD80" i="1"/>
  <c r="BF81" i="1" s="1"/>
  <c r="BH80" i="1"/>
  <c r="BG80" i="1"/>
  <c r="BS51" i="1"/>
  <c r="BP51" i="1"/>
  <c r="BT51" i="1"/>
  <c r="BT152" i="1"/>
  <c r="BP152" i="1"/>
  <c r="BS152" i="1"/>
  <c r="BH74" i="1"/>
  <c r="BG74" i="1"/>
  <c r="BI74" i="1" s="1"/>
  <c r="BD74" i="1"/>
  <c r="BI52" i="1"/>
  <c r="BT120" i="1"/>
  <c r="BS120" i="1"/>
  <c r="BP120" i="1"/>
  <c r="BP40" i="1"/>
  <c r="BT40" i="1"/>
  <c r="BS40" i="1"/>
  <c r="BU40" i="1" s="1"/>
  <c r="BX48" i="1"/>
  <c r="BU73" i="1"/>
  <c r="BU124" i="1"/>
  <c r="BU63" i="1"/>
  <c r="BT88" i="1"/>
  <c r="BS88" i="1"/>
  <c r="BU88" i="1" s="1"/>
  <c r="BP88" i="1"/>
  <c r="BI57" i="1"/>
  <c r="BD136" i="1"/>
  <c r="BH136" i="1"/>
  <c r="BG136" i="1"/>
  <c r="BI42" i="1"/>
  <c r="BP77" i="1"/>
  <c r="BT77" i="1"/>
  <c r="BS77" i="1"/>
  <c r="BU26" i="1"/>
  <c r="BX26" i="1" s="1"/>
  <c r="BU29" i="1"/>
  <c r="BU142" i="1"/>
  <c r="BI43" i="1"/>
  <c r="BP61" i="1"/>
  <c r="BS61" i="1"/>
  <c r="BT61" i="1"/>
  <c r="BP30" i="1"/>
  <c r="BT30" i="1"/>
  <c r="BS30" i="1"/>
  <c r="BH139" i="1"/>
  <c r="BG139" i="1"/>
  <c r="BI139" i="1" s="1"/>
  <c r="BD139" i="1"/>
  <c r="BI102" i="1"/>
  <c r="BU62" i="1"/>
  <c r="BS163" i="1"/>
  <c r="BP163" i="1"/>
  <c r="BT163" i="1"/>
  <c r="BP132" i="1"/>
  <c r="BR133" i="1" s="1"/>
  <c r="BS132" i="1"/>
  <c r="BT132" i="1"/>
  <c r="BU56" i="1"/>
  <c r="BI28" i="1"/>
  <c r="BH104" i="1"/>
  <c r="BG104" i="1"/>
  <c r="BD104" i="1"/>
  <c r="BS123" i="1"/>
  <c r="BP123" i="1"/>
  <c r="BT123" i="1"/>
  <c r="BD142" i="1"/>
  <c r="BH142" i="1"/>
  <c r="BG142" i="1"/>
  <c r="BI142" i="1" s="1"/>
  <c r="BX142" i="1" s="1"/>
  <c r="BU121" i="1"/>
  <c r="BX121" i="1" s="1"/>
  <c r="BI24" i="1"/>
  <c r="BP96" i="1"/>
  <c r="BR97" i="1" s="1"/>
  <c r="BS96" i="1"/>
  <c r="BT96" i="1"/>
  <c r="BU83" i="1"/>
  <c r="BX83" i="1" s="1"/>
  <c r="BI58" i="1"/>
  <c r="BD156" i="1"/>
  <c r="BG156" i="1"/>
  <c r="BH156" i="1"/>
  <c r="BS86" i="1"/>
  <c r="BP86" i="1"/>
  <c r="BT86" i="1"/>
  <c r="BS44" i="1"/>
  <c r="BP44" i="1"/>
  <c r="BT44" i="1"/>
  <c r="BP81" i="1"/>
  <c r="BS81" i="1"/>
  <c r="BT81" i="1"/>
  <c r="BX46" i="1"/>
  <c r="BD78" i="1"/>
  <c r="BG78" i="1"/>
  <c r="BH78" i="1"/>
  <c r="BI38" i="1"/>
  <c r="BI33" i="1"/>
  <c r="BH164" i="1"/>
  <c r="BD164" i="1"/>
  <c r="BG164" i="1"/>
  <c r="BD118" i="1"/>
  <c r="BH118" i="1"/>
  <c r="BG118" i="1"/>
  <c r="BD144" i="1"/>
  <c r="BG144" i="1"/>
  <c r="BH144" i="1"/>
  <c r="BD37" i="1"/>
  <c r="BH37" i="1"/>
  <c r="BG37" i="1"/>
  <c r="BI37" i="1" s="1"/>
  <c r="BG150" i="1"/>
  <c r="BD150" i="1"/>
  <c r="BH150" i="1"/>
  <c r="BP129" i="1"/>
  <c r="BT129" i="1"/>
  <c r="BI47" i="1"/>
  <c r="BS57" i="1"/>
  <c r="BT57" i="1"/>
  <c r="BP57" i="1"/>
  <c r="BR58" i="1" s="1"/>
  <c r="BI54" i="1"/>
  <c r="BU25" i="1"/>
  <c r="BP104" i="1"/>
  <c r="BR105" i="1" s="1"/>
  <c r="BT104" i="1"/>
  <c r="BS104" i="1"/>
  <c r="BU104" i="1" s="1"/>
  <c r="BI35" i="1"/>
  <c r="BX35" i="1" s="1"/>
  <c r="BH153" i="1"/>
  <c r="BD153" i="1"/>
  <c r="BF154" i="1" s="1"/>
  <c r="BG153" i="1"/>
  <c r="BP84" i="1"/>
  <c r="BT84" i="1"/>
  <c r="BS84" i="1"/>
  <c r="BU115" i="1"/>
  <c r="BU108" i="1"/>
  <c r="BP37" i="1"/>
  <c r="BT37" i="1"/>
  <c r="BS37" i="1"/>
  <c r="BU37" i="1" s="1"/>
  <c r="BT36" i="1"/>
  <c r="BP36" i="1"/>
  <c r="BS36" i="1"/>
  <c r="BX75" i="1"/>
  <c r="BS107" i="1"/>
  <c r="BT107" i="1"/>
  <c r="BP107" i="1"/>
  <c r="BD158" i="1"/>
  <c r="BH158" i="1"/>
  <c r="BG158" i="1"/>
  <c r="BI158" i="1" s="1"/>
  <c r="BP79" i="1"/>
  <c r="BT79" i="1"/>
  <c r="BS79" i="1"/>
  <c r="BU79" i="1" s="1"/>
  <c r="BX79" i="1" s="1"/>
  <c r="BP33" i="1"/>
  <c r="BT33" i="1"/>
  <c r="BS33" i="1"/>
  <c r="BX167" i="1"/>
  <c r="BI107" i="1"/>
  <c r="BI106" i="1"/>
  <c r="BI152" i="1"/>
  <c r="BP78" i="1"/>
  <c r="BT78" i="1"/>
  <c r="BS78" i="1"/>
  <c r="BU145" i="1"/>
  <c r="BX145" i="1" s="1"/>
  <c r="BU70" i="1"/>
  <c r="BI95" i="1"/>
  <c r="BI55" i="1"/>
  <c r="BX55" i="1" s="1"/>
  <c r="BI22" i="1"/>
  <c r="BI165" i="1"/>
  <c r="BU80" i="1"/>
  <c r="BU34" i="1"/>
  <c r="BX34" i="1" s="1"/>
  <c r="BV25" i="1" l="1"/>
  <c r="BI105" i="1"/>
  <c r="BI126" i="1"/>
  <c r="BI45" i="1"/>
  <c r="BX45" i="1" s="1"/>
  <c r="BI50" i="1"/>
  <c r="BX50" i="1" s="1"/>
  <c r="BU147" i="1"/>
  <c r="BX147" i="1" s="1"/>
  <c r="BD53" i="1"/>
  <c r="BU116" i="1"/>
  <c r="BI39" i="1"/>
  <c r="BX39" i="1" s="1"/>
  <c r="BG53" i="1"/>
  <c r="BI53" i="1" s="1"/>
  <c r="BX53" i="1" s="1"/>
  <c r="BU157" i="1"/>
  <c r="BX157" i="1" s="1"/>
  <c r="BX29" i="1"/>
  <c r="BU57" i="1"/>
  <c r="BX57" i="1" s="1"/>
  <c r="BD131" i="1"/>
  <c r="BF132" i="1" s="1"/>
  <c r="BU77" i="1"/>
  <c r="BX77" i="1" s="1"/>
  <c r="BI76" i="1"/>
  <c r="BX76" i="1" s="1"/>
  <c r="BU122" i="1"/>
  <c r="BX122" i="1" s="1"/>
  <c r="BX139" i="1"/>
  <c r="BI29" i="1"/>
  <c r="BX47" i="1"/>
  <c r="BU112" i="1"/>
  <c r="BX112" i="1" s="1"/>
  <c r="BX149" i="1"/>
  <c r="BX165" i="1"/>
  <c r="BX54" i="1"/>
  <c r="BG131" i="1"/>
  <c r="BI131" i="1" s="1"/>
  <c r="BX131" i="1" s="1"/>
  <c r="BX28" i="1"/>
  <c r="BI164" i="1"/>
  <c r="BX164" i="1" s="1"/>
  <c r="BX24" i="1"/>
  <c r="BX42" i="1"/>
  <c r="BI80" i="1"/>
  <c r="BX80" i="1" s="1"/>
  <c r="BU119" i="1"/>
  <c r="BI138" i="1"/>
  <c r="BX138" i="1" s="1"/>
  <c r="BI97" i="1"/>
  <c r="BI141" i="1"/>
  <c r="BX141" i="1" s="1"/>
  <c r="BU127" i="1"/>
  <c r="BX127" i="1" s="1"/>
  <c r="BX106" i="1"/>
  <c r="BX158" i="1"/>
  <c r="BU86" i="1"/>
  <c r="BX86" i="1" s="1"/>
  <c r="BU152" i="1"/>
  <c r="BX152" i="1"/>
  <c r="BX23" i="1"/>
  <c r="BI136" i="1"/>
  <c r="BX136" i="1" s="1"/>
  <c r="BU126" i="1"/>
  <c r="BU51" i="1"/>
  <c r="BX51" i="1" s="1"/>
  <c r="BX37" i="1"/>
  <c r="BH123" i="1"/>
  <c r="BD123" i="1"/>
  <c r="BF124" i="1" s="1"/>
  <c r="BG123" i="1"/>
  <c r="BI159" i="1"/>
  <c r="BI56" i="1"/>
  <c r="BX56" i="1" s="1"/>
  <c r="BI151" i="1"/>
  <c r="BX151" i="1" s="1"/>
  <c r="BH109" i="1"/>
  <c r="BD109" i="1"/>
  <c r="BF110" i="1" s="1"/>
  <c r="BG109" i="1"/>
  <c r="BU107" i="1"/>
  <c r="BX107" i="1" s="1"/>
  <c r="BU81" i="1"/>
  <c r="BX119" i="1"/>
  <c r="BI108" i="1"/>
  <c r="BX108" i="1" s="1"/>
  <c r="BX52" i="1"/>
  <c r="BI113" i="1"/>
  <c r="BX113" i="1" s="1"/>
  <c r="BU110" i="1"/>
  <c r="BI144" i="1"/>
  <c r="BX144" i="1" s="1"/>
  <c r="BH90" i="1"/>
  <c r="BG90" i="1"/>
  <c r="BI90" i="1" s="1"/>
  <c r="BD90" i="1"/>
  <c r="BI89" i="1"/>
  <c r="BX89" i="1" s="1"/>
  <c r="BI118" i="1"/>
  <c r="BX118" i="1" s="1"/>
  <c r="BX74" i="1"/>
  <c r="BX88" i="1"/>
  <c r="BP105" i="1"/>
  <c r="BT105" i="1"/>
  <c r="BS105" i="1"/>
  <c r="BU163" i="1"/>
  <c r="BX163" i="1" s="1"/>
  <c r="BU30" i="1"/>
  <c r="BX30" i="1" s="1"/>
  <c r="BU72" i="1"/>
  <c r="BX72" i="1" s="1"/>
  <c r="BU159" i="1"/>
  <c r="BI64" i="1"/>
  <c r="BX64" i="1" s="1"/>
  <c r="BD132" i="1"/>
  <c r="BG132" i="1"/>
  <c r="BH132" i="1"/>
  <c r="BI156" i="1"/>
  <c r="BX156" i="1" s="1"/>
  <c r="BH87" i="1"/>
  <c r="BG87" i="1"/>
  <c r="BD87" i="1"/>
  <c r="BU123" i="1"/>
  <c r="BI84" i="1"/>
  <c r="BG81" i="1"/>
  <c r="BD81" i="1"/>
  <c r="BF82" i="1" s="1"/>
  <c r="BH81" i="1"/>
  <c r="BP133" i="1"/>
  <c r="BS133" i="1"/>
  <c r="BT133" i="1"/>
  <c r="BI160" i="1"/>
  <c r="BD114" i="1"/>
  <c r="BF115" i="1" s="1"/>
  <c r="BH114" i="1"/>
  <c r="BG114" i="1"/>
  <c r="BU132" i="1"/>
  <c r="BD70" i="1"/>
  <c r="BH70" i="1"/>
  <c r="BG70" i="1"/>
  <c r="BI70" i="1" s="1"/>
  <c r="BX70" i="1" s="1"/>
  <c r="BP160" i="1"/>
  <c r="BR161" i="1" s="1"/>
  <c r="BT160" i="1"/>
  <c r="BS160" i="1"/>
  <c r="BU160" i="1" s="1"/>
  <c r="BJ22" i="1"/>
  <c r="BJ23" i="1" s="1"/>
  <c r="BJ24" i="1" s="1"/>
  <c r="BJ25" i="1" s="1"/>
  <c r="BJ26" i="1" s="1"/>
  <c r="BJ27" i="1" s="1"/>
  <c r="BJ28" i="1" s="1"/>
  <c r="BJ29" i="1" s="1"/>
  <c r="BJ30" i="1" s="1"/>
  <c r="BJ31" i="1" s="1"/>
  <c r="BJ32" i="1" s="1"/>
  <c r="BJ33" i="1" s="1"/>
  <c r="BJ34" i="1" s="1"/>
  <c r="BJ35" i="1" s="1"/>
  <c r="BJ36" i="1" s="1"/>
  <c r="BJ37" i="1" s="1"/>
  <c r="BJ38" i="1" s="1"/>
  <c r="BJ39" i="1" s="1"/>
  <c r="BJ40" i="1" s="1"/>
  <c r="BJ41" i="1" s="1"/>
  <c r="BJ42" i="1" s="1"/>
  <c r="BJ43" i="1" s="1"/>
  <c r="BJ44" i="1" s="1"/>
  <c r="BJ45" i="1" s="1"/>
  <c r="BJ46" i="1" s="1"/>
  <c r="BJ47" i="1" s="1"/>
  <c r="BJ48" i="1" s="1"/>
  <c r="BJ49" i="1" s="1"/>
  <c r="BJ50" i="1" s="1"/>
  <c r="BJ51" i="1" s="1"/>
  <c r="BJ52" i="1" s="1"/>
  <c r="BJ53" i="1" s="1"/>
  <c r="BJ54" i="1" s="1"/>
  <c r="BJ55" i="1" s="1"/>
  <c r="BJ56" i="1" s="1"/>
  <c r="BJ57" i="1" s="1"/>
  <c r="BJ58" i="1" s="1"/>
  <c r="BJ59" i="1" s="1"/>
  <c r="BJ60" i="1" s="1"/>
  <c r="BJ61" i="1" s="1"/>
  <c r="BJ62" i="1" s="1"/>
  <c r="BJ63" i="1" s="1"/>
  <c r="BJ64" i="1" s="1"/>
  <c r="BJ65" i="1" s="1"/>
  <c r="BJ66" i="1" s="1"/>
  <c r="BJ67" i="1" s="1"/>
  <c r="BJ68" i="1" s="1"/>
  <c r="BJ69" i="1" s="1"/>
  <c r="BJ70" i="1" s="1"/>
  <c r="BJ71" i="1" s="1"/>
  <c r="BJ72" i="1" s="1"/>
  <c r="BJ73" i="1" s="1"/>
  <c r="BJ74" i="1" s="1"/>
  <c r="BJ75" i="1" s="1"/>
  <c r="BJ76" i="1" s="1"/>
  <c r="BJ77" i="1" s="1"/>
  <c r="BJ78" i="1" s="1"/>
  <c r="BJ79" i="1" s="1"/>
  <c r="BJ80" i="1" s="1"/>
  <c r="BX22" i="1"/>
  <c r="BX95" i="1"/>
  <c r="BX63" i="1"/>
  <c r="BU84" i="1"/>
  <c r="BX62" i="1"/>
  <c r="BU61" i="1"/>
  <c r="BX61" i="1" s="1"/>
  <c r="BH85" i="1"/>
  <c r="BG85" i="1"/>
  <c r="BI85" i="1" s="1"/>
  <c r="BX85" i="1" s="1"/>
  <c r="BD85" i="1"/>
  <c r="BP66" i="1"/>
  <c r="BR67" i="1" s="1"/>
  <c r="BT66" i="1"/>
  <c r="BS66" i="1"/>
  <c r="BU66" i="1" s="1"/>
  <c r="BX66" i="1" s="1"/>
  <c r="BX25" i="1"/>
  <c r="BP58" i="1"/>
  <c r="BR59" i="1" s="1"/>
  <c r="BT58" i="1"/>
  <c r="BS58" i="1"/>
  <c r="BI150" i="1"/>
  <c r="BX150" i="1" s="1"/>
  <c r="BU44" i="1"/>
  <c r="BX44" i="1" s="1"/>
  <c r="BU96" i="1"/>
  <c r="BX96" i="1" s="1"/>
  <c r="BI104" i="1"/>
  <c r="BX104" i="1" s="1"/>
  <c r="BI73" i="1"/>
  <c r="BX73" i="1" s="1"/>
  <c r="BX40" i="1"/>
  <c r="BU114" i="1"/>
  <c r="BI146" i="1"/>
  <c r="BX146" i="1" s="1"/>
  <c r="BX38" i="1"/>
  <c r="BS97" i="1"/>
  <c r="BP97" i="1"/>
  <c r="BR98" i="1" s="1"/>
  <c r="BT97" i="1"/>
  <c r="BX43" i="1"/>
  <c r="BU140" i="1"/>
  <c r="BX140" i="1" s="1"/>
  <c r="BU36" i="1"/>
  <c r="BX36" i="1" s="1"/>
  <c r="BI153" i="1"/>
  <c r="BX153" i="1" s="1"/>
  <c r="BU78" i="1"/>
  <c r="BU33" i="1"/>
  <c r="BX33" i="1" s="1"/>
  <c r="BG154" i="1"/>
  <c r="BD154" i="1"/>
  <c r="BF155" i="1" s="1"/>
  <c r="BH154" i="1"/>
  <c r="BI78" i="1"/>
  <c r="BX78" i="1" s="1"/>
  <c r="BU120" i="1"/>
  <c r="BX120" i="1" s="1"/>
  <c r="BV26" i="1"/>
  <c r="BV27" i="1" s="1"/>
  <c r="BV28" i="1" s="1"/>
  <c r="BV29" i="1" s="1"/>
  <c r="BV30" i="1" s="1"/>
  <c r="BV31" i="1" s="1"/>
  <c r="BV32" i="1" s="1"/>
  <c r="BU90" i="1"/>
  <c r="BI69" i="1"/>
  <c r="BX69" i="1" s="1"/>
  <c r="BU65" i="1"/>
  <c r="BX65" i="1" s="1"/>
  <c r="BU143" i="1"/>
  <c r="BX143" i="1" s="1"/>
  <c r="BX90" i="1" l="1"/>
  <c r="BX159" i="1"/>
  <c r="BX126" i="1"/>
  <c r="BU97" i="1"/>
  <c r="BX97" i="1" s="1"/>
  <c r="BI109" i="1"/>
  <c r="BX109" i="1" s="1"/>
  <c r="BI81" i="1"/>
  <c r="BX81" i="1" s="1"/>
  <c r="BG110" i="1"/>
  <c r="BD110" i="1"/>
  <c r="BF111" i="1" s="1"/>
  <c r="BH110" i="1"/>
  <c r="BX160" i="1"/>
  <c r="BI87" i="1"/>
  <c r="BX87" i="1" s="1"/>
  <c r="BU105" i="1"/>
  <c r="BX105" i="1" s="1"/>
  <c r="BI123" i="1"/>
  <c r="BX123" i="1" s="1"/>
  <c r="BG124" i="1"/>
  <c r="BH124" i="1"/>
  <c r="BD124" i="1"/>
  <c r="BF125" i="1" s="1"/>
  <c r="BH115" i="1"/>
  <c r="BD115" i="1"/>
  <c r="BF116" i="1" s="1"/>
  <c r="BG115" i="1"/>
  <c r="BI115" i="1" s="1"/>
  <c r="BX115" i="1" s="1"/>
  <c r="BY22" i="1"/>
  <c r="BY23" i="1" s="1"/>
  <c r="BY24" i="1" s="1"/>
  <c r="BY25" i="1" s="1"/>
  <c r="BY26" i="1" s="1"/>
  <c r="BY27" i="1" s="1"/>
  <c r="BY28" i="1" s="1"/>
  <c r="BY29" i="1" s="1"/>
  <c r="BY30" i="1" s="1"/>
  <c r="BY31" i="1" s="1"/>
  <c r="BY32" i="1" s="1"/>
  <c r="BY33" i="1" s="1"/>
  <c r="BY34" i="1" s="1"/>
  <c r="BY35" i="1" s="1"/>
  <c r="BY36" i="1" s="1"/>
  <c r="BY37" i="1" s="1"/>
  <c r="BY38" i="1" s="1"/>
  <c r="BY39" i="1" s="1"/>
  <c r="BY40" i="1" s="1"/>
  <c r="BY41" i="1" s="1"/>
  <c r="BY42" i="1" s="1"/>
  <c r="BY43" i="1" s="1"/>
  <c r="BY44" i="1" s="1"/>
  <c r="BY45" i="1" s="1"/>
  <c r="BY46" i="1" s="1"/>
  <c r="BY47" i="1" s="1"/>
  <c r="BY48" i="1" s="1"/>
  <c r="BY49" i="1" s="1"/>
  <c r="BY50" i="1" s="1"/>
  <c r="BY51" i="1" s="1"/>
  <c r="BY52" i="1" s="1"/>
  <c r="BY53" i="1" s="1"/>
  <c r="BY54" i="1" s="1"/>
  <c r="BY55" i="1" s="1"/>
  <c r="BY56" i="1" s="1"/>
  <c r="BY57" i="1" s="1"/>
  <c r="BI154" i="1"/>
  <c r="BX154" i="1" s="1"/>
  <c r="BS67" i="1"/>
  <c r="BT67" i="1"/>
  <c r="BP67" i="1"/>
  <c r="BR68" i="1" s="1"/>
  <c r="BU133" i="1"/>
  <c r="BX133" i="1" s="1"/>
  <c r="BH155" i="1"/>
  <c r="BG155" i="1"/>
  <c r="BI155" i="1" s="1"/>
  <c r="BX155" i="1" s="1"/>
  <c r="BD155" i="1"/>
  <c r="BI132" i="1"/>
  <c r="BX132" i="1" s="1"/>
  <c r="BT161" i="1"/>
  <c r="BP161" i="1"/>
  <c r="BS161" i="1"/>
  <c r="BU161" i="1" s="1"/>
  <c r="BX161" i="1" s="1"/>
  <c r="BU58" i="1"/>
  <c r="BH82" i="1"/>
  <c r="BG82" i="1"/>
  <c r="BI82" i="1" s="1"/>
  <c r="BX82" i="1" s="1"/>
  <c r="BD82" i="1"/>
  <c r="BV33" i="1"/>
  <c r="BV34" i="1" s="1"/>
  <c r="BV35" i="1" s="1"/>
  <c r="BV36" i="1" s="1"/>
  <c r="BV37" i="1" s="1"/>
  <c r="BV38" i="1" s="1"/>
  <c r="BV39" i="1" s="1"/>
  <c r="BV40" i="1" s="1"/>
  <c r="BV41" i="1" s="1"/>
  <c r="BV42" i="1" s="1"/>
  <c r="BV43" i="1" s="1"/>
  <c r="BV44" i="1" s="1"/>
  <c r="BV45" i="1" s="1"/>
  <c r="BV46" i="1" s="1"/>
  <c r="BV47" i="1" s="1"/>
  <c r="BV48" i="1" s="1"/>
  <c r="BV49" i="1" s="1"/>
  <c r="BV50" i="1" s="1"/>
  <c r="BV51" i="1" s="1"/>
  <c r="BV52" i="1" s="1"/>
  <c r="BV53" i="1" s="1"/>
  <c r="BV54" i="1" s="1"/>
  <c r="BV55" i="1" s="1"/>
  <c r="BV56" i="1" s="1"/>
  <c r="BV57" i="1" s="1"/>
  <c r="BV58" i="1" s="1"/>
  <c r="BT98" i="1"/>
  <c r="BS98" i="1"/>
  <c r="BP98" i="1"/>
  <c r="BR99" i="1" s="1"/>
  <c r="BS59" i="1"/>
  <c r="BP59" i="1"/>
  <c r="BT59" i="1"/>
  <c r="BI114" i="1"/>
  <c r="BX114" i="1" s="1"/>
  <c r="BX84" i="1"/>
  <c r="BH125" i="1" l="1"/>
  <c r="BG125" i="1"/>
  <c r="BI125" i="1" s="1"/>
  <c r="BX125" i="1" s="1"/>
  <c r="BD125" i="1"/>
  <c r="BI124" i="1"/>
  <c r="BX124" i="1" s="1"/>
  <c r="BG111" i="1"/>
  <c r="BH111" i="1"/>
  <c r="BD111" i="1"/>
  <c r="BI110" i="1"/>
  <c r="BX110" i="1" s="1"/>
  <c r="BJ81" i="1"/>
  <c r="BP68" i="1"/>
  <c r="BT68" i="1"/>
  <c r="BS68" i="1"/>
  <c r="BU67" i="1"/>
  <c r="BX67" i="1" s="1"/>
  <c r="BJ82" i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X58" i="1"/>
  <c r="BU59" i="1"/>
  <c r="BX59" i="1" s="1"/>
  <c r="BS99" i="1"/>
  <c r="BP99" i="1"/>
  <c r="BR100" i="1" s="1"/>
  <c r="BT99" i="1"/>
  <c r="BD116" i="1"/>
  <c r="BF117" i="1" s="1"/>
  <c r="BG116" i="1"/>
  <c r="BH116" i="1"/>
  <c r="BU98" i="1"/>
  <c r="BX98" i="1" s="1"/>
  <c r="BI111" i="1" l="1"/>
  <c r="BX111" i="1" s="1"/>
  <c r="BJ111" i="1"/>
  <c r="BJ112" i="1" s="1"/>
  <c r="BJ113" i="1" s="1"/>
  <c r="BJ114" i="1" s="1"/>
  <c r="BJ115" i="1" s="1"/>
  <c r="BU68" i="1"/>
  <c r="BX68" i="1" s="1"/>
  <c r="BD117" i="1"/>
  <c r="BH117" i="1"/>
  <c r="BG117" i="1"/>
  <c r="BI117" i="1" s="1"/>
  <c r="BX117" i="1" s="1"/>
  <c r="BS100" i="1"/>
  <c r="BT100" i="1"/>
  <c r="BP100" i="1"/>
  <c r="BR101" i="1" s="1"/>
  <c r="BU99" i="1"/>
  <c r="BX99" i="1" s="1"/>
  <c r="BY58" i="1"/>
  <c r="BY59" i="1" s="1"/>
  <c r="BY60" i="1" s="1"/>
  <c r="BY61" i="1" s="1"/>
  <c r="BY62" i="1" s="1"/>
  <c r="BY63" i="1" s="1"/>
  <c r="BY64" i="1" s="1"/>
  <c r="BY65" i="1" s="1"/>
  <c r="BY66" i="1" s="1"/>
  <c r="BY67" i="1" s="1"/>
  <c r="BY68" i="1" s="1"/>
  <c r="BY69" i="1" s="1"/>
  <c r="BY70" i="1" s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Y91" i="1" s="1"/>
  <c r="BY92" i="1" s="1"/>
  <c r="BY93" i="1" s="1"/>
  <c r="BY94" i="1" s="1"/>
  <c r="BY95" i="1" s="1"/>
  <c r="BY96" i="1" s="1"/>
  <c r="BY97" i="1" s="1"/>
  <c r="BY98" i="1" s="1"/>
  <c r="BY99" i="1" s="1"/>
  <c r="BV59" i="1"/>
  <c r="BV60" i="1" s="1"/>
  <c r="BV61" i="1" s="1"/>
  <c r="BV62" i="1" s="1"/>
  <c r="BV63" i="1" s="1"/>
  <c r="BV64" i="1" s="1"/>
  <c r="BV65" i="1" s="1"/>
  <c r="BV66" i="1" s="1"/>
  <c r="BV67" i="1" s="1"/>
  <c r="BI116" i="1"/>
  <c r="BV68" i="1" l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V92" i="1" s="1"/>
  <c r="BV93" i="1" s="1"/>
  <c r="BV94" i="1" s="1"/>
  <c r="BV95" i="1" s="1"/>
  <c r="BV96" i="1" s="1"/>
  <c r="BV97" i="1" s="1"/>
  <c r="BV98" i="1" s="1"/>
  <c r="BV99" i="1" s="1"/>
  <c r="BX116" i="1"/>
  <c r="BJ9" i="1"/>
  <c r="BJ10" i="1"/>
  <c r="BJ116" i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S101" i="1"/>
  <c r="BP101" i="1"/>
  <c r="BR102" i="1" s="1"/>
  <c r="BT101" i="1"/>
  <c r="BU100" i="1"/>
  <c r="BV100" i="1" l="1"/>
  <c r="BX100" i="1"/>
  <c r="BS102" i="1"/>
  <c r="BP102" i="1"/>
  <c r="BR103" i="1" s="1"/>
  <c r="BT102" i="1"/>
  <c r="BU101" i="1"/>
  <c r="BX101" i="1" s="1"/>
  <c r="BJ11" i="1"/>
  <c r="BV101" i="1" l="1"/>
  <c r="BT103" i="1"/>
  <c r="BP103" i="1"/>
  <c r="BS103" i="1"/>
  <c r="BU102" i="1"/>
  <c r="BX102" i="1" s="1"/>
  <c r="BY100" i="1"/>
  <c r="BY101" i="1" s="1"/>
  <c r="BV102" i="1" l="1"/>
  <c r="BY102" i="1"/>
  <c r="BU103" i="1"/>
  <c r="BV103" i="1" l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" i="1" s="1"/>
  <c r="BX103" i="1"/>
  <c r="BV9" i="1"/>
  <c r="BV10" i="1"/>
  <c r="BY10" i="1" l="1"/>
  <c r="BY9" i="1"/>
  <c r="BY103" i="1"/>
  <c r="BY104" i="1" s="1"/>
  <c r="BY105" i="1" s="1"/>
  <c r="BY106" i="1" s="1"/>
  <c r="BY107" i="1" s="1"/>
  <c r="BY108" i="1" s="1"/>
  <c r="BY109" i="1" s="1"/>
  <c r="BY110" i="1" s="1"/>
  <c r="BY111" i="1" s="1"/>
  <c r="BY112" i="1" s="1"/>
  <c r="BY113" i="1" s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Y125" i="1" s="1"/>
  <c r="BY126" i="1" s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Y162" i="1" s="1"/>
  <c r="BY163" i="1" s="1"/>
  <c r="BY164" i="1" s="1"/>
  <c r="BY165" i="1" s="1"/>
  <c r="BY166" i="1" s="1"/>
  <c r="BY167" i="1" s="1"/>
  <c r="BY1" i="1" s="1"/>
  <c r="BV11" i="1"/>
  <c r="BY11" i="1" l="1"/>
</calcChain>
</file>

<file path=xl/sharedStrings.xml><?xml version="1.0" encoding="utf-8"?>
<sst xmlns="http://schemas.openxmlformats.org/spreadsheetml/2006/main" count="53" uniqueCount="42">
  <si>
    <t>date</t>
  </si>
  <si>
    <t>IYJ</t>
  </si>
  <si>
    <t>XLI</t>
  </si>
  <si>
    <t>IYJ log rtn</t>
  </si>
  <si>
    <t>XLI log rtn</t>
  </si>
  <si>
    <t>IYJ div</t>
  </si>
  <si>
    <t>IYJ div cumsum</t>
  </si>
  <si>
    <t>XLI div</t>
  </si>
  <si>
    <t>XLI div cumsum</t>
  </si>
  <si>
    <t>IYJ div adjustment</t>
  </si>
  <si>
    <t>XLI div adjustment</t>
  </si>
  <si>
    <t>IYJ*</t>
  </si>
  <si>
    <t>XLI*</t>
  </si>
  <si>
    <t>XLI/IYJ</t>
  </si>
  <si>
    <t>XLI/IYJ avg</t>
  </si>
  <si>
    <t>XLI/IYJ 10 dma</t>
  </si>
  <si>
    <t>XLI/IYJ 20 dma</t>
  </si>
  <si>
    <t>IYJ x avg</t>
  </si>
  <si>
    <t>IYJ x 10 dma</t>
  </si>
  <si>
    <t>IYJ x 20 dma</t>
  </si>
  <si>
    <t>log diff IYJ x avg / XLI</t>
  </si>
  <si>
    <t>log diff IYJ x 10 dma / XLI</t>
  </si>
  <si>
    <t>log diff IYJ x 20 dma / XLI</t>
  </si>
  <si>
    <t>XLI*/IYJ*</t>
  </si>
  <si>
    <t>XLI*/IYJ* avg</t>
  </si>
  <si>
    <t>XLI*/IYJ* 10 dma</t>
  </si>
  <si>
    <t>XLI*/IYJ* 20 dma</t>
  </si>
  <si>
    <t>IYJ* x avg</t>
  </si>
  <si>
    <t>IYJ* x 10 dma</t>
  </si>
  <si>
    <t>IYJ* x 20 dma</t>
  </si>
  <si>
    <t>log diff IYJ* x avg / XLI*</t>
  </si>
  <si>
    <t>log diff IYJ* x 10 dma / XLI*</t>
  </si>
  <si>
    <t>log diff IYJ* x 20 dma / XLI*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</si>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</sst>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/>
    </xf>
    <xf numFmtId="0" fontId="18" fillId="0" borderId="0" xfId="0" applyFont="1" applyAlignment="1">
      <alignment horizontal="right"/>
    </xf>
    <xf numFmtId="10" fontId="18" fillId="0" borderId="0" xfId="0" applyNumberFormat="1" applyFont="1" applyAlignment="1">
      <alignment horizontal="right"/>
    </xf>
    <xf numFmtId="44" fontId="0" fillId="0" borderId="0" xfId="2" applyFont="1"/>
    <xf numFmtId="10" fontId="0" fillId="0" borderId="0" xfId="0" applyNumberFormat="1"/>
    <xf numFmtId="44" fontId="19" fillId="0" borderId="0" xfId="2" applyFont="1"/>
    <xf numFmtId="44" fontId="18" fillId="0" borderId="0" xfId="2" applyFont="1" applyAlignment="1">
      <alignment horizontal="right"/>
    </xf>
    <xf numFmtId="10" fontId="18" fillId="33" borderId="0" xfId="2" applyNumberFormat="1" applyFont="1" applyFill="1" applyAlignment="1">
      <alignment horizontal="right"/>
    </xf>
    <xf numFmtId="0" fontId="20" fillId="0" borderId="0" xfId="0" applyFont="1"/>
    <xf numFmtId="10" fontId="0" fillId="0" borderId="0" xfId="3" applyNumberFormat="1" applyFont="1"/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164" fontId="0" fillId="0" borderId="0" xfId="2" applyNumberFormat="1" applyFont="1"/>
    <xf numFmtId="165" fontId="0" fillId="0" borderId="0" xfId="1" applyNumberFormat="1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IYJ_XLI_1!$O$1</c:f>
              <c:strCache>
                <c:ptCount val="1"/>
                <c:pt idx="0">
                  <c:v> XLI/IYJ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IYJ_XLI_1!$O$2:$O$167</c:f>
              <c:numCache>
                <c:formatCode>_(* #,##0.0000_);_(* \(#,##0.0000\);_(* "-"??_);_(@_)</c:formatCode>
                <c:ptCount val="166"/>
                <c:pt idx="0">
                  <c:v>1.0958817339640901</c:v>
                </c:pt>
                <c:pt idx="1">
                  <c:v>1.0958817339640901</c:v>
                </c:pt>
                <c:pt idx="2">
                  <c:v>1.0958817339640901</c:v>
                </c:pt>
                <c:pt idx="3">
                  <c:v>1.0958817339640901</c:v>
                </c:pt>
                <c:pt idx="4">
                  <c:v>1.0958817339640901</c:v>
                </c:pt>
                <c:pt idx="5">
                  <c:v>1.0958817339640901</c:v>
                </c:pt>
                <c:pt idx="6">
                  <c:v>1.0958817339640901</c:v>
                </c:pt>
                <c:pt idx="7">
                  <c:v>1.0958817339640901</c:v>
                </c:pt>
                <c:pt idx="8">
                  <c:v>1.0958817339640901</c:v>
                </c:pt>
                <c:pt idx="9">
                  <c:v>1.0958817339640901</c:v>
                </c:pt>
                <c:pt idx="10">
                  <c:v>1.0958817339640901</c:v>
                </c:pt>
                <c:pt idx="11">
                  <c:v>1.0958817339640901</c:v>
                </c:pt>
                <c:pt idx="12">
                  <c:v>1.0958817339640901</c:v>
                </c:pt>
                <c:pt idx="13">
                  <c:v>1.0958817339640901</c:v>
                </c:pt>
                <c:pt idx="14">
                  <c:v>1.0958817339640901</c:v>
                </c:pt>
                <c:pt idx="15">
                  <c:v>1.0958817339640901</c:v>
                </c:pt>
                <c:pt idx="16">
                  <c:v>1.0958817339640901</c:v>
                </c:pt>
                <c:pt idx="17">
                  <c:v>1.0958817339640901</c:v>
                </c:pt>
                <c:pt idx="18">
                  <c:v>1.0958817339640901</c:v>
                </c:pt>
                <c:pt idx="19">
                  <c:v>1.0958817339640901</c:v>
                </c:pt>
                <c:pt idx="20">
                  <c:v>1.0958817339640901</c:v>
                </c:pt>
                <c:pt idx="21">
                  <c:v>1.0958817339640901</c:v>
                </c:pt>
                <c:pt idx="22">
                  <c:v>1.0958817339640901</c:v>
                </c:pt>
                <c:pt idx="23">
                  <c:v>1.0958817339640901</c:v>
                </c:pt>
                <c:pt idx="24">
                  <c:v>1.0958817339640901</c:v>
                </c:pt>
                <c:pt idx="25">
                  <c:v>1.0958817339640901</c:v>
                </c:pt>
                <c:pt idx="26">
                  <c:v>1.0958817339640901</c:v>
                </c:pt>
                <c:pt idx="27">
                  <c:v>1.0958817339640901</c:v>
                </c:pt>
                <c:pt idx="28">
                  <c:v>1.0958817339640901</c:v>
                </c:pt>
                <c:pt idx="29">
                  <c:v>1.0958817339640901</c:v>
                </c:pt>
                <c:pt idx="30">
                  <c:v>1.0958817339640901</c:v>
                </c:pt>
                <c:pt idx="31">
                  <c:v>1.0958817339640901</c:v>
                </c:pt>
                <c:pt idx="32">
                  <c:v>1.0958817339640901</c:v>
                </c:pt>
                <c:pt idx="33">
                  <c:v>1.0958817339640901</c:v>
                </c:pt>
                <c:pt idx="34">
                  <c:v>1.0958817339640901</c:v>
                </c:pt>
                <c:pt idx="35">
                  <c:v>1.0958817339640901</c:v>
                </c:pt>
                <c:pt idx="36">
                  <c:v>1.0958817339640901</c:v>
                </c:pt>
                <c:pt idx="37">
                  <c:v>1.0958817339640901</c:v>
                </c:pt>
                <c:pt idx="38">
                  <c:v>1.0958817339640901</c:v>
                </c:pt>
                <c:pt idx="39">
                  <c:v>1.0958817339640901</c:v>
                </c:pt>
                <c:pt idx="40">
                  <c:v>1.0958817339640901</c:v>
                </c:pt>
                <c:pt idx="41">
                  <c:v>1.0958817339640901</c:v>
                </c:pt>
                <c:pt idx="42">
                  <c:v>1.0958817339640901</c:v>
                </c:pt>
                <c:pt idx="43">
                  <c:v>1.0958817339640901</c:v>
                </c:pt>
                <c:pt idx="44">
                  <c:v>1.0958817339640901</c:v>
                </c:pt>
                <c:pt idx="45">
                  <c:v>1.0958817339640901</c:v>
                </c:pt>
                <c:pt idx="46">
                  <c:v>1.0958817339640901</c:v>
                </c:pt>
                <c:pt idx="47">
                  <c:v>1.0958817339640901</c:v>
                </c:pt>
                <c:pt idx="48">
                  <c:v>1.0958817339640901</c:v>
                </c:pt>
                <c:pt idx="49">
                  <c:v>1.0958817339640901</c:v>
                </c:pt>
                <c:pt idx="50">
                  <c:v>1.0958817339640901</c:v>
                </c:pt>
                <c:pt idx="51">
                  <c:v>1.0958817339640901</c:v>
                </c:pt>
                <c:pt idx="52">
                  <c:v>1.0958817339640901</c:v>
                </c:pt>
                <c:pt idx="53">
                  <c:v>1.0958817339640901</c:v>
                </c:pt>
                <c:pt idx="54">
                  <c:v>1.0958817339640901</c:v>
                </c:pt>
                <c:pt idx="55">
                  <c:v>1.0958817339640901</c:v>
                </c:pt>
                <c:pt idx="56">
                  <c:v>1.0958817339640901</c:v>
                </c:pt>
                <c:pt idx="57">
                  <c:v>1.0958817339640901</c:v>
                </c:pt>
                <c:pt idx="58">
                  <c:v>1.0958817339640901</c:v>
                </c:pt>
                <c:pt idx="59">
                  <c:v>1.0958817339640901</c:v>
                </c:pt>
                <c:pt idx="60">
                  <c:v>1.0958817339640901</c:v>
                </c:pt>
                <c:pt idx="61">
                  <c:v>1.0958817339640901</c:v>
                </c:pt>
                <c:pt idx="62">
                  <c:v>1.0958817339640901</c:v>
                </c:pt>
                <c:pt idx="63">
                  <c:v>1.0958817339640901</c:v>
                </c:pt>
                <c:pt idx="64">
                  <c:v>1.0958817339640901</c:v>
                </c:pt>
                <c:pt idx="65">
                  <c:v>1.0958817339640901</c:v>
                </c:pt>
                <c:pt idx="66">
                  <c:v>1.0958817339640901</c:v>
                </c:pt>
                <c:pt idx="67">
                  <c:v>1.0958817339640901</c:v>
                </c:pt>
                <c:pt idx="68">
                  <c:v>1.0958817339640901</c:v>
                </c:pt>
                <c:pt idx="69">
                  <c:v>1.0958817339640901</c:v>
                </c:pt>
                <c:pt idx="70">
                  <c:v>1.0958817339640901</c:v>
                </c:pt>
                <c:pt idx="71">
                  <c:v>1.0958817339640901</c:v>
                </c:pt>
                <c:pt idx="72">
                  <c:v>1.0958817339640901</c:v>
                </c:pt>
                <c:pt idx="73">
                  <c:v>1.0958817339640901</c:v>
                </c:pt>
                <c:pt idx="74">
                  <c:v>1.0958817339640901</c:v>
                </c:pt>
                <c:pt idx="75">
                  <c:v>1.0958817339640901</c:v>
                </c:pt>
                <c:pt idx="76">
                  <c:v>1.0958817339640901</c:v>
                </c:pt>
                <c:pt idx="77">
                  <c:v>1.0958817339640901</c:v>
                </c:pt>
                <c:pt idx="78">
                  <c:v>1.0958817339640901</c:v>
                </c:pt>
                <c:pt idx="79">
                  <c:v>1.0958817339640901</c:v>
                </c:pt>
                <c:pt idx="80">
                  <c:v>1.0958817339640901</c:v>
                </c:pt>
                <c:pt idx="81">
                  <c:v>1.0958817339640901</c:v>
                </c:pt>
                <c:pt idx="82">
                  <c:v>1.0958817339640901</c:v>
                </c:pt>
                <c:pt idx="83">
                  <c:v>1.0958817339640901</c:v>
                </c:pt>
                <c:pt idx="84">
                  <c:v>1.0958817339640901</c:v>
                </c:pt>
                <c:pt idx="85">
                  <c:v>1.0958817339640901</c:v>
                </c:pt>
                <c:pt idx="86">
                  <c:v>1.0958817339640901</c:v>
                </c:pt>
                <c:pt idx="87">
                  <c:v>1.0958817339640901</c:v>
                </c:pt>
                <c:pt idx="88">
                  <c:v>1.0958817339640901</c:v>
                </c:pt>
                <c:pt idx="89">
                  <c:v>1.0958817339640901</c:v>
                </c:pt>
                <c:pt idx="90">
                  <c:v>1.0958817339640901</c:v>
                </c:pt>
                <c:pt idx="91">
                  <c:v>1.0958817339640901</c:v>
                </c:pt>
                <c:pt idx="92">
                  <c:v>1.0958817339640901</c:v>
                </c:pt>
                <c:pt idx="93">
                  <c:v>1.0958817339640901</c:v>
                </c:pt>
                <c:pt idx="94">
                  <c:v>1.0958817339640901</c:v>
                </c:pt>
                <c:pt idx="95">
                  <c:v>1.0958817339640901</c:v>
                </c:pt>
                <c:pt idx="96">
                  <c:v>1.0958817339640901</c:v>
                </c:pt>
                <c:pt idx="97">
                  <c:v>1.0958817339640901</c:v>
                </c:pt>
                <c:pt idx="98">
                  <c:v>1.0958817339640901</c:v>
                </c:pt>
                <c:pt idx="99">
                  <c:v>1.0958817339640901</c:v>
                </c:pt>
                <c:pt idx="100">
                  <c:v>1.0958817339640901</c:v>
                </c:pt>
                <c:pt idx="101">
                  <c:v>1.0958817339640901</c:v>
                </c:pt>
                <c:pt idx="102">
                  <c:v>1.0958817339640901</c:v>
                </c:pt>
                <c:pt idx="103">
                  <c:v>1.0958817339640901</c:v>
                </c:pt>
                <c:pt idx="104">
                  <c:v>1.0958817339640901</c:v>
                </c:pt>
                <c:pt idx="105">
                  <c:v>1.0958817339640901</c:v>
                </c:pt>
                <c:pt idx="106">
                  <c:v>1.0958817339640901</c:v>
                </c:pt>
                <c:pt idx="107">
                  <c:v>1.0958817339640901</c:v>
                </c:pt>
                <c:pt idx="108">
                  <c:v>1.0958817339640901</c:v>
                </c:pt>
                <c:pt idx="109">
                  <c:v>1.0958817339640901</c:v>
                </c:pt>
                <c:pt idx="110">
                  <c:v>1.0958817339640901</c:v>
                </c:pt>
                <c:pt idx="111">
                  <c:v>1.0958817339640901</c:v>
                </c:pt>
                <c:pt idx="112">
                  <c:v>1.0958817339640901</c:v>
                </c:pt>
                <c:pt idx="113">
                  <c:v>1.0958817339640901</c:v>
                </c:pt>
                <c:pt idx="114">
                  <c:v>1.0958817339640901</c:v>
                </c:pt>
                <c:pt idx="115">
                  <c:v>1.0958817339640901</c:v>
                </c:pt>
                <c:pt idx="116">
                  <c:v>1.0958817339640901</c:v>
                </c:pt>
                <c:pt idx="117">
                  <c:v>1.0958817339640901</c:v>
                </c:pt>
                <c:pt idx="118">
                  <c:v>1.0958817339640901</c:v>
                </c:pt>
                <c:pt idx="119">
                  <c:v>1.0958817339640901</c:v>
                </c:pt>
                <c:pt idx="120">
                  <c:v>1.0958817339640901</c:v>
                </c:pt>
                <c:pt idx="121">
                  <c:v>1.0958817339640901</c:v>
                </c:pt>
                <c:pt idx="122">
                  <c:v>1.0958817339640901</c:v>
                </c:pt>
                <c:pt idx="123">
                  <c:v>1.0958817339640901</c:v>
                </c:pt>
                <c:pt idx="124">
                  <c:v>1.0958817339640901</c:v>
                </c:pt>
                <c:pt idx="125">
                  <c:v>1.0958817339640901</c:v>
                </c:pt>
                <c:pt idx="126">
                  <c:v>1.0958817339640901</c:v>
                </c:pt>
                <c:pt idx="127">
                  <c:v>1.0958817339640901</c:v>
                </c:pt>
                <c:pt idx="128">
                  <c:v>1.0958817339640901</c:v>
                </c:pt>
                <c:pt idx="129">
                  <c:v>1.0958817339640901</c:v>
                </c:pt>
                <c:pt idx="130">
                  <c:v>1.0958817339640901</c:v>
                </c:pt>
                <c:pt idx="131">
                  <c:v>1.0958817339640901</c:v>
                </c:pt>
                <c:pt idx="132">
                  <c:v>1.0958817339640901</c:v>
                </c:pt>
                <c:pt idx="133">
                  <c:v>1.0958817339640901</c:v>
                </c:pt>
                <c:pt idx="134">
                  <c:v>1.0958817339640901</c:v>
                </c:pt>
                <c:pt idx="135">
                  <c:v>1.0958817339640901</c:v>
                </c:pt>
                <c:pt idx="136">
                  <c:v>1.0958817339640901</c:v>
                </c:pt>
                <c:pt idx="137">
                  <c:v>1.0958817339640901</c:v>
                </c:pt>
                <c:pt idx="138">
                  <c:v>1.0958817339640901</c:v>
                </c:pt>
                <c:pt idx="139">
                  <c:v>1.0958817339640901</c:v>
                </c:pt>
                <c:pt idx="140">
                  <c:v>1.0958817339640901</c:v>
                </c:pt>
                <c:pt idx="141">
                  <c:v>1.0958817339640901</c:v>
                </c:pt>
                <c:pt idx="142">
                  <c:v>1.0958817339640901</c:v>
                </c:pt>
                <c:pt idx="143">
                  <c:v>1.0958817339640901</c:v>
                </c:pt>
                <c:pt idx="144">
                  <c:v>1.0958817339640901</c:v>
                </c:pt>
                <c:pt idx="145">
                  <c:v>1.0958817339640901</c:v>
                </c:pt>
                <c:pt idx="146">
                  <c:v>1.0958817339640901</c:v>
                </c:pt>
                <c:pt idx="147">
                  <c:v>1.0958817339640901</c:v>
                </c:pt>
                <c:pt idx="148">
                  <c:v>1.0958817339640901</c:v>
                </c:pt>
                <c:pt idx="149">
                  <c:v>1.0958817339640901</c:v>
                </c:pt>
                <c:pt idx="150">
                  <c:v>1.0958817339640901</c:v>
                </c:pt>
                <c:pt idx="151">
                  <c:v>1.0958817339640901</c:v>
                </c:pt>
                <c:pt idx="152">
                  <c:v>1.0958817339640901</c:v>
                </c:pt>
                <c:pt idx="153">
                  <c:v>1.0958817339640901</c:v>
                </c:pt>
                <c:pt idx="154">
                  <c:v>1.0958817339640901</c:v>
                </c:pt>
                <c:pt idx="155">
                  <c:v>1.0958817339640901</c:v>
                </c:pt>
                <c:pt idx="156">
                  <c:v>1.0958817339640901</c:v>
                </c:pt>
                <c:pt idx="157">
                  <c:v>1.0958817339640901</c:v>
                </c:pt>
                <c:pt idx="158">
                  <c:v>1.0958817339640901</c:v>
                </c:pt>
                <c:pt idx="159">
                  <c:v>1.0958817339640901</c:v>
                </c:pt>
                <c:pt idx="160">
                  <c:v>1.0958817339640901</c:v>
                </c:pt>
                <c:pt idx="161">
                  <c:v>1.0958817339640901</c:v>
                </c:pt>
                <c:pt idx="162">
                  <c:v>1.0958817339640901</c:v>
                </c:pt>
                <c:pt idx="163">
                  <c:v>1.0958817339640901</c:v>
                </c:pt>
                <c:pt idx="164">
                  <c:v>1.0958817339640901</c:v>
                </c:pt>
                <c:pt idx="165">
                  <c:v>1.0958817339640901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E6-4346-9339-15A8586F5572}"/>
            </c:ext>
          </c:extLst>
        </c:ser>
        <c:ser>
          <c:idx val="1"/>
          <c:order val="1"/>
          <c:tx>
            <c:strRef>
              <c:f>IYJ_XLI_1!$P$1</c:f>
              <c:strCache>
                <c:ptCount val="1"/>
                <c:pt idx="0">
                  <c:v> XLI/IYJ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IYJ_XLI_1!$P$2:$P$167</c:f>
              <c:numCache>
                <c:formatCode>_(* #,##0.0000_);_(* \(#,##0.0000\);_(* "-"??_);_(@_)</c:formatCode>
                <c:ptCount val="166"/>
                <c:pt idx="9">
                  <c:v>1.0531474617957599</c:v>
                </c:pt>
                <c:pt idx="10">
                  <c:v>1.0546318428323</c:v>
                </c:pt>
                <c:pt idx="11">
                  <c:v>1.0566533738305499</c:v>
                </c:pt>
                <c:pt idx="12">
                  <c:v>1.0590226457324701</c:v>
                </c:pt>
                <c:pt idx="13">
                  <c:v>1.06097783103834</c:v>
                </c:pt>
                <c:pt idx="14">
                  <c:v>1.06309249859211</c:v>
                </c:pt>
                <c:pt idx="15">
                  <c:v>1.0650284060525099</c:v>
                </c:pt>
                <c:pt idx="16">
                  <c:v>1.0666511340743201</c:v>
                </c:pt>
                <c:pt idx="17">
                  <c:v>1.06726238020422</c:v>
                </c:pt>
                <c:pt idx="18">
                  <c:v>1.0681381566003101</c:v>
                </c:pt>
                <c:pt idx="19">
                  <c:v>1.06912848287698</c:v>
                </c:pt>
                <c:pt idx="20">
                  <c:v>1.06968227376231</c:v>
                </c:pt>
                <c:pt idx="21">
                  <c:v>1.0708453810240901</c:v>
                </c:pt>
                <c:pt idx="22">
                  <c:v>1.07142347522479</c:v>
                </c:pt>
                <c:pt idx="23">
                  <c:v>1.07274281784675</c:v>
                </c:pt>
                <c:pt idx="24">
                  <c:v>1.07416051587475</c:v>
                </c:pt>
                <c:pt idx="25">
                  <c:v>1.0759509395390501</c:v>
                </c:pt>
                <c:pt idx="26">
                  <c:v>1.0769661310716301</c:v>
                </c:pt>
                <c:pt idx="27">
                  <c:v>1.07851579152537</c:v>
                </c:pt>
                <c:pt idx="28">
                  <c:v>1.0801699106837499</c:v>
                </c:pt>
                <c:pt idx="29">
                  <c:v>1.0818278214132899</c:v>
                </c:pt>
                <c:pt idx="30">
                  <c:v>1.0838147549152499</c:v>
                </c:pt>
                <c:pt idx="31">
                  <c:v>1.0847264519072699</c:v>
                </c:pt>
                <c:pt idx="32">
                  <c:v>1.08650730971131</c:v>
                </c:pt>
                <c:pt idx="33">
                  <c:v>1.08817806331362</c:v>
                </c:pt>
                <c:pt idx="34">
                  <c:v>1.09041312164293</c:v>
                </c:pt>
                <c:pt idx="35">
                  <c:v>1.0923298044609899</c:v>
                </c:pt>
                <c:pt idx="36">
                  <c:v>1.09415202964307</c:v>
                </c:pt>
                <c:pt idx="37">
                  <c:v>1.0954561304445301</c:v>
                </c:pt>
                <c:pt idx="38">
                  <c:v>1.09677160004614</c:v>
                </c:pt>
                <c:pt idx="39">
                  <c:v>1.09801316665601</c:v>
                </c:pt>
                <c:pt idx="40">
                  <c:v>1.0989047269318699</c:v>
                </c:pt>
                <c:pt idx="41">
                  <c:v>1.1000732659439301</c:v>
                </c:pt>
                <c:pt idx="42">
                  <c:v>1.1003244553909</c:v>
                </c:pt>
                <c:pt idx="43">
                  <c:v>1.1009200473287299</c:v>
                </c:pt>
                <c:pt idx="44">
                  <c:v>1.1008803510218299</c:v>
                </c:pt>
                <c:pt idx="45">
                  <c:v>1.10077503766032</c:v>
                </c:pt>
                <c:pt idx="46">
                  <c:v>1.10148576310376</c:v>
                </c:pt>
                <c:pt idx="47">
                  <c:v>1.10226667626445</c:v>
                </c:pt>
                <c:pt idx="48">
                  <c:v>1.1027190035710199</c:v>
                </c:pt>
                <c:pt idx="49">
                  <c:v>1.1026823694333501</c:v>
                </c:pt>
                <c:pt idx="50">
                  <c:v>1.10319823410298</c:v>
                </c:pt>
                <c:pt idx="51">
                  <c:v>1.1043428354156399</c:v>
                </c:pt>
                <c:pt idx="52">
                  <c:v>1.1056630854865801</c:v>
                </c:pt>
                <c:pt idx="53">
                  <c:v>1.1062852577821101</c:v>
                </c:pt>
                <c:pt idx="54">
                  <c:v>1.10600709091465</c:v>
                </c:pt>
                <c:pt idx="55">
                  <c:v>1.1058808342991699</c:v>
                </c:pt>
                <c:pt idx="56">
                  <c:v>1.1053508005197099</c:v>
                </c:pt>
                <c:pt idx="57">
                  <c:v>1.104388594654</c:v>
                </c:pt>
                <c:pt idx="58">
                  <c:v>1.1039291668231299</c:v>
                </c:pt>
                <c:pt idx="59">
                  <c:v>1.10282629440116</c:v>
                </c:pt>
                <c:pt idx="60">
                  <c:v>1.10176867288611</c:v>
                </c:pt>
                <c:pt idx="61">
                  <c:v>1.10069916393403</c:v>
                </c:pt>
                <c:pt idx="62">
                  <c:v>1.0998096676389499</c:v>
                </c:pt>
                <c:pt idx="63">
                  <c:v>1.09906040286968</c:v>
                </c:pt>
                <c:pt idx="64">
                  <c:v>1.0990810728400999</c:v>
                </c:pt>
                <c:pt idx="65">
                  <c:v>1.0989448023322801</c:v>
                </c:pt>
                <c:pt idx="66">
                  <c:v>1.09925555371767</c:v>
                </c:pt>
                <c:pt idx="67">
                  <c:v>1.1001886344056</c:v>
                </c:pt>
                <c:pt idx="68">
                  <c:v>1.10005795690049</c:v>
                </c:pt>
                <c:pt idx="69">
                  <c:v>1.1006747245400701</c:v>
                </c:pt>
                <c:pt idx="70">
                  <c:v>1.10048613138865</c:v>
                </c:pt>
                <c:pt idx="71">
                  <c:v>1.0994432607748099</c:v>
                </c:pt>
                <c:pt idx="72">
                  <c:v>1.09855081959885</c:v>
                </c:pt>
                <c:pt idx="73">
                  <c:v>1.09797071034309</c:v>
                </c:pt>
                <c:pt idx="74">
                  <c:v>1.09728092886953</c:v>
                </c:pt>
                <c:pt idx="75">
                  <c:v>1.09654022424133</c:v>
                </c:pt>
                <c:pt idx="76">
                  <c:v>1.0965282575373101</c:v>
                </c:pt>
                <c:pt idx="77">
                  <c:v>1.09618869304971</c:v>
                </c:pt>
                <c:pt idx="78">
                  <c:v>1.0963991510878399</c:v>
                </c:pt>
                <c:pt idx="79">
                  <c:v>1.0965357120142301</c:v>
                </c:pt>
                <c:pt idx="80">
                  <c:v>1.0962950341893001</c:v>
                </c:pt>
                <c:pt idx="81">
                  <c:v>1.0971988520267799</c:v>
                </c:pt>
                <c:pt idx="82">
                  <c:v>1.0978699464866499</c:v>
                </c:pt>
                <c:pt idx="83">
                  <c:v>1.09824868415093</c:v>
                </c:pt>
                <c:pt idx="84">
                  <c:v>1.09912745395028</c:v>
                </c:pt>
                <c:pt idx="85">
                  <c:v>1.10083847008282</c:v>
                </c:pt>
                <c:pt idx="86">
                  <c:v>1.1007870821646799</c:v>
                </c:pt>
                <c:pt idx="87">
                  <c:v>1.1007046444347399</c:v>
                </c:pt>
                <c:pt idx="88">
                  <c:v>1.10117589600022</c:v>
                </c:pt>
                <c:pt idx="89">
                  <c:v>1.1018205171802899</c:v>
                </c:pt>
                <c:pt idx="90">
                  <c:v>1.1036139034469401</c:v>
                </c:pt>
                <c:pt idx="91">
                  <c:v>1.1045001661649601</c:v>
                </c:pt>
                <c:pt idx="92">
                  <c:v>1.1052673692528301</c:v>
                </c:pt>
                <c:pt idx="93">
                  <c:v>1.10561426470334</c:v>
                </c:pt>
                <c:pt idx="94">
                  <c:v>1.1055641555240301</c:v>
                </c:pt>
                <c:pt idx="95">
                  <c:v>1.1045327192318599</c:v>
                </c:pt>
                <c:pt idx="96">
                  <c:v>1.10421599290379</c:v>
                </c:pt>
                <c:pt idx="97">
                  <c:v>1.10409716273499</c:v>
                </c:pt>
                <c:pt idx="98">
                  <c:v>1.10369919232375</c:v>
                </c:pt>
                <c:pt idx="99">
                  <c:v>1.1031085347601399</c:v>
                </c:pt>
                <c:pt idx="100">
                  <c:v>1.10208493238988</c:v>
                </c:pt>
                <c:pt idx="101">
                  <c:v>1.1007891825112199</c:v>
                </c:pt>
                <c:pt idx="102">
                  <c:v>1.1000363774364099</c:v>
                </c:pt>
                <c:pt idx="103">
                  <c:v>1.1005782027693201</c:v>
                </c:pt>
                <c:pt idx="104">
                  <c:v>1.1016198915126101</c:v>
                </c:pt>
                <c:pt idx="105">
                  <c:v>1.10274931212835</c:v>
                </c:pt>
                <c:pt idx="106">
                  <c:v>1.1035385328987699</c:v>
                </c:pt>
                <c:pt idx="107">
                  <c:v>1.10438188971972</c:v>
                </c:pt>
                <c:pt idx="108">
                  <c:v>1.1048539608693699</c:v>
                </c:pt>
                <c:pt idx="109">
                  <c:v>1.1051077773044</c:v>
                </c:pt>
                <c:pt idx="110">
                  <c:v>1.10595487300607</c:v>
                </c:pt>
                <c:pt idx="111">
                  <c:v>1.1070031912420599</c:v>
                </c:pt>
                <c:pt idx="112">
                  <c:v>1.10804960042582</c:v>
                </c:pt>
                <c:pt idx="113">
                  <c:v>1.1081290644662001</c:v>
                </c:pt>
                <c:pt idx="114">
                  <c:v>1.1080329924807</c:v>
                </c:pt>
                <c:pt idx="115">
                  <c:v>1.1084828897957999</c:v>
                </c:pt>
                <c:pt idx="116">
                  <c:v>1.10939311219563</c:v>
                </c:pt>
                <c:pt idx="117">
                  <c:v>1.1097928648083699</c:v>
                </c:pt>
                <c:pt idx="118">
                  <c:v>1.11036344530243</c:v>
                </c:pt>
                <c:pt idx="119">
                  <c:v>1.11185529717162</c:v>
                </c:pt>
                <c:pt idx="120">
                  <c:v>1.1121133963185099</c:v>
                </c:pt>
                <c:pt idx="121">
                  <c:v>1.1126684756326399</c:v>
                </c:pt>
                <c:pt idx="122">
                  <c:v>1.1128362240845</c:v>
                </c:pt>
                <c:pt idx="123">
                  <c:v>1.1128033585064301</c:v>
                </c:pt>
                <c:pt idx="124">
                  <c:v>1.1121152997282699</c:v>
                </c:pt>
                <c:pt idx="125">
                  <c:v>1.11139000540322</c:v>
                </c:pt>
                <c:pt idx="126">
                  <c:v>1.1106146954409699</c:v>
                </c:pt>
                <c:pt idx="127">
                  <c:v>1.11092453444004</c:v>
                </c:pt>
                <c:pt idx="128">
                  <c:v>1.1108964910544099</c:v>
                </c:pt>
                <c:pt idx="129">
                  <c:v>1.1102218938305199</c:v>
                </c:pt>
                <c:pt idx="130">
                  <c:v>1.10986243858276</c:v>
                </c:pt>
                <c:pt idx="131">
                  <c:v>1.1091019494652801</c:v>
                </c:pt>
                <c:pt idx="132">
                  <c:v>1.10824992490601</c:v>
                </c:pt>
                <c:pt idx="133">
                  <c:v>1.1075671159532401</c:v>
                </c:pt>
                <c:pt idx="134">
                  <c:v>1.1073128217316299</c:v>
                </c:pt>
                <c:pt idx="135">
                  <c:v>1.1067396595675201</c:v>
                </c:pt>
                <c:pt idx="136">
                  <c:v>1.10602568780906</c:v>
                </c:pt>
                <c:pt idx="137">
                  <c:v>1.10484328584244</c:v>
                </c:pt>
                <c:pt idx="138">
                  <c:v>1.10477276734535</c:v>
                </c:pt>
                <c:pt idx="139">
                  <c:v>1.1046685860084999</c:v>
                </c:pt>
                <c:pt idx="140">
                  <c:v>1.10457926276799</c:v>
                </c:pt>
                <c:pt idx="141">
                  <c:v>1.10414346446741</c:v>
                </c:pt>
                <c:pt idx="142">
                  <c:v>1.1031724462731201</c:v>
                </c:pt>
                <c:pt idx="143">
                  <c:v>1.10247157481753</c:v>
                </c:pt>
                <c:pt idx="144">
                  <c:v>1.10200799695562</c:v>
                </c:pt>
                <c:pt idx="145">
                  <c:v>1.1016599384117101</c:v>
                </c:pt>
                <c:pt idx="146">
                  <c:v>1.10116785294884</c:v>
                </c:pt>
                <c:pt idx="147">
                  <c:v>1.1005338201638299</c:v>
                </c:pt>
                <c:pt idx="148">
                  <c:v>1.09903426561319</c:v>
                </c:pt>
                <c:pt idx="149">
                  <c:v>1.0979721839344301</c:v>
                </c:pt>
                <c:pt idx="150">
                  <c:v>1.09750729414191</c:v>
                </c:pt>
                <c:pt idx="151">
                  <c:v>1.0977075603943001</c:v>
                </c:pt>
                <c:pt idx="152">
                  <c:v>1.0985325993474899</c:v>
                </c:pt>
                <c:pt idx="153">
                  <c:v>1.0991216852891601</c:v>
                </c:pt>
                <c:pt idx="154">
                  <c:v>1.0993477384974899</c:v>
                </c:pt>
                <c:pt idx="155">
                  <c:v>1.09983994447077</c:v>
                </c:pt>
                <c:pt idx="156">
                  <c:v>1.1001037121113499</c:v>
                </c:pt>
                <c:pt idx="157">
                  <c:v>1.0999851972847401</c:v>
                </c:pt>
                <c:pt idx="158">
                  <c:v>1.0999580609328701</c:v>
                </c:pt>
                <c:pt idx="159">
                  <c:v>1.0992893008561999</c:v>
                </c:pt>
                <c:pt idx="160">
                  <c:v>1.0979739684749199</c:v>
                </c:pt>
                <c:pt idx="161">
                  <c:v>1.0963619646955101</c:v>
                </c:pt>
                <c:pt idx="162">
                  <c:v>1.0952566874216201</c:v>
                </c:pt>
                <c:pt idx="163">
                  <c:v>1.0941988619558001</c:v>
                </c:pt>
                <c:pt idx="164">
                  <c:v>1.09302902131004</c:v>
                </c:pt>
                <c:pt idx="165">
                  <c:v>1.0913239991597601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E6-4346-9339-15A8586F5572}"/>
            </c:ext>
          </c:extLst>
        </c:ser>
        <c:ser>
          <c:idx val="2"/>
          <c:order val="2"/>
          <c:tx>
            <c:strRef>
              <c:f>IYJ_XLI_1!$Q$1</c:f>
              <c:strCache>
                <c:ptCount val="1"/>
                <c:pt idx="0">
                  <c:v> XLI/IYJ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IYJ_XLI_1!$Q$2:$Q$167</c:f>
              <c:numCache>
                <c:formatCode>_(* #,##0.0000_);_(* \(#,##0.0000\);_(* "-"??_);_(@_)</c:formatCode>
                <c:ptCount val="166"/>
                <c:pt idx="19">
                  <c:v>1.0611379723363701</c:v>
                </c:pt>
                <c:pt idx="20">
                  <c:v>1.0621570582972999</c:v>
                </c:pt>
                <c:pt idx="21">
                  <c:v>1.0637493774273199</c:v>
                </c:pt>
                <c:pt idx="22">
                  <c:v>1.0652230604786299</c:v>
                </c:pt>
                <c:pt idx="23">
                  <c:v>1.0668603244425501</c:v>
                </c:pt>
                <c:pt idx="24">
                  <c:v>1.06862650723343</c:v>
                </c:pt>
                <c:pt idx="25">
                  <c:v>1.07048967279578</c:v>
                </c:pt>
                <c:pt idx="26">
                  <c:v>1.0718086325729701</c:v>
                </c:pt>
                <c:pt idx="27">
                  <c:v>1.0728890858647999</c:v>
                </c:pt>
                <c:pt idx="28">
                  <c:v>1.0741540336420301</c:v>
                </c:pt>
                <c:pt idx="29">
                  <c:v>1.07547815214513</c:v>
                </c:pt>
                <c:pt idx="30">
                  <c:v>1.07674851433878</c:v>
                </c:pt>
                <c:pt idx="31">
                  <c:v>1.07778591646568</c:v>
                </c:pt>
                <c:pt idx="32">
                  <c:v>1.07896539246805</c:v>
                </c:pt>
                <c:pt idx="33">
                  <c:v>1.0804604405801901</c:v>
                </c:pt>
                <c:pt idx="34">
                  <c:v>1.0822868187588399</c:v>
                </c:pt>
                <c:pt idx="35">
                  <c:v>1.08414037200002</c:v>
                </c:pt>
                <c:pt idx="36">
                  <c:v>1.08555908035735</c:v>
                </c:pt>
                <c:pt idx="37">
                  <c:v>1.0869859609849499</c:v>
                </c:pt>
                <c:pt idx="38">
                  <c:v>1.08847075536495</c:v>
                </c:pt>
                <c:pt idx="39">
                  <c:v>1.0899204940346501</c:v>
                </c:pt>
                <c:pt idx="40">
                  <c:v>1.09135974092356</c:v>
                </c:pt>
                <c:pt idx="41">
                  <c:v>1.0923998589256001</c:v>
                </c:pt>
                <c:pt idx="42">
                  <c:v>1.09341588255111</c:v>
                </c:pt>
                <c:pt idx="43">
                  <c:v>1.0945490553211801</c:v>
                </c:pt>
                <c:pt idx="44">
                  <c:v>1.0956467363323801</c:v>
                </c:pt>
                <c:pt idx="45">
                  <c:v>1.0965524210606601</c:v>
                </c:pt>
                <c:pt idx="46">
                  <c:v>1.0978188963734199</c:v>
                </c:pt>
                <c:pt idx="47">
                  <c:v>1.0988614033544899</c:v>
                </c:pt>
                <c:pt idx="48">
                  <c:v>1.0997453018085801</c:v>
                </c:pt>
                <c:pt idx="49">
                  <c:v>1.10034776804468</c:v>
                </c:pt>
                <c:pt idx="50">
                  <c:v>1.1010514805174301</c:v>
                </c:pt>
                <c:pt idx="51">
                  <c:v>1.10220805067979</c:v>
                </c:pt>
                <c:pt idx="52">
                  <c:v>1.10299377043874</c:v>
                </c:pt>
                <c:pt idx="53">
                  <c:v>1.1036026525554199</c:v>
                </c:pt>
                <c:pt idx="54">
                  <c:v>1.1034437209682399</c:v>
                </c:pt>
                <c:pt idx="55">
                  <c:v>1.1033279359797401</c:v>
                </c:pt>
                <c:pt idx="56">
                  <c:v>1.10341828181174</c:v>
                </c:pt>
                <c:pt idx="57">
                  <c:v>1.1033276354592301</c:v>
                </c:pt>
                <c:pt idx="58">
                  <c:v>1.10332408519707</c:v>
                </c:pt>
                <c:pt idx="59">
                  <c:v>1.1027543319172599</c:v>
                </c:pt>
                <c:pt idx="60">
                  <c:v>1.10248345349455</c:v>
                </c:pt>
                <c:pt idx="61">
                  <c:v>1.10252099967484</c:v>
                </c:pt>
                <c:pt idx="62">
                  <c:v>1.10273637656277</c:v>
                </c:pt>
                <c:pt idx="63">
                  <c:v>1.1026728303258899</c:v>
                </c:pt>
                <c:pt idx="64">
                  <c:v>1.10254408187737</c:v>
                </c:pt>
                <c:pt idx="65">
                  <c:v>1.10241281831572</c:v>
                </c:pt>
                <c:pt idx="66">
                  <c:v>1.10230317711869</c:v>
                </c:pt>
                <c:pt idx="67">
                  <c:v>1.1022886145298001</c:v>
                </c:pt>
                <c:pt idx="68">
                  <c:v>1.10199356186181</c:v>
                </c:pt>
                <c:pt idx="69">
                  <c:v>1.1017505094706199</c:v>
                </c:pt>
                <c:pt idx="70">
                  <c:v>1.10112740213738</c:v>
                </c:pt>
                <c:pt idx="71">
                  <c:v>1.1000712123544201</c:v>
                </c:pt>
                <c:pt idx="72">
                  <c:v>1.0991802436189</c:v>
                </c:pt>
                <c:pt idx="73">
                  <c:v>1.09851555660639</c:v>
                </c:pt>
                <c:pt idx="74">
                  <c:v>1.0981810008548101</c:v>
                </c:pt>
                <c:pt idx="75">
                  <c:v>1.0977425132868099</c:v>
                </c:pt>
                <c:pt idx="76">
                  <c:v>1.0978919056274901</c:v>
                </c:pt>
                <c:pt idx="77">
                  <c:v>1.0981886637276601</c:v>
                </c:pt>
                <c:pt idx="78">
                  <c:v>1.0982285539941701</c:v>
                </c:pt>
                <c:pt idx="79">
                  <c:v>1.09860521827715</c:v>
                </c:pt>
                <c:pt idx="80">
                  <c:v>1.0983905827889799</c:v>
                </c:pt>
                <c:pt idx="81">
                  <c:v>1.0983210564007999</c:v>
                </c:pt>
                <c:pt idx="82">
                  <c:v>1.0982103830427501</c:v>
                </c:pt>
                <c:pt idx="83">
                  <c:v>1.0981096972470099</c:v>
                </c:pt>
                <c:pt idx="84">
                  <c:v>1.0982041914099001</c:v>
                </c:pt>
                <c:pt idx="85">
                  <c:v>1.09868934716208</c:v>
                </c:pt>
                <c:pt idx="86">
                  <c:v>1.098657669851</c:v>
                </c:pt>
                <c:pt idx="87">
                  <c:v>1.0984466687422301</c:v>
                </c:pt>
                <c:pt idx="88">
                  <c:v>1.0987875235440301</c:v>
                </c:pt>
                <c:pt idx="89">
                  <c:v>1.0991781145972599</c:v>
                </c:pt>
                <c:pt idx="90">
                  <c:v>1.09995446881812</c:v>
                </c:pt>
                <c:pt idx="91">
                  <c:v>1.1008495090958701</c:v>
                </c:pt>
                <c:pt idx="92">
                  <c:v>1.1015686578697399</c:v>
                </c:pt>
                <c:pt idx="93">
                  <c:v>1.10193147442714</c:v>
                </c:pt>
                <c:pt idx="94">
                  <c:v>1.1023458047371499</c:v>
                </c:pt>
                <c:pt idx="95">
                  <c:v>1.10268559465734</c:v>
                </c:pt>
                <c:pt idx="96">
                  <c:v>1.10250153753424</c:v>
                </c:pt>
                <c:pt idx="97">
                  <c:v>1.1024009035848601</c:v>
                </c:pt>
                <c:pt idx="98">
                  <c:v>1.10243754416199</c:v>
                </c:pt>
                <c:pt idx="99">
                  <c:v>1.1024645259702099</c:v>
                </c:pt>
                <c:pt idx="100">
                  <c:v>1.1028494179184101</c:v>
                </c:pt>
                <c:pt idx="101">
                  <c:v>1.10264467433809</c:v>
                </c:pt>
                <c:pt idx="102">
                  <c:v>1.10265187334462</c:v>
                </c:pt>
                <c:pt idx="103">
                  <c:v>1.1030962337363299</c:v>
                </c:pt>
                <c:pt idx="104">
                  <c:v>1.1035920235183201</c:v>
                </c:pt>
                <c:pt idx="105">
                  <c:v>1.1036410156801</c:v>
                </c:pt>
                <c:pt idx="106">
                  <c:v>1.1038772629012801</c:v>
                </c:pt>
                <c:pt idx="107">
                  <c:v>1.1042395262273501</c:v>
                </c:pt>
                <c:pt idx="108">
                  <c:v>1.1042765765965601</c:v>
                </c:pt>
                <c:pt idx="109">
                  <c:v>1.1041081560322701</c:v>
                </c:pt>
                <c:pt idx="110">
                  <c:v>1.10401990269798</c:v>
                </c:pt>
                <c:pt idx="111">
                  <c:v>1.1038961868766399</c:v>
                </c:pt>
                <c:pt idx="112">
                  <c:v>1.1040429889311201</c:v>
                </c:pt>
                <c:pt idx="113">
                  <c:v>1.10435363361776</c:v>
                </c:pt>
                <c:pt idx="114">
                  <c:v>1.10482644199666</c:v>
                </c:pt>
                <c:pt idx="115">
                  <c:v>1.10561610096207</c:v>
                </c:pt>
                <c:pt idx="116">
                  <c:v>1.1064658225471999</c:v>
                </c:pt>
                <c:pt idx="117">
                  <c:v>1.1070873772640499</c:v>
                </c:pt>
                <c:pt idx="118">
                  <c:v>1.1076087030859001</c:v>
                </c:pt>
                <c:pt idx="119">
                  <c:v>1.1084815372380099</c:v>
                </c:pt>
                <c:pt idx="120">
                  <c:v>1.1090341346622901</c:v>
                </c:pt>
                <c:pt idx="121">
                  <c:v>1.1098358334373499</c:v>
                </c:pt>
                <c:pt idx="122">
                  <c:v>1.11044291225516</c:v>
                </c:pt>
                <c:pt idx="123">
                  <c:v>1.11046621148631</c:v>
                </c:pt>
                <c:pt idx="124">
                  <c:v>1.1100741461044801</c:v>
                </c:pt>
                <c:pt idx="125">
                  <c:v>1.1099364475995099</c:v>
                </c:pt>
                <c:pt idx="126">
                  <c:v>1.1100039038183001</c:v>
                </c:pt>
                <c:pt idx="127">
                  <c:v>1.1103586996242101</c:v>
                </c:pt>
                <c:pt idx="128">
                  <c:v>1.11062996817842</c:v>
                </c:pt>
                <c:pt idx="129">
                  <c:v>1.11103859550107</c:v>
                </c:pt>
                <c:pt idx="130">
                  <c:v>1.1109879174506301</c:v>
                </c:pt>
                <c:pt idx="131">
                  <c:v>1.1108852125489601</c:v>
                </c:pt>
                <c:pt idx="132">
                  <c:v>1.11054307449525</c:v>
                </c:pt>
                <c:pt idx="133">
                  <c:v>1.11018523722983</c:v>
                </c:pt>
                <c:pt idx="134">
                  <c:v>1.10971406072995</c:v>
                </c:pt>
                <c:pt idx="135">
                  <c:v>1.10906483248537</c:v>
                </c:pt>
                <c:pt idx="136">
                  <c:v>1.1083201916250101</c:v>
                </c:pt>
                <c:pt idx="137">
                  <c:v>1.1078839101412401</c:v>
                </c:pt>
                <c:pt idx="138">
                  <c:v>1.10783462919988</c:v>
                </c:pt>
                <c:pt idx="139">
                  <c:v>1.10744523991951</c:v>
                </c:pt>
                <c:pt idx="140">
                  <c:v>1.10722085067538</c:v>
                </c:pt>
                <c:pt idx="141">
                  <c:v>1.1066227069663399</c:v>
                </c:pt>
                <c:pt idx="142">
                  <c:v>1.1057111855895601</c:v>
                </c:pt>
                <c:pt idx="143">
                  <c:v>1.10501934538538</c:v>
                </c:pt>
                <c:pt idx="144">
                  <c:v>1.1046604093436301</c:v>
                </c:pt>
                <c:pt idx="145">
                  <c:v>1.10419979898961</c:v>
                </c:pt>
                <c:pt idx="146">
                  <c:v>1.10359677037895</c:v>
                </c:pt>
                <c:pt idx="147">
                  <c:v>1.1026885530031301</c:v>
                </c:pt>
                <c:pt idx="148">
                  <c:v>1.1019035164792701</c:v>
                </c:pt>
                <c:pt idx="149">
                  <c:v>1.1013203849714599</c:v>
                </c:pt>
                <c:pt idx="150">
                  <c:v>1.10104327845495</c:v>
                </c:pt>
                <c:pt idx="151">
                  <c:v>1.1009255124308599</c:v>
                </c:pt>
                <c:pt idx="152">
                  <c:v>1.1008525228103001</c:v>
                </c:pt>
                <c:pt idx="153">
                  <c:v>1.10079663005335</c:v>
                </c:pt>
                <c:pt idx="154">
                  <c:v>1.1006778677265601</c:v>
                </c:pt>
                <c:pt idx="155">
                  <c:v>1.1007499414412401</c:v>
                </c:pt>
                <c:pt idx="156">
                  <c:v>1.1006357825300901</c:v>
                </c:pt>
                <c:pt idx="157">
                  <c:v>1.1002595087242899</c:v>
                </c:pt>
                <c:pt idx="158">
                  <c:v>1.09949616327303</c:v>
                </c:pt>
                <c:pt idx="159">
                  <c:v>1.0986307423953099</c:v>
                </c:pt>
                <c:pt idx="160">
                  <c:v>1.0977406313084099</c:v>
                </c:pt>
                <c:pt idx="161">
                  <c:v>1.0970347625449099</c:v>
                </c:pt>
                <c:pt idx="162">
                  <c:v>1.0968946433845499</c:v>
                </c:pt>
                <c:pt idx="163">
                  <c:v>1.09666027362248</c:v>
                </c:pt>
                <c:pt idx="164">
                  <c:v>1.0961883799037699</c:v>
                </c:pt>
                <c:pt idx="165">
                  <c:v>1.09558197181527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CE6-4346-9339-15A8586F5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IYJ_XLI_1!$AE$1</c:f>
              <c:strCache>
                <c:ptCount val="1"/>
                <c:pt idx="0">
                  <c:v>log diff IYJ* x avg / XLI*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IYJ_XLI_1!$AE$2:$AE$167</c:f>
              <c:numCache>
                <c:formatCode>0.00%</c:formatCode>
                <c:ptCount val="166"/>
                <c:pt idx="1">
                  <c:v>4.3944150884144002E-2</c:v>
                </c:pt>
                <c:pt idx="2">
                  <c:v>4.5242525292919201E-2</c:v>
                </c:pt>
                <c:pt idx="3">
                  <c:v>4.7297246208710703E-2</c:v>
                </c:pt>
                <c:pt idx="4">
                  <c:v>4.6852501417487098E-2</c:v>
                </c:pt>
                <c:pt idx="5">
                  <c:v>4.5474908161943203E-2</c:v>
                </c:pt>
                <c:pt idx="6">
                  <c:v>3.8428239134573598E-2</c:v>
                </c:pt>
                <c:pt idx="7">
                  <c:v>3.0056981403462E-2</c:v>
                </c:pt>
                <c:pt idx="8">
                  <c:v>3.1127635694214201E-2</c:v>
                </c:pt>
                <c:pt idx="9">
                  <c:v>2.8358592069216499E-2</c:v>
                </c:pt>
                <c:pt idx="10">
                  <c:v>2.6368664144822501E-2</c:v>
                </c:pt>
                <c:pt idx="11">
                  <c:v>2.4850652151232399E-2</c:v>
                </c:pt>
                <c:pt idx="12">
                  <c:v>2.2872323241348899E-2</c:v>
                </c:pt>
                <c:pt idx="13">
                  <c:v>2.8763162368311099E-2</c:v>
                </c:pt>
                <c:pt idx="14">
                  <c:v>2.6830475941772701E-2</c:v>
                </c:pt>
                <c:pt idx="15">
                  <c:v>2.7155011745737201E-2</c:v>
                </c:pt>
                <c:pt idx="16">
                  <c:v>2.31565320578167E-2</c:v>
                </c:pt>
                <c:pt idx="17">
                  <c:v>2.4325095293430101E-2</c:v>
                </c:pt>
                <c:pt idx="18">
                  <c:v>2.29165484212694E-2</c:v>
                </c:pt>
                <c:pt idx="19">
                  <c:v>1.9104022271940101E-2</c:v>
                </c:pt>
                <c:pt idx="20">
                  <c:v>2.11932350755853E-2</c:v>
                </c:pt>
                <c:pt idx="21">
                  <c:v>1.40280137207435E-2</c:v>
                </c:pt>
                <c:pt idx="22">
                  <c:v>1.7489184352367002E-2</c:v>
                </c:pt>
                <c:pt idx="23">
                  <c:v>1.64478508521212E-2</c:v>
                </c:pt>
                <c:pt idx="24">
                  <c:v>1.36284907552119E-2</c:v>
                </c:pt>
                <c:pt idx="25">
                  <c:v>1.05054895825769E-2</c:v>
                </c:pt>
                <c:pt idx="26">
                  <c:v>1.37196820948302E-2</c:v>
                </c:pt>
                <c:pt idx="27">
                  <c:v>9.93889038257708E-3</c:v>
                </c:pt>
                <c:pt idx="28">
                  <c:v>7.5894501839899502E-3</c:v>
                </c:pt>
                <c:pt idx="29">
                  <c:v>3.8000710968029701E-3</c:v>
                </c:pt>
                <c:pt idx="30">
                  <c:v>2.84182281333808E-3</c:v>
                </c:pt>
                <c:pt idx="31">
                  <c:v>5.62586938599219E-3</c:v>
                </c:pt>
                <c:pt idx="32">
                  <c:v>1.08589264029173E-3</c:v>
                </c:pt>
                <c:pt idx="33">
                  <c:v>1.06685334785687E-3</c:v>
                </c:pt>
                <c:pt idx="34">
                  <c:v>-6.83732555621767E-3</c:v>
                </c:pt>
                <c:pt idx="35">
                  <c:v>-7.0161803440773798E-3</c:v>
                </c:pt>
                <c:pt idx="36">
                  <c:v>-2.9988480452918399E-3</c:v>
                </c:pt>
                <c:pt idx="37">
                  <c:v>-2.0093393790030201E-3</c:v>
                </c:pt>
                <c:pt idx="38">
                  <c:v>-4.4342035472060204E-3</c:v>
                </c:pt>
                <c:pt idx="39">
                  <c:v>-7.5092200639397698E-3</c:v>
                </c:pt>
                <c:pt idx="40">
                  <c:v>-5.2844651640899503E-3</c:v>
                </c:pt>
                <c:pt idx="41">
                  <c:v>-5.0411047935301897E-3</c:v>
                </c:pt>
                <c:pt idx="42">
                  <c:v>-1.20628493062473E-3</c:v>
                </c:pt>
                <c:pt idx="43">
                  <c:v>-4.3594791263783196E-3</c:v>
                </c:pt>
                <c:pt idx="44">
                  <c:v>-6.4774669126684298E-3</c:v>
                </c:pt>
                <c:pt idx="45">
                  <c:v>-6.0613706681542697E-3</c:v>
                </c:pt>
                <c:pt idx="46">
                  <c:v>-9.4445788250440699E-3</c:v>
                </c:pt>
                <c:pt idx="47">
                  <c:v>-9.0963546590179193E-3</c:v>
                </c:pt>
                <c:pt idx="48">
                  <c:v>-8.53538795799909E-3</c:v>
                </c:pt>
                <c:pt idx="49">
                  <c:v>-7.1773485855648996E-3</c:v>
                </c:pt>
                <c:pt idx="50">
                  <c:v>-8.1294576203941801E-3</c:v>
                </c:pt>
                <c:pt idx="51">
                  <c:v>-1.3528841217339001E-2</c:v>
                </c:pt>
                <c:pt idx="52">
                  <c:v>-1.1308254650582401E-2</c:v>
                </c:pt>
                <c:pt idx="53">
                  <c:v>-8.1151373001427402E-3</c:v>
                </c:pt>
                <c:pt idx="54">
                  <c:v>-3.9521631502604801E-3</c:v>
                </c:pt>
                <c:pt idx="55">
                  <c:v>-4.9154788101781798E-3</c:v>
                </c:pt>
                <c:pt idx="56">
                  <c:v>-4.6415247162494896E-3</c:v>
                </c:pt>
                <c:pt idx="57">
                  <c:v>-3.5684658011459798E-4</c:v>
                </c:pt>
                <c:pt idx="58">
                  <c:v>-4.3696898718943999E-3</c:v>
                </c:pt>
                <c:pt idx="59">
                  <c:v>2.8655775730258601E-3</c:v>
                </c:pt>
                <c:pt idx="60">
                  <c:v>-3.5440055928668201E-4</c:v>
                </c:pt>
                <c:pt idx="61">
                  <c:v>-5.7227078402303502E-3</c:v>
                </c:pt>
                <c:pt idx="62">
                  <c:v>-5.1248506364000596E-3</c:v>
                </c:pt>
                <c:pt idx="63">
                  <c:v>-3.2040308202105801E-3</c:v>
                </c:pt>
                <c:pt idx="64">
                  <c:v>-4.1400324269690401E-3</c:v>
                </c:pt>
                <c:pt idx="65">
                  <c:v>-3.6772267162236399E-3</c:v>
                </c:pt>
                <c:pt idx="66">
                  <c:v>-7.46028511811642E-3</c:v>
                </c:pt>
                <c:pt idx="67">
                  <c:v>-8.8329348718039092E-3</c:v>
                </c:pt>
                <c:pt idx="68">
                  <c:v>-3.1816413869084799E-3</c:v>
                </c:pt>
                <c:pt idx="69">
                  <c:v>-2.76322916046317E-3</c:v>
                </c:pt>
                <c:pt idx="70">
                  <c:v>1.3675432364592701E-3</c:v>
                </c:pt>
                <c:pt idx="71">
                  <c:v>3.7851166968489299E-3</c:v>
                </c:pt>
                <c:pt idx="72">
                  <c:v>3.01080296972872E-3</c:v>
                </c:pt>
                <c:pt idx="73">
                  <c:v>2.0869944238311299E-3</c:v>
                </c:pt>
                <c:pt idx="74">
                  <c:v>2.14853132328154E-3</c:v>
                </c:pt>
                <c:pt idx="75">
                  <c:v>3.0802991629405299E-3</c:v>
                </c:pt>
                <c:pt idx="76">
                  <c:v>-7.3518846308782398E-3</c:v>
                </c:pt>
                <c:pt idx="77">
                  <c:v>-5.7566460119845599E-3</c:v>
                </c:pt>
                <c:pt idx="78">
                  <c:v>-5.0943175988380201E-3</c:v>
                </c:pt>
                <c:pt idx="79">
                  <c:v>-4.0052525543229503E-3</c:v>
                </c:pt>
                <c:pt idx="80">
                  <c:v>3.5693597871485701E-3</c:v>
                </c:pt>
                <c:pt idx="81">
                  <c:v>-4.4601782754911303E-3</c:v>
                </c:pt>
                <c:pt idx="82">
                  <c:v>-3.1131782642382002E-3</c:v>
                </c:pt>
                <c:pt idx="83">
                  <c:v>-1.37054357913144E-3</c:v>
                </c:pt>
                <c:pt idx="84">
                  <c:v>-5.8561118980504402E-3</c:v>
                </c:pt>
                <c:pt idx="85">
                  <c:v>-1.2460947684903001E-2</c:v>
                </c:pt>
                <c:pt idx="86">
                  <c:v>-6.8862531292923799E-3</c:v>
                </c:pt>
                <c:pt idx="87">
                  <c:v>-5.0083705094565402E-3</c:v>
                </c:pt>
                <c:pt idx="88">
                  <c:v>-9.3639060930868195E-3</c:v>
                </c:pt>
                <c:pt idx="89">
                  <c:v>-9.8473528021323104E-3</c:v>
                </c:pt>
                <c:pt idx="90">
                  <c:v>-1.2721900960104501E-2</c:v>
                </c:pt>
                <c:pt idx="91">
                  <c:v>-1.24798380756791E-2</c:v>
                </c:pt>
                <c:pt idx="92">
                  <c:v>-1.00685476282235E-2</c:v>
                </c:pt>
                <c:pt idx="93">
                  <c:v>-4.5269354002588904E-3</c:v>
                </c:pt>
                <c:pt idx="94">
                  <c:v>-5.4013900121430104E-3</c:v>
                </c:pt>
                <c:pt idx="95">
                  <c:v>-3.1213043034316401E-3</c:v>
                </c:pt>
                <c:pt idx="96">
                  <c:v>-4.0115652893323098E-3</c:v>
                </c:pt>
                <c:pt idx="97">
                  <c:v>-3.9287798405453203E-3</c:v>
                </c:pt>
                <c:pt idx="98">
                  <c:v>-5.7594506580732297E-3</c:v>
                </c:pt>
                <c:pt idx="99">
                  <c:v>-4.4956274250825198E-3</c:v>
                </c:pt>
                <c:pt idx="100">
                  <c:v>-3.4559529382183502E-3</c:v>
                </c:pt>
                <c:pt idx="101">
                  <c:v>-7.3295448009426303E-4</c:v>
                </c:pt>
                <c:pt idx="102">
                  <c:v>-3.2441553105728598E-3</c:v>
                </c:pt>
                <c:pt idx="103">
                  <c:v>-9.4371414408081101E-3</c:v>
                </c:pt>
                <c:pt idx="104">
                  <c:v>-1.48120521609959E-2</c:v>
                </c:pt>
                <c:pt idx="105">
                  <c:v>-1.3343674437761899E-2</c:v>
                </c:pt>
                <c:pt idx="106">
                  <c:v>-1.11594304082029E-2</c:v>
                </c:pt>
                <c:pt idx="107">
                  <c:v>-1.15657101492315E-2</c:v>
                </c:pt>
                <c:pt idx="108">
                  <c:v>-1.00336110555675E-2</c:v>
                </c:pt>
                <c:pt idx="109">
                  <c:v>-6.7988726593098204E-3</c:v>
                </c:pt>
                <c:pt idx="110">
                  <c:v>-1.1130224637947699E-2</c:v>
                </c:pt>
                <c:pt idx="111">
                  <c:v>-1.02473296160168E-2</c:v>
                </c:pt>
                <c:pt idx="112">
                  <c:v>-1.10897125311247E-2</c:v>
                </c:pt>
                <c:pt idx="113">
                  <c:v>-8.5420986114153104E-3</c:v>
                </c:pt>
                <c:pt idx="114">
                  <c:v>-1.2326304421648299E-2</c:v>
                </c:pt>
                <c:pt idx="115">
                  <c:v>-1.5771426703959202E-2</c:v>
                </c:pt>
                <c:pt idx="116">
                  <c:v>-1.9340243954611602E-2</c:v>
                </c:pt>
                <c:pt idx="117">
                  <c:v>-1.5165354601215601E-2</c:v>
                </c:pt>
                <c:pt idx="118">
                  <c:v>-1.5175414593092001E-2</c:v>
                </c:pt>
                <c:pt idx="119">
                  <c:v>-2.0230424962516699E-2</c:v>
                </c:pt>
                <c:pt idx="120">
                  <c:v>-1.3456818453305101E-2</c:v>
                </c:pt>
                <c:pt idx="121">
                  <c:v>-1.5248726266780499E-2</c:v>
                </c:pt>
                <c:pt idx="122">
                  <c:v>-1.42279392646387E-2</c:v>
                </c:pt>
                <c:pt idx="123">
                  <c:v>-9.8583088289248902E-3</c:v>
                </c:pt>
                <c:pt idx="124">
                  <c:v>-7.7364345869724398E-3</c:v>
                </c:pt>
                <c:pt idx="125">
                  <c:v>-1.0860676791703701E-2</c:v>
                </c:pt>
                <c:pt idx="126">
                  <c:v>-1.23762168678563E-2</c:v>
                </c:pt>
                <c:pt idx="127">
                  <c:v>-1.79464693396785E-2</c:v>
                </c:pt>
                <c:pt idx="128">
                  <c:v>-1.49233175840715E-2</c:v>
                </c:pt>
                <c:pt idx="129">
                  <c:v>-1.41791756826653E-2</c:v>
                </c:pt>
                <c:pt idx="130">
                  <c:v>-1.02150838510001E-2</c:v>
                </c:pt>
                <c:pt idx="131">
                  <c:v>-8.3901789961338593E-3</c:v>
                </c:pt>
                <c:pt idx="132">
                  <c:v>-6.5328084075462001E-3</c:v>
                </c:pt>
                <c:pt idx="133">
                  <c:v>-3.6691136588890799E-3</c:v>
                </c:pt>
                <c:pt idx="134">
                  <c:v>-5.4310136802708797E-3</c:v>
                </c:pt>
                <c:pt idx="135">
                  <c:v>-5.67315591554026E-3</c:v>
                </c:pt>
                <c:pt idx="136">
                  <c:v>-5.91996565707567E-3</c:v>
                </c:pt>
                <c:pt idx="137">
                  <c:v>-7.2914103158732597E-3</c:v>
                </c:pt>
                <c:pt idx="138">
                  <c:v>-1.4289108074355201E-2</c:v>
                </c:pt>
                <c:pt idx="139">
                  <c:v>-1.32413789418621E-2</c:v>
                </c:pt>
                <c:pt idx="140">
                  <c:v>-9.4078925182316704E-3</c:v>
                </c:pt>
                <c:pt idx="141">
                  <c:v>-4.4385821832849202E-3</c:v>
                </c:pt>
                <c:pt idx="142">
                  <c:v>2.3098337834144699E-3</c:v>
                </c:pt>
                <c:pt idx="143">
                  <c:v>2.7238978906729198E-3</c:v>
                </c:pt>
                <c:pt idx="144">
                  <c:v>-1.2145106584379301E-3</c:v>
                </c:pt>
                <c:pt idx="145">
                  <c:v>-2.5097981002831201E-3</c:v>
                </c:pt>
                <c:pt idx="146">
                  <c:v>-1.4457817833834401E-3</c:v>
                </c:pt>
                <c:pt idx="147">
                  <c:v>-1.5307999317762701E-3</c:v>
                </c:pt>
                <c:pt idx="148">
                  <c:v>-7.0673259586651797E-4</c:v>
                </c:pt>
                <c:pt idx="149">
                  <c:v>-3.6304429941391701E-3</c:v>
                </c:pt>
                <c:pt idx="150">
                  <c:v>-5.1962495557255602E-3</c:v>
                </c:pt>
                <c:pt idx="151">
                  <c:v>-6.25643377445303E-3</c:v>
                </c:pt>
                <c:pt idx="152">
                  <c:v>-5.2084223478943096E-3</c:v>
                </c:pt>
                <c:pt idx="153">
                  <c:v>-2.6521955973005601E-3</c:v>
                </c:pt>
                <c:pt idx="154">
                  <c:v>-3.27281360287251E-3</c:v>
                </c:pt>
                <c:pt idx="155">
                  <c:v>-6.9803266282647599E-3</c:v>
                </c:pt>
                <c:pt idx="156">
                  <c:v>-3.8465227738523899E-3</c:v>
                </c:pt>
                <c:pt idx="157">
                  <c:v>-4.5032280929727401E-4</c:v>
                </c:pt>
                <c:pt idx="158">
                  <c:v>-4.5923477404914898E-4</c:v>
                </c:pt>
                <c:pt idx="159">
                  <c:v>2.4690055167387401E-3</c:v>
                </c:pt>
                <c:pt idx="160">
                  <c:v>6.8169290286667497E-3</c:v>
                </c:pt>
                <c:pt idx="161">
                  <c:v>8.4706257942714896E-3</c:v>
                </c:pt>
                <c:pt idx="162">
                  <c:v>4.8764503385041198E-3</c:v>
                </c:pt>
                <c:pt idx="163">
                  <c:v>7.0224355570781697E-3</c:v>
                </c:pt>
                <c:pt idx="164">
                  <c:v>7.4251077737926196E-3</c:v>
                </c:pt>
                <c:pt idx="165">
                  <c:v>8.5918269041988394E-3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4D-402B-B8F8-53679C7A8E35}"/>
            </c:ext>
          </c:extLst>
        </c:ser>
        <c:ser>
          <c:idx val="1"/>
          <c:order val="1"/>
          <c:tx>
            <c:strRef>
              <c:f>IYJ_XLI_1!$AF$1</c:f>
              <c:strCache>
                <c:ptCount val="1"/>
                <c:pt idx="0">
                  <c:v>log diff IYJ* x 10 dma / XLI*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IYJ_XLI_1!$AF$2:$AF$167</c:f>
              <c:numCache>
                <c:formatCode>0.00%</c:formatCode>
                <c:ptCount val="166"/>
                <c:pt idx="10">
                  <c:v>-1.33226249321456E-2</c:v>
                </c:pt>
                <c:pt idx="11">
                  <c:v>-1.3432158079129199E-2</c:v>
                </c:pt>
                <c:pt idx="12">
                  <c:v>-1.34955097040246E-2</c:v>
                </c:pt>
                <c:pt idx="13">
                  <c:v>-5.3649392850844196E-3</c:v>
                </c:pt>
                <c:pt idx="14">
                  <c:v>-5.4531111639812401E-3</c:v>
                </c:pt>
                <c:pt idx="15">
                  <c:v>-3.1374282469155599E-3</c:v>
                </c:pt>
                <c:pt idx="16">
                  <c:v>-5.3165489029582298E-3</c:v>
                </c:pt>
                <c:pt idx="17">
                  <c:v>-2.62549759658784E-3</c:v>
                </c:pt>
                <c:pt idx="18">
                  <c:v>-3.4611570086667E-3</c:v>
                </c:pt>
                <c:pt idx="19">
                  <c:v>-6.4534375599485201E-3</c:v>
                </c:pt>
                <c:pt idx="20">
                  <c:v>-3.4375024379406901E-3</c:v>
                </c:pt>
                <c:pt idx="21">
                  <c:v>-1.00848744262741E-2</c:v>
                </c:pt>
                <c:pt idx="22">
                  <c:v>-5.5369555121349001E-3</c:v>
                </c:pt>
                <c:pt idx="23">
                  <c:v>-6.03858624533757E-3</c:v>
                </c:pt>
                <c:pt idx="24">
                  <c:v>-7.6273115796996601E-3</c:v>
                </c:pt>
                <c:pt idx="25">
                  <c:v>-9.4296214927008307E-3</c:v>
                </c:pt>
                <c:pt idx="26">
                  <c:v>-4.5500045452448604E-3</c:v>
                </c:pt>
                <c:pt idx="27">
                  <c:v>-7.3877115268492699E-3</c:v>
                </c:pt>
                <c:pt idx="28">
                  <c:v>-8.2992730733403002E-3</c:v>
                </c:pt>
                <c:pt idx="29">
                  <c:v>-1.05561275503683E-2</c:v>
                </c:pt>
                <c:pt idx="30">
                  <c:v>-9.9806914733912896E-3</c:v>
                </c:pt>
                <c:pt idx="31">
                  <c:v>-5.3616846157848999E-3</c:v>
                </c:pt>
                <c:pt idx="32">
                  <c:v>-9.0608223284437493E-3</c:v>
                </c:pt>
                <c:pt idx="33">
                  <c:v>-7.4394503165989999E-3</c:v>
                </c:pt>
                <c:pt idx="34">
                  <c:v>-1.3807081495888799E-2</c:v>
                </c:pt>
                <c:pt idx="35">
                  <c:v>-1.1934097344084699E-2</c:v>
                </c:pt>
                <c:pt idx="36">
                  <c:v>-6.1605497001220796E-3</c:v>
                </c:pt>
                <c:pt idx="37">
                  <c:v>-3.50423038346719E-3</c:v>
                </c:pt>
                <c:pt idx="38">
                  <c:v>-4.7379216473736304E-3</c:v>
                </c:pt>
                <c:pt idx="39">
                  <c:v>-6.6128167157708797E-3</c:v>
                </c:pt>
                <c:pt idx="40">
                  <c:v>-3.2566827748968801E-3</c:v>
                </c:pt>
                <c:pt idx="41">
                  <c:v>-2.2016759359748399E-3</c:v>
                </c:pt>
                <c:pt idx="42">
                  <c:v>2.6959459429919102E-3</c:v>
                </c:pt>
                <c:pt idx="43">
                  <c:v>-2.2893548400563699E-4</c:v>
                </c:pt>
                <c:pt idx="44">
                  <c:v>-1.80578215522881E-3</c:v>
                </c:pt>
                <c:pt idx="45">
                  <c:v>-1.4257439538853799E-3</c:v>
                </c:pt>
                <c:pt idx="46">
                  <c:v>-4.9046195454971204E-3</c:v>
                </c:pt>
                <c:pt idx="47">
                  <c:v>-3.9109446064567004E-3</c:v>
                </c:pt>
                <c:pt idx="48">
                  <c:v>-2.6412656386522E-3</c:v>
                </c:pt>
                <c:pt idx="49">
                  <c:v>-8.7294939499012604E-4</c:v>
                </c:pt>
                <c:pt idx="50">
                  <c:v>-1.8582806252099801E-3</c:v>
                </c:pt>
                <c:pt idx="51">
                  <c:v>-6.9730813707260201E-3</c:v>
                </c:pt>
                <c:pt idx="52">
                  <c:v>-3.9017609353668402E-3</c:v>
                </c:pt>
                <c:pt idx="53">
                  <c:v>2.99888662221398E-4</c:v>
                </c:pt>
                <c:pt idx="54">
                  <c:v>4.8375416623943797E-3</c:v>
                </c:pt>
                <c:pt idx="55">
                  <c:v>3.62256505194768E-3</c:v>
                </c:pt>
                <c:pt idx="56">
                  <c:v>3.7822723489754498E-3</c:v>
                </c:pt>
                <c:pt idx="57">
                  <c:v>7.5871922694224804E-3</c:v>
                </c:pt>
                <c:pt idx="58">
                  <c:v>2.7028230930514598E-3</c:v>
                </c:pt>
                <c:pt idx="59">
                  <c:v>9.5216919289107006E-3</c:v>
                </c:pt>
                <c:pt idx="60">
                  <c:v>5.3014262506552697E-3</c:v>
                </c:pt>
                <c:pt idx="61">
                  <c:v>-8.4359171693708596E-4</c:v>
                </c:pt>
                <c:pt idx="62">
                  <c:v>-1.0303717021809E-3</c:v>
                </c:pt>
                <c:pt idx="63">
                  <c:v>2.69359782807295E-4</c:v>
                </c:pt>
                <c:pt idx="64">
                  <c:v>-1.1589489672060799E-3</c:v>
                </c:pt>
                <c:pt idx="65">
                  <c:v>-6.7733648660485001E-4</c:v>
                </c:pt>
                <c:pt idx="66">
                  <c:v>-4.5843884315491098E-3</c:v>
                </c:pt>
                <c:pt idx="67">
                  <c:v>-5.6743056430448996E-3</c:v>
                </c:pt>
                <c:pt idx="68">
                  <c:v>8.2545742243828404E-4</c:v>
                </c:pt>
                <c:pt idx="69">
                  <c:v>1.12508523101258E-3</c:v>
                </c:pt>
                <c:pt idx="70">
                  <c:v>5.81636882579972E-3</c:v>
                </c:pt>
                <c:pt idx="71">
                  <c:v>8.0625843853077798E-3</c:v>
                </c:pt>
                <c:pt idx="72">
                  <c:v>6.34017596417765E-3</c:v>
                </c:pt>
                <c:pt idx="73">
                  <c:v>4.6043168008821599E-3</c:v>
                </c:pt>
                <c:pt idx="74">
                  <c:v>4.1376464769221199E-3</c:v>
                </c:pt>
                <c:pt idx="75">
                  <c:v>4.4409838588183297E-3</c:v>
                </c:pt>
                <c:pt idx="76">
                  <c:v>-6.6664643295408499E-3</c:v>
                </c:pt>
                <c:pt idx="77">
                  <c:v>-5.08213891661379E-3</c:v>
                </c:pt>
                <c:pt idx="78">
                  <c:v>-4.7295308166373697E-3</c:v>
                </c:pt>
                <c:pt idx="79">
                  <c:v>-3.4484934966755201E-3</c:v>
                </c:pt>
                <c:pt idx="80">
                  <c:v>4.2506651127790004E-3</c:v>
                </c:pt>
                <c:pt idx="81">
                  <c:v>-3.9983863129496502E-3</c:v>
                </c:pt>
                <c:pt idx="82">
                  <c:v>-1.8272965749752399E-3</c:v>
                </c:pt>
                <c:pt idx="83">
                  <c:v>5.26794553986018E-4</c:v>
                </c:pt>
                <c:pt idx="84">
                  <c:v>-3.6138582737991298E-3</c:v>
                </c:pt>
                <c:pt idx="85">
                  <c:v>-9.4188584467520403E-3</c:v>
                </c:pt>
                <c:pt idx="86">
                  <c:v>-2.2886702729503299E-3</c:v>
                </c:pt>
                <c:pt idx="87">
                  <c:v>-4.57469449751708E-4</c:v>
                </c:pt>
                <c:pt idx="88">
                  <c:v>-4.8878976427741997E-3</c:v>
                </c:pt>
                <c:pt idx="89">
                  <c:v>-4.9432997199492304E-3</c:v>
                </c:pt>
                <c:pt idx="90">
                  <c:v>-7.2326256827243097E-3</c:v>
                </c:pt>
                <c:pt idx="91">
                  <c:v>-5.3642286437529602E-3</c:v>
                </c:pt>
                <c:pt idx="92">
                  <c:v>-2.1502054228356902E-3</c:v>
                </c:pt>
                <c:pt idx="93">
                  <c:v>4.0857813095972603E-3</c:v>
                </c:pt>
                <c:pt idx="94">
                  <c:v>3.52513404770678E-3</c:v>
                </c:pt>
                <c:pt idx="95">
                  <c:v>5.7598962503121898E-3</c:v>
                </c:pt>
                <c:pt idx="96">
                  <c:v>3.9362496025985502E-3</c:v>
                </c:pt>
                <c:pt idx="97">
                  <c:v>3.73224250817469E-3</c:v>
                </c:pt>
                <c:pt idx="98">
                  <c:v>1.7939509316818999E-3</c:v>
                </c:pt>
                <c:pt idx="99">
                  <c:v>2.6972604654489801E-3</c:v>
                </c:pt>
                <c:pt idx="100">
                  <c:v>3.2016299771944899E-3</c:v>
                </c:pt>
                <c:pt idx="101">
                  <c:v>4.9962722987583101E-3</c:v>
                </c:pt>
                <c:pt idx="102">
                  <c:v>1.3086537879925099E-3</c:v>
                </c:pt>
                <c:pt idx="103">
                  <c:v>-5.5684439027990701E-3</c:v>
                </c:pt>
                <c:pt idx="104">
                  <c:v>-1.0450923691438199E-2</c:v>
                </c:pt>
                <c:pt idx="105">
                  <c:v>-8.0365013560558893E-3</c:v>
                </c:pt>
                <c:pt idx="106">
                  <c:v>-4.8275463001437599E-3</c:v>
                </c:pt>
                <c:pt idx="107">
                  <c:v>-4.5183973577688297E-3</c:v>
                </c:pt>
                <c:pt idx="108">
                  <c:v>-2.22236053036764E-3</c:v>
                </c:pt>
                <c:pt idx="109">
                  <c:v>1.4397393508165501E-3</c:v>
                </c:pt>
                <c:pt idx="110">
                  <c:v>-2.66191051871454E-3</c:v>
                </c:pt>
                <c:pt idx="111">
                  <c:v>-1.01278144819505E-3</c:v>
                </c:pt>
                <c:pt idx="112">
                  <c:v>-9.07728140869119E-4</c:v>
                </c:pt>
                <c:pt idx="113">
                  <c:v>2.4217758386063399E-3</c:v>
                </c:pt>
                <c:pt idx="114">
                  <c:v>-1.4517617175977199E-3</c:v>
                </c:pt>
                <c:pt idx="115">
                  <c:v>-5.1461606265513996E-3</c:v>
                </c:pt>
                <c:pt idx="116">
                  <c:v>-8.4712757477825393E-3</c:v>
                </c:pt>
                <c:pt idx="117">
                  <c:v>-3.4750483698739098E-3</c:v>
                </c:pt>
                <c:pt idx="118">
                  <c:v>-3.1246051837326501E-3</c:v>
                </c:pt>
                <c:pt idx="119">
                  <c:v>-7.6652821425307197E-3</c:v>
                </c:pt>
                <c:pt idx="120">
                  <c:v>4.51862690680391E-4</c:v>
                </c:pt>
                <c:pt idx="121">
                  <c:v>-1.1077881413324899E-3</c:v>
                </c:pt>
                <c:pt idx="122">
                  <c:v>4.1231820110413899E-4</c:v>
                </c:pt>
                <c:pt idx="123">
                  <c:v>5.0951011987971197E-3</c:v>
                </c:pt>
                <c:pt idx="124">
                  <c:v>7.3478328409674202E-3</c:v>
                </c:pt>
                <c:pt idx="125">
                  <c:v>3.7668123094238299E-3</c:v>
                </c:pt>
                <c:pt idx="126">
                  <c:v>1.76072004017867E-3</c:v>
                </c:pt>
                <c:pt idx="127">
                  <c:v>-4.5073797345074702E-3</c:v>
                </c:pt>
                <c:pt idx="128">
                  <c:v>-1.2052871464229E-3</c:v>
                </c:pt>
                <c:pt idx="129">
                  <c:v>-4.8638884952770998E-4</c:v>
                </c:pt>
                <c:pt idx="130">
                  <c:v>2.8702637306118098E-3</c:v>
                </c:pt>
                <c:pt idx="131">
                  <c:v>4.3713473272874396E-3</c:v>
                </c:pt>
                <c:pt idx="132">
                  <c:v>5.54327280341518E-3</c:v>
                </c:pt>
                <c:pt idx="133">
                  <c:v>7.6384611088212099E-3</c:v>
                </c:pt>
                <c:pt idx="134">
                  <c:v>5.2602566166346501E-3</c:v>
                </c:pt>
                <c:pt idx="135">
                  <c:v>4.7884908984896597E-3</c:v>
                </c:pt>
                <c:pt idx="136">
                  <c:v>4.0239317524078501E-3</c:v>
                </c:pt>
                <c:pt idx="137">
                  <c:v>2.0071662654538198E-3</c:v>
                </c:pt>
                <c:pt idx="138">
                  <c:v>-6.0601580456988999E-3</c:v>
                </c:pt>
                <c:pt idx="139">
                  <c:v>-5.0762576467229797E-3</c:v>
                </c:pt>
                <c:pt idx="140">
                  <c:v>-1.33707681465771E-3</c:v>
                </c:pt>
                <c:pt idx="141">
                  <c:v>3.5513704875579401E-3</c:v>
                </c:pt>
                <c:pt idx="142">
                  <c:v>9.9051707780904493E-3</c:v>
                </c:pt>
                <c:pt idx="143">
                  <c:v>9.4394167748536196E-3</c:v>
                </c:pt>
                <c:pt idx="144">
                  <c:v>4.86548275338489E-3</c:v>
                </c:pt>
                <c:pt idx="145">
                  <c:v>3.1496172534068501E-3</c:v>
                </c:pt>
                <c:pt idx="146">
                  <c:v>3.8977433753968199E-3</c:v>
                </c:pt>
                <c:pt idx="147">
                  <c:v>3.36594906685E-3</c:v>
                </c:pt>
                <c:pt idx="148">
                  <c:v>3.61406843462085E-3</c:v>
                </c:pt>
                <c:pt idx="149">
                  <c:v>-6.7314127304285995E-4</c:v>
                </c:pt>
                <c:pt idx="150">
                  <c:v>-3.2057922985729102E-3</c:v>
                </c:pt>
                <c:pt idx="151">
                  <c:v>-4.6894738026184001E-3</c:v>
                </c:pt>
                <c:pt idx="152">
                  <c:v>-3.4590052898782701E-3</c:v>
                </c:pt>
                <c:pt idx="153">
                  <c:v>-1.51459073304855E-4</c:v>
                </c:pt>
                <c:pt idx="154">
                  <c:v>-2.3597277903213699E-4</c:v>
                </c:pt>
                <c:pt idx="155">
                  <c:v>-3.7378398157350899E-3</c:v>
                </c:pt>
                <c:pt idx="156">
                  <c:v>-1.5641069922312401E-4</c:v>
                </c:pt>
                <c:pt idx="157">
                  <c:v>3.47958417194497E-3</c:v>
                </c:pt>
                <c:pt idx="158">
                  <c:v>3.3629358096206401E-3</c:v>
                </c:pt>
                <c:pt idx="159">
                  <c:v>6.26650605332964E-3</c:v>
                </c:pt>
                <c:pt idx="160">
                  <c:v>1.00062577798501E-2</c:v>
                </c:pt>
                <c:pt idx="161">
                  <c:v>1.04627083558371E-2</c:v>
                </c:pt>
                <c:pt idx="162">
                  <c:v>5.3992919830177198E-3</c:v>
                </c:pt>
                <c:pt idx="163">
                  <c:v>6.5366369744018597E-3</c:v>
                </c:pt>
                <c:pt idx="164">
                  <c:v>5.9730182349619996E-3</c:v>
                </c:pt>
                <c:pt idx="165">
                  <c:v>6.0700356061134299E-3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4D-402B-B8F8-53679C7A8E35}"/>
            </c:ext>
          </c:extLst>
        </c:ser>
        <c:ser>
          <c:idx val="2"/>
          <c:order val="2"/>
          <c:tx>
            <c:strRef>
              <c:f>IYJ_XLI_1!$AG$1</c:f>
              <c:strCache>
                <c:ptCount val="1"/>
                <c:pt idx="0">
                  <c:v>log diff IYJ* x 20 dma / XLI*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IYJ_XLI_1!$AG$2:$AG$167</c:f>
              <c:numCache>
                <c:formatCode>0.00%</c:formatCode>
                <c:ptCount val="166"/>
                <c:pt idx="20">
                  <c:v>-1.09394259609386E-2</c:v>
                </c:pt>
                <c:pt idx="21">
                  <c:v>-1.7144737341437701E-2</c:v>
                </c:pt>
                <c:pt idx="22">
                  <c:v>-1.2185552120808E-2</c:v>
                </c:pt>
                <c:pt idx="23">
                  <c:v>-1.18424775747672E-2</c:v>
                </c:pt>
                <c:pt idx="24">
                  <c:v>-1.31260025375298E-2</c:v>
                </c:pt>
                <c:pt idx="25">
                  <c:v>-1.45948767285359E-2</c:v>
                </c:pt>
                <c:pt idx="26">
                  <c:v>-9.6386881050880904E-3</c:v>
                </c:pt>
                <c:pt idx="27">
                  <c:v>-1.21881294115261E-2</c:v>
                </c:pt>
                <c:pt idx="28">
                  <c:v>-1.3530011879307999E-2</c:v>
                </c:pt>
                <c:pt idx="29">
                  <c:v>-1.61410746932012E-2</c:v>
                </c:pt>
                <c:pt idx="30">
                  <c:v>-1.5867373921076899E-2</c:v>
                </c:pt>
                <c:pt idx="31">
                  <c:v>-1.1902817543425899E-2</c:v>
                </c:pt>
                <c:pt idx="32">
                  <c:v>-1.54797999714323E-2</c:v>
                </c:pt>
                <c:pt idx="33">
                  <c:v>-1.44050867156971E-2</c:v>
                </c:pt>
                <c:pt idx="34">
                  <c:v>-2.0924593520248801E-2</c:v>
                </c:pt>
                <c:pt idx="35">
                  <c:v>-1.94145051318622E-2</c:v>
                </c:pt>
                <c:pt idx="36">
                  <c:v>-1.3686011062798299E-2</c:v>
                </c:pt>
                <c:pt idx="37">
                  <c:v>-1.13887557793681E-2</c:v>
                </c:pt>
                <c:pt idx="38">
                  <c:v>-1.25000629850057E-2</c:v>
                </c:pt>
                <c:pt idx="39">
                  <c:v>-1.4210037761869901E-2</c:v>
                </c:pt>
                <c:pt idx="40">
                  <c:v>-1.0654264952236399E-2</c:v>
                </c:pt>
                <c:pt idx="41">
                  <c:v>-9.0912693741389498E-3</c:v>
                </c:pt>
                <c:pt idx="42">
                  <c:v>-4.3038555711672997E-3</c:v>
                </c:pt>
                <c:pt idx="43">
                  <c:v>-6.5273980315036003E-3</c:v>
                </c:pt>
                <c:pt idx="44">
                  <c:v>-7.6095622067542798E-3</c:v>
                </c:pt>
                <c:pt idx="45">
                  <c:v>-6.1911070797223897E-3</c:v>
                </c:pt>
                <c:pt idx="46">
                  <c:v>-8.7480355833668595E-3</c:v>
                </c:pt>
                <c:pt idx="47">
                  <c:v>-7.2455168425654198E-3</c:v>
                </c:pt>
                <c:pt idx="48">
                  <c:v>-5.73538420286142E-3</c:v>
                </c:pt>
                <c:pt idx="49">
                  <c:v>-3.5732915182690602E-3</c:v>
                </c:pt>
                <c:pt idx="50">
                  <c:v>-3.9777271301715397E-3</c:v>
                </c:pt>
                <c:pt idx="51">
                  <c:v>-8.8295204767459504E-3</c:v>
                </c:pt>
                <c:pt idx="52">
                  <c:v>-5.6523573746937797E-3</c:v>
                </c:pt>
                <c:pt idx="53">
                  <c:v>-1.84005790093558E-3</c:v>
                </c:pt>
                <c:pt idx="54">
                  <c:v>2.7806513944358198E-3</c:v>
                </c:pt>
                <c:pt idx="55">
                  <c:v>1.6732600842606E-3</c:v>
                </c:pt>
                <c:pt idx="56">
                  <c:v>1.8422389794444901E-3</c:v>
                </c:pt>
                <c:pt idx="57">
                  <c:v>6.2088291247378502E-3</c:v>
                </c:pt>
                <c:pt idx="58">
                  <c:v>2.1138013458061799E-3</c:v>
                </c:pt>
                <c:pt idx="59">
                  <c:v>9.3458498092002396E-3</c:v>
                </c:pt>
                <c:pt idx="60">
                  <c:v>5.6091486752567503E-3</c:v>
                </c:pt>
                <c:pt idx="61">
                  <c:v>-4.9184635467411302E-6</c:v>
                </c:pt>
                <c:pt idx="62">
                  <c:v>6.2700686792920197E-4</c:v>
                </c:pt>
                <c:pt idx="63">
                  <c:v>2.7432299293779199E-3</c:v>
                </c:pt>
                <c:pt idx="64">
                  <c:v>1.7495792135636501E-3</c:v>
                </c:pt>
                <c:pt idx="65">
                  <c:v>2.0955742179563099E-3</c:v>
                </c:pt>
                <c:pt idx="66">
                  <c:v>-1.8065908473279999E-3</c:v>
                </c:pt>
                <c:pt idx="67">
                  <c:v>-3.2787383172322901E-3</c:v>
                </c:pt>
                <c:pt idx="68">
                  <c:v>2.35933909527105E-3</c:v>
                </c:pt>
                <c:pt idx="69">
                  <c:v>2.5099428024919798E-3</c:v>
                </c:pt>
                <c:pt idx="70">
                  <c:v>6.4200515425829E-3</c:v>
                </c:pt>
                <c:pt idx="71">
                  <c:v>8.36345385032943E-3</c:v>
                </c:pt>
                <c:pt idx="72">
                  <c:v>6.72280210744836E-3</c:v>
                </c:pt>
                <c:pt idx="73">
                  <c:v>5.08246517216762E-3</c:v>
                </c:pt>
                <c:pt idx="74">
                  <c:v>4.6337536301183403E-3</c:v>
                </c:pt>
                <c:pt idx="75">
                  <c:v>5.2609224999993097E-3</c:v>
                </c:pt>
                <c:pt idx="76">
                  <c:v>-5.5706263636965698E-3</c:v>
                </c:pt>
                <c:pt idx="77">
                  <c:v>-3.8393064922714599E-3</c:v>
                </c:pt>
                <c:pt idx="78">
                  <c:v>-2.9067164993681299E-3</c:v>
                </c:pt>
                <c:pt idx="79">
                  <c:v>-1.7813284227851001E-3</c:v>
                </c:pt>
                <c:pt idx="80">
                  <c:v>6.1361995197019197E-3</c:v>
                </c:pt>
                <c:pt idx="81">
                  <c:v>-2.0887285284392301E-3</c:v>
                </c:pt>
                <c:pt idx="82">
                  <c:v>-8.0502894038371399E-4</c:v>
                </c:pt>
                <c:pt idx="83">
                  <c:v>8.3683472350955701E-4</c:v>
                </c:pt>
                <c:pt idx="84">
                  <c:v>-3.7404194992187402E-3</c:v>
                </c:pt>
                <c:pt idx="85">
                  <c:v>-1.0259207327775801E-2</c:v>
                </c:pt>
                <c:pt idx="86">
                  <c:v>-4.2428384246905202E-3</c:v>
                </c:pt>
                <c:pt idx="87">
                  <c:v>-2.3937881293239899E-3</c:v>
                </c:pt>
                <c:pt idx="88">
                  <c:v>-6.94139571036768E-3</c:v>
                </c:pt>
                <c:pt idx="89">
                  <c:v>-7.1145843634101901E-3</c:v>
                </c:pt>
                <c:pt idx="90">
                  <c:v>-9.6337210895001898E-3</c:v>
                </c:pt>
                <c:pt idx="91">
                  <c:v>-8.6856032277899693E-3</c:v>
                </c:pt>
                <c:pt idx="92">
                  <c:v>-5.46093699941415E-3</c:v>
                </c:pt>
                <c:pt idx="93">
                  <c:v>7.3372904931457599E-4</c:v>
                </c:pt>
                <c:pt idx="94">
                  <c:v>1.88583753417743E-4</c:v>
                </c:pt>
                <c:pt idx="95">
                  <c:v>2.8446024890807198E-3</c:v>
                </c:pt>
                <c:pt idx="96">
                  <c:v>2.2625365909843798E-3</c:v>
                </c:pt>
                <c:pt idx="97">
                  <c:v>2.1783909699838802E-3</c:v>
                </c:pt>
                <c:pt idx="98">
                  <c:v>2.5643815506008099E-4</c:v>
                </c:pt>
                <c:pt idx="99">
                  <c:v>1.5534979067294201E-3</c:v>
                </c:pt>
                <c:pt idx="100">
                  <c:v>2.6176467760107101E-3</c:v>
                </c:pt>
                <c:pt idx="101">
                  <c:v>5.6897038823835802E-3</c:v>
                </c:pt>
                <c:pt idx="102">
                  <c:v>2.9928361923724799E-3</c:v>
                </c:pt>
                <c:pt idx="103">
                  <c:v>-3.19362110477555E-3</c:v>
                </c:pt>
                <c:pt idx="104">
                  <c:v>-8.1656205439430193E-3</c:v>
                </c:pt>
                <c:pt idx="105">
                  <c:v>-6.2478909118403696E-3</c:v>
                </c:pt>
                <c:pt idx="106">
                  <c:v>-4.0192545042059998E-3</c:v>
                </c:pt>
                <c:pt idx="107">
                  <c:v>-4.2114954992134397E-3</c:v>
                </c:pt>
                <c:pt idx="108">
                  <c:v>-2.35127668733084E-3</c:v>
                </c:pt>
                <c:pt idx="109">
                  <c:v>9.1701398337967505E-4</c:v>
                </c:pt>
                <c:pt idx="110">
                  <c:v>-3.56686627724382E-3</c:v>
                </c:pt>
                <c:pt idx="111">
                  <c:v>-2.76390623371107E-3</c:v>
                </c:pt>
                <c:pt idx="112">
                  <c:v>-3.7183548401359501E-3</c:v>
                </c:pt>
                <c:pt idx="113">
                  <c:v>-1.1195199386728699E-3</c:v>
                </c:pt>
                <c:pt idx="114">
                  <c:v>-4.7031657735945699E-3</c:v>
                </c:pt>
                <c:pt idx="115">
                  <c:v>-7.8016718644295198E-3</c:v>
                </c:pt>
                <c:pt idx="116">
                  <c:v>-1.0737244657859401E-2</c:v>
                </c:pt>
                <c:pt idx="117">
                  <c:v>-5.7938504187233899E-3</c:v>
                </c:pt>
                <c:pt idx="118">
                  <c:v>-5.2421378950533899E-3</c:v>
                </c:pt>
                <c:pt idx="119">
                  <c:v>-9.8262076906795604E-3</c:v>
                </c:pt>
                <c:pt idx="120">
                  <c:v>-2.2646211270877202E-3</c:v>
                </c:pt>
                <c:pt idx="121">
                  <c:v>-3.5579740403617402E-3</c:v>
                </c:pt>
                <c:pt idx="122">
                  <c:v>-1.81433381384521E-3</c:v>
                </c:pt>
                <c:pt idx="123">
                  <c:v>3.1023229578930099E-3</c:v>
                </c:pt>
                <c:pt idx="124">
                  <c:v>5.24518570016844E-3</c:v>
                </c:pt>
                <c:pt idx="125">
                  <c:v>1.7677030198691599E-3</c:v>
                </c:pt>
                <c:pt idx="126">
                  <c:v>1.2807064141081201E-4</c:v>
                </c:pt>
                <c:pt idx="127">
                  <c:v>-5.3813891410596096E-3</c:v>
                </c:pt>
                <c:pt idx="128">
                  <c:v>-2.0385502073634598E-3</c:v>
                </c:pt>
                <c:pt idx="129">
                  <c:v>-1.0500519084844799E-3</c:v>
                </c:pt>
                <c:pt idx="130">
                  <c:v>3.2820152465654301E-3</c:v>
                </c:pt>
                <c:pt idx="131">
                  <c:v>5.0612910753967998E-3</c:v>
                </c:pt>
                <c:pt idx="132">
                  <c:v>6.8261828055639897E-3</c:v>
                </c:pt>
                <c:pt idx="133">
                  <c:v>9.4630402522500601E-3</c:v>
                </c:pt>
                <c:pt idx="134">
                  <c:v>7.4591674831864197E-3</c:v>
                </c:pt>
                <c:pt idx="135">
                  <c:v>6.8735813207149296E-3</c:v>
                </c:pt>
                <c:pt idx="136">
                  <c:v>6.1226491976031699E-3</c:v>
                </c:pt>
                <c:pt idx="137">
                  <c:v>4.0795657568575804E-3</c:v>
                </c:pt>
                <c:pt idx="138">
                  <c:v>-3.3118515954638399E-3</c:v>
                </c:pt>
                <c:pt idx="139">
                  <c:v>-2.30860549679899E-3</c:v>
                </c:pt>
                <c:pt idx="140">
                  <c:v>1.17333231231227E-3</c:v>
                </c:pt>
                <c:pt idx="141">
                  <c:v>5.9400033005376799E-3</c:v>
                </c:pt>
                <c:pt idx="142">
                  <c:v>1.2148052517725201E-2</c:v>
                </c:pt>
                <c:pt idx="143">
                  <c:v>1.17380805864572E-2</c:v>
                </c:pt>
                <c:pt idx="144">
                  <c:v>7.1737791778853002E-3</c:v>
                </c:pt>
                <c:pt idx="145">
                  <c:v>5.5536156591814096E-3</c:v>
                </c:pt>
                <c:pt idx="146">
                  <c:v>6.2005749265214198E-3</c:v>
                </c:pt>
                <c:pt idx="147">
                  <c:v>5.5692848670036103E-3</c:v>
                </c:pt>
                <c:pt idx="148">
                  <c:v>5.5700521360644902E-3</c:v>
                </c:pt>
                <c:pt idx="149">
                  <c:v>1.93415868323719E-3</c:v>
                </c:pt>
                <c:pt idx="150">
                  <c:v>-1.6099173762649E-4</c:v>
                </c:pt>
                <c:pt idx="151">
                  <c:v>-1.4728206075771599E-3</c:v>
                </c:pt>
                <c:pt idx="152">
                  <c:v>-5.3177348014301295E-4</c:v>
                </c:pt>
                <c:pt idx="153">
                  <c:v>1.95815265393696E-3</c:v>
                </c:pt>
                <c:pt idx="154">
                  <c:v>1.2867611117215901E-3</c:v>
                </c:pt>
                <c:pt idx="155">
                  <c:v>-2.5286453523860998E-3</c:v>
                </c:pt>
                <c:pt idx="156">
                  <c:v>6.7063756466666496E-4</c:v>
                </c:pt>
                <c:pt idx="157">
                  <c:v>3.9631220285678897E-3</c:v>
                </c:pt>
                <c:pt idx="158">
                  <c:v>3.6122821120695499E-3</c:v>
                </c:pt>
                <c:pt idx="159">
                  <c:v>5.8464948873360898E-3</c:v>
                </c:pt>
                <c:pt idx="160">
                  <c:v>9.40700169443154E-3</c:v>
                </c:pt>
                <c:pt idx="161">
                  <c:v>1.02501696521236E-2</c:v>
                </c:pt>
                <c:pt idx="162">
                  <c:v>6.0127677506628197E-3</c:v>
                </c:pt>
                <c:pt idx="163">
                  <c:v>8.0310194513167499E-3</c:v>
                </c:pt>
                <c:pt idx="164">
                  <c:v>8.2200022261577702E-3</c:v>
                </c:pt>
                <c:pt idx="165">
                  <c:v>8.9563280184378705E-3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4D-402B-B8F8-53679C7A8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IYJ_XLI_1!$Y$1</c:f>
              <c:strCache>
                <c:ptCount val="1"/>
                <c:pt idx="0">
                  <c:v> XLI*/IYJ*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IYJ_XLI_1!$Y$2:$Y$167</c:f>
              <c:numCache>
                <c:formatCode>_(* #,##0.0000_);_(* \(#,##0.0000\);_(* "-"??_);_(@_)</c:formatCode>
                <c:ptCount val="166"/>
                <c:pt idx="0">
                  <c:v>1.0957888908294</c:v>
                </c:pt>
                <c:pt idx="1">
                  <c:v>1.0957888908294</c:v>
                </c:pt>
                <c:pt idx="2">
                  <c:v>1.0957888908294</c:v>
                </c:pt>
                <c:pt idx="3">
                  <c:v>1.0957888908294</c:v>
                </c:pt>
                <c:pt idx="4">
                  <c:v>1.0957888908294</c:v>
                </c:pt>
                <c:pt idx="5">
                  <c:v>1.0957888908294</c:v>
                </c:pt>
                <c:pt idx="6">
                  <c:v>1.0957888908294</c:v>
                </c:pt>
                <c:pt idx="7">
                  <c:v>1.0957888908294</c:v>
                </c:pt>
                <c:pt idx="8">
                  <c:v>1.0957888908294</c:v>
                </c:pt>
                <c:pt idx="9">
                  <c:v>1.0957888908294</c:v>
                </c:pt>
                <c:pt idx="10">
                  <c:v>1.0957888908294</c:v>
                </c:pt>
                <c:pt idx="11">
                  <c:v>1.0957888908294</c:v>
                </c:pt>
                <c:pt idx="12">
                  <c:v>1.0957888908294</c:v>
                </c:pt>
                <c:pt idx="13">
                  <c:v>1.0957888908294</c:v>
                </c:pt>
                <c:pt idx="14">
                  <c:v>1.0957888908294</c:v>
                </c:pt>
                <c:pt idx="15">
                  <c:v>1.0957888908294</c:v>
                </c:pt>
                <c:pt idx="16">
                  <c:v>1.0957888908294</c:v>
                </c:pt>
                <c:pt idx="17">
                  <c:v>1.0957888908294</c:v>
                </c:pt>
                <c:pt idx="18">
                  <c:v>1.0957888908294</c:v>
                </c:pt>
                <c:pt idx="19">
                  <c:v>1.0957888908294</c:v>
                </c:pt>
                <c:pt idx="20">
                  <c:v>1.0957888908294</c:v>
                </c:pt>
                <c:pt idx="21">
                  <c:v>1.0957888908294</c:v>
                </c:pt>
                <c:pt idx="22">
                  <c:v>1.0957888908294</c:v>
                </c:pt>
                <c:pt idx="23">
                  <c:v>1.0957888908294</c:v>
                </c:pt>
                <c:pt idx="24">
                  <c:v>1.0957888908294</c:v>
                </c:pt>
                <c:pt idx="25">
                  <c:v>1.0957888908294</c:v>
                </c:pt>
                <c:pt idx="26">
                  <c:v>1.0957888908294</c:v>
                </c:pt>
                <c:pt idx="27">
                  <c:v>1.0957888908294</c:v>
                </c:pt>
                <c:pt idx="28">
                  <c:v>1.0957888908294</c:v>
                </c:pt>
                <c:pt idx="29">
                  <c:v>1.0957888908294</c:v>
                </c:pt>
                <c:pt idx="30">
                  <c:v>1.0957888908294</c:v>
                </c:pt>
                <c:pt idx="31">
                  <c:v>1.0957888908294</c:v>
                </c:pt>
                <c:pt idx="32">
                  <c:v>1.0957888908294</c:v>
                </c:pt>
                <c:pt idx="33">
                  <c:v>1.0957888908294</c:v>
                </c:pt>
                <c:pt idx="34">
                  <c:v>1.0957888908294</c:v>
                </c:pt>
                <c:pt idx="35">
                  <c:v>1.0957888908294</c:v>
                </c:pt>
                <c:pt idx="36">
                  <c:v>1.0957888908294</c:v>
                </c:pt>
                <c:pt idx="37">
                  <c:v>1.0957888908294</c:v>
                </c:pt>
                <c:pt idx="38">
                  <c:v>1.0957888908294</c:v>
                </c:pt>
                <c:pt idx="39">
                  <c:v>1.0957888908294</c:v>
                </c:pt>
                <c:pt idx="40">
                  <c:v>1.0957888908294</c:v>
                </c:pt>
                <c:pt idx="41">
                  <c:v>1.0957888908294</c:v>
                </c:pt>
                <c:pt idx="42">
                  <c:v>1.0957888908294</c:v>
                </c:pt>
                <c:pt idx="43">
                  <c:v>1.0957888908294</c:v>
                </c:pt>
                <c:pt idx="44">
                  <c:v>1.0957888908294</c:v>
                </c:pt>
                <c:pt idx="45">
                  <c:v>1.0957888908294</c:v>
                </c:pt>
                <c:pt idx="46">
                  <c:v>1.0957888908294</c:v>
                </c:pt>
                <c:pt idx="47">
                  <c:v>1.0957888908294</c:v>
                </c:pt>
                <c:pt idx="48">
                  <c:v>1.0957888908294</c:v>
                </c:pt>
                <c:pt idx="49">
                  <c:v>1.0957888908294</c:v>
                </c:pt>
                <c:pt idx="50">
                  <c:v>1.0957888908294</c:v>
                </c:pt>
                <c:pt idx="51">
                  <c:v>1.0957888908294</c:v>
                </c:pt>
                <c:pt idx="52">
                  <c:v>1.0957888908294</c:v>
                </c:pt>
                <c:pt idx="53">
                  <c:v>1.0957888908294</c:v>
                </c:pt>
                <c:pt idx="54">
                  <c:v>1.0957888908294</c:v>
                </c:pt>
                <c:pt idx="55">
                  <c:v>1.0957888908294</c:v>
                </c:pt>
                <c:pt idx="56">
                  <c:v>1.0957888908294</c:v>
                </c:pt>
                <c:pt idx="57">
                  <c:v>1.0957888908294</c:v>
                </c:pt>
                <c:pt idx="58">
                  <c:v>1.0957888908294</c:v>
                </c:pt>
                <c:pt idx="59">
                  <c:v>1.0957888908294</c:v>
                </c:pt>
                <c:pt idx="60">
                  <c:v>1.0957888908294</c:v>
                </c:pt>
                <c:pt idx="61">
                  <c:v>1.0957888908294</c:v>
                </c:pt>
                <c:pt idx="62">
                  <c:v>1.0957888908294</c:v>
                </c:pt>
                <c:pt idx="63">
                  <c:v>1.0957888908294</c:v>
                </c:pt>
                <c:pt idx="64">
                  <c:v>1.0957888908294</c:v>
                </c:pt>
                <c:pt idx="65">
                  <c:v>1.0957888908294</c:v>
                </c:pt>
                <c:pt idx="66">
                  <c:v>1.0957888908294</c:v>
                </c:pt>
                <c:pt idx="67">
                  <c:v>1.0957888908294</c:v>
                </c:pt>
                <c:pt idx="68">
                  <c:v>1.0957888908294</c:v>
                </c:pt>
                <c:pt idx="69">
                  <c:v>1.0957888908294</c:v>
                </c:pt>
                <c:pt idx="70">
                  <c:v>1.0957888908294</c:v>
                </c:pt>
                <c:pt idx="71">
                  <c:v>1.0957888908294</c:v>
                </c:pt>
                <c:pt idx="72">
                  <c:v>1.0957888908294</c:v>
                </c:pt>
                <c:pt idx="73">
                  <c:v>1.0957888908294</c:v>
                </c:pt>
                <c:pt idx="74">
                  <c:v>1.0957888908294</c:v>
                </c:pt>
                <c:pt idx="75">
                  <c:v>1.0957888908294</c:v>
                </c:pt>
                <c:pt idx="76">
                  <c:v>1.0957888908294</c:v>
                </c:pt>
                <c:pt idx="77">
                  <c:v>1.0957888908294</c:v>
                </c:pt>
                <c:pt idx="78">
                  <c:v>1.0957888908294</c:v>
                </c:pt>
                <c:pt idx="79">
                  <c:v>1.0957888908294</c:v>
                </c:pt>
                <c:pt idx="80">
                  <c:v>1.0957888908294</c:v>
                </c:pt>
                <c:pt idx="81">
                  <c:v>1.0957888908294</c:v>
                </c:pt>
                <c:pt idx="82">
                  <c:v>1.0957888908294</c:v>
                </c:pt>
                <c:pt idx="83">
                  <c:v>1.0957888908294</c:v>
                </c:pt>
                <c:pt idx="84">
                  <c:v>1.0957888908294</c:v>
                </c:pt>
                <c:pt idx="85">
                  <c:v>1.0957888908294</c:v>
                </c:pt>
                <c:pt idx="86">
                  <c:v>1.0957888908294</c:v>
                </c:pt>
                <c:pt idx="87">
                  <c:v>1.0957888908294</c:v>
                </c:pt>
                <c:pt idx="88">
                  <c:v>1.0957888908294</c:v>
                </c:pt>
                <c:pt idx="89">
                  <c:v>1.0957888908294</c:v>
                </c:pt>
                <c:pt idx="90">
                  <c:v>1.0957888908294</c:v>
                </c:pt>
                <c:pt idx="91">
                  <c:v>1.0957888908294</c:v>
                </c:pt>
                <c:pt idx="92">
                  <c:v>1.0957888908294</c:v>
                </c:pt>
                <c:pt idx="93">
                  <c:v>1.0957888908294</c:v>
                </c:pt>
                <c:pt idx="94">
                  <c:v>1.0957888908294</c:v>
                </c:pt>
                <c:pt idx="95">
                  <c:v>1.0957888908294</c:v>
                </c:pt>
                <c:pt idx="96">
                  <c:v>1.0957888908294</c:v>
                </c:pt>
                <c:pt idx="97">
                  <c:v>1.0957888908294</c:v>
                </c:pt>
                <c:pt idx="98">
                  <c:v>1.0957888908294</c:v>
                </c:pt>
                <c:pt idx="99">
                  <c:v>1.0957888908294</c:v>
                </c:pt>
                <c:pt idx="100">
                  <c:v>1.0957888908294</c:v>
                </c:pt>
                <c:pt idx="101">
                  <c:v>1.0957888908294</c:v>
                </c:pt>
                <c:pt idx="102">
                  <c:v>1.0957888908294</c:v>
                </c:pt>
                <c:pt idx="103">
                  <c:v>1.0957888908294</c:v>
                </c:pt>
                <c:pt idx="104">
                  <c:v>1.0957888908294</c:v>
                </c:pt>
                <c:pt idx="105">
                  <c:v>1.0957888908294</c:v>
                </c:pt>
                <c:pt idx="106">
                  <c:v>1.0957888908294</c:v>
                </c:pt>
                <c:pt idx="107">
                  <c:v>1.0957888908294</c:v>
                </c:pt>
                <c:pt idx="108">
                  <c:v>1.0957888908294</c:v>
                </c:pt>
                <c:pt idx="109">
                  <c:v>1.0957888908294</c:v>
                </c:pt>
                <c:pt idx="110">
                  <c:v>1.0957888908294</c:v>
                </c:pt>
                <c:pt idx="111">
                  <c:v>1.0957888908294</c:v>
                </c:pt>
                <c:pt idx="112">
                  <c:v>1.0957888908294</c:v>
                </c:pt>
                <c:pt idx="113">
                  <c:v>1.0957888908294</c:v>
                </c:pt>
                <c:pt idx="114">
                  <c:v>1.0957888908294</c:v>
                </c:pt>
                <c:pt idx="115">
                  <c:v>1.0957888908294</c:v>
                </c:pt>
                <c:pt idx="116">
                  <c:v>1.0957888908294</c:v>
                </c:pt>
                <c:pt idx="117">
                  <c:v>1.0957888908294</c:v>
                </c:pt>
                <c:pt idx="118">
                  <c:v>1.0957888908294</c:v>
                </c:pt>
                <c:pt idx="119">
                  <c:v>1.0957888908294</c:v>
                </c:pt>
                <c:pt idx="120">
                  <c:v>1.0957888908294</c:v>
                </c:pt>
                <c:pt idx="121">
                  <c:v>1.0957888908294</c:v>
                </c:pt>
                <c:pt idx="122">
                  <c:v>1.0957888908294</c:v>
                </c:pt>
                <c:pt idx="123">
                  <c:v>1.0957888908294</c:v>
                </c:pt>
                <c:pt idx="124">
                  <c:v>1.0957888908294</c:v>
                </c:pt>
                <c:pt idx="125">
                  <c:v>1.0957888908294</c:v>
                </c:pt>
                <c:pt idx="126">
                  <c:v>1.0957888908294</c:v>
                </c:pt>
                <c:pt idx="127">
                  <c:v>1.0957888908294</c:v>
                </c:pt>
                <c:pt idx="128">
                  <c:v>1.0957888908294</c:v>
                </c:pt>
                <c:pt idx="129">
                  <c:v>1.0957888908294</c:v>
                </c:pt>
                <c:pt idx="130">
                  <c:v>1.0957888908294</c:v>
                </c:pt>
                <c:pt idx="131">
                  <c:v>1.0957888908294</c:v>
                </c:pt>
                <c:pt idx="132">
                  <c:v>1.0957888908294</c:v>
                </c:pt>
                <c:pt idx="133">
                  <c:v>1.0957888908294</c:v>
                </c:pt>
                <c:pt idx="134">
                  <c:v>1.0957888908294</c:v>
                </c:pt>
                <c:pt idx="135">
                  <c:v>1.0957888908294</c:v>
                </c:pt>
                <c:pt idx="136">
                  <c:v>1.0957888908294</c:v>
                </c:pt>
                <c:pt idx="137">
                  <c:v>1.0957888908294</c:v>
                </c:pt>
                <c:pt idx="138">
                  <c:v>1.0957888908294</c:v>
                </c:pt>
                <c:pt idx="139">
                  <c:v>1.0957888908294</c:v>
                </c:pt>
                <c:pt idx="140">
                  <c:v>1.0957888908294</c:v>
                </c:pt>
                <c:pt idx="141">
                  <c:v>1.0957888908294</c:v>
                </c:pt>
                <c:pt idx="142">
                  <c:v>1.0957888908294</c:v>
                </c:pt>
                <c:pt idx="143">
                  <c:v>1.0957888908294</c:v>
                </c:pt>
                <c:pt idx="144">
                  <c:v>1.0957888908294</c:v>
                </c:pt>
                <c:pt idx="145">
                  <c:v>1.0957888908294</c:v>
                </c:pt>
                <c:pt idx="146">
                  <c:v>1.0957888908294</c:v>
                </c:pt>
                <c:pt idx="147">
                  <c:v>1.0957888908294</c:v>
                </c:pt>
                <c:pt idx="148">
                  <c:v>1.0957888908294</c:v>
                </c:pt>
                <c:pt idx="149">
                  <c:v>1.0957888908294</c:v>
                </c:pt>
                <c:pt idx="150">
                  <c:v>1.0957888908294</c:v>
                </c:pt>
                <c:pt idx="151">
                  <c:v>1.0957888908294</c:v>
                </c:pt>
                <c:pt idx="152">
                  <c:v>1.0957888908294</c:v>
                </c:pt>
                <c:pt idx="153">
                  <c:v>1.0957888908294</c:v>
                </c:pt>
                <c:pt idx="154">
                  <c:v>1.0957888908294</c:v>
                </c:pt>
                <c:pt idx="155">
                  <c:v>1.0957888908294</c:v>
                </c:pt>
                <c:pt idx="156">
                  <c:v>1.0957888908294</c:v>
                </c:pt>
                <c:pt idx="157">
                  <c:v>1.0957888908294</c:v>
                </c:pt>
                <c:pt idx="158">
                  <c:v>1.0957888908294</c:v>
                </c:pt>
                <c:pt idx="159">
                  <c:v>1.0957888908294</c:v>
                </c:pt>
                <c:pt idx="160">
                  <c:v>1.0957888908294</c:v>
                </c:pt>
                <c:pt idx="161">
                  <c:v>1.0957888908294</c:v>
                </c:pt>
                <c:pt idx="162">
                  <c:v>1.0957888908294</c:v>
                </c:pt>
                <c:pt idx="163">
                  <c:v>1.0957888908294</c:v>
                </c:pt>
                <c:pt idx="164">
                  <c:v>1.0957888908294</c:v>
                </c:pt>
                <c:pt idx="165">
                  <c:v>1.0957888908294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1D-4AE2-8FD1-2C64D51ABCBC}"/>
            </c:ext>
          </c:extLst>
        </c:ser>
        <c:ser>
          <c:idx val="1"/>
          <c:order val="1"/>
          <c:tx>
            <c:strRef>
              <c:f>IYJ_XLI_1!$Z$1</c:f>
              <c:strCache>
                <c:ptCount val="1"/>
                <c:pt idx="0">
                  <c:v> XLI*/IYJ*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IYJ_XLI_1!$Z$2:$Z$167</c:f>
              <c:numCache>
                <c:formatCode>_(* #,##0.0000_);_(* \(#,##0.0000\);_(* "-"??_);_(@_)</c:formatCode>
                <c:ptCount val="166"/>
                <c:pt idx="9">
                  <c:v>1.0531474617957599</c:v>
                </c:pt>
                <c:pt idx="10">
                  <c:v>1.0546318428323</c:v>
                </c:pt>
                <c:pt idx="11">
                  <c:v>1.0566533738305499</c:v>
                </c:pt>
                <c:pt idx="12">
                  <c:v>1.0590226457324701</c:v>
                </c:pt>
                <c:pt idx="13">
                  <c:v>1.06097783103834</c:v>
                </c:pt>
                <c:pt idx="14">
                  <c:v>1.06309249859211</c:v>
                </c:pt>
                <c:pt idx="15">
                  <c:v>1.0650284060525099</c:v>
                </c:pt>
                <c:pt idx="16">
                  <c:v>1.0666511340743201</c:v>
                </c:pt>
                <c:pt idx="17">
                  <c:v>1.06726238020422</c:v>
                </c:pt>
                <c:pt idx="18">
                  <c:v>1.0681381566003101</c:v>
                </c:pt>
                <c:pt idx="19">
                  <c:v>1.06912848287698</c:v>
                </c:pt>
                <c:pt idx="20">
                  <c:v>1.06968227376231</c:v>
                </c:pt>
                <c:pt idx="21">
                  <c:v>1.0708453810240901</c:v>
                </c:pt>
                <c:pt idx="22">
                  <c:v>1.07142347522479</c:v>
                </c:pt>
                <c:pt idx="23">
                  <c:v>1.07274281784675</c:v>
                </c:pt>
                <c:pt idx="24">
                  <c:v>1.07416051587475</c:v>
                </c:pt>
                <c:pt idx="25">
                  <c:v>1.0759509395390501</c:v>
                </c:pt>
                <c:pt idx="26">
                  <c:v>1.0769661310716301</c:v>
                </c:pt>
                <c:pt idx="27">
                  <c:v>1.07851579152537</c:v>
                </c:pt>
                <c:pt idx="28">
                  <c:v>1.0801699106837499</c:v>
                </c:pt>
                <c:pt idx="29">
                  <c:v>1.0818278214132899</c:v>
                </c:pt>
                <c:pt idx="30">
                  <c:v>1.0838147549152499</c:v>
                </c:pt>
                <c:pt idx="31">
                  <c:v>1.0847264519072699</c:v>
                </c:pt>
                <c:pt idx="32">
                  <c:v>1.08650730971131</c:v>
                </c:pt>
                <c:pt idx="33">
                  <c:v>1.08817806331362</c:v>
                </c:pt>
                <c:pt idx="34">
                  <c:v>1.09041312164293</c:v>
                </c:pt>
                <c:pt idx="35">
                  <c:v>1.0923298044609899</c:v>
                </c:pt>
                <c:pt idx="36">
                  <c:v>1.09415202964307</c:v>
                </c:pt>
                <c:pt idx="37">
                  <c:v>1.0954561304445301</c:v>
                </c:pt>
                <c:pt idx="38">
                  <c:v>1.09677160004614</c:v>
                </c:pt>
                <c:pt idx="39">
                  <c:v>1.09801316665601</c:v>
                </c:pt>
                <c:pt idx="40">
                  <c:v>1.0989047269318699</c:v>
                </c:pt>
                <c:pt idx="41">
                  <c:v>1.1000732659439301</c:v>
                </c:pt>
                <c:pt idx="42">
                  <c:v>1.1003244553909</c:v>
                </c:pt>
                <c:pt idx="43">
                  <c:v>1.1009200473287299</c:v>
                </c:pt>
                <c:pt idx="44">
                  <c:v>1.1008803510218299</c:v>
                </c:pt>
                <c:pt idx="45">
                  <c:v>1.10077503766032</c:v>
                </c:pt>
                <c:pt idx="46">
                  <c:v>1.10148576310376</c:v>
                </c:pt>
                <c:pt idx="47">
                  <c:v>1.10226667626445</c:v>
                </c:pt>
                <c:pt idx="48">
                  <c:v>1.1027190035710199</c:v>
                </c:pt>
                <c:pt idx="49">
                  <c:v>1.1026823694333501</c:v>
                </c:pt>
                <c:pt idx="50">
                  <c:v>1.10299621858219</c:v>
                </c:pt>
                <c:pt idx="51">
                  <c:v>1.1039349740812101</c:v>
                </c:pt>
                <c:pt idx="52">
                  <c:v>1.10504888971683</c:v>
                </c:pt>
                <c:pt idx="53">
                  <c:v>1.1054630057397601</c:v>
                </c:pt>
                <c:pt idx="54">
                  <c:v>1.10518483887229</c:v>
                </c:pt>
                <c:pt idx="55">
                  <c:v>1.10505858225681</c:v>
                </c:pt>
                <c:pt idx="56">
                  <c:v>1.1045285484773599</c:v>
                </c:pt>
                <c:pt idx="57">
                  <c:v>1.10356634261165</c:v>
                </c:pt>
                <c:pt idx="58">
                  <c:v>1.1031069147807799</c:v>
                </c:pt>
                <c:pt idx="59">
                  <c:v>1.10200404235881</c:v>
                </c:pt>
                <c:pt idx="60">
                  <c:v>1.1011484363645501</c:v>
                </c:pt>
                <c:pt idx="61">
                  <c:v>1.1002847732261101</c:v>
                </c:pt>
                <c:pt idx="62">
                  <c:v>1.09960161136635</c:v>
                </c:pt>
                <c:pt idx="63">
                  <c:v>1.09906040286968</c:v>
                </c:pt>
                <c:pt idx="64">
                  <c:v>1.0990810728400999</c:v>
                </c:pt>
                <c:pt idx="65">
                  <c:v>1.0989448023322801</c:v>
                </c:pt>
                <c:pt idx="66">
                  <c:v>1.09925555371767</c:v>
                </c:pt>
                <c:pt idx="67">
                  <c:v>1.1001886344056</c:v>
                </c:pt>
                <c:pt idx="68">
                  <c:v>1.1000579569005</c:v>
                </c:pt>
                <c:pt idx="69">
                  <c:v>1.1006747245400701</c:v>
                </c:pt>
                <c:pt idx="70">
                  <c:v>1.10048613138865</c:v>
                </c:pt>
                <c:pt idx="71">
                  <c:v>1.0994432607748099</c:v>
                </c:pt>
                <c:pt idx="72">
                  <c:v>1.09855081959885</c:v>
                </c:pt>
                <c:pt idx="73">
                  <c:v>1.09797071034309</c:v>
                </c:pt>
                <c:pt idx="74">
                  <c:v>1.09728092886953</c:v>
                </c:pt>
                <c:pt idx="75">
                  <c:v>1.09654022424133</c:v>
                </c:pt>
                <c:pt idx="76">
                  <c:v>1.0965282575373101</c:v>
                </c:pt>
                <c:pt idx="77">
                  <c:v>1.09618869304971</c:v>
                </c:pt>
                <c:pt idx="78">
                  <c:v>1.0963991510878399</c:v>
                </c:pt>
                <c:pt idx="79">
                  <c:v>1.0965357120142301</c:v>
                </c:pt>
                <c:pt idx="80">
                  <c:v>1.0962950341893101</c:v>
                </c:pt>
                <c:pt idx="81">
                  <c:v>1.0971988520267799</c:v>
                </c:pt>
                <c:pt idx="82">
                  <c:v>1.0978699464866499</c:v>
                </c:pt>
                <c:pt idx="83">
                  <c:v>1.09824868415093</c:v>
                </c:pt>
                <c:pt idx="84">
                  <c:v>1.09912745395028</c:v>
                </c:pt>
                <c:pt idx="85">
                  <c:v>1.10083847008282</c:v>
                </c:pt>
                <c:pt idx="86">
                  <c:v>1.1007870821646799</c:v>
                </c:pt>
                <c:pt idx="87">
                  <c:v>1.1007046444347399</c:v>
                </c:pt>
                <c:pt idx="88">
                  <c:v>1.10117589600022</c:v>
                </c:pt>
                <c:pt idx="89">
                  <c:v>1.1018205171802899</c:v>
                </c:pt>
                <c:pt idx="90">
                  <c:v>1.1036139034469401</c:v>
                </c:pt>
                <c:pt idx="91">
                  <c:v>1.1045001661649601</c:v>
                </c:pt>
                <c:pt idx="92">
                  <c:v>1.1052673692528301</c:v>
                </c:pt>
                <c:pt idx="93">
                  <c:v>1.10561426470334</c:v>
                </c:pt>
                <c:pt idx="94">
                  <c:v>1.1055641555240301</c:v>
                </c:pt>
                <c:pt idx="95">
                  <c:v>1.1045327192318599</c:v>
                </c:pt>
                <c:pt idx="96">
                  <c:v>1.10421599290379</c:v>
                </c:pt>
                <c:pt idx="97">
                  <c:v>1.10409716273499</c:v>
                </c:pt>
                <c:pt idx="98">
                  <c:v>1.10369919232375</c:v>
                </c:pt>
                <c:pt idx="99">
                  <c:v>1.1031085347601399</c:v>
                </c:pt>
                <c:pt idx="100">
                  <c:v>1.10208493238988</c:v>
                </c:pt>
                <c:pt idx="101">
                  <c:v>1.1007891825112199</c:v>
                </c:pt>
                <c:pt idx="102">
                  <c:v>1.1000363774364099</c:v>
                </c:pt>
                <c:pt idx="103">
                  <c:v>1.1005782027693201</c:v>
                </c:pt>
                <c:pt idx="104">
                  <c:v>1.1016198915126101</c:v>
                </c:pt>
                <c:pt idx="105">
                  <c:v>1.10274931212835</c:v>
                </c:pt>
                <c:pt idx="106">
                  <c:v>1.1035385328987699</c:v>
                </c:pt>
                <c:pt idx="107">
                  <c:v>1.10438188971972</c:v>
                </c:pt>
                <c:pt idx="108">
                  <c:v>1.1048539608693699</c:v>
                </c:pt>
                <c:pt idx="109">
                  <c:v>1.1051077773044</c:v>
                </c:pt>
                <c:pt idx="110">
                  <c:v>1.10595487300607</c:v>
                </c:pt>
                <c:pt idx="111">
                  <c:v>1.1070031912420499</c:v>
                </c:pt>
                <c:pt idx="112">
                  <c:v>1.10786908450597</c:v>
                </c:pt>
                <c:pt idx="113">
                  <c:v>1.1077701210466999</c:v>
                </c:pt>
                <c:pt idx="114">
                  <c:v>1.1074940142627401</c:v>
                </c:pt>
                <c:pt idx="115">
                  <c:v>1.10776394580245</c:v>
                </c:pt>
                <c:pt idx="116">
                  <c:v>1.10867416820229</c:v>
                </c:pt>
                <c:pt idx="117">
                  <c:v>1.10907392081502</c:v>
                </c:pt>
                <c:pt idx="118">
                  <c:v>1.1096445013090801</c:v>
                </c:pt>
                <c:pt idx="119">
                  <c:v>1.1111363531782701</c:v>
                </c:pt>
                <c:pt idx="120">
                  <c:v>1.11139445232516</c:v>
                </c:pt>
                <c:pt idx="121">
                  <c:v>1.11194953163929</c:v>
                </c:pt>
                <c:pt idx="122">
                  <c:v>1.1122977960110101</c:v>
                </c:pt>
                <c:pt idx="123">
                  <c:v>1.1124433579325801</c:v>
                </c:pt>
                <c:pt idx="124">
                  <c:v>1.1119353339528699</c:v>
                </c:pt>
                <c:pt idx="125">
                  <c:v>1.11139000540322</c:v>
                </c:pt>
                <c:pt idx="126">
                  <c:v>1.1106146954409699</c:v>
                </c:pt>
                <c:pt idx="127">
                  <c:v>1.11092453444004</c:v>
                </c:pt>
                <c:pt idx="128">
                  <c:v>1.1108964910544099</c:v>
                </c:pt>
                <c:pt idx="129">
                  <c:v>1.1102218938305199</c:v>
                </c:pt>
                <c:pt idx="130">
                  <c:v>1.10986243858276</c:v>
                </c:pt>
                <c:pt idx="131">
                  <c:v>1.1091019494652801</c:v>
                </c:pt>
                <c:pt idx="132">
                  <c:v>1.10824992490601</c:v>
                </c:pt>
                <c:pt idx="133">
                  <c:v>1.1075671159532401</c:v>
                </c:pt>
                <c:pt idx="134">
                  <c:v>1.1073128217316299</c:v>
                </c:pt>
                <c:pt idx="135">
                  <c:v>1.1067396595675201</c:v>
                </c:pt>
                <c:pt idx="136">
                  <c:v>1.10602568780906</c:v>
                </c:pt>
                <c:pt idx="137">
                  <c:v>1.10484328584244</c:v>
                </c:pt>
                <c:pt idx="138">
                  <c:v>1.10477276734535</c:v>
                </c:pt>
                <c:pt idx="139">
                  <c:v>1.1046685860084999</c:v>
                </c:pt>
                <c:pt idx="140">
                  <c:v>1.10457926276799</c:v>
                </c:pt>
                <c:pt idx="141">
                  <c:v>1.10414346446741</c:v>
                </c:pt>
                <c:pt idx="142">
                  <c:v>1.1031724462731201</c:v>
                </c:pt>
                <c:pt idx="143">
                  <c:v>1.10247157481753</c:v>
                </c:pt>
                <c:pt idx="144">
                  <c:v>1.10200799695562</c:v>
                </c:pt>
                <c:pt idx="145">
                  <c:v>1.1016599384117101</c:v>
                </c:pt>
                <c:pt idx="146">
                  <c:v>1.10116785294884</c:v>
                </c:pt>
                <c:pt idx="147">
                  <c:v>1.1005338201638299</c:v>
                </c:pt>
                <c:pt idx="148">
                  <c:v>1.09903426561319</c:v>
                </c:pt>
                <c:pt idx="149">
                  <c:v>1.0979721839344301</c:v>
                </c:pt>
                <c:pt idx="150">
                  <c:v>1.09750729414191</c:v>
                </c:pt>
                <c:pt idx="151">
                  <c:v>1.0977075603943001</c:v>
                </c:pt>
                <c:pt idx="152">
                  <c:v>1.0985325993474899</c:v>
                </c:pt>
                <c:pt idx="153">
                  <c:v>1.0991216852891601</c:v>
                </c:pt>
                <c:pt idx="154">
                  <c:v>1.0993477384974899</c:v>
                </c:pt>
                <c:pt idx="155">
                  <c:v>1.09983994447077</c:v>
                </c:pt>
                <c:pt idx="156">
                  <c:v>1.1001037121113499</c:v>
                </c:pt>
                <c:pt idx="157">
                  <c:v>1.0999851972847401</c:v>
                </c:pt>
                <c:pt idx="158">
                  <c:v>1.0999580609328701</c:v>
                </c:pt>
                <c:pt idx="159">
                  <c:v>1.0992893008561999</c:v>
                </c:pt>
                <c:pt idx="160">
                  <c:v>1.0979739684749199</c:v>
                </c:pt>
                <c:pt idx="161">
                  <c:v>1.0963619646955101</c:v>
                </c:pt>
                <c:pt idx="162">
                  <c:v>1.0952566874216201</c:v>
                </c:pt>
                <c:pt idx="163">
                  <c:v>1.0941988619558001</c:v>
                </c:pt>
                <c:pt idx="164">
                  <c:v>1.09302902131004</c:v>
                </c:pt>
                <c:pt idx="165">
                  <c:v>1.0913239991597601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1D-4AE2-8FD1-2C64D51ABCBC}"/>
            </c:ext>
          </c:extLst>
        </c:ser>
        <c:ser>
          <c:idx val="2"/>
          <c:order val="2"/>
          <c:tx>
            <c:strRef>
              <c:f>IYJ_XLI_1!$AA$1</c:f>
              <c:strCache>
                <c:ptCount val="1"/>
                <c:pt idx="0">
                  <c:v> XLI*/IYJ*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IYJ_XLI_1!$AA$2:$AA$167</c:f>
              <c:numCache>
                <c:formatCode>_(* #,##0.0000_);_(* \(#,##0.0000\);_(* "-"??_);_(@_)</c:formatCode>
                <c:ptCount val="166"/>
                <c:pt idx="19">
                  <c:v>1.0611379723363701</c:v>
                </c:pt>
                <c:pt idx="20">
                  <c:v>1.0621570582972999</c:v>
                </c:pt>
                <c:pt idx="21">
                  <c:v>1.0637493774273199</c:v>
                </c:pt>
                <c:pt idx="22">
                  <c:v>1.0652230604786299</c:v>
                </c:pt>
                <c:pt idx="23">
                  <c:v>1.0668603244425501</c:v>
                </c:pt>
                <c:pt idx="24">
                  <c:v>1.06862650723343</c:v>
                </c:pt>
                <c:pt idx="25">
                  <c:v>1.07048967279578</c:v>
                </c:pt>
                <c:pt idx="26">
                  <c:v>1.0718086325729701</c:v>
                </c:pt>
                <c:pt idx="27">
                  <c:v>1.0728890858647999</c:v>
                </c:pt>
                <c:pt idx="28">
                  <c:v>1.0741540336420301</c:v>
                </c:pt>
                <c:pt idx="29">
                  <c:v>1.07547815214513</c:v>
                </c:pt>
                <c:pt idx="30">
                  <c:v>1.07674851433878</c:v>
                </c:pt>
                <c:pt idx="31">
                  <c:v>1.07778591646568</c:v>
                </c:pt>
                <c:pt idx="32">
                  <c:v>1.07896539246805</c:v>
                </c:pt>
                <c:pt idx="33">
                  <c:v>1.0804604405801901</c:v>
                </c:pt>
                <c:pt idx="34">
                  <c:v>1.0822868187588399</c:v>
                </c:pt>
                <c:pt idx="35">
                  <c:v>1.08414037200002</c:v>
                </c:pt>
                <c:pt idx="36">
                  <c:v>1.08555908035735</c:v>
                </c:pt>
                <c:pt idx="37">
                  <c:v>1.0869859609849499</c:v>
                </c:pt>
                <c:pt idx="38">
                  <c:v>1.08847075536495</c:v>
                </c:pt>
                <c:pt idx="39">
                  <c:v>1.0899204940346501</c:v>
                </c:pt>
                <c:pt idx="40">
                  <c:v>1.09135974092356</c:v>
                </c:pt>
                <c:pt idx="41">
                  <c:v>1.0923998589256001</c:v>
                </c:pt>
                <c:pt idx="42">
                  <c:v>1.09341588255111</c:v>
                </c:pt>
                <c:pt idx="43">
                  <c:v>1.0945490553211801</c:v>
                </c:pt>
                <c:pt idx="44">
                  <c:v>1.0956467363323801</c:v>
                </c:pt>
                <c:pt idx="45">
                  <c:v>1.0965524210606601</c:v>
                </c:pt>
                <c:pt idx="46">
                  <c:v>1.0978188963734199</c:v>
                </c:pt>
                <c:pt idx="47">
                  <c:v>1.0988614033544899</c:v>
                </c:pt>
                <c:pt idx="48">
                  <c:v>1.0997453018085801</c:v>
                </c:pt>
                <c:pt idx="49">
                  <c:v>1.10034776804468</c:v>
                </c:pt>
                <c:pt idx="50">
                  <c:v>1.1009504727570301</c:v>
                </c:pt>
                <c:pt idx="51">
                  <c:v>1.1020041200125701</c:v>
                </c:pt>
                <c:pt idx="52">
                  <c:v>1.10268667255386</c:v>
                </c:pt>
                <c:pt idx="53">
                  <c:v>1.10319152653425</c:v>
                </c:pt>
                <c:pt idx="54">
                  <c:v>1.1030325949470601</c:v>
                </c:pt>
                <c:pt idx="55">
                  <c:v>1.10291680995857</c:v>
                </c:pt>
                <c:pt idx="56">
                  <c:v>1.1030071557905601</c:v>
                </c:pt>
                <c:pt idx="57">
                  <c:v>1.10291650943805</c:v>
                </c:pt>
                <c:pt idx="58">
                  <c:v>1.1029129591758999</c:v>
                </c:pt>
                <c:pt idx="59">
                  <c:v>1.10234320589608</c:v>
                </c:pt>
                <c:pt idx="60">
                  <c:v>1.1020723274733699</c:v>
                </c:pt>
                <c:pt idx="61">
                  <c:v>1.1021098736536601</c:v>
                </c:pt>
                <c:pt idx="62">
                  <c:v>1.1023252505415899</c:v>
                </c:pt>
                <c:pt idx="63">
                  <c:v>1.10226170430472</c:v>
                </c:pt>
                <c:pt idx="64">
                  <c:v>1.1021329558562001</c:v>
                </c:pt>
                <c:pt idx="65">
                  <c:v>1.1020016922945499</c:v>
                </c:pt>
                <c:pt idx="66">
                  <c:v>1.1018920510975101</c:v>
                </c:pt>
                <c:pt idx="67">
                  <c:v>1.10187748850863</c:v>
                </c:pt>
                <c:pt idx="68">
                  <c:v>1.1015824358406401</c:v>
                </c:pt>
                <c:pt idx="69">
                  <c:v>1.10133938344944</c:v>
                </c:pt>
                <c:pt idx="70">
                  <c:v>1.1008172838765999</c:v>
                </c:pt>
                <c:pt idx="71">
                  <c:v>1.0998640170004601</c:v>
                </c:pt>
                <c:pt idx="72">
                  <c:v>1.0990762154825999</c:v>
                </c:pt>
                <c:pt idx="73">
                  <c:v>1.09851555660639</c:v>
                </c:pt>
                <c:pt idx="74">
                  <c:v>1.0981810008548101</c:v>
                </c:pt>
                <c:pt idx="75">
                  <c:v>1.0977425132868099</c:v>
                </c:pt>
                <c:pt idx="76">
                  <c:v>1.0978919056274901</c:v>
                </c:pt>
                <c:pt idx="77">
                  <c:v>1.0981886637276601</c:v>
                </c:pt>
                <c:pt idx="78">
                  <c:v>1.0982285539941701</c:v>
                </c:pt>
                <c:pt idx="79">
                  <c:v>1.09860521827715</c:v>
                </c:pt>
                <c:pt idx="80">
                  <c:v>1.0983905827889799</c:v>
                </c:pt>
                <c:pt idx="81">
                  <c:v>1.0983210564007999</c:v>
                </c:pt>
                <c:pt idx="82">
                  <c:v>1.0982103830427501</c:v>
                </c:pt>
                <c:pt idx="83">
                  <c:v>1.0981096972470099</c:v>
                </c:pt>
                <c:pt idx="84">
                  <c:v>1.0982041914099001</c:v>
                </c:pt>
                <c:pt idx="85">
                  <c:v>1.09868934716208</c:v>
                </c:pt>
                <c:pt idx="86">
                  <c:v>1.098657669851</c:v>
                </c:pt>
                <c:pt idx="87">
                  <c:v>1.0984466687422301</c:v>
                </c:pt>
                <c:pt idx="88">
                  <c:v>1.0987875235440301</c:v>
                </c:pt>
                <c:pt idx="89">
                  <c:v>1.0991781145972599</c:v>
                </c:pt>
                <c:pt idx="90">
                  <c:v>1.09995446881812</c:v>
                </c:pt>
                <c:pt idx="91">
                  <c:v>1.1008495090958701</c:v>
                </c:pt>
                <c:pt idx="92">
                  <c:v>1.1015686578697399</c:v>
                </c:pt>
                <c:pt idx="93">
                  <c:v>1.10193147442714</c:v>
                </c:pt>
                <c:pt idx="94">
                  <c:v>1.1023458047371499</c:v>
                </c:pt>
                <c:pt idx="95">
                  <c:v>1.10268559465734</c:v>
                </c:pt>
                <c:pt idx="96">
                  <c:v>1.10250153753424</c:v>
                </c:pt>
                <c:pt idx="97">
                  <c:v>1.1024009035848601</c:v>
                </c:pt>
                <c:pt idx="98">
                  <c:v>1.10243754416199</c:v>
                </c:pt>
                <c:pt idx="99">
                  <c:v>1.1024645259702099</c:v>
                </c:pt>
                <c:pt idx="100">
                  <c:v>1.1028494179184101</c:v>
                </c:pt>
                <c:pt idx="101">
                  <c:v>1.10264467433809</c:v>
                </c:pt>
                <c:pt idx="102">
                  <c:v>1.10265187334462</c:v>
                </c:pt>
                <c:pt idx="103">
                  <c:v>1.1030962337363299</c:v>
                </c:pt>
                <c:pt idx="104">
                  <c:v>1.1035920235183201</c:v>
                </c:pt>
                <c:pt idx="105">
                  <c:v>1.1036410156801</c:v>
                </c:pt>
                <c:pt idx="106">
                  <c:v>1.1038772629012801</c:v>
                </c:pt>
                <c:pt idx="107">
                  <c:v>1.1042395262273501</c:v>
                </c:pt>
                <c:pt idx="108">
                  <c:v>1.1042765765965601</c:v>
                </c:pt>
                <c:pt idx="109">
                  <c:v>1.1041081560322701</c:v>
                </c:pt>
                <c:pt idx="110">
                  <c:v>1.10401990269798</c:v>
                </c:pt>
                <c:pt idx="111">
                  <c:v>1.1038961868766399</c:v>
                </c:pt>
                <c:pt idx="112">
                  <c:v>1.1039527309711901</c:v>
                </c:pt>
                <c:pt idx="113">
                  <c:v>1.1041741619080101</c:v>
                </c:pt>
                <c:pt idx="114">
                  <c:v>1.10455695288768</c:v>
                </c:pt>
                <c:pt idx="115">
                  <c:v>1.1052566289654</c:v>
                </c:pt>
                <c:pt idx="116">
                  <c:v>1.10610635055053</c:v>
                </c:pt>
                <c:pt idx="117">
                  <c:v>1.10672790526737</c:v>
                </c:pt>
                <c:pt idx="118">
                  <c:v>1.1072492310892199</c:v>
                </c:pt>
                <c:pt idx="119">
                  <c:v>1.1081220652413399</c:v>
                </c:pt>
                <c:pt idx="120">
                  <c:v>1.1086746626656201</c:v>
                </c:pt>
                <c:pt idx="121">
                  <c:v>1.10947636144067</c:v>
                </c:pt>
                <c:pt idx="122">
                  <c:v>1.11008344025849</c:v>
                </c:pt>
                <c:pt idx="123">
                  <c:v>1.11010673948964</c:v>
                </c:pt>
                <c:pt idx="124">
                  <c:v>1.1097146741078101</c:v>
                </c:pt>
                <c:pt idx="125">
                  <c:v>1.10957697560284</c:v>
                </c:pt>
                <c:pt idx="126">
                  <c:v>1.1096444318216301</c:v>
                </c:pt>
                <c:pt idx="127">
                  <c:v>1.1099992276275299</c:v>
                </c:pt>
                <c:pt idx="128">
                  <c:v>1.11027049618175</c:v>
                </c:pt>
                <c:pt idx="129">
                  <c:v>1.1106791235044</c:v>
                </c:pt>
                <c:pt idx="130">
                  <c:v>1.1106284454539599</c:v>
                </c:pt>
                <c:pt idx="131">
                  <c:v>1.1105257405522799</c:v>
                </c:pt>
                <c:pt idx="132">
                  <c:v>1.1102738604585101</c:v>
                </c:pt>
                <c:pt idx="133">
                  <c:v>1.1100052369429101</c:v>
                </c:pt>
                <c:pt idx="134">
                  <c:v>1.1096240778422499</c:v>
                </c:pt>
                <c:pt idx="135">
                  <c:v>1.10906483248537</c:v>
                </c:pt>
                <c:pt idx="136">
                  <c:v>1.1083201916250101</c:v>
                </c:pt>
                <c:pt idx="137">
                  <c:v>1.1078839101412401</c:v>
                </c:pt>
                <c:pt idx="138">
                  <c:v>1.10783462919988</c:v>
                </c:pt>
                <c:pt idx="139">
                  <c:v>1.10744523991951</c:v>
                </c:pt>
                <c:pt idx="140">
                  <c:v>1.10722085067538</c:v>
                </c:pt>
                <c:pt idx="141">
                  <c:v>1.1066227069663399</c:v>
                </c:pt>
                <c:pt idx="142">
                  <c:v>1.1057111855895601</c:v>
                </c:pt>
                <c:pt idx="143">
                  <c:v>1.10501934538538</c:v>
                </c:pt>
                <c:pt idx="144">
                  <c:v>1.1046604093436301</c:v>
                </c:pt>
                <c:pt idx="145">
                  <c:v>1.10419979898961</c:v>
                </c:pt>
                <c:pt idx="146">
                  <c:v>1.10359677037895</c:v>
                </c:pt>
                <c:pt idx="147">
                  <c:v>1.1026885530031401</c:v>
                </c:pt>
                <c:pt idx="148">
                  <c:v>1.1019035164792701</c:v>
                </c:pt>
                <c:pt idx="149">
                  <c:v>1.1013203849714599</c:v>
                </c:pt>
                <c:pt idx="150">
                  <c:v>1.10104327845495</c:v>
                </c:pt>
                <c:pt idx="151">
                  <c:v>1.1009255124308599</c:v>
                </c:pt>
                <c:pt idx="152">
                  <c:v>1.1008525228103001</c:v>
                </c:pt>
                <c:pt idx="153">
                  <c:v>1.10079663005335</c:v>
                </c:pt>
                <c:pt idx="154">
                  <c:v>1.1006778677265601</c:v>
                </c:pt>
                <c:pt idx="155">
                  <c:v>1.1007499414412401</c:v>
                </c:pt>
                <c:pt idx="156">
                  <c:v>1.1006357825300901</c:v>
                </c:pt>
                <c:pt idx="157">
                  <c:v>1.1002595087242899</c:v>
                </c:pt>
                <c:pt idx="158">
                  <c:v>1.09949616327303</c:v>
                </c:pt>
                <c:pt idx="159">
                  <c:v>1.0986307423953099</c:v>
                </c:pt>
                <c:pt idx="160">
                  <c:v>1.0977406313084099</c:v>
                </c:pt>
                <c:pt idx="161">
                  <c:v>1.0970347625449099</c:v>
                </c:pt>
                <c:pt idx="162">
                  <c:v>1.0968946433845499</c:v>
                </c:pt>
                <c:pt idx="163">
                  <c:v>1.09666027362248</c:v>
                </c:pt>
                <c:pt idx="164">
                  <c:v>1.0961883799037699</c:v>
                </c:pt>
                <c:pt idx="165">
                  <c:v>1.09558197181527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1D-4AE2-8FD1-2C64D51ABC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IYJ_XLI_1!$U$1</c:f>
              <c:strCache>
                <c:ptCount val="1"/>
                <c:pt idx="0">
                  <c:v>log diff IYJ x avg / XLI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IYJ_XLI_1!$U$2:$U$167</c:f>
              <c:numCache>
                <c:formatCode>0.00%</c:formatCode>
                <c:ptCount val="166"/>
                <c:pt idx="1">
                  <c:v>4.4028874504277102E-2</c:v>
                </c:pt>
                <c:pt idx="2">
                  <c:v>4.5327248913052197E-2</c:v>
                </c:pt>
                <c:pt idx="3">
                  <c:v>4.7381969828843899E-2</c:v>
                </c:pt>
                <c:pt idx="4">
                  <c:v>4.6937225037620399E-2</c:v>
                </c:pt>
                <c:pt idx="5">
                  <c:v>4.55596317820764E-2</c:v>
                </c:pt>
                <c:pt idx="6">
                  <c:v>3.8512962754706698E-2</c:v>
                </c:pt>
                <c:pt idx="7">
                  <c:v>3.01417050235952E-2</c:v>
                </c:pt>
                <c:pt idx="8">
                  <c:v>3.1212359314347401E-2</c:v>
                </c:pt>
                <c:pt idx="9">
                  <c:v>2.8443315689349599E-2</c:v>
                </c:pt>
                <c:pt idx="10">
                  <c:v>2.6453387764955601E-2</c:v>
                </c:pt>
                <c:pt idx="11">
                  <c:v>2.49353757713657E-2</c:v>
                </c:pt>
                <c:pt idx="12">
                  <c:v>2.29570468614823E-2</c:v>
                </c:pt>
                <c:pt idx="13">
                  <c:v>2.8847885988444101E-2</c:v>
                </c:pt>
                <c:pt idx="14">
                  <c:v>2.69151995619058E-2</c:v>
                </c:pt>
                <c:pt idx="15">
                  <c:v>2.7239735365870401E-2</c:v>
                </c:pt>
                <c:pt idx="16">
                  <c:v>2.32412556779499E-2</c:v>
                </c:pt>
                <c:pt idx="17">
                  <c:v>2.4409818913563301E-2</c:v>
                </c:pt>
                <c:pt idx="18">
                  <c:v>2.3001272041402499E-2</c:v>
                </c:pt>
                <c:pt idx="19">
                  <c:v>1.91887458920732E-2</c:v>
                </c:pt>
                <c:pt idx="20">
                  <c:v>2.12779586957185E-2</c:v>
                </c:pt>
                <c:pt idx="21">
                  <c:v>1.4112737340876799E-2</c:v>
                </c:pt>
                <c:pt idx="22">
                  <c:v>1.7573907972500202E-2</c:v>
                </c:pt>
                <c:pt idx="23">
                  <c:v>1.6532574472254501E-2</c:v>
                </c:pt>
                <c:pt idx="24">
                  <c:v>1.3713214375344999E-2</c:v>
                </c:pt>
                <c:pt idx="25">
                  <c:v>1.05902132027101E-2</c:v>
                </c:pt>
                <c:pt idx="26">
                  <c:v>1.3804405714963599E-2</c:v>
                </c:pt>
                <c:pt idx="27">
                  <c:v>1.0023614002710299E-2</c:v>
                </c:pt>
                <c:pt idx="28">
                  <c:v>7.6741738041229699E-3</c:v>
                </c:pt>
                <c:pt idx="29">
                  <c:v>3.8847947169364399E-3</c:v>
                </c:pt>
                <c:pt idx="30">
                  <c:v>2.9265464334712701E-3</c:v>
                </c:pt>
                <c:pt idx="31">
                  <c:v>5.7105930061251099E-3</c:v>
                </c:pt>
                <c:pt idx="32">
                  <c:v>1.1706162604249401E-3</c:v>
                </c:pt>
                <c:pt idx="33">
                  <c:v>1.15157696799013E-3</c:v>
                </c:pt>
                <c:pt idx="34">
                  <c:v>-6.7526019360845801E-3</c:v>
                </c:pt>
                <c:pt idx="35">
                  <c:v>-6.93145672394423E-3</c:v>
                </c:pt>
                <c:pt idx="36">
                  <c:v>-2.91412442515871E-3</c:v>
                </c:pt>
                <c:pt idx="37">
                  <c:v>-1.9246157588699E-3</c:v>
                </c:pt>
                <c:pt idx="38">
                  <c:v>-4.3494799270727301E-3</c:v>
                </c:pt>
                <c:pt idx="39">
                  <c:v>-7.4244964438065003E-3</c:v>
                </c:pt>
                <c:pt idx="40">
                  <c:v>-5.1997415439567702E-3</c:v>
                </c:pt>
                <c:pt idx="41">
                  <c:v>-4.9563811733970096E-3</c:v>
                </c:pt>
                <c:pt idx="42">
                  <c:v>-1.1215613104914701E-3</c:v>
                </c:pt>
                <c:pt idx="43">
                  <c:v>-4.2747555062451897E-3</c:v>
                </c:pt>
                <c:pt idx="44">
                  <c:v>-6.3927432925352003E-3</c:v>
                </c:pt>
                <c:pt idx="45">
                  <c:v>-5.9766470480211E-3</c:v>
                </c:pt>
                <c:pt idx="46">
                  <c:v>-9.3598552049110606E-3</c:v>
                </c:pt>
                <c:pt idx="47">
                  <c:v>-9.01163103888491E-3</c:v>
                </c:pt>
                <c:pt idx="48">
                  <c:v>-8.4506643378658708E-3</c:v>
                </c:pt>
                <c:pt idx="49">
                  <c:v>-7.0926249654317099E-3</c:v>
                </c:pt>
                <c:pt idx="50">
                  <c:v>-9.8717000819855908E-3</c:v>
                </c:pt>
                <c:pt idx="51">
                  <c:v>-1.52956764537968E-2</c:v>
                </c:pt>
                <c:pt idx="52">
                  <c:v>-1.3083602947242199E-2</c:v>
                </c:pt>
                <c:pt idx="53">
                  <c:v>-9.9119860144185092E-3</c:v>
                </c:pt>
                <c:pt idx="54">
                  <c:v>-3.8674395301273598E-3</c:v>
                </c:pt>
                <c:pt idx="55">
                  <c:v>-4.8307551900449103E-3</c:v>
                </c:pt>
                <c:pt idx="56">
                  <c:v>-4.5568010961162799E-3</c:v>
                </c:pt>
                <c:pt idx="57">
                  <c:v>-2.7212295998148902E-4</c:v>
                </c:pt>
                <c:pt idx="58">
                  <c:v>-4.2849662517612103E-3</c:v>
                </c:pt>
                <c:pt idx="59">
                  <c:v>2.9503011931588802E-3</c:v>
                </c:pt>
                <c:pt idx="60">
                  <c:v>-2.6967693915356801E-4</c:v>
                </c:pt>
                <c:pt idx="61">
                  <c:v>-5.6379842200970703E-3</c:v>
                </c:pt>
                <c:pt idx="62">
                  <c:v>-5.0401270162669402E-3</c:v>
                </c:pt>
                <c:pt idx="63">
                  <c:v>-3.1193072000773301E-3</c:v>
                </c:pt>
                <c:pt idx="64">
                  <c:v>-4.0553088068357498E-3</c:v>
                </c:pt>
                <c:pt idx="65">
                  <c:v>-3.5925030960904502E-3</c:v>
                </c:pt>
                <c:pt idx="66">
                  <c:v>-7.3755614979831904E-3</c:v>
                </c:pt>
                <c:pt idx="67">
                  <c:v>-8.7482112516707698E-3</c:v>
                </c:pt>
                <c:pt idx="68">
                  <c:v>-3.0969177667753501E-3</c:v>
                </c:pt>
                <c:pt idx="69">
                  <c:v>-2.67850554032992E-3</c:v>
                </c:pt>
                <c:pt idx="70">
                  <c:v>1.4522668565925599E-3</c:v>
                </c:pt>
                <c:pt idx="71">
                  <c:v>3.86984031698197E-3</c:v>
                </c:pt>
                <c:pt idx="72">
                  <c:v>3.0955265898617601E-3</c:v>
                </c:pt>
                <c:pt idx="73">
                  <c:v>2.1717180439643699E-3</c:v>
                </c:pt>
                <c:pt idx="74">
                  <c:v>2.23325494341458E-3</c:v>
                </c:pt>
                <c:pt idx="75">
                  <c:v>3.1650227830737399E-3</c:v>
                </c:pt>
                <c:pt idx="76">
                  <c:v>-7.2671610107451299E-3</c:v>
                </c:pt>
                <c:pt idx="77">
                  <c:v>-5.6719223918513598E-3</c:v>
                </c:pt>
                <c:pt idx="78">
                  <c:v>-5.0095939787048798E-3</c:v>
                </c:pt>
                <c:pt idx="79">
                  <c:v>-3.9205289341897502E-3</c:v>
                </c:pt>
                <c:pt idx="80">
                  <c:v>3.6540834072817702E-3</c:v>
                </c:pt>
                <c:pt idx="81">
                  <c:v>-4.3754546553578201E-3</c:v>
                </c:pt>
                <c:pt idx="82">
                  <c:v>-3.0284546441051098E-3</c:v>
                </c:pt>
                <c:pt idx="83">
                  <c:v>-1.2858199589983401E-3</c:v>
                </c:pt>
                <c:pt idx="84">
                  <c:v>-5.7713882779173303E-3</c:v>
                </c:pt>
                <c:pt idx="85">
                  <c:v>-1.2376224064769801E-2</c:v>
                </c:pt>
                <c:pt idx="86">
                  <c:v>-6.80152950915912E-3</c:v>
                </c:pt>
                <c:pt idx="87">
                  <c:v>-4.9236468893232603E-3</c:v>
                </c:pt>
                <c:pt idx="88">
                  <c:v>-9.2791824729535292E-3</c:v>
                </c:pt>
                <c:pt idx="89">
                  <c:v>-9.7626291819991606E-3</c:v>
                </c:pt>
                <c:pt idx="90">
                  <c:v>-1.2637177339971399E-2</c:v>
                </c:pt>
                <c:pt idx="91">
                  <c:v>-1.2395114455546001E-2</c:v>
                </c:pt>
                <c:pt idx="92">
                  <c:v>-9.9838240080904906E-3</c:v>
                </c:pt>
                <c:pt idx="93">
                  <c:v>-4.4422117801257198E-3</c:v>
                </c:pt>
                <c:pt idx="94">
                  <c:v>-5.3166663920097999E-3</c:v>
                </c:pt>
                <c:pt idx="95">
                  <c:v>-3.0365806832984401E-3</c:v>
                </c:pt>
                <c:pt idx="96">
                  <c:v>-3.9268416691989796E-3</c:v>
                </c:pt>
                <c:pt idx="97">
                  <c:v>-3.8440562204119298E-3</c:v>
                </c:pt>
                <c:pt idx="98">
                  <c:v>-5.6747270379401103E-3</c:v>
                </c:pt>
                <c:pt idx="99">
                  <c:v>-4.41090380494922E-3</c:v>
                </c:pt>
                <c:pt idx="100">
                  <c:v>-3.3712293180852698E-3</c:v>
                </c:pt>
                <c:pt idx="101">
                  <c:v>-6.4823085996108397E-4</c:v>
                </c:pt>
                <c:pt idx="102">
                  <c:v>-3.1594316904396099E-3</c:v>
                </c:pt>
                <c:pt idx="103">
                  <c:v>-9.3524178206748597E-3</c:v>
                </c:pt>
                <c:pt idx="104">
                  <c:v>-1.47273285408628E-2</c:v>
                </c:pt>
                <c:pt idx="105">
                  <c:v>-1.32589508176286E-2</c:v>
                </c:pt>
                <c:pt idx="106">
                  <c:v>-1.1074706788069801E-2</c:v>
                </c:pt>
                <c:pt idx="107">
                  <c:v>-1.14809865290985E-2</c:v>
                </c:pt>
                <c:pt idx="108">
                  <c:v>-9.9488874354344697E-3</c:v>
                </c:pt>
                <c:pt idx="109">
                  <c:v>-6.71414903917672E-3</c:v>
                </c:pt>
                <c:pt idx="110">
                  <c:v>-1.10455010178144E-2</c:v>
                </c:pt>
                <c:pt idx="111">
                  <c:v>-1.0162605995883599E-2</c:v>
                </c:pt>
                <c:pt idx="112">
                  <c:v>-1.2632855763077801E-2</c:v>
                </c:pt>
                <c:pt idx="113">
                  <c:v>-1.0070525063596699E-2</c:v>
                </c:pt>
                <c:pt idx="114">
                  <c:v>-1.38631077100046E-2</c:v>
                </c:pt>
                <c:pt idx="115">
                  <c:v>-1.7302038712593101E-2</c:v>
                </c:pt>
                <c:pt idx="116">
                  <c:v>-1.9255520334478402E-2</c:v>
                </c:pt>
                <c:pt idx="117">
                  <c:v>-1.5080630981082499E-2</c:v>
                </c:pt>
                <c:pt idx="118">
                  <c:v>-1.5090690972958801E-2</c:v>
                </c:pt>
                <c:pt idx="119">
                  <c:v>-2.0145701342383499E-2</c:v>
                </c:pt>
                <c:pt idx="120">
                  <c:v>-1.33720948331718E-2</c:v>
                </c:pt>
                <c:pt idx="121">
                  <c:v>-1.5164002646647299E-2</c:v>
                </c:pt>
                <c:pt idx="122">
                  <c:v>-1.4143215644505601E-2</c:v>
                </c:pt>
                <c:pt idx="123">
                  <c:v>-9.7735852087916693E-3</c:v>
                </c:pt>
                <c:pt idx="124">
                  <c:v>-7.6517109668391798E-3</c:v>
                </c:pt>
                <c:pt idx="125">
                  <c:v>-1.07759531715704E-2</c:v>
                </c:pt>
                <c:pt idx="126">
                  <c:v>-1.22914932477231E-2</c:v>
                </c:pt>
                <c:pt idx="127">
                  <c:v>-1.78617457195453E-2</c:v>
                </c:pt>
                <c:pt idx="128">
                  <c:v>-1.48385939639383E-2</c:v>
                </c:pt>
                <c:pt idx="129">
                  <c:v>-1.40944520625321E-2</c:v>
                </c:pt>
                <c:pt idx="130">
                  <c:v>-1.01303602308669E-2</c:v>
                </c:pt>
                <c:pt idx="131">
                  <c:v>-8.3054553760007407E-3</c:v>
                </c:pt>
                <c:pt idx="132">
                  <c:v>-6.4480847874130304E-3</c:v>
                </c:pt>
                <c:pt idx="133">
                  <c:v>-3.5843900387559201E-3</c:v>
                </c:pt>
                <c:pt idx="134">
                  <c:v>-5.3462900601377204E-3</c:v>
                </c:pt>
                <c:pt idx="135">
                  <c:v>-5.5884322954070703E-3</c:v>
                </c:pt>
                <c:pt idx="136">
                  <c:v>-5.8352420369423902E-3</c:v>
                </c:pt>
                <c:pt idx="137">
                  <c:v>-7.2066866957400198E-3</c:v>
                </c:pt>
                <c:pt idx="138">
                  <c:v>-1.4204384454222001E-2</c:v>
                </c:pt>
                <c:pt idx="139">
                  <c:v>-1.31566553217289E-2</c:v>
                </c:pt>
                <c:pt idx="140">
                  <c:v>-9.3231688980985102E-3</c:v>
                </c:pt>
                <c:pt idx="141">
                  <c:v>-4.3538585631517799E-3</c:v>
                </c:pt>
                <c:pt idx="142">
                  <c:v>2.3945574035475598E-3</c:v>
                </c:pt>
                <c:pt idx="143">
                  <c:v>2.80862151080608E-3</c:v>
                </c:pt>
                <c:pt idx="144">
                  <c:v>-1.12978703830473E-3</c:v>
                </c:pt>
                <c:pt idx="145">
                  <c:v>-2.4250744801499699E-3</c:v>
                </c:pt>
                <c:pt idx="146">
                  <c:v>-1.3610581632503001E-3</c:v>
                </c:pt>
                <c:pt idx="147">
                  <c:v>-1.4460763116430899E-3</c:v>
                </c:pt>
                <c:pt idx="148">
                  <c:v>-6.22008975733497E-4</c:v>
                </c:pt>
                <c:pt idx="149">
                  <c:v>-3.5457193740058802E-3</c:v>
                </c:pt>
                <c:pt idx="150">
                  <c:v>-5.1115259355924304E-3</c:v>
                </c:pt>
                <c:pt idx="151">
                  <c:v>-6.1717101543198802E-3</c:v>
                </c:pt>
                <c:pt idx="152">
                  <c:v>-5.1236987277611E-3</c:v>
                </c:pt>
                <c:pt idx="153">
                  <c:v>-2.5674719771673301E-3</c:v>
                </c:pt>
                <c:pt idx="154">
                  <c:v>-3.1880899827393099E-3</c:v>
                </c:pt>
                <c:pt idx="155">
                  <c:v>-6.8956030081316101E-3</c:v>
                </c:pt>
                <c:pt idx="156">
                  <c:v>-3.76179915371932E-3</c:v>
                </c:pt>
                <c:pt idx="157">
                  <c:v>-3.6559918916409501E-4</c:v>
                </c:pt>
                <c:pt idx="158">
                  <c:v>-3.7451115391587701E-4</c:v>
                </c:pt>
                <c:pt idx="159">
                  <c:v>2.5537291368720799E-3</c:v>
                </c:pt>
                <c:pt idx="160">
                  <c:v>6.9016526487999403E-3</c:v>
                </c:pt>
                <c:pt idx="161">
                  <c:v>8.5553494144046498E-3</c:v>
                </c:pt>
                <c:pt idx="162">
                  <c:v>4.9611739586372496E-3</c:v>
                </c:pt>
                <c:pt idx="163">
                  <c:v>7.1071591772114097E-3</c:v>
                </c:pt>
                <c:pt idx="164">
                  <c:v>7.5098313939257304E-3</c:v>
                </c:pt>
                <c:pt idx="165">
                  <c:v>8.6765505243319007E-3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2A-42C0-B535-7DCC387E7F89}"/>
            </c:ext>
          </c:extLst>
        </c:ser>
        <c:ser>
          <c:idx val="1"/>
          <c:order val="1"/>
          <c:tx>
            <c:strRef>
              <c:f>IYJ_XLI_1!$V$1</c:f>
              <c:strCache>
                <c:ptCount val="1"/>
                <c:pt idx="0">
                  <c:v>log diff IYJ x 10 dma / XLI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IYJ_XLI_1!$V$2:$V$167</c:f>
              <c:numCache>
                <c:formatCode>0.00%</c:formatCode>
                <c:ptCount val="166"/>
                <c:pt idx="10">
                  <c:v>-1.33226249321456E-2</c:v>
                </c:pt>
                <c:pt idx="11">
                  <c:v>-1.3432158079129199E-2</c:v>
                </c:pt>
                <c:pt idx="12">
                  <c:v>-1.34955097040246E-2</c:v>
                </c:pt>
                <c:pt idx="13">
                  <c:v>-5.3649392850844196E-3</c:v>
                </c:pt>
                <c:pt idx="14">
                  <c:v>-5.4531111639812401E-3</c:v>
                </c:pt>
                <c:pt idx="15">
                  <c:v>-3.1374282469155599E-3</c:v>
                </c:pt>
                <c:pt idx="16">
                  <c:v>-5.3165489029582298E-3</c:v>
                </c:pt>
                <c:pt idx="17">
                  <c:v>-2.62549759658784E-3</c:v>
                </c:pt>
                <c:pt idx="18">
                  <c:v>-3.4611570086667E-3</c:v>
                </c:pt>
                <c:pt idx="19">
                  <c:v>-6.4534375599485201E-3</c:v>
                </c:pt>
                <c:pt idx="20">
                  <c:v>-3.4375024379406901E-3</c:v>
                </c:pt>
                <c:pt idx="21">
                  <c:v>-1.00848744262741E-2</c:v>
                </c:pt>
                <c:pt idx="22">
                  <c:v>-5.5369555121349001E-3</c:v>
                </c:pt>
                <c:pt idx="23">
                  <c:v>-6.03858624533757E-3</c:v>
                </c:pt>
                <c:pt idx="24">
                  <c:v>-7.6273115796996601E-3</c:v>
                </c:pt>
                <c:pt idx="25">
                  <c:v>-9.4296214927008307E-3</c:v>
                </c:pt>
                <c:pt idx="26">
                  <c:v>-4.5500045452448604E-3</c:v>
                </c:pt>
                <c:pt idx="27">
                  <c:v>-7.3877115268492699E-3</c:v>
                </c:pt>
                <c:pt idx="28">
                  <c:v>-8.2992730733403002E-3</c:v>
                </c:pt>
                <c:pt idx="29">
                  <c:v>-1.05561275503683E-2</c:v>
                </c:pt>
                <c:pt idx="30">
                  <c:v>-9.9806914733912896E-3</c:v>
                </c:pt>
                <c:pt idx="31">
                  <c:v>-5.3616846157848999E-3</c:v>
                </c:pt>
                <c:pt idx="32">
                  <c:v>-9.0608223284437493E-3</c:v>
                </c:pt>
                <c:pt idx="33">
                  <c:v>-7.4394503165989999E-3</c:v>
                </c:pt>
                <c:pt idx="34">
                  <c:v>-1.3807081495888799E-2</c:v>
                </c:pt>
                <c:pt idx="35">
                  <c:v>-1.1934097344084699E-2</c:v>
                </c:pt>
                <c:pt idx="36">
                  <c:v>-6.1605497001220796E-3</c:v>
                </c:pt>
                <c:pt idx="37">
                  <c:v>-3.50423038346719E-3</c:v>
                </c:pt>
                <c:pt idx="38">
                  <c:v>-4.7379216473736304E-3</c:v>
                </c:pt>
                <c:pt idx="39">
                  <c:v>-6.6128167157708797E-3</c:v>
                </c:pt>
                <c:pt idx="40">
                  <c:v>-3.2566827748968801E-3</c:v>
                </c:pt>
                <c:pt idx="41">
                  <c:v>-2.2016759359748399E-3</c:v>
                </c:pt>
                <c:pt idx="42">
                  <c:v>2.6959459429919102E-3</c:v>
                </c:pt>
                <c:pt idx="43">
                  <c:v>-2.2893548400563699E-4</c:v>
                </c:pt>
                <c:pt idx="44">
                  <c:v>-1.80578215522881E-3</c:v>
                </c:pt>
                <c:pt idx="45">
                  <c:v>-1.4257439538853799E-3</c:v>
                </c:pt>
                <c:pt idx="46">
                  <c:v>-4.9046195454971204E-3</c:v>
                </c:pt>
                <c:pt idx="47">
                  <c:v>-3.9109446064567004E-3</c:v>
                </c:pt>
                <c:pt idx="48">
                  <c:v>-2.6412656386522E-3</c:v>
                </c:pt>
                <c:pt idx="49">
                  <c:v>-8.7294939499012604E-4</c:v>
                </c:pt>
                <c:pt idx="50">
                  <c:v>-3.6852467069346901E-3</c:v>
                </c:pt>
                <c:pt idx="51">
                  <c:v>-8.6415053988248003E-3</c:v>
                </c:pt>
                <c:pt idx="52">
                  <c:v>-5.3924397103054999E-3</c:v>
                </c:pt>
                <c:pt idx="53">
                  <c:v>-1.02602939208252E-3</c:v>
                </c:pt>
                <c:pt idx="54">
                  <c:v>5.5810730070716E-3</c:v>
                </c:pt>
                <c:pt idx="55">
                  <c:v>4.3662834684039097E-3</c:v>
                </c:pt>
                <c:pt idx="56">
                  <c:v>4.5260757061386303E-3</c:v>
                </c:pt>
                <c:pt idx="57">
                  <c:v>8.33135242519672E-3</c:v>
                </c:pt>
                <c:pt idx="58">
                  <c:v>3.4476318447922401E-3</c:v>
                </c:pt>
                <c:pt idx="59">
                  <c:v>1.0266810767018899E-2</c:v>
                </c:pt>
                <c:pt idx="60">
                  <c:v>6.0472905167270503E-3</c:v>
                </c:pt>
                <c:pt idx="61">
                  <c:v>-2.8048697246605E-4</c:v>
                </c:pt>
                <c:pt idx="62">
                  <c:v>-6.5382128232528095E-4</c:v>
                </c:pt>
                <c:pt idx="63">
                  <c:v>4.5855247742468099E-4</c:v>
                </c:pt>
                <c:pt idx="64">
                  <c:v>-1.1589489672060799E-3</c:v>
                </c:pt>
                <c:pt idx="65">
                  <c:v>-6.7733648660485001E-4</c:v>
                </c:pt>
                <c:pt idx="66">
                  <c:v>-4.5843884315491098E-3</c:v>
                </c:pt>
                <c:pt idx="67">
                  <c:v>-5.6743056430448996E-3</c:v>
                </c:pt>
                <c:pt idx="68">
                  <c:v>8.2545742243828404E-4</c:v>
                </c:pt>
                <c:pt idx="69">
                  <c:v>1.1250852310123599E-3</c:v>
                </c:pt>
                <c:pt idx="70">
                  <c:v>5.81636882579972E-3</c:v>
                </c:pt>
                <c:pt idx="71">
                  <c:v>8.0625843853080002E-3</c:v>
                </c:pt>
                <c:pt idx="72">
                  <c:v>6.34017596417765E-3</c:v>
                </c:pt>
                <c:pt idx="73">
                  <c:v>4.6043168008821599E-3</c:v>
                </c:pt>
                <c:pt idx="74">
                  <c:v>4.1376464769221199E-3</c:v>
                </c:pt>
                <c:pt idx="75">
                  <c:v>4.4409838588183297E-3</c:v>
                </c:pt>
                <c:pt idx="76">
                  <c:v>-6.66646432954096E-3</c:v>
                </c:pt>
                <c:pt idx="77">
                  <c:v>-5.0821389166139002E-3</c:v>
                </c:pt>
                <c:pt idx="78">
                  <c:v>-4.7295308166372596E-3</c:v>
                </c:pt>
                <c:pt idx="79">
                  <c:v>-3.4484934966755201E-3</c:v>
                </c:pt>
                <c:pt idx="80">
                  <c:v>4.2506651127790004E-3</c:v>
                </c:pt>
                <c:pt idx="81">
                  <c:v>-3.9983863129497603E-3</c:v>
                </c:pt>
                <c:pt idx="82">
                  <c:v>-1.8272965749755699E-3</c:v>
                </c:pt>
                <c:pt idx="83">
                  <c:v>5.26794553986018E-4</c:v>
                </c:pt>
                <c:pt idx="84">
                  <c:v>-3.6138582737991298E-3</c:v>
                </c:pt>
                <c:pt idx="85">
                  <c:v>-9.4188584467520403E-3</c:v>
                </c:pt>
                <c:pt idx="86">
                  <c:v>-2.2886702729505602E-3</c:v>
                </c:pt>
                <c:pt idx="87">
                  <c:v>-4.57469449751708E-4</c:v>
                </c:pt>
                <c:pt idx="88">
                  <c:v>-4.8878976427741997E-3</c:v>
                </c:pt>
                <c:pt idx="89">
                  <c:v>-4.9432997199492304E-3</c:v>
                </c:pt>
                <c:pt idx="90">
                  <c:v>-7.2326256827244199E-3</c:v>
                </c:pt>
                <c:pt idx="91">
                  <c:v>-5.3642286437529602E-3</c:v>
                </c:pt>
                <c:pt idx="92">
                  <c:v>-2.1502054228354698E-3</c:v>
                </c:pt>
                <c:pt idx="93">
                  <c:v>4.0857813095972603E-3</c:v>
                </c:pt>
                <c:pt idx="94">
                  <c:v>3.52513404770678E-3</c:v>
                </c:pt>
                <c:pt idx="95">
                  <c:v>5.7598962503124101E-3</c:v>
                </c:pt>
                <c:pt idx="96">
                  <c:v>3.9362496025985502E-3</c:v>
                </c:pt>
                <c:pt idx="97">
                  <c:v>3.73224250817469E-3</c:v>
                </c:pt>
                <c:pt idx="98">
                  <c:v>1.7939509316818999E-3</c:v>
                </c:pt>
                <c:pt idx="99">
                  <c:v>2.6972604654489801E-3</c:v>
                </c:pt>
                <c:pt idx="100">
                  <c:v>3.2016299771947098E-3</c:v>
                </c:pt>
                <c:pt idx="101">
                  <c:v>4.9962722987583101E-3</c:v>
                </c:pt>
                <c:pt idx="102">
                  <c:v>1.3086537879925099E-3</c:v>
                </c:pt>
                <c:pt idx="103">
                  <c:v>-5.5684439027992904E-3</c:v>
                </c:pt>
                <c:pt idx="104">
                  <c:v>-1.0450923691438199E-2</c:v>
                </c:pt>
                <c:pt idx="105">
                  <c:v>-8.0365013560558893E-3</c:v>
                </c:pt>
                <c:pt idx="106">
                  <c:v>-4.8275463001435396E-3</c:v>
                </c:pt>
                <c:pt idx="107">
                  <c:v>-4.5183973577688297E-3</c:v>
                </c:pt>
                <c:pt idx="108">
                  <c:v>-2.22236053036764E-3</c:v>
                </c:pt>
                <c:pt idx="109">
                  <c:v>1.4397393508167699E-3</c:v>
                </c:pt>
                <c:pt idx="110">
                  <c:v>-2.66191051871454E-3</c:v>
                </c:pt>
                <c:pt idx="111">
                  <c:v>-1.01278144819505E-3</c:v>
                </c:pt>
                <c:pt idx="112">
                  <c:v>-2.53559499295496E-3</c:v>
                </c:pt>
                <c:pt idx="113">
                  <c:v>9.7155225044586596E-4</c:v>
                </c:pt>
                <c:pt idx="114">
                  <c:v>-2.7493177297724602E-3</c:v>
                </c:pt>
                <c:pt idx="115">
                  <c:v>-6.2749499600591799E-3</c:v>
                </c:pt>
                <c:pt idx="116">
                  <c:v>-7.8224815728568705E-3</c:v>
                </c:pt>
                <c:pt idx="117">
                  <c:v>-2.8267866828825699E-3</c:v>
                </c:pt>
                <c:pt idx="118">
                  <c:v>-2.47657707932786E-3</c:v>
                </c:pt>
                <c:pt idx="119">
                  <c:v>-7.0175871470435098E-3</c:v>
                </c:pt>
                <c:pt idx="120">
                  <c:v>1.0986883486181201E-3</c:v>
                </c:pt>
                <c:pt idx="121">
                  <c:v>-4.6111264716617299E-4</c:v>
                </c:pt>
                <c:pt idx="122">
                  <c:v>1.05867098259484E-3</c:v>
                </c:pt>
                <c:pt idx="123">
                  <c:v>5.5790523488306399E-3</c:v>
                </c:pt>
                <c:pt idx="124">
                  <c:v>7.6713929876525699E-3</c:v>
                </c:pt>
                <c:pt idx="125">
                  <c:v>3.9286483513364199E-3</c:v>
                </c:pt>
                <c:pt idx="126">
                  <c:v>1.7607200401791099E-3</c:v>
                </c:pt>
                <c:pt idx="127">
                  <c:v>-4.5073797345074702E-3</c:v>
                </c:pt>
                <c:pt idx="128">
                  <c:v>-1.2052871464229E-3</c:v>
                </c:pt>
                <c:pt idx="129">
                  <c:v>-4.8638884952793197E-4</c:v>
                </c:pt>
                <c:pt idx="130">
                  <c:v>2.87026373061158E-3</c:v>
                </c:pt>
                <c:pt idx="131">
                  <c:v>4.3713473272876599E-3</c:v>
                </c:pt>
                <c:pt idx="132">
                  <c:v>5.54327280341518E-3</c:v>
                </c:pt>
                <c:pt idx="133">
                  <c:v>7.6384611088212099E-3</c:v>
                </c:pt>
                <c:pt idx="134">
                  <c:v>5.2602566166346501E-3</c:v>
                </c:pt>
                <c:pt idx="135">
                  <c:v>4.7884908984896597E-3</c:v>
                </c:pt>
                <c:pt idx="136">
                  <c:v>4.0239317524080704E-3</c:v>
                </c:pt>
                <c:pt idx="137">
                  <c:v>2.0071662654538198E-3</c:v>
                </c:pt>
                <c:pt idx="138">
                  <c:v>-6.0601580456986701E-3</c:v>
                </c:pt>
                <c:pt idx="139">
                  <c:v>-5.0762576467229797E-3</c:v>
                </c:pt>
                <c:pt idx="140">
                  <c:v>-1.33707681465771E-3</c:v>
                </c:pt>
                <c:pt idx="141">
                  <c:v>3.5513704875579401E-3</c:v>
                </c:pt>
                <c:pt idx="142">
                  <c:v>9.9051707780904493E-3</c:v>
                </c:pt>
                <c:pt idx="143">
                  <c:v>9.4394167748536196E-3</c:v>
                </c:pt>
                <c:pt idx="144">
                  <c:v>4.86548275338489E-3</c:v>
                </c:pt>
                <c:pt idx="145">
                  <c:v>3.1496172534068501E-3</c:v>
                </c:pt>
                <c:pt idx="146">
                  <c:v>3.8977433753968199E-3</c:v>
                </c:pt>
                <c:pt idx="147">
                  <c:v>3.3659490668497801E-3</c:v>
                </c:pt>
                <c:pt idx="148">
                  <c:v>3.61406843462085E-3</c:v>
                </c:pt>
                <c:pt idx="149">
                  <c:v>-6.7314127304252602E-4</c:v>
                </c:pt>
                <c:pt idx="150">
                  <c:v>-3.2057922985726799E-3</c:v>
                </c:pt>
                <c:pt idx="151">
                  <c:v>-4.6894738026184001E-3</c:v>
                </c:pt>
                <c:pt idx="152">
                  <c:v>-3.4590052898786001E-3</c:v>
                </c:pt>
                <c:pt idx="153">
                  <c:v>-1.51459073304855E-4</c:v>
                </c:pt>
                <c:pt idx="154">
                  <c:v>-2.3597277903213699E-4</c:v>
                </c:pt>
                <c:pt idx="155">
                  <c:v>-3.73783981573486E-3</c:v>
                </c:pt>
                <c:pt idx="156">
                  <c:v>-1.5641069922323501E-4</c:v>
                </c:pt>
                <c:pt idx="157">
                  <c:v>3.47958417194497E-3</c:v>
                </c:pt>
                <c:pt idx="158">
                  <c:v>3.3629358096206401E-3</c:v>
                </c:pt>
                <c:pt idx="159">
                  <c:v>6.2665060533292002E-3</c:v>
                </c:pt>
                <c:pt idx="160">
                  <c:v>1.00062577798501E-2</c:v>
                </c:pt>
                <c:pt idx="161">
                  <c:v>1.04627083558373E-2</c:v>
                </c:pt>
                <c:pt idx="162">
                  <c:v>5.3992919830177198E-3</c:v>
                </c:pt>
                <c:pt idx="163">
                  <c:v>6.5366369744018597E-3</c:v>
                </c:pt>
                <c:pt idx="164">
                  <c:v>5.9730182349622303E-3</c:v>
                </c:pt>
                <c:pt idx="165">
                  <c:v>6.0700356061134299E-3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2A-42C0-B535-7DCC387E7F89}"/>
            </c:ext>
          </c:extLst>
        </c:ser>
        <c:ser>
          <c:idx val="2"/>
          <c:order val="2"/>
          <c:tx>
            <c:strRef>
              <c:f>IYJ_XLI_1!$W$1</c:f>
              <c:strCache>
                <c:ptCount val="1"/>
                <c:pt idx="0">
                  <c:v>log diff IYJ x 20 dma / XLI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IYJ_XLI_1!$W$2:$W$167</c:f>
              <c:numCache>
                <c:formatCode>0.00%</c:formatCode>
                <c:ptCount val="166"/>
                <c:pt idx="20">
                  <c:v>-1.09394259609386E-2</c:v>
                </c:pt>
                <c:pt idx="21">
                  <c:v>-1.7144737341437701E-2</c:v>
                </c:pt>
                <c:pt idx="22">
                  <c:v>-1.2185552120808E-2</c:v>
                </c:pt>
                <c:pt idx="23">
                  <c:v>-1.18424775747672E-2</c:v>
                </c:pt>
                <c:pt idx="24">
                  <c:v>-1.31260025375298E-2</c:v>
                </c:pt>
                <c:pt idx="25">
                  <c:v>-1.45948767285359E-2</c:v>
                </c:pt>
                <c:pt idx="26">
                  <c:v>-9.6386881050880904E-3</c:v>
                </c:pt>
                <c:pt idx="27">
                  <c:v>-1.21881294115261E-2</c:v>
                </c:pt>
                <c:pt idx="28">
                  <c:v>-1.3530011879307999E-2</c:v>
                </c:pt>
                <c:pt idx="29">
                  <c:v>-1.61410746932012E-2</c:v>
                </c:pt>
                <c:pt idx="30">
                  <c:v>-1.5867373921076899E-2</c:v>
                </c:pt>
                <c:pt idx="31">
                  <c:v>-1.1902817543425899E-2</c:v>
                </c:pt>
                <c:pt idx="32">
                  <c:v>-1.54797999714323E-2</c:v>
                </c:pt>
                <c:pt idx="33">
                  <c:v>-1.44050867156971E-2</c:v>
                </c:pt>
                <c:pt idx="34">
                  <c:v>-2.0924593520248801E-2</c:v>
                </c:pt>
                <c:pt idx="35">
                  <c:v>-1.94145051318622E-2</c:v>
                </c:pt>
                <c:pt idx="36">
                  <c:v>-1.3686011062798299E-2</c:v>
                </c:pt>
                <c:pt idx="37">
                  <c:v>-1.13887557793681E-2</c:v>
                </c:pt>
                <c:pt idx="38">
                  <c:v>-1.25000629850057E-2</c:v>
                </c:pt>
                <c:pt idx="39">
                  <c:v>-1.4210037761869901E-2</c:v>
                </c:pt>
                <c:pt idx="40">
                  <c:v>-1.0654264952236399E-2</c:v>
                </c:pt>
                <c:pt idx="41">
                  <c:v>-9.0912693741389498E-3</c:v>
                </c:pt>
                <c:pt idx="42">
                  <c:v>-4.3038555711672997E-3</c:v>
                </c:pt>
                <c:pt idx="43">
                  <c:v>-6.5273980315036003E-3</c:v>
                </c:pt>
                <c:pt idx="44">
                  <c:v>-7.6095622067542798E-3</c:v>
                </c:pt>
                <c:pt idx="45">
                  <c:v>-6.1911070797223897E-3</c:v>
                </c:pt>
                <c:pt idx="46">
                  <c:v>-8.7480355833668595E-3</c:v>
                </c:pt>
                <c:pt idx="47">
                  <c:v>-7.2455168425654198E-3</c:v>
                </c:pt>
                <c:pt idx="48">
                  <c:v>-5.73538420286142E-3</c:v>
                </c:pt>
                <c:pt idx="49">
                  <c:v>-3.5732915182690602E-3</c:v>
                </c:pt>
                <c:pt idx="50">
                  <c:v>-5.8046932118962597E-3</c:v>
                </c:pt>
                <c:pt idx="51">
                  <c:v>-1.05893375795962E-2</c:v>
                </c:pt>
                <c:pt idx="52">
                  <c:v>-7.3273920518699296E-3</c:v>
                </c:pt>
                <c:pt idx="53">
                  <c:v>-3.4431693297007899E-3</c:v>
                </c:pt>
                <c:pt idx="54">
                  <c:v>3.1532516394675901E-3</c:v>
                </c:pt>
                <c:pt idx="55">
                  <c:v>2.0459140057804098E-3</c:v>
                </c:pt>
                <c:pt idx="56">
                  <c:v>2.2149320151479798E-3</c:v>
                </c:pt>
                <c:pt idx="57">
                  <c:v>6.5814916393434203E-3</c:v>
                </c:pt>
                <c:pt idx="58">
                  <c:v>2.4864944830414E-3</c:v>
                </c:pt>
                <c:pt idx="59">
                  <c:v>9.7185441459060901E-3</c:v>
                </c:pt>
                <c:pt idx="60">
                  <c:v>5.98203560555274E-3</c:v>
                </c:pt>
                <c:pt idx="61">
                  <c:v>3.6806010155996402E-4</c:v>
                </c:pt>
                <c:pt idx="62">
                  <c:v>9.99972728940119E-4</c:v>
                </c:pt>
                <c:pt idx="63">
                  <c:v>3.1161229323539998E-3</c:v>
                </c:pt>
                <c:pt idx="64">
                  <c:v>2.1224937101008601E-3</c:v>
                </c:pt>
                <c:pt idx="65">
                  <c:v>2.4685322693212999E-3</c:v>
                </c:pt>
                <c:pt idx="66">
                  <c:v>-1.4335883798127099E-3</c:v>
                </c:pt>
                <c:pt idx="67">
                  <c:v>-2.9056987418985898E-3</c:v>
                </c:pt>
                <c:pt idx="68">
                  <c:v>2.73238359983564E-3</c:v>
                </c:pt>
                <c:pt idx="69">
                  <c:v>2.8830872062923498E-3</c:v>
                </c:pt>
                <c:pt idx="70">
                  <c:v>6.7932782795117001E-3</c:v>
                </c:pt>
                <c:pt idx="71">
                  <c:v>8.6451305561970095E-3</c:v>
                </c:pt>
                <c:pt idx="72">
                  <c:v>6.91116706638708E-3</c:v>
                </c:pt>
                <c:pt idx="73">
                  <c:v>5.1771112139875602E-3</c:v>
                </c:pt>
                <c:pt idx="74">
                  <c:v>4.6337536301183403E-3</c:v>
                </c:pt>
                <c:pt idx="75">
                  <c:v>5.2609224999990902E-3</c:v>
                </c:pt>
                <c:pt idx="76">
                  <c:v>-5.5706263636966799E-3</c:v>
                </c:pt>
                <c:pt idx="77">
                  <c:v>-3.8393064922712401E-3</c:v>
                </c:pt>
                <c:pt idx="78">
                  <c:v>-2.9067164993681299E-3</c:v>
                </c:pt>
                <c:pt idx="79">
                  <c:v>-1.7813284227851001E-3</c:v>
                </c:pt>
                <c:pt idx="80">
                  <c:v>6.1361995197019197E-3</c:v>
                </c:pt>
                <c:pt idx="81">
                  <c:v>-2.0887285284392301E-3</c:v>
                </c:pt>
                <c:pt idx="82">
                  <c:v>-8.0502894038382501E-4</c:v>
                </c:pt>
                <c:pt idx="83">
                  <c:v>8.3683472350977895E-4</c:v>
                </c:pt>
                <c:pt idx="84">
                  <c:v>-3.7404194992187402E-3</c:v>
                </c:pt>
                <c:pt idx="85">
                  <c:v>-1.0259207327775801E-2</c:v>
                </c:pt>
                <c:pt idx="86">
                  <c:v>-4.2428384246906304E-3</c:v>
                </c:pt>
                <c:pt idx="87">
                  <c:v>-2.3937881293239899E-3</c:v>
                </c:pt>
                <c:pt idx="88">
                  <c:v>-6.94139571036768E-3</c:v>
                </c:pt>
                <c:pt idx="89">
                  <c:v>-7.1145843634104096E-3</c:v>
                </c:pt>
                <c:pt idx="90">
                  <c:v>-9.6337210895001898E-3</c:v>
                </c:pt>
                <c:pt idx="91">
                  <c:v>-8.68560322778986E-3</c:v>
                </c:pt>
                <c:pt idx="92">
                  <c:v>-5.4609369994143798E-3</c:v>
                </c:pt>
                <c:pt idx="93">
                  <c:v>7.3372904931435395E-4</c:v>
                </c:pt>
                <c:pt idx="94">
                  <c:v>1.8858375341729899E-4</c:v>
                </c:pt>
                <c:pt idx="95">
                  <c:v>2.8446024890809401E-3</c:v>
                </c:pt>
                <c:pt idx="96">
                  <c:v>2.2625365909843798E-3</c:v>
                </c:pt>
                <c:pt idx="97">
                  <c:v>2.1783909699838802E-3</c:v>
                </c:pt>
                <c:pt idx="98">
                  <c:v>2.5643815506008099E-4</c:v>
                </c:pt>
                <c:pt idx="99">
                  <c:v>1.55349790672964E-3</c:v>
                </c:pt>
                <c:pt idx="100">
                  <c:v>2.6176467760107101E-3</c:v>
                </c:pt>
                <c:pt idx="101">
                  <c:v>5.6897038823833599E-3</c:v>
                </c:pt>
                <c:pt idx="102">
                  <c:v>2.9928361923724799E-3</c:v>
                </c:pt>
                <c:pt idx="103">
                  <c:v>-3.19362110477555E-3</c:v>
                </c:pt>
                <c:pt idx="104">
                  <c:v>-8.1656205439430193E-3</c:v>
                </c:pt>
                <c:pt idx="105">
                  <c:v>-6.2478909118403696E-3</c:v>
                </c:pt>
                <c:pt idx="106">
                  <c:v>-4.0192545042059998E-3</c:v>
                </c:pt>
                <c:pt idx="107">
                  <c:v>-4.2114954992134397E-3</c:v>
                </c:pt>
                <c:pt idx="108">
                  <c:v>-2.35127668733084E-3</c:v>
                </c:pt>
                <c:pt idx="109">
                  <c:v>9.1701398337967505E-4</c:v>
                </c:pt>
                <c:pt idx="110">
                  <c:v>-3.5668662772441501E-3</c:v>
                </c:pt>
                <c:pt idx="111">
                  <c:v>-2.76390623371107E-3</c:v>
                </c:pt>
                <c:pt idx="112">
                  <c:v>-5.3462216922219603E-3</c:v>
                </c:pt>
                <c:pt idx="113">
                  <c:v>-2.6509144539778799E-3</c:v>
                </c:pt>
                <c:pt idx="114">
                  <c:v>-6.1621665771307999E-3</c:v>
                </c:pt>
                <c:pt idx="115">
                  <c:v>-9.1730578817904099E-3</c:v>
                </c:pt>
                <c:pt idx="116">
                  <c:v>-1.0412059046787801E-2</c:v>
                </c:pt>
                <c:pt idx="117">
                  <c:v>-5.4689145777980603E-3</c:v>
                </c:pt>
                <c:pt idx="118">
                  <c:v>-4.9173845132607702E-3</c:v>
                </c:pt>
                <c:pt idx="119">
                  <c:v>-9.5016071876103999E-3</c:v>
                </c:pt>
                <c:pt idx="120">
                  <c:v>-1.9402762605331199E-3</c:v>
                </c:pt>
                <c:pt idx="121">
                  <c:v>-3.2337908110261502E-3</c:v>
                </c:pt>
                <c:pt idx="122">
                  <c:v>-1.49038479878795E-3</c:v>
                </c:pt>
                <c:pt idx="123">
                  <c:v>3.4260948414442699E-3</c:v>
                </c:pt>
                <c:pt idx="124">
                  <c:v>5.5689507894045196E-3</c:v>
                </c:pt>
                <c:pt idx="125">
                  <c:v>2.09158247771918E-3</c:v>
                </c:pt>
                <c:pt idx="126">
                  <c:v>4.5199028619314198E-4</c:v>
                </c:pt>
                <c:pt idx="127">
                  <c:v>-5.0574891844361201E-3</c:v>
                </c:pt>
                <c:pt idx="128">
                  <c:v>-1.7147537640937701E-3</c:v>
                </c:pt>
                <c:pt idx="129">
                  <c:v>-7.26334564478043E-4</c:v>
                </c:pt>
                <c:pt idx="130">
                  <c:v>3.6056135117598699E-3</c:v>
                </c:pt>
                <c:pt idx="131">
                  <c:v>5.3849041040126503E-3</c:v>
                </c:pt>
                <c:pt idx="132">
                  <c:v>7.14982575808465E-3</c:v>
                </c:pt>
                <c:pt idx="133">
                  <c:v>9.7054862043031102E-3</c:v>
                </c:pt>
                <c:pt idx="134">
                  <c:v>7.62131599198631E-3</c:v>
                </c:pt>
                <c:pt idx="135">
                  <c:v>6.9546711611326098E-3</c:v>
                </c:pt>
                <c:pt idx="136">
                  <c:v>6.1226491976033902E-3</c:v>
                </c:pt>
                <c:pt idx="137">
                  <c:v>4.0795657568575804E-3</c:v>
                </c:pt>
                <c:pt idx="138">
                  <c:v>-3.3118515954638399E-3</c:v>
                </c:pt>
                <c:pt idx="139">
                  <c:v>-2.3086054967988798E-3</c:v>
                </c:pt>
                <c:pt idx="140">
                  <c:v>1.1733323123125001E-3</c:v>
                </c:pt>
                <c:pt idx="141">
                  <c:v>5.9400033005376799E-3</c:v>
                </c:pt>
                <c:pt idx="142">
                  <c:v>1.2148052517725201E-2</c:v>
                </c:pt>
                <c:pt idx="143">
                  <c:v>1.17380805864572E-2</c:v>
                </c:pt>
                <c:pt idx="144">
                  <c:v>7.1737791778853002E-3</c:v>
                </c:pt>
                <c:pt idx="145">
                  <c:v>5.5536156591816299E-3</c:v>
                </c:pt>
                <c:pt idx="146">
                  <c:v>6.2005749265214198E-3</c:v>
                </c:pt>
                <c:pt idx="147">
                  <c:v>5.56928486700339E-3</c:v>
                </c:pt>
                <c:pt idx="148">
                  <c:v>5.5700521360644902E-3</c:v>
                </c:pt>
                <c:pt idx="149">
                  <c:v>1.93415868323719E-3</c:v>
                </c:pt>
                <c:pt idx="150">
                  <c:v>-1.6099173762682299E-4</c:v>
                </c:pt>
                <c:pt idx="151">
                  <c:v>-1.47282060757738E-3</c:v>
                </c:pt>
                <c:pt idx="152">
                  <c:v>-5.3177348014312397E-4</c:v>
                </c:pt>
                <c:pt idx="153">
                  <c:v>1.9581526539367402E-3</c:v>
                </c:pt>
                <c:pt idx="154">
                  <c:v>1.2867611117215901E-3</c:v>
                </c:pt>
                <c:pt idx="155">
                  <c:v>-2.5286453523860998E-3</c:v>
                </c:pt>
                <c:pt idx="156">
                  <c:v>6.7063756466666496E-4</c:v>
                </c:pt>
                <c:pt idx="157">
                  <c:v>3.9631220285678897E-3</c:v>
                </c:pt>
                <c:pt idx="158">
                  <c:v>3.6122821120695499E-3</c:v>
                </c:pt>
                <c:pt idx="159">
                  <c:v>5.8464948873360898E-3</c:v>
                </c:pt>
                <c:pt idx="160">
                  <c:v>9.40700169443154E-3</c:v>
                </c:pt>
                <c:pt idx="161">
                  <c:v>1.02501696521236E-2</c:v>
                </c:pt>
                <c:pt idx="162">
                  <c:v>6.0127677506623799E-3</c:v>
                </c:pt>
                <c:pt idx="163">
                  <c:v>8.0310194513167499E-3</c:v>
                </c:pt>
                <c:pt idx="164">
                  <c:v>8.2200022261577702E-3</c:v>
                </c:pt>
                <c:pt idx="165">
                  <c:v>8.9563280184378705E-3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2A-42C0-B535-7DCC387E7F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3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0</c:v>
              </c:pt>
              <c:pt idx="20">
                <c:v>0</c:v>
              </c:pt>
              <c:pt idx="21">
                <c:v>0</c:v>
              </c:pt>
              <c:pt idx="22">
                <c:v>0</c:v>
              </c:pt>
              <c:pt idx="23">
                <c:v>0</c:v>
              </c:pt>
              <c:pt idx="24">
                <c:v>0</c:v>
              </c:pt>
              <c:pt idx="25">
                <c:v>0</c:v>
              </c:pt>
              <c:pt idx="26">
                <c:v>0</c:v>
              </c:pt>
              <c:pt idx="27">
                <c:v>0</c:v>
              </c:pt>
              <c:pt idx="28">
                <c:v>0</c:v>
              </c:pt>
              <c:pt idx="29">
                <c:v>0</c:v>
              </c:pt>
              <c:pt idx="30">
                <c:v>0</c:v>
              </c:pt>
              <c:pt idx="31">
                <c:v>0</c:v>
              </c:pt>
              <c:pt idx="32">
                <c:v>0</c:v>
              </c:pt>
              <c:pt idx="33">
                <c:v>0</c:v>
              </c:pt>
              <c:pt idx="34">
                <c:v>0</c:v>
              </c:pt>
              <c:pt idx="35">
                <c:v>0</c:v>
              </c:pt>
              <c:pt idx="36">
                <c:v>0</c:v>
              </c:pt>
              <c:pt idx="37">
                <c:v>0</c:v>
              </c:pt>
              <c:pt idx="38">
                <c:v>0</c:v>
              </c:pt>
              <c:pt idx="39">
                <c:v>0</c:v>
              </c:pt>
              <c:pt idx="40">
                <c:v>0</c:v>
              </c:pt>
              <c:pt idx="41">
                <c:v>0</c:v>
              </c:pt>
              <c:pt idx="42">
                <c:v>0</c:v>
              </c:pt>
              <c:pt idx="43">
                <c:v>0</c:v>
              </c:pt>
              <c:pt idx="44">
                <c:v>0</c:v>
              </c:pt>
              <c:pt idx="45">
                <c:v>0</c:v>
              </c:pt>
              <c:pt idx="46">
                <c:v>0</c:v>
              </c:pt>
              <c:pt idx="47">
                <c:v>0</c:v>
              </c:pt>
              <c:pt idx="48">
                <c:v>0</c:v>
              </c:pt>
              <c:pt idx="49">
                <c:v>0</c:v>
              </c:pt>
              <c:pt idx="50">
                <c:v>0</c:v>
              </c:pt>
              <c:pt idx="51">
                <c:v>0</c:v>
              </c:pt>
              <c:pt idx="52">
                <c:v>0</c:v>
              </c:pt>
              <c:pt idx="53">
                <c:v>0</c:v>
              </c:pt>
              <c:pt idx="54">
                <c:v>0</c:v>
              </c:pt>
              <c:pt idx="55">
                <c:v>0</c:v>
              </c:pt>
              <c:pt idx="56">
                <c:v>0</c:v>
              </c:pt>
              <c:pt idx="57">
                <c:v>0</c:v>
              </c:pt>
              <c:pt idx="58">
                <c:v>0</c:v>
              </c:pt>
              <c:pt idx="59">
                <c:v>0</c:v>
              </c:pt>
              <c:pt idx="60">
                <c:v>0</c:v>
              </c:pt>
              <c:pt idx="61">
                <c:v>0</c:v>
              </c:pt>
              <c:pt idx="62">
                <c:v>0</c:v>
              </c:pt>
              <c:pt idx="63">
                <c:v>0</c:v>
              </c:pt>
              <c:pt idx="64">
                <c:v>0</c:v>
              </c:pt>
              <c:pt idx="65">
                <c:v>0</c:v>
              </c:pt>
              <c:pt idx="66">
                <c:v>0</c:v>
              </c:pt>
              <c:pt idx="67">
                <c:v>0</c:v>
              </c:pt>
              <c:pt idx="68">
                <c:v>0</c:v>
              </c:pt>
              <c:pt idx="69">
                <c:v>0</c:v>
              </c:pt>
              <c:pt idx="70">
                <c:v>0</c:v>
              </c:pt>
              <c:pt idx="71">
                <c:v>0</c:v>
              </c:pt>
              <c:pt idx="72">
                <c:v>0</c:v>
              </c:pt>
              <c:pt idx="73">
                <c:v>0</c:v>
              </c:pt>
              <c:pt idx="74">
                <c:v>0</c:v>
              </c:pt>
              <c:pt idx="75">
                <c:v>0</c:v>
              </c:pt>
              <c:pt idx="76">
                <c:v>0</c:v>
              </c:pt>
              <c:pt idx="77">
                <c:v>0</c:v>
              </c:pt>
              <c:pt idx="78">
                <c:v>0</c:v>
              </c:pt>
              <c:pt idx="79">
                <c:v>0</c:v>
              </c:pt>
              <c:pt idx="80">
                <c:v>0</c:v>
              </c:pt>
              <c:pt idx="81">
                <c:v>0</c:v>
              </c:pt>
              <c:pt idx="82">
                <c:v>0</c:v>
              </c:pt>
              <c:pt idx="83">
                <c:v>0</c:v>
              </c:pt>
              <c:pt idx="84">
                <c:v>0</c:v>
              </c:pt>
              <c:pt idx="85">
                <c:v>0</c:v>
              </c:pt>
              <c:pt idx="86">
                <c:v>0</c:v>
              </c:pt>
              <c:pt idx="87">
                <c:v>0</c:v>
              </c:pt>
              <c:pt idx="88">
                <c:v>0</c:v>
              </c:pt>
              <c:pt idx="89">
                <c:v>0</c:v>
              </c:pt>
              <c:pt idx="90">
                <c:v>0</c:v>
              </c:pt>
              <c:pt idx="91">
                <c:v>0</c:v>
              </c:pt>
              <c:pt idx="92">
                <c:v>0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  <c:pt idx="112">
                <c:v>0</c:v>
              </c:pt>
              <c:pt idx="113">
                <c:v>0</c:v>
              </c:pt>
              <c:pt idx="114">
                <c:v>0</c:v>
              </c:pt>
              <c:pt idx="115">
                <c:v>0</c:v>
              </c:pt>
              <c:pt idx="116">
                <c:v>0</c:v>
              </c:pt>
              <c:pt idx="117">
                <c:v>0</c:v>
              </c:pt>
              <c:pt idx="118">
                <c:v>0</c:v>
              </c:pt>
              <c:pt idx="119">
                <c:v>0</c:v>
              </c:pt>
              <c:pt idx="120">
                <c:v>0</c:v>
              </c:pt>
              <c:pt idx="121">
                <c:v>0</c:v>
              </c:pt>
              <c:pt idx="122">
                <c:v>0</c:v>
              </c:pt>
              <c:pt idx="123">
                <c:v>0</c:v>
              </c:pt>
              <c:pt idx="124">
                <c:v>0</c:v>
              </c:pt>
              <c:pt idx="125">
                <c:v>0</c:v>
              </c:pt>
              <c:pt idx="126">
                <c:v>0</c:v>
              </c:pt>
              <c:pt idx="127">
                <c:v>0</c:v>
              </c:pt>
              <c:pt idx="128">
                <c:v>0</c:v>
              </c:pt>
              <c:pt idx="129">
                <c:v>0</c:v>
              </c:pt>
              <c:pt idx="130">
                <c:v>0</c:v>
              </c:pt>
              <c:pt idx="131">
                <c:v>0</c:v>
              </c:pt>
              <c:pt idx="132">
                <c:v>0</c:v>
              </c:pt>
              <c:pt idx="133">
                <c:v>0</c:v>
              </c:pt>
              <c:pt idx="134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5-4AF6-BBAF-EB5A72C4D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IYJ_XLI_1!$BY$22:$BY$167</c:f>
              <c:numCache>
                <c:formatCode>0.00%</c:formatCode>
                <c:ptCount val="146"/>
                <c:pt idx="0">
                  <c:v>0</c:v>
                </c:pt>
                <c:pt idx="1">
                  <c:v>-7.1652213548415392E-3</c:v>
                </c:pt>
                <c:pt idx="2">
                  <c:v>-3.7040507232181993E-3</c:v>
                </c:pt>
                <c:pt idx="3">
                  <c:v>-4.7453842234641396E-3</c:v>
                </c:pt>
                <c:pt idx="4">
                  <c:v>-7.5647443203737414E-3</c:v>
                </c:pt>
                <c:pt idx="5">
                  <c:v>-1.0687745493008558E-2</c:v>
                </c:pt>
                <c:pt idx="6">
                  <c:v>-7.4735529807550783E-3</c:v>
                </c:pt>
                <c:pt idx="7">
                  <c:v>-1.1254344693008358E-2</c:v>
                </c:pt>
                <c:pt idx="8">
                  <c:v>-1.3603784891595559E-2</c:v>
                </c:pt>
                <c:pt idx="9">
                  <c:v>-1.739316397878234E-2</c:v>
                </c:pt>
                <c:pt idx="10">
                  <c:v>-1.8351412262247679E-2</c:v>
                </c:pt>
                <c:pt idx="11">
                  <c:v>-1.5567365689593705E-2</c:v>
                </c:pt>
                <c:pt idx="12">
                  <c:v>-2.0107342435293975E-2</c:v>
                </c:pt>
                <c:pt idx="13">
                  <c:v>-2.0126381727728865E-2</c:v>
                </c:pt>
                <c:pt idx="14">
                  <c:v>-2.8030560631803366E-2</c:v>
                </c:pt>
                <c:pt idx="15">
                  <c:v>-2.8209415419663167E-2</c:v>
                </c:pt>
                <c:pt idx="16">
                  <c:v>-2.4192083120877728E-2</c:v>
                </c:pt>
                <c:pt idx="17">
                  <c:v>-2.3202574454588877E-2</c:v>
                </c:pt>
                <c:pt idx="18">
                  <c:v>-2.5627438622791789E-2</c:v>
                </c:pt>
                <c:pt idx="19">
                  <c:v>-2.8702455139525629E-2</c:v>
                </c:pt>
                <c:pt idx="20">
                  <c:v>-2.6477700239675932E-2</c:v>
                </c:pt>
                <c:pt idx="21">
                  <c:v>-2.6234339869116201E-2</c:v>
                </c:pt>
                <c:pt idx="22">
                  <c:v>-2.2399520006210701E-2</c:v>
                </c:pt>
                <c:pt idx="23">
                  <c:v>-2.5552714201964498E-2</c:v>
                </c:pt>
                <c:pt idx="24">
                  <c:v>-2.7670701988254498E-2</c:v>
                </c:pt>
                <c:pt idx="25">
                  <c:v>-2.7254605743740397E-2</c:v>
                </c:pt>
                <c:pt idx="26">
                  <c:v>-3.0637813900630279E-2</c:v>
                </c:pt>
                <c:pt idx="27">
                  <c:v>-3.0289589734604081E-2</c:v>
                </c:pt>
                <c:pt idx="28">
                  <c:v>-2.9728623033585141E-2</c:v>
                </c:pt>
                <c:pt idx="29">
                  <c:v>-2.83705836611511E-2</c:v>
                </c:pt>
                <c:pt idx="30">
                  <c:v>-2.83705836611511E-2</c:v>
                </c:pt>
                <c:pt idx="31">
                  <c:v>-2.83705836611511E-2</c:v>
                </c:pt>
                <c:pt idx="32">
                  <c:v>-2.6158510154596359E-2</c:v>
                </c:pt>
                <c:pt idx="33">
                  <c:v>-2.2986893221772761E-2</c:v>
                </c:pt>
                <c:pt idx="34">
                  <c:v>-2.2986893221772761E-2</c:v>
                </c:pt>
                <c:pt idx="35">
                  <c:v>-2.2986893221772761E-2</c:v>
                </c:pt>
                <c:pt idx="36">
                  <c:v>-2.2986893221772761E-2</c:v>
                </c:pt>
                <c:pt idx="37">
                  <c:v>-2.2986893221772761E-2</c:v>
                </c:pt>
                <c:pt idx="38">
                  <c:v>-1.8974049929993062E-2</c:v>
                </c:pt>
                <c:pt idx="39">
                  <c:v>-2.6209317374913312E-2</c:v>
                </c:pt>
                <c:pt idx="40">
                  <c:v>-2.2989339242600711E-2</c:v>
                </c:pt>
                <c:pt idx="41">
                  <c:v>-1.762103196165711E-2</c:v>
                </c:pt>
                <c:pt idx="42">
                  <c:v>-1.762103196165711E-2</c:v>
                </c:pt>
                <c:pt idx="43">
                  <c:v>-1.762103196165711E-2</c:v>
                </c:pt>
                <c:pt idx="44">
                  <c:v>-1.762103196165711E-2</c:v>
                </c:pt>
                <c:pt idx="45">
                  <c:v>-1.762103196165711E-2</c:v>
                </c:pt>
                <c:pt idx="46">
                  <c:v>-1.762103196165711E-2</c:v>
                </c:pt>
                <c:pt idx="47">
                  <c:v>-1.762103196165711E-2</c:v>
                </c:pt>
                <c:pt idx="48">
                  <c:v>-1.762103196165711E-2</c:v>
                </c:pt>
                <c:pt idx="49">
                  <c:v>-1.762103196165711E-2</c:v>
                </c:pt>
                <c:pt idx="50">
                  <c:v>-1.762103196165711E-2</c:v>
                </c:pt>
                <c:pt idx="51">
                  <c:v>-2.0038605422046663E-2</c:v>
                </c:pt>
                <c:pt idx="52">
                  <c:v>-1.9264291694926362E-2</c:v>
                </c:pt>
                <c:pt idx="53">
                  <c:v>-1.8340483149028863E-2</c:v>
                </c:pt>
                <c:pt idx="54">
                  <c:v>-1.8402020048479163E-2</c:v>
                </c:pt>
                <c:pt idx="55">
                  <c:v>-1.9333787888138151E-2</c:v>
                </c:pt>
                <c:pt idx="56">
                  <c:v>-8.901604094319393E-3</c:v>
                </c:pt>
                <c:pt idx="57">
                  <c:v>-7.3063654754256437E-3</c:v>
                </c:pt>
                <c:pt idx="58">
                  <c:v>-6.6440370622790866E-3</c:v>
                </c:pt>
                <c:pt idx="59">
                  <c:v>-5.5549720177639761E-3</c:v>
                </c:pt>
                <c:pt idx="60">
                  <c:v>2.0196403237074034E-3</c:v>
                </c:pt>
                <c:pt idx="61">
                  <c:v>1.0049178386347106E-2</c:v>
                </c:pt>
                <c:pt idx="62">
                  <c:v>1.0049178386347106E-2</c:v>
                </c:pt>
                <c:pt idx="63">
                  <c:v>1.0049178386347106E-2</c:v>
                </c:pt>
                <c:pt idx="64">
                  <c:v>1.0049178386347106E-2</c:v>
                </c:pt>
                <c:pt idx="65">
                  <c:v>1.0049178386347106E-2</c:v>
                </c:pt>
                <c:pt idx="66">
                  <c:v>1.5623872941957806E-2</c:v>
                </c:pt>
                <c:pt idx="67">
                  <c:v>1.7501755561793696E-2</c:v>
                </c:pt>
                <c:pt idx="68">
                  <c:v>1.3146219978163547E-2</c:v>
                </c:pt>
                <c:pt idx="69">
                  <c:v>1.2662773269117867E-2</c:v>
                </c:pt>
                <c:pt idx="70">
                  <c:v>9.788225111145717E-3</c:v>
                </c:pt>
                <c:pt idx="71">
                  <c:v>1.0030287995570958E-2</c:v>
                </c:pt>
                <c:pt idx="72">
                  <c:v>1.2441578443026659E-2</c:v>
                </c:pt>
                <c:pt idx="73">
                  <c:v>1.7983190670991377E-2</c:v>
                </c:pt>
                <c:pt idx="74">
                  <c:v>1.7983190670991377E-2</c:v>
                </c:pt>
                <c:pt idx="75">
                  <c:v>1.7983190670991377E-2</c:v>
                </c:pt>
                <c:pt idx="76">
                  <c:v>1.7983190670991377E-2</c:v>
                </c:pt>
                <c:pt idx="77">
                  <c:v>1.7983190670991377E-2</c:v>
                </c:pt>
                <c:pt idx="78">
                  <c:v>1.7983190670991377E-2</c:v>
                </c:pt>
                <c:pt idx="79">
                  <c:v>1.7983190670991377E-2</c:v>
                </c:pt>
                <c:pt idx="80">
                  <c:v>1.7983190670991377E-2</c:v>
                </c:pt>
                <c:pt idx="81">
                  <c:v>1.7983190670991377E-2</c:v>
                </c:pt>
                <c:pt idx="82">
                  <c:v>2.0494391501469957E-2</c:v>
                </c:pt>
                <c:pt idx="83">
                  <c:v>2.6687377631705415E-2</c:v>
                </c:pt>
                <c:pt idx="84">
                  <c:v>2.6687377631705415E-2</c:v>
                </c:pt>
                <c:pt idx="85">
                  <c:v>2.8155755354939319E-2</c:v>
                </c:pt>
                <c:pt idx="86">
                  <c:v>3.0339999384498238E-2</c:v>
                </c:pt>
                <c:pt idx="87">
                  <c:v>2.9933719643469487E-2</c:v>
                </c:pt>
                <c:pt idx="88">
                  <c:v>3.1465818737133687E-2</c:v>
                </c:pt>
                <c:pt idx="89">
                  <c:v>3.4700557133391485E-2</c:v>
                </c:pt>
                <c:pt idx="90">
                  <c:v>3.4700557133391485E-2</c:v>
                </c:pt>
                <c:pt idx="91">
                  <c:v>3.4700557133391485E-2</c:v>
                </c:pt>
                <c:pt idx="92">
                  <c:v>3.4700557133391485E-2</c:v>
                </c:pt>
                <c:pt idx="93">
                  <c:v>3.4700557133391485E-2</c:v>
                </c:pt>
                <c:pt idx="94">
                  <c:v>3.4700557133391485E-2</c:v>
                </c:pt>
                <c:pt idx="95">
                  <c:v>3.4700557133391485E-2</c:v>
                </c:pt>
                <c:pt idx="96">
                  <c:v>3.4700557133391485E-2</c:v>
                </c:pt>
                <c:pt idx="97">
                  <c:v>3.8875446486787382E-2</c:v>
                </c:pt>
                <c:pt idx="98">
                  <c:v>3.8865386494910982E-2</c:v>
                </c:pt>
                <c:pt idx="99">
                  <c:v>3.381037612548618E-2</c:v>
                </c:pt>
                <c:pt idx="100">
                  <c:v>4.0583982634697729E-2</c:v>
                </c:pt>
                <c:pt idx="101">
                  <c:v>3.8792074821222267E-2</c:v>
                </c:pt>
                <c:pt idx="102">
                  <c:v>3.9812861823363965E-2</c:v>
                </c:pt>
                <c:pt idx="103">
                  <c:v>4.4182492259077888E-2</c:v>
                </c:pt>
                <c:pt idx="104">
                  <c:v>4.4182492259077888E-2</c:v>
                </c:pt>
                <c:pt idx="105">
                  <c:v>4.7306734463809272E-2</c:v>
                </c:pt>
                <c:pt idx="106">
                  <c:v>4.8822274539961977E-2</c:v>
                </c:pt>
                <c:pt idx="107">
                  <c:v>5.439252701178398E-2</c:v>
                </c:pt>
                <c:pt idx="108">
                  <c:v>5.741567876739101E-2</c:v>
                </c:pt>
                <c:pt idx="109">
                  <c:v>5.8159820668797123E-2</c:v>
                </c:pt>
                <c:pt idx="110">
                  <c:v>6.2123912500462244E-2</c:v>
                </c:pt>
                <c:pt idx="111">
                  <c:v>6.2123912500462244E-2</c:v>
                </c:pt>
                <c:pt idx="112">
                  <c:v>6.026654191187459E-2</c:v>
                </c:pt>
                <c:pt idx="113">
                  <c:v>5.7402847163217446E-2</c:v>
                </c:pt>
                <c:pt idx="114">
                  <c:v>5.9164747184599215E-2</c:v>
                </c:pt>
                <c:pt idx="115">
                  <c:v>5.9406889419868644E-2</c:v>
                </c:pt>
                <c:pt idx="116">
                  <c:v>5.9653699161403978E-2</c:v>
                </c:pt>
                <c:pt idx="117">
                  <c:v>6.102514382020164E-2</c:v>
                </c:pt>
                <c:pt idx="118">
                  <c:v>6.8022841578683838E-2</c:v>
                </c:pt>
                <c:pt idx="119">
                  <c:v>6.8022841578683838E-2</c:v>
                </c:pt>
                <c:pt idx="120">
                  <c:v>6.8022841578683838E-2</c:v>
                </c:pt>
                <c:pt idx="121">
                  <c:v>6.8022841578683838E-2</c:v>
                </c:pt>
                <c:pt idx="122">
                  <c:v>6.1274425611984339E-2</c:v>
                </c:pt>
                <c:pt idx="123">
                  <c:v>6.0860361504725756E-2</c:v>
                </c:pt>
                <c:pt idx="124">
                  <c:v>6.4798770053836663E-2</c:v>
                </c:pt>
                <c:pt idx="125">
                  <c:v>6.6094057495681868E-2</c:v>
                </c:pt>
                <c:pt idx="126">
                  <c:v>6.5030041178782166E-2</c:v>
                </c:pt>
                <c:pt idx="127">
                  <c:v>6.5115059327174984E-2</c:v>
                </c:pt>
                <c:pt idx="128">
                  <c:v>6.4290991991265284E-2</c:v>
                </c:pt>
                <c:pt idx="129">
                  <c:v>6.7214702389537764E-2</c:v>
                </c:pt>
                <c:pt idx="130">
                  <c:v>6.8780508951124308E-2</c:v>
                </c:pt>
                <c:pt idx="131">
                  <c:v>6.8780508951124308E-2</c:v>
                </c:pt>
                <c:pt idx="132">
                  <c:v>6.8780508951124308E-2</c:v>
                </c:pt>
                <c:pt idx="133">
                  <c:v>6.8780508951124308E-2</c:v>
                </c:pt>
                <c:pt idx="134">
                  <c:v>6.8780508951124308E-2</c:v>
                </c:pt>
                <c:pt idx="135">
                  <c:v>6.8780508951124308E-2</c:v>
                </c:pt>
                <c:pt idx="136">
                  <c:v>6.8780508951124308E-2</c:v>
                </c:pt>
                <c:pt idx="137">
                  <c:v>6.8780508951124308E-2</c:v>
                </c:pt>
                <c:pt idx="138">
                  <c:v>6.8780508951124308E-2</c:v>
                </c:pt>
                <c:pt idx="139">
                  <c:v>6.8780508951124308E-2</c:v>
                </c:pt>
                <c:pt idx="140">
                  <c:v>6.4432585439196402E-2</c:v>
                </c:pt>
                <c:pt idx="141">
                  <c:v>6.2778888673591687E-2</c:v>
                </c:pt>
                <c:pt idx="142">
                  <c:v>6.6373064129359116E-2</c:v>
                </c:pt>
                <c:pt idx="143">
                  <c:v>6.4227078910784913E-2</c:v>
                </c:pt>
                <c:pt idx="144">
                  <c:v>6.3824406694070662E-2</c:v>
                </c:pt>
                <c:pt idx="145">
                  <c:v>6.2657687563664355E-2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7F-4C84-8B16-F883B402AD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IYJ_XLI_1!$BJ$22:$BJ$167</c:f>
              <c:numCache>
                <c:formatCode>0.00%</c:formatCode>
                <c:ptCount val="146"/>
                <c:pt idx="0">
                  <c:v>0</c:v>
                </c:pt>
                <c:pt idx="1">
                  <c:v>-7.1652213548415392E-3</c:v>
                </c:pt>
                <c:pt idx="2">
                  <c:v>-3.7040507232181993E-3</c:v>
                </c:pt>
                <c:pt idx="3">
                  <c:v>-4.7453842234641396E-3</c:v>
                </c:pt>
                <c:pt idx="4">
                  <c:v>-7.5647443203737414E-3</c:v>
                </c:pt>
                <c:pt idx="5">
                  <c:v>-1.0687745493008558E-2</c:v>
                </c:pt>
                <c:pt idx="6">
                  <c:v>-7.4735529807550783E-3</c:v>
                </c:pt>
                <c:pt idx="7">
                  <c:v>-1.1254344693008358E-2</c:v>
                </c:pt>
                <c:pt idx="8">
                  <c:v>-1.3603784891595559E-2</c:v>
                </c:pt>
                <c:pt idx="9">
                  <c:v>-1.739316397878234E-2</c:v>
                </c:pt>
                <c:pt idx="10">
                  <c:v>-1.8351412262247679E-2</c:v>
                </c:pt>
                <c:pt idx="11">
                  <c:v>-1.5567365689593705E-2</c:v>
                </c:pt>
                <c:pt idx="12">
                  <c:v>-2.0107342435293975E-2</c:v>
                </c:pt>
                <c:pt idx="13">
                  <c:v>-2.0126381727728865E-2</c:v>
                </c:pt>
                <c:pt idx="14">
                  <c:v>-2.8030560631803366E-2</c:v>
                </c:pt>
                <c:pt idx="15">
                  <c:v>-2.8209415419663167E-2</c:v>
                </c:pt>
                <c:pt idx="16">
                  <c:v>-2.4192083120877728E-2</c:v>
                </c:pt>
                <c:pt idx="17">
                  <c:v>-2.3202574454588877E-2</c:v>
                </c:pt>
                <c:pt idx="18">
                  <c:v>-2.5627438622791789E-2</c:v>
                </c:pt>
                <c:pt idx="19">
                  <c:v>-2.8702455139525629E-2</c:v>
                </c:pt>
                <c:pt idx="20">
                  <c:v>-2.6477700239675932E-2</c:v>
                </c:pt>
                <c:pt idx="21">
                  <c:v>-2.6234339869116201E-2</c:v>
                </c:pt>
                <c:pt idx="22">
                  <c:v>-2.2399520006210701E-2</c:v>
                </c:pt>
                <c:pt idx="23">
                  <c:v>-2.5552714201964498E-2</c:v>
                </c:pt>
                <c:pt idx="24">
                  <c:v>-2.7670701988254498E-2</c:v>
                </c:pt>
                <c:pt idx="25">
                  <c:v>-2.7254605743740397E-2</c:v>
                </c:pt>
                <c:pt idx="26">
                  <c:v>-3.0637813900630279E-2</c:v>
                </c:pt>
                <c:pt idx="27">
                  <c:v>-3.0289589734604081E-2</c:v>
                </c:pt>
                <c:pt idx="28">
                  <c:v>-2.9728623033585141E-2</c:v>
                </c:pt>
                <c:pt idx="29">
                  <c:v>-2.83705836611511E-2</c:v>
                </c:pt>
                <c:pt idx="30">
                  <c:v>-2.83705836611511E-2</c:v>
                </c:pt>
                <c:pt idx="31">
                  <c:v>-2.83705836611511E-2</c:v>
                </c:pt>
                <c:pt idx="32">
                  <c:v>-2.6158510154596359E-2</c:v>
                </c:pt>
                <c:pt idx="33">
                  <c:v>-2.2986893221772761E-2</c:v>
                </c:pt>
                <c:pt idx="34">
                  <c:v>-2.2986893221772761E-2</c:v>
                </c:pt>
                <c:pt idx="35">
                  <c:v>-2.2986893221772761E-2</c:v>
                </c:pt>
                <c:pt idx="36">
                  <c:v>-2.2986893221772761E-2</c:v>
                </c:pt>
                <c:pt idx="37">
                  <c:v>-2.2986893221772761E-2</c:v>
                </c:pt>
                <c:pt idx="38">
                  <c:v>-2.2986893221772761E-2</c:v>
                </c:pt>
                <c:pt idx="39">
                  <c:v>-2.2986893221772761E-2</c:v>
                </c:pt>
                <c:pt idx="40">
                  <c:v>-2.2986893221772761E-2</c:v>
                </c:pt>
                <c:pt idx="41">
                  <c:v>-2.2986893221772761E-2</c:v>
                </c:pt>
                <c:pt idx="42">
                  <c:v>-2.2986893221772761E-2</c:v>
                </c:pt>
                <c:pt idx="43">
                  <c:v>-2.2986893221772761E-2</c:v>
                </c:pt>
                <c:pt idx="44">
                  <c:v>-2.2986893221772761E-2</c:v>
                </c:pt>
                <c:pt idx="45">
                  <c:v>-2.2986893221772761E-2</c:v>
                </c:pt>
                <c:pt idx="46">
                  <c:v>-2.2986893221772761E-2</c:v>
                </c:pt>
                <c:pt idx="47">
                  <c:v>-2.2986893221772761E-2</c:v>
                </c:pt>
                <c:pt idx="48">
                  <c:v>-2.2986893221772761E-2</c:v>
                </c:pt>
                <c:pt idx="49">
                  <c:v>-2.2986893221772761E-2</c:v>
                </c:pt>
                <c:pt idx="50">
                  <c:v>-2.2986893221772761E-2</c:v>
                </c:pt>
                <c:pt idx="51">
                  <c:v>-2.2986893221772761E-2</c:v>
                </c:pt>
                <c:pt idx="52">
                  <c:v>-2.2986893221772761E-2</c:v>
                </c:pt>
                <c:pt idx="53">
                  <c:v>-2.2986893221772761E-2</c:v>
                </c:pt>
                <c:pt idx="54">
                  <c:v>-2.2986893221772761E-2</c:v>
                </c:pt>
                <c:pt idx="55">
                  <c:v>-2.2986893221772761E-2</c:v>
                </c:pt>
                <c:pt idx="56">
                  <c:v>-2.2986893221772761E-2</c:v>
                </c:pt>
                <c:pt idx="57">
                  <c:v>-2.1391654602879014E-2</c:v>
                </c:pt>
                <c:pt idx="58">
                  <c:v>-2.0729326189732458E-2</c:v>
                </c:pt>
                <c:pt idx="59">
                  <c:v>-1.9640261145217348E-2</c:v>
                </c:pt>
                <c:pt idx="60">
                  <c:v>-1.2065648803745967E-2</c:v>
                </c:pt>
                <c:pt idx="61">
                  <c:v>-1.2065648803745967E-2</c:v>
                </c:pt>
                <c:pt idx="62">
                  <c:v>-1.2065648803745967E-2</c:v>
                </c:pt>
                <c:pt idx="63">
                  <c:v>-1.2065648803745967E-2</c:v>
                </c:pt>
                <c:pt idx="64">
                  <c:v>-1.2065648803745967E-2</c:v>
                </c:pt>
                <c:pt idx="65">
                  <c:v>-1.2065648803745967E-2</c:v>
                </c:pt>
                <c:pt idx="66">
                  <c:v>-6.4909542481352677E-3</c:v>
                </c:pt>
                <c:pt idx="67">
                  <c:v>-4.6130716282993776E-3</c:v>
                </c:pt>
                <c:pt idx="68">
                  <c:v>-8.968607211929526E-3</c:v>
                </c:pt>
                <c:pt idx="69">
                  <c:v>-9.452053920975206E-3</c:v>
                </c:pt>
                <c:pt idx="70">
                  <c:v>-1.2326602078947356E-2</c:v>
                </c:pt>
                <c:pt idx="71">
                  <c:v>-1.2084539194522115E-2</c:v>
                </c:pt>
                <c:pt idx="72">
                  <c:v>-9.6732487470664145E-3</c:v>
                </c:pt>
                <c:pt idx="73">
                  <c:v>-4.131636519101695E-3</c:v>
                </c:pt>
                <c:pt idx="74">
                  <c:v>-4.131636519101695E-3</c:v>
                </c:pt>
                <c:pt idx="75">
                  <c:v>-4.131636519101695E-3</c:v>
                </c:pt>
                <c:pt idx="76">
                  <c:v>-4.131636519101695E-3</c:v>
                </c:pt>
                <c:pt idx="77">
                  <c:v>-4.131636519101695E-3</c:v>
                </c:pt>
                <c:pt idx="78">
                  <c:v>-4.131636519101695E-3</c:v>
                </c:pt>
                <c:pt idx="79">
                  <c:v>-4.131636519101695E-3</c:v>
                </c:pt>
                <c:pt idx="80">
                  <c:v>-4.131636519101695E-3</c:v>
                </c:pt>
                <c:pt idx="81">
                  <c:v>-4.131636519101695E-3</c:v>
                </c:pt>
                <c:pt idx="82">
                  <c:v>-4.131636519101695E-3</c:v>
                </c:pt>
                <c:pt idx="83">
                  <c:v>-4.131636519101695E-3</c:v>
                </c:pt>
                <c:pt idx="84">
                  <c:v>-4.131636519101695E-3</c:v>
                </c:pt>
                <c:pt idx="85">
                  <c:v>-2.6632587958677935E-3</c:v>
                </c:pt>
                <c:pt idx="86">
                  <c:v>-4.7901476630887382E-4</c:v>
                </c:pt>
                <c:pt idx="87">
                  <c:v>-8.8529450733762375E-4</c:v>
                </c:pt>
                <c:pt idx="88">
                  <c:v>6.4680458632657622E-4</c:v>
                </c:pt>
                <c:pt idx="89">
                  <c:v>3.881542982584378E-3</c:v>
                </c:pt>
                <c:pt idx="90">
                  <c:v>3.881542982584378E-3</c:v>
                </c:pt>
                <c:pt idx="91">
                  <c:v>3.881542982584378E-3</c:v>
                </c:pt>
                <c:pt idx="92">
                  <c:v>3.881542982584378E-3</c:v>
                </c:pt>
                <c:pt idx="93">
                  <c:v>3.881542982584378E-3</c:v>
                </c:pt>
                <c:pt idx="94">
                  <c:v>3.881542982584378E-3</c:v>
                </c:pt>
                <c:pt idx="95">
                  <c:v>3.881542982584378E-3</c:v>
                </c:pt>
                <c:pt idx="96">
                  <c:v>3.881542982584378E-3</c:v>
                </c:pt>
                <c:pt idx="97">
                  <c:v>8.0564323359802788E-3</c:v>
                </c:pt>
                <c:pt idx="98">
                  <c:v>8.0463723441038786E-3</c:v>
                </c:pt>
                <c:pt idx="99">
                  <c:v>2.9913619746790802E-3</c:v>
                </c:pt>
                <c:pt idx="100">
                  <c:v>9.7649684838906313E-3</c:v>
                </c:pt>
                <c:pt idx="101">
                  <c:v>7.9730606704151719E-3</c:v>
                </c:pt>
                <c:pt idx="102">
                  <c:v>8.9938476725568723E-3</c:v>
                </c:pt>
                <c:pt idx="103">
                  <c:v>1.3363478108270793E-2</c:v>
                </c:pt>
                <c:pt idx="104">
                  <c:v>1.3363478108270793E-2</c:v>
                </c:pt>
                <c:pt idx="105">
                  <c:v>1.3363478108270793E-2</c:v>
                </c:pt>
                <c:pt idx="106">
                  <c:v>1.3363478108270793E-2</c:v>
                </c:pt>
                <c:pt idx="107">
                  <c:v>1.3363478108270793E-2</c:v>
                </c:pt>
                <c:pt idx="108">
                  <c:v>1.6386629863877823E-2</c:v>
                </c:pt>
                <c:pt idx="109">
                  <c:v>1.7130771765283933E-2</c:v>
                </c:pt>
                <c:pt idx="110">
                  <c:v>2.1094863596949055E-2</c:v>
                </c:pt>
                <c:pt idx="111">
                  <c:v>2.1094863596949055E-2</c:v>
                </c:pt>
                <c:pt idx="112">
                  <c:v>2.1094863596949055E-2</c:v>
                </c:pt>
                <c:pt idx="113">
                  <c:v>2.1094863596949055E-2</c:v>
                </c:pt>
                <c:pt idx="114">
                  <c:v>2.1094863596949055E-2</c:v>
                </c:pt>
                <c:pt idx="115">
                  <c:v>2.1094863596949055E-2</c:v>
                </c:pt>
                <c:pt idx="116">
                  <c:v>2.1094863596949055E-2</c:v>
                </c:pt>
                <c:pt idx="117">
                  <c:v>2.1094863596949055E-2</c:v>
                </c:pt>
                <c:pt idx="118">
                  <c:v>2.1094863596949055E-2</c:v>
                </c:pt>
                <c:pt idx="119">
                  <c:v>2.1094863596949055E-2</c:v>
                </c:pt>
                <c:pt idx="120">
                  <c:v>2.1094863596949055E-2</c:v>
                </c:pt>
                <c:pt idx="121">
                  <c:v>2.1094863596949055E-2</c:v>
                </c:pt>
                <c:pt idx="122">
                  <c:v>2.1094863596949055E-2</c:v>
                </c:pt>
                <c:pt idx="123">
                  <c:v>2.1094863596949055E-2</c:v>
                </c:pt>
                <c:pt idx="124">
                  <c:v>2.1094863596949055E-2</c:v>
                </c:pt>
                <c:pt idx="125">
                  <c:v>2.1094863596949055E-2</c:v>
                </c:pt>
                <c:pt idx="126">
                  <c:v>2.1094863596949055E-2</c:v>
                </c:pt>
                <c:pt idx="127">
                  <c:v>2.1094863596949055E-2</c:v>
                </c:pt>
                <c:pt idx="128">
                  <c:v>2.1094863596949055E-2</c:v>
                </c:pt>
                <c:pt idx="129">
                  <c:v>2.1094863596949055E-2</c:v>
                </c:pt>
                <c:pt idx="130">
                  <c:v>2.1094863596949055E-2</c:v>
                </c:pt>
                <c:pt idx="131">
                  <c:v>2.1094863596949055E-2</c:v>
                </c:pt>
                <c:pt idx="132">
                  <c:v>2.1094863596949055E-2</c:v>
                </c:pt>
                <c:pt idx="133">
                  <c:v>2.1094863596949055E-2</c:v>
                </c:pt>
                <c:pt idx="134">
                  <c:v>2.1094863596949055E-2</c:v>
                </c:pt>
                <c:pt idx="135">
                  <c:v>2.1094863596949055E-2</c:v>
                </c:pt>
                <c:pt idx="136">
                  <c:v>2.1094863596949055E-2</c:v>
                </c:pt>
                <c:pt idx="137">
                  <c:v>2.1094863596949055E-2</c:v>
                </c:pt>
                <c:pt idx="138">
                  <c:v>2.1094863596949055E-2</c:v>
                </c:pt>
                <c:pt idx="139">
                  <c:v>2.1094863596949055E-2</c:v>
                </c:pt>
                <c:pt idx="140">
                  <c:v>2.1094863596949055E-2</c:v>
                </c:pt>
                <c:pt idx="141">
                  <c:v>2.1094863596949055E-2</c:v>
                </c:pt>
                <c:pt idx="142">
                  <c:v>2.1094863596949055E-2</c:v>
                </c:pt>
                <c:pt idx="143">
                  <c:v>2.1094863596949055E-2</c:v>
                </c:pt>
                <c:pt idx="144">
                  <c:v>2.1094863596949055E-2</c:v>
                </c:pt>
                <c:pt idx="145">
                  <c:v>2.1094863596949055E-2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92-4E9A-AF02-F3E7517324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IYJ_XLI_1!$BV$22:$BV$167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4.0128432917796979E-3</c:v>
                </c:pt>
                <c:pt idx="39">
                  <c:v>-3.2224241531405521E-3</c:v>
                </c:pt>
                <c:pt idx="40">
                  <c:v>-2.4460208279519086E-6</c:v>
                </c:pt>
                <c:pt idx="41">
                  <c:v>5.3658612601156473E-3</c:v>
                </c:pt>
                <c:pt idx="42">
                  <c:v>5.3658612601156473E-3</c:v>
                </c:pt>
                <c:pt idx="43">
                  <c:v>5.3658612601156473E-3</c:v>
                </c:pt>
                <c:pt idx="44">
                  <c:v>5.3658612601156473E-3</c:v>
                </c:pt>
                <c:pt idx="45">
                  <c:v>5.3658612601156473E-3</c:v>
                </c:pt>
                <c:pt idx="46">
                  <c:v>5.3658612601156473E-3</c:v>
                </c:pt>
                <c:pt idx="47">
                  <c:v>5.3658612601156473E-3</c:v>
                </c:pt>
                <c:pt idx="48">
                  <c:v>5.3658612601156473E-3</c:v>
                </c:pt>
                <c:pt idx="49">
                  <c:v>5.3658612601156473E-3</c:v>
                </c:pt>
                <c:pt idx="50">
                  <c:v>5.3658612601156473E-3</c:v>
                </c:pt>
                <c:pt idx="51">
                  <c:v>2.9482877997260969E-3</c:v>
                </c:pt>
                <c:pt idx="52">
                  <c:v>3.7226015268463971E-3</c:v>
                </c:pt>
                <c:pt idx="53">
                  <c:v>4.646410072743897E-3</c:v>
                </c:pt>
                <c:pt idx="54">
                  <c:v>4.5848731732935971E-3</c:v>
                </c:pt>
                <c:pt idx="55">
                  <c:v>3.6531053336346072E-3</c:v>
                </c:pt>
                <c:pt idx="56">
                  <c:v>1.4085289127453365E-2</c:v>
                </c:pt>
                <c:pt idx="57">
                  <c:v>1.4085289127453365E-2</c:v>
                </c:pt>
                <c:pt idx="58">
                  <c:v>1.4085289127453365E-2</c:v>
                </c:pt>
                <c:pt idx="59">
                  <c:v>1.4085289127453365E-2</c:v>
                </c:pt>
                <c:pt idx="60">
                  <c:v>1.4085289127453365E-2</c:v>
                </c:pt>
                <c:pt idx="61">
                  <c:v>2.2114827190093066E-2</c:v>
                </c:pt>
                <c:pt idx="62">
                  <c:v>2.2114827190093066E-2</c:v>
                </c:pt>
                <c:pt idx="63">
                  <c:v>2.2114827190093066E-2</c:v>
                </c:pt>
                <c:pt idx="64">
                  <c:v>2.2114827190093066E-2</c:v>
                </c:pt>
                <c:pt idx="65">
                  <c:v>2.2114827190093066E-2</c:v>
                </c:pt>
                <c:pt idx="66">
                  <c:v>2.2114827190093066E-2</c:v>
                </c:pt>
                <c:pt idx="67">
                  <c:v>2.2114827190093066E-2</c:v>
                </c:pt>
                <c:pt idx="68">
                  <c:v>2.2114827190093066E-2</c:v>
                </c:pt>
                <c:pt idx="69">
                  <c:v>2.2114827190093066E-2</c:v>
                </c:pt>
                <c:pt idx="70">
                  <c:v>2.2114827190093066E-2</c:v>
                </c:pt>
                <c:pt idx="71">
                  <c:v>2.2114827190093066E-2</c:v>
                </c:pt>
                <c:pt idx="72">
                  <c:v>2.2114827190093066E-2</c:v>
                </c:pt>
                <c:pt idx="73">
                  <c:v>2.2114827190093066E-2</c:v>
                </c:pt>
                <c:pt idx="74">
                  <c:v>2.2114827190093066E-2</c:v>
                </c:pt>
                <c:pt idx="75">
                  <c:v>2.2114827190093066E-2</c:v>
                </c:pt>
                <c:pt idx="76">
                  <c:v>2.2114827190093066E-2</c:v>
                </c:pt>
                <c:pt idx="77">
                  <c:v>2.2114827190093066E-2</c:v>
                </c:pt>
                <c:pt idx="78">
                  <c:v>2.2114827190093066E-2</c:v>
                </c:pt>
                <c:pt idx="79">
                  <c:v>2.2114827190093066E-2</c:v>
                </c:pt>
                <c:pt idx="80">
                  <c:v>2.2114827190093066E-2</c:v>
                </c:pt>
                <c:pt idx="81">
                  <c:v>2.2114827190093066E-2</c:v>
                </c:pt>
                <c:pt idx="82">
                  <c:v>2.4626028020571646E-2</c:v>
                </c:pt>
                <c:pt idx="83">
                  <c:v>3.0819014150807109E-2</c:v>
                </c:pt>
                <c:pt idx="84">
                  <c:v>3.0819014150807109E-2</c:v>
                </c:pt>
                <c:pt idx="85">
                  <c:v>3.0819014150807109E-2</c:v>
                </c:pt>
                <c:pt idx="86">
                  <c:v>3.0819014150807109E-2</c:v>
                </c:pt>
                <c:pt idx="87">
                  <c:v>3.0819014150807109E-2</c:v>
                </c:pt>
                <c:pt idx="88">
                  <c:v>3.0819014150807109E-2</c:v>
                </c:pt>
                <c:pt idx="89">
                  <c:v>3.0819014150807109E-2</c:v>
                </c:pt>
                <c:pt idx="90">
                  <c:v>3.0819014150807109E-2</c:v>
                </c:pt>
                <c:pt idx="91">
                  <c:v>3.0819014150807109E-2</c:v>
                </c:pt>
                <c:pt idx="92">
                  <c:v>3.0819014150807109E-2</c:v>
                </c:pt>
                <c:pt idx="93">
                  <c:v>3.0819014150807109E-2</c:v>
                </c:pt>
                <c:pt idx="94">
                  <c:v>3.0819014150807109E-2</c:v>
                </c:pt>
                <c:pt idx="95">
                  <c:v>3.0819014150807109E-2</c:v>
                </c:pt>
                <c:pt idx="96">
                  <c:v>3.0819014150807109E-2</c:v>
                </c:pt>
                <c:pt idx="97">
                  <c:v>3.0819014150807109E-2</c:v>
                </c:pt>
                <c:pt idx="98">
                  <c:v>3.0819014150807109E-2</c:v>
                </c:pt>
                <c:pt idx="99">
                  <c:v>3.0819014150807109E-2</c:v>
                </c:pt>
                <c:pt idx="100">
                  <c:v>3.0819014150807109E-2</c:v>
                </c:pt>
                <c:pt idx="101">
                  <c:v>3.0819014150807109E-2</c:v>
                </c:pt>
                <c:pt idx="102">
                  <c:v>3.0819014150807109E-2</c:v>
                </c:pt>
                <c:pt idx="103">
                  <c:v>3.0819014150807109E-2</c:v>
                </c:pt>
                <c:pt idx="104">
                  <c:v>3.0819014150807109E-2</c:v>
                </c:pt>
                <c:pt idx="105">
                  <c:v>3.3943256355538493E-2</c:v>
                </c:pt>
                <c:pt idx="106">
                  <c:v>3.5458796431691197E-2</c:v>
                </c:pt>
                <c:pt idx="107">
                  <c:v>4.10290489035132E-2</c:v>
                </c:pt>
                <c:pt idx="108">
                  <c:v>4.10290489035132E-2</c:v>
                </c:pt>
                <c:pt idx="109">
                  <c:v>4.10290489035132E-2</c:v>
                </c:pt>
                <c:pt idx="110">
                  <c:v>4.10290489035132E-2</c:v>
                </c:pt>
                <c:pt idx="111">
                  <c:v>4.10290489035132E-2</c:v>
                </c:pt>
                <c:pt idx="112">
                  <c:v>3.9171678314925545E-2</c:v>
                </c:pt>
                <c:pt idx="113">
                  <c:v>3.6307983566268402E-2</c:v>
                </c:pt>
                <c:pt idx="114">
                  <c:v>3.806988358765017E-2</c:v>
                </c:pt>
                <c:pt idx="115">
                  <c:v>3.83120258229196E-2</c:v>
                </c:pt>
                <c:pt idx="116">
                  <c:v>3.8558835564454927E-2</c:v>
                </c:pt>
                <c:pt idx="117">
                  <c:v>3.9930280223252589E-2</c:v>
                </c:pt>
                <c:pt idx="118">
                  <c:v>4.6927977981734786E-2</c:v>
                </c:pt>
                <c:pt idx="119">
                  <c:v>4.6927977981734786E-2</c:v>
                </c:pt>
                <c:pt idx="120">
                  <c:v>4.6927977981734786E-2</c:v>
                </c:pt>
                <c:pt idx="121">
                  <c:v>4.6927977981734786E-2</c:v>
                </c:pt>
                <c:pt idx="122">
                  <c:v>4.0179562015035288E-2</c:v>
                </c:pt>
                <c:pt idx="123">
                  <c:v>3.9765497907776705E-2</c:v>
                </c:pt>
                <c:pt idx="124">
                  <c:v>4.3703906456887612E-2</c:v>
                </c:pt>
                <c:pt idx="125">
                  <c:v>4.4999193898732817E-2</c:v>
                </c:pt>
                <c:pt idx="126">
                  <c:v>4.3935177581833115E-2</c:v>
                </c:pt>
                <c:pt idx="127">
                  <c:v>4.402019573022594E-2</c:v>
                </c:pt>
                <c:pt idx="128">
                  <c:v>4.319612839431624E-2</c:v>
                </c:pt>
                <c:pt idx="129">
                  <c:v>4.6119838792588713E-2</c:v>
                </c:pt>
                <c:pt idx="130">
                  <c:v>4.768564535417525E-2</c:v>
                </c:pt>
                <c:pt idx="131">
                  <c:v>4.768564535417525E-2</c:v>
                </c:pt>
                <c:pt idx="132">
                  <c:v>4.768564535417525E-2</c:v>
                </c:pt>
                <c:pt idx="133">
                  <c:v>4.768564535417525E-2</c:v>
                </c:pt>
                <c:pt idx="134">
                  <c:v>4.768564535417525E-2</c:v>
                </c:pt>
                <c:pt idx="135">
                  <c:v>4.768564535417525E-2</c:v>
                </c:pt>
                <c:pt idx="136">
                  <c:v>4.768564535417525E-2</c:v>
                </c:pt>
                <c:pt idx="137">
                  <c:v>4.768564535417525E-2</c:v>
                </c:pt>
                <c:pt idx="138">
                  <c:v>4.768564535417525E-2</c:v>
                </c:pt>
                <c:pt idx="139">
                  <c:v>4.768564535417525E-2</c:v>
                </c:pt>
                <c:pt idx="140">
                  <c:v>4.3337721842247337E-2</c:v>
                </c:pt>
                <c:pt idx="141">
                  <c:v>4.1684025076642615E-2</c:v>
                </c:pt>
                <c:pt idx="142">
                  <c:v>4.5278200532410044E-2</c:v>
                </c:pt>
                <c:pt idx="143">
                  <c:v>4.3132215313835834E-2</c:v>
                </c:pt>
                <c:pt idx="144">
                  <c:v>4.2729543097121583E-2</c:v>
                </c:pt>
                <c:pt idx="145">
                  <c:v>4.1562823966715283E-2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F9-4DBF-8615-6AAC381B9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ADF841-DD57-404D-9A4D-71DABE5E31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DD07A5-05D6-4F1A-A548-A13C03E908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DB4B5A-AF52-4848-9BC0-63CB059515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C51C37-D6F2-4CA8-B116-83A3045F9F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5CAE490-A515-4532-84F2-FCB919510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4263B53-9AE4-4AC8-B941-820C032FBC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4DFD6BB-4F23-4483-A09A-62AF231423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CC28C0B-7ECA-43DB-9E38-24539E624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10180-815C-4682-A541-81B88D55D94F}">
  <dimension ref="A1:BY167"/>
  <sheetViews>
    <sheetView tabSelected="1" topLeftCell="BW1" workbookViewId="0">
      <selection activeCell="CL8" sqref="CL8"/>
    </sheetView>
  </sheetViews>
  <sheetFormatPr defaultRowHeight="14.4" x14ac:dyDescent="0.3"/>
  <cols>
    <col min="1" max="1" width="9.33203125" bestFit="1" customWidth="1"/>
    <col min="2" max="3" width="10.6640625" style="15" bestFit="1" customWidth="1"/>
    <col min="4" max="5" width="10.6640625" style="11" customWidth="1"/>
    <col min="6" max="6" width="8.6640625" style="15" bestFit="1" customWidth="1"/>
    <col min="7" max="7" width="16.21875" style="15" bestFit="1" customWidth="1"/>
    <col min="8" max="8" width="9.33203125" style="15" bestFit="1" customWidth="1"/>
    <col min="9" max="9" width="17" style="15" bestFit="1" customWidth="1"/>
    <col min="10" max="10" width="18.6640625" style="15" bestFit="1" customWidth="1"/>
    <col min="11" max="11" width="19.44140625" style="15" bestFit="1" customWidth="1"/>
    <col min="12" max="13" width="10.6640625" style="15" bestFit="1" customWidth="1"/>
    <col min="14" max="14" width="10.44140625" style="16" bestFit="1" customWidth="1"/>
    <col min="15" max="15" width="13.6640625" style="16" bestFit="1" customWidth="1"/>
    <col min="16" max="17" width="17" style="16" bestFit="1" customWidth="1"/>
    <col min="18" max="18" width="10.6640625" style="15" bestFit="1" customWidth="1"/>
    <col min="19" max="20" width="13.44140625" style="15" bestFit="1" customWidth="1"/>
    <col min="21" max="21" width="20.21875" style="11" bestFit="1" customWidth="1"/>
    <col min="22" max="23" width="23.6640625" style="11" bestFit="1" customWidth="1"/>
    <col min="24" max="24" width="12.44140625" style="16" bestFit="1" customWidth="1"/>
    <col min="25" max="25" width="15.6640625" style="16" bestFit="1" customWidth="1"/>
    <col min="26" max="27" width="19.109375" style="16" bestFit="1" customWidth="1"/>
    <col min="28" max="28" width="11" style="15" bestFit="1" customWidth="1"/>
    <col min="29" max="30" width="14.44140625" style="15" bestFit="1" customWidth="1"/>
    <col min="31" max="31" width="22.33203125" style="11" bestFit="1" customWidth="1"/>
    <col min="32" max="33" width="25.77734375" style="11" bestFit="1" customWidth="1"/>
    <col min="52" max="53" width="8.88671875" style="5"/>
    <col min="58" max="58" width="13.5546875" bestFit="1" customWidth="1"/>
    <col min="59" max="59" width="9.77734375" bestFit="1" customWidth="1"/>
    <col min="60" max="60" width="10.5546875" bestFit="1" customWidth="1"/>
    <col min="61" max="61" width="9.77734375" customWidth="1"/>
    <col min="64" max="65" width="8.88671875" style="5"/>
    <col min="70" max="70" width="13.5546875" bestFit="1" customWidth="1"/>
    <col min="71" max="71" width="12.33203125" bestFit="1" customWidth="1"/>
    <col min="72" max="72" width="10.109375" bestFit="1" customWidth="1"/>
    <col min="73" max="73" width="9.77734375" customWidth="1"/>
  </cols>
  <sheetData>
    <row r="1" spans="1:77" s="2" customFormat="1" x14ac:dyDescent="0.3">
      <c r="A1" s="2" t="s">
        <v>0</v>
      </c>
      <c r="B1" s="12" t="s">
        <v>1</v>
      </c>
      <c r="C1" s="12" t="s">
        <v>2</v>
      </c>
      <c r="D1" s="13" t="s">
        <v>3</v>
      </c>
      <c r="E1" s="13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2" t="s">
        <v>17</v>
      </c>
      <c r="S1" s="12" t="s">
        <v>18</v>
      </c>
      <c r="T1" s="12" t="s">
        <v>19</v>
      </c>
      <c r="U1" s="13" t="s">
        <v>20</v>
      </c>
      <c r="V1" s="13" t="s">
        <v>21</v>
      </c>
      <c r="W1" s="1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2" t="s">
        <v>27</v>
      </c>
      <c r="AC1" s="12" t="s">
        <v>28</v>
      </c>
      <c r="AD1" s="12" t="s">
        <v>29</v>
      </c>
      <c r="AE1" s="13" t="s">
        <v>30</v>
      </c>
      <c r="AF1" s="13" t="s">
        <v>31</v>
      </c>
      <c r="AG1" s="13" t="s">
        <v>32</v>
      </c>
      <c r="BG1" s="3"/>
      <c r="BH1" s="3"/>
      <c r="BI1" s="3"/>
      <c r="BJ1" s="4">
        <f>BJ167</f>
        <v>2.1094863596949055E-2</v>
      </c>
      <c r="BS1" s="3"/>
      <c r="BT1" s="3"/>
      <c r="BU1" s="3"/>
      <c r="BV1" s="4">
        <f>BV167</f>
        <v>4.1562823966715283E-2</v>
      </c>
      <c r="BY1" s="4">
        <f>BY167</f>
        <v>6.2657687563664355E-2</v>
      </c>
    </row>
    <row r="2" spans="1:77" x14ac:dyDescent="0.3">
      <c r="A2" s="1">
        <v>46024</v>
      </c>
      <c r="B2" s="15">
        <v>150.11000000000001</v>
      </c>
      <c r="C2" s="15">
        <v>157.97999999999999</v>
      </c>
      <c r="F2" s="15">
        <v>0</v>
      </c>
      <c r="G2" s="15">
        <v>0</v>
      </c>
      <c r="H2" s="15">
        <v>0</v>
      </c>
      <c r="I2" s="15">
        <v>0</v>
      </c>
      <c r="J2" s="15">
        <v>0</v>
      </c>
      <c r="K2" s="15">
        <v>0</v>
      </c>
      <c r="L2" s="15">
        <v>150.11000000000001</v>
      </c>
      <c r="M2" s="15">
        <v>157.97999999999999</v>
      </c>
      <c r="N2" s="16">
        <v>1.0524282193058401</v>
      </c>
      <c r="O2" s="16">
        <v>1.0958817339640901</v>
      </c>
      <c r="X2" s="16">
        <v>1.0524282193058401</v>
      </c>
      <c r="Y2" s="16">
        <v>1.0957888908294</v>
      </c>
    </row>
    <row r="3" spans="1:77" x14ac:dyDescent="0.3">
      <c r="A3" s="1">
        <v>46027</v>
      </c>
      <c r="B3" s="15">
        <v>152.43</v>
      </c>
      <c r="C3" s="15">
        <v>159.85</v>
      </c>
      <c r="D3" s="11">
        <v>1.5337115601665501E-2</v>
      </c>
      <c r="E3" s="11">
        <v>1.17674327695774E-2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5">
        <v>152.43</v>
      </c>
      <c r="M3" s="15">
        <v>159.85</v>
      </c>
      <c r="N3" s="16">
        <v>1.0486780817424299</v>
      </c>
      <c r="O3" s="16">
        <v>1.0958817339640901</v>
      </c>
      <c r="R3" s="15">
        <v>167.04525270814599</v>
      </c>
      <c r="U3" s="11">
        <v>4.4028874504277102E-2</v>
      </c>
      <c r="X3" s="16">
        <v>1.0486780817424299</v>
      </c>
      <c r="Y3" s="16">
        <v>1.0957888908294</v>
      </c>
      <c r="AB3" s="15">
        <v>167.031100629126</v>
      </c>
      <c r="AE3" s="11">
        <v>4.3944150884144002E-2</v>
      </c>
    </row>
    <row r="4" spans="1:77" x14ac:dyDescent="0.3">
      <c r="A4" s="1">
        <v>46028</v>
      </c>
      <c r="B4" s="15">
        <v>154.69999999999999</v>
      </c>
      <c r="C4" s="15">
        <v>162.02000000000001</v>
      </c>
      <c r="D4" s="11">
        <v>1.478228330527E-2</v>
      </c>
      <c r="E4" s="11">
        <v>1.3483908896494701E-2</v>
      </c>
      <c r="F4" s="15">
        <v>0</v>
      </c>
      <c r="G4" s="15">
        <v>0</v>
      </c>
      <c r="H4" s="15">
        <v>0</v>
      </c>
      <c r="I4" s="15">
        <v>0</v>
      </c>
      <c r="J4" s="15">
        <v>0</v>
      </c>
      <c r="K4" s="15">
        <v>0</v>
      </c>
      <c r="L4" s="15">
        <v>154.69999999999999</v>
      </c>
      <c r="M4" s="15">
        <v>162.02000000000001</v>
      </c>
      <c r="N4" s="16">
        <v>1.04731738849385</v>
      </c>
      <c r="O4" s="16">
        <v>1.0958817339640901</v>
      </c>
      <c r="R4" s="15">
        <v>169.53290424424401</v>
      </c>
      <c r="U4" s="11">
        <v>4.5327248913052197E-2</v>
      </c>
      <c r="X4" s="16">
        <v>1.04731738849385</v>
      </c>
      <c r="Y4" s="16">
        <v>1.0957888908294</v>
      </c>
      <c r="AB4" s="15">
        <v>169.518541411309</v>
      </c>
      <c r="AE4" s="11">
        <v>4.5242525292919201E-2</v>
      </c>
    </row>
    <row r="5" spans="1:77" x14ac:dyDescent="0.3">
      <c r="A5" s="1">
        <v>46029</v>
      </c>
      <c r="B5" s="15">
        <v>152.1</v>
      </c>
      <c r="C5" s="15">
        <v>158.97</v>
      </c>
      <c r="D5" s="11">
        <v>-1.6949558313773198E-2</v>
      </c>
      <c r="E5" s="11">
        <v>-1.90042792295647E-2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152.1</v>
      </c>
      <c r="M5" s="15">
        <v>158.97</v>
      </c>
      <c r="N5" s="16">
        <v>1.0451676528599601</v>
      </c>
      <c r="O5" s="16">
        <v>1.0958817339640901</v>
      </c>
      <c r="R5" s="15">
        <v>166.683611735938</v>
      </c>
      <c r="U5" s="11">
        <v>4.7381969828843899E-2</v>
      </c>
      <c r="X5" s="16">
        <v>1.0451676528599601</v>
      </c>
      <c r="Y5" s="16">
        <v>1.0957888908294</v>
      </c>
      <c r="AB5" s="15">
        <v>166.669490295153</v>
      </c>
      <c r="AE5" s="11">
        <v>4.7297246208710703E-2</v>
      </c>
    </row>
    <row r="6" spans="1:77" x14ac:dyDescent="0.3">
      <c r="A6" s="1">
        <v>46030</v>
      </c>
      <c r="B6" s="15">
        <v>153.18</v>
      </c>
      <c r="C6" s="15">
        <v>160.16999999999999</v>
      </c>
      <c r="D6" s="11">
        <v>7.0755012162002796E-3</v>
      </c>
      <c r="E6" s="11">
        <v>7.5202460074240904E-3</v>
      </c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153.18</v>
      </c>
      <c r="M6" s="15">
        <v>160.16999999999999</v>
      </c>
      <c r="N6" s="16">
        <v>1.04563258911084</v>
      </c>
      <c r="O6" s="16">
        <v>1.0958817339640901</v>
      </c>
      <c r="R6" s="15">
        <v>167.867164008619</v>
      </c>
      <c r="U6" s="11">
        <v>4.6937225037620399E-2</v>
      </c>
      <c r="X6" s="16">
        <v>1.04563258911084</v>
      </c>
      <c r="Y6" s="16">
        <v>1.0957888908294</v>
      </c>
      <c r="AB6" s="15">
        <v>167.852942297249</v>
      </c>
      <c r="AE6" s="11">
        <v>4.6852501417487098E-2</v>
      </c>
    </row>
    <row r="7" spans="1:77" x14ac:dyDescent="0.3">
      <c r="A7" s="1">
        <v>46031</v>
      </c>
      <c r="B7" s="15">
        <v>154.65</v>
      </c>
      <c r="C7" s="15">
        <v>161.93</v>
      </c>
      <c r="D7" s="11">
        <v>9.5507986496310999E-3</v>
      </c>
      <c r="E7" s="11">
        <v>1.0928391905175E-2</v>
      </c>
      <c r="F7" s="15">
        <v>0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154.65</v>
      </c>
      <c r="M7" s="15">
        <v>161.93</v>
      </c>
      <c r="N7" s="16">
        <v>1.04707403815066</v>
      </c>
      <c r="O7" s="16">
        <v>1.0958817339640901</v>
      </c>
      <c r="R7" s="15">
        <v>169.47811015754601</v>
      </c>
      <c r="U7" s="11">
        <v>4.55596317820764E-2</v>
      </c>
      <c r="X7" s="16">
        <v>1.04707403815066</v>
      </c>
      <c r="Y7" s="16">
        <v>1.0957888908294</v>
      </c>
      <c r="AB7" s="15">
        <v>169.463751966768</v>
      </c>
      <c r="AE7" s="11">
        <v>4.5474908161943203E-2</v>
      </c>
    </row>
    <row r="8" spans="1:77" x14ac:dyDescent="0.3">
      <c r="A8" s="1">
        <v>46034</v>
      </c>
      <c r="B8" s="15">
        <v>154.74</v>
      </c>
      <c r="C8" s="15">
        <v>163.16999999999999</v>
      </c>
      <c r="D8" s="11">
        <v>5.8178999022972502E-4</v>
      </c>
      <c r="E8" s="11">
        <v>7.6284590175994399E-3</v>
      </c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154.74</v>
      </c>
      <c r="M8" s="15">
        <v>163.16999999999999</v>
      </c>
      <c r="N8" s="16">
        <v>1.0544784800310101</v>
      </c>
      <c r="O8" s="16">
        <v>1.0958817339640901</v>
      </c>
      <c r="R8" s="15">
        <v>169.576739513603</v>
      </c>
      <c r="U8" s="11">
        <v>3.8512962754706698E-2</v>
      </c>
      <c r="X8" s="16">
        <v>1.0544784800310101</v>
      </c>
      <c r="Y8" s="16">
        <v>1.0957888908294</v>
      </c>
      <c r="AB8" s="15">
        <v>169.56237296694201</v>
      </c>
      <c r="AE8" s="11">
        <v>3.8428239134573598E-2</v>
      </c>
    </row>
    <row r="9" spans="1:77" x14ac:dyDescent="0.3">
      <c r="A9" s="1">
        <v>46035</v>
      </c>
      <c r="B9" s="15">
        <v>154.24</v>
      </c>
      <c r="C9" s="15">
        <v>164.01</v>
      </c>
      <c r="D9" s="11">
        <v>-3.2364582590728801E-3</v>
      </c>
      <c r="E9" s="11">
        <v>5.1347994720384402E-3</v>
      </c>
      <c r="F9" s="15">
        <v>0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154.24</v>
      </c>
      <c r="M9" s="15">
        <v>164.01</v>
      </c>
      <c r="N9" s="16">
        <v>1.06334284232365</v>
      </c>
      <c r="O9" s="16">
        <v>1.0958817339640901</v>
      </c>
      <c r="R9" s="15">
        <v>169.028798646621</v>
      </c>
      <c r="U9" s="11">
        <v>3.01417050235952E-2</v>
      </c>
      <c r="X9" s="16">
        <v>1.06334284232365</v>
      </c>
      <c r="Y9" s="16">
        <v>1.0957888908294</v>
      </c>
      <c r="AB9" s="15">
        <v>169.01447852152799</v>
      </c>
      <c r="AE9" s="11">
        <v>3.0056981403462E-2</v>
      </c>
      <c r="BJ9" s="6">
        <f>AVERAGE(BI22:BI200)</f>
        <v>1.4448536710239077E-4</v>
      </c>
      <c r="BV9" s="6">
        <f>AVERAGE(BU22:BU200)</f>
        <v>2.8467687648435123E-4</v>
      </c>
      <c r="BY9" s="6">
        <f>AVERAGE(BX22:BX200)</f>
        <v>4.2916224358674216E-4</v>
      </c>
    </row>
    <row r="10" spans="1:77" x14ac:dyDescent="0.3">
      <c r="A10" s="1">
        <v>46036</v>
      </c>
      <c r="B10" s="15">
        <v>154.65</v>
      </c>
      <c r="C10" s="15">
        <v>164.27</v>
      </c>
      <c r="D10" s="11">
        <v>2.6546682688431801E-3</v>
      </c>
      <c r="E10" s="11">
        <v>1.58401397809095E-3</v>
      </c>
      <c r="F10" s="15">
        <v>0</v>
      </c>
      <c r="G10" s="15">
        <v>0</v>
      </c>
      <c r="H10" s="15">
        <v>0</v>
      </c>
      <c r="I10" s="15">
        <v>0</v>
      </c>
      <c r="J10" s="15">
        <v>0</v>
      </c>
      <c r="K10" s="15">
        <v>0</v>
      </c>
      <c r="L10" s="15">
        <v>154.65</v>
      </c>
      <c r="M10" s="15">
        <v>164.27</v>
      </c>
      <c r="N10" s="16">
        <v>1.0622049789848</v>
      </c>
      <c r="O10" s="16">
        <v>1.0958817339640901</v>
      </c>
      <c r="R10" s="15">
        <v>169.47811015754601</v>
      </c>
      <c r="U10" s="11">
        <v>3.1212359314347401E-2</v>
      </c>
      <c r="X10" s="16">
        <v>1.0622049789848</v>
      </c>
      <c r="Y10" s="16">
        <v>1.0957888908294</v>
      </c>
      <c r="AB10" s="15">
        <v>169.463751966768</v>
      </c>
      <c r="AE10" s="11">
        <v>3.1127635694214201E-2</v>
      </c>
      <c r="AZ10" s="7"/>
      <c r="BJ10" s="6">
        <f>STDEV(BI22:BI200)</f>
        <v>2.0819754044375726E-3</v>
      </c>
      <c r="BL10" s="7"/>
      <c r="BV10" s="6">
        <f>STDEV(BU22:BU200)</f>
        <v>1.9425433950588065E-3</v>
      </c>
      <c r="BY10" s="6">
        <f>STDEV(BX22:BX200)</f>
        <v>2.8328900097522001E-3</v>
      </c>
    </row>
    <row r="11" spans="1:77" x14ac:dyDescent="0.3">
      <c r="A11" s="1">
        <v>46037</v>
      </c>
      <c r="B11" s="15">
        <v>155.63999999999999</v>
      </c>
      <c r="C11" s="15">
        <v>165.78</v>
      </c>
      <c r="D11" s="11">
        <v>6.3811489852739697E-3</v>
      </c>
      <c r="E11" s="11">
        <v>9.1501926102717304E-3</v>
      </c>
      <c r="F11" s="15">
        <v>0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5">
        <v>155.63999999999999</v>
      </c>
      <c r="M11" s="15">
        <v>165.78</v>
      </c>
      <c r="N11" s="16">
        <v>1.0651503469545101</v>
      </c>
      <c r="O11" s="16">
        <v>1.0958817339640901</v>
      </c>
      <c r="P11" s="16">
        <v>1.0531474617957599</v>
      </c>
      <c r="R11" s="15">
        <v>170.56303307417099</v>
      </c>
      <c r="U11" s="11">
        <v>2.8443315689349599E-2</v>
      </c>
      <c r="X11" s="16">
        <v>1.0651503469545101</v>
      </c>
      <c r="Y11" s="16">
        <v>1.0957888908294</v>
      </c>
      <c r="Z11" s="16">
        <v>1.0531474617957599</v>
      </c>
      <c r="AB11" s="15">
        <v>170.548582968689</v>
      </c>
      <c r="AE11" s="11">
        <v>2.8358592069216499E-2</v>
      </c>
      <c r="BJ11">
        <f>SQRT(252)*BJ9/BJ10</f>
        <v>1.101662436432288</v>
      </c>
      <c r="BV11">
        <f>SQRT(252)*BV9/BV10</f>
        <v>2.3263857716767569</v>
      </c>
      <c r="BY11">
        <f>SQRT(252)*BY9/BY10</f>
        <v>2.4048725465236798</v>
      </c>
    </row>
    <row r="12" spans="1:77" x14ac:dyDescent="0.3">
      <c r="A12" s="1">
        <v>46038</v>
      </c>
      <c r="B12" s="15">
        <v>156.38</v>
      </c>
      <c r="C12" s="15">
        <v>166.9</v>
      </c>
      <c r="D12" s="11">
        <v>4.7432945800152696E-3</v>
      </c>
      <c r="E12" s="11">
        <v>6.73322250440929E-3</v>
      </c>
      <c r="F12" s="15">
        <v>0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156.38</v>
      </c>
      <c r="M12" s="15">
        <v>166.9</v>
      </c>
      <c r="N12" s="16">
        <v>1.0672720296713101</v>
      </c>
      <c r="O12" s="16">
        <v>1.0958817339640901</v>
      </c>
      <c r="P12" s="16">
        <v>1.0546318428323</v>
      </c>
      <c r="R12" s="15">
        <v>171.373985557304</v>
      </c>
      <c r="S12" s="15">
        <v>164.69120007562</v>
      </c>
      <c r="U12" s="11">
        <v>2.6453387764955601E-2</v>
      </c>
      <c r="V12" s="11">
        <v>-1.33226249321456E-2</v>
      </c>
      <c r="X12" s="16">
        <v>1.0672720296713101</v>
      </c>
      <c r="Y12" s="16">
        <v>1.0957888908294</v>
      </c>
      <c r="Z12" s="16">
        <v>1.0546318428323</v>
      </c>
      <c r="AB12" s="15">
        <v>171.35946674790301</v>
      </c>
      <c r="AC12" s="15">
        <v>164.69120007562</v>
      </c>
      <c r="AE12" s="11">
        <v>2.6368664144822501E-2</v>
      </c>
      <c r="AF12" s="11">
        <v>-1.33226249321456E-2</v>
      </c>
    </row>
    <row r="13" spans="1:77" x14ac:dyDescent="0.3">
      <c r="A13" s="1">
        <v>46042</v>
      </c>
      <c r="B13" s="15">
        <v>152.99</v>
      </c>
      <c r="C13" s="15">
        <v>163.53</v>
      </c>
      <c r="D13" s="11">
        <v>-2.1916382917080202E-2</v>
      </c>
      <c r="E13" s="11">
        <v>-2.03983709234902E-2</v>
      </c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152.99</v>
      </c>
      <c r="M13" s="15">
        <v>163.53</v>
      </c>
      <c r="N13" s="16">
        <v>1.0688933917249399</v>
      </c>
      <c r="O13" s="16">
        <v>1.0958817339640901</v>
      </c>
      <c r="P13" s="16">
        <v>1.0566533738305499</v>
      </c>
      <c r="R13" s="15">
        <v>167.65894647916599</v>
      </c>
      <c r="S13" s="15">
        <v>161.348125634914</v>
      </c>
      <c r="U13" s="11">
        <v>2.49353757713657E-2</v>
      </c>
      <c r="V13" s="11">
        <v>-1.3432158079129199E-2</v>
      </c>
      <c r="X13" s="16">
        <v>1.0688933917249399</v>
      </c>
      <c r="Y13" s="16">
        <v>1.0957888908294</v>
      </c>
      <c r="Z13" s="16">
        <v>1.0566533738305499</v>
      </c>
      <c r="AB13" s="15">
        <v>167.644742407991</v>
      </c>
      <c r="AC13" s="15">
        <v>161.348125634914</v>
      </c>
      <c r="AE13" s="11">
        <v>2.4850652151232399E-2</v>
      </c>
      <c r="AF13" s="11">
        <v>-1.3432158079129199E-2</v>
      </c>
    </row>
    <row r="14" spans="1:77" x14ac:dyDescent="0.3">
      <c r="A14" s="1">
        <v>46043</v>
      </c>
      <c r="B14" s="15">
        <v>155.33000000000001</v>
      </c>
      <c r="C14" s="15">
        <v>166.36</v>
      </c>
      <c r="D14" s="11">
        <v>1.51793262205282E-2</v>
      </c>
      <c r="E14" s="11">
        <v>1.71576551304118E-2</v>
      </c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155.33000000000001</v>
      </c>
      <c r="M14" s="15">
        <v>166.36</v>
      </c>
      <c r="N14" s="16">
        <v>1.0710101075130301</v>
      </c>
      <c r="O14" s="16">
        <v>1.0958817339640901</v>
      </c>
      <c r="P14" s="16">
        <v>1.0590226457324701</v>
      </c>
      <c r="R14" s="15">
        <v>170.22330973664199</v>
      </c>
      <c r="S14" s="15">
        <v>164.1299685571</v>
      </c>
      <c r="U14" s="11">
        <v>2.29570468614823E-2</v>
      </c>
      <c r="V14" s="11">
        <v>-1.34955097040246E-2</v>
      </c>
      <c r="X14" s="16">
        <v>1.0710101075130301</v>
      </c>
      <c r="Y14" s="16">
        <v>1.0957888908294</v>
      </c>
      <c r="Z14" s="16">
        <v>1.0590226457324701</v>
      </c>
      <c r="AB14" s="15">
        <v>170.20888841253199</v>
      </c>
      <c r="AC14" s="15">
        <v>164.1299685571</v>
      </c>
      <c r="AE14" s="11">
        <v>2.2872323241348899E-2</v>
      </c>
      <c r="AF14" s="11">
        <v>-1.34955097040246E-2</v>
      </c>
    </row>
    <row r="15" spans="1:77" x14ac:dyDescent="0.3">
      <c r="A15" s="1">
        <v>46044</v>
      </c>
      <c r="B15" s="15">
        <v>155.44</v>
      </c>
      <c r="C15" s="15">
        <v>165.5</v>
      </c>
      <c r="D15" s="11">
        <v>7.07919069368799E-4</v>
      </c>
      <c r="E15" s="11">
        <v>-5.1829200575934601E-3</v>
      </c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155.44</v>
      </c>
      <c r="M15" s="15">
        <v>165.5</v>
      </c>
      <c r="N15" s="16">
        <v>1.06471950591868</v>
      </c>
      <c r="O15" s="16">
        <v>1.0958817339640901</v>
      </c>
      <c r="P15" s="16">
        <v>1.06097783103834</v>
      </c>
      <c r="R15" s="15">
        <v>170.34385672737801</v>
      </c>
      <c r="S15" s="15">
        <v>164.61448005265601</v>
      </c>
      <c r="U15" s="11">
        <v>2.8847885988444101E-2</v>
      </c>
      <c r="V15" s="11">
        <v>-5.3649392850844196E-3</v>
      </c>
      <c r="X15" s="16">
        <v>1.06471950591868</v>
      </c>
      <c r="Y15" s="16">
        <v>1.0957888908294</v>
      </c>
      <c r="Z15" s="16">
        <v>1.06097783103834</v>
      </c>
      <c r="AB15" s="15">
        <v>170.32942519052301</v>
      </c>
      <c r="AC15" s="15">
        <v>164.61448005265601</v>
      </c>
      <c r="AE15" s="11">
        <v>2.8763162368311099E-2</v>
      </c>
      <c r="AF15" s="11">
        <v>-5.3649392850844196E-3</v>
      </c>
    </row>
    <row r="16" spans="1:77" x14ac:dyDescent="0.3">
      <c r="A16" s="1">
        <v>46045</v>
      </c>
      <c r="B16" s="15">
        <v>153.94</v>
      </c>
      <c r="C16" s="15">
        <v>164.22</v>
      </c>
      <c r="D16" s="11">
        <v>-9.6968889630132307E-3</v>
      </c>
      <c r="E16" s="11">
        <v>-7.76420253647493E-3</v>
      </c>
      <c r="F16" s="15">
        <v>0</v>
      </c>
      <c r="G16" s="15">
        <v>0</v>
      </c>
      <c r="H16" s="15">
        <v>0</v>
      </c>
      <c r="I16" s="15">
        <v>0</v>
      </c>
      <c r="J16" s="15">
        <v>0</v>
      </c>
      <c r="K16" s="15">
        <v>0</v>
      </c>
      <c r="L16" s="15">
        <v>153.94</v>
      </c>
      <c r="M16" s="15">
        <v>164.22</v>
      </c>
      <c r="N16" s="16">
        <v>1.0667792646485601</v>
      </c>
      <c r="O16" s="16">
        <v>1.0958817339640901</v>
      </c>
      <c r="P16" s="16">
        <v>1.06309249859211</v>
      </c>
      <c r="R16" s="15">
        <v>168.700034126432</v>
      </c>
      <c r="S16" s="15">
        <v>163.326927310043</v>
      </c>
      <c r="U16" s="11">
        <v>2.69151995619058E-2</v>
      </c>
      <c r="V16" s="11">
        <v>-5.4531111639812401E-3</v>
      </c>
      <c r="X16" s="16">
        <v>1.0667792646485601</v>
      </c>
      <c r="Y16" s="16">
        <v>1.0957888908294</v>
      </c>
      <c r="Z16" s="16">
        <v>1.06309249859211</v>
      </c>
      <c r="AB16" s="15">
        <v>168.685741854279</v>
      </c>
      <c r="AC16" s="15">
        <v>163.326927310043</v>
      </c>
      <c r="AE16" s="11">
        <v>2.6830475941772701E-2</v>
      </c>
      <c r="AF16" s="11">
        <v>-5.4531111639812401E-3</v>
      </c>
    </row>
    <row r="17" spans="1:77" x14ac:dyDescent="0.3">
      <c r="A17" s="1">
        <v>46048</v>
      </c>
      <c r="B17" s="15">
        <v>154.13999999999999</v>
      </c>
      <c r="C17" s="15">
        <v>164.38</v>
      </c>
      <c r="D17" s="11">
        <v>1.2983642436757801E-3</v>
      </c>
      <c r="E17" s="11">
        <v>9.7382843971125096E-4</v>
      </c>
      <c r="F17" s="15">
        <v>0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154.13999999999999</v>
      </c>
      <c r="M17" s="15">
        <v>164.38</v>
      </c>
      <c r="N17" s="16">
        <v>1.06643311275463</v>
      </c>
      <c r="O17" s="16">
        <v>1.0958817339640901</v>
      </c>
      <c r="P17" s="16">
        <v>1.0650284060525099</v>
      </c>
      <c r="R17" s="15">
        <v>168.91921047322401</v>
      </c>
      <c r="S17" s="15">
        <v>163.86507773298899</v>
      </c>
      <c r="U17" s="11">
        <v>2.7239735365870401E-2</v>
      </c>
      <c r="V17" s="11">
        <v>-3.1374282469155599E-3</v>
      </c>
      <c r="X17" s="16">
        <v>1.06643311275463</v>
      </c>
      <c r="Y17" s="16">
        <v>1.0957888908294</v>
      </c>
      <c r="Z17" s="16">
        <v>1.0650284060525099</v>
      </c>
      <c r="AB17" s="15">
        <v>168.90489963244499</v>
      </c>
      <c r="AC17" s="15">
        <v>163.86507773298899</v>
      </c>
      <c r="AE17" s="11">
        <v>2.7155011745737201E-2</v>
      </c>
      <c r="AF17" s="11">
        <v>-3.1374282469155599E-3</v>
      </c>
    </row>
    <row r="18" spans="1:77" x14ac:dyDescent="0.3">
      <c r="A18" s="1">
        <v>46049</v>
      </c>
      <c r="B18" s="15">
        <v>154.16</v>
      </c>
      <c r="C18" s="15">
        <v>165.06</v>
      </c>
      <c r="D18" s="11">
        <v>1.29743756263822E-4</v>
      </c>
      <c r="E18" s="11">
        <v>4.1282234441843398E-3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154.16</v>
      </c>
      <c r="M18" s="15">
        <v>165.06</v>
      </c>
      <c r="N18" s="16">
        <v>1.0707057602490899</v>
      </c>
      <c r="O18" s="16">
        <v>1.0958817339640901</v>
      </c>
      <c r="P18" s="16">
        <v>1.0666511340743201</v>
      </c>
      <c r="R18" s="15">
        <v>168.94112810790401</v>
      </c>
      <c r="S18" s="15">
        <v>164.18477907705599</v>
      </c>
      <c r="U18" s="11">
        <v>2.32412556779499E-2</v>
      </c>
      <c r="V18" s="11">
        <v>-5.3165489029582298E-3</v>
      </c>
      <c r="X18" s="16">
        <v>1.0707057602490899</v>
      </c>
      <c r="Y18" s="16">
        <v>1.0957888908294</v>
      </c>
      <c r="Z18" s="16">
        <v>1.0666511340743201</v>
      </c>
      <c r="AB18" s="15">
        <v>168.92681541026101</v>
      </c>
      <c r="AC18" s="15">
        <v>164.18477907705599</v>
      </c>
      <c r="AE18" s="11">
        <v>2.31565320578167E-2</v>
      </c>
      <c r="AF18" s="11">
        <v>-5.3165489029582298E-3</v>
      </c>
    </row>
    <row r="19" spans="1:77" x14ac:dyDescent="0.3">
      <c r="A19" s="1">
        <v>46050</v>
      </c>
      <c r="B19" s="15">
        <v>153.47999999999999</v>
      </c>
      <c r="C19" s="15">
        <v>164.14</v>
      </c>
      <c r="D19" s="11">
        <v>-4.4207587273593996E-3</v>
      </c>
      <c r="E19" s="11">
        <v>-5.5893219629726898E-3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153.47999999999999</v>
      </c>
      <c r="M19" s="15">
        <v>164.14</v>
      </c>
      <c r="N19" s="16">
        <v>1.06945530362262</v>
      </c>
      <c r="O19" s="16">
        <v>1.0958817339640901</v>
      </c>
      <c r="P19" s="16">
        <v>1.06726238020422</v>
      </c>
      <c r="R19" s="15">
        <v>168.195928528808</v>
      </c>
      <c r="S19" s="15">
        <v>163.709616057727</v>
      </c>
      <c r="U19" s="11">
        <v>2.4409818913563301E-2</v>
      </c>
      <c r="V19" s="11">
        <v>-2.62549759658784E-3</v>
      </c>
      <c r="X19" s="16">
        <v>1.06945530362262</v>
      </c>
      <c r="Y19" s="16">
        <v>1.0957888908294</v>
      </c>
      <c r="Z19" s="16">
        <v>1.06726238020422</v>
      </c>
      <c r="AB19" s="15">
        <v>168.181678964497</v>
      </c>
      <c r="AC19" s="15">
        <v>163.709616057727</v>
      </c>
      <c r="AE19" s="11">
        <v>2.4325095293430101E-2</v>
      </c>
      <c r="AF19" s="11">
        <v>-2.62549759658784E-3</v>
      </c>
      <c r="BX19" s="3" t="s">
        <v>33</v>
      </c>
      <c r="BY19" s="3" t="s">
        <v>33</v>
      </c>
    </row>
    <row r="20" spans="1:77" x14ac:dyDescent="0.3">
      <c r="A20" s="1">
        <v>46051</v>
      </c>
      <c r="B20" s="15">
        <v>154.87</v>
      </c>
      <c r="C20" s="15">
        <v>165.86</v>
      </c>
      <c r="D20" s="11">
        <v>9.0157899493314396E-3</v>
      </c>
      <c r="E20" s="11">
        <v>1.04243368214922E-2</v>
      </c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154.87</v>
      </c>
      <c r="M20" s="15">
        <v>165.86</v>
      </c>
      <c r="N20" s="16">
        <v>1.07096274294569</v>
      </c>
      <c r="O20" s="16">
        <v>1.0958817339640901</v>
      </c>
      <c r="P20" s="16">
        <v>1.0681381566003101</v>
      </c>
      <c r="R20" s="15">
        <v>169.71920413901799</v>
      </c>
      <c r="S20" s="15">
        <v>165.28692482222701</v>
      </c>
      <c r="U20" s="11">
        <v>2.3001272041402499E-2</v>
      </c>
      <c r="V20" s="11">
        <v>-3.4611570086667E-3</v>
      </c>
      <c r="X20" s="16">
        <v>1.07096274294569</v>
      </c>
      <c r="Y20" s="16">
        <v>1.0957888908294</v>
      </c>
      <c r="Z20" s="16">
        <v>1.0681381566003101</v>
      </c>
      <c r="AB20" s="15">
        <v>169.70482552275001</v>
      </c>
      <c r="AC20" s="15">
        <v>165.28692482222701</v>
      </c>
      <c r="AE20" s="11">
        <v>2.29165484212694E-2</v>
      </c>
      <c r="AF20" s="11">
        <v>-3.4611570086667E-3</v>
      </c>
      <c r="AZ20" s="8" t="s">
        <v>34</v>
      </c>
      <c r="BA20" s="9">
        <v>-5.0000000000000001E-3</v>
      </c>
      <c r="BB20" s="3" t="s">
        <v>35</v>
      </c>
      <c r="BC20" s="3" t="s">
        <v>36</v>
      </c>
      <c r="BD20" s="3" t="s">
        <v>37</v>
      </c>
      <c r="BE20" s="3" t="s">
        <v>38</v>
      </c>
      <c r="BF20" s="3" t="s">
        <v>39</v>
      </c>
      <c r="BG20" s="3" t="str">
        <f>D1</f>
        <v>IYJ log rtn</v>
      </c>
      <c r="BH20" s="3" t="str">
        <f>E1</f>
        <v>XLI log rtn</v>
      </c>
      <c r="BI20" s="3" t="s">
        <v>40</v>
      </c>
      <c r="BJ20" s="3" t="s">
        <v>41</v>
      </c>
      <c r="BL20" s="8" t="s">
        <v>34</v>
      </c>
      <c r="BM20" s="9">
        <v>5.0000000000000001E-3</v>
      </c>
      <c r="BN20" s="3" t="s">
        <v>36</v>
      </c>
      <c r="BO20" s="3" t="s">
        <v>35</v>
      </c>
      <c r="BP20" s="3" t="s">
        <v>37</v>
      </c>
      <c r="BQ20" s="3" t="s">
        <v>38</v>
      </c>
      <c r="BR20" s="3" t="s">
        <v>39</v>
      </c>
      <c r="BS20" s="4" t="str">
        <f>D1</f>
        <v>IYJ log rtn</v>
      </c>
      <c r="BT20" s="4" t="str">
        <f>E1</f>
        <v>XLI log rtn</v>
      </c>
      <c r="BU20" s="3" t="s">
        <v>40</v>
      </c>
      <c r="BV20" s="3" t="s">
        <v>41</v>
      </c>
      <c r="BX20" s="3" t="s">
        <v>40</v>
      </c>
      <c r="BY20" s="3" t="s">
        <v>41</v>
      </c>
    </row>
    <row r="21" spans="1:77" x14ac:dyDescent="0.3">
      <c r="A21" s="1">
        <v>46052</v>
      </c>
      <c r="B21" s="15">
        <v>153.88999999999999</v>
      </c>
      <c r="C21" s="15">
        <v>165.44</v>
      </c>
      <c r="D21" s="11">
        <v>-6.3479938523228301E-3</v>
      </c>
      <c r="E21" s="11">
        <v>-2.5354677029934599E-3</v>
      </c>
      <c r="F21" s="15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153.88999999999999</v>
      </c>
      <c r="M21" s="15">
        <v>165.44</v>
      </c>
      <c r="N21" s="16">
        <v>1.07505360972122</v>
      </c>
      <c r="O21" s="16">
        <v>1.0958817339640901</v>
      </c>
      <c r="P21" s="16">
        <v>1.06912848287698</v>
      </c>
      <c r="Q21" s="16">
        <v>1.0611379723363701</v>
      </c>
      <c r="R21" s="15">
        <v>168.64524003973301</v>
      </c>
      <c r="S21" s="15">
        <v>164.375780919221</v>
      </c>
      <c r="U21" s="11">
        <v>1.91887458920732E-2</v>
      </c>
      <c r="V21" s="11">
        <v>-6.4534375599485201E-3</v>
      </c>
      <c r="X21" s="16">
        <v>1.07505360972122</v>
      </c>
      <c r="Y21" s="16">
        <v>1.0957888908294</v>
      </c>
      <c r="Z21" s="16">
        <v>1.06912848287698</v>
      </c>
      <c r="AA21" s="16">
        <v>1.0611379723363701</v>
      </c>
      <c r="AB21" s="15">
        <v>168.63095240973701</v>
      </c>
      <c r="AC21" s="15">
        <v>164.375780919221</v>
      </c>
      <c r="AE21" s="11">
        <v>1.9104022271940101E-2</v>
      </c>
      <c r="AF21" s="11">
        <v>-6.4534375599485201E-3</v>
      </c>
      <c r="BA21" s="9">
        <v>0</v>
      </c>
      <c r="BE21">
        <f>IF(F22+H22&gt;0,0,1)</f>
        <v>1</v>
      </c>
      <c r="BF21" s="10">
        <v>0</v>
      </c>
      <c r="BM21" s="9">
        <v>0</v>
      </c>
      <c r="BQ21">
        <f>IF(F22+H22&gt;0,0,1)</f>
        <v>1</v>
      </c>
      <c r="BR21" s="10">
        <v>0</v>
      </c>
    </row>
    <row r="22" spans="1:77" x14ac:dyDescent="0.3">
      <c r="A22" s="1">
        <v>46055</v>
      </c>
      <c r="B22" s="15">
        <v>156.16</v>
      </c>
      <c r="C22" s="15">
        <v>167.53</v>
      </c>
      <c r="D22" s="11">
        <v>1.4643061189022E-2</v>
      </c>
      <c r="E22" s="11">
        <v>1.25538483853767E-2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156.16</v>
      </c>
      <c r="M22" s="15">
        <v>167.53</v>
      </c>
      <c r="N22" s="16">
        <v>1.0728099385245899</v>
      </c>
      <c r="O22" s="16">
        <v>1.0958817339640901</v>
      </c>
      <c r="P22" s="16">
        <v>1.06968227376231</v>
      </c>
      <c r="Q22" s="16">
        <v>1.0621570582972999</v>
      </c>
      <c r="R22" s="15">
        <v>171.13289157583199</v>
      </c>
      <c r="S22" s="15">
        <v>166.955103886069</v>
      </c>
      <c r="T22" s="15">
        <v>165.70730576004701</v>
      </c>
      <c r="U22" s="11">
        <v>2.12779586957185E-2</v>
      </c>
      <c r="V22" s="11">
        <v>-3.4375024379406901E-3</v>
      </c>
      <c r="W22" s="11">
        <v>-1.09394259609386E-2</v>
      </c>
      <c r="X22" s="16">
        <v>1.0728099385245899</v>
      </c>
      <c r="Y22" s="16">
        <v>1.0957888908294</v>
      </c>
      <c r="Z22" s="16">
        <v>1.06968227376231</v>
      </c>
      <c r="AA22" s="16">
        <v>1.0621570582972999</v>
      </c>
      <c r="AB22" s="15">
        <v>171.11839319192001</v>
      </c>
      <c r="AC22" s="15">
        <v>166.955103886069</v>
      </c>
      <c r="AD22" s="15">
        <v>165.70730576004701</v>
      </c>
      <c r="AE22" s="11">
        <v>2.11932350755853E-2</v>
      </c>
      <c r="AF22" s="11">
        <v>-3.4375024379406901E-3</v>
      </c>
      <c r="AG22" s="11">
        <v>-1.09394259609386E-2</v>
      </c>
      <c r="AZ22" s="11"/>
      <c r="BB22">
        <f>IF($AG22&lt;BA$20,1,0)</f>
        <v>1</v>
      </c>
      <c r="BC22">
        <f>IF($AG22&gt;BA$21,1,0)</f>
        <v>0</v>
      </c>
      <c r="BD22">
        <f>BF21</f>
        <v>0</v>
      </c>
      <c r="BE22">
        <f t="shared" ref="BE22:BE85" si="0">IF(F23+H23&gt;0,0,1)</f>
        <v>1</v>
      </c>
      <c r="BF22">
        <f>IF(BB21,1,IF(BC21,0,BD21))*BE21</f>
        <v>0</v>
      </c>
      <c r="BG22" s="11">
        <f>BF22*D22</f>
        <v>0</v>
      </c>
      <c r="BH22" s="11">
        <f>-BF22*$E22</f>
        <v>0</v>
      </c>
      <c r="BI22" s="11">
        <f>BG22+BH22</f>
        <v>0</v>
      </c>
      <c r="BJ22" s="6">
        <f>BJ21+BI22</f>
        <v>0</v>
      </c>
      <c r="BL22" s="11"/>
      <c r="BN22">
        <f>IF($AG22&gt;BM$20,1,0)</f>
        <v>0</v>
      </c>
      <c r="BO22">
        <f>IF($AG22&lt;BM$21,1,0)</f>
        <v>1</v>
      </c>
      <c r="BP22">
        <f>BR21</f>
        <v>0</v>
      </c>
      <c r="BQ22">
        <f t="shared" ref="BQ22:BQ85" si="1">IF(F23+H23&gt;0,0,1)</f>
        <v>1</v>
      </c>
      <c r="BR22">
        <f>IF(BN21,1,IF(BO21,0,BP21))*BQ21</f>
        <v>0</v>
      </c>
      <c r="BS22" s="11">
        <f>-BR22*D22</f>
        <v>0</v>
      </c>
      <c r="BT22" s="11">
        <f>BR22*$E22</f>
        <v>0</v>
      </c>
      <c r="BU22" s="11">
        <f>BS22+BT22</f>
        <v>0</v>
      </c>
      <c r="BV22" s="6">
        <f>BV21+BU22</f>
        <v>0</v>
      </c>
      <c r="BX22" s="6">
        <f>BI22+BU22</f>
        <v>0</v>
      </c>
      <c r="BY22" s="6">
        <f>BY21+BX22</f>
        <v>0</v>
      </c>
    </row>
    <row r="23" spans="1:77" x14ac:dyDescent="0.3">
      <c r="A23" s="1">
        <v>46056</v>
      </c>
      <c r="B23" s="15">
        <v>156.35</v>
      </c>
      <c r="C23" s="15">
        <v>168.94</v>
      </c>
      <c r="D23" s="11">
        <v>1.21596123906798E-3</v>
      </c>
      <c r="E23" s="11">
        <v>8.3811825939095197E-3</v>
      </c>
      <c r="F23" s="15">
        <v>0</v>
      </c>
      <c r="G23" s="15">
        <v>0</v>
      </c>
      <c r="H23" s="15">
        <v>0</v>
      </c>
      <c r="I23" s="15">
        <v>0</v>
      </c>
      <c r="J23" s="15">
        <v>0</v>
      </c>
      <c r="K23" s="15">
        <v>0</v>
      </c>
      <c r="L23" s="15">
        <v>156.35</v>
      </c>
      <c r="M23" s="15">
        <v>168.94</v>
      </c>
      <c r="N23" s="16">
        <v>1.08052446434282</v>
      </c>
      <c r="O23" s="16">
        <v>1.0958817339640901</v>
      </c>
      <c r="P23" s="16">
        <v>1.0708453810240901</v>
      </c>
      <c r="Q23" s="16">
        <v>1.0637493774273199</v>
      </c>
      <c r="R23" s="15">
        <v>171.341109105285</v>
      </c>
      <c r="S23" s="15">
        <v>167.24482350273701</v>
      </c>
      <c r="T23" s="15">
        <v>166.06825606478401</v>
      </c>
      <c r="U23" s="11">
        <v>1.4112737340876799E-2</v>
      </c>
      <c r="V23" s="11">
        <v>-1.00848744262741E-2</v>
      </c>
      <c r="W23" s="11">
        <v>-1.7144737341437701E-2</v>
      </c>
      <c r="X23" s="16">
        <v>1.08052446434282</v>
      </c>
      <c r="Y23" s="16">
        <v>1.0957888908294</v>
      </c>
      <c r="Z23" s="16">
        <v>1.0708453810240901</v>
      </c>
      <c r="AA23" s="16">
        <v>1.0637493774273199</v>
      </c>
      <c r="AB23" s="15">
        <v>171.326593081178</v>
      </c>
      <c r="AC23" s="15">
        <v>167.24482350273701</v>
      </c>
      <c r="AD23" s="15">
        <v>166.06825606478401</v>
      </c>
      <c r="AE23" s="11">
        <v>1.40280137207435E-2</v>
      </c>
      <c r="AF23" s="11">
        <v>-1.00848744262741E-2</v>
      </c>
      <c r="AG23" s="11">
        <v>-1.7144737341437701E-2</v>
      </c>
      <c r="AZ23" s="11"/>
      <c r="BB23">
        <f t="shared" ref="BB23:BB86" si="2">IF($AG23&lt;BA$20,1,0)</f>
        <v>1</v>
      </c>
      <c r="BC23">
        <f t="shared" ref="BC23:BC86" si="3">IF($AG23&gt;BA$21,1,0)</f>
        <v>0</v>
      </c>
      <c r="BD23">
        <f t="shared" ref="BD23:BD86" si="4">BF23</f>
        <v>1</v>
      </c>
      <c r="BE23">
        <f t="shared" si="0"/>
        <v>1</v>
      </c>
      <c r="BF23">
        <f t="shared" ref="BF23:BF86" si="5">IF(BB22,1,IF(BC22,0,BD22))*BE22</f>
        <v>1</v>
      </c>
      <c r="BG23" s="11">
        <f t="shared" ref="BG23:BG86" si="6">BF23*D23</f>
        <v>1.21596123906798E-3</v>
      </c>
      <c r="BH23" s="11">
        <f t="shared" ref="BH23:BH86" si="7">-BF23*$E23</f>
        <v>-8.3811825939095197E-3</v>
      </c>
      <c r="BI23" s="11">
        <f t="shared" ref="BI23:BI86" si="8">BG23+BH23</f>
        <v>-7.1652213548415392E-3</v>
      </c>
      <c r="BJ23" s="6">
        <f t="shared" ref="BJ23:BJ86" si="9">BJ22+BI23</f>
        <v>-7.1652213548415392E-3</v>
      </c>
      <c r="BL23" s="11"/>
      <c r="BN23">
        <f t="shared" ref="BN23:BN86" si="10">IF($AG23&gt;BM$20,1,0)</f>
        <v>0</v>
      </c>
      <c r="BO23">
        <f t="shared" ref="BO23:BO86" si="11">IF($AG23&lt;BM$21,1,0)</f>
        <v>1</v>
      </c>
      <c r="BP23">
        <f t="shared" ref="BP23:BP86" si="12">BR23</f>
        <v>0</v>
      </c>
      <c r="BQ23">
        <f t="shared" si="1"/>
        <v>1</v>
      </c>
      <c r="BR23">
        <f t="shared" ref="BR23:BR86" si="13">IF(BN22,1,IF(BO22,0,BP22))*BQ22</f>
        <v>0</v>
      </c>
      <c r="BS23" s="11">
        <f t="shared" ref="BS23:BS86" si="14">-BR23*D23</f>
        <v>0</v>
      </c>
      <c r="BT23" s="11">
        <f t="shared" ref="BT23:BT86" si="15">BR23*$E23</f>
        <v>0</v>
      </c>
      <c r="BU23" s="11">
        <f t="shared" ref="BU23:BU86" si="16">BS23+BT23</f>
        <v>0</v>
      </c>
      <c r="BV23" s="6">
        <f t="shared" ref="BV23:BV86" si="17">BV22+BU23</f>
        <v>0</v>
      </c>
      <c r="BX23" s="6">
        <f t="shared" ref="BX23:BX86" si="18">BI23+BU23</f>
        <v>-7.1652213548415392E-3</v>
      </c>
      <c r="BY23" s="6">
        <f t="shared" ref="BY23:BY86" si="19">BY22+BX23</f>
        <v>-7.1652213548415392E-3</v>
      </c>
    </row>
    <row r="24" spans="1:77" x14ac:dyDescent="0.3">
      <c r="A24" s="1">
        <v>46057</v>
      </c>
      <c r="B24" s="15">
        <v>157.31</v>
      </c>
      <c r="C24" s="15">
        <v>169.39</v>
      </c>
      <c r="D24" s="11">
        <v>6.1212969305630902E-3</v>
      </c>
      <c r="E24" s="11">
        <v>2.6601262989397502E-3</v>
      </c>
      <c r="F24" s="15">
        <v>0</v>
      </c>
      <c r="G24" s="15">
        <v>0</v>
      </c>
      <c r="H24" s="15">
        <v>0</v>
      </c>
      <c r="I24" s="15">
        <v>0</v>
      </c>
      <c r="J24" s="15">
        <v>0</v>
      </c>
      <c r="K24" s="15">
        <v>0</v>
      </c>
      <c r="L24" s="15">
        <v>157.31</v>
      </c>
      <c r="M24" s="15">
        <v>169.39</v>
      </c>
      <c r="N24" s="16">
        <v>1.0767910495200499</v>
      </c>
      <c r="O24" s="16">
        <v>1.0958817339640901</v>
      </c>
      <c r="P24" s="16">
        <v>1.07142347522479</v>
      </c>
      <c r="Q24" s="16">
        <v>1.0652230604786299</v>
      </c>
      <c r="R24" s="15">
        <v>172.39315556989101</v>
      </c>
      <c r="S24" s="15">
        <v>168.4546868889</v>
      </c>
      <c r="T24" s="15">
        <v>167.33841456309199</v>
      </c>
      <c r="U24" s="11">
        <v>1.7573907972500202E-2</v>
      </c>
      <c r="V24" s="11">
        <v>-5.5369555121349001E-3</v>
      </c>
      <c r="W24" s="11">
        <v>-1.2185552120808E-2</v>
      </c>
      <c r="X24" s="16">
        <v>1.0767910495200499</v>
      </c>
      <c r="Y24" s="16">
        <v>1.0957888908294</v>
      </c>
      <c r="Z24" s="16">
        <v>1.07142347522479</v>
      </c>
      <c r="AA24" s="16">
        <v>1.0652230604786299</v>
      </c>
      <c r="AB24" s="15">
        <v>172.378550416374</v>
      </c>
      <c r="AC24" s="15">
        <v>168.4546868889</v>
      </c>
      <c r="AD24" s="15">
        <v>167.33841456309199</v>
      </c>
      <c r="AE24" s="11">
        <v>1.7489184352367002E-2</v>
      </c>
      <c r="AF24" s="11">
        <v>-5.5369555121349001E-3</v>
      </c>
      <c r="AG24" s="11">
        <v>-1.2185552120808E-2</v>
      </c>
      <c r="AZ24" s="11"/>
      <c r="BB24">
        <f t="shared" si="2"/>
        <v>1</v>
      </c>
      <c r="BC24">
        <f t="shared" si="3"/>
        <v>0</v>
      </c>
      <c r="BD24">
        <f t="shared" si="4"/>
        <v>1</v>
      </c>
      <c r="BE24">
        <f t="shared" si="0"/>
        <v>1</v>
      </c>
      <c r="BF24">
        <f t="shared" si="5"/>
        <v>1</v>
      </c>
      <c r="BG24" s="11">
        <f t="shared" si="6"/>
        <v>6.1212969305630902E-3</v>
      </c>
      <c r="BH24" s="11">
        <f t="shared" si="7"/>
        <v>-2.6601262989397502E-3</v>
      </c>
      <c r="BI24" s="11">
        <f t="shared" si="8"/>
        <v>3.46117063162334E-3</v>
      </c>
      <c r="BJ24" s="6">
        <f t="shared" si="9"/>
        <v>-3.7040507232181993E-3</v>
      </c>
      <c r="BL24" s="11"/>
      <c r="BN24">
        <f t="shared" si="10"/>
        <v>0</v>
      </c>
      <c r="BO24">
        <f t="shared" si="11"/>
        <v>1</v>
      </c>
      <c r="BP24">
        <f t="shared" si="12"/>
        <v>0</v>
      </c>
      <c r="BQ24">
        <f t="shared" si="1"/>
        <v>1</v>
      </c>
      <c r="BR24">
        <f t="shared" si="13"/>
        <v>0</v>
      </c>
      <c r="BS24" s="11">
        <f t="shared" si="14"/>
        <v>0</v>
      </c>
      <c r="BT24" s="11">
        <f t="shared" si="15"/>
        <v>0</v>
      </c>
      <c r="BU24" s="11">
        <f t="shared" si="16"/>
        <v>0</v>
      </c>
      <c r="BV24" s="6">
        <f t="shared" si="17"/>
        <v>0</v>
      </c>
      <c r="BX24" s="6">
        <f t="shared" si="18"/>
        <v>3.46117063162334E-3</v>
      </c>
      <c r="BY24" s="6">
        <f t="shared" si="19"/>
        <v>-3.7040507232181993E-3</v>
      </c>
    </row>
    <row r="25" spans="1:77" x14ac:dyDescent="0.3">
      <c r="A25" s="1">
        <v>46058</v>
      </c>
      <c r="B25" s="15">
        <v>156.19999999999999</v>
      </c>
      <c r="C25" s="15">
        <v>168.37</v>
      </c>
      <c r="D25" s="11">
        <v>-7.0811434288279703E-3</v>
      </c>
      <c r="E25" s="11">
        <v>-6.03980992858203E-3</v>
      </c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156.19999999999999</v>
      </c>
      <c r="M25" s="15">
        <v>168.37</v>
      </c>
      <c r="N25" s="16">
        <v>1.0779129321382801</v>
      </c>
      <c r="O25" s="16">
        <v>1.0958817339640901</v>
      </c>
      <c r="P25" s="16">
        <v>1.07274281784675</v>
      </c>
      <c r="Q25" s="16">
        <v>1.0668603244425501</v>
      </c>
      <c r="R25" s="15">
        <v>171.17672684518999</v>
      </c>
      <c r="S25" s="15">
        <v>167.35634683011301</v>
      </c>
      <c r="T25" s="15">
        <v>166.38784204676301</v>
      </c>
      <c r="U25" s="11">
        <v>1.6532574472254501E-2</v>
      </c>
      <c r="V25" s="11">
        <v>-6.03858624533757E-3</v>
      </c>
      <c r="W25" s="11">
        <v>-1.18424775747672E-2</v>
      </c>
      <c r="X25" s="16">
        <v>1.0779129321382801</v>
      </c>
      <c r="Y25" s="16">
        <v>1.0957888908294</v>
      </c>
      <c r="Z25" s="16">
        <v>1.07274281784675</v>
      </c>
      <c r="AA25" s="16">
        <v>1.0668603244425501</v>
      </c>
      <c r="AB25" s="15">
        <v>171.16222474755301</v>
      </c>
      <c r="AC25" s="15">
        <v>167.35634683011301</v>
      </c>
      <c r="AD25" s="15">
        <v>166.38784204676301</v>
      </c>
      <c r="AE25" s="11">
        <v>1.64478508521212E-2</v>
      </c>
      <c r="AF25" s="11">
        <v>-6.03858624533757E-3</v>
      </c>
      <c r="AG25" s="11">
        <v>-1.18424775747672E-2</v>
      </c>
      <c r="AZ25" s="11"/>
      <c r="BB25">
        <f t="shared" si="2"/>
        <v>1</v>
      </c>
      <c r="BC25">
        <f t="shared" si="3"/>
        <v>0</v>
      </c>
      <c r="BD25">
        <f t="shared" si="4"/>
        <v>1</v>
      </c>
      <c r="BE25">
        <f t="shared" si="0"/>
        <v>1</v>
      </c>
      <c r="BF25">
        <f t="shared" si="5"/>
        <v>1</v>
      </c>
      <c r="BG25" s="11">
        <f t="shared" si="6"/>
        <v>-7.0811434288279703E-3</v>
      </c>
      <c r="BH25" s="11">
        <f t="shared" si="7"/>
        <v>6.03980992858203E-3</v>
      </c>
      <c r="BI25" s="11">
        <f t="shared" si="8"/>
        <v>-1.0413335002459403E-3</v>
      </c>
      <c r="BJ25" s="6">
        <f t="shared" si="9"/>
        <v>-4.7453842234641396E-3</v>
      </c>
      <c r="BL25" s="11"/>
      <c r="BN25">
        <f t="shared" si="10"/>
        <v>0</v>
      </c>
      <c r="BO25">
        <f t="shared" si="11"/>
        <v>1</v>
      </c>
      <c r="BP25">
        <f t="shared" si="12"/>
        <v>0</v>
      </c>
      <c r="BQ25">
        <f t="shared" si="1"/>
        <v>1</v>
      </c>
      <c r="BR25">
        <f t="shared" si="13"/>
        <v>0</v>
      </c>
      <c r="BS25" s="11">
        <f t="shared" si="14"/>
        <v>0</v>
      </c>
      <c r="BT25" s="11">
        <f t="shared" si="15"/>
        <v>0</v>
      </c>
      <c r="BU25" s="11">
        <f t="shared" si="16"/>
        <v>0</v>
      </c>
      <c r="BV25" s="6">
        <f t="shared" si="17"/>
        <v>0</v>
      </c>
      <c r="BX25" s="6">
        <f t="shared" si="18"/>
        <v>-1.0413335002459403E-3</v>
      </c>
      <c r="BY25" s="6">
        <f t="shared" si="19"/>
        <v>-4.7453842234641396E-3</v>
      </c>
    </row>
    <row r="26" spans="1:77" x14ac:dyDescent="0.3">
      <c r="A26" s="1">
        <v>46059</v>
      </c>
      <c r="B26" s="15">
        <v>160.21</v>
      </c>
      <c r="C26" s="15">
        <v>173.18</v>
      </c>
      <c r="D26" s="11">
        <v>2.5348217253037299E-2</v>
      </c>
      <c r="E26" s="11">
        <v>2.8167577349946901E-2</v>
      </c>
      <c r="F26" s="15">
        <v>0</v>
      </c>
      <c r="G26" s="15">
        <v>0</v>
      </c>
      <c r="H26" s="15">
        <v>0</v>
      </c>
      <c r="I26" s="15">
        <v>0</v>
      </c>
      <c r="J26" s="15">
        <v>0</v>
      </c>
      <c r="K26" s="15">
        <v>0</v>
      </c>
      <c r="L26" s="15">
        <v>160.21</v>
      </c>
      <c r="M26" s="15">
        <v>173.18</v>
      </c>
      <c r="N26" s="16">
        <v>1.0809562449285299</v>
      </c>
      <c r="O26" s="16">
        <v>1.0958817339640901</v>
      </c>
      <c r="P26" s="16">
        <v>1.07416051587475</v>
      </c>
      <c r="Q26" s="16">
        <v>1.06862650723343</v>
      </c>
      <c r="R26" s="15">
        <v>175.57121259838601</v>
      </c>
      <c r="S26" s="15">
        <v>171.86412684722899</v>
      </c>
      <c r="T26" s="15">
        <v>170.92169257894099</v>
      </c>
      <c r="U26" s="11">
        <v>1.3713214375344999E-2</v>
      </c>
      <c r="V26" s="11">
        <v>-7.6273115796996601E-3</v>
      </c>
      <c r="W26" s="11">
        <v>-1.31260025375298E-2</v>
      </c>
      <c r="X26" s="16">
        <v>1.0809562449285299</v>
      </c>
      <c r="Y26" s="16">
        <v>1.0957888908294</v>
      </c>
      <c r="Z26" s="16">
        <v>1.07416051587475</v>
      </c>
      <c r="AA26" s="16">
        <v>1.06862650723343</v>
      </c>
      <c r="AB26" s="15">
        <v>175.55633819977899</v>
      </c>
      <c r="AC26" s="15">
        <v>171.86412684722899</v>
      </c>
      <c r="AD26" s="15">
        <v>170.92169257894099</v>
      </c>
      <c r="AE26" s="11">
        <v>1.36284907552119E-2</v>
      </c>
      <c r="AF26" s="11">
        <v>-7.6273115796996601E-3</v>
      </c>
      <c r="AG26" s="11">
        <v>-1.31260025375298E-2</v>
      </c>
      <c r="AZ26" s="11"/>
      <c r="BB26">
        <f t="shared" si="2"/>
        <v>1</v>
      </c>
      <c r="BC26">
        <f t="shared" si="3"/>
        <v>0</v>
      </c>
      <c r="BD26">
        <f t="shared" si="4"/>
        <v>1</v>
      </c>
      <c r="BE26">
        <f t="shared" si="0"/>
        <v>1</v>
      </c>
      <c r="BF26">
        <f t="shared" si="5"/>
        <v>1</v>
      </c>
      <c r="BG26" s="11">
        <f t="shared" si="6"/>
        <v>2.5348217253037299E-2</v>
      </c>
      <c r="BH26" s="11">
        <f t="shared" si="7"/>
        <v>-2.8167577349946901E-2</v>
      </c>
      <c r="BI26" s="11">
        <f t="shared" si="8"/>
        <v>-2.8193600969096018E-3</v>
      </c>
      <c r="BJ26" s="6">
        <f t="shared" si="9"/>
        <v>-7.5647443203737414E-3</v>
      </c>
      <c r="BL26" s="11"/>
      <c r="BN26">
        <f t="shared" si="10"/>
        <v>0</v>
      </c>
      <c r="BO26">
        <f t="shared" si="11"/>
        <v>1</v>
      </c>
      <c r="BP26">
        <f t="shared" si="12"/>
        <v>0</v>
      </c>
      <c r="BQ26">
        <f t="shared" si="1"/>
        <v>1</v>
      </c>
      <c r="BR26">
        <f t="shared" si="13"/>
        <v>0</v>
      </c>
      <c r="BS26" s="11">
        <f t="shared" si="14"/>
        <v>0</v>
      </c>
      <c r="BT26" s="11">
        <f t="shared" si="15"/>
        <v>0</v>
      </c>
      <c r="BU26" s="11">
        <f t="shared" si="16"/>
        <v>0</v>
      </c>
      <c r="BV26" s="6">
        <f t="shared" si="17"/>
        <v>0</v>
      </c>
      <c r="BX26" s="6">
        <f t="shared" si="18"/>
        <v>-2.8193600969096018E-3</v>
      </c>
      <c r="BY26" s="6">
        <f t="shared" si="19"/>
        <v>-7.5647443203737414E-3</v>
      </c>
    </row>
    <row r="27" spans="1:77" x14ac:dyDescent="0.3">
      <c r="A27" s="1">
        <v>46062</v>
      </c>
      <c r="B27" s="15">
        <v>160.19</v>
      </c>
      <c r="C27" s="15">
        <v>173.7</v>
      </c>
      <c r="D27" s="11">
        <v>-1.24843945230916E-4</v>
      </c>
      <c r="E27" s="11">
        <v>2.9981572274039E-3</v>
      </c>
      <c r="F27" s="15">
        <v>0</v>
      </c>
      <c r="G27" s="15">
        <v>0</v>
      </c>
      <c r="H27" s="15">
        <v>0</v>
      </c>
      <c r="I27" s="15">
        <v>0</v>
      </c>
      <c r="J27" s="15">
        <v>0</v>
      </c>
      <c r="K27" s="15">
        <v>0</v>
      </c>
      <c r="L27" s="15">
        <v>160.19</v>
      </c>
      <c r="M27" s="15">
        <v>173.7</v>
      </c>
      <c r="N27" s="16">
        <v>1.0843373493975901</v>
      </c>
      <c r="O27" s="16">
        <v>1.0958817339640901</v>
      </c>
      <c r="P27" s="16">
        <v>1.0759509395390501</v>
      </c>
      <c r="Q27" s="16">
        <v>1.07048967279578</v>
      </c>
      <c r="R27" s="15">
        <v>175.54929496370701</v>
      </c>
      <c r="S27" s="15">
        <v>172.069773037977</v>
      </c>
      <c r="T27" s="15">
        <v>171.18328019372399</v>
      </c>
      <c r="U27" s="11">
        <v>1.05902132027101E-2</v>
      </c>
      <c r="V27" s="11">
        <v>-9.4296214927008307E-3</v>
      </c>
      <c r="W27" s="11">
        <v>-1.45948767285359E-2</v>
      </c>
      <c r="X27" s="16">
        <v>1.0843373493975901</v>
      </c>
      <c r="Y27" s="16">
        <v>1.0957888908294</v>
      </c>
      <c r="Z27" s="16">
        <v>1.0759509395390501</v>
      </c>
      <c r="AA27" s="16">
        <v>1.07048967279578</v>
      </c>
      <c r="AB27" s="15">
        <v>175.534422421963</v>
      </c>
      <c r="AC27" s="15">
        <v>172.069773037977</v>
      </c>
      <c r="AD27" s="15">
        <v>171.18328019372399</v>
      </c>
      <c r="AE27" s="11">
        <v>1.05054895825769E-2</v>
      </c>
      <c r="AF27" s="11">
        <v>-9.4296214927008307E-3</v>
      </c>
      <c r="AG27" s="11">
        <v>-1.45948767285359E-2</v>
      </c>
      <c r="AZ27" s="11"/>
      <c r="BB27">
        <f t="shared" si="2"/>
        <v>1</v>
      </c>
      <c r="BC27">
        <f t="shared" si="3"/>
        <v>0</v>
      </c>
      <c r="BD27">
        <f t="shared" si="4"/>
        <v>1</v>
      </c>
      <c r="BE27">
        <f t="shared" si="0"/>
        <v>1</v>
      </c>
      <c r="BF27">
        <f t="shared" si="5"/>
        <v>1</v>
      </c>
      <c r="BG27" s="11">
        <f t="shared" si="6"/>
        <v>-1.24843945230916E-4</v>
      </c>
      <c r="BH27" s="11">
        <f t="shared" si="7"/>
        <v>-2.9981572274039E-3</v>
      </c>
      <c r="BI27" s="11">
        <f t="shared" si="8"/>
        <v>-3.123001172634816E-3</v>
      </c>
      <c r="BJ27" s="6">
        <f t="shared" si="9"/>
        <v>-1.0687745493008558E-2</v>
      </c>
      <c r="BL27" s="11"/>
      <c r="BN27">
        <f t="shared" si="10"/>
        <v>0</v>
      </c>
      <c r="BO27">
        <f t="shared" si="11"/>
        <v>1</v>
      </c>
      <c r="BP27">
        <f t="shared" si="12"/>
        <v>0</v>
      </c>
      <c r="BQ27">
        <f t="shared" si="1"/>
        <v>1</v>
      </c>
      <c r="BR27">
        <f t="shared" si="13"/>
        <v>0</v>
      </c>
      <c r="BS27" s="11">
        <f t="shared" si="14"/>
        <v>0</v>
      </c>
      <c r="BT27" s="11">
        <f t="shared" si="15"/>
        <v>0</v>
      </c>
      <c r="BU27" s="11">
        <f t="shared" si="16"/>
        <v>0</v>
      </c>
      <c r="BV27" s="6">
        <f t="shared" si="17"/>
        <v>0</v>
      </c>
      <c r="BX27" s="6">
        <f t="shared" si="18"/>
        <v>-3.123001172634816E-3</v>
      </c>
      <c r="BY27" s="6">
        <f t="shared" si="19"/>
        <v>-1.0687745493008558E-2</v>
      </c>
    </row>
    <row r="28" spans="1:77" x14ac:dyDescent="0.3">
      <c r="A28" s="1">
        <v>46063</v>
      </c>
      <c r="B28" s="15">
        <v>160.9</v>
      </c>
      <c r="C28" s="15">
        <v>173.91</v>
      </c>
      <c r="D28" s="11">
        <v>4.4224432849453597E-3</v>
      </c>
      <c r="E28" s="11">
        <v>1.20825077269188E-3</v>
      </c>
      <c r="F28" s="15">
        <v>0</v>
      </c>
      <c r="G28" s="15">
        <v>0</v>
      </c>
      <c r="H28" s="15">
        <v>0</v>
      </c>
      <c r="I28" s="15">
        <v>0</v>
      </c>
      <c r="J28" s="15">
        <v>0</v>
      </c>
      <c r="K28" s="15">
        <v>0</v>
      </c>
      <c r="L28" s="15">
        <v>160.9</v>
      </c>
      <c r="M28" s="15">
        <v>173.91</v>
      </c>
      <c r="N28" s="16">
        <v>1.08085767557489</v>
      </c>
      <c r="O28" s="16">
        <v>1.0958817339640901</v>
      </c>
      <c r="P28" s="16">
        <v>1.0769661310716301</v>
      </c>
      <c r="Q28" s="16">
        <v>1.0718086325729701</v>
      </c>
      <c r="R28" s="15">
        <v>176.32737099482199</v>
      </c>
      <c r="S28" s="15">
        <v>173.120506171833</v>
      </c>
      <c r="T28" s="15">
        <v>172.24178835284101</v>
      </c>
      <c r="U28" s="11">
        <v>1.3804405714963599E-2</v>
      </c>
      <c r="V28" s="11">
        <v>-4.5500045452448604E-3</v>
      </c>
      <c r="W28" s="11">
        <v>-9.6386881050880904E-3</v>
      </c>
      <c r="X28" s="16">
        <v>1.08085767557489</v>
      </c>
      <c r="Y28" s="16">
        <v>1.0957888908294</v>
      </c>
      <c r="Z28" s="16">
        <v>1.0769661310716301</v>
      </c>
      <c r="AA28" s="16">
        <v>1.0718086325729701</v>
      </c>
      <c r="AB28" s="15">
        <v>176.312432534452</v>
      </c>
      <c r="AC28" s="15">
        <v>173.120506171833</v>
      </c>
      <c r="AD28" s="15">
        <v>172.24178835284101</v>
      </c>
      <c r="AE28" s="11">
        <v>1.37196820948302E-2</v>
      </c>
      <c r="AF28" s="11">
        <v>-4.5500045452448604E-3</v>
      </c>
      <c r="AG28" s="11">
        <v>-9.6386881050880904E-3</v>
      </c>
      <c r="AZ28" s="11"/>
      <c r="BB28">
        <f t="shared" si="2"/>
        <v>1</v>
      </c>
      <c r="BC28">
        <f t="shared" si="3"/>
        <v>0</v>
      </c>
      <c r="BD28">
        <f t="shared" si="4"/>
        <v>1</v>
      </c>
      <c r="BE28">
        <f t="shared" si="0"/>
        <v>1</v>
      </c>
      <c r="BF28">
        <f t="shared" si="5"/>
        <v>1</v>
      </c>
      <c r="BG28" s="11">
        <f t="shared" si="6"/>
        <v>4.4224432849453597E-3</v>
      </c>
      <c r="BH28" s="11">
        <f t="shared" si="7"/>
        <v>-1.20825077269188E-3</v>
      </c>
      <c r="BI28" s="11">
        <f t="shared" si="8"/>
        <v>3.2141925122534795E-3</v>
      </c>
      <c r="BJ28" s="6">
        <f t="shared" si="9"/>
        <v>-7.4735529807550783E-3</v>
      </c>
      <c r="BL28" s="11"/>
      <c r="BN28">
        <f t="shared" si="10"/>
        <v>0</v>
      </c>
      <c r="BO28">
        <f t="shared" si="11"/>
        <v>1</v>
      </c>
      <c r="BP28">
        <f t="shared" si="12"/>
        <v>0</v>
      </c>
      <c r="BQ28">
        <f t="shared" si="1"/>
        <v>1</v>
      </c>
      <c r="BR28">
        <f t="shared" si="13"/>
        <v>0</v>
      </c>
      <c r="BS28" s="11">
        <f t="shared" si="14"/>
        <v>0</v>
      </c>
      <c r="BT28" s="11">
        <f t="shared" si="15"/>
        <v>0</v>
      </c>
      <c r="BU28" s="11">
        <f t="shared" si="16"/>
        <v>0</v>
      </c>
      <c r="BV28" s="6">
        <f t="shared" si="17"/>
        <v>0</v>
      </c>
      <c r="BX28" s="6">
        <f t="shared" si="18"/>
        <v>3.2141925122534795E-3</v>
      </c>
      <c r="BY28" s="6">
        <f t="shared" si="19"/>
        <v>-7.4735529807550783E-3</v>
      </c>
    </row>
    <row r="29" spans="1:77" x14ac:dyDescent="0.3">
      <c r="A29" s="1">
        <v>46064</v>
      </c>
      <c r="B29" s="15">
        <v>161.15</v>
      </c>
      <c r="C29" s="15">
        <v>174.84</v>
      </c>
      <c r="D29" s="11">
        <v>1.55255426310932E-3</v>
      </c>
      <c r="E29" s="11">
        <v>5.3333459753626003E-3</v>
      </c>
      <c r="F29" s="15">
        <v>0</v>
      </c>
      <c r="G29" s="15">
        <v>0</v>
      </c>
      <c r="H29" s="15">
        <v>0</v>
      </c>
      <c r="I29" s="15">
        <v>0</v>
      </c>
      <c r="J29" s="15">
        <v>0</v>
      </c>
      <c r="K29" s="15">
        <v>0</v>
      </c>
      <c r="L29" s="15">
        <v>161.15</v>
      </c>
      <c r="M29" s="15">
        <v>174.84</v>
      </c>
      <c r="N29" s="16">
        <v>1.08495190816009</v>
      </c>
      <c r="O29" s="16">
        <v>1.0958817339640901</v>
      </c>
      <c r="P29" s="16">
        <v>1.07851579152537</v>
      </c>
      <c r="Q29" s="16">
        <v>1.0728890858647999</v>
      </c>
      <c r="R29" s="15">
        <v>176.60134142831299</v>
      </c>
      <c r="S29" s="15">
        <v>173.553092022193</v>
      </c>
      <c r="T29" s="15">
        <v>172.721961139135</v>
      </c>
      <c r="U29" s="11">
        <v>1.0023614002710299E-2</v>
      </c>
      <c r="V29" s="11">
        <v>-7.3877115268492699E-3</v>
      </c>
      <c r="W29" s="11">
        <v>-1.21881294115261E-2</v>
      </c>
      <c r="X29" s="16">
        <v>1.08495190816009</v>
      </c>
      <c r="Y29" s="16">
        <v>1.0957888908294</v>
      </c>
      <c r="Z29" s="16">
        <v>1.07851579152537</v>
      </c>
      <c r="AA29" s="16">
        <v>1.0728890858647999</v>
      </c>
      <c r="AB29" s="15">
        <v>176.58637975715899</v>
      </c>
      <c r="AC29" s="15">
        <v>173.553092022193</v>
      </c>
      <c r="AD29" s="15">
        <v>172.721961139135</v>
      </c>
      <c r="AE29" s="11">
        <v>9.93889038257708E-3</v>
      </c>
      <c r="AF29" s="11">
        <v>-7.3877115268492699E-3</v>
      </c>
      <c r="AG29" s="11">
        <v>-1.21881294115261E-2</v>
      </c>
      <c r="AZ29" s="11"/>
      <c r="BB29">
        <f t="shared" si="2"/>
        <v>1</v>
      </c>
      <c r="BC29">
        <f t="shared" si="3"/>
        <v>0</v>
      </c>
      <c r="BD29">
        <f t="shared" si="4"/>
        <v>1</v>
      </c>
      <c r="BE29">
        <f t="shared" si="0"/>
        <v>1</v>
      </c>
      <c r="BF29">
        <f t="shared" si="5"/>
        <v>1</v>
      </c>
      <c r="BG29" s="11">
        <f t="shared" si="6"/>
        <v>1.55255426310932E-3</v>
      </c>
      <c r="BH29" s="11">
        <f t="shared" si="7"/>
        <v>-5.3333459753626003E-3</v>
      </c>
      <c r="BI29" s="11">
        <f t="shared" si="8"/>
        <v>-3.7807917122532802E-3</v>
      </c>
      <c r="BJ29" s="6">
        <f t="shared" si="9"/>
        <v>-1.1254344693008358E-2</v>
      </c>
      <c r="BL29" s="11"/>
      <c r="BN29">
        <f t="shared" si="10"/>
        <v>0</v>
      </c>
      <c r="BO29">
        <f t="shared" si="11"/>
        <v>1</v>
      </c>
      <c r="BP29">
        <f t="shared" si="12"/>
        <v>0</v>
      </c>
      <c r="BQ29">
        <f t="shared" si="1"/>
        <v>1</v>
      </c>
      <c r="BR29">
        <f t="shared" si="13"/>
        <v>0</v>
      </c>
      <c r="BS29" s="11">
        <f t="shared" si="14"/>
        <v>0</v>
      </c>
      <c r="BT29" s="11">
        <f t="shared" si="15"/>
        <v>0</v>
      </c>
      <c r="BU29" s="11">
        <f t="shared" si="16"/>
        <v>0</v>
      </c>
      <c r="BV29" s="6">
        <f t="shared" si="17"/>
        <v>0</v>
      </c>
      <c r="BX29" s="6">
        <f t="shared" si="18"/>
        <v>-3.7807917122532802E-3</v>
      </c>
      <c r="BY29" s="6">
        <f t="shared" si="19"/>
        <v>-1.1254344693008358E-2</v>
      </c>
    </row>
    <row r="30" spans="1:77" x14ac:dyDescent="0.3">
      <c r="A30" s="1">
        <v>46065</v>
      </c>
      <c r="B30" s="15">
        <v>158.85</v>
      </c>
      <c r="C30" s="15">
        <v>172.75</v>
      </c>
      <c r="D30" s="11">
        <v>-1.4375247545921699E-2</v>
      </c>
      <c r="E30" s="11">
        <v>-1.2025807347334499E-2</v>
      </c>
      <c r="F30" s="15">
        <v>0</v>
      </c>
      <c r="G30" s="15">
        <v>0</v>
      </c>
      <c r="H30" s="15">
        <v>0</v>
      </c>
      <c r="I30" s="15">
        <v>0</v>
      </c>
      <c r="J30" s="15">
        <v>0</v>
      </c>
      <c r="K30" s="15">
        <v>0</v>
      </c>
      <c r="L30" s="15">
        <v>158.85</v>
      </c>
      <c r="M30" s="15">
        <v>172.75</v>
      </c>
      <c r="N30" s="16">
        <v>1.0875039345294299</v>
      </c>
      <c r="O30" s="16">
        <v>1.0958817339640901</v>
      </c>
      <c r="P30" s="16">
        <v>1.0801699106837499</v>
      </c>
      <c r="Q30" s="16">
        <v>1.0741540336420301</v>
      </c>
      <c r="R30" s="15">
        <v>174.08081344019499</v>
      </c>
      <c r="S30" s="15">
        <v>171.322233483806</v>
      </c>
      <c r="T30" s="15">
        <v>170.42843128962301</v>
      </c>
      <c r="U30" s="11">
        <v>7.6741738041229699E-3</v>
      </c>
      <c r="V30" s="11">
        <v>-8.2992730733403002E-3</v>
      </c>
      <c r="W30" s="11">
        <v>-1.3530011879307999E-2</v>
      </c>
      <c r="X30" s="16">
        <v>1.0875039345294299</v>
      </c>
      <c r="Y30" s="16">
        <v>1.0957888908294</v>
      </c>
      <c r="Z30" s="16">
        <v>1.0801699106837499</v>
      </c>
      <c r="AA30" s="16">
        <v>1.0741540336420301</v>
      </c>
      <c r="AB30" s="15">
        <v>174.06606530825101</v>
      </c>
      <c r="AC30" s="15">
        <v>171.322233483806</v>
      </c>
      <c r="AD30" s="15">
        <v>170.42843128962301</v>
      </c>
      <c r="AE30" s="11">
        <v>7.5894501839899502E-3</v>
      </c>
      <c r="AF30" s="11">
        <v>-8.2992730733403002E-3</v>
      </c>
      <c r="AG30" s="11">
        <v>-1.3530011879307999E-2</v>
      </c>
      <c r="AZ30" s="11"/>
      <c r="BB30">
        <f t="shared" si="2"/>
        <v>1</v>
      </c>
      <c r="BC30">
        <f t="shared" si="3"/>
        <v>0</v>
      </c>
      <c r="BD30">
        <f t="shared" si="4"/>
        <v>1</v>
      </c>
      <c r="BE30">
        <f t="shared" si="0"/>
        <v>1</v>
      </c>
      <c r="BF30">
        <f t="shared" si="5"/>
        <v>1</v>
      </c>
      <c r="BG30" s="11">
        <f t="shared" si="6"/>
        <v>-1.4375247545921699E-2</v>
      </c>
      <c r="BH30" s="11">
        <f t="shared" si="7"/>
        <v>1.2025807347334499E-2</v>
      </c>
      <c r="BI30" s="11">
        <f t="shared" si="8"/>
        <v>-2.3494401985872E-3</v>
      </c>
      <c r="BJ30" s="6">
        <f t="shared" si="9"/>
        <v>-1.3603784891595559E-2</v>
      </c>
      <c r="BL30" s="11"/>
      <c r="BN30">
        <f t="shared" si="10"/>
        <v>0</v>
      </c>
      <c r="BO30">
        <f t="shared" si="11"/>
        <v>1</v>
      </c>
      <c r="BP30">
        <f t="shared" si="12"/>
        <v>0</v>
      </c>
      <c r="BQ30">
        <f t="shared" si="1"/>
        <v>1</v>
      </c>
      <c r="BR30">
        <f t="shared" si="13"/>
        <v>0</v>
      </c>
      <c r="BS30" s="11">
        <f t="shared" si="14"/>
        <v>0</v>
      </c>
      <c r="BT30" s="11">
        <f t="shared" si="15"/>
        <v>0</v>
      </c>
      <c r="BU30" s="11">
        <f t="shared" si="16"/>
        <v>0</v>
      </c>
      <c r="BV30" s="6">
        <f t="shared" si="17"/>
        <v>0</v>
      </c>
      <c r="BX30" s="6">
        <f t="shared" si="18"/>
        <v>-2.3494401985872E-3</v>
      </c>
      <c r="BY30" s="6">
        <f t="shared" si="19"/>
        <v>-1.3603784891595559E-2</v>
      </c>
    </row>
    <row r="31" spans="1:77" x14ac:dyDescent="0.3">
      <c r="A31" s="1">
        <v>46066</v>
      </c>
      <c r="B31" s="15">
        <v>159.55000000000001</v>
      </c>
      <c r="C31" s="15">
        <v>174.17</v>
      </c>
      <c r="D31" s="11">
        <v>4.3969920087274803E-3</v>
      </c>
      <c r="E31" s="11">
        <v>8.1863710959142605E-3</v>
      </c>
      <c r="F31" s="15">
        <v>0</v>
      </c>
      <c r="G31" s="15">
        <v>0</v>
      </c>
      <c r="H31" s="15">
        <v>0</v>
      </c>
      <c r="I31" s="15">
        <v>0</v>
      </c>
      <c r="J31" s="15">
        <v>0</v>
      </c>
      <c r="K31" s="15">
        <v>0</v>
      </c>
      <c r="L31" s="15">
        <v>159.55000000000001</v>
      </c>
      <c r="M31" s="15">
        <v>174.17</v>
      </c>
      <c r="N31" s="16">
        <v>1.0916327170166</v>
      </c>
      <c r="O31" s="16">
        <v>1.0958817339640901</v>
      </c>
      <c r="P31" s="16">
        <v>1.0818278214132899</v>
      </c>
      <c r="Q31" s="16">
        <v>1.07547815214513</v>
      </c>
      <c r="R31" s="15">
        <v>174.84793065397</v>
      </c>
      <c r="S31" s="15">
        <v>172.34110924959199</v>
      </c>
      <c r="T31" s="15">
        <v>171.38127606758599</v>
      </c>
      <c r="U31" s="11">
        <v>3.8847947169364399E-3</v>
      </c>
      <c r="V31" s="11">
        <v>-1.05561275503683E-2</v>
      </c>
      <c r="W31" s="11">
        <v>-1.61410746932012E-2</v>
      </c>
      <c r="X31" s="16">
        <v>1.0916327170166</v>
      </c>
      <c r="Y31" s="16">
        <v>1.0957888908294</v>
      </c>
      <c r="Z31" s="16">
        <v>1.0818278214132899</v>
      </c>
      <c r="AA31" s="16">
        <v>1.07547815214513</v>
      </c>
      <c r="AB31" s="15">
        <v>174.83311753183199</v>
      </c>
      <c r="AC31" s="15">
        <v>172.34110924959199</v>
      </c>
      <c r="AD31" s="15">
        <v>171.38127606758599</v>
      </c>
      <c r="AE31" s="11">
        <v>3.8000710968029701E-3</v>
      </c>
      <c r="AF31" s="11">
        <v>-1.05561275503683E-2</v>
      </c>
      <c r="AG31" s="11">
        <v>-1.61410746932012E-2</v>
      </c>
      <c r="AZ31" s="11"/>
      <c r="BB31">
        <f t="shared" si="2"/>
        <v>1</v>
      </c>
      <c r="BC31">
        <f t="shared" si="3"/>
        <v>0</v>
      </c>
      <c r="BD31">
        <f t="shared" si="4"/>
        <v>1</v>
      </c>
      <c r="BE31">
        <f t="shared" si="0"/>
        <v>1</v>
      </c>
      <c r="BF31">
        <f t="shared" si="5"/>
        <v>1</v>
      </c>
      <c r="BG31" s="11">
        <f t="shared" si="6"/>
        <v>4.3969920087274803E-3</v>
      </c>
      <c r="BH31" s="11">
        <f t="shared" si="7"/>
        <v>-8.1863710959142605E-3</v>
      </c>
      <c r="BI31" s="11">
        <f t="shared" si="8"/>
        <v>-3.7893790871867802E-3</v>
      </c>
      <c r="BJ31" s="6">
        <f t="shared" si="9"/>
        <v>-1.739316397878234E-2</v>
      </c>
      <c r="BL31" s="11"/>
      <c r="BN31">
        <f t="shared" si="10"/>
        <v>0</v>
      </c>
      <c r="BO31">
        <f t="shared" si="11"/>
        <v>1</v>
      </c>
      <c r="BP31">
        <f t="shared" si="12"/>
        <v>0</v>
      </c>
      <c r="BQ31">
        <f t="shared" si="1"/>
        <v>1</v>
      </c>
      <c r="BR31">
        <f t="shared" si="13"/>
        <v>0</v>
      </c>
      <c r="BS31" s="11">
        <f t="shared" si="14"/>
        <v>0</v>
      </c>
      <c r="BT31" s="11">
        <f t="shared" si="15"/>
        <v>0</v>
      </c>
      <c r="BU31" s="11">
        <f t="shared" si="16"/>
        <v>0</v>
      </c>
      <c r="BV31" s="6">
        <f t="shared" si="17"/>
        <v>0</v>
      </c>
      <c r="BX31" s="6">
        <f t="shared" si="18"/>
        <v>-3.7893790871867802E-3</v>
      </c>
      <c r="BY31" s="6">
        <f t="shared" si="19"/>
        <v>-1.739316397878234E-2</v>
      </c>
    </row>
    <row r="32" spans="1:77" x14ac:dyDescent="0.3">
      <c r="A32" s="1">
        <v>46070</v>
      </c>
      <c r="B32" s="15">
        <v>160.22999999999999</v>
      </c>
      <c r="C32" s="15">
        <v>175.08</v>
      </c>
      <c r="D32" s="11">
        <v>4.2529302955359102E-3</v>
      </c>
      <c r="E32" s="11">
        <v>5.2111785790012501E-3</v>
      </c>
      <c r="F32" s="15">
        <v>0</v>
      </c>
      <c r="G32" s="15">
        <v>0</v>
      </c>
      <c r="H32" s="15">
        <v>0</v>
      </c>
      <c r="I32" s="15">
        <v>0</v>
      </c>
      <c r="J32" s="15">
        <v>0</v>
      </c>
      <c r="K32" s="15">
        <v>0</v>
      </c>
      <c r="L32" s="15">
        <v>160.22999999999999</v>
      </c>
      <c r="M32" s="15">
        <v>175.08</v>
      </c>
      <c r="N32" s="16">
        <v>1.0926792735442801</v>
      </c>
      <c r="O32" s="16">
        <v>1.0958817339640901</v>
      </c>
      <c r="P32" s="16">
        <v>1.0838147549152499</v>
      </c>
      <c r="Q32" s="16">
        <v>1.07674851433878</v>
      </c>
      <c r="R32" s="15">
        <v>175.59313023306601</v>
      </c>
      <c r="S32" s="15">
        <v>173.341271825051</v>
      </c>
      <c r="T32" s="15">
        <v>172.32386431821499</v>
      </c>
      <c r="U32" s="11">
        <v>2.9265464334712701E-3</v>
      </c>
      <c r="V32" s="11">
        <v>-9.9806914733912896E-3</v>
      </c>
      <c r="W32" s="11">
        <v>-1.5867373921076899E-2</v>
      </c>
      <c r="X32" s="16">
        <v>1.0926792735442801</v>
      </c>
      <c r="Y32" s="16">
        <v>1.0957888908294</v>
      </c>
      <c r="Z32" s="16">
        <v>1.0838147549152499</v>
      </c>
      <c r="AA32" s="16">
        <v>1.07674851433878</v>
      </c>
      <c r="AB32" s="15">
        <v>175.57825397759601</v>
      </c>
      <c r="AC32" s="15">
        <v>173.341271825051</v>
      </c>
      <c r="AD32" s="15">
        <v>172.32386431821499</v>
      </c>
      <c r="AE32" s="11">
        <v>2.84182281333808E-3</v>
      </c>
      <c r="AF32" s="11">
        <v>-9.9806914733912896E-3</v>
      </c>
      <c r="AG32" s="11">
        <v>-1.5867373921076899E-2</v>
      </c>
      <c r="AZ32" s="11"/>
      <c r="BB32">
        <f t="shared" si="2"/>
        <v>1</v>
      </c>
      <c r="BC32">
        <f t="shared" si="3"/>
        <v>0</v>
      </c>
      <c r="BD32">
        <f t="shared" si="4"/>
        <v>1</v>
      </c>
      <c r="BE32">
        <f t="shared" si="0"/>
        <v>1</v>
      </c>
      <c r="BF32">
        <f t="shared" si="5"/>
        <v>1</v>
      </c>
      <c r="BG32" s="11">
        <f t="shared" si="6"/>
        <v>4.2529302955359102E-3</v>
      </c>
      <c r="BH32" s="11">
        <f t="shared" si="7"/>
        <v>-5.2111785790012501E-3</v>
      </c>
      <c r="BI32" s="11">
        <f t="shared" si="8"/>
        <v>-9.5824828346533983E-4</v>
      </c>
      <c r="BJ32" s="6">
        <f t="shared" si="9"/>
        <v>-1.8351412262247679E-2</v>
      </c>
      <c r="BL32" s="11"/>
      <c r="BN32">
        <f t="shared" si="10"/>
        <v>0</v>
      </c>
      <c r="BO32">
        <f t="shared" si="11"/>
        <v>1</v>
      </c>
      <c r="BP32">
        <f t="shared" si="12"/>
        <v>0</v>
      </c>
      <c r="BQ32">
        <f t="shared" si="1"/>
        <v>1</v>
      </c>
      <c r="BR32">
        <f t="shared" si="13"/>
        <v>0</v>
      </c>
      <c r="BS32" s="11">
        <f t="shared" si="14"/>
        <v>0</v>
      </c>
      <c r="BT32" s="11">
        <f t="shared" si="15"/>
        <v>0</v>
      </c>
      <c r="BU32" s="11">
        <f t="shared" si="16"/>
        <v>0</v>
      </c>
      <c r="BV32" s="6">
        <f t="shared" si="17"/>
        <v>0</v>
      </c>
      <c r="BX32" s="6">
        <f t="shared" si="18"/>
        <v>-9.5824828346533983E-4</v>
      </c>
      <c r="BY32" s="6">
        <f t="shared" si="19"/>
        <v>-1.8351412262247679E-2</v>
      </c>
    </row>
    <row r="33" spans="1:77" x14ac:dyDescent="0.3">
      <c r="A33" s="1">
        <v>46071</v>
      </c>
      <c r="B33" s="15">
        <v>160.63999999999999</v>
      </c>
      <c r="C33" s="15">
        <v>175.04</v>
      </c>
      <c r="D33" s="11">
        <v>2.5555534835756499E-3</v>
      </c>
      <c r="E33" s="11">
        <v>-2.2849308907832501E-4</v>
      </c>
      <c r="F33" s="15">
        <v>0</v>
      </c>
      <c r="G33" s="15">
        <v>0</v>
      </c>
      <c r="H33" s="15">
        <v>0</v>
      </c>
      <c r="I33" s="15">
        <v>0</v>
      </c>
      <c r="J33" s="15">
        <v>0</v>
      </c>
      <c r="K33" s="15">
        <v>0</v>
      </c>
      <c r="L33" s="15">
        <v>160.63999999999999</v>
      </c>
      <c r="M33" s="15">
        <v>175.04</v>
      </c>
      <c r="N33" s="16">
        <v>1.0896414342629399</v>
      </c>
      <c r="O33" s="16">
        <v>1.0958817339640901</v>
      </c>
      <c r="P33" s="16">
        <v>1.0847264519072699</v>
      </c>
      <c r="Q33" s="16">
        <v>1.07778591646568</v>
      </c>
      <c r="R33" s="15">
        <v>176.04244174399099</v>
      </c>
      <c r="S33" s="15">
        <v>174.104002229587</v>
      </c>
      <c r="T33" s="15">
        <v>172.96888134338201</v>
      </c>
      <c r="U33" s="11">
        <v>5.7105930061251099E-3</v>
      </c>
      <c r="V33" s="11">
        <v>-5.3616846157848999E-3</v>
      </c>
      <c r="W33" s="11">
        <v>-1.1902817543425899E-2</v>
      </c>
      <c r="X33" s="16">
        <v>1.0896414342629399</v>
      </c>
      <c r="Y33" s="16">
        <v>1.0957888908294</v>
      </c>
      <c r="Z33" s="16">
        <v>1.0847264519072699</v>
      </c>
      <c r="AA33" s="16">
        <v>1.07778591646568</v>
      </c>
      <c r="AB33" s="15">
        <v>176.02752742283599</v>
      </c>
      <c r="AC33" s="15">
        <v>174.104002229587</v>
      </c>
      <c r="AD33" s="15">
        <v>172.96888134338201</v>
      </c>
      <c r="AE33" s="11">
        <v>5.62586938599219E-3</v>
      </c>
      <c r="AF33" s="11">
        <v>-5.3616846157848999E-3</v>
      </c>
      <c r="AG33" s="11">
        <v>-1.1902817543425899E-2</v>
      </c>
      <c r="AZ33" s="11"/>
      <c r="BB33">
        <f t="shared" si="2"/>
        <v>1</v>
      </c>
      <c r="BC33">
        <f t="shared" si="3"/>
        <v>0</v>
      </c>
      <c r="BD33">
        <f t="shared" si="4"/>
        <v>1</v>
      </c>
      <c r="BE33">
        <f t="shared" si="0"/>
        <v>1</v>
      </c>
      <c r="BF33">
        <f t="shared" si="5"/>
        <v>1</v>
      </c>
      <c r="BG33" s="11">
        <f t="shared" si="6"/>
        <v>2.5555534835756499E-3</v>
      </c>
      <c r="BH33" s="11">
        <f t="shared" si="7"/>
        <v>2.2849308907832501E-4</v>
      </c>
      <c r="BI33" s="11">
        <f t="shared" si="8"/>
        <v>2.7840465726539751E-3</v>
      </c>
      <c r="BJ33" s="6">
        <f t="shared" si="9"/>
        <v>-1.5567365689593705E-2</v>
      </c>
      <c r="BL33" s="11"/>
      <c r="BN33">
        <f t="shared" si="10"/>
        <v>0</v>
      </c>
      <c r="BO33">
        <f t="shared" si="11"/>
        <v>1</v>
      </c>
      <c r="BP33">
        <f t="shared" si="12"/>
        <v>0</v>
      </c>
      <c r="BQ33">
        <f t="shared" si="1"/>
        <v>1</v>
      </c>
      <c r="BR33">
        <f t="shared" si="13"/>
        <v>0</v>
      </c>
      <c r="BS33" s="11">
        <f t="shared" si="14"/>
        <v>0</v>
      </c>
      <c r="BT33" s="11">
        <f t="shared" si="15"/>
        <v>0</v>
      </c>
      <c r="BU33" s="11">
        <f t="shared" si="16"/>
        <v>0</v>
      </c>
      <c r="BV33" s="6">
        <f t="shared" si="17"/>
        <v>0</v>
      </c>
      <c r="BX33" s="6">
        <f t="shared" si="18"/>
        <v>2.7840465726539751E-3</v>
      </c>
      <c r="BY33" s="6">
        <f t="shared" si="19"/>
        <v>-1.5567365689593705E-2</v>
      </c>
    </row>
    <row r="34" spans="1:77" x14ac:dyDescent="0.3">
      <c r="A34" s="1">
        <v>46072</v>
      </c>
      <c r="B34" s="15">
        <v>161.1</v>
      </c>
      <c r="C34" s="15">
        <v>176.34</v>
      </c>
      <c r="D34" s="11">
        <v>2.8594536795644499E-3</v>
      </c>
      <c r="E34" s="11">
        <v>7.3994304252647204E-3</v>
      </c>
      <c r="F34" s="15">
        <v>0</v>
      </c>
      <c r="G34" s="15">
        <v>0</v>
      </c>
      <c r="H34" s="15">
        <v>0</v>
      </c>
      <c r="I34" s="15">
        <v>0</v>
      </c>
      <c r="J34" s="15">
        <v>0</v>
      </c>
      <c r="K34" s="15">
        <v>0</v>
      </c>
      <c r="L34" s="15">
        <v>161.1</v>
      </c>
      <c r="M34" s="15">
        <v>176.34</v>
      </c>
      <c r="N34" s="16">
        <v>1.0945996275605201</v>
      </c>
      <c r="O34" s="16">
        <v>1.0958817339640901</v>
      </c>
      <c r="P34" s="16">
        <v>1.08650730971131</v>
      </c>
      <c r="Q34" s="16">
        <v>1.07896539246805</v>
      </c>
      <c r="R34" s="15">
        <v>176.546547341614</v>
      </c>
      <c r="S34" s="15">
        <v>174.749431402261</v>
      </c>
      <c r="T34" s="15">
        <v>173.631311142621</v>
      </c>
      <c r="U34" s="11">
        <v>1.1706162604249401E-3</v>
      </c>
      <c r="V34" s="11">
        <v>-9.0608223284437493E-3</v>
      </c>
      <c r="W34" s="11">
        <v>-1.54797999714323E-2</v>
      </c>
      <c r="X34" s="16">
        <v>1.0945996275605201</v>
      </c>
      <c r="Y34" s="16">
        <v>1.0957888908294</v>
      </c>
      <c r="Z34" s="16">
        <v>1.08650730971131</v>
      </c>
      <c r="AA34" s="16">
        <v>1.07896539246805</v>
      </c>
      <c r="AB34" s="15">
        <v>176.531590312617</v>
      </c>
      <c r="AC34" s="15">
        <v>174.749431402261</v>
      </c>
      <c r="AD34" s="15">
        <v>173.631311142621</v>
      </c>
      <c r="AE34" s="11">
        <v>1.08589264029173E-3</v>
      </c>
      <c r="AF34" s="11">
        <v>-9.0608223284437493E-3</v>
      </c>
      <c r="AG34" s="11">
        <v>-1.54797999714323E-2</v>
      </c>
      <c r="AZ34" s="11"/>
      <c r="BB34">
        <f t="shared" si="2"/>
        <v>1</v>
      </c>
      <c r="BC34">
        <f t="shared" si="3"/>
        <v>0</v>
      </c>
      <c r="BD34">
        <f t="shared" si="4"/>
        <v>1</v>
      </c>
      <c r="BE34">
        <f t="shared" si="0"/>
        <v>1</v>
      </c>
      <c r="BF34">
        <f t="shared" si="5"/>
        <v>1</v>
      </c>
      <c r="BG34" s="11">
        <f t="shared" si="6"/>
        <v>2.8594536795644499E-3</v>
      </c>
      <c r="BH34" s="11">
        <f t="shared" si="7"/>
        <v>-7.3994304252647204E-3</v>
      </c>
      <c r="BI34" s="11">
        <f t="shared" si="8"/>
        <v>-4.53997674570027E-3</v>
      </c>
      <c r="BJ34" s="6">
        <f t="shared" si="9"/>
        <v>-2.0107342435293975E-2</v>
      </c>
      <c r="BL34" s="11"/>
      <c r="BN34">
        <f t="shared" si="10"/>
        <v>0</v>
      </c>
      <c r="BO34">
        <f t="shared" si="11"/>
        <v>1</v>
      </c>
      <c r="BP34">
        <f t="shared" si="12"/>
        <v>0</v>
      </c>
      <c r="BQ34">
        <f t="shared" si="1"/>
        <v>1</v>
      </c>
      <c r="BR34">
        <f t="shared" si="13"/>
        <v>0</v>
      </c>
      <c r="BS34" s="11">
        <f t="shared" si="14"/>
        <v>0</v>
      </c>
      <c r="BT34" s="11">
        <f t="shared" si="15"/>
        <v>0</v>
      </c>
      <c r="BU34" s="11">
        <f t="shared" si="16"/>
        <v>0</v>
      </c>
      <c r="BV34" s="6">
        <f t="shared" si="17"/>
        <v>0</v>
      </c>
      <c r="BX34" s="6">
        <f t="shared" si="18"/>
        <v>-4.53997674570027E-3</v>
      </c>
      <c r="BY34" s="6">
        <f t="shared" si="19"/>
        <v>-2.0107342435293975E-2</v>
      </c>
    </row>
    <row r="35" spans="1:77" x14ac:dyDescent="0.3">
      <c r="A35" s="1">
        <v>46073</v>
      </c>
      <c r="B35" s="15">
        <v>161.91</v>
      </c>
      <c r="C35" s="15">
        <v>177.23</v>
      </c>
      <c r="D35" s="11">
        <v>5.0153351157323301E-3</v>
      </c>
      <c r="E35" s="11">
        <v>5.03437440816722E-3</v>
      </c>
      <c r="F35" s="15">
        <v>0</v>
      </c>
      <c r="G35" s="15">
        <v>0</v>
      </c>
      <c r="H35" s="15">
        <v>0</v>
      </c>
      <c r="I35" s="15">
        <v>0</v>
      </c>
      <c r="J35" s="15">
        <v>0</v>
      </c>
      <c r="K35" s="15">
        <v>0</v>
      </c>
      <c r="L35" s="15">
        <v>161.91</v>
      </c>
      <c r="M35" s="15">
        <v>177.23</v>
      </c>
      <c r="N35" s="16">
        <v>1.0946204681613201</v>
      </c>
      <c r="O35" s="16">
        <v>1.0958817339640901</v>
      </c>
      <c r="P35" s="16">
        <v>1.08817806331362</v>
      </c>
      <c r="Q35" s="16">
        <v>1.0804604405801901</v>
      </c>
      <c r="R35" s="15">
        <v>177.434211546125</v>
      </c>
      <c r="S35" s="15">
        <v>175.91639851535899</v>
      </c>
      <c r="T35" s="15">
        <v>174.69528669450301</v>
      </c>
      <c r="U35" s="11">
        <v>1.15157696799013E-3</v>
      </c>
      <c r="V35" s="11">
        <v>-7.4394503165989999E-3</v>
      </c>
      <c r="W35" s="11">
        <v>-1.44050867156971E-2</v>
      </c>
      <c r="X35" s="16">
        <v>1.0946204681613201</v>
      </c>
      <c r="Y35" s="16">
        <v>1.0957888908294</v>
      </c>
      <c r="Z35" s="16">
        <v>1.08817806331362</v>
      </c>
      <c r="AA35" s="16">
        <v>1.0804604405801901</v>
      </c>
      <c r="AB35" s="15">
        <v>177.41917931418899</v>
      </c>
      <c r="AC35" s="15">
        <v>175.91639851535899</v>
      </c>
      <c r="AD35" s="15">
        <v>174.69528669450301</v>
      </c>
      <c r="AE35" s="11">
        <v>1.06685334785687E-3</v>
      </c>
      <c r="AF35" s="11">
        <v>-7.4394503165989999E-3</v>
      </c>
      <c r="AG35" s="11">
        <v>-1.44050867156971E-2</v>
      </c>
      <c r="AZ35" s="11"/>
      <c r="BB35">
        <f t="shared" si="2"/>
        <v>1</v>
      </c>
      <c r="BC35">
        <f t="shared" si="3"/>
        <v>0</v>
      </c>
      <c r="BD35">
        <f t="shared" si="4"/>
        <v>1</v>
      </c>
      <c r="BE35">
        <f t="shared" si="0"/>
        <v>1</v>
      </c>
      <c r="BF35">
        <f t="shared" si="5"/>
        <v>1</v>
      </c>
      <c r="BG35" s="11">
        <f t="shared" si="6"/>
        <v>5.0153351157323301E-3</v>
      </c>
      <c r="BH35" s="11">
        <f t="shared" si="7"/>
        <v>-5.03437440816722E-3</v>
      </c>
      <c r="BI35" s="11">
        <f t="shared" si="8"/>
        <v>-1.903929243488988E-5</v>
      </c>
      <c r="BJ35" s="6">
        <f t="shared" si="9"/>
        <v>-2.0126381727728865E-2</v>
      </c>
      <c r="BL35" s="11"/>
      <c r="BN35">
        <f t="shared" si="10"/>
        <v>0</v>
      </c>
      <c r="BO35">
        <f t="shared" si="11"/>
        <v>1</v>
      </c>
      <c r="BP35">
        <f t="shared" si="12"/>
        <v>0</v>
      </c>
      <c r="BQ35">
        <f t="shared" si="1"/>
        <v>1</v>
      </c>
      <c r="BR35">
        <f t="shared" si="13"/>
        <v>0</v>
      </c>
      <c r="BS35" s="11">
        <f t="shared" si="14"/>
        <v>0</v>
      </c>
      <c r="BT35" s="11">
        <f t="shared" si="15"/>
        <v>0</v>
      </c>
      <c r="BU35" s="11">
        <f t="shared" si="16"/>
        <v>0</v>
      </c>
      <c r="BV35" s="6">
        <f t="shared" si="17"/>
        <v>0</v>
      </c>
      <c r="BX35" s="6">
        <f t="shared" si="18"/>
        <v>-1.903929243488988E-5</v>
      </c>
      <c r="BY35" s="6">
        <f t="shared" si="19"/>
        <v>-2.0126381727728865E-2</v>
      </c>
    </row>
    <row r="36" spans="1:77" x14ac:dyDescent="0.3">
      <c r="A36" s="1">
        <v>46076</v>
      </c>
      <c r="B36" s="15">
        <v>158.46</v>
      </c>
      <c r="C36" s="15">
        <v>174.83</v>
      </c>
      <c r="D36" s="11">
        <v>-2.15384297615651E-2</v>
      </c>
      <c r="E36" s="11">
        <v>-1.36342508574906E-2</v>
      </c>
      <c r="F36" s="15">
        <v>0</v>
      </c>
      <c r="G36" s="15">
        <v>0</v>
      </c>
      <c r="H36" s="15">
        <v>0</v>
      </c>
      <c r="I36" s="15">
        <v>0</v>
      </c>
      <c r="J36" s="15">
        <v>0</v>
      </c>
      <c r="K36" s="15">
        <v>0</v>
      </c>
      <c r="L36" s="15">
        <v>158.46</v>
      </c>
      <c r="M36" s="15">
        <v>174.83</v>
      </c>
      <c r="N36" s="16">
        <v>1.1033068282216301</v>
      </c>
      <c r="O36" s="16">
        <v>1.0958817339640901</v>
      </c>
      <c r="P36" s="16">
        <v>1.09041312164293</v>
      </c>
      <c r="Q36" s="16">
        <v>1.0822868187588399</v>
      </c>
      <c r="R36" s="15">
        <v>173.653419563949</v>
      </c>
      <c r="S36" s="15">
        <v>172.432695912676</v>
      </c>
      <c r="T36" s="15">
        <v>171.20976141433701</v>
      </c>
      <c r="U36" s="11">
        <v>-6.7526019360845801E-3</v>
      </c>
      <c r="V36" s="11">
        <v>-1.3807081495888799E-2</v>
      </c>
      <c r="W36" s="11">
        <v>-2.0924593520248801E-2</v>
      </c>
      <c r="X36" s="16">
        <v>1.1033068282216301</v>
      </c>
      <c r="Y36" s="16">
        <v>1.0957888908294</v>
      </c>
      <c r="Z36" s="16">
        <v>1.09041312164293</v>
      </c>
      <c r="AA36" s="16">
        <v>1.0822868187588399</v>
      </c>
      <c r="AB36" s="15">
        <v>173.63870764082799</v>
      </c>
      <c r="AC36" s="15">
        <v>172.432695912676</v>
      </c>
      <c r="AD36" s="15">
        <v>171.20976141433701</v>
      </c>
      <c r="AE36" s="11">
        <v>-6.83732555621767E-3</v>
      </c>
      <c r="AF36" s="11">
        <v>-1.3807081495888799E-2</v>
      </c>
      <c r="AG36" s="11">
        <v>-2.0924593520248801E-2</v>
      </c>
      <c r="AZ36" s="11"/>
      <c r="BB36">
        <f t="shared" si="2"/>
        <v>1</v>
      </c>
      <c r="BC36">
        <f t="shared" si="3"/>
        <v>0</v>
      </c>
      <c r="BD36">
        <f t="shared" si="4"/>
        <v>1</v>
      </c>
      <c r="BE36">
        <f t="shared" si="0"/>
        <v>1</v>
      </c>
      <c r="BF36">
        <f t="shared" si="5"/>
        <v>1</v>
      </c>
      <c r="BG36" s="11">
        <f t="shared" si="6"/>
        <v>-2.15384297615651E-2</v>
      </c>
      <c r="BH36" s="11">
        <f t="shared" si="7"/>
        <v>1.36342508574906E-2</v>
      </c>
      <c r="BI36" s="11">
        <f t="shared" si="8"/>
        <v>-7.9041789040745006E-3</v>
      </c>
      <c r="BJ36" s="6">
        <f t="shared" si="9"/>
        <v>-2.8030560631803366E-2</v>
      </c>
      <c r="BL36" s="11"/>
      <c r="BN36">
        <f t="shared" si="10"/>
        <v>0</v>
      </c>
      <c r="BO36">
        <f t="shared" si="11"/>
        <v>1</v>
      </c>
      <c r="BP36">
        <f t="shared" si="12"/>
        <v>0</v>
      </c>
      <c r="BQ36">
        <f t="shared" si="1"/>
        <v>1</v>
      </c>
      <c r="BR36">
        <f t="shared" si="13"/>
        <v>0</v>
      </c>
      <c r="BS36" s="11">
        <f t="shared" si="14"/>
        <v>0</v>
      </c>
      <c r="BT36" s="11">
        <f t="shared" si="15"/>
        <v>0</v>
      </c>
      <c r="BU36" s="11">
        <f t="shared" si="16"/>
        <v>0</v>
      </c>
      <c r="BV36" s="6">
        <f t="shared" si="17"/>
        <v>0</v>
      </c>
      <c r="BX36" s="6">
        <f t="shared" si="18"/>
        <v>-7.9041789040745006E-3</v>
      </c>
      <c r="BY36" s="6">
        <f t="shared" si="19"/>
        <v>-2.8030560631803366E-2</v>
      </c>
    </row>
    <row r="37" spans="1:77" x14ac:dyDescent="0.3">
      <c r="A37" s="1">
        <v>46077</v>
      </c>
      <c r="B37" s="15">
        <v>160.38</v>
      </c>
      <c r="C37" s="15">
        <v>176.98</v>
      </c>
      <c r="D37" s="11">
        <v>1.2043803841786599E-2</v>
      </c>
      <c r="E37" s="11">
        <v>1.22226586296464E-2</v>
      </c>
      <c r="F37" s="15">
        <v>0</v>
      </c>
      <c r="G37" s="15">
        <v>0</v>
      </c>
      <c r="H37" s="15">
        <v>0</v>
      </c>
      <c r="I37" s="15">
        <v>0</v>
      </c>
      <c r="J37" s="15">
        <v>0</v>
      </c>
      <c r="K37" s="15">
        <v>0</v>
      </c>
      <c r="L37" s="15">
        <v>160.38</v>
      </c>
      <c r="M37" s="15">
        <v>176.98</v>
      </c>
      <c r="N37" s="16">
        <v>1.1035041775782499</v>
      </c>
      <c r="O37" s="16">
        <v>1.0958817339640901</v>
      </c>
      <c r="P37" s="16">
        <v>1.0923298044609899</v>
      </c>
      <c r="Q37" s="16">
        <v>1.08414037200002</v>
      </c>
      <c r="R37" s="15">
        <v>175.75751249315999</v>
      </c>
      <c r="S37" s="15">
        <v>174.880456449093</v>
      </c>
      <c r="T37" s="15">
        <v>173.57715999254299</v>
      </c>
      <c r="U37" s="11">
        <v>-6.93145672394423E-3</v>
      </c>
      <c r="V37" s="11">
        <v>-1.1934097344084699E-2</v>
      </c>
      <c r="W37" s="11">
        <v>-1.94145051318622E-2</v>
      </c>
      <c r="X37" s="16">
        <v>1.1035041775782499</v>
      </c>
      <c r="Y37" s="16">
        <v>1.0957888908294</v>
      </c>
      <c r="Z37" s="16">
        <v>1.0923298044609899</v>
      </c>
      <c r="AA37" s="16">
        <v>1.08414037200002</v>
      </c>
      <c r="AB37" s="15">
        <v>175.74262231122</v>
      </c>
      <c r="AC37" s="15">
        <v>174.880456449093</v>
      </c>
      <c r="AD37" s="15">
        <v>173.57715999254299</v>
      </c>
      <c r="AE37" s="11">
        <v>-7.0161803440773798E-3</v>
      </c>
      <c r="AF37" s="11">
        <v>-1.1934097344084699E-2</v>
      </c>
      <c r="AG37" s="11">
        <v>-1.94145051318622E-2</v>
      </c>
      <c r="AZ37" s="11"/>
      <c r="BB37">
        <f t="shared" si="2"/>
        <v>1</v>
      </c>
      <c r="BC37">
        <f t="shared" si="3"/>
        <v>0</v>
      </c>
      <c r="BD37">
        <f t="shared" si="4"/>
        <v>1</v>
      </c>
      <c r="BE37">
        <f t="shared" si="0"/>
        <v>1</v>
      </c>
      <c r="BF37">
        <f t="shared" si="5"/>
        <v>1</v>
      </c>
      <c r="BG37" s="11">
        <f t="shared" si="6"/>
        <v>1.2043803841786599E-2</v>
      </c>
      <c r="BH37" s="11">
        <f t="shared" si="7"/>
        <v>-1.22226586296464E-2</v>
      </c>
      <c r="BI37" s="11">
        <f t="shared" si="8"/>
        <v>-1.7885478785980083E-4</v>
      </c>
      <c r="BJ37" s="6">
        <f t="shared" si="9"/>
        <v>-2.8209415419663167E-2</v>
      </c>
      <c r="BL37" s="11"/>
      <c r="BN37">
        <f t="shared" si="10"/>
        <v>0</v>
      </c>
      <c r="BO37">
        <f t="shared" si="11"/>
        <v>1</v>
      </c>
      <c r="BP37">
        <f t="shared" si="12"/>
        <v>0</v>
      </c>
      <c r="BQ37">
        <f t="shared" si="1"/>
        <v>1</v>
      </c>
      <c r="BR37">
        <f t="shared" si="13"/>
        <v>0</v>
      </c>
      <c r="BS37" s="11">
        <f t="shared" si="14"/>
        <v>0</v>
      </c>
      <c r="BT37" s="11">
        <f t="shared" si="15"/>
        <v>0</v>
      </c>
      <c r="BU37" s="11">
        <f t="shared" si="16"/>
        <v>0</v>
      </c>
      <c r="BV37" s="6">
        <f t="shared" si="17"/>
        <v>0</v>
      </c>
      <c r="BX37" s="6">
        <f t="shared" si="18"/>
        <v>-1.7885478785980083E-4</v>
      </c>
      <c r="BY37" s="6">
        <f t="shared" si="19"/>
        <v>-2.8209415419663167E-2</v>
      </c>
    </row>
    <row r="38" spans="1:77" x14ac:dyDescent="0.3">
      <c r="A38" s="1">
        <v>46078</v>
      </c>
      <c r="B38" s="15">
        <v>159.77000000000001</v>
      </c>
      <c r="C38" s="15">
        <v>175.6</v>
      </c>
      <c r="D38" s="11">
        <v>-3.8107183394023299E-3</v>
      </c>
      <c r="E38" s="11">
        <v>-7.8280506381877696E-3</v>
      </c>
      <c r="F38" s="15">
        <v>0</v>
      </c>
      <c r="G38" s="15">
        <v>0</v>
      </c>
      <c r="H38" s="15">
        <v>0</v>
      </c>
      <c r="I38" s="15">
        <v>0</v>
      </c>
      <c r="J38" s="15">
        <v>0</v>
      </c>
      <c r="K38" s="15">
        <v>0</v>
      </c>
      <c r="L38" s="15">
        <v>159.77000000000001</v>
      </c>
      <c r="M38" s="15">
        <v>175.6</v>
      </c>
      <c r="N38" s="16">
        <v>1.09907992739563</v>
      </c>
      <c r="O38" s="16">
        <v>1.0958817339640901</v>
      </c>
      <c r="P38" s="16">
        <v>1.09415202964307</v>
      </c>
      <c r="Q38" s="16">
        <v>1.08555908035735</v>
      </c>
      <c r="R38" s="15">
        <v>175.089024635442</v>
      </c>
      <c r="S38" s="15">
        <v>174.521532858733</v>
      </c>
      <c r="T38" s="15">
        <v>173.21310723444401</v>
      </c>
      <c r="U38" s="11">
        <v>-2.91412442515871E-3</v>
      </c>
      <c r="V38" s="11">
        <v>-6.1605497001220796E-3</v>
      </c>
      <c r="W38" s="11">
        <v>-1.3686011062798299E-2</v>
      </c>
      <c r="X38" s="16">
        <v>1.09907992739563</v>
      </c>
      <c r="Y38" s="16">
        <v>1.0957888908294</v>
      </c>
      <c r="Z38" s="16">
        <v>1.09415202964307</v>
      </c>
      <c r="AA38" s="16">
        <v>1.08555908035735</v>
      </c>
      <c r="AB38" s="15">
        <v>175.074191087814</v>
      </c>
      <c r="AC38" s="15">
        <v>174.521532858733</v>
      </c>
      <c r="AD38" s="15">
        <v>173.21310723444401</v>
      </c>
      <c r="AE38" s="11">
        <v>-2.9988480452918399E-3</v>
      </c>
      <c r="AF38" s="11">
        <v>-6.1605497001220796E-3</v>
      </c>
      <c r="AG38" s="11">
        <v>-1.3686011062798299E-2</v>
      </c>
      <c r="AZ38" s="11"/>
      <c r="BB38">
        <f t="shared" si="2"/>
        <v>1</v>
      </c>
      <c r="BC38">
        <f t="shared" si="3"/>
        <v>0</v>
      </c>
      <c r="BD38">
        <f t="shared" si="4"/>
        <v>1</v>
      </c>
      <c r="BE38">
        <f t="shared" si="0"/>
        <v>1</v>
      </c>
      <c r="BF38">
        <f t="shared" si="5"/>
        <v>1</v>
      </c>
      <c r="BG38" s="11">
        <f t="shared" si="6"/>
        <v>-3.8107183394023299E-3</v>
      </c>
      <c r="BH38" s="11">
        <f t="shared" si="7"/>
        <v>7.8280506381877696E-3</v>
      </c>
      <c r="BI38" s="11">
        <f t="shared" si="8"/>
        <v>4.0173322987854393E-3</v>
      </c>
      <c r="BJ38" s="6">
        <f t="shared" si="9"/>
        <v>-2.4192083120877728E-2</v>
      </c>
      <c r="BL38" s="11"/>
      <c r="BN38">
        <f t="shared" si="10"/>
        <v>0</v>
      </c>
      <c r="BO38">
        <f t="shared" si="11"/>
        <v>1</v>
      </c>
      <c r="BP38">
        <f t="shared" si="12"/>
        <v>0</v>
      </c>
      <c r="BQ38">
        <f t="shared" si="1"/>
        <v>1</v>
      </c>
      <c r="BR38">
        <f t="shared" si="13"/>
        <v>0</v>
      </c>
      <c r="BS38" s="11">
        <f t="shared" si="14"/>
        <v>0</v>
      </c>
      <c r="BT38" s="11">
        <f t="shared" si="15"/>
        <v>0</v>
      </c>
      <c r="BU38" s="11">
        <f t="shared" si="16"/>
        <v>0</v>
      </c>
      <c r="BV38" s="6">
        <f t="shared" si="17"/>
        <v>0</v>
      </c>
      <c r="BX38" s="6">
        <f t="shared" si="18"/>
        <v>4.0173322987854393E-3</v>
      </c>
      <c r="BY38" s="6">
        <f t="shared" si="19"/>
        <v>-2.4192083120877728E-2</v>
      </c>
    </row>
    <row r="39" spans="1:77" x14ac:dyDescent="0.3">
      <c r="A39" s="1">
        <v>46079</v>
      </c>
      <c r="B39" s="15">
        <v>160.93</v>
      </c>
      <c r="C39" s="15">
        <v>176.7</v>
      </c>
      <c r="D39" s="11">
        <v>7.2342067909231802E-3</v>
      </c>
      <c r="E39" s="11">
        <v>6.2446981246343297E-3</v>
      </c>
      <c r="F39" s="15">
        <v>0</v>
      </c>
      <c r="G39" s="15">
        <v>0</v>
      </c>
      <c r="H39" s="15">
        <v>0</v>
      </c>
      <c r="I39" s="15">
        <v>0</v>
      </c>
      <c r="J39" s="15">
        <v>0</v>
      </c>
      <c r="K39" s="15">
        <v>0</v>
      </c>
      <c r="L39" s="15">
        <v>160.93</v>
      </c>
      <c r="M39" s="15">
        <v>176.7</v>
      </c>
      <c r="N39" s="16">
        <v>1.0979929161747299</v>
      </c>
      <c r="O39" s="16">
        <v>1.0958817339640901</v>
      </c>
      <c r="P39" s="16">
        <v>1.0954561304445301</v>
      </c>
      <c r="Q39" s="16">
        <v>1.0869859609849499</v>
      </c>
      <c r="R39" s="15">
        <v>176.36024744684099</v>
      </c>
      <c r="S39" s="15">
        <v>176.081886130459</v>
      </c>
      <c r="T39" s="15">
        <v>174.699022801908</v>
      </c>
      <c r="U39" s="11">
        <v>-1.9246157588699E-3</v>
      </c>
      <c r="V39" s="11">
        <v>-3.50423038346719E-3</v>
      </c>
      <c r="W39" s="11">
        <v>-1.13887557793681E-2</v>
      </c>
      <c r="X39" s="16">
        <v>1.0979929161747299</v>
      </c>
      <c r="Y39" s="16">
        <v>1.0957888908294</v>
      </c>
      <c r="Z39" s="16">
        <v>1.0954561304445301</v>
      </c>
      <c r="AA39" s="16">
        <v>1.0869859609849499</v>
      </c>
      <c r="AB39" s="15">
        <v>176.34530620117599</v>
      </c>
      <c r="AC39" s="15">
        <v>176.081886130459</v>
      </c>
      <c r="AD39" s="15">
        <v>174.699022801908</v>
      </c>
      <c r="AE39" s="11">
        <v>-2.0093393790030201E-3</v>
      </c>
      <c r="AF39" s="11">
        <v>-3.50423038346719E-3</v>
      </c>
      <c r="AG39" s="11">
        <v>-1.13887557793681E-2</v>
      </c>
      <c r="AZ39" s="11"/>
      <c r="BB39">
        <f t="shared" si="2"/>
        <v>1</v>
      </c>
      <c r="BC39">
        <f t="shared" si="3"/>
        <v>0</v>
      </c>
      <c r="BD39">
        <f t="shared" si="4"/>
        <v>1</v>
      </c>
      <c r="BE39">
        <f t="shared" si="0"/>
        <v>1</v>
      </c>
      <c r="BF39">
        <f t="shared" si="5"/>
        <v>1</v>
      </c>
      <c r="BG39" s="11">
        <f t="shared" si="6"/>
        <v>7.2342067909231802E-3</v>
      </c>
      <c r="BH39" s="11">
        <f t="shared" si="7"/>
        <v>-6.2446981246343297E-3</v>
      </c>
      <c r="BI39" s="11">
        <f t="shared" si="8"/>
        <v>9.8950866628885054E-4</v>
      </c>
      <c r="BJ39" s="6">
        <f t="shared" si="9"/>
        <v>-2.3202574454588877E-2</v>
      </c>
      <c r="BL39" s="11"/>
      <c r="BN39">
        <f t="shared" si="10"/>
        <v>0</v>
      </c>
      <c r="BO39">
        <f t="shared" si="11"/>
        <v>1</v>
      </c>
      <c r="BP39">
        <f t="shared" si="12"/>
        <v>0</v>
      </c>
      <c r="BQ39">
        <f t="shared" si="1"/>
        <v>1</v>
      </c>
      <c r="BR39">
        <f t="shared" si="13"/>
        <v>0</v>
      </c>
      <c r="BS39" s="11">
        <f t="shared" si="14"/>
        <v>0</v>
      </c>
      <c r="BT39" s="11">
        <f t="shared" si="15"/>
        <v>0</v>
      </c>
      <c r="BU39" s="11">
        <f t="shared" si="16"/>
        <v>0</v>
      </c>
      <c r="BV39" s="6">
        <f t="shared" si="17"/>
        <v>0</v>
      </c>
      <c r="BX39" s="6">
        <f t="shared" si="18"/>
        <v>9.8950866628885054E-4</v>
      </c>
      <c r="BY39" s="6">
        <f t="shared" si="19"/>
        <v>-2.3202574454588877E-2</v>
      </c>
    </row>
    <row r="40" spans="1:77" x14ac:dyDescent="0.3">
      <c r="A40" s="1">
        <v>46080</v>
      </c>
      <c r="B40" s="15">
        <v>160.94</v>
      </c>
      <c r="C40" s="15">
        <v>177.14</v>
      </c>
      <c r="D40" s="11">
        <v>6.2136887583287497E-5</v>
      </c>
      <c r="E40" s="11">
        <v>2.4870010557861998E-3</v>
      </c>
      <c r="F40" s="15">
        <v>0</v>
      </c>
      <c r="G40" s="15">
        <v>0</v>
      </c>
      <c r="H40" s="15">
        <v>0</v>
      </c>
      <c r="I40" s="15">
        <v>0</v>
      </c>
      <c r="J40" s="15">
        <v>0</v>
      </c>
      <c r="K40" s="15">
        <v>0</v>
      </c>
      <c r="L40" s="15">
        <v>160.94</v>
      </c>
      <c r="M40" s="15">
        <v>177.14</v>
      </c>
      <c r="N40" s="16">
        <v>1.1006586305455399</v>
      </c>
      <c r="O40" s="16">
        <v>1.0958817339640901</v>
      </c>
      <c r="P40" s="16">
        <v>1.09677160004614</v>
      </c>
      <c r="Q40" s="16">
        <v>1.08847075536495</v>
      </c>
      <c r="R40" s="15">
        <v>176.37120626417999</v>
      </c>
      <c r="S40" s="15">
        <v>176.30270963374301</v>
      </c>
      <c r="T40" s="15">
        <v>174.93952056091899</v>
      </c>
      <c r="U40" s="11">
        <v>-4.3494799270727301E-3</v>
      </c>
      <c r="V40" s="11">
        <v>-4.7379216473736304E-3</v>
      </c>
      <c r="W40" s="11">
        <v>-1.25000629850057E-2</v>
      </c>
      <c r="X40" s="16">
        <v>1.1006586305455399</v>
      </c>
      <c r="Y40" s="16">
        <v>1.0957888908294</v>
      </c>
      <c r="Z40" s="16">
        <v>1.09677160004614</v>
      </c>
      <c r="AA40" s="16">
        <v>1.08847075536495</v>
      </c>
      <c r="AB40" s="15">
        <v>176.35626409008501</v>
      </c>
      <c r="AC40" s="15">
        <v>176.30270963374301</v>
      </c>
      <c r="AD40" s="15">
        <v>174.93952056091899</v>
      </c>
      <c r="AE40" s="11">
        <v>-4.4342035472060204E-3</v>
      </c>
      <c r="AF40" s="11">
        <v>-4.7379216473736304E-3</v>
      </c>
      <c r="AG40" s="11">
        <v>-1.25000629850057E-2</v>
      </c>
      <c r="AZ40" s="11"/>
      <c r="BB40">
        <f t="shared" si="2"/>
        <v>1</v>
      </c>
      <c r="BC40">
        <f t="shared" si="3"/>
        <v>0</v>
      </c>
      <c r="BD40">
        <f t="shared" si="4"/>
        <v>1</v>
      </c>
      <c r="BE40">
        <f t="shared" si="0"/>
        <v>1</v>
      </c>
      <c r="BF40">
        <f t="shared" si="5"/>
        <v>1</v>
      </c>
      <c r="BG40" s="11">
        <f t="shared" si="6"/>
        <v>6.2136887583287497E-5</v>
      </c>
      <c r="BH40" s="11">
        <f t="shared" si="7"/>
        <v>-2.4870010557861998E-3</v>
      </c>
      <c r="BI40" s="11">
        <f t="shared" si="8"/>
        <v>-2.4248641682029122E-3</v>
      </c>
      <c r="BJ40" s="6">
        <f t="shared" si="9"/>
        <v>-2.5627438622791789E-2</v>
      </c>
      <c r="BL40" s="11"/>
      <c r="BN40">
        <f t="shared" si="10"/>
        <v>0</v>
      </c>
      <c r="BO40">
        <f t="shared" si="11"/>
        <v>1</v>
      </c>
      <c r="BP40">
        <f t="shared" si="12"/>
        <v>0</v>
      </c>
      <c r="BQ40">
        <f t="shared" si="1"/>
        <v>1</v>
      </c>
      <c r="BR40">
        <f t="shared" si="13"/>
        <v>0</v>
      </c>
      <c r="BS40" s="11">
        <f t="shared" si="14"/>
        <v>0</v>
      </c>
      <c r="BT40" s="11">
        <f t="shared" si="15"/>
        <v>0</v>
      </c>
      <c r="BU40" s="11">
        <f t="shared" si="16"/>
        <v>0</v>
      </c>
      <c r="BV40" s="6">
        <f t="shared" si="17"/>
        <v>0</v>
      </c>
      <c r="BX40" s="6">
        <f t="shared" si="18"/>
        <v>-2.4248641682029122E-3</v>
      </c>
      <c r="BY40" s="6">
        <f t="shared" si="19"/>
        <v>-2.5627438622791789E-2</v>
      </c>
    </row>
    <row r="41" spans="1:77" x14ac:dyDescent="0.3">
      <c r="A41" s="1">
        <v>46083</v>
      </c>
      <c r="B41" s="15">
        <v>162.04</v>
      </c>
      <c r="C41" s="15">
        <v>178.9</v>
      </c>
      <c r="D41" s="11">
        <v>6.8115936165028899E-3</v>
      </c>
      <c r="E41" s="11">
        <v>9.8866101332367295E-3</v>
      </c>
      <c r="F41" s="15">
        <v>0</v>
      </c>
      <c r="G41" s="15">
        <v>0</v>
      </c>
      <c r="H41" s="15">
        <v>0</v>
      </c>
      <c r="I41" s="15">
        <v>0</v>
      </c>
      <c r="J41" s="15">
        <v>0</v>
      </c>
      <c r="K41" s="15">
        <v>0</v>
      </c>
      <c r="L41" s="15">
        <v>162.04</v>
      </c>
      <c r="M41" s="15">
        <v>178.9</v>
      </c>
      <c r="N41" s="16">
        <v>1.1040483831152801</v>
      </c>
      <c r="O41" s="16">
        <v>1.0958817339640901</v>
      </c>
      <c r="P41" s="16">
        <v>1.09801316665601</v>
      </c>
      <c r="Q41" s="16">
        <v>1.0899204940346501</v>
      </c>
      <c r="R41" s="15">
        <v>177.57667617154101</v>
      </c>
      <c r="S41" s="15">
        <v>177.72087007147701</v>
      </c>
      <c r="T41" s="15">
        <v>176.375801199336</v>
      </c>
      <c r="U41" s="11">
        <v>-7.4244964438065003E-3</v>
      </c>
      <c r="V41" s="11">
        <v>-6.6128167157708797E-3</v>
      </c>
      <c r="W41" s="11">
        <v>-1.4210037761869901E-2</v>
      </c>
      <c r="X41" s="16">
        <v>1.1040483831152801</v>
      </c>
      <c r="Y41" s="16">
        <v>1.0957888908294</v>
      </c>
      <c r="Z41" s="16">
        <v>1.09801316665601</v>
      </c>
      <c r="AA41" s="16">
        <v>1.0899204940346501</v>
      </c>
      <c r="AB41" s="15">
        <v>177.561631869997</v>
      </c>
      <c r="AC41" s="15">
        <v>177.72087007147701</v>
      </c>
      <c r="AD41" s="15">
        <v>176.375801199336</v>
      </c>
      <c r="AE41" s="11">
        <v>-7.5092200639397698E-3</v>
      </c>
      <c r="AF41" s="11">
        <v>-6.6128167157708797E-3</v>
      </c>
      <c r="AG41" s="11">
        <v>-1.4210037761869901E-2</v>
      </c>
      <c r="AZ41" s="11"/>
      <c r="BB41">
        <f t="shared" si="2"/>
        <v>1</v>
      </c>
      <c r="BC41">
        <f t="shared" si="3"/>
        <v>0</v>
      </c>
      <c r="BD41">
        <f t="shared" si="4"/>
        <v>1</v>
      </c>
      <c r="BE41">
        <f t="shared" si="0"/>
        <v>1</v>
      </c>
      <c r="BF41">
        <f t="shared" si="5"/>
        <v>1</v>
      </c>
      <c r="BG41" s="11">
        <f t="shared" si="6"/>
        <v>6.8115936165028899E-3</v>
      </c>
      <c r="BH41" s="11">
        <f t="shared" si="7"/>
        <v>-9.8866101332367295E-3</v>
      </c>
      <c r="BI41" s="11">
        <f t="shared" si="8"/>
        <v>-3.0750165167338396E-3</v>
      </c>
      <c r="BJ41" s="6">
        <f t="shared" si="9"/>
        <v>-2.8702455139525629E-2</v>
      </c>
      <c r="BL41" s="11"/>
      <c r="BN41">
        <f t="shared" si="10"/>
        <v>0</v>
      </c>
      <c r="BO41">
        <f t="shared" si="11"/>
        <v>1</v>
      </c>
      <c r="BP41">
        <f t="shared" si="12"/>
        <v>0</v>
      </c>
      <c r="BQ41">
        <f t="shared" si="1"/>
        <v>1</v>
      </c>
      <c r="BR41">
        <f t="shared" si="13"/>
        <v>0</v>
      </c>
      <c r="BS41" s="11">
        <f t="shared" si="14"/>
        <v>0</v>
      </c>
      <c r="BT41" s="11">
        <f t="shared" si="15"/>
        <v>0</v>
      </c>
      <c r="BU41" s="11">
        <f t="shared" si="16"/>
        <v>0</v>
      </c>
      <c r="BV41" s="6">
        <f t="shared" si="17"/>
        <v>0</v>
      </c>
      <c r="BX41" s="6">
        <f t="shared" si="18"/>
        <v>-3.0750165167338396E-3</v>
      </c>
      <c r="BY41" s="6">
        <f t="shared" si="19"/>
        <v>-2.8702455139525629E-2</v>
      </c>
    </row>
    <row r="42" spans="1:77" x14ac:dyDescent="0.3">
      <c r="A42" s="1">
        <v>46084</v>
      </c>
      <c r="B42" s="15">
        <v>159.26</v>
      </c>
      <c r="C42" s="15">
        <v>175.44</v>
      </c>
      <c r="D42" s="11">
        <v>-1.7305131505191002E-2</v>
      </c>
      <c r="E42" s="11">
        <v>-1.9529886405040699E-2</v>
      </c>
      <c r="F42" s="15">
        <v>0</v>
      </c>
      <c r="G42" s="15">
        <v>0</v>
      </c>
      <c r="H42" s="15">
        <v>0</v>
      </c>
      <c r="I42" s="15">
        <v>0</v>
      </c>
      <c r="J42" s="15">
        <v>0</v>
      </c>
      <c r="K42" s="15">
        <v>0</v>
      </c>
      <c r="L42" s="15">
        <v>159.26</v>
      </c>
      <c r="M42" s="15">
        <v>175.44</v>
      </c>
      <c r="N42" s="16">
        <v>1.1015948763029</v>
      </c>
      <c r="O42" s="16">
        <v>1.0958817339640901</v>
      </c>
      <c r="P42" s="16">
        <v>1.0989047269318699</v>
      </c>
      <c r="Q42" s="16">
        <v>1.09135974092356</v>
      </c>
      <c r="R42" s="15">
        <v>174.530124951121</v>
      </c>
      <c r="S42" s="15">
        <v>174.869576921636</v>
      </c>
      <c r="T42" s="15">
        <v>173.58073787995801</v>
      </c>
      <c r="U42" s="11">
        <v>-5.1997415439567702E-3</v>
      </c>
      <c r="V42" s="11">
        <v>-3.2566827748968801E-3</v>
      </c>
      <c r="W42" s="11">
        <v>-1.0654264952236399E-2</v>
      </c>
      <c r="X42" s="16">
        <v>1.1015948763029</v>
      </c>
      <c r="Y42" s="16">
        <v>1.0957888908294</v>
      </c>
      <c r="Z42" s="16">
        <v>1.0989047269318699</v>
      </c>
      <c r="AA42" s="16">
        <v>1.09135974092356</v>
      </c>
      <c r="AB42" s="15">
        <v>174.51533875349099</v>
      </c>
      <c r="AC42" s="15">
        <v>174.869576921636</v>
      </c>
      <c r="AD42" s="15">
        <v>173.58073787995801</v>
      </c>
      <c r="AE42" s="11">
        <v>-5.2844651640899503E-3</v>
      </c>
      <c r="AF42" s="11">
        <v>-3.2566827748968801E-3</v>
      </c>
      <c r="AG42" s="11">
        <v>-1.0654264952236399E-2</v>
      </c>
      <c r="AZ42" s="11"/>
      <c r="BB42">
        <f t="shared" si="2"/>
        <v>1</v>
      </c>
      <c r="BC42">
        <f t="shared" si="3"/>
        <v>0</v>
      </c>
      <c r="BD42">
        <f t="shared" si="4"/>
        <v>1</v>
      </c>
      <c r="BE42">
        <f t="shared" si="0"/>
        <v>1</v>
      </c>
      <c r="BF42">
        <f t="shared" si="5"/>
        <v>1</v>
      </c>
      <c r="BG42" s="11">
        <f t="shared" si="6"/>
        <v>-1.7305131505191002E-2</v>
      </c>
      <c r="BH42" s="11">
        <f t="shared" si="7"/>
        <v>1.9529886405040699E-2</v>
      </c>
      <c r="BI42" s="11">
        <f t="shared" si="8"/>
        <v>2.2247548998496972E-3</v>
      </c>
      <c r="BJ42" s="6">
        <f t="shared" si="9"/>
        <v>-2.6477700239675932E-2</v>
      </c>
      <c r="BL42" s="11"/>
      <c r="BN42">
        <f t="shared" si="10"/>
        <v>0</v>
      </c>
      <c r="BO42">
        <f t="shared" si="11"/>
        <v>1</v>
      </c>
      <c r="BP42">
        <f t="shared" si="12"/>
        <v>0</v>
      </c>
      <c r="BQ42">
        <f t="shared" si="1"/>
        <v>1</v>
      </c>
      <c r="BR42">
        <f t="shared" si="13"/>
        <v>0</v>
      </c>
      <c r="BS42" s="11">
        <f t="shared" si="14"/>
        <v>0</v>
      </c>
      <c r="BT42" s="11">
        <f t="shared" si="15"/>
        <v>0</v>
      </c>
      <c r="BU42" s="11">
        <f t="shared" si="16"/>
        <v>0</v>
      </c>
      <c r="BV42" s="6">
        <f t="shared" si="17"/>
        <v>0</v>
      </c>
      <c r="BX42" s="6">
        <f t="shared" si="18"/>
        <v>2.2247548998496972E-3</v>
      </c>
      <c r="BY42" s="6">
        <f t="shared" si="19"/>
        <v>-2.6477700239675932E-2</v>
      </c>
    </row>
    <row r="43" spans="1:77" x14ac:dyDescent="0.3">
      <c r="A43" s="1">
        <v>46085</v>
      </c>
      <c r="B43" s="15">
        <v>159.78</v>
      </c>
      <c r="C43" s="15">
        <v>175.97</v>
      </c>
      <c r="D43" s="11">
        <v>3.2597822245970802E-3</v>
      </c>
      <c r="E43" s="11">
        <v>3.01642185403735E-3</v>
      </c>
      <c r="F43" s="15">
        <v>0</v>
      </c>
      <c r="G43" s="15">
        <v>0</v>
      </c>
      <c r="H43" s="15">
        <v>0</v>
      </c>
      <c r="I43" s="15">
        <v>0</v>
      </c>
      <c r="J43" s="15">
        <v>0</v>
      </c>
      <c r="K43" s="15">
        <v>0</v>
      </c>
      <c r="L43" s="15">
        <v>159.78</v>
      </c>
      <c r="M43" s="15">
        <v>175.97</v>
      </c>
      <c r="N43" s="16">
        <v>1.1013268243835199</v>
      </c>
      <c r="O43" s="16">
        <v>1.0958817339640901</v>
      </c>
      <c r="P43" s="16">
        <v>1.1000732659439301</v>
      </c>
      <c r="Q43" s="16">
        <v>1.0923998589256001</v>
      </c>
      <c r="R43" s="15">
        <v>175.099983452782</v>
      </c>
      <c r="S43" s="15">
        <v>175.582997269175</v>
      </c>
      <c r="T43" s="15">
        <v>174.377459404767</v>
      </c>
      <c r="U43" s="11">
        <v>-4.9563811733970096E-3</v>
      </c>
      <c r="V43" s="11">
        <v>-2.2016759359748399E-3</v>
      </c>
      <c r="W43" s="11">
        <v>-9.0912693741389498E-3</v>
      </c>
      <c r="X43" s="16">
        <v>1.1013268243835199</v>
      </c>
      <c r="Y43" s="16">
        <v>1.0957888908294</v>
      </c>
      <c r="Z43" s="16">
        <v>1.1000732659439301</v>
      </c>
      <c r="AA43" s="16">
        <v>1.0923998589256001</v>
      </c>
      <c r="AB43" s="15">
        <v>175.08514897672299</v>
      </c>
      <c r="AC43" s="15">
        <v>175.582997269175</v>
      </c>
      <c r="AD43" s="15">
        <v>174.377459404767</v>
      </c>
      <c r="AE43" s="11">
        <v>-5.0411047935301897E-3</v>
      </c>
      <c r="AF43" s="11">
        <v>-2.2016759359748399E-3</v>
      </c>
      <c r="AG43" s="11">
        <v>-9.0912693741389498E-3</v>
      </c>
      <c r="AZ43" s="11"/>
      <c r="BB43">
        <f t="shared" si="2"/>
        <v>1</v>
      </c>
      <c r="BC43">
        <f t="shared" si="3"/>
        <v>0</v>
      </c>
      <c r="BD43">
        <f t="shared" si="4"/>
        <v>1</v>
      </c>
      <c r="BE43">
        <f t="shared" si="0"/>
        <v>1</v>
      </c>
      <c r="BF43">
        <f t="shared" si="5"/>
        <v>1</v>
      </c>
      <c r="BG43" s="11">
        <f t="shared" si="6"/>
        <v>3.2597822245970802E-3</v>
      </c>
      <c r="BH43" s="11">
        <f t="shared" si="7"/>
        <v>-3.01642185403735E-3</v>
      </c>
      <c r="BI43" s="11">
        <f t="shared" si="8"/>
        <v>2.4336037055973023E-4</v>
      </c>
      <c r="BJ43" s="6">
        <f t="shared" si="9"/>
        <v>-2.6234339869116201E-2</v>
      </c>
      <c r="BL43" s="11"/>
      <c r="BN43">
        <f t="shared" si="10"/>
        <v>0</v>
      </c>
      <c r="BO43">
        <f t="shared" si="11"/>
        <v>1</v>
      </c>
      <c r="BP43">
        <f t="shared" si="12"/>
        <v>0</v>
      </c>
      <c r="BQ43">
        <f t="shared" si="1"/>
        <v>1</v>
      </c>
      <c r="BR43">
        <f t="shared" si="13"/>
        <v>0</v>
      </c>
      <c r="BS43" s="11">
        <f t="shared" si="14"/>
        <v>0</v>
      </c>
      <c r="BT43" s="11">
        <f t="shared" si="15"/>
        <v>0</v>
      </c>
      <c r="BU43" s="11">
        <f t="shared" si="16"/>
        <v>0</v>
      </c>
      <c r="BV43" s="6">
        <f t="shared" si="17"/>
        <v>0</v>
      </c>
      <c r="BX43" s="6">
        <f t="shared" si="18"/>
        <v>2.4336037055973023E-4</v>
      </c>
      <c r="BY43" s="6">
        <f t="shared" si="19"/>
        <v>-2.6234339869116201E-2</v>
      </c>
    </row>
    <row r="44" spans="1:77" x14ac:dyDescent="0.3">
      <c r="A44" s="1">
        <v>46086</v>
      </c>
      <c r="B44" s="15">
        <v>156.83000000000001</v>
      </c>
      <c r="C44" s="15">
        <v>172.06</v>
      </c>
      <c r="D44" s="11">
        <v>-1.8635452907562501E-2</v>
      </c>
      <c r="E44" s="11">
        <v>-2.2470272770468001E-2</v>
      </c>
      <c r="F44" s="15">
        <v>0</v>
      </c>
      <c r="G44" s="15">
        <v>0</v>
      </c>
      <c r="H44" s="15">
        <v>0</v>
      </c>
      <c r="I44" s="15">
        <v>0</v>
      </c>
      <c r="J44" s="15">
        <v>0</v>
      </c>
      <c r="K44" s="15">
        <v>0</v>
      </c>
      <c r="L44" s="15">
        <v>156.83000000000001</v>
      </c>
      <c r="M44" s="15">
        <v>172.06</v>
      </c>
      <c r="N44" s="16">
        <v>1.0971115220302201</v>
      </c>
      <c r="O44" s="16">
        <v>1.0958817339640901</v>
      </c>
      <c r="P44" s="16">
        <v>1.1003244553909</v>
      </c>
      <c r="Q44" s="16">
        <v>1.09341588255111</v>
      </c>
      <c r="R44" s="15">
        <v>171.867132337588</v>
      </c>
      <c r="S44" s="15">
        <v>172.524490297987</v>
      </c>
      <c r="T44" s="15">
        <v>171.32106987530199</v>
      </c>
      <c r="U44" s="11">
        <v>-1.1215613104914701E-3</v>
      </c>
      <c r="V44" s="11">
        <v>2.6959459429919102E-3</v>
      </c>
      <c r="W44" s="11">
        <v>-4.3038555711672997E-3</v>
      </c>
      <c r="X44" s="16">
        <v>1.0971115220302201</v>
      </c>
      <c r="Y44" s="16">
        <v>1.0957888908294</v>
      </c>
      <c r="Z44" s="16">
        <v>1.1003244553909</v>
      </c>
      <c r="AA44" s="16">
        <v>1.09341588255111</v>
      </c>
      <c r="AB44" s="15">
        <v>171.852571748776</v>
      </c>
      <c r="AC44" s="15">
        <v>172.524490297987</v>
      </c>
      <c r="AD44" s="15">
        <v>171.32106987530199</v>
      </c>
      <c r="AE44" s="11">
        <v>-1.20628493062473E-3</v>
      </c>
      <c r="AF44" s="11">
        <v>2.6959459429919102E-3</v>
      </c>
      <c r="AG44" s="11">
        <v>-4.3038555711672997E-3</v>
      </c>
      <c r="AZ44" s="11"/>
      <c r="BB44">
        <f t="shared" si="2"/>
        <v>0</v>
      </c>
      <c r="BC44">
        <f t="shared" si="3"/>
        <v>0</v>
      </c>
      <c r="BD44">
        <f t="shared" si="4"/>
        <v>1</v>
      </c>
      <c r="BE44">
        <f t="shared" si="0"/>
        <v>1</v>
      </c>
      <c r="BF44">
        <f t="shared" si="5"/>
        <v>1</v>
      </c>
      <c r="BG44" s="11">
        <f t="shared" si="6"/>
        <v>-1.8635452907562501E-2</v>
      </c>
      <c r="BH44" s="11">
        <f t="shared" si="7"/>
        <v>2.2470272770468001E-2</v>
      </c>
      <c r="BI44" s="11">
        <f t="shared" si="8"/>
        <v>3.8348198629055003E-3</v>
      </c>
      <c r="BJ44" s="6">
        <f t="shared" si="9"/>
        <v>-2.2399520006210701E-2</v>
      </c>
      <c r="BL44" s="11"/>
      <c r="BN44">
        <f t="shared" si="10"/>
        <v>0</v>
      </c>
      <c r="BO44">
        <f t="shared" si="11"/>
        <v>1</v>
      </c>
      <c r="BP44">
        <f t="shared" si="12"/>
        <v>0</v>
      </c>
      <c r="BQ44">
        <f t="shared" si="1"/>
        <v>1</v>
      </c>
      <c r="BR44">
        <f t="shared" si="13"/>
        <v>0</v>
      </c>
      <c r="BS44" s="11">
        <f t="shared" si="14"/>
        <v>0</v>
      </c>
      <c r="BT44" s="11">
        <f t="shared" si="15"/>
        <v>0</v>
      </c>
      <c r="BU44" s="11">
        <f t="shared" si="16"/>
        <v>0</v>
      </c>
      <c r="BV44" s="6">
        <f t="shared" si="17"/>
        <v>0</v>
      </c>
      <c r="BX44" s="6">
        <f t="shared" si="18"/>
        <v>3.8348198629055003E-3</v>
      </c>
      <c r="BY44" s="6">
        <f t="shared" si="19"/>
        <v>-2.2399520006210701E-2</v>
      </c>
    </row>
    <row r="45" spans="1:77" x14ac:dyDescent="0.3">
      <c r="A45" s="1">
        <v>46087</v>
      </c>
      <c r="B45" s="15">
        <v>154.41</v>
      </c>
      <c r="C45" s="15">
        <v>169.94</v>
      </c>
      <c r="D45" s="11">
        <v>-1.5551013813560499E-2</v>
      </c>
      <c r="E45" s="11">
        <v>-1.2397819617806701E-2</v>
      </c>
      <c r="F45" s="15">
        <v>0</v>
      </c>
      <c r="G45" s="15">
        <v>0</v>
      </c>
      <c r="H45" s="15">
        <v>0</v>
      </c>
      <c r="I45" s="15">
        <v>0</v>
      </c>
      <c r="J45" s="15">
        <v>0</v>
      </c>
      <c r="K45" s="15">
        <v>0</v>
      </c>
      <c r="L45" s="15">
        <v>154.41</v>
      </c>
      <c r="M45" s="15">
        <v>169.94</v>
      </c>
      <c r="N45" s="16">
        <v>1.1005763875396599</v>
      </c>
      <c r="O45" s="16">
        <v>1.0958817339640901</v>
      </c>
      <c r="P45" s="16">
        <v>1.1009200473287299</v>
      </c>
      <c r="Q45" s="16">
        <v>1.0945490553211801</v>
      </c>
      <c r="R45" s="15">
        <v>169.21509854139501</v>
      </c>
      <c r="S45" s="15">
        <v>169.901099156909</v>
      </c>
      <c r="T45" s="15">
        <v>168.83434642471701</v>
      </c>
      <c r="U45" s="11">
        <v>-4.2747555062451897E-3</v>
      </c>
      <c r="V45" s="11">
        <v>-2.2893548400563699E-4</v>
      </c>
      <c r="W45" s="11">
        <v>-6.5273980315036003E-3</v>
      </c>
      <c r="X45" s="16">
        <v>1.1005763875396599</v>
      </c>
      <c r="Y45" s="16">
        <v>1.0957888908294</v>
      </c>
      <c r="Z45" s="16">
        <v>1.1009200473287299</v>
      </c>
      <c r="AA45" s="16">
        <v>1.0945490553211801</v>
      </c>
      <c r="AB45" s="15">
        <v>169.200762632969</v>
      </c>
      <c r="AC45" s="15">
        <v>169.901099156909</v>
      </c>
      <c r="AD45" s="15">
        <v>168.83434642471701</v>
      </c>
      <c r="AE45" s="11">
        <v>-4.3594791263783196E-3</v>
      </c>
      <c r="AF45" s="11">
        <v>-2.2893548400563699E-4</v>
      </c>
      <c r="AG45" s="11">
        <v>-6.5273980315036003E-3</v>
      </c>
      <c r="AZ45" s="11"/>
      <c r="BB45">
        <f t="shared" si="2"/>
        <v>1</v>
      </c>
      <c r="BC45">
        <f t="shared" si="3"/>
        <v>0</v>
      </c>
      <c r="BD45">
        <f t="shared" si="4"/>
        <v>1</v>
      </c>
      <c r="BE45">
        <f t="shared" si="0"/>
        <v>1</v>
      </c>
      <c r="BF45">
        <f t="shared" si="5"/>
        <v>1</v>
      </c>
      <c r="BG45" s="11">
        <f t="shared" si="6"/>
        <v>-1.5551013813560499E-2</v>
      </c>
      <c r="BH45" s="11">
        <f t="shared" si="7"/>
        <v>1.2397819617806701E-2</v>
      </c>
      <c r="BI45" s="11">
        <f t="shared" si="8"/>
        <v>-3.1531941957537984E-3</v>
      </c>
      <c r="BJ45" s="6">
        <f t="shared" si="9"/>
        <v>-2.5552714201964498E-2</v>
      </c>
      <c r="BL45" s="11"/>
      <c r="BN45">
        <f t="shared" si="10"/>
        <v>0</v>
      </c>
      <c r="BO45">
        <f t="shared" si="11"/>
        <v>1</v>
      </c>
      <c r="BP45">
        <f t="shared" si="12"/>
        <v>0</v>
      </c>
      <c r="BQ45">
        <f t="shared" si="1"/>
        <v>1</v>
      </c>
      <c r="BR45">
        <f t="shared" si="13"/>
        <v>0</v>
      </c>
      <c r="BS45" s="11">
        <f t="shared" si="14"/>
        <v>0</v>
      </c>
      <c r="BT45" s="11">
        <f t="shared" si="15"/>
        <v>0</v>
      </c>
      <c r="BU45" s="11">
        <f t="shared" si="16"/>
        <v>0</v>
      </c>
      <c r="BV45" s="6">
        <f t="shared" si="17"/>
        <v>0</v>
      </c>
      <c r="BX45" s="6">
        <f t="shared" si="18"/>
        <v>-3.1531941957537984E-3</v>
      </c>
      <c r="BY45" s="6">
        <f t="shared" si="19"/>
        <v>-2.5552714201964498E-2</v>
      </c>
    </row>
    <row r="46" spans="1:77" x14ac:dyDescent="0.3">
      <c r="A46" s="1">
        <v>46090</v>
      </c>
      <c r="B46" s="15">
        <v>154.99</v>
      </c>
      <c r="C46" s="15">
        <v>170.94</v>
      </c>
      <c r="D46" s="11">
        <v>3.74919637618673E-3</v>
      </c>
      <c r="E46" s="11">
        <v>5.8671841624767301E-3</v>
      </c>
      <c r="F46" s="15">
        <v>0</v>
      </c>
      <c r="G46" s="15">
        <v>0</v>
      </c>
      <c r="H46" s="15">
        <v>0</v>
      </c>
      <c r="I46" s="15">
        <v>0</v>
      </c>
      <c r="J46" s="15">
        <v>0</v>
      </c>
      <c r="K46" s="15">
        <v>0</v>
      </c>
      <c r="L46" s="15">
        <v>154.99</v>
      </c>
      <c r="M46" s="15">
        <v>170.94</v>
      </c>
      <c r="N46" s="16">
        <v>1.1029098651525899</v>
      </c>
      <c r="O46" s="16">
        <v>1.0958817339640901</v>
      </c>
      <c r="P46" s="16">
        <v>1.1008803510218299</v>
      </c>
      <c r="Q46" s="16">
        <v>1.0956467363323801</v>
      </c>
      <c r="R46" s="15">
        <v>169.850709947094</v>
      </c>
      <c r="S46" s="15">
        <v>170.631598135481</v>
      </c>
      <c r="T46" s="15">
        <v>169.64415808422899</v>
      </c>
      <c r="U46" s="11">
        <v>-6.3927432925352003E-3</v>
      </c>
      <c r="V46" s="11">
        <v>-1.80578215522881E-3</v>
      </c>
      <c r="W46" s="11">
        <v>-7.6095622067542798E-3</v>
      </c>
      <c r="X46" s="16">
        <v>1.1029098651525899</v>
      </c>
      <c r="Y46" s="16">
        <v>1.0957888908294</v>
      </c>
      <c r="Z46" s="16">
        <v>1.1008803510218299</v>
      </c>
      <c r="AA46" s="16">
        <v>1.0956467363323801</v>
      </c>
      <c r="AB46" s="15">
        <v>169.83632018965</v>
      </c>
      <c r="AC46" s="15">
        <v>170.631598135481</v>
      </c>
      <c r="AD46" s="15">
        <v>169.64415808422899</v>
      </c>
      <c r="AE46" s="11">
        <v>-6.4774669126684298E-3</v>
      </c>
      <c r="AF46" s="11">
        <v>-1.80578215522881E-3</v>
      </c>
      <c r="AG46" s="11">
        <v>-7.6095622067542798E-3</v>
      </c>
      <c r="AZ46" s="11"/>
      <c r="BB46">
        <f t="shared" si="2"/>
        <v>1</v>
      </c>
      <c r="BC46">
        <f t="shared" si="3"/>
        <v>0</v>
      </c>
      <c r="BD46">
        <f t="shared" si="4"/>
        <v>1</v>
      </c>
      <c r="BE46">
        <f t="shared" si="0"/>
        <v>1</v>
      </c>
      <c r="BF46">
        <f t="shared" si="5"/>
        <v>1</v>
      </c>
      <c r="BG46" s="11">
        <f t="shared" si="6"/>
        <v>3.74919637618673E-3</v>
      </c>
      <c r="BH46" s="11">
        <f t="shared" si="7"/>
        <v>-5.8671841624767301E-3</v>
      </c>
      <c r="BI46" s="11">
        <f t="shared" si="8"/>
        <v>-2.1179877862900001E-3</v>
      </c>
      <c r="BJ46" s="6">
        <f t="shared" si="9"/>
        <v>-2.7670701988254498E-2</v>
      </c>
      <c r="BL46" s="11"/>
      <c r="BN46">
        <f t="shared" si="10"/>
        <v>0</v>
      </c>
      <c r="BO46">
        <f t="shared" si="11"/>
        <v>1</v>
      </c>
      <c r="BP46">
        <f t="shared" si="12"/>
        <v>0</v>
      </c>
      <c r="BQ46">
        <f t="shared" si="1"/>
        <v>1</v>
      </c>
      <c r="BR46">
        <f t="shared" si="13"/>
        <v>0</v>
      </c>
      <c r="BS46" s="11">
        <f t="shared" si="14"/>
        <v>0</v>
      </c>
      <c r="BT46" s="11">
        <f t="shared" si="15"/>
        <v>0</v>
      </c>
      <c r="BU46" s="11">
        <f t="shared" si="16"/>
        <v>0</v>
      </c>
      <c r="BV46" s="6">
        <f t="shared" si="17"/>
        <v>0</v>
      </c>
      <c r="BX46" s="6">
        <f t="shared" si="18"/>
        <v>-2.1179877862900001E-3</v>
      </c>
      <c r="BY46" s="6">
        <f t="shared" si="19"/>
        <v>-2.7670701988254498E-2</v>
      </c>
    </row>
    <row r="47" spans="1:77" x14ac:dyDescent="0.3">
      <c r="A47" s="1">
        <v>46091</v>
      </c>
      <c r="B47" s="15">
        <v>154.22</v>
      </c>
      <c r="C47" s="15">
        <v>170.02</v>
      </c>
      <c r="D47" s="11">
        <v>-4.9804443041449199E-3</v>
      </c>
      <c r="E47" s="11">
        <v>-5.3965405486590201E-3</v>
      </c>
      <c r="F47" s="15">
        <v>0</v>
      </c>
      <c r="G47" s="15">
        <v>0</v>
      </c>
      <c r="H47" s="15">
        <v>0</v>
      </c>
      <c r="I47" s="15">
        <v>0</v>
      </c>
      <c r="J47" s="15">
        <v>0</v>
      </c>
      <c r="K47" s="15">
        <v>0</v>
      </c>
      <c r="L47" s="15">
        <v>154.22</v>
      </c>
      <c r="M47" s="15">
        <v>170.02</v>
      </c>
      <c r="N47" s="16">
        <v>1.1024510439631601</v>
      </c>
      <c r="O47" s="16">
        <v>1.0958817339640901</v>
      </c>
      <c r="P47" s="16">
        <v>1.10077503766032</v>
      </c>
      <c r="Q47" s="16">
        <v>1.0965524210606601</v>
      </c>
      <c r="R47" s="15">
        <v>169.006881011942</v>
      </c>
      <c r="S47" s="15">
        <v>169.777767734587</v>
      </c>
      <c r="T47" s="15">
        <v>168.97063967718</v>
      </c>
      <c r="U47" s="11">
        <v>-5.9766470480211E-3</v>
      </c>
      <c r="V47" s="11">
        <v>-1.4257439538853799E-3</v>
      </c>
      <c r="W47" s="11">
        <v>-6.1911070797223897E-3</v>
      </c>
      <c r="X47" s="16">
        <v>1.1024510439631601</v>
      </c>
      <c r="Y47" s="16">
        <v>1.0957888908294</v>
      </c>
      <c r="Z47" s="16">
        <v>1.10077503766032</v>
      </c>
      <c r="AA47" s="16">
        <v>1.0965524210606601</v>
      </c>
      <c r="AB47" s="15">
        <v>168.99256274371101</v>
      </c>
      <c r="AC47" s="15">
        <v>169.777767734587</v>
      </c>
      <c r="AD47" s="15">
        <v>168.97063967718</v>
      </c>
      <c r="AE47" s="11">
        <v>-6.0613706681542697E-3</v>
      </c>
      <c r="AF47" s="11">
        <v>-1.4257439538853799E-3</v>
      </c>
      <c r="AG47" s="11">
        <v>-6.1911070797223897E-3</v>
      </c>
      <c r="AZ47" s="11"/>
      <c r="BB47">
        <f t="shared" si="2"/>
        <v>1</v>
      </c>
      <c r="BC47">
        <f t="shared" si="3"/>
        <v>0</v>
      </c>
      <c r="BD47">
        <f t="shared" si="4"/>
        <v>1</v>
      </c>
      <c r="BE47">
        <f t="shared" si="0"/>
        <v>1</v>
      </c>
      <c r="BF47">
        <f t="shared" si="5"/>
        <v>1</v>
      </c>
      <c r="BG47" s="11">
        <f t="shared" si="6"/>
        <v>-4.9804443041449199E-3</v>
      </c>
      <c r="BH47" s="11">
        <f t="shared" si="7"/>
        <v>5.3965405486590201E-3</v>
      </c>
      <c r="BI47" s="11">
        <f t="shared" si="8"/>
        <v>4.1609624451410029E-4</v>
      </c>
      <c r="BJ47" s="6">
        <f t="shared" si="9"/>
        <v>-2.7254605743740397E-2</v>
      </c>
      <c r="BL47" s="11"/>
      <c r="BN47">
        <f t="shared" si="10"/>
        <v>0</v>
      </c>
      <c r="BO47">
        <f t="shared" si="11"/>
        <v>1</v>
      </c>
      <c r="BP47">
        <f t="shared" si="12"/>
        <v>0</v>
      </c>
      <c r="BQ47">
        <f t="shared" si="1"/>
        <v>1</v>
      </c>
      <c r="BR47">
        <f t="shared" si="13"/>
        <v>0</v>
      </c>
      <c r="BS47" s="11">
        <f t="shared" si="14"/>
        <v>0</v>
      </c>
      <c r="BT47" s="11">
        <f t="shared" si="15"/>
        <v>0</v>
      </c>
      <c r="BU47" s="11">
        <f t="shared" si="16"/>
        <v>0</v>
      </c>
      <c r="BV47" s="6">
        <f t="shared" si="17"/>
        <v>0</v>
      </c>
      <c r="BX47" s="6">
        <f t="shared" si="18"/>
        <v>4.1609624451410029E-4</v>
      </c>
      <c r="BY47" s="6">
        <f t="shared" si="19"/>
        <v>-2.7254605743740397E-2</v>
      </c>
    </row>
    <row r="48" spans="1:77" x14ac:dyDescent="0.3">
      <c r="A48" s="1">
        <v>46092</v>
      </c>
      <c r="B48" s="15">
        <v>153.22</v>
      </c>
      <c r="C48" s="15">
        <v>169.49</v>
      </c>
      <c r="D48" s="11">
        <v>-6.5053573161396603E-3</v>
      </c>
      <c r="E48" s="11">
        <v>-3.1221491592497799E-3</v>
      </c>
      <c r="F48" s="15">
        <v>0</v>
      </c>
      <c r="G48" s="15">
        <v>0</v>
      </c>
      <c r="H48" s="15">
        <v>0</v>
      </c>
      <c r="I48" s="15">
        <v>0</v>
      </c>
      <c r="J48" s="15">
        <v>0</v>
      </c>
      <c r="K48" s="15">
        <v>0</v>
      </c>
      <c r="L48" s="15">
        <v>153.22</v>
      </c>
      <c r="M48" s="15">
        <v>169.49</v>
      </c>
      <c r="N48" s="16">
        <v>1.1061871818300399</v>
      </c>
      <c r="O48" s="16">
        <v>1.0958817339640901</v>
      </c>
      <c r="P48" s="16">
        <v>1.10148576310376</v>
      </c>
      <c r="Q48" s="16">
        <v>1.0978188963734199</v>
      </c>
      <c r="R48" s="15">
        <v>167.910999277977</v>
      </c>
      <c r="S48" s="15">
        <v>168.66075127031499</v>
      </c>
      <c r="T48" s="15">
        <v>168.013761954914</v>
      </c>
      <c r="U48" s="11">
        <v>-9.3598552049110606E-3</v>
      </c>
      <c r="V48" s="11">
        <v>-4.9046195454971204E-3</v>
      </c>
      <c r="W48" s="11">
        <v>-8.7480355833668595E-3</v>
      </c>
      <c r="X48" s="16">
        <v>1.1061871818300399</v>
      </c>
      <c r="Y48" s="16">
        <v>1.0957888908294</v>
      </c>
      <c r="Z48" s="16">
        <v>1.10148576310376</v>
      </c>
      <c r="AA48" s="16">
        <v>1.0978188963734199</v>
      </c>
      <c r="AB48" s="15">
        <v>167.89677385288201</v>
      </c>
      <c r="AC48" s="15">
        <v>168.66075127031499</v>
      </c>
      <c r="AD48" s="15">
        <v>168.013761954914</v>
      </c>
      <c r="AE48" s="11">
        <v>-9.4445788250440699E-3</v>
      </c>
      <c r="AF48" s="11">
        <v>-4.9046195454971204E-3</v>
      </c>
      <c r="AG48" s="11">
        <v>-8.7480355833668595E-3</v>
      </c>
      <c r="AZ48" s="11"/>
      <c r="BB48">
        <f t="shared" si="2"/>
        <v>1</v>
      </c>
      <c r="BC48">
        <f t="shared" si="3"/>
        <v>0</v>
      </c>
      <c r="BD48">
        <f t="shared" si="4"/>
        <v>1</v>
      </c>
      <c r="BE48">
        <f t="shared" si="0"/>
        <v>1</v>
      </c>
      <c r="BF48">
        <f t="shared" si="5"/>
        <v>1</v>
      </c>
      <c r="BG48" s="11">
        <f t="shared" si="6"/>
        <v>-6.5053573161396603E-3</v>
      </c>
      <c r="BH48" s="11">
        <f t="shared" si="7"/>
        <v>3.1221491592497799E-3</v>
      </c>
      <c r="BI48" s="11">
        <f t="shared" si="8"/>
        <v>-3.3832081568898804E-3</v>
      </c>
      <c r="BJ48" s="6">
        <f t="shared" si="9"/>
        <v>-3.0637813900630279E-2</v>
      </c>
      <c r="BL48" s="11"/>
      <c r="BN48">
        <f t="shared" si="10"/>
        <v>0</v>
      </c>
      <c r="BO48">
        <f t="shared" si="11"/>
        <v>1</v>
      </c>
      <c r="BP48">
        <f t="shared" si="12"/>
        <v>0</v>
      </c>
      <c r="BQ48">
        <f t="shared" si="1"/>
        <v>1</v>
      </c>
      <c r="BR48">
        <f t="shared" si="13"/>
        <v>0</v>
      </c>
      <c r="BS48" s="11">
        <f t="shared" si="14"/>
        <v>0</v>
      </c>
      <c r="BT48" s="11">
        <f t="shared" si="15"/>
        <v>0</v>
      </c>
      <c r="BU48" s="11">
        <f t="shared" si="16"/>
        <v>0</v>
      </c>
      <c r="BV48" s="6">
        <f t="shared" si="17"/>
        <v>0</v>
      </c>
      <c r="BX48" s="6">
        <f t="shared" si="18"/>
        <v>-3.3832081568898804E-3</v>
      </c>
      <c r="BY48" s="6">
        <f t="shared" si="19"/>
        <v>-3.0637813900630279E-2</v>
      </c>
    </row>
    <row r="49" spans="1:77" x14ac:dyDescent="0.3">
      <c r="A49" s="1">
        <v>46093</v>
      </c>
      <c r="B49" s="15">
        <v>149.43</v>
      </c>
      <c r="C49" s="15">
        <v>165.24</v>
      </c>
      <c r="D49" s="11">
        <v>-2.5046741335373001E-2</v>
      </c>
      <c r="E49" s="11">
        <v>-2.5394965501399198E-2</v>
      </c>
      <c r="F49" s="15">
        <v>0</v>
      </c>
      <c r="G49" s="15">
        <v>0</v>
      </c>
      <c r="H49" s="15">
        <v>0</v>
      </c>
      <c r="I49" s="15">
        <v>0</v>
      </c>
      <c r="J49" s="15">
        <v>0</v>
      </c>
      <c r="K49" s="15">
        <v>0</v>
      </c>
      <c r="L49" s="15">
        <v>149.43</v>
      </c>
      <c r="M49" s="15">
        <v>165.24</v>
      </c>
      <c r="N49" s="16">
        <v>1.10580204778157</v>
      </c>
      <c r="O49" s="16">
        <v>1.0958817339640901</v>
      </c>
      <c r="P49" s="16">
        <v>1.10226667626445</v>
      </c>
      <c r="Q49" s="16">
        <v>1.0988614033544899</v>
      </c>
      <c r="R49" s="15">
        <v>163.757607506254</v>
      </c>
      <c r="S49" s="15">
        <v>164.59501758059599</v>
      </c>
      <c r="T49" s="15">
        <v>164.04707768508001</v>
      </c>
      <c r="U49" s="11">
        <v>-9.01163103888491E-3</v>
      </c>
      <c r="V49" s="11">
        <v>-3.9109446064567004E-3</v>
      </c>
      <c r="W49" s="11">
        <v>-7.2455168425654198E-3</v>
      </c>
      <c r="X49" s="16">
        <v>1.10580204778157</v>
      </c>
      <c r="Y49" s="16">
        <v>1.0957888908294</v>
      </c>
      <c r="Z49" s="16">
        <v>1.10226667626445</v>
      </c>
      <c r="AA49" s="16">
        <v>1.0988614033544899</v>
      </c>
      <c r="AB49" s="15">
        <v>163.74373395663801</v>
      </c>
      <c r="AC49" s="15">
        <v>164.59501758059599</v>
      </c>
      <c r="AD49" s="15">
        <v>164.04707768508001</v>
      </c>
      <c r="AE49" s="11">
        <v>-9.0963546590179193E-3</v>
      </c>
      <c r="AF49" s="11">
        <v>-3.9109446064567004E-3</v>
      </c>
      <c r="AG49" s="11">
        <v>-7.2455168425654198E-3</v>
      </c>
      <c r="AZ49" s="11"/>
      <c r="BB49">
        <f t="shared" si="2"/>
        <v>1</v>
      </c>
      <c r="BC49">
        <f t="shared" si="3"/>
        <v>0</v>
      </c>
      <c r="BD49">
        <f t="shared" si="4"/>
        <v>1</v>
      </c>
      <c r="BE49">
        <f t="shared" si="0"/>
        <v>1</v>
      </c>
      <c r="BF49">
        <f t="shared" si="5"/>
        <v>1</v>
      </c>
      <c r="BG49" s="11">
        <f t="shared" si="6"/>
        <v>-2.5046741335373001E-2</v>
      </c>
      <c r="BH49" s="11">
        <f t="shared" si="7"/>
        <v>2.5394965501399198E-2</v>
      </c>
      <c r="BI49" s="11">
        <f t="shared" si="8"/>
        <v>3.4822416602619741E-4</v>
      </c>
      <c r="BJ49" s="6">
        <f t="shared" si="9"/>
        <v>-3.0289589734604081E-2</v>
      </c>
      <c r="BL49" s="11"/>
      <c r="BN49">
        <f t="shared" si="10"/>
        <v>0</v>
      </c>
      <c r="BO49">
        <f t="shared" si="11"/>
        <v>1</v>
      </c>
      <c r="BP49">
        <f t="shared" si="12"/>
        <v>0</v>
      </c>
      <c r="BQ49">
        <f t="shared" si="1"/>
        <v>1</v>
      </c>
      <c r="BR49">
        <f t="shared" si="13"/>
        <v>0</v>
      </c>
      <c r="BS49" s="11">
        <f t="shared" si="14"/>
        <v>0</v>
      </c>
      <c r="BT49" s="11">
        <f t="shared" si="15"/>
        <v>0</v>
      </c>
      <c r="BU49" s="11">
        <f t="shared" si="16"/>
        <v>0</v>
      </c>
      <c r="BV49" s="6">
        <f t="shared" si="17"/>
        <v>0</v>
      </c>
      <c r="BX49" s="6">
        <f t="shared" si="18"/>
        <v>3.4822416602619741E-4</v>
      </c>
      <c r="BY49" s="6">
        <f t="shared" si="19"/>
        <v>-3.0289589734604081E-2</v>
      </c>
    </row>
    <row r="50" spans="1:77" x14ac:dyDescent="0.3">
      <c r="A50" s="1">
        <v>46094</v>
      </c>
      <c r="B50" s="15">
        <v>148.97999999999999</v>
      </c>
      <c r="C50" s="15">
        <v>164.65</v>
      </c>
      <c r="D50" s="11">
        <v>-3.01598700517161E-3</v>
      </c>
      <c r="E50" s="11">
        <v>-3.57695370619055E-3</v>
      </c>
      <c r="F50" s="15">
        <v>0</v>
      </c>
      <c r="G50" s="15">
        <v>0</v>
      </c>
      <c r="H50" s="15">
        <v>0</v>
      </c>
      <c r="I50" s="15">
        <v>0</v>
      </c>
      <c r="J50" s="15">
        <v>0</v>
      </c>
      <c r="K50" s="15">
        <v>0</v>
      </c>
      <c r="L50" s="15">
        <v>148.97999999999999</v>
      </c>
      <c r="M50" s="15">
        <v>164.65</v>
      </c>
      <c r="N50" s="16">
        <v>1.10518190361122</v>
      </c>
      <c r="O50" s="16">
        <v>1.0958817339640901</v>
      </c>
      <c r="P50" s="16">
        <v>1.1027190035710199</v>
      </c>
      <c r="Q50" s="16">
        <v>1.0997453018085801</v>
      </c>
      <c r="R50" s="15">
        <v>163.26446072597</v>
      </c>
      <c r="S50" s="15">
        <v>164.21568942987801</v>
      </c>
      <c r="T50" s="15">
        <v>163.70837187175201</v>
      </c>
      <c r="U50" s="11">
        <v>-8.4506643378658708E-3</v>
      </c>
      <c r="V50" s="11">
        <v>-2.6412656386522E-3</v>
      </c>
      <c r="W50" s="11">
        <v>-5.73538420286142E-3</v>
      </c>
      <c r="X50" s="16">
        <v>1.10518190361122</v>
      </c>
      <c r="Y50" s="16">
        <v>1.0957888908294</v>
      </c>
      <c r="Z50" s="16">
        <v>1.1027190035710199</v>
      </c>
      <c r="AA50" s="16">
        <v>1.0997453018085801</v>
      </c>
      <c r="AB50" s="15">
        <v>163.25062895576499</v>
      </c>
      <c r="AC50" s="15">
        <v>164.21568942987801</v>
      </c>
      <c r="AD50" s="15">
        <v>163.70837187175201</v>
      </c>
      <c r="AE50" s="11">
        <v>-8.53538795799909E-3</v>
      </c>
      <c r="AF50" s="11">
        <v>-2.6412656386522E-3</v>
      </c>
      <c r="AG50" s="11">
        <v>-5.73538420286142E-3</v>
      </c>
      <c r="AZ50" s="11"/>
      <c r="BB50">
        <f t="shared" si="2"/>
        <v>1</v>
      </c>
      <c r="BC50">
        <f t="shared" si="3"/>
        <v>0</v>
      </c>
      <c r="BD50">
        <f t="shared" si="4"/>
        <v>1</v>
      </c>
      <c r="BE50">
        <f t="shared" si="0"/>
        <v>1</v>
      </c>
      <c r="BF50">
        <f t="shared" si="5"/>
        <v>1</v>
      </c>
      <c r="BG50" s="11">
        <f t="shared" si="6"/>
        <v>-3.01598700517161E-3</v>
      </c>
      <c r="BH50" s="11">
        <f t="shared" si="7"/>
        <v>3.57695370619055E-3</v>
      </c>
      <c r="BI50" s="11">
        <f t="shared" si="8"/>
        <v>5.6096670101893993E-4</v>
      </c>
      <c r="BJ50" s="6">
        <f t="shared" si="9"/>
        <v>-2.9728623033585141E-2</v>
      </c>
      <c r="BL50" s="11"/>
      <c r="BN50">
        <f t="shared" si="10"/>
        <v>0</v>
      </c>
      <c r="BO50">
        <f t="shared" si="11"/>
        <v>1</v>
      </c>
      <c r="BP50">
        <f t="shared" si="12"/>
        <v>0</v>
      </c>
      <c r="BQ50">
        <f t="shared" si="1"/>
        <v>1</v>
      </c>
      <c r="BR50">
        <f t="shared" si="13"/>
        <v>0</v>
      </c>
      <c r="BS50" s="11">
        <f t="shared" si="14"/>
        <v>0</v>
      </c>
      <c r="BT50" s="11">
        <f t="shared" si="15"/>
        <v>0</v>
      </c>
      <c r="BU50" s="11">
        <f t="shared" si="16"/>
        <v>0</v>
      </c>
      <c r="BV50" s="6">
        <f t="shared" si="17"/>
        <v>0</v>
      </c>
      <c r="BX50" s="6">
        <f t="shared" si="18"/>
        <v>5.6096670101893993E-4</v>
      </c>
      <c r="BY50" s="6">
        <f t="shared" si="19"/>
        <v>-2.9728623033585141E-2</v>
      </c>
    </row>
    <row r="51" spans="1:77" x14ac:dyDescent="0.3">
      <c r="A51" s="1">
        <v>46097</v>
      </c>
      <c r="B51" s="15">
        <v>150.46</v>
      </c>
      <c r="C51" s="15">
        <v>166.06</v>
      </c>
      <c r="D51" s="11">
        <v>9.8851993839453207E-3</v>
      </c>
      <c r="E51" s="11">
        <v>8.5271600115112804E-3</v>
      </c>
      <c r="F51" s="15">
        <v>0</v>
      </c>
      <c r="G51" s="15">
        <v>0</v>
      </c>
      <c r="H51" s="15">
        <v>0</v>
      </c>
      <c r="I51" s="15">
        <v>0</v>
      </c>
      <c r="J51" s="15">
        <v>0</v>
      </c>
      <c r="K51" s="15">
        <v>0</v>
      </c>
      <c r="L51" s="15">
        <v>150.46</v>
      </c>
      <c r="M51" s="15">
        <v>166.06</v>
      </c>
      <c r="N51" s="16">
        <v>1.1036820417386599</v>
      </c>
      <c r="O51" s="16">
        <v>1.0958817339640901</v>
      </c>
      <c r="P51" s="16">
        <v>1.1026823694333501</v>
      </c>
      <c r="Q51" s="16">
        <v>1.10034776804468</v>
      </c>
      <c r="R51" s="15">
        <v>164.88636569223701</v>
      </c>
      <c r="S51" s="15">
        <v>165.91510127729501</v>
      </c>
      <c r="T51" s="15">
        <v>165.46767811011901</v>
      </c>
      <c r="U51" s="11">
        <v>-7.0926249654317099E-3</v>
      </c>
      <c r="V51" s="11">
        <v>-8.7294939499012604E-4</v>
      </c>
      <c r="W51" s="11">
        <v>-3.5732915182690602E-3</v>
      </c>
      <c r="X51" s="16">
        <v>1.1036820417386599</v>
      </c>
      <c r="Y51" s="16">
        <v>1.0957888908294</v>
      </c>
      <c r="Z51" s="16">
        <v>1.1026823694333501</v>
      </c>
      <c r="AA51" s="16">
        <v>1.10034776804468</v>
      </c>
      <c r="AB51" s="15">
        <v>164.87239651419301</v>
      </c>
      <c r="AC51" s="15">
        <v>165.91510127729501</v>
      </c>
      <c r="AD51" s="15">
        <v>165.46767811011901</v>
      </c>
      <c r="AE51" s="11">
        <v>-7.1773485855648996E-3</v>
      </c>
      <c r="AF51" s="11">
        <v>-8.7294939499012604E-4</v>
      </c>
      <c r="AG51" s="11">
        <v>-3.5732915182690602E-3</v>
      </c>
      <c r="AZ51" s="11"/>
      <c r="BB51">
        <f t="shared" si="2"/>
        <v>0</v>
      </c>
      <c r="BC51">
        <f t="shared" si="3"/>
        <v>0</v>
      </c>
      <c r="BD51">
        <f t="shared" si="4"/>
        <v>1</v>
      </c>
      <c r="BE51">
        <f t="shared" si="0"/>
        <v>0</v>
      </c>
      <c r="BF51">
        <f t="shared" si="5"/>
        <v>1</v>
      </c>
      <c r="BG51" s="11">
        <f t="shared" si="6"/>
        <v>9.8851993839453207E-3</v>
      </c>
      <c r="BH51" s="11">
        <f t="shared" si="7"/>
        <v>-8.5271600115112804E-3</v>
      </c>
      <c r="BI51" s="11">
        <f t="shared" si="8"/>
        <v>1.3580393724340403E-3</v>
      </c>
      <c r="BJ51" s="6">
        <f t="shared" si="9"/>
        <v>-2.83705836611511E-2</v>
      </c>
      <c r="BL51" s="11"/>
      <c r="BN51">
        <f t="shared" si="10"/>
        <v>0</v>
      </c>
      <c r="BO51">
        <f t="shared" si="11"/>
        <v>1</v>
      </c>
      <c r="BP51">
        <f t="shared" si="12"/>
        <v>0</v>
      </c>
      <c r="BQ51">
        <f t="shared" si="1"/>
        <v>0</v>
      </c>
      <c r="BR51">
        <f t="shared" si="13"/>
        <v>0</v>
      </c>
      <c r="BS51" s="11">
        <f t="shared" si="14"/>
        <v>0</v>
      </c>
      <c r="BT51" s="11">
        <f t="shared" si="15"/>
        <v>0</v>
      </c>
      <c r="BU51" s="11">
        <f t="shared" si="16"/>
        <v>0</v>
      </c>
      <c r="BV51" s="6">
        <f t="shared" si="17"/>
        <v>0</v>
      </c>
      <c r="BX51" s="6">
        <f t="shared" si="18"/>
        <v>1.3580393724340403E-3</v>
      </c>
      <c r="BY51" s="6">
        <f t="shared" si="19"/>
        <v>-2.83705836611511E-2</v>
      </c>
    </row>
    <row r="52" spans="1:77" x14ac:dyDescent="0.3">
      <c r="A52" s="1">
        <v>46098</v>
      </c>
      <c r="B52" s="15">
        <v>150.44</v>
      </c>
      <c r="C52" s="15">
        <v>166.5</v>
      </c>
      <c r="D52" s="11">
        <v>-1.32934529939933E-4</v>
      </c>
      <c r="E52" s="11">
        <v>2.6461405866140199E-3</v>
      </c>
      <c r="F52" s="15">
        <v>0.27510000000000001</v>
      </c>
      <c r="G52" s="15">
        <v>0.27510000000000001</v>
      </c>
      <c r="H52" s="15">
        <v>0</v>
      </c>
      <c r="I52" s="15">
        <v>0</v>
      </c>
      <c r="J52" s="15">
        <v>0.27510000000000001</v>
      </c>
      <c r="K52" s="15">
        <v>0</v>
      </c>
      <c r="L52" s="15">
        <v>150.71510000000001</v>
      </c>
      <c r="M52" s="15">
        <v>166.5</v>
      </c>
      <c r="N52" s="16">
        <v>1.1067535229992</v>
      </c>
      <c r="O52" s="16">
        <v>1.0958817339640901</v>
      </c>
      <c r="P52" s="16">
        <v>1.10319823410298</v>
      </c>
      <c r="Q52" s="16">
        <v>1.1010514805174301</v>
      </c>
      <c r="R52" s="15">
        <v>164.86444805755701</v>
      </c>
      <c r="S52" s="15">
        <v>165.887535657554</v>
      </c>
      <c r="T52" s="15">
        <v>165.536318224642</v>
      </c>
      <c r="U52" s="11">
        <v>-9.8717000819855908E-3</v>
      </c>
      <c r="V52" s="11">
        <v>-3.6852467069346901E-3</v>
      </c>
      <c r="W52" s="11">
        <v>-5.8046932118962597E-3</v>
      </c>
      <c r="X52" s="16">
        <v>1.1047333677912801</v>
      </c>
      <c r="Y52" s="16">
        <v>1.0957888908294</v>
      </c>
      <c r="Z52" s="16">
        <v>1.10299621858219</v>
      </c>
      <c r="AA52" s="16">
        <v>1.1009504727570301</v>
      </c>
      <c r="AB52" s="15">
        <v>165.151932260243</v>
      </c>
      <c r="AC52" s="15">
        <v>166.19088357738499</v>
      </c>
      <c r="AD52" s="15">
        <v>165.83902389563099</v>
      </c>
      <c r="AE52" s="11">
        <v>-8.1294576203941801E-3</v>
      </c>
      <c r="AF52" s="11">
        <v>-1.8582806252099801E-3</v>
      </c>
      <c r="AG52" s="11">
        <v>-3.9777271301715397E-3</v>
      </c>
      <c r="AZ52" s="11"/>
      <c r="BB52">
        <f t="shared" si="2"/>
        <v>0</v>
      </c>
      <c r="BC52">
        <f t="shared" si="3"/>
        <v>0</v>
      </c>
      <c r="BD52">
        <f t="shared" si="4"/>
        <v>0</v>
      </c>
      <c r="BE52">
        <f t="shared" si="0"/>
        <v>1</v>
      </c>
      <c r="BF52">
        <f t="shared" si="5"/>
        <v>0</v>
      </c>
      <c r="BG52" s="11">
        <f t="shared" si="6"/>
        <v>0</v>
      </c>
      <c r="BH52" s="11">
        <f t="shared" si="7"/>
        <v>0</v>
      </c>
      <c r="BI52" s="11">
        <f t="shared" si="8"/>
        <v>0</v>
      </c>
      <c r="BJ52" s="6">
        <f t="shared" si="9"/>
        <v>-2.83705836611511E-2</v>
      </c>
      <c r="BL52" s="11"/>
      <c r="BN52">
        <f t="shared" si="10"/>
        <v>0</v>
      </c>
      <c r="BO52">
        <f t="shared" si="11"/>
        <v>1</v>
      </c>
      <c r="BP52">
        <f t="shared" si="12"/>
        <v>0</v>
      </c>
      <c r="BQ52">
        <f t="shared" si="1"/>
        <v>1</v>
      </c>
      <c r="BR52">
        <f t="shared" si="13"/>
        <v>0</v>
      </c>
      <c r="BS52" s="11">
        <f t="shared" si="14"/>
        <v>0</v>
      </c>
      <c r="BT52" s="11">
        <f t="shared" si="15"/>
        <v>0</v>
      </c>
      <c r="BU52" s="11">
        <f t="shared" si="16"/>
        <v>0</v>
      </c>
      <c r="BV52" s="6">
        <f t="shared" si="17"/>
        <v>0</v>
      </c>
      <c r="BX52" s="6">
        <f t="shared" si="18"/>
        <v>0</v>
      </c>
      <c r="BY52" s="6">
        <f t="shared" si="19"/>
        <v>-2.83705836611511E-2</v>
      </c>
    </row>
    <row r="53" spans="1:77" x14ac:dyDescent="0.3">
      <c r="A53" s="1">
        <v>46099</v>
      </c>
      <c r="B53" s="15">
        <v>148.44</v>
      </c>
      <c r="C53" s="15">
        <v>165.18</v>
      </c>
      <c r="D53" s="11">
        <v>-1.33834974097388E-2</v>
      </c>
      <c r="E53" s="11">
        <v>-7.9595210379274899E-3</v>
      </c>
      <c r="F53" s="15">
        <v>0</v>
      </c>
      <c r="G53" s="15">
        <v>0.27510000000000001</v>
      </c>
      <c r="H53" s="15">
        <v>0</v>
      </c>
      <c r="I53" s="15">
        <v>0</v>
      </c>
      <c r="J53" s="15">
        <v>0.27510000000000001</v>
      </c>
      <c r="K53" s="15">
        <v>0</v>
      </c>
      <c r="L53" s="15">
        <v>148.71510000000001</v>
      </c>
      <c r="M53" s="15">
        <v>165.18</v>
      </c>
      <c r="N53" s="16">
        <v>1.1127728375101</v>
      </c>
      <c r="O53" s="16">
        <v>1.0958817339640901</v>
      </c>
      <c r="P53" s="16">
        <v>1.1043428354156399</v>
      </c>
      <c r="Q53" s="16">
        <v>1.10220805067979</v>
      </c>
      <c r="R53" s="15">
        <v>162.672684589629</v>
      </c>
      <c r="S53" s="15">
        <v>163.758745870247</v>
      </c>
      <c r="T53" s="15">
        <v>163.44008176800699</v>
      </c>
      <c r="U53" s="11">
        <v>-1.52956764537968E-2</v>
      </c>
      <c r="V53" s="11">
        <v>-8.6415053988248003E-3</v>
      </c>
      <c r="W53" s="11">
        <v>-1.05893375795962E-2</v>
      </c>
      <c r="X53" s="16">
        <v>1.11071437937371</v>
      </c>
      <c r="Y53" s="16">
        <v>1.0957888908294</v>
      </c>
      <c r="Z53" s="16">
        <v>1.1039349740812101</v>
      </c>
      <c r="AA53" s="16">
        <v>1.1020041200125701</v>
      </c>
      <c r="AB53" s="15">
        <v>162.96035447858401</v>
      </c>
      <c r="AC53" s="15">
        <v>164.032192946073</v>
      </c>
      <c r="AD53" s="15">
        <v>163.72795965111001</v>
      </c>
      <c r="AE53" s="11">
        <v>-1.3528841217339001E-2</v>
      </c>
      <c r="AF53" s="11">
        <v>-6.9730813707260201E-3</v>
      </c>
      <c r="AG53" s="11">
        <v>-8.8295204767459504E-3</v>
      </c>
      <c r="AZ53" s="11"/>
      <c r="BB53">
        <f t="shared" si="2"/>
        <v>1</v>
      </c>
      <c r="BC53">
        <f t="shared" si="3"/>
        <v>0</v>
      </c>
      <c r="BD53">
        <f t="shared" si="4"/>
        <v>0</v>
      </c>
      <c r="BE53">
        <f t="shared" si="0"/>
        <v>1</v>
      </c>
      <c r="BF53">
        <f t="shared" si="5"/>
        <v>0</v>
      </c>
      <c r="BG53" s="11">
        <f t="shared" si="6"/>
        <v>0</v>
      </c>
      <c r="BH53" s="11">
        <f t="shared" si="7"/>
        <v>0</v>
      </c>
      <c r="BI53" s="11">
        <f t="shared" si="8"/>
        <v>0</v>
      </c>
      <c r="BJ53" s="6">
        <f t="shared" si="9"/>
        <v>-2.83705836611511E-2</v>
      </c>
      <c r="BL53" s="11"/>
      <c r="BN53">
        <f t="shared" si="10"/>
        <v>0</v>
      </c>
      <c r="BO53">
        <f t="shared" si="11"/>
        <v>1</v>
      </c>
      <c r="BP53">
        <f t="shared" si="12"/>
        <v>0</v>
      </c>
      <c r="BQ53">
        <f t="shared" si="1"/>
        <v>1</v>
      </c>
      <c r="BR53">
        <f t="shared" si="13"/>
        <v>0</v>
      </c>
      <c r="BS53" s="11">
        <f t="shared" si="14"/>
        <v>0</v>
      </c>
      <c r="BT53" s="11">
        <f t="shared" si="15"/>
        <v>0</v>
      </c>
      <c r="BU53" s="11">
        <f t="shared" si="16"/>
        <v>0</v>
      </c>
      <c r="BV53" s="6">
        <f t="shared" si="17"/>
        <v>0</v>
      </c>
      <c r="BX53" s="6">
        <f t="shared" si="18"/>
        <v>0</v>
      </c>
      <c r="BY53" s="6">
        <f t="shared" si="19"/>
        <v>-2.83705836611511E-2</v>
      </c>
    </row>
    <row r="54" spans="1:77" x14ac:dyDescent="0.3">
      <c r="A54" s="1">
        <v>46100</v>
      </c>
      <c r="B54" s="15">
        <v>147.76</v>
      </c>
      <c r="C54" s="15">
        <v>164.06</v>
      </c>
      <c r="D54" s="11">
        <v>-4.5915003014124099E-3</v>
      </c>
      <c r="E54" s="11">
        <v>-6.80357380796715E-3</v>
      </c>
      <c r="F54" s="15">
        <v>0</v>
      </c>
      <c r="G54" s="15">
        <v>0.27510000000000001</v>
      </c>
      <c r="H54" s="15">
        <v>0</v>
      </c>
      <c r="I54" s="15">
        <v>0</v>
      </c>
      <c r="J54" s="15">
        <v>0.27510000000000001</v>
      </c>
      <c r="K54" s="15">
        <v>0</v>
      </c>
      <c r="L54" s="15">
        <v>148.0351</v>
      </c>
      <c r="M54" s="15">
        <v>164.06</v>
      </c>
      <c r="N54" s="16">
        <v>1.11031402273957</v>
      </c>
      <c r="O54" s="16">
        <v>1.0958817339640901</v>
      </c>
      <c r="P54" s="16">
        <v>1.1056630854865801</v>
      </c>
      <c r="Q54" s="16">
        <v>1.10299377043874</v>
      </c>
      <c r="R54" s="15">
        <v>161.92748501053299</v>
      </c>
      <c r="S54" s="15">
        <v>163.17769736101499</v>
      </c>
      <c r="T54" s="15">
        <v>162.86226156844501</v>
      </c>
      <c r="U54" s="11">
        <v>-1.3083602947242199E-2</v>
      </c>
      <c r="V54" s="11">
        <v>-5.3924397103054999E-3</v>
      </c>
      <c r="W54" s="11">
        <v>-7.3273920518699296E-3</v>
      </c>
      <c r="X54" s="16">
        <v>1.1082506783863999</v>
      </c>
      <c r="Y54" s="16">
        <v>1.0957888908294</v>
      </c>
      <c r="Z54" s="16">
        <v>1.10504888971683</v>
      </c>
      <c r="AA54" s="16">
        <v>1.10268667255386</v>
      </c>
      <c r="AB54" s="15">
        <v>162.21521803281999</v>
      </c>
      <c r="AC54" s="15">
        <v>163.42112428160999</v>
      </c>
      <c r="AD54" s="15">
        <v>163.13529010647301</v>
      </c>
      <c r="AE54" s="11">
        <v>-1.1308254650582401E-2</v>
      </c>
      <c r="AF54" s="11">
        <v>-3.9017609353668402E-3</v>
      </c>
      <c r="AG54" s="11">
        <v>-5.6523573746937797E-3</v>
      </c>
      <c r="AZ54" s="11"/>
      <c r="BB54">
        <f t="shared" si="2"/>
        <v>1</v>
      </c>
      <c r="BC54">
        <f t="shared" si="3"/>
        <v>0</v>
      </c>
      <c r="BD54">
        <f t="shared" si="4"/>
        <v>1</v>
      </c>
      <c r="BE54">
        <f t="shared" si="0"/>
        <v>1</v>
      </c>
      <c r="BF54">
        <f t="shared" si="5"/>
        <v>1</v>
      </c>
      <c r="BG54" s="11">
        <f t="shared" si="6"/>
        <v>-4.5915003014124099E-3</v>
      </c>
      <c r="BH54" s="11">
        <f t="shared" si="7"/>
        <v>6.80357380796715E-3</v>
      </c>
      <c r="BI54" s="11">
        <f t="shared" si="8"/>
        <v>2.2120735065547402E-3</v>
      </c>
      <c r="BJ54" s="6">
        <f t="shared" si="9"/>
        <v>-2.6158510154596359E-2</v>
      </c>
      <c r="BL54" s="11"/>
      <c r="BN54">
        <f t="shared" si="10"/>
        <v>0</v>
      </c>
      <c r="BO54">
        <f t="shared" si="11"/>
        <v>1</v>
      </c>
      <c r="BP54">
        <f t="shared" si="12"/>
        <v>0</v>
      </c>
      <c r="BQ54">
        <f t="shared" si="1"/>
        <v>1</v>
      </c>
      <c r="BR54">
        <f t="shared" si="13"/>
        <v>0</v>
      </c>
      <c r="BS54" s="11">
        <f t="shared" si="14"/>
        <v>0</v>
      </c>
      <c r="BT54" s="11">
        <f t="shared" si="15"/>
        <v>0</v>
      </c>
      <c r="BU54" s="11">
        <f t="shared" si="16"/>
        <v>0</v>
      </c>
      <c r="BV54" s="6">
        <f t="shared" si="17"/>
        <v>0</v>
      </c>
      <c r="BX54" s="6">
        <f t="shared" si="18"/>
        <v>2.2120735065547402E-3</v>
      </c>
      <c r="BY54" s="6">
        <f t="shared" si="19"/>
        <v>-2.6158510154596359E-2</v>
      </c>
    </row>
    <row r="55" spans="1:77" x14ac:dyDescent="0.3">
      <c r="A55" s="1">
        <v>46101</v>
      </c>
      <c r="B55" s="15">
        <v>146.07</v>
      </c>
      <c r="C55" s="15">
        <v>161.66999999999999</v>
      </c>
      <c r="D55" s="11">
        <v>-1.15033770282652E-2</v>
      </c>
      <c r="E55" s="11">
        <v>-1.46749939610888E-2</v>
      </c>
      <c r="F55" s="15">
        <v>0</v>
      </c>
      <c r="G55" s="15">
        <v>0.27510000000000001</v>
      </c>
      <c r="H55" s="15">
        <v>0</v>
      </c>
      <c r="I55" s="15">
        <v>0</v>
      </c>
      <c r="J55" s="15">
        <v>0.27510000000000001</v>
      </c>
      <c r="K55" s="15">
        <v>0</v>
      </c>
      <c r="L55" s="15">
        <v>146.3451</v>
      </c>
      <c r="M55" s="15">
        <v>161.66999999999999</v>
      </c>
      <c r="N55" s="16">
        <v>1.10679811049496</v>
      </c>
      <c r="O55" s="16">
        <v>1.0958817339640901</v>
      </c>
      <c r="P55" s="16">
        <v>1.1062852577821101</v>
      </c>
      <c r="Q55" s="16">
        <v>1.1036026525554199</v>
      </c>
      <c r="R55" s="15">
        <v>160.075444880134</v>
      </c>
      <c r="S55" s="15">
        <v>161.504206897025</v>
      </c>
      <c r="T55" s="15">
        <v>161.114300047987</v>
      </c>
      <c r="U55" s="11">
        <v>-9.9119860144185092E-3</v>
      </c>
      <c r="V55" s="11">
        <v>-1.02602939208252E-3</v>
      </c>
      <c r="W55" s="11">
        <v>-3.4431693297007899E-3</v>
      </c>
      <c r="X55" s="16">
        <v>1.1047175477689299</v>
      </c>
      <c r="Y55" s="16">
        <v>1.0957888908294</v>
      </c>
      <c r="Z55" s="16">
        <v>1.1054630057397601</v>
      </c>
      <c r="AA55" s="16">
        <v>1.10319152653425</v>
      </c>
      <c r="AB55" s="15">
        <v>160.36333480731901</v>
      </c>
      <c r="AC55" s="15">
        <v>161.71849027049899</v>
      </c>
      <c r="AD55" s="15">
        <v>161.37279136356301</v>
      </c>
      <c r="AE55" s="11">
        <v>-8.1151373001427402E-3</v>
      </c>
      <c r="AF55" s="11">
        <v>2.99888662221398E-4</v>
      </c>
      <c r="AG55" s="11">
        <v>-1.84005790093558E-3</v>
      </c>
      <c r="AZ55" s="11"/>
      <c r="BB55">
        <f t="shared" si="2"/>
        <v>0</v>
      </c>
      <c r="BC55">
        <f t="shared" si="3"/>
        <v>0</v>
      </c>
      <c r="BD55">
        <f t="shared" si="4"/>
        <v>1</v>
      </c>
      <c r="BE55">
        <f t="shared" si="0"/>
        <v>0</v>
      </c>
      <c r="BF55">
        <f t="shared" si="5"/>
        <v>1</v>
      </c>
      <c r="BG55" s="11">
        <f t="shared" si="6"/>
        <v>-1.15033770282652E-2</v>
      </c>
      <c r="BH55" s="11">
        <f t="shared" si="7"/>
        <v>1.46749939610888E-2</v>
      </c>
      <c r="BI55" s="11">
        <f t="shared" si="8"/>
        <v>3.1716169328236E-3</v>
      </c>
      <c r="BJ55" s="6">
        <f t="shared" si="9"/>
        <v>-2.2986893221772761E-2</v>
      </c>
      <c r="BL55" s="11"/>
      <c r="BN55">
        <f t="shared" si="10"/>
        <v>0</v>
      </c>
      <c r="BO55">
        <f t="shared" si="11"/>
        <v>1</v>
      </c>
      <c r="BP55">
        <f t="shared" si="12"/>
        <v>0</v>
      </c>
      <c r="BQ55">
        <f t="shared" si="1"/>
        <v>0</v>
      </c>
      <c r="BR55">
        <f t="shared" si="13"/>
        <v>0</v>
      </c>
      <c r="BS55" s="11">
        <f t="shared" si="14"/>
        <v>0</v>
      </c>
      <c r="BT55" s="11">
        <f t="shared" si="15"/>
        <v>0</v>
      </c>
      <c r="BU55" s="11">
        <f t="shared" si="16"/>
        <v>0</v>
      </c>
      <c r="BV55" s="6">
        <f t="shared" si="17"/>
        <v>0</v>
      </c>
      <c r="BX55" s="6">
        <f t="shared" si="18"/>
        <v>3.1716169328236E-3</v>
      </c>
      <c r="BY55" s="6">
        <f t="shared" si="19"/>
        <v>-2.2986893221772761E-2</v>
      </c>
    </row>
    <row r="56" spans="1:77" x14ac:dyDescent="0.3">
      <c r="A56" s="1">
        <v>46104</v>
      </c>
      <c r="B56" s="15">
        <v>148.21</v>
      </c>
      <c r="C56" s="15">
        <v>163.05000000000001</v>
      </c>
      <c r="D56" s="11">
        <v>1.45442281061045E-2</v>
      </c>
      <c r="E56" s="11">
        <v>8.4996816218132001E-3</v>
      </c>
      <c r="F56" s="15">
        <v>0</v>
      </c>
      <c r="G56" s="15">
        <v>0.27510000000000001</v>
      </c>
      <c r="H56" s="15">
        <v>0.45319999999999999</v>
      </c>
      <c r="I56" s="15">
        <v>0.45319999999999999</v>
      </c>
      <c r="J56" s="15">
        <v>0</v>
      </c>
      <c r="K56" s="15">
        <v>0</v>
      </c>
      <c r="L56" s="15">
        <v>148.21</v>
      </c>
      <c r="M56" s="15">
        <v>163.05000000000001</v>
      </c>
      <c r="N56" s="16">
        <v>1.1001281964779701</v>
      </c>
      <c r="O56" s="16">
        <v>1.0958817339640901</v>
      </c>
      <c r="P56" s="16">
        <v>1.10600709091465</v>
      </c>
      <c r="Q56" s="16">
        <v>1.1034437209682399</v>
      </c>
      <c r="R56" s="15">
        <v>162.420631790817</v>
      </c>
      <c r="S56" s="15">
        <v>163.962538055886</v>
      </c>
      <c r="T56" s="15">
        <v>163.564949135239</v>
      </c>
      <c r="U56" s="11">
        <v>-3.8674395301273598E-3</v>
      </c>
      <c r="V56" s="11">
        <v>5.5810730070716E-3</v>
      </c>
      <c r="W56" s="11">
        <v>3.1532516394675901E-3</v>
      </c>
      <c r="X56" s="16">
        <v>1.1001281964779701</v>
      </c>
      <c r="Y56" s="16">
        <v>1.0957888908294</v>
      </c>
      <c r="Z56" s="16">
        <v>1.10518483887229</v>
      </c>
      <c r="AA56" s="16">
        <v>1.1030325949470601</v>
      </c>
      <c r="AB56" s="15">
        <v>162.406871509826</v>
      </c>
      <c r="AC56" s="15">
        <v>163.84067208069001</v>
      </c>
      <c r="AD56" s="15">
        <v>163.50401614764101</v>
      </c>
      <c r="AE56" s="11">
        <v>-3.9521631502604801E-3</v>
      </c>
      <c r="AF56" s="11">
        <v>4.8375416623943797E-3</v>
      </c>
      <c r="AG56" s="11">
        <v>2.7806513944358198E-3</v>
      </c>
      <c r="AZ56" s="11"/>
      <c r="BB56">
        <f t="shared" si="2"/>
        <v>0</v>
      </c>
      <c r="BC56">
        <f t="shared" si="3"/>
        <v>1</v>
      </c>
      <c r="BD56">
        <f t="shared" si="4"/>
        <v>0</v>
      </c>
      <c r="BE56">
        <f t="shared" si="0"/>
        <v>1</v>
      </c>
      <c r="BF56">
        <f t="shared" si="5"/>
        <v>0</v>
      </c>
      <c r="BG56" s="11">
        <f t="shared" si="6"/>
        <v>0</v>
      </c>
      <c r="BH56" s="11">
        <f t="shared" si="7"/>
        <v>0</v>
      </c>
      <c r="BI56" s="11">
        <f t="shared" si="8"/>
        <v>0</v>
      </c>
      <c r="BJ56" s="6">
        <f t="shared" si="9"/>
        <v>-2.2986893221772761E-2</v>
      </c>
      <c r="BL56" s="11"/>
      <c r="BN56">
        <f t="shared" si="10"/>
        <v>0</v>
      </c>
      <c r="BO56">
        <f t="shared" si="11"/>
        <v>0</v>
      </c>
      <c r="BP56">
        <f t="shared" si="12"/>
        <v>0</v>
      </c>
      <c r="BQ56">
        <f t="shared" si="1"/>
        <v>1</v>
      </c>
      <c r="BR56">
        <f t="shared" si="13"/>
        <v>0</v>
      </c>
      <c r="BS56" s="11">
        <f t="shared" si="14"/>
        <v>0</v>
      </c>
      <c r="BT56" s="11">
        <f t="shared" si="15"/>
        <v>0</v>
      </c>
      <c r="BU56" s="11">
        <f t="shared" si="16"/>
        <v>0</v>
      </c>
      <c r="BV56" s="6">
        <f t="shared" si="17"/>
        <v>0</v>
      </c>
      <c r="BX56" s="6">
        <f t="shared" si="18"/>
        <v>0</v>
      </c>
      <c r="BY56" s="6">
        <f t="shared" si="19"/>
        <v>-2.2986893221772761E-2</v>
      </c>
    </row>
    <row r="57" spans="1:77" x14ac:dyDescent="0.3">
      <c r="A57" s="1">
        <v>46105</v>
      </c>
      <c r="B57" s="15">
        <v>148.93</v>
      </c>
      <c r="C57" s="15">
        <v>164</v>
      </c>
      <c r="D57" s="11">
        <v>4.8462099289527001E-3</v>
      </c>
      <c r="E57" s="11">
        <v>5.80952558887032E-3</v>
      </c>
      <c r="F57" s="15">
        <v>0</v>
      </c>
      <c r="G57" s="15">
        <v>0.27510000000000001</v>
      </c>
      <c r="H57" s="15">
        <v>0</v>
      </c>
      <c r="I57" s="15">
        <v>0.45319999999999999</v>
      </c>
      <c r="J57" s="15">
        <v>0</v>
      </c>
      <c r="K57" s="15">
        <v>0</v>
      </c>
      <c r="L57" s="15">
        <v>148.93</v>
      </c>
      <c r="M57" s="15">
        <v>164</v>
      </c>
      <c r="N57" s="16">
        <v>1.10118847780836</v>
      </c>
      <c r="O57" s="16">
        <v>1.0958817339640901</v>
      </c>
      <c r="P57" s="16">
        <v>1.1058808342991699</v>
      </c>
      <c r="Q57" s="16">
        <v>1.1033279359797401</v>
      </c>
      <c r="R57" s="15">
        <v>163.20966663927101</v>
      </c>
      <c r="S57" s="15">
        <v>164.71763604991801</v>
      </c>
      <c r="T57" s="15">
        <v>164.3358733638</v>
      </c>
      <c r="U57" s="11">
        <v>-4.8307551900449103E-3</v>
      </c>
      <c r="V57" s="11">
        <v>4.3662834684039097E-3</v>
      </c>
      <c r="W57" s="11">
        <v>2.0459140057804098E-3</v>
      </c>
      <c r="X57" s="16">
        <v>1.10118847780836</v>
      </c>
      <c r="Y57" s="16">
        <v>1.0957888908294</v>
      </c>
      <c r="Z57" s="16">
        <v>1.10505858225681</v>
      </c>
      <c r="AA57" s="16">
        <v>1.10291680995857</v>
      </c>
      <c r="AB57" s="15">
        <v>163.19583951122399</v>
      </c>
      <c r="AC57" s="15">
        <v>164.595178053251</v>
      </c>
      <c r="AD57" s="15">
        <v>164.274644365466</v>
      </c>
      <c r="AE57" s="11">
        <v>-4.9154788101781798E-3</v>
      </c>
      <c r="AF57" s="11">
        <v>3.62256505194768E-3</v>
      </c>
      <c r="AG57" s="11">
        <v>1.6732600842606E-3</v>
      </c>
      <c r="AZ57" s="11"/>
      <c r="BB57">
        <f t="shared" si="2"/>
        <v>0</v>
      </c>
      <c r="BC57">
        <f t="shared" si="3"/>
        <v>1</v>
      </c>
      <c r="BD57">
        <f t="shared" si="4"/>
        <v>0</v>
      </c>
      <c r="BE57">
        <f t="shared" si="0"/>
        <v>1</v>
      </c>
      <c r="BF57">
        <f t="shared" si="5"/>
        <v>0</v>
      </c>
      <c r="BG57" s="11">
        <f t="shared" si="6"/>
        <v>0</v>
      </c>
      <c r="BH57" s="11">
        <f t="shared" si="7"/>
        <v>0</v>
      </c>
      <c r="BI57" s="11">
        <f t="shared" si="8"/>
        <v>0</v>
      </c>
      <c r="BJ57" s="6">
        <f t="shared" si="9"/>
        <v>-2.2986893221772761E-2</v>
      </c>
      <c r="BL57" s="11"/>
      <c r="BN57">
        <f t="shared" si="10"/>
        <v>0</v>
      </c>
      <c r="BO57">
        <f t="shared" si="11"/>
        <v>0</v>
      </c>
      <c r="BP57">
        <f t="shared" si="12"/>
        <v>0</v>
      </c>
      <c r="BQ57">
        <f t="shared" si="1"/>
        <v>1</v>
      </c>
      <c r="BR57">
        <f t="shared" si="13"/>
        <v>0</v>
      </c>
      <c r="BS57" s="11">
        <f t="shared" si="14"/>
        <v>0</v>
      </c>
      <c r="BT57" s="11">
        <f t="shared" si="15"/>
        <v>0</v>
      </c>
      <c r="BU57" s="11">
        <f t="shared" si="16"/>
        <v>0</v>
      </c>
      <c r="BV57" s="6">
        <f t="shared" si="17"/>
        <v>0</v>
      </c>
      <c r="BX57" s="6">
        <f t="shared" si="18"/>
        <v>0</v>
      </c>
      <c r="BY57" s="6">
        <f t="shared" si="19"/>
        <v>-2.2986893221772761E-2</v>
      </c>
    </row>
    <row r="58" spans="1:77" x14ac:dyDescent="0.3">
      <c r="A58" s="1">
        <v>46106</v>
      </c>
      <c r="B58" s="15">
        <v>149.97</v>
      </c>
      <c r="C58" s="15">
        <v>165.1</v>
      </c>
      <c r="D58" s="11">
        <v>6.9588771958123997E-3</v>
      </c>
      <c r="E58" s="11">
        <v>6.6849231018837902E-3</v>
      </c>
      <c r="F58" s="15">
        <v>0</v>
      </c>
      <c r="G58" s="15">
        <v>0.27510000000000001</v>
      </c>
      <c r="H58" s="15">
        <v>0</v>
      </c>
      <c r="I58" s="15">
        <v>0.45319999999999999</v>
      </c>
      <c r="J58" s="15">
        <v>0</v>
      </c>
      <c r="K58" s="15">
        <v>0</v>
      </c>
      <c r="L58" s="15">
        <v>149.97</v>
      </c>
      <c r="M58" s="15">
        <v>165.1</v>
      </c>
      <c r="N58" s="16">
        <v>1.10088684403547</v>
      </c>
      <c r="O58" s="16">
        <v>1.0958817339640901</v>
      </c>
      <c r="P58" s="16">
        <v>1.1053508005197099</v>
      </c>
      <c r="Q58" s="16">
        <v>1.10341828181174</v>
      </c>
      <c r="R58" s="15">
        <v>164.34938364259401</v>
      </c>
      <c r="S58" s="15">
        <v>165.84894871984599</v>
      </c>
      <c r="T58" s="15">
        <v>165.466090558882</v>
      </c>
      <c r="U58" s="11">
        <v>-4.5568010961162799E-3</v>
      </c>
      <c r="V58" s="11">
        <v>4.5260757061386303E-3</v>
      </c>
      <c r="W58" s="11">
        <v>2.2149320151479798E-3</v>
      </c>
      <c r="X58" s="16">
        <v>1.10088684403547</v>
      </c>
      <c r="Y58" s="16">
        <v>1.0957888908294</v>
      </c>
      <c r="Z58" s="16">
        <v>1.1045285484773599</v>
      </c>
      <c r="AA58" s="16">
        <v>1.1030071557905601</v>
      </c>
      <c r="AB58" s="15">
        <v>164.335459957686</v>
      </c>
      <c r="AC58" s="15">
        <v>165.725635581055</v>
      </c>
      <c r="AD58" s="15">
        <v>165.40443398948699</v>
      </c>
      <c r="AE58" s="11">
        <v>-4.6415247162494896E-3</v>
      </c>
      <c r="AF58" s="11">
        <v>3.7822723489754498E-3</v>
      </c>
      <c r="AG58" s="11">
        <v>1.8422389794444901E-3</v>
      </c>
      <c r="AZ58" s="11"/>
      <c r="BB58">
        <f t="shared" si="2"/>
        <v>0</v>
      </c>
      <c r="BC58">
        <f t="shared" si="3"/>
        <v>1</v>
      </c>
      <c r="BD58">
        <f t="shared" si="4"/>
        <v>0</v>
      </c>
      <c r="BE58">
        <f t="shared" si="0"/>
        <v>1</v>
      </c>
      <c r="BF58">
        <f t="shared" si="5"/>
        <v>0</v>
      </c>
      <c r="BG58" s="11">
        <f t="shared" si="6"/>
        <v>0</v>
      </c>
      <c r="BH58" s="11">
        <f t="shared" si="7"/>
        <v>0</v>
      </c>
      <c r="BI58" s="11">
        <f t="shared" si="8"/>
        <v>0</v>
      </c>
      <c r="BJ58" s="6">
        <f t="shared" si="9"/>
        <v>-2.2986893221772761E-2</v>
      </c>
      <c r="BL58" s="11"/>
      <c r="BN58">
        <f t="shared" si="10"/>
        <v>0</v>
      </c>
      <c r="BO58">
        <f t="shared" si="11"/>
        <v>0</v>
      </c>
      <c r="BP58">
        <f t="shared" si="12"/>
        <v>0</v>
      </c>
      <c r="BQ58">
        <f t="shared" si="1"/>
        <v>1</v>
      </c>
      <c r="BR58">
        <f t="shared" si="13"/>
        <v>0</v>
      </c>
      <c r="BS58" s="11">
        <f t="shared" si="14"/>
        <v>0</v>
      </c>
      <c r="BT58" s="11">
        <f t="shared" si="15"/>
        <v>0</v>
      </c>
      <c r="BU58" s="11">
        <f t="shared" si="16"/>
        <v>0</v>
      </c>
      <c r="BV58" s="6">
        <f t="shared" si="17"/>
        <v>0</v>
      </c>
      <c r="BX58" s="6">
        <f t="shared" si="18"/>
        <v>0</v>
      </c>
      <c r="BY58" s="6">
        <f t="shared" si="19"/>
        <v>-2.2986893221772761E-2</v>
      </c>
    </row>
    <row r="59" spans="1:77" x14ac:dyDescent="0.3">
      <c r="A59" s="1">
        <v>46107</v>
      </c>
      <c r="B59" s="15">
        <v>147.12</v>
      </c>
      <c r="C59" s="15">
        <v>161.27000000000001</v>
      </c>
      <c r="D59" s="11">
        <v>-1.91866937975229E-2</v>
      </c>
      <c r="E59" s="11">
        <v>-2.3471371933657802E-2</v>
      </c>
      <c r="F59" s="15">
        <v>0</v>
      </c>
      <c r="G59" s="15">
        <v>0.27510000000000001</v>
      </c>
      <c r="H59" s="15">
        <v>0</v>
      </c>
      <c r="I59" s="15">
        <v>0.45319999999999999</v>
      </c>
      <c r="J59" s="15">
        <v>0</v>
      </c>
      <c r="K59" s="15">
        <v>0</v>
      </c>
      <c r="L59" s="15">
        <v>147.12</v>
      </c>
      <c r="M59" s="15">
        <v>161.27000000000001</v>
      </c>
      <c r="N59" s="16">
        <v>1.0961799891245201</v>
      </c>
      <c r="O59" s="16">
        <v>1.0958817339640901</v>
      </c>
      <c r="P59" s="16">
        <v>1.104388594654</v>
      </c>
      <c r="Q59" s="16">
        <v>1.1033276354592301</v>
      </c>
      <c r="R59" s="15">
        <v>161.226120700796</v>
      </c>
      <c r="S59" s="15">
        <v>162.61920977246001</v>
      </c>
      <c r="T59" s="15">
        <v>162.33489762014301</v>
      </c>
      <c r="U59" s="11">
        <v>-2.7212295998148902E-4</v>
      </c>
      <c r="V59" s="11">
        <v>8.33135242519672E-3</v>
      </c>
      <c r="W59" s="11">
        <v>6.5814916393434203E-3</v>
      </c>
      <c r="X59" s="16">
        <v>1.0961799891245201</v>
      </c>
      <c r="Y59" s="16">
        <v>1.0957888908294</v>
      </c>
      <c r="Z59" s="16">
        <v>1.10356634261165</v>
      </c>
      <c r="AA59" s="16">
        <v>1.10291650943805</v>
      </c>
      <c r="AB59" s="15">
        <v>161.212461618822</v>
      </c>
      <c r="AC59" s="15">
        <v>162.498240051989</v>
      </c>
      <c r="AD59" s="15">
        <v>162.27441275990699</v>
      </c>
      <c r="AE59" s="11">
        <v>-3.5684658011459798E-4</v>
      </c>
      <c r="AF59" s="11">
        <v>7.5871922694224804E-3</v>
      </c>
      <c r="AG59" s="11">
        <v>6.2088291247378502E-3</v>
      </c>
      <c r="AZ59" s="11"/>
      <c r="BB59">
        <f t="shared" si="2"/>
        <v>0</v>
      </c>
      <c r="BC59">
        <f t="shared" si="3"/>
        <v>1</v>
      </c>
      <c r="BD59">
        <f t="shared" si="4"/>
        <v>0</v>
      </c>
      <c r="BE59">
        <f t="shared" si="0"/>
        <v>1</v>
      </c>
      <c r="BF59">
        <f t="shared" si="5"/>
        <v>0</v>
      </c>
      <c r="BG59" s="11">
        <f t="shared" si="6"/>
        <v>0</v>
      </c>
      <c r="BH59" s="11">
        <f t="shared" si="7"/>
        <v>0</v>
      </c>
      <c r="BI59" s="11">
        <f t="shared" si="8"/>
        <v>0</v>
      </c>
      <c r="BJ59" s="6">
        <f t="shared" si="9"/>
        <v>-2.2986893221772761E-2</v>
      </c>
      <c r="BL59" s="11"/>
      <c r="BN59">
        <f t="shared" si="10"/>
        <v>1</v>
      </c>
      <c r="BO59">
        <f t="shared" si="11"/>
        <v>0</v>
      </c>
      <c r="BP59">
        <f t="shared" si="12"/>
        <v>0</v>
      </c>
      <c r="BQ59">
        <f t="shared" si="1"/>
        <v>1</v>
      </c>
      <c r="BR59">
        <f t="shared" si="13"/>
        <v>0</v>
      </c>
      <c r="BS59" s="11">
        <f t="shared" si="14"/>
        <v>0</v>
      </c>
      <c r="BT59" s="11">
        <f t="shared" si="15"/>
        <v>0</v>
      </c>
      <c r="BU59" s="11">
        <f t="shared" si="16"/>
        <v>0</v>
      </c>
      <c r="BV59" s="6">
        <f t="shared" si="17"/>
        <v>0</v>
      </c>
      <c r="BX59" s="6">
        <f t="shared" si="18"/>
        <v>0</v>
      </c>
      <c r="BY59" s="6">
        <f t="shared" si="19"/>
        <v>-2.2986893221772761E-2</v>
      </c>
    </row>
    <row r="60" spans="1:77" x14ac:dyDescent="0.3">
      <c r="A60" s="1">
        <v>46108</v>
      </c>
      <c r="B60" s="15">
        <v>144.65</v>
      </c>
      <c r="C60" s="15">
        <v>159.19999999999999</v>
      </c>
      <c r="D60" s="11">
        <v>-1.6931548873921499E-2</v>
      </c>
      <c r="E60" s="11">
        <v>-1.2918705582141801E-2</v>
      </c>
      <c r="F60" s="15">
        <v>0</v>
      </c>
      <c r="G60" s="15">
        <v>0.27510000000000001</v>
      </c>
      <c r="H60" s="15">
        <v>0</v>
      </c>
      <c r="I60" s="15">
        <v>0.45319999999999999</v>
      </c>
      <c r="J60" s="15">
        <v>0</v>
      </c>
      <c r="K60" s="15">
        <v>0</v>
      </c>
      <c r="L60" s="15">
        <v>144.65</v>
      </c>
      <c r="M60" s="15">
        <v>159.19999999999999</v>
      </c>
      <c r="N60" s="16">
        <v>1.10058762530245</v>
      </c>
      <c r="O60" s="16">
        <v>1.0958817339640901</v>
      </c>
      <c r="P60" s="16">
        <v>1.1039291668231299</v>
      </c>
      <c r="Q60" s="16">
        <v>1.10332408519707</v>
      </c>
      <c r="R60" s="15">
        <v>158.51929281790501</v>
      </c>
      <c r="S60" s="15">
        <v>159.749810216702</v>
      </c>
      <c r="T60" s="15">
        <v>159.59634246917699</v>
      </c>
      <c r="U60" s="11">
        <v>-4.2849662517612103E-3</v>
      </c>
      <c r="V60" s="11">
        <v>3.4476318447922401E-3</v>
      </c>
      <c r="W60" s="11">
        <v>2.4864944830414E-3</v>
      </c>
      <c r="X60" s="16">
        <v>1.10058762530245</v>
      </c>
      <c r="Y60" s="16">
        <v>1.0957888908294</v>
      </c>
      <c r="Z60" s="16">
        <v>1.1031069147807799</v>
      </c>
      <c r="AA60" s="16">
        <v>1.1029129591758999</v>
      </c>
      <c r="AB60" s="15">
        <v>158.50586305847401</v>
      </c>
      <c r="AC60" s="15">
        <v>159.630871458776</v>
      </c>
      <c r="AD60" s="15">
        <v>159.53687309021399</v>
      </c>
      <c r="AE60" s="11">
        <v>-4.3696898718943999E-3</v>
      </c>
      <c r="AF60" s="11">
        <v>2.7028230930514598E-3</v>
      </c>
      <c r="AG60" s="11">
        <v>2.1138013458061799E-3</v>
      </c>
      <c r="AZ60" s="11"/>
      <c r="BB60">
        <f t="shared" si="2"/>
        <v>0</v>
      </c>
      <c r="BC60">
        <f t="shared" si="3"/>
        <v>1</v>
      </c>
      <c r="BD60">
        <f t="shared" si="4"/>
        <v>0</v>
      </c>
      <c r="BE60">
        <f t="shared" si="0"/>
        <v>1</v>
      </c>
      <c r="BF60">
        <f t="shared" si="5"/>
        <v>0</v>
      </c>
      <c r="BG60" s="11">
        <f t="shared" si="6"/>
        <v>0</v>
      </c>
      <c r="BH60" s="11">
        <f t="shared" si="7"/>
        <v>0</v>
      </c>
      <c r="BI60" s="11">
        <f t="shared" si="8"/>
        <v>0</v>
      </c>
      <c r="BJ60" s="6">
        <f t="shared" si="9"/>
        <v>-2.2986893221772761E-2</v>
      </c>
      <c r="BL60" s="11"/>
      <c r="BN60">
        <f t="shared" si="10"/>
        <v>0</v>
      </c>
      <c r="BO60">
        <f t="shared" si="11"/>
        <v>0</v>
      </c>
      <c r="BP60">
        <f t="shared" si="12"/>
        <v>1</v>
      </c>
      <c r="BQ60">
        <f t="shared" si="1"/>
        <v>1</v>
      </c>
      <c r="BR60">
        <f t="shared" si="13"/>
        <v>1</v>
      </c>
      <c r="BS60" s="11">
        <f t="shared" si="14"/>
        <v>1.6931548873921499E-2</v>
      </c>
      <c r="BT60" s="11">
        <f t="shared" si="15"/>
        <v>-1.2918705582141801E-2</v>
      </c>
      <c r="BU60" s="11">
        <f t="shared" si="16"/>
        <v>4.0128432917796979E-3</v>
      </c>
      <c r="BV60" s="6">
        <f t="shared" si="17"/>
        <v>4.0128432917796979E-3</v>
      </c>
      <c r="BX60" s="6">
        <f t="shared" si="18"/>
        <v>4.0128432917796979E-3</v>
      </c>
      <c r="BY60" s="6">
        <f t="shared" si="19"/>
        <v>-1.8974049929993062E-2</v>
      </c>
    </row>
    <row r="61" spans="1:77" x14ac:dyDescent="0.3">
      <c r="A61" s="1">
        <v>46111</v>
      </c>
      <c r="B61" s="15">
        <v>143.33000000000001</v>
      </c>
      <c r="C61" s="15">
        <v>156.61000000000001</v>
      </c>
      <c r="D61" s="11">
        <v>-9.1673674870197501E-3</v>
      </c>
      <c r="E61" s="11">
        <v>-1.640263493194E-2</v>
      </c>
      <c r="F61" s="15">
        <v>0</v>
      </c>
      <c r="G61" s="15">
        <v>0.27510000000000001</v>
      </c>
      <c r="H61" s="15">
        <v>0</v>
      </c>
      <c r="I61" s="15">
        <v>0.45319999999999999</v>
      </c>
      <c r="J61" s="15">
        <v>0</v>
      </c>
      <c r="K61" s="15">
        <v>0</v>
      </c>
      <c r="L61" s="15">
        <v>143.33000000000001</v>
      </c>
      <c r="M61" s="15">
        <v>156.61000000000001</v>
      </c>
      <c r="N61" s="16">
        <v>1.0926533175190101</v>
      </c>
      <c r="O61" s="16">
        <v>1.0958817339640901</v>
      </c>
      <c r="P61" s="16">
        <v>1.10282629440116</v>
      </c>
      <c r="Q61" s="16">
        <v>1.1027543319172599</v>
      </c>
      <c r="R61" s="15">
        <v>157.07272892907301</v>
      </c>
      <c r="S61" s="15">
        <v>158.22616748075899</v>
      </c>
      <c r="T61" s="15">
        <v>158.139441131296</v>
      </c>
      <c r="U61" s="11">
        <v>2.9503011931588802E-3</v>
      </c>
      <c r="V61" s="11">
        <v>1.0266810767018899E-2</v>
      </c>
      <c r="W61" s="11">
        <v>9.7185441459060901E-3</v>
      </c>
      <c r="X61" s="16">
        <v>1.0926533175190101</v>
      </c>
      <c r="Y61" s="16">
        <v>1.0957888908294</v>
      </c>
      <c r="Z61" s="16">
        <v>1.10200404235881</v>
      </c>
      <c r="AA61" s="16">
        <v>1.10234320589608</v>
      </c>
      <c r="AB61" s="15">
        <v>157.059421722579</v>
      </c>
      <c r="AC61" s="15">
        <v>158.10831409552901</v>
      </c>
      <c r="AD61" s="15">
        <v>158.08051443868101</v>
      </c>
      <c r="AE61" s="11">
        <v>2.8655775730258601E-3</v>
      </c>
      <c r="AF61" s="11">
        <v>9.5216919289107006E-3</v>
      </c>
      <c r="AG61" s="11">
        <v>9.3458498092002396E-3</v>
      </c>
      <c r="AZ61" s="11"/>
      <c r="BB61">
        <f t="shared" si="2"/>
        <v>0</v>
      </c>
      <c r="BC61">
        <f t="shared" si="3"/>
        <v>1</v>
      </c>
      <c r="BD61">
        <f t="shared" si="4"/>
        <v>0</v>
      </c>
      <c r="BE61">
        <f t="shared" si="0"/>
        <v>1</v>
      </c>
      <c r="BF61">
        <f t="shared" si="5"/>
        <v>0</v>
      </c>
      <c r="BG61" s="11">
        <f t="shared" si="6"/>
        <v>0</v>
      </c>
      <c r="BH61" s="11">
        <f t="shared" si="7"/>
        <v>0</v>
      </c>
      <c r="BI61" s="11">
        <f t="shared" si="8"/>
        <v>0</v>
      </c>
      <c r="BJ61" s="6">
        <f t="shared" si="9"/>
        <v>-2.2986893221772761E-2</v>
      </c>
      <c r="BL61" s="11"/>
      <c r="BN61">
        <f t="shared" si="10"/>
        <v>1</v>
      </c>
      <c r="BO61">
        <f t="shared" si="11"/>
        <v>0</v>
      </c>
      <c r="BP61">
        <f t="shared" si="12"/>
        <v>1</v>
      </c>
      <c r="BQ61">
        <f t="shared" si="1"/>
        <v>1</v>
      </c>
      <c r="BR61">
        <f t="shared" si="13"/>
        <v>1</v>
      </c>
      <c r="BS61" s="11">
        <f t="shared" si="14"/>
        <v>9.1673674870197501E-3</v>
      </c>
      <c r="BT61" s="11">
        <f t="shared" si="15"/>
        <v>-1.640263493194E-2</v>
      </c>
      <c r="BU61" s="11">
        <f t="shared" si="16"/>
        <v>-7.23526744492025E-3</v>
      </c>
      <c r="BV61" s="6">
        <f t="shared" si="17"/>
        <v>-3.2224241531405521E-3</v>
      </c>
      <c r="BX61" s="6">
        <f t="shared" si="18"/>
        <v>-7.23526744492025E-3</v>
      </c>
      <c r="BY61" s="6">
        <f t="shared" si="19"/>
        <v>-2.6209317374913312E-2</v>
      </c>
    </row>
    <row r="62" spans="1:77" x14ac:dyDescent="0.3">
      <c r="A62" s="1">
        <v>46112</v>
      </c>
      <c r="B62" s="15">
        <v>147.54</v>
      </c>
      <c r="C62" s="15">
        <v>161.72999999999999</v>
      </c>
      <c r="D62" s="11">
        <v>2.8949661521031799E-2</v>
      </c>
      <c r="E62" s="11">
        <v>3.2169639653344399E-2</v>
      </c>
      <c r="F62" s="15">
        <v>0</v>
      </c>
      <c r="G62" s="15">
        <v>0.27510000000000001</v>
      </c>
      <c r="H62" s="15">
        <v>0</v>
      </c>
      <c r="I62" s="15">
        <v>0.45319999999999999</v>
      </c>
      <c r="J62" s="15">
        <v>0</v>
      </c>
      <c r="K62" s="15">
        <v>0</v>
      </c>
      <c r="L62" s="15">
        <v>147.54</v>
      </c>
      <c r="M62" s="15">
        <v>161.72999999999999</v>
      </c>
      <c r="N62" s="16">
        <v>1.09617730784871</v>
      </c>
      <c r="O62" s="16">
        <v>1.0958817339640901</v>
      </c>
      <c r="P62" s="16">
        <v>1.10176867288611</v>
      </c>
      <c r="Q62" s="16">
        <v>1.10248345349455</v>
      </c>
      <c r="R62" s="15">
        <v>161.68639102906101</v>
      </c>
      <c r="S62" s="15">
        <v>162.710991475947</v>
      </c>
      <c r="T62" s="15">
        <v>162.70037413107201</v>
      </c>
      <c r="U62" s="11">
        <v>-2.6967693915356801E-4</v>
      </c>
      <c r="V62" s="11">
        <v>6.0472905167270503E-3</v>
      </c>
      <c r="W62" s="11">
        <v>5.98203560555274E-3</v>
      </c>
      <c r="X62" s="16">
        <v>1.09617730784871</v>
      </c>
      <c r="Y62" s="16">
        <v>1.0957888908294</v>
      </c>
      <c r="Z62" s="16">
        <v>1.1011484363645501</v>
      </c>
      <c r="AA62" s="16">
        <v>1.1020723274733699</v>
      </c>
      <c r="AB62" s="15">
        <v>161.672692952971</v>
      </c>
      <c r="AC62" s="15">
        <v>162.58967640961899</v>
      </c>
      <c r="AD62" s="15">
        <v>162.63971659790801</v>
      </c>
      <c r="AE62" s="11">
        <v>-3.5440055928668201E-4</v>
      </c>
      <c r="AF62" s="11">
        <v>5.3014262506552697E-3</v>
      </c>
      <c r="AG62" s="11">
        <v>5.6091486752567503E-3</v>
      </c>
      <c r="AZ62" s="11"/>
      <c r="BB62">
        <f t="shared" si="2"/>
        <v>0</v>
      </c>
      <c r="BC62">
        <f t="shared" si="3"/>
        <v>1</v>
      </c>
      <c r="BD62">
        <f t="shared" si="4"/>
        <v>0</v>
      </c>
      <c r="BE62">
        <f t="shared" si="0"/>
        <v>1</v>
      </c>
      <c r="BF62">
        <f t="shared" si="5"/>
        <v>0</v>
      </c>
      <c r="BG62" s="11">
        <f t="shared" si="6"/>
        <v>0</v>
      </c>
      <c r="BH62" s="11">
        <f t="shared" si="7"/>
        <v>0</v>
      </c>
      <c r="BI62" s="11">
        <f t="shared" si="8"/>
        <v>0</v>
      </c>
      <c r="BJ62" s="6">
        <f t="shared" si="9"/>
        <v>-2.2986893221772761E-2</v>
      </c>
      <c r="BL62" s="11"/>
      <c r="BN62">
        <f t="shared" si="10"/>
        <v>1</v>
      </c>
      <c r="BO62">
        <f t="shared" si="11"/>
        <v>0</v>
      </c>
      <c r="BP62">
        <f t="shared" si="12"/>
        <v>1</v>
      </c>
      <c r="BQ62">
        <f t="shared" si="1"/>
        <v>1</v>
      </c>
      <c r="BR62">
        <f t="shared" si="13"/>
        <v>1</v>
      </c>
      <c r="BS62" s="11">
        <f t="shared" si="14"/>
        <v>-2.8949661521031799E-2</v>
      </c>
      <c r="BT62" s="11">
        <f t="shared" si="15"/>
        <v>3.2169639653344399E-2</v>
      </c>
      <c r="BU62" s="11">
        <f t="shared" si="16"/>
        <v>3.2199781323126002E-3</v>
      </c>
      <c r="BV62" s="6">
        <f t="shared" si="17"/>
        <v>-2.4460208279519086E-6</v>
      </c>
      <c r="BX62" s="6">
        <f t="shared" si="18"/>
        <v>3.2199781323126002E-3</v>
      </c>
      <c r="BY62" s="6">
        <f t="shared" si="19"/>
        <v>-2.2989339242600711E-2</v>
      </c>
    </row>
    <row r="63" spans="1:77" x14ac:dyDescent="0.3">
      <c r="A63" s="1">
        <v>46113</v>
      </c>
      <c r="B63" s="15">
        <v>149.19999999999999</v>
      </c>
      <c r="C63" s="15">
        <v>164.43</v>
      </c>
      <c r="D63" s="11">
        <v>1.11883623135042E-2</v>
      </c>
      <c r="E63" s="11">
        <v>1.65566695944478E-2</v>
      </c>
      <c r="F63" s="15">
        <v>0</v>
      </c>
      <c r="G63" s="15">
        <v>0.27510000000000001</v>
      </c>
      <c r="H63" s="15">
        <v>0</v>
      </c>
      <c r="I63" s="15">
        <v>0.45319999999999999</v>
      </c>
      <c r="J63" s="15">
        <v>0</v>
      </c>
      <c r="K63" s="15">
        <v>0</v>
      </c>
      <c r="L63" s="15">
        <v>149.19999999999999</v>
      </c>
      <c r="M63" s="15">
        <v>164.43</v>
      </c>
      <c r="N63" s="16">
        <v>1.1020777479892701</v>
      </c>
      <c r="O63" s="16">
        <v>1.0958817339640901</v>
      </c>
      <c r="P63" s="16">
        <v>1.10069916393403</v>
      </c>
      <c r="Q63" s="16">
        <v>1.10252099967484</v>
      </c>
      <c r="R63" s="15">
        <v>163.505554707442</v>
      </c>
      <c r="S63" s="15">
        <v>164.38388599460799</v>
      </c>
      <c r="T63" s="15">
        <v>164.49053126138699</v>
      </c>
      <c r="U63" s="11">
        <v>-5.6379842200970703E-3</v>
      </c>
      <c r="V63" s="11">
        <v>-2.8048697246605E-4</v>
      </c>
      <c r="W63" s="11">
        <v>3.6806010155996402E-4</v>
      </c>
      <c r="X63" s="16">
        <v>1.1020777479892701</v>
      </c>
      <c r="Y63" s="16">
        <v>1.0957888908294</v>
      </c>
      <c r="Z63" s="16">
        <v>1.1002847732261101</v>
      </c>
      <c r="AA63" s="16">
        <v>1.1021098736536601</v>
      </c>
      <c r="AB63" s="15">
        <v>163.49170251174701</v>
      </c>
      <c r="AC63" s="15">
        <v>164.29134670559199</v>
      </c>
      <c r="AD63" s="15">
        <v>164.42919125902699</v>
      </c>
      <c r="AE63" s="11">
        <v>-5.7227078402303502E-3</v>
      </c>
      <c r="AF63" s="11">
        <v>-8.4359171693708596E-4</v>
      </c>
      <c r="AG63" s="11">
        <v>-4.9184635467411302E-6</v>
      </c>
      <c r="AZ63" s="11"/>
      <c r="BB63">
        <f t="shared" si="2"/>
        <v>0</v>
      </c>
      <c r="BC63">
        <f t="shared" si="3"/>
        <v>0</v>
      </c>
      <c r="BD63">
        <f t="shared" si="4"/>
        <v>0</v>
      </c>
      <c r="BE63">
        <f t="shared" si="0"/>
        <v>1</v>
      </c>
      <c r="BF63">
        <f t="shared" si="5"/>
        <v>0</v>
      </c>
      <c r="BG63" s="11">
        <f t="shared" si="6"/>
        <v>0</v>
      </c>
      <c r="BH63" s="11">
        <f t="shared" si="7"/>
        <v>0</v>
      </c>
      <c r="BI63" s="11">
        <f t="shared" si="8"/>
        <v>0</v>
      </c>
      <c r="BJ63" s="6">
        <f t="shared" si="9"/>
        <v>-2.2986893221772761E-2</v>
      </c>
      <c r="BL63" s="11"/>
      <c r="BN63">
        <f t="shared" si="10"/>
        <v>0</v>
      </c>
      <c r="BO63">
        <f t="shared" si="11"/>
        <v>1</v>
      </c>
      <c r="BP63">
        <f t="shared" si="12"/>
        <v>1</v>
      </c>
      <c r="BQ63">
        <f t="shared" si="1"/>
        <v>1</v>
      </c>
      <c r="BR63">
        <f t="shared" si="13"/>
        <v>1</v>
      </c>
      <c r="BS63" s="11">
        <f t="shared" si="14"/>
        <v>-1.11883623135042E-2</v>
      </c>
      <c r="BT63" s="11">
        <f t="shared" si="15"/>
        <v>1.65566695944478E-2</v>
      </c>
      <c r="BU63" s="11">
        <f t="shared" si="16"/>
        <v>5.3683072809435992E-3</v>
      </c>
      <c r="BV63" s="6">
        <f t="shared" si="17"/>
        <v>5.3658612601156473E-3</v>
      </c>
      <c r="BX63" s="6">
        <f t="shared" si="18"/>
        <v>5.3683072809435992E-3</v>
      </c>
      <c r="BY63" s="6">
        <f t="shared" si="19"/>
        <v>-1.762103196165711E-2</v>
      </c>
    </row>
    <row r="64" spans="1:77" x14ac:dyDescent="0.3">
      <c r="A64" s="1">
        <v>46114</v>
      </c>
      <c r="B64" s="15">
        <v>148.69</v>
      </c>
      <c r="C64" s="15">
        <v>163.77000000000001</v>
      </c>
      <c r="D64" s="11">
        <v>-3.42408606052851E-3</v>
      </c>
      <c r="E64" s="11">
        <v>-4.0219432643587997E-3</v>
      </c>
      <c r="F64" s="15">
        <v>0</v>
      </c>
      <c r="G64" s="15">
        <v>0.27510000000000001</v>
      </c>
      <c r="H64" s="15">
        <v>0</v>
      </c>
      <c r="I64" s="15">
        <v>0.45319999999999999</v>
      </c>
      <c r="J64" s="15">
        <v>0</v>
      </c>
      <c r="K64" s="15">
        <v>0</v>
      </c>
      <c r="L64" s="15">
        <v>148.69</v>
      </c>
      <c r="M64" s="15">
        <v>163.77000000000001</v>
      </c>
      <c r="N64" s="16">
        <v>1.10141905978882</v>
      </c>
      <c r="O64" s="16">
        <v>1.0958817339640901</v>
      </c>
      <c r="P64" s="16">
        <v>1.0998096676389499</v>
      </c>
      <c r="Q64" s="16">
        <v>1.10273637656277</v>
      </c>
      <c r="R64" s="15">
        <v>162.94665502312</v>
      </c>
      <c r="S64" s="15">
        <v>163.66295868535099</v>
      </c>
      <c r="T64" s="15">
        <v>163.93384744165201</v>
      </c>
      <c r="U64" s="11">
        <v>-5.0401270162669402E-3</v>
      </c>
      <c r="V64" s="11">
        <v>-6.5382128232528095E-4</v>
      </c>
      <c r="W64" s="11">
        <v>9.99972728940119E-4</v>
      </c>
      <c r="X64" s="16">
        <v>1.10141905978882</v>
      </c>
      <c r="Y64" s="16">
        <v>1.0957888908294</v>
      </c>
      <c r="Z64" s="16">
        <v>1.09960161136635</v>
      </c>
      <c r="AA64" s="16">
        <v>1.1023252505415899</v>
      </c>
      <c r="AB64" s="15">
        <v>162.932850177424</v>
      </c>
      <c r="AC64" s="15">
        <v>163.60134293099</v>
      </c>
      <c r="AD64" s="15">
        <v>163.872717113563</v>
      </c>
      <c r="AE64" s="11">
        <v>-5.1248506364000596E-3</v>
      </c>
      <c r="AF64" s="11">
        <v>-1.0303717021809E-3</v>
      </c>
      <c r="AG64" s="11">
        <v>6.2700686792920197E-4</v>
      </c>
      <c r="AZ64" s="11"/>
      <c r="BB64">
        <f t="shared" si="2"/>
        <v>0</v>
      </c>
      <c r="BC64">
        <f t="shared" si="3"/>
        <v>1</v>
      </c>
      <c r="BD64">
        <f t="shared" si="4"/>
        <v>0</v>
      </c>
      <c r="BE64">
        <f t="shared" si="0"/>
        <v>1</v>
      </c>
      <c r="BF64">
        <f t="shared" si="5"/>
        <v>0</v>
      </c>
      <c r="BG64" s="11">
        <f t="shared" si="6"/>
        <v>0</v>
      </c>
      <c r="BH64" s="11">
        <f t="shared" si="7"/>
        <v>0</v>
      </c>
      <c r="BI64" s="11">
        <f t="shared" si="8"/>
        <v>0</v>
      </c>
      <c r="BJ64" s="6">
        <f t="shared" si="9"/>
        <v>-2.2986893221772761E-2</v>
      </c>
      <c r="BL64" s="11"/>
      <c r="BN64">
        <f t="shared" si="10"/>
        <v>0</v>
      </c>
      <c r="BO64">
        <f t="shared" si="11"/>
        <v>0</v>
      </c>
      <c r="BP64">
        <f t="shared" si="12"/>
        <v>0</v>
      </c>
      <c r="BQ64">
        <f t="shared" si="1"/>
        <v>1</v>
      </c>
      <c r="BR64">
        <f t="shared" si="13"/>
        <v>0</v>
      </c>
      <c r="BS64" s="11">
        <f t="shared" si="14"/>
        <v>0</v>
      </c>
      <c r="BT64" s="11">
        <f t="shared" si="15"/>
        <v>0</v>
      </c>
      <c r="BU64" s="11">
        <f t="shared" si="16"/>
        <v>0</v>
      </c>
      <c r="BV64" s="6">
        <f t="shared" si="17"/>
        <v>5.3658612601156473E-3</v>
      </c>
      <c r="BX64" s="6">
        <f t="shared" si="18"/>
        <v>0</v>
      </c>
      <c r="BY64" s="6">
        <f t="shared" si="19"/>
        <v>-1.762103196165711E-2</v>
      </c>
    </row>
    <row r="65" spans="1:77" x14ac:dyDescent="0.3">
      <c r="A65" s="1">
        <v>46118</v>
      </c>
      <c r="B65" s="15">
        <v>149.74</v>
      </c>
      <c r="C65" s="15">
        <v>164.61</v>
      </c>
      <c r="D65" s="11">
        <v>7.0368550934073E-3</v>
      </c>
      <c r="E65" s="11">
        <v>5.1160352772178803E-3</v>
      </c>
      <c r="F65" s="15">
        <v>0</v>
      </c>
      <c r="G65" s="15">
        <v>0.27510000000000001</v>
      </c>
      <c r="H65" s="15">
        <v>0</v>
      </c>
      <c r="I65" s="15">
        <v>0.45319999999999999</v>
      </c>
      <c r="J65" s="15">
        <v>0</v>
      </c>
      <c r="K65" s="15">
        <v>0</v>
      </c>
      <c r="L65" s="15">
        <v>149.74</v>
      </c>
      <c r="M65" s="15">
        <v>164.61</v>
      </c>
      <c r="N65" s="16">
        <v>1.0993054628021901</v>
      </c>
      <c r="O65" s="16">
        <v>1.0958817339640901</v>
      </c>
      <c r="P65" s="16">
        <v>1.09906040286968</v>
      </c>
      <c r="Q65" s="16">
        <v>1.1026728303258899</v>
      </c>
      <c r="R65" s="15">
        <v>164.097330843782</v>
      </c>
      <c r="S65" s="15">
        <v>164.68549963225701</v>
      </c>
      <c r="T65" s="15">
        <v>165.123745026509</v>
      </c>
      <c r="U65" s="11">
        <v>-3.1193072000773301E-3</v>
      </c>
      <c r="V65" s="11">
        <v>4.5855247742468099E-4</v>
      </c>
      <c r="W65" s="11">
        <v>3.1161229323539998E-3</v>
      </c>
      <c r="X65" s="16">
        <v>1.0993054628021901</v>
      </c>
      <c r="Y65" s="16">
        <v>1.0957888908294</v>
      </c>
      <c r="Z65" s="16">
        <v>1.09906040286968</v>
      </c>
      <c r="AA65" s="16">
        <v>1.10226170430472</v>
      </c>
      <c r="AB65" s="15">
        <v>164.083428512795</v>
      </c>
      <c r="AC65" s="15">
        <v>164.65434528599801</v>
      </c>
      <c r="AD65" s="15">
        <v>165.062183016098</v>
      </c>
      <c r="AE65" s="11">
        <v>-3.2040308202105801E-3</v>
      </c>
      <c r="AF65" s="11">
        <v>2.69359782807295E-4</v>
      </c>
      <c r="AG65" s="11">
        <v>2.7432299293779199E-3</v>
      </c>
      <c r="AZ65" s="11"/>
      <c r="BB65">
        <f t="shared" si="2"/>
        <v>0</v>
      </c>
      <c r="BC65">
        <f t="shared" si="3"/>
        <v>1</v>
      </c>
      <c r="BD65">
        <f t="shared" si="4"/>
        <v>0</v>
      </c>
      <c r="BE65">
        <f t="shared" si="0"/>
        <v>1</v>
      </c>
      <c r="BF65">
        <f t="shared" si="5"/>
        <v>0</v>
      </c>
      <c r="BG65" s="11">
        <f t="shared" si="6"/>
        <v>0</v>
      </c>
      <c r="BH65" s="11">
        <f t="shared" si="7"/>
        <v>0</v>
      </c>
      <c r="BI65" s="11">
        <f t="shared" si="8"/>
        <v>0</v>
      </c>
      <c r="BJ65" s="6">
        <f t="shared" si="9"/>
        <v>-2.2986893221772761E-2</v>
      </c>
      <c r="BL65" s="11"/>
      <c r="BN65">
        <f t="shared" si="10"/>
        <v>0</v>
      </c>
      <c r="BO65">
        <f t="shared" si="11"/>
        <v>0</v>
      </c>
      <c r="BP65">
        <f t="shared" si="12"/>
        <v>0</v>
      </c>
      <c r="BQ65">
        <f t="shared" si="1"/>
        <v>1</v>
      </c>
      <c r="BR65">
        <f t="shared" si="13"/>
        <v>0</v>
      </c>
      <c r="BS65" s="11">
        <f t="shared" si="14"/>
        <v>0</v>
      </c>
      <c r="BT65" s="11">
        <f t="shared" si="15"/>
        <v>0</v>
      </c>
      <c r="BU65" s="11">
        <f t="shared" si="16"/>
        <v>0</v>
      </c>
      <c r="BV65" s="6">
        <f t="shared" si="17"/>
        <v>5.3658612601156473E-3</v>
      </c>
      <c r="BX65" s="6">
        <f t="shared" si="18"/>
        <v>0</v>
      </c>
      <c r="BY65" s="6">
        <f t="shared" si="19"/>
        <v>-1.762103196165711E-2</v>
      </c>
    </row>
    <row r="66" spans="1:77" x14ac:dyDescent="0.3">
      <c r="A66" s="1">
        <v>46119</v>
      </c>
      <c r="B66" s="15">
        <v>149.30000000000001</v>
      </c>
      <c r="C66" s="15">
        <v>164.28</v>
      </c>
      <c r="D66" s="11">
        <v>-2.94275225739438E-3</v>
      </c>
      <c r="E66" s="11">
        <v>-2.0067506506359399E-3</v>
      </c>
      <c r="F66" s="15">
        <v>0</v>
      </c>
      <c r="G66" s="15">
        <v>0.27510000000000001</v>
      </c>
      <c r="H66" s="15">
        <v>0</v>
      </c>
      <c r="I66" s="15">
        <v>0.45319999999999999</v>
      </c>
      <c r="J66" s="15">
        <v>0</v>
      </c>
      <c r="K66" s="15">
        <v>0</v>
      </c>
      <c r="L66" s="15">
        <v>149.30000000000001</v>
      </c>
      <c r="M66" s="15">
        <v>164.28</v>
      </c>
      <c r="N66" s="16">
        <v>1.1003348961821799</v>
      </c>
      <c r="O66" s="16">
        <v>1.0958817339640901</v>
      </c>
      <c r="P66" s="16">
        <v>1.0990810728400999</v>
      </c>
      <c r="Q66" s="16">
        <v>1.10254408187737</v>
      </c>
      <c r="R66" s="15">
        <v>163.61514288083799</v>
      </c>
      <c r="S66" s="15">
        <v>164.08971814844301</v>
      </c>
      <c r="T66" s="15">
        <v>164.629053567656</v>
      </c>
      <c r="U66" s="11">
        <v>-4.0553088068357498E-3</v>
      </c>
      <c r="V66" s="11">
        <v>-1.1589489672060799E-3</v>
      </c>
      <c r="W66" s="11">
        <v>2.1224937101008601E-3</v>
      </c>
      <c r="X66" s="16">
        <v>1.1003348961821799</v>
      </c>
      <c r="Y66" s="16">
        <v>1.0957888908294</v>
      </c>
      <c r="Z66" s="16">
        <v>1.0990810728400999</v>
      </c>
      <c r="AA66" s="16">
        <v>1.1021329558562001</v>
      </c>
      <c r="AB66" s="15">
        <v>163.60128140083</v>
      </c>
      <c r="AC66" s="15">
        <v>164.08971814844301</v>
      </c>
      <c r="AD66" s="15">
        <v>164.56767245269401</v>
      </c>
      <c r="AE66" s="11">
        <v>-4.1400324269690401E-3</v>
      </c>
      <c r="AF66" s="11">
        <v>-1.1589489672060799E-3</v>
      </c>
      <c r="AG66" s="11">
        <v>1.7495792135636501E-3</v>
      </c>
      <c r="AZ66" s="11"/>
      <c r="BB66">
        <f t="shared" si="2"/>
        <v>0</v>
      </c>
      <c r="BC66">
        <f t="shared" si="3"/>
        <v>1</v>
      </c>
      <c r="BD66">
        <f t="shared" si="4"/>
        <v>0</v>
      </c>
      <c r="BE66">
        <f t="shared" si="0"/>
        <v>1</v>
      </c>
      <c r="BF66">
        <f t="shared" si="5"/>
        <v>0</v>
      </c>
      <c r="BG66" s="11">
        <f t="shared" si="6"/>
        <v>0</v>
      </c>
      <c r="BH66" s="11">
        <f t="shared" si="7"/>
        <v>0</v>
      </c>
      <c r="BI66" s="11">
        <f t="shared" si="8"/>
        <v>0</v>
      </c>
      <c r="BJ66" s="6">
        <f t="shared" si="9"/>
        <v>-2.2986893221772761E-2</v>
      </c>
      <c r="BL66" s="11"/>
      <c r="BN66">
        <f t="shared" si="10"/>
        <v>0</v>
      </c>
      <c r="BO66">
        <f t="shared" si="11"/>
        <v>0</v>
      </c>
      <c r="BP66">
        <f t="shared" si="12"/>
        <v>0</v>
      </c>
      <c r="BQ66">
        <f t="shared" si="1"/>
        <v>1</v>
      </c>
      <c r="BR66">
        <f t="shared" si="13"/>
        <v>0</v>
      </c>
      <c r="BS66" s="11">
        <f t="shared" si="14"/>
        <v>0</v>
      </c>
      <c r="BT66" s="11">
        <f t="shared" si="15"/>
        <v>0</v>
      </c>
      <c r="BU66" s="11">
        <f t="shared" si="16"/>
        <v>0</v>
      </c>
      <c r="BV66" s="6">
        <f t="shared" si="17"/>
        <v>5.3658612601156473E-3</v>
      </c>
      <c r="BX66" s="6">
        <f t="shared" si="18"/>
        <v>0</v>
      </c>
      <c r="BY66" s="6">
        <f t="shared" si="19"/>
        <v>-1.762103196165711E-2</v>
      </c>
    </row>
    <row r="67" spans="1:77" x14ac:dyDescent="0.3">
      <c r="A67" s="1">
        <v>46120</v>
      </c>
      <c r="B67" s="15">
        <v>154.97</v>
      </c>
      <c r="C67" s="15">
        <v>170.44</v>
      </c>
      <c r="D67" s="11">
        <v>3.7273845254098797E-2</v>
      </c>
      <c r="E67" s="11">
        <v>3.6811039543353401E-2</v>
      </c>
      <c r="F67" s="15">
        <v>0</v>
      </c>
      <c r="G67" s="15">
        <v>0.27510000000000001</v>
      </c>
      <c r="H67" s="15">
        <v>0</v>
      </c>
      <c r="I67" s="15">
        <v>0.45319999999999999</v>
      </c>
      <c r="J67" s="15">
        <v>0</v>
      </c>
      <c r="K67" s="15">
        <v>0</v>
      </c>
      <c r="L67" s="15">
        <v>154.97</v>
      </c>
      <c r="M67" s="15">
        <v>170.44</v>
      </c>
      <c r="N67" s="16">
        <v>1.0998257727302001</v>
      </c>
      <c r="O67" s="16">
        <v>1.0958817339640901</v>
      </c>
      <c r="P67" s="16">
        <v>1.0989448023322801</v>
      </c>
      <c r="Q67" s="16">
        <v>1.10241281831572</v>
      </c>
      <c r="R67" s="15">
        <v>169.828792312415</v>
      </c>
      <c r="S67" s="15">
        <v>170.32459385803</v>
      </c>
      <c r="T67" s="15">
        <v>170.861256368537</v>
      </c>
      <c r="U67" s="11">
        <v>-3.5925030960904502E-3</v>
      </c>
      <c r="V67" s="11">
        <v>-6.7733648660485001E-4</v>
      </c>
      <c r="W67" s="11">
        <v>2.4685322693212999E-3</v>
      </c>
      <c r="X67" s="16">
        <v>1.0998257727302001</v>
      </c>
      <c r="Y67" s="16">
        <v>1.0957888908294</v>
      </c>
      <c r="Z67" s="16">
        <v>1.0989448023322801</v>
      </c>
      <c r="AA67" s="16">
        <v>1.1020016922945499</v>
      </c>
      <c r="AB67" s="15">
        <v>169.81440441183301</v>
      </c>
      <c r="AC67" s="15">
        <v>170.32459385803</v>
      </c>
      <c r="AD67" s="15">
        <v>170.79754416903501</v>
      </c>
      <c r="AE67" s="11">
        <v>-3.6772267162236399E-3</v>
      </c>
      <c r="AF67" s="11">
        <v>-6.7733648660485001E-4</v>
      </c>
      <c r="AG67" s="11">
        <v>2.0955742179563099E-3</v>
      </c>
      <c r="AZ67" s="11"/>
      <c r="BB67">
        <f t="shared" si="2"/>
        <v>0</v>
      </c>
      <c r="BC67">
        <f t="shared" si="3"/>
        <v>1</v>
      </c>
      <c r="BD67">
        <f t="shared" si="4"/>
        <v>0</v>
      </c>
      <c r="BE67">
        <f t="shared" si="0"/>
        <v>1</v>
      </c>
      <c r="BF67">
        <f t="shared" si="5"/>
        <v>0</v>
      </c>
      <c r="BG67" s="11">
        <f t="shared" si="6"/>
        <v>0</v>
      </c>
      <c r="BH67" s="11">
        <f t="shared" si="7"/>
        <v>0</v>
      </c>
      <c r="BI67" s="11">
        <f t="shared" si="8"/>
        <v>0</v>
      </c>
      <c r="BJ67" s="6">
        <f t="shared" si="9"/>
        <v>-2.2986893221772761E-2</v>
      </c>
      <c r="BL67" s="11"/>
      <c r="BN67">
        <f t="shared" si="10"/>
        <v>0</v>
      </c>
      <c r="BO67">
        <f t="shared" si="11"/>
        <v>0</v>
      </c>
      <c r="BP67">
        <f t="shared" si="12"/>
        <v>0</v>
      </c>
      <c r="BQ67">
        <f t="shared" si="1"/>
        <v>1</v>
      </c>
      <c r="BR67">
        <f t="shared" si="13"/>
        <v>0</v>
      </c>
      <c r="BS67" s="11">
        <f t="shared" si="14"/>
        <v>0</v>
      </c>
      <c r="BT67" s="11">
        <f t="shared" si="15"/>
        <v>0</v>
      </c>
      <c r="BU67" s="11">
        <f t="shared" si="16"/>
        <v>0</v>
      </c>
      <c r="BV67" s="6">
        <f t="shared" si="17"/>
        <v>5.3658612601156473E-3</v>
      </c>
      <c r="BX67" s="6">
        <f t="shared" si="18"/>
        <v>0</v>
      </c>
      <c r="BY67" s="6">
        <f t="shared" si="19"/>
        <v>-1.762103196165711E-2</v>
      </c>
    </row>
    <row r="68" spans="1:77" x14ac:dyDescent="0.3">
      <c r="A68" s="1">
        <v>46121</v>
      </c>
      <c r="B68" s="15">
        <v>155.97</v>
      </c>
      <c r="C68" s="15">
        <v>172.19</v>
      </c>
      <c r="D68" s="11">
        <v>6.4321312644904797E-3</v>
      </c>
      <c r="E68" s="11">
        <v>1.02151896663832E-2</v>
      </c>
      <c r="F68" s="15">
        <v>0</v>
      </c>
      <c r="G68" s="15">
        <v>0.27510000000000001</v>
      </c>
      <c r="H68" s="15">
        <v>0</v>
      </c>
      <c r="I68" s="15">
        <v>0.45319999999999999</v>
      </c>
      <c r="J68" s="15">
        <v>0</v>
      </c>
      <c r="K68" s="15">
        <v>0</v>
      </c>
      <c r="L68" s="15">
        <v>155.97</v>
      </c>
      <c r="M68" s="15">
        <v>172.19</v>
      </c>
      <c r="N68" s="16">
        <v>1.1039943578893301</v>
      </c>
      <c r="O68" s="16">
        <v>1.0958817339640901</v>
      </c>
      <c r="P68" s="16">
        <v>1.09925555371767</v>
      </c>
      <c r="Q68" s="16">
        <v>1.10230317711869</v>
      </c>
      <c r="R68" s="15">
        <v>170.92467404637901</v>
      </c>
      <c r="S68" s="15">
        <v>171.40242081976601</v>
      </c>
      <c r="T68" s="15">
        <v>171.94332727270401</v>
      </c>
      <c r="U68" s="11">
        <v>-7.3755614979831904E-3</v>
      </c>
      <c r="V68" s="11">
        <v>-4.5843884315491098E-3</v>
      </c>
      <c r="W68" s="11">
        <v>-1.4335883798127099E-3</v>
      </c>
      <c r="X68" s="16">
        <v>1.1039943578893301</v>
      </c>
      <c r="Y68" s="16">
        <v>1.0957888908294</v>
      </c>
      <c r="Z68" s="16">
        <v>1.09925555371767</v>
      </c>
      <c r="AA68" s="16">
        <v>1.1018920510975101</v>
      </c>
      <c r="AB68" s="15">
        <v>170.910193302663</v>
      </c>
      <c r="AC68" s="15">
        <v>171.40242081976601</v>
      </c>
      <c r="AD68" s="15">
        <v>171.879203947181</v>
      </c>
      <c r="AE68" s="11">
        <v>-7.46028511811642E-3</v>
      </c>
      <c r="AF68" s="11">
        <v>-4.5843884315491098E-3</v>
      </c>
      <c r="AG68" s="11">
        <v>-1.8065908473279999E-3</v>
      </c>
      <c r="AZ68" s="11"/>
      <c r="BB68">
        <f t="shared" si="2"/>
        <v>0</v>
      </c>
      <c r="BC68">
        <f t="shared" si="3"/>
        <v>0</v>
      </c>
      <c r="BD68">
        <f t="shared" si="4"/>
        <v>0</v>
      </c>
      <c r="BE68">
        <f t="shared" si="0"/>
        <v>1</v>
      </c>
      <c r="BF68">
        <f t="shared" si="5"/>
        <v>0</v>
      </c>
      <c r="BG68" s="11">
        <f t="shared" si="6"/>
        <v>0</v>
      </c>
      <c r="BH68" s="11">
        <f t="shared" si="7"/>
        <v>0</v>
      </c>
      <c r="BI68" s="11">
        <f t="shared" si="8"/>
        <v>0</v>
      </c>
      <c r="BJ68" s="6">
        <f t="shared" si="9"/>
        <v>-2.2986893221772761E-2</v>
      </c>
      <c r="BL68" s="11"/>
      <c r="BN68">
        <f t="shared" si="10"/>
        <v>0</v>
      </c>
      <c r="BO68">
        <f t="shared" si="11"/>
        <v>1</v>
      </c>
      <c r="BP68">
        <f t="shared" si="12"/>
        <v>0</v>
      </c>
      <c r="BQ68">
        <f t="shared" si="1"/>
        <v>1</v>
      </c>
      <c r="BR68">
        <f t="shared" si="13"/>
        <v>0</v>
      </c>
      <c r="BS68" s="11">
        <f t="shared" si="14"/>
        <v>0</v>
      </c>
      <c r="BT68" s="11">
        <f t="shared" si="15"/>
        <v>0</v>
      </c>
      <c r="BU68" s="11">
        <f t="shared" si="16"/>
        <v>0</v>
      </c>
      <c r="BV68" s="6">
        <f t="shared" si="17"/>
        <v>5.3658612601156473E-3</v>
      </c>
      <c r="BX68" s="6">
        <f t="shared" si="18"/>
        <v>0</v>
      </c>
      <c r="BY68" s="6">
        <f t="shared" si="19"/>
        <v>-1.762103196165711E-2</v>
      </c>
    </row>
    <row r="69" spans="1:77" x14ac:dyDescent="0.3">
      <c r="A69" s="1">
        <v>46122</v>
      </c>
      <c r="B69" s="15">
        <v>155.15</v>
      </c>
      <c r="C69" s="15">
        <v>171.52</v>
      </c>
      <c r="D69" s="11">
        <v>-5.2712901693448E-3</v>
      </c>
      <c r="E69" s="11">
        <v>-3.8986404156571902E-3</v>
      </c>
      <c r="F69" s="15">
        <v>0</v>
      </c>
      <c r="G69" s="15">
        <v>0.27510000000000001</v>
      </c>
      <c r="H69" s="15">
        <v>0</v>
      </c>
      <c r="I69" s="15">
        <v>0.45319999999999999</v>
      </c>
      <c r="J69" s="15">
        <v>0</v>
      </c>
      <c r="K69" s="15">
        <v>0</v>
      </c>
      <c r="L69" s="15">
        <v>155.15</v>
      </c>
      <c r="M69" s="15">
        <v>171.52</v>
      </c>
      <c r="N69" s="16">
        <v>1.1055107960038599</v>
      </c>
      <c r="O69" s="16">
        <v>1.0958817339640901</v>
      </c>
      <c r="P69" s="16">
        <v>1.1001886344056</v>
      </c>
      <c r="Q69" s="16">
        <v>1.1022886145298001</v>
      </c>
      <c r="R69" s="15">
        <v>170.02605102452799</v>
      </c>
      <c r="S69" s="15">
        <v>170.549499159296</v>
      </c>
      <c r="T69" s="15">
        <v>171.022337929965</v>
      </c>
      <c r="U69" s="11">
        <v>-8.7482112516707698E-3</v>
      </c>
      <c r="V69" s="11">
        <v>-5.6743056430448996E-3</v>
      </c>
      <c r="W69" s="11">
        <v>-2.9056987418985898E-3</v>
      </c>
      <c r="X69" s="16">
        <v>1.1055107960038599</v>
      </c>
      <c r="Y69" s="16">
        <v>1.0957888908294</v>
      </c>
      <c r="Z69" s="16">
        <v>1.1001886344056</v>
      </c>
      <c r="AA69" s="16">
        <v>1.10187748850863</v>
      </c>
      <c r="AB69" s="15">
        <v>170.01164641218199</v>
      </c>
      <c r="AC69" s="15">
        <v>170.549499159296</v>
      </c>
      <c r="AD69" s="15">
        <v>170.958551727779</v>
      </c>
      <c r="AE69" s="11">
        <v>-8.8329348718039092E-3</v>
      </c>
      <c r="AF69" s="11">
        <v>-5.6743056430448996E-3</v>
      </c>
      <c r="AG69" s="11">
        <v>-3.2787383172322901E-3</v>
      </c>
      <c r="AZ69" s="11"/>
      <c r="BB69">
        <f t="shared" si="2"/>
        <v>0</v>
      </c>
      <c r="BC69">
        <f t="shared" si="3"/>
        <v>0</v>
      </c>
      <c r="BD69">
        <f t="shared" si="4"/>
        <v>0</v>
      </c>
      <c r="BE69">
        <f t="shared" si="0"/>
        <v>1</v>
      </c>
      <c r="BF69">
        <f t="shared" si="5"/>
        <v>0</v>
      </c>
      <c r="BG69" s="11">
        <f t="shared" si="6"/>
        <v>0</v>
      </c>
      <c r="BH69" s="11">
        <f t="shared" si="7"/>
        <v>0</v>
      </c>
      <c r="BI69" s="11">
        <f t="shared" si="8"/>
        <v>0</v>
      </c>
      <c r="BJ69" s="6">
        <f t="shared" si="9"/>
        <v>-2.2986893221772761E-2</v>
      </c>
      <c r="BL69" s="11"/>
      <c r="BN69">
        <f t="shared" si="10"/>
        <v>0</v>
      </c>
      <c r="BO69">
        <f t="shared" si="11"/>
        <v>1</v>
      </c>
      <c r="BP69">
        <f t="shared" si="12"/>
        <v>0</v>
      </c>
      <c r="BQ69">
        <f t="shared" si="1"/>
        <v>1</v>
      </c>
      <c r="BR69">
        <f t="shared" si="13"/>
        <v>0</v>
      </c>
      <c r="BS69" s="11">
        <f t="shared" si="14"/>
        <v>0</v>
      </c>
      <c r="BT69" s="11">
        <f t="shared" si="15"/>
        <v>0</v>
      </c>
      <c r="BU69" s="11">
        <f t="shared" si="16"/>
        <v>0</v>
      </c>
      <c r="BV69" s="6">
        <f t="shared" si="17"/>
        <v>5.3658612601156473E-3</v>
      </c>
      <c r="BX69" s="6">
        <f t="shared" si="18"/>
        <v>0</v>
      </c>
      <c r="BY69" s="6">
        <f t="shared" si="19"/>
        <v>-1.762103196165711E-2</v>
      </c>
    </row>
    <row r="70" spans="1:77" x14ac:dyDescent="0.3">
      <c r="A70" s="1">
        <v>46125</v>
      </c>
      <c r="B70" s="15">
        <v>157.13</v>
      </c>
      <c r="C70" s="15">
        <v>172.73</v>
      </c>
      <c r="D70" s="11">
        <v>1.2681097307651001E-2</v>
      </c>
      <c r="E70" s="11">
        <v>7.0298038227558099E-3</v>
      </c>
      <c r="F70" s="15">
        <v>0</v>
      </c>
      <c r="G70" s="15">
        <v>0.27510000000000001</v>
      </c>
      <c r="H70" s="15">
        <v>0</v>
      </c>
      <c r="I70" s="15">
        <v>0.45319999999999999</v>
      </c>
      <c r="J70" s="15">
        <v>0</v>
      </c>
      <c r="K70" s="15">
        <v>0</v>
      </c>
      <c r="L70" s="15">
        <v>157.13</v>
      </c>
      <c r="M70" s="15">
        <v>172.73</v>
      </c>
      <c r="N70" s="16">
        <v>1.09928085025138</v>
      </c>
      <c r="O70" s="16">
        <v>1.0958817339640901</v>
      </c>
      <c r="P70" s="16">
        <v>1.10005795690049</v>
      </c>
      <c r="Q70" s="16">
        <v>1.10199356186181</v>
      </c>
      <c r="R70" s="15">
        <v>172.195896857777</v>
      </c>
      <c r="S70" s="15">
        <v>172.87264012415301</v>
      </c>
      <c r="T70" s="15">
        <v>173.202610001068</v>
      </c>
      <c r="U70" s="11">
        <v>-3.0969177667753501E-3</v>
      </c>
      <c r="V70" s="11">
        <v>8.2545742243828404E-4</v>
      </c>
      <c r="W70" s="11">
        <v>2.73238359983564E-3</v>
      </c>
      <c r="X70" s="16">
        <v>1.09928085025138</v>
      </c>
      <c r="Y70" s="16">
        <v>1.0957888908294</v>
      </c>
      <c r="Z70" s="16">
        <v>1.1000579569005</v>
      </c>
      <c r="AA70" s="16">
        <v>1.1015824358406401</v>
      </c>
      <c r="AB70" s="15">
        <v>172.18130841602499</v>
      </c>
      <c r="AC70" s="15">
        <v>172.87264012415301</v>
      </c>
      <c r="AD70" s="15">
        <v>173.13800976936099</v>
      </c>
      <c r="AE70" s="11">
        <v>-3.1816413869084799E-3</v>
      </c>
      <c r="AF70" s="11">
        <v>8.2545742243828404E-4</v>
      </c>
      <c r="AG70" s="11">
        <v>2.35933909527105E-3</v>
      </c>
      <c r="AZ70" s="11"/>
      <c r="BB70">
        <f t="shared" si="2"/>
        <v>0</v>
      </c>
      <c r="BC70">
        <f t="shared" si="3"/>
        <v>1</v>
      </c>
      <c r="BD70">
        <f t="shared" si="4"/>
        <v>0</v>
      </c>
      <c r="BE70">
        <f t="shared" si="0"/>
        <v>1</v>
      </c>
      <c r="BF70">
        <f t="shared" si="5"/>
        <v>0</v>
      </c>
      <c r="BG70" s="11">
        <f t="shared" si="6"/>
        <v>0</v>
      </c>
      <c r="BH70" s="11">
        <f t="shared" si="7"/>
        <v>0</v>
      </c>
      <c r="BI70" s="11">
        <f t="shared" si="8"/>
        <v>0</v>
      </c>
      <c r="BJ70" s="6">
        <f t="shared" si="9"/>
        <v>-2.2986893221772761E-2</v>
      </c>
      <c r="BL70" s="11"/>
      <c r="BN70">
        <f t="shared" si="10"/>
        <v>0</v>
      </c>
      <c r="BO70">
        <f t="shared" si="11"/>
        <v>0</v>
      </c>
      <c r="BP70">
        <f t="shared" si="12"/>
        <v>0</v>
      </c>
      <c r="BQ70">
        <f t="shared" si="1"/>
        <v>1</v>
      </c>
      <c r="BR70">
        <f t="shared" si="13"/>
        <v>0</v>
      </c>
      <c r="BS70" s="11">
        <f t="shared" si="14"/>
        <v>0</v>
      </c>
      <c r="BT70" s="11">
        <f t="shared" si="15"/>
        <v>0</v>
      </c>
      <c r="BU70" s="11">
        <f t="shared" si="16"/>
        <v>0</v>
      </c>
      <c r="BV70" s="6">
        <f t="shared" si="17"/>
        <v>5.3658612601156473E-3</v>
      </c>
      <c r="BX70" s="6">
        <f t="shared" si="18"/>
        <v>0</v>
      </c>
      <c r="BY70" s="6">
        <f t="shared" si="19"/>
        <v>-1.762103196165711E-2</v>
      </c>
    </row>
    <row r="71" spans="1:77" x14ac:dyDescent="0.3">
      <c r="A71" s="1">
        <v>46126</v>
      </c>
      <c r="B71" s="15">
        <v>157.76</v>
      </c>
      <c r="C71" s="15">
        <v>173.35</v>
      </c>
      <c r="D71" s="11">
        <v>4.0014026522848904E-3</v>
      </c>
      <c r="E71" s="11">
        <v>3.5829904258394799E-3</v>
      </c>
      <c r="F71" s="15">
        <v>0</v>
      </c>
      <c r="G71" s="15">
        <v>0.27510000000000001</v>
      </c>
      <c r="H71" s="15">
        <v>0</v>
      </c>
      <c r="I71" s="15">
        <v>0.45319999999999999</v>
      </c>
      <c r="J71" s="15">
        <v>0</v>
      </c>
      <c r="K71" s="15">
        <v>0</v>
      </c>
      <c r="L71" s="15">
        <v>157.76</v>
      </c>
      <c r="M71" s="15">
        <v>173.35</v>
      </c>
      <c r="N71" s="16">
        <v>1.0988209939147999</v>
      </c>
      <c r="O71" s="16">
        <v>1.0958817339640901</v>
      </c>
      <c r="P71" s="16">
        <v>1.1006747245400701</v>
      </c>
      <c r="Q71" s="16">
        <v>1.1017505094706199</v>
      </c>
      <c r="R71" s="15">
        <v>172.88630235017399</v>
      </c>
      <c r="S71" s="15">
        <v>173.545143280622</v>
      </c>
      <c r="T71" s="15">
        <v>173.85050431932001</v>
      </c>
      <c r="U71" s="11">
        <v>-2.67850554032992E-3</v>
      </c>
      <c r="V71" s="11">
        <v>1.1250852310123599E-3</v>
      </c>
      <c r="W71" s="11">
        <v>2.8830872062923498E-3</v>
      </c>
      <c r="X71" s="16">
        <v>1.0988209939147999</v>
      </c>
      <c r="Y71" s="16">
        <v>1.0957888908294</v>
      </c>
      <c r="Z71" s="16">
        <v>1.1006747245400701</v>
      </c>
      <c r="AA71" s="16">
        <v>1.10133938344944</v>
      </c>
      <c r="AB71" s="15">
        <v>172.87165541724701</v>
      </c>
      <c r="AC71" s="15">
        <v>173.545143280622</v>
      </c>
      <c r="AD71" s="15">
        <v>173.78564507821901</v>
      </c>
      <c r="AE71" s="11">
        <v>-2.76322916046317E-3</v>
      </c>
      <c r="AF71" s="11">
        <v>1.12508523101258E-3</v>
      </c>
      <c r="AG71" s="11">
        <v>2.5099428024919798E-3</v>
      </c>
      <c r="AZ71" s="11"/>
      <c r="BB71">
        <f t="shared" si="2"/>
        <v>0</v>
      </c>
      <c r="BC71">
        <f t="shared" si="3"/>
        <v>1</v>
      </c>
      <c r="BD71">
        <f t="shared" si="4"/>
        <v>0</v>
      </c>
      <c r="BE71">
        <f t="shared" si="0"/>
        <v>1</v>
      </c>
      <c r="BF71">
        <f t="shared" si="5"/>
        <v>0</v>
      </c>
      <c r="BG71" s="11">
        <f t="shared" si="6"/>
        <v>0</v>
      </c>
      <c r="BH71" s="11">
        <f t="shared" si="7"/>
        <v>0</v>
      </c>
      <c r="BI71" s="11">
        <f t="shared" si="8"/>
        <v>0</v>
      </c>
      <c r="BJ71" s="6">
        <f t="shared" si="9"/>
        <v>-2.2986893221772761E-2</v>
      </c>
      <c r="BL71" s="11"/>
      <c r="BN71">
        <f t="shared" si="10"/>
        <v>0</v>
      </c>
      <c r="BO71">
        <f t="shared" si="11"/>
        <v>0</v>
      </c>
      <c r="BP71">
        <f t="shared" si="12"/>
        <v>0</v>
      </c>
      <c r="BQ71">
        <f t="shared" si="1"/>
        <v>1</v>
      </c>
      <c r="BR71">
        <f t="shared" si="13"/>
        <v>0</v>
      </c>
      <c r="BS71" s="11">
        <f t="shared" si="14"/>
        <v>0</v>
      </c>
      <c r="BT71" s="11">
        <f t="shared" si="15"/>
        <v>0</v>
      </c>
      <c r="BU71" s="11">
        <f t="shared" si="16"/>
        <v>0</v>
      </c>
      <c r="BV71" s="6">
        <f t="shared" si="17"/>
        <v>5.3658612601156473E-3</v>
      </c>
      <c r="BX71" s="6">
        <f t="shared" si="18"/>
        <v>0</v>
      </c>
      <c r="BY71" s="6">
        <f t="shared" si="19"/>
        <v>-1.762103196165711E-2</v>
      </c>
    </row>
    <row r="72" spans="1:77" x14ac:dyDescent="0.3">
      <c r="A72" s="1">
        <v>46127</v>
      </c>
      <c r="B72" s="15">
        <v>156.43</v>
      </c>
      <c r="C72" s="15">
        <v>171.18</v>
      </c>
      <c r="D72" s="11">
        <v>-8.4662652806462499E-3</v>
      </c>
      <c r="E72" s="11">
        <v>-1.25970376775686E-2</v>
      </c>
      <c r="F72" s="15">
        <v>0</v>
      </c>
      <c r="G72" s="15">
        <v>0.27510000000000001</v>
      </c>
      <c r="H72" s="15">
        <v>0</v>
      </c>
      <c r="I72" s="15">
        <v>0.45319999999999999</v>
      </c>
      <c r="J72" s="15">
        <v>0</v>
      </c>
      <c r="K72" s="15">
        <v>0</v>
      </c>
      <c r="L72" s="15">
        <v>156.43</v>
      </c>
      <c r="M72" s="15">
        <v>171.18</v>
      </c>
      <c r="N72" s="16">
        <v>1.0942913763344599</v>
      </c>
      <c r="O72" s="16">
        <v>1.0958817339640901</v>
      </c>
      <c r="P72" s="16">
        <v>1.10048613138865</v>
      </c>
      <c r="Q72" s="16">
        <v>1.10112740213738</v>
      </c>
      <c r="R72" s="15">
        <v>171.42877964400199</v>
      </c>
      <c r="S72" s="15">
        <v>172.178547159804</v>
      </c>
      <c r="T72" s="15">
        <v>172.346832196489</v>
      </c>
      <c r="U72" s="11">
        <v>1.4522668565925599E-3</v>
      </c>
      <c r="V72" s="11">
        <v>5.81636882579972E-3</v>
      </c>
      <c r="W72" s="11">
        <v>6.7932782795117001E-3</v>
      </c>
      <c r="X72" s="16">
        <v>1.0942913763344599</v>
      </c>
      <c r="Y72" s="16">
        <v>1.0957888908294</v>
      </c>
      <c r="Z72" s="16">
        <v>1.10048613138865</v>
      </c>
      <c r="AA72" s="16">
        <v>1.1008172838765999</v>
      </c>
      <c r="AB72" s="15">
        <v>171.41425619244399</v>
      </c>
      <c r="AC72" s="15">
        <v>172.178547159804</v>
      </c>
      <c r="AD72" s="15">
        <v>172.28251975299699</v>
      </c>
      <c r="AE72" s="11">
        <v>1.3675432364592701E-3</v>
      </c>
      <c r="AF72" s="11">
        <v>5.81636882579972E-3</v>
      </c>
      <c r="AG72" s="11">
        <v>6.4200515425829E-3</v>
      </c>
      <c r="AZ72" s="11"/>
      <c r="BB72">
        <f t="shared" si="2"/>
        <v>0</v>
      </c>
      <c r="BC72">
        <f t="shared" si="3"/>
        <v>1</v>
      </c>
      <c r="BD72">
        <f t="shared" si="4"/>
        <v>0</v>
      </c>
      <c r="BE72">
        <f t="shared" si="0"/>
        <v>1</v>
      </c>
      <c r="BF72">
        <f t="shared" si="5"/>
        <v>0</v>
      </c>
      <c r="BG72" s="11">
        <f t="shared" si="6"/>
        <v>0</v>
      </c>
      <c r="BH72" s="11">
        <f t="shared" si="7"/>
        <v>0</v>
      </c>
      <c r="BI72" s="11">
        <f t="shared" si="8"/>
        <v>0</v>
      </c>
      <c r="BJ72" s="6">
        <f t="shared" si="9"/>
        <v>-2.2986893221772761E-2</v>
      </c>
      <c r="BL72" s="11"/>
      <c r="BN72">
        <f t="shared" si="10"/>
        <v>1</v>
      </c>
      <c r="BO72">
        <f t="shared" si="11"/>
        <v>0</v>
      </c>
      <c r="BP72">
        <f t="shared" si="12"/>
        <v>0</v>
      </c>
      <c r="BQ72">
        <f t="shared" si="1"/>
        <v>1</v>
      </c>
      <c r="BR72">
        <f t="shared" si="13"/>
        <v>0</v>
      </c>
      <c r="BS72" s="11">
        <f t="shared" si="14"/>
        <v>0</v>
      </c>
      <c r="BT72" s="11">
        <f t="shared" si="15"/>
        <v>0</v>
      </c>
      <c r="BU72" s="11">
        <f t="shared" si="16"/>
        <v>0</v>
      </c>
      <c r="BV72" s="6">
        <f t="shared" si="17"/>
        <v>5.3658612601156473E-3</v>
      </c>
      <c r="BX72" s="6">
        <f t="shared" si="18"/>
        <v>0</v>
      </c>
      <c r="BY72" s="6">
        <f t="shared" si="19"/>
        <v>-1.762103196165711E-2</v>
      </c>
    </row>
    <row r="73" spans="1:77" x14ac:dyDescent="0.3">
      <c r="A73" s="1">
        <v>46128</v>
      </c>
      <c r="B73" s="15">
        <v>156.03</v>
      </c>
      <c r="C73" s="15">
        <v>170.33</v>
      </c>
      <c r="D73" s="11">
        <v>-2.5603291205881298E-3</v>
      </c>
      <c r="E73" s="11">
        <v>-4.9779025809776802E-3</v>
      </c>
      <c r="F73" s="15">
        <v>0</v>
      </c>
      <c r="G73" s="15">
        <v>0.27510000000000001</v>
      </c>
      <c r="H73" s="15">
        <v>0</v>
      </c>
      <c r="I73" s="15">
        <v>0.45319999999999999</v>
      </c>
      <c r="J73" s="15">
        <v>0</v>
      </c>
      <c r="K73" s="15">
        <v>0</v>
      </c>
      <c r="L73" s="15">
        <v>156.03</v>
      </c>
      <c r="M73" s="15">
        <v>170.33</v>
      </c>
      <c r="N73" s="16">
        <v>1.0916490418509199</v>
      </c>
      <c r="O73" s="16">
        <v>1.0958817339640901</v>
      </c>
      <c r="P73" s="16">
        <v>1.0994432607748099</v>
      </c>
      <c r="Q73" s="16">
        <v>1.1000712123544201</v>
      </c>
      <c r="R73" s="15">
        <v>170.990426950417</v>
      </c>
      <c r="S73" s="15">
        <v>171.70885108057101</v>
      </c>
      <c r="T73" s="15">
        <v>171.808908555496</v>
      </c>
      <c r="U73" s="11">
        <v>3.86984031698197E-3</v>
      </c>
      <c r="V73" s="11">
        <v>8.0625843853080002E-3</v>
      </c>
      <c r="W73" s="11">
        <v>8.6451305561970095E-3</v>
      </c>
      <c r="X73" s="16">
        <v>1.0916490418509199</v>
      </c>
      <c r="Y73" s="16">
        <v>1.0957888908294</v>
      </c>
      <c r="Z73" s="16">
        <v>1.0994432607748099</v>
      </c>
      <c r="AA73" s="16">
        <v>1.0998640170004601</v>
      </c>
      <c r="AB73" s="15">
        <v>170.975940636112</v>
      </c>
      <c r="AC73" s="15">
        <v>171.70885108057101</v>
      </c>
      <c r="AD73" s="15">
        <v>171.76052080326599</v>
      </c>
      <c r="AE73" s="11">
        <v>3.7851166968489299E-3</v>
      </c>
      <c r="AF73" s="11">
        <v>8.0625843853077798E-3</v>
      </c>
      <c r="AG73" s="11">
        <v>8.36345385032943E-3</v>
      </c>
      <c r="AZ73" s="11"/>
      <c r="BB73">
        <f t="shared" si="2"/>
        <v>0</v>
      </c>
      <c r="BC73">
        <f t="shared" si="3"/>
        <v>1</v>
      </c>
      <c r="BD73">
        <f t="shared" si="4"/>
        <v>0</v>
      </c>
      <c r="BE73">
        <f t="shared" si="0"/>
        <v>1</v>
      </c>
      <c r="BF73">
        <f t="shared" si="5"/>
        <v>0</v>
      </c>
      <c r="BG73" s="11">
        <f t="shared" si="6"/>
        <v>0</v>
      </c>
      <c r="BH73" s="11">
        <f t="shared" si="7"/>
        <v>0</v>
      </c>
      <c r="BI73" s="11">
        <f t="shared" si="8"/>
        <v>0</v>
      </c>
      <c r="BJ73" s="6">
        <f t="shared" si="9"/>
        <v>-2.2986893221772761E-2</v>
      </c>
      <c r="BL73" s="11"/>
      <c r="BN73">
        <f t="shared" si="10"/>
        <v>1</v>
      </c>
      <c r="BO73">
        <f t="shared" si="11"/>
        <v>0</v>
      </c>
      <c r="BP73">
        <f t="shared" si="12"/>
        <v>1</v>
      </c>
      <c r="BQ73">
        <f t="shared" si="1"/>
        <v>1</v>
      </c>
      <c r="BR73">
        <f t="shared" si="13"/>
        <v>1</v>
      </c>
      <c r="BS73" s="11">
        <f t="shared" si="14"/>
        <v>2.5603291205881298E-3</v>
      </c>
      <c r="BT73" s="11">
        <f t="shared" si="15"/>
        <v>-4.9779025809776802E-3</v>
      </c>
      <c r="BU73" s="11">
        <f t="shared" si="16"/>
        <v>-2.4175734603895504E-3</v>
      </c>
      <c r="BV73" s="6">
        <f t="shared" si="17"/>
        <v>2.9482877997260969E-3</v>
      </c>
      <c r="BX73" s="6">
        <f t="shared" si="18"/>
        <v>-2.4175734603895504E-3</v>
      </c>
      <c r="BY73" s="6">
        <f t="shared" si="19"/>
        <v>-2.0038605422046663E-2</v>
      </c>
    </row>
    <row r="74" spans="1:77" x14ac:dyDescent="0.3">
      <c r="A74" s="1">
        <v>46129</v>
      </c>
      <c r="B74" s="15">
        <v>158.82</v>
      </c>
      <c r="C74" s="15">
        <v>173.51</v>
      </c>
      <c r="D74" s="11">
        <v>1.7723189013973999E-2</v>
      </c>
      <c r="E74" s="11">
        <v>1.84975027410943E-2</v>
      </c>
      <c r="F74" s="15">
        <v>0</v>
      </c>
      <c r="G74" s="15">
        <v>0.27510000000000001</v>
      </c>
      <c r="H74" s="15">
        <v>0</v>
      </c>
      <c r="I74" s="15">
        <v>0.45319999999999999</v>
      </c>
      <c r="J74" s="15">
        <v>0</v>
      </c>
      <c r="K74" s="15">
        <v>0</v>
      </c>
      <c r="L74" s="15">
        <v>158.82</v>
      </c>
      <c r="M74" s="15">
        <v>173.51</v>
      </c>
      <c r="N74" s="16">
        <v>1.0924946480292099</v>
      </c>
      <c r="O74" s="16">
        <v>1.0958817339640901</v>
      </c>
      <c r="P74" s="16">
        <v>1.09855081959885</v>
      </c>
      <c r="Q74" s="16">
        <v>1.0991802436189</v>
      </c>
      <c r="R74" s="15">
        <v>174.04793698817599</v>
      </c>
      <c r="S74" s="15">
        <v>174.613578676256</v>
      </c>
      <c r="T74" s="15">
        <v>174.71330994613001</v>
      </c>
      <c r="U74" s="11">
        <v>3.0955265898617601E-3</v>
      </c>
      <c r="V74" s="11">
        <v>6.34017596417765E-3</v>
      </c>
      <c r="W74" s="11">
        <v>6.91116706638708E-3</v>
      </c>
      <c r="X74" s="16">
        <v>1.0924946480292099</v>
      </c>
      <c r="Y74" s="16">
        <v>1.0957888908294</v>
      </c>
      <c r="Z74" s="16">
        <v>1.09855081959885</v>
      </c>
      <c r="AA74" s="16">
        <v>1.0990762154825999</v>
      </c>
      <c r="AB74" s="15">
        <v>174.033191641526</v>
      </c>
      <c r="AC74" s="15">
        <v>174.613578676256</v>
      </c>
      <c r="AD74" s="15">
        <v>174.680403180014</v>
      </c>
      <c r="AE74" s="11">
        <v>3.01080296972872E-3</v>
      </c>
      <c r="AF74" s="11">
        <v>6.34017596417765E-3</v>
      </c>
      <c r="AG74" s="11">
        <v>6.72280210744836E-3</v>
      </c>
      <c r="AZ74" s="11"/>
      <c r="BB74">
        <f t="shared" si="2"/>
        <v>0</v>
      </c>
      <c r="BC74">
        <f t="shared" si="3"/>
        <v>1</v>
      </c>
      <c r="BD74">
        <f t="shared" si="4"/>
        <v>0</v>
      </c>
      <c r="BE74">
        <f t="shared" si="0"/>
        <v>1</v>
      </c>
      <c r="BF74">
        <f t="shared" si="5"/>
        <v>0</v>
      </c>
      <c r="BG74" s="11">
        <f t="shared" si="6"/>
        <v>0</v>
      </c>
      <c r="BH74" s="11">
        <f t="shared" si="7"/>
        <v>0</v>
      </c>
      <c r="BI74" s="11">
        <f t="shared" si="8"/>
        <v>0</v>
      </c>
      <c r="BJ74" s="6">
        <f t="shared" si="9"/>
        <v>-2.2986893221772761E-2</v>
      </c>
      <c r="BL74" s="11"/>
      <c r="BN74">
        <f t="shared" si="10"/>
        <v>1</v>
      </c>
      <c r="BO74">
        <f t="shared" si="11"/>
        <v>0</v>
      </c>
      <c r="BP74">
        <f t="shared" si="12"/>
        <v>1</v>
      </c>
      <c r="BQ74">
        <f t="shared" si="1"/>
        <v>1</v>
      </c>
      <c r="BR74">
        <f t="shared" si="13"/>
        <v>1</v>
      </c>
      <c r="BS74" s="11">
        <f t="shared" si="14"/>
        <v>-1.7723189013973999E-2</v>
      </c>
      <c r="BT74" s="11">
        <f t="shared" si="15"/>
        <v>1.84975027410943E-2</v>
      </c>
      <c r="BU74" s="11">
        <f t="shared" si="16"/>
        <v>7.7431372712030017E-4</v>
      </c>
      <c r="BV74" s="6">
        <f t="shared" si="17"/>
        <v>3.7226015268463971E-3</v>
      </c>
      <c r="BX74" s="6">
        <f t="shared" si="18"/>
        <v>7.7431372712030017E-4</v>
      </c>
      <c r="BY74" s="6">
        <f t="shared" si="19"/>
        <v>-1.9264291694926362E-2</v>
      </c>
    </row>
    <row r="75" spans="1:77" x14ac:dyDescent="0.3">
      <c r="A75" s="1">
        <v>46132</v>
      </c>
      <c r="B75" s="15">
        <v>159.03</v>
      </c>
      <c r="C75" s="15">
        <v>173.9</v>
      </c>
      <c r="D75" s="11">
        <v>1.32137820075957E-3</v>
      </c>
      <c r="E75" s="11">
        <v>2.2451867466570701E-3</v>
      </c>
      <c r="F75" s="15">
        <v>0</v>
      </c>
      <c r="G75" s="15">
        <v>0.27510000000000001</v>
      </c>
      <c r="H75" s="15">
        <v>0</v>
      </c>
      <c r="I75" s="15">
        <v>0.45319999999999999</v>
      </c>
      <c r="J75" s="15">
        <v>0</v>
      </c>
      <c r="K75" s="15">
        <v>0</v>
      </c>
      <c r="L75" s="15">
        <v>159.03</v>
      </c>
      <c r="M75" s="15">
        <v>173.9</v>
      </c>
      <c r="N75" s="16">
        <v>1.0935043702445999</v>
      </c>
      <c r="O75" s="16">
        <v>1.0958817339640901</v>
      </c>
      <c r="P75" s="16">
        <v>1.09797071034309</v>
      </c>
      <c r="Q75" s="16">
        <v>1.09851555660639</v>
      </c>
      <c r="R75" s="15">
        <v>174.27807215230899</v>
      </c>
      <c r="S75" s="15">
        <v>174.702536840806</v>
      </c>
      <c r="T75" s="15">
        <v>174.80263414271499</v>
      </c>
      <c r="U75" s="11">
        <v>2.1717180439643699E-3</v>
      </c>
      <c r="V75" s="11">
        <v>4.6043168008821599E-3</v>
      </c>
      <c r="W75" s="11">
        <v>5.1771112139875602E-3</v>
      </c>
      <c r="X75" s="16">
        <v>1.0935043702445999</v>
      </c>
      <c r="Y75" s="16">
        <v>1.0957888908294</v>
      </c>
      <c r="Z75" s="16">
        <v>1.09797071034309</v>
      </c>
      <c r="AA75" s="16">
        <v>1.09851555660639</v>
      </c>
      <c r="AB75" s="15">
        <v>174.26330730860099</v>
      </c>
      <c r="AC75" s="15">
        <v>174.702536840806</v>
      </c>
      <c r="AD75" s="15">
        <v>174.78609054819799</v>
      </c>
      <c r="AE75" s="11">
        <v>2.0869944238311299E-3</v>
      </c>
      <c r="AF75" s="11">
        <v>4.6043168008821599E-3</v>
      </c>
      <c r="AG75" s="11">
        <v>5.08246517216762E-3</v>
      </c>
      <c r="AZ75" s="11"/>
      <c r="BB75">
        <f t="shared" si="2"/>
        <v>0</v>
      </c>
      <c r="BC75">
        <f t="shared" si="3"/>
        <v>1</v>
      </c>
      <c r="BD75">
        <f t="shared" si="4"/>
        <v>0</v>
      </c>
      <c r="BE75">
        <f t="shared" si="0"/>
        <v>1</v>
      </c>
      <c r="BF75">
        <f t="shared" si="5"/>
        <v>0</v>
      </c>
      <c r="BG75" s="11">
        <f t="shared" si="6"/>
        <v>0</v>
      </c>
      <c r="BH75" s="11">
        <f t="shared" si="7"/>
        <v>0</v>
      </c>
      <c r="BI75" s="11">
        <f t="shared" si="8"/>
        <v>0</v>
      </c>
      <c r="BJ75" s="6">
        <f t="shared" si="9"/>
        <v>-2.2986893221772761E-2</v>
      </c>
      <c r="BL75" s="11"/>
      <c r="BN75">
        <f t="shared" si="10"/>
        <v>1</v>
      </c>
      <c r="BO75">
        <f t="shared" si="11"/>
        <v>0</v>
      </c>
      <c r="BP75">
        <f t="shared" si="12"/>
        <v>1</v>
      </c>
      <c r="BQ75">
        <f t="shared" si="1"/>
        <v>1</v>
      </c>
      <c r="BR75">
        <f t="shared" si="13"/>
        <v>1</v>
      </c>
      <c r="BS75" s="11">
        <f t="shared" si="14"/>
        <v>-1.32137820075957E-3</v>
      </c>
      <c r="BT75" s="11">
        <f t="shared" si="15"/>
        <v>2.2451867466570701E-3</v>
      </c>
      <c r="BU75" s="11">
        <f t="shared" si="16"/>
        <v>9.2380854589750008E-4</v>
      </c>
      <c r="BV75" s="6">
        <f t="shared" si="17"/>
        <v>4.646410072743897E-3</v>
      </c>
      <c r="BX75" s="6">
        <f t="shared" si="18"/>
        <v>9.2380854589750008E-4</v>
      </c>
      <c r="BY75" s="6">
        <f t="shared" si="19"/>
        <v>-1.8340483149028863E-2</v>
      </c>
    </row>
    <row r="76" spans="1:77" x14ac:dyDescent="0.3">
      <c r="A76" s="1">
        <v>46133</v>
      </c>
      <c r="B76" s="15">
        <v>156.79</v>
      </c>
      <c r="C76" s="15">
        <v>171.44</v>
      </c>
      <c r="D76" s="11">
        <v>-1.4185533295465401E-2</v>
      </c>
      <c r="E76" s="11">
        <v>-1.42470701949157E-2</v>
      </c>
      <c r="F76" s="15">
        <v>0</v>
      </c>
      <c r="G76" s="15">
        <v>0.27510000000000001</v>
      </c>
      <c r="H76" s="15">
        <v>0</v>
      </c>
      <c r="I76" s="15">
        <v>0.45319999999999999</v>
      </c>
      <c r="J76" s="15">
        <v>0</v>
      </c>
      <c r="K76" s="15">
        <v>0</v>
      </c>
      <c r="L76" s="15">
        <v>156.79</v>
      </c>
      <c r="M76" s="15">
        <v>171.44</v>
      </c>
      <c r="N76" s="16">
        <v>1.09343708144652</v>
      </c>
      <c r="O76" s="16">
        <v>1.0958817339640901</v>
      </c>
      <c r="P76" s="16">
        <v>1.09728092886953</v>
      </c>
      <c r="Q76" s="16">
        <v>1.0981810008548101</v>
      </c>
      <c r="R76" s="15">
        <v>171.82329706822901</v>
      </c>
      <c r="S76" s="15">
        <v>172.150827674694</v>
      </c>
      <c r="T76" s="15">
        <v>172.23625412031501</v>
      </c>
      <c r="U76" s="11">
        <v>2.23325494341458E-3</v>
      </c>
      <c r="V76" s="11">
        <v>4.1376464769221199E-3</v>
      </c>
      <c r="W76" s="11">
        <v>4.6337536301183403E-3</v>
      </c>
      <c r="X76" s="16">
        <v>1.09343708144652</v>
      </c>
      <c r="Y76" s="16">
        <v>1.0957888908294</v>
      </c>
      <c r="Z76" s="16">
        <v>1.09728092886953</v>
      </c>
      <c r="AA76" s="16">
        <v>1.0981810008548101</v>
      </c>
      <c r="AB76" s="15">
        <v>171.808740193143</v>
      </c>
      <c r="AC76" s="15">
        <v>172.150827674694</v>
      </c>
      <c r="AD76" s="15">
        <v>172.23625412031501</v>
      </c>
      <c r="AE76" s="11">
        <v>2.14853132328154E-3</v>
      </c>
      <c r="AF76" s="11">
        <v>4.1376464769221199E-3</v>
      </c>
      <c r="AG76" s="11">
        <v>4.6337536301183403E-3</v>
      </c>
      <c r="AZ76" s="11"/>
      <c r="BB76">
        <f t="shared" si="2"/>
        <v>0</v>
      </c>
      <c r="BC76">
        <f t="shared" si="3"/>
        <v>1</v>
      </c>
      <c r="BD76">
        <f t="shared" si="4"/>
        <v>0</v>
      </c>
      <c r="BE76">
        <f t="shared" si="0"/>
        <v>1</v>
      </c>
      <c r="BF76">
        <f t="shared" si="5"/>
        <v>0</v>
      </c>
      <c r="BG76" s="11">
        <f t="shared" si="6"/>
        <v>0</v>
      </c>
      <c r="BH76" s="11">
        <f t="shared" si="7"/>
        <v>0</v>
      </c>
      <c r="BI76" s="11">
        <f t="shared" si="8"/>
        <v>0</v>
      </c>
      <c r="BJ76" s="6">
        <f t="shared" si="9"/>
        <v>-2.2986893221772761E-2</v>
      </c>
      <c r="BL76" s="11"/>
      <c r="BN76">
        <f t="shared" si="10"/>
        <v>0</v>
      </c>
      <c r="BO76">
        <f t="shared" si="11"/>
        <v>0</v>
      </c>
      <c r="BP76">
        <f t="shared" si="12"/>
        <v>1</v>
      </c>
      <c r="BQ76">
        <f t="shared" si="1"/>
        <v>1</v>
      </c>
      <c r="BR76">
        <f t="shared" si="13"/>
        <v>1</v>
      </c>
      <c r="BS76" s="11">
        <f t="shared" si="14"/>
        <v>1.4185533295465401E-2</v>
      </c>
      <c r="BT76" s="11">
        <f t="shared" si="15"/>
        <v>-1.42470701949157E-2</v>
      </c>
      <c r="BU76" s="11">
        <f t="shared" si="16"/>
        <v>-6.1536899450299887E-5</v>
      </c>
      <c r="BV76" s="6">
        <f t="shared" si="17"/>
        <v>4.5848731732935971E-3</v>
      </c>
      <c r="BX76" s="6">
        <f t="shared" si="18"/>
        <v>-6.1536899450299887E-5</v>
      </c>
      <c r="BY76" s="6">
        <f t="shared" si="19"/>
        <v>-1.8402020048479163E-2</v>
      </c>
    </row>
    <row r="77" spans="1:77" x14ac:dyDescent="0.3">
      <c r="A77" s="1">
        <v>46134</v>
      </c>
      <c r="B77" s="15">
        <v>156.57</v>
      </c>
      <c r="C77" s="15">
        <v>171.04</v>
      </c>
      <c r="D77" s="11">
        <v>-1.4041360489274899E-3</v>
      </c>
      <c r="E77" s="11">
        <v>-2.3359038885864799E-3</v>
      </c>
      <c r="F77" s="15">
        <v>0</v>
      </c>
      <c r="G77" s="15">
        <v>0.27510000000000001</v>
      </c>
      <c r="H77" s="15">
        <v>0</v>
      </c>
      <c r="I77" s="15">
        <v>0.45319999999999999</v>
      </c>
      <c r="J77" s="15">
        <v>0</v>
      </c>
      <c r="K77" s="15">
        <v>0</v>
      </c>
      <c r="L77" s="15">
        <v>156.57</v>
      </c>
      <c r="M77" s="15">
        <v>171.04</v>
      </c>
      <c r="N77" s="16">
        <v>1.0924187264482299</v>
      </c>
      <c r="O77" s="16">
        <v>1.0958817339640901</v>
      </c>
      <c r="P77" s="16">
        <v>1.09654022424133</v>
      </c>
      <c r="Q77" s="16">
        <v>1.0977425132868099</v>
      </c>
      <c r="R77" s="15">
        <v>171.582203086757</v>
      </c>
      <c r="S77" s="15">
        <v>171.801275033102</v>
      </c>
      <c r="T77" s="15">
        <v>171.94219930383801</v>
      </c>
      <c r="U77" s="11">
        <v>3.1650227830737399E-3</v>
      </c>
      <c r="V77" s="11">
        <v>4.4409838588183297E-3</v>
      </c>
      <c r="W77" s="11">
        <v>5.2609224999990902E-3</v>
      </c>
      <c r="X77" s="16">
        <v>1.0924187264482299</v>
      </c>
      <c r="Y77" s="16">
        <v>1.0957888908294</v>
      </c>
      <c r="Z77" s="16">
        <v>1.09654022424133</v>
      </c>
      <c r="AA77" s="16">
        <v>1.0977425132868099</v>
      </c>
      <c r="AB77" s="15">
        <v>171.56766663715999</v>
      </c>
      <c r="AC77" s="15">
        <v>171.801275033102</v>
      </c>
      <c r="AD77" s="15">
        <v>171.94219930383801</v>
      </c>
      <c r="AE77" s="11">
        <v>3.0802991629405299E-3</v>
      </c>
      <c r="AF77" s="11">
        <v>4.4409838588183297E-3</v>
      </c>
      <c r="AG77" s="11">
        <v>5.2609224999993097E-3</v>
      </c>
      <c r="AZ77" s="11"/>
      <c r="BB77">
        <f t="shared" si="2"/>
        <v>0</v>
      </c>
      <c r="BC77">
        <f t="shared" si="3"/>
        <v>1</v>
      </c>
      <c r="BD77">
        <f t="shared" si="4"/>
        <v>0</v>
      </c>
      <c r="BE77">
        <f t="shared" si="0"/>
        <v>1</v>
      </c>
      <c r="BF77">
        <f t="shared" si="5"/>
        <v>0</v>
      </c>
      <c r="BG77" s="11">
        <f t="shared" si="6"/>
        <v>0</v>
      </c>
      <c r="BH77" s="11">
        <f t="shared" si="7"/>
        <v>0</v>
      </c>
      <c r="BI77" s="11">
        <f t="shared" si="8"/>
        <v>0</v>
      </c>
      <c r="BJ77" s="6">
        <f t="shared" si="9"/>
        <v>-2.2986893221772761E-2</v>
      </c>
      <c r="BL77" s="11"/>
      <c r="BN77">
        <f t="shared" si="10"/>
        <v>1</v>
      </c>
      <c r="BO77">
        <f t="shared" si="11"/>
        <v>0</v>
      </c>
      <c r="BP77">
        <f t="shared" si="12"/>
        <v>1</v>
      </c>
      <c r="BQ77">
        <f t="shared" si="1"/>
        <v>1</v>
      </c>
      <c r="BR77">
        <f t="shared" si="13"/>
        <v>1</v>
      </c>
      <c r="BS77" s="11">
        <f t="shared" si="14"/>
        <v>1.4041360489274899E-3</v>
      </c>
      <c r="BT77" s="11">
        <f t="shared" si="15"/>
        <v>-2.3359038885864799E-3</v>
      </c>
      <c r="BU77" s="11">
        <f t="shared" si="16"/>
        <v>-9.3176783965898992E-4</v>
      </c>
      <c r="BV77" s="6">
        <f t="shared" si="17"/>
        <v>3.6531053336346072E-3</v>
      </c>
      <c r="BX77" s="6">
        <f t="shared" si="18"/>
        <v>-9.3176783965898992E-4</v>
      </c>
      <c r="BY77" s="6">
        <f t="shared" si="19"/>
        <v>-1.9333787888138151E-2</v>
      </c>
    </row>
    <row r="78" spans="1:77" x14ac:dyDescent="0.3">
      <c r="A78" s="1">
        <v>46135</v>
      </c>
      <c r="B78" s="15">
        <v>157.69</v>
      </c>
      <c r="C78" s="15">
        <v>174.07</v>
      </c>
      <c r="D78" s="11">
        <v>7.1278860940640404E-3</v>
      </c>
      <c r="E78" s="11">
        <v>1.75600698878828E-2</v>
      </c>
      <c r="F78" s="15">
        <v>0</v>
      </c>
      <c r="G78" s="15">
        <v>0.27510000000000001</v>
      </c>
      <c r="H78" s="15">
        <v>0</v>
      </c>
      <c r="I78" s="15">
        <v>0.45319999999999999</v>
      </c>
      <c r="J78" s="15">
        <v>0</v>
      </c>
      <c r="K78" s="15">
        <v>0</v>
      </c>
      <c r="L78" s="15">
        <v>157.69</v>
      </c>
      <c r="M78" s="15">
        <v>174.07</v>
      </c>
      <c r="N78" s="16">
        <v>1.1038746908491299</v>
      </c>
      <c r="O78" s="16">
        <v>1.0958817339640901</v>
      </c>
      <c r="P78" s="16">
        <v>1.0965282575373101</v>
      </c>
      <c r="Q78" s="16">
        <v>1.0978919056274901</v>
      </c>
      <c r="R78" s="15">
        <v>172.809590628797</v>
      </c>
      <c r="S78" s="15">
        <v>172.91342796061599</v>
      </c>
      <c r="T78" s="15">
        <v>173.10301692019701</v>
      </c>
      <c r="U78" s="11">
        <v>-7.2671610107451299E-3</v>
      </c>
      <c r="V78" s="11">
        <v>-6.66646432954096E-3</v>
      </c>
      <c r="W78" s="11">
        <v>-5.5706263636966799E-3</v>
      </c>
      <c r="X78" s="16">
        <v>1.1038746908491299</v>
      </c>
      <c r="Y78" s="16">
        <v>1.0957888908294</v>
      </c>
      <c r="Z78" s="16">
        <v>1.0965282575373101</v>
      </c>
      <c r="AA78" s="16">
        <v>1.0978919056274901</v>
      </c>
      <c r="AB78" s="15">
        <v>172.794950194889</v>
      </c>
      <c r="AC78" s="15">
        <v>172.91342796061599</v>
      </c>
      <c r="AD78" s="15">
        <v>173.10301692019701</v>
      </c>
      <c r="AE78" s="11">
        <v>-7.3518846308782398E-3</v>
      </c>
      <c r="AF78" s="11">
        <v>-6.6664643295408499E-3</v>
      </c>
      <c r="AG78" s="11">
        <v>-5.5706263636965698E-3</v>
      </c>
      <c r="AZ78" s="11"/>
      <c r="BB78">
        <f t="shared" si="2"/>
        <v>1</v>
      </c>
      <c r="BC78">
        <f t="shared" si="3"/>
        <v>0</v>
      </c>
      <c r="BD78">
        <f t="shared" si="4"/>
        <v>0</v>
      </c>
      <c r="BE78">
        <f t="shared" si="0"/>
        <v>1</v>
      </c>
      <c r="BF78">
        <f t="shared" si="5"/>
        <v>0</v>
      </c>
      <c r="BG78" s="11">
        <f t="shared" si="6"/>
        <v>0</v>
      </c>
      <c r="BH78" s="11">
        <f t="shared" si="7"/>
        <v>0</v>
      </c>
      <c r="BI78" s="11">
        <f t="shared" si="8"/>
        <v>0</v>
      </c>
      <c r="BJ78" s="6">
        <f t="shared" si="9"/>
        <v>-2.2986893221772761E-2</v>
      </c>
      <c r="BL78" s="11"/>
      <c r="BN78">
        <f t="shared" si="10"/>
        <v>0</v>
      </c>
      <c r="BO78">
        <f t="shared" si="11"/>
        <v>1</v>
      </c>
      <c r="BP78">
        <f t="shared" si="12"/>
        <v>1</v>
      </c>
      <c r="BQ78">
        <f t="shared" si="1"/>
        <v>1</v>
      </c>
      <c r="BR78">
        <f t="shared" si="13"/>
        <v>1</v>
      </c>
      <c r="BS78" s="11">
        <f t="shared" si="14"/>
        <v>-7.1278860940640404E-3</v>
      </c>
      <c r="BT78" s="11">
        <f t="shared" si="15"/>
        <v>1.75600698878828E-2</v>
      </c>
      <c r="BU78" s="11">
        <f t="shared" si="16"/>
        <v>1.0432183793818758E-2</v>
      </c>
      <c r="BV78" s="6">
        <f t="shared" si="17"/>
        <v>1.4085289127453365E-2</v>
      </c>
      <c r="BX78" s="6">
        <f t="shared" si="18"/>
        <v>1.0432183793818758E-2</v>
      </c>
      <c r="BY78" s="6">
        <f t="shared" si="19"/>
        <v>-8.901604094319393E-3</v>
      </c>
    </row>
    <row r="79" spans="1:77" x14ac:dyDescent="0.3">
      <c r="A79" s="1">
        <v>46136</v>
      </c>
      <c r="B79" s="15">
        <v>156.49</v>
      </c>
      <c r="C79" s="15">
        <v>172.47</v>
      </c>
      <c r="D79" s="11">
        <v>-7.6389702424148401E-3</v>
      </c>
      <c r="E79" s="11">
        <v>-9.2342088613085894E-3</v>
      </c>
      <c r="F79" s="15">
        <v>0</v>
      </c>
      <c r="G79" s="15">
        <v>0.27510000000000001</v>
      </c>
      <c r="H79" s="15">
        <v>0</v>
      </c>
      <c r="I79" s="15">
        <v>0.45319999999999999</v>
      </c>
      <c r="J79" s="15">
        <v>0</v>
      </c>
      <c r="K79" s="15">
        <v>0</v>
      </c>
      <c r="L79" s="15">
        <v>156.49</v>
      </c>
      <c r="M79" s="15">
        <v>172.47</v>
      </c>
      <c r="N79" s="16">
        <v>1.10211515112786</v>
      </c>
      <c r="O79" s="16">
        <v>1.0958817339640901</v>
      </c>
      <c r="P79" s="16">
        <v>1.09618869304971</v>
      </c>
      <c r="Q79" s="16">
        <v>1.0981886637276601</v>
      </c>
      <c r="R79" s="15">
        <v>171.49453254804001</v>
      </c>
      <c r="S79" s="15">
        <v>171.59570702201401</v>
      </c>
      <c r="T79" s="15">
        <v>171.809104311646</v>
      </c>
      <c r="U79" s="11">
        <v>-5.6719223918513598E-3</v>
      </c>
      <c r="V79" s="11">
        <v>-5.0821389166139002E-3</v>
      </c>
      <c r="W79" s="11">
        <v>-3.8393064922712401E-3</v>
      </c>
      <c r="X79" s="16">
        <v>1.10211515112786</v>
      </c>
      <c r="Y79" s="16">
        <v>1.0957888908294</v>
      </c>
      <c r="Z79" s="16">
        <v>1.09618869304971</v>
      </c>
      <c r="AA79" s="16">
        <v>1.0981886637276601</v>
      </c>
      <c r="AB79" s="15">
        <v>171.48000352589401</v>
      </c>
      <c r="AC79" s="15">
        <v>171.59570702201401</v>
      </c>
      <c r="AD79" s="15">
        <v>171.809104311646</v>
      </c>
      <c r="AE79" s="11">
        <v>-5.7566460119845599E-3</v>
      </c>
      <c r="AF79" s="11">
        <v>-5.08213891661379E-3</v>
      </c>
      <c r="AG79" s="11">
        <v>-3.8393064922714599E-3</v>
      </c>
      <c r="AZ79" s="11"/>
      <c r="BB79">
        <f t="shared" si="2"/>
        <v>0</v>
      </c>
      <c r="BC79">
        <f t="shared" si="3"/>
        <v>0</v>
      </c>
      <c r="BD79">
        <f t="shared" si="4"/>
        <v>1</v>
      </c>
      <c r="BE79">
        <f t="shared" si="0"/>
        <v>1</v>
      </c>
      <c r="BF79">
        <f t="shared" si="5"/>
        <v>1</v>
      </c>
      <c r="BG79" s="11">
        <f t="shared" si="6"/>
        <v>-7.6389702424148401E-3</v>
      </c>
      <c r="BH79" s="11">
        <f t="shared" si="7"/>
        <v>9.2342088613085894E-3</v>
      </c>
      <c r="BI79" s="11">
        <f t="shared" si="8"/>
        <v>1.5952386188937493E-3</v>
      </c>
      <c r="BJ79" s="6">
        <f t="shared" si="9"/>
        <v>-2.1391654602879014E-2</v>
      </c>
      <c r="BL79" s="11"/>
      <c r="BN79">
        <f t="shared" si="10"/>
        <v>0</v>
      </c>
      <c r="BO79">
        <f t="shared" si="11"/>
        <v>1</v>
      </c>
      <c r="BP79">
        <f t="shared" si="12"/>
        <v>0</v>
      </c>
      <c r="BQ79">
        <f t="shared" si="1"/>
        <v>1</v>
      </c>
      <c r="BR79">
        <f t="shared" si="13"/>
        <v>0</v>
      </c>
      <c r="BS79" s="11">
        <f t="shared" si="14"/>
        <v>0</v>
      </c>
      <c r="BT79" s="11">
        <f t="shared" si="15"/>
        <v>0</v>
      </c>
      <c r="BU79" s="11">
        <f t="shared" si="16"/>
        <v>0</v>
      </c>
      <c r="BV79" s="6">
        <f t="shared" si="17"/>
        <v>1.4085289127453365E-2</v>
      </c>
      <c r="BX79" s="6">
        <f t="shared" si="18"/>
        <v>1.5952386188937493E-3</v>
      </c>
      <c r="BY79" s="6">
        <f t="shared" si="19"/>
        <v>-7.3063654754256437E-3</v>
      </c>
    </row>
    <row r="80" spans="1:77" x14ac:dyDescent="0.3">
      <c r="A80" s="1">
        <v>46139</v>
      </c>
      <c r="B80" s="15">
        <v>156.63</v>
      </c>
      <c r="C80" s="15">
        <v>172.51</v>
      </c>
      <c r="D80" s="11">
        <v>8.9422591549005498E-4</v>
      </c>
      <c r="E80" s="11">
        <v>2.31897502343498E-4</v>
      </c>
      <c r="F80" s="15">
        <v>0</v>
      </c>
      <c r="G80" s="15">
        <v>0.27510000000000001</v>
      </c>
      <c r="H80" s="15">
        <v>0</v>
      </c>
      <c r="I80" s="15">
        <v>0.45319999999999999</v>
      </c>
      <c r="J80" s="15">
        <v>0</v>
      </c>
      <c r="K80" s="15">
        <v>0</v>
      </c>
      <c r="L80" s="15">
        <v>156.63</v>
      </c>
      <c r="M80" s="15">
        <v>172.51</v>
      </c>
      <c r="N80" s="16">
        <v>1.1013854306327</v>
      </c>
      <c r="O80" s="16">
        <v>1.0958817339640901</v>
      </c>
      <c r="P80" s="16">
        <v>1.0963991510878399</v>
      </c>
      <c r="Q80" s="16">
        <v>1.0982285539941701</v>
      </c>
      <c r="R80" s="15">
        <v>171.647955990795</v>
      </c>
      <c r="S80" s="15">
        <v>171.69603499237701</v>
      </c>
      <c r="T80" s="15">
        <v>172.009290399663</v>
      </c>
      <c r="U80" s="11">
        <v>-5.0095939787048798E-3</v>
      </c>
      <c r="V80" s="11">
        <v>-4.7295308166372596E-3</v>
      </c>
      <c r="W80" s="11">
        <v>-2.9067164993681299E-3</v>
      </c>
      <c r="X80" s="16">
        <v>1.1013854306327</v>
      </c>
      <c r="Y80" s="16">
        <v>1.0957888908294</v>
      </c>
      <c r="Z80" s="16">
        <v>1.0963991510878399</v>
      </c>
      <c r="AA80" s="16">
        <v>1.0982285539941701</v>
      </c>
      <c r="AB80" s="15">
        <v>171.63341397061001</v>
      </c>
      <c r="AC80" s="15">
        <v>171.69603499237701</v>
      </c>
      <c r="AD80" s="15">
        <v>172.009290399663</v>
      </c>
      <c r="AE80" s="11">
        <v>-5.0943175988380201E-3</v>
      </c>
      <c r="AF80" s="11">
        <v>-4.7295308166373697E-3</v>
      </c>
      <c r="AG80" s="11">
        <v>-2.9067164993681299E-3</v>
      </c>
      <c r="AZ80" s="11"/>
      <c r="BB80">
        <f t="shared" si="2"/>
        <v>0</v>
      </c>
      <c r="BC80">
        <f t="shared" si="3"/>
        <v>0</v>
      </c>
      <c r="BD80">
        <f t="shared" si="4"/>
        <v>1</v>
      </c>
      <c r="BE80">
        <f t="shared" si="0"/>
        <v>1</v>
      </c>
      <c r="BF80">
        <f t="shared" si="5"/>
        <v>1</v>
      </c>
      <c r="BG80" s="11">
        <f t="shared" si="6"/>
        <v>8.9422591549005498E-4</v>
      </c>
      <c r="BH80" s="11">
        <f t="shared" si="7"/>
        <v>-2.31897502343498E-4</v>
      </c>
      <c r="BI80" s="11">
        <f t="shared" si="8"/>
        <v>6.6232841314655701E-4</v>
      </c>
      <c r="BJ80" s="6">
        <f t="shared" si="9"/>
        <v>-2.0729326189732458E-2</v>
      </c>
      <c r="BL80" s="11"/>
      <c r="BN80">
        <f t="shared" si="10"/>
        <v>0</v>
      </c>
      <c r="BO80">
        <f t="shared" si="11"/>
        <v>1</v>
      </c>
      <c r="BP80">
        <f t="shared" si="12"/>
        <v>0</v>
      </c>
      <c r="BQ80">
        <f t="shared" si="1"/>
        <v>1</v>
      </c>
      <c r="BR80">
        <f t="shared" si="13"/>
        <v>0</v>
      </c>
      <c r="BS80" s="11">
        <f t="shared" si="14"/>
        <v>0</v>
      </c>
      <c r="BT80" s="11">
        <f t="shared" si="15"/>
        <v>0</v>
      </c>
      <c r="BU80" s="11">
        <f t="shared" si="16"/>
        <v>0</v>
      </c>
      <c r="BV80" s="6">
        <f t="shared" si="17"/>
        <v>1.4085289127453365E-2</v>
      </c>
      <c r="BX80" s="6">
        <f t="shared" si="18"/>
        <v>6.6232841314655701E-4</v>
      </c>
      <c r="BY80" s="6">
        <f t="shared" si="19"/>
        <v>-6.6440370622790866E-3</v>
      </c>
    </row>
    <row r="81" spans="1:77" x14ac:dyDescent="0.3">
      <c r="A81" s="1">
        <v>46140</v>
      </c>
      <c r="B81" s="15">
        <v>155.41</v>
      </c>
      <c r="C81" s="15">
        <v>170.98</v>
      </c>
      <c r="D81" s="11">
        <v>-7.8195501630501096E-3</v>
      </c>
      <c r="E81" s="11">
        <v>-8.9086152075652202E-3</v>
      </c>
      <c r="F81" s="15">
        <v>0</v>
      </c>
      <c r="G81" s="15">
        <v>0.27510000000000001</v>
      </c>
      <c r="H81" s="15">
        <v>0</v>
      </c>
      <c r="I81" s="15">
        <v>0.45319999999999999</v>
      </c>
      <c r="J81" s="15">
        <v>0</v>
      </c>
      <c r="K81" s="15">
        <v>0</v>
      </c>
      <c r="L81" s="15">
        <v>155.41</v>
      </c>
      <c r="M81" s="15">
        <v>170.98</v>
      </c>
      <c r="N81" s="16">
        <v>1.10018660317868</v>
      </c>
      <c r="O81" s="16">
        <v>1.0958817339640901</v>
      </c>
      <c r="P81" s="16">
        <v>1.0965357120142301</v>
      </c>
      <c r="Q81" s="16">
        <v>1.09860521827715</v>
      </c>
      <c r="R81" s="15">
        <v>170.31098027535899</v>
      </c>
      <c r="S81" s="15">
        <v>170.39139207056201</v>
      </c>
      <c r="T81" s="15">
        <v>170.675699576234</v>
      </c>
      <c r="U81" s="11">
        <v>-3.9205289341897502E-3</v>
      </c>
      <c r="V81" s="11">
        <v>-3.4484934966755201E-3</v>
      </c>
      <c r="W81" s="11">
        <v>-1.7813284227851001E-3</v>
      </c>
      <c r="X81" s="16">
        <v>1.10018660317868</v>
      </c>
      <c r="Y81" s="16">
        <v>1.0957888908294</v>
      </c>
      <c r="Z81" s="16">
        <v>1.0965357120142301</v>
      </c>
      <c r="AA81" s="16">
        <v>1.09860521827715</v>
      </c>
      <c r="AB81" s="15">
        <v>170.296551523798</v>
      </c>
      <c r="AC81" s="15">
        <v>170.39139207056201</v>
      </c>
      <c r="AD81" s="15">
        <v>170.675699576234</v>
      </c>
      <c r="AE81" s="11">
        <v>-4.0052525543229503E-3</v>
      </c>
      <c r="AF81" s="11">
        <v>-3.4484934966755201E-3</v>
      </c>
      <c r="AG81" s="11">
        <v>-1.7813284227851001E-3</v>
      </c>
      <c r="AZ81" s="11"/>
      <c r="BB81">
        <f t="shared" si="2"/>
        <v>0</v>
      </c>
      <c r="BC81">
        <f t="shared" si="3"/>
        <v>0</v>
      </c>
      <c r="BD81">
        <f t="shared" si="4"/>
        <v>1</v>
      </c>
      <c r="BE81">
        <f t="shared" si="0"/>
        <v>1</v>
      </c>
      <c r="BF81">
        <f t="shared" si="5"/>
        <v>1</v>
      </c>
      <c r="BG81" s="11">
        <f t="shared" si="6"/>
        <v>-7.8195501630501096E-3</v>
      </c>
      <c r="BH81" s="11">
        <f t="shared" si="7"/>
        <v>8.9086152075652202E-3</v>
      </c>
      <c r="BI81" s="11">
        <f t="shared" si="8"/>
        <v>1.0890650445151105E-3</v>
      </c>
      <c r="BJ81" s="6">
        <f t="shared" si="9"/>
        <v>-1.9640261145217348E-2</v>
      </c>
      <c r="BL81" s="11"/>
      <c r="BN81">
        <f t="shared" si="10"/>
        <v>0</v>
      </c>
      <c r="BO81">
        <f t="shared" si="11"/>
        <v>1</v>
      </c>
      <c r="BP81">
        <f t="shared" si="12"/>
        <v>0</v>
      </c>
      <c r="BQ81">
        <f t="shared" si="1"/>
        <v>1</v>
      </c>
      <c r="BR81">
        <f t="shared" si="13"/>
        <v>0</v>
      </c>
      <c r="BS81" s="11">
        <f t="shared" si="14"/>
        <v>0</v>
      </c>
      <c r="BT81" s="11">
        <f t="shared" si="15"/>
        <v>0</v>
      </c>
      <c r="BU81" s="11">
        <f t="shared" si="16"/>
        <v>0</v>
      </c>
      <c r="BV81" s="6">
        <f t="shared" si="17"/>
        <v>1.4085289127453365E-2</v>
      </c>
      <c r="BX81" s="6">
        <f t="shared" si="18"/>
        <v>1.0890650445151105E-3</v>
      </c>
      <c r="BY81" s="6">
        <f t="shared" si="19"/>
        <v>-5.5549720177639761E-3</v>
      </c>
    </row>
    <row r="82" spans="1:77" x14ac:dyDescent="0.3">
      <c r="A82" s="1">
        <v>46141</v>
      </c>
      <c r="B82" s="15">
        <v>155.63</v>
      </c>
      <c r="C82" s="15">
        <v>169.93</v>
      </c>
      <c r="D82" s="11">
        <v>1.41460928939797E-3</v>
      </c>
      <c r="E82" s="11">
        <v>-6.1600030520734097E-3</v>
      </c>
      <c r="F82" s="15">
        <v>0</v>
      </c>
      <c r="G82" s="15">
        <v>0.27510000000000001</v>
      </c>
      <c r="H82" s="15">
        <v>0</v>
      </c>
      <c r="I82" s="15">
        <v>0.45319999999999999</v>
      </c>
      <c r="J82" s="15">
        <v>0</v>
      </c>
      <c r="K82" s="15">
        <v>0</v>
      </c>
      <c r="L82" s="15">
        <v>155.63</v>
      </c>
      <c r="M82" s="15">
        <v>169.93</v>
      </c>
      <c r="N82" s="16">
        <v>1.0918845980852001</v>
      </c>
      <c r="O82" s="16">
        <v>1.0958817339640901</v>
      </c>
      <c r="P82" s="16">
        <v>1.0962950341893001</v>
      </c>
      <c r="Q82" s="16">
        <v>1.0983905827889799</v>
      </c>
      <c r="R82" s="15">
        <v>170.55207425683099</v>
      </c>
      <c r="S82" s="15">
        <v>170.653852860775</v>
      </c>
      <c r="T82" s="15">
        <v>170.975930120474</v>
      </c>
      <c r="U82" s="11">
        <v>3.6540834072817702E-3</v>
      </c>
      <c r="V82" s="11">
        <v>4.2506651127790004E-3</v>
      </c>
      <c r="W82" s="11">
        <v>6.1361995197019197E-3</v>
      </c>
      <c r="X82" s="16">
        <v>1.0918845980852001</v>
      </c>
      <c r="Y82" s="16">
        <v>1.0957888908294</v>
      </c>
      <c r="Z82" s="16">
        <v>1.0962950341893101</v>
      </c>
      <c r="AA82" s="16">
        <v>1.0983905827889799</v>
      </c>
      <c r="AB82" s="15">
        <v>170.53762507978101</v>
      </c>
      <c r="AC82" s="15">
        <v>170.653852860775</v>
      </c>
      <c r="AD82" s="15">
        <v>170.975930120474</v>
      </c>
      <c r="AE82" s="11">
        <v>3.5693597871485701E-3</v>
      </c>
      <c r="AF82" s="11">
        <v>4.2506651127790004E-3</v>
      </c>
      <c r="AG82" s="11">
        <v>6.1361995197019197E-3</v>
      </c>
      <c r="AZ82" s="11"/>
      <c r="BB82">
        <f t="shared" si="2"/>
        <v>0</v>
      </c>
      <c r="BC82">
        <f t="shared" si="3"/>
        <v>1</v>
      </c>
      <c r="BD82">
        <f t="shared" si="4"/>
        <v>1</v>
      </c>
      <c r="BE82">
        <f t="shared" si="0"/>
        <v>1</v>
      </c>
      <c r="BF82">
        <f t="shared" si="5"/>
        <v>1</v>
      </c>
      <c r="BG82" s="11">
        <f t="shared" si="6"/>
        <v>1.41460928939797E-3</v>
      </c>
      <c r="BH82" s="11">
        <f t="shared" si="7"/>
        <v>6.1600030520734097E-3</v>
      </c>
      <c r="BI82" s="11">
        <f t="shared" si="8"/>
        <v>7.5746123414713795E-3</v>
      </c>
      <c r="BJ82" s="6">
        <f t="shared" si="9"/>
        <v>-1.2065648803745967E-2</v>
      </c>
      <c r="BL82" s="11"/>
      <c r="BN82">
        <f t="shared" si="10"/>
        <v>1</v>
      </c>
      <c r="BO82">
        <f t="shared" si="11"/>
        <v>0</v>
      </c>
      <c r="BP82">
        <f t="shared" si="12"/>
        <v>0</v>
      </c>
      <c r="BQ82">
        <f t="shared" si="1"/>
        <v>1</v>
      </c>
      <c r="BR82">
        <f t="shared" si="13"/>
        <v>0</v>
      </c>
      <c r="BS82" s="11">
        <f t="shared" si="14"/>
        <v>0</v>
      </c>
      <c r="BT82" s="11">
        <f t="shared" si="15"/>
        <v>0</v>
      </c>
      <c r="BU82" s="11">
        <f t="shared" si="16"/>
        <v>0</v>
      </c>
      <c r="BV82" s="6">
        <f t="shared" si="17"/>
        <v>1.4085289127453365E-2</v>
      </c>
      <c r="BX82" s="6">
        <f t="shared" si="18"/>
        <v>7.5746123414713795E-3</v>
      </c>
      <c r="BY82" s="6">
        <f t="shared" si="19"/>
        <v>2.0196403237074034E-3</v>
      </c>
    </row>
    <row r="83" spans="1:77" x14ac:dyDescent="0.3">
      <c r="A83" s="1">
        <v>46142</v>
      </c>
      <c r="B83" s="15">
        <v>158.61000000000001</v>
      </c>
      <c r="C83" s="15">
        <v>174.58</v>
      </c>
      <c r="D83" s="11">
        <v>1.8966963698549898E-2</v>
      </c>
      <c r="E83" s="11">
        <v>2.69965017611896E-2</v>
      </c>
      <c r="F83" s="15">
        <v>0</v>
      </c>
      <c r="G83" s="15">
        <v>0.27510000000000001</v>
      </c>
      <c r="H83" s="15">
        <v>0</v>
      </c>
      <c r="I83" s="15">
        <v>0.45319999999999999</v>
      </c>
      <c r="J83" s="15">
        <v>0</v>
      </c>
      <c r="K83" s="15">
        <v>0</v>
      </c>
      <c r="L83" s="15">
        <v>158.61000000000001</v>
      </c>
      <c r="M83" s="15">
        <v>174.58</v>
      </c>
      <c r="N83" s="16">
        <v>1.1006872202257101</v>
      </c>
      <c r="O83" s="16">
        <v>1.0958817339640901</v>
      </c>
      <c r="P83" s="16">
        <v>1.0971988520267799</v>
      </c>
      <c r="Q83" s="16">
        <v>1.0983210564007999</v>
      </c>
      <c r="R83" s="15">
        <v>173.81780182404401</v>
      </c>
      <c r="S83" s="15">
        <v>173.883355372766</v>
      </c>
      <c r="T83" s="15">
        <v>174.21573033615999</v>
      </c>
      <c r="U83" s="11">
        <v>-4.3754546553578201E-3</v>
      </c>
      <c r="V83" s="11">
        <v>-3.9983863129497603E-3</v>
      </c>
      <c r="W83" s="11">
        <v>-2.0887285284392301E-3</v>
      </c>
      <c r="X83" s="16">
        <v>1.1006872202257101</v>
      </c>
      <c r="Y83" s="16">
        <v>1.0957888908294</v>
      </c>
      <c r="Z83" s="16">
        <v>1.0971988520267799</v>
      </c>
      <c r="AA83" s="16">
        <v>1.0983210564007999</v>
      </c>
      <c r="AB83" s="15">
        <v>173.80307597445201</v>
      </c>
      <c r="AC83" s="15">
        <v>173.883355372766</v>
      </c>
      <c r="AD83" s="15">
        <v>174.21573033615999</v>
      </c>
      <c r="AE83" s="11">
        <v>-4.4601782754911303E-3</v>
      </c>
      <c r="AF83" s="11">
        <v>-3.9983863129496502E-3</v>
      </c>
      <c r="AG83" s="11">
        <v>-2.0887285284392301E-3</v>
      </c>
      <c r="AZ83" s="11"/>
      <c r="BB83">
        <f t="shared" si="2"/>
        <v>0</v>
      </c>
      <c r="BC83">
        <f t="shared" si="3"/>
        <v>0</v>
      </c>
      <c r="BD83">
        <f t="shared" si="4"/>
        <v>0</v>
      </c>
      <c r="BE83">
        <f t="shared" si="0"/>
        <v>1</v>
      </c>
      <c r="BF83">
        <f t="shared" si="5"/>
        <v>0</v>
      </c>
      <c r="BG83" s="11">
        <f t="shared" si="6"/>
        <v>0</v>
      </c>
      <c r="BH83" s="11">
        <f t="shared" si="7"/>
        <v>0</v>
      </c>
      <c r="BI83" s="11">
        <f t="shared" si="8"/>
        <v>0</v>
      </c>
      <c r="BJ83" s="6">
        <f t="shared" si="9"/>
        <v>-1.2065648803745967E-2</v>
      </c>
      <c r="BL83" s="11"/>
      <c r="BN83">
        <f t="shared" si="10"/>
        <v>0</v>
      </c>
      <c r="BO83">
        <f t="shared" si="11"/>
        <v>1</v>
      </c>
      <c r="BP83">
        <f t="shared" si="12"/>
        <v>1</v>
      </c>
      <c r="BQ83">
        <f t="shared" si="1"/>
        <v>1</v>
      </c>
      <c r="BR83">
        <f t="shared" si="13"/>
        <v>1</v>
      </c>
      <c r="BS83" s="11">
        <f t="shared" si="14"/>
        <v>-1.8966963698549898E-2</v>
      </c>
      <c r="BT83" s="11">
        <f t="shared" si="15"/>
        <v>2.69965017611896E-2</v>
      </c>
      <c r="BU83" s="11">
        <f t="shared" si="16"/>
        <v>8.0295380626397017E-3</v>
      </c>
      <c r="BV83" s="6">
        <f t="shared" si="17"/>
        <v>2.2114827190093066E-2</v>
      </c>
      <c r="BX83" s="6">
        <f t="shared" si="18"/>
        <v>8.0295380626397017E-3</v>
      </c>
      <c r="BY83" s="6">
        <f t="shared" si="19"/>
        <v>1.0049178386347106E-2</v>
      </c>
    </row>
    <row r="84" spans="1:77" x14ac:dyDescent="0.3">
      <c r="A84" s="1">
        <v>46143</v>
      </c>
      <c r="B84" s="15">
        <v>157.35</v>
      </c>
      <c r="C84" s="15">
        <v>172.96</v>
      </c>
      <c r="D84" s="11">
        <v>-7.9757354050528102E-3</v>
      </c>
      <c r="E84" s="11">
        <v>-9.3227354163055894E-3</v>
      </c>
      <c r="F84" s="15">
        <v>0</v>
      </c>
      <c r="G84" s="15">
        <v>0.27510000000000001</v>
      </c>
      <c r="H84" s="15">
        <v>0</v>
      </c>
      <c r="I84" s="15">
        <v>0.45319999999999999</v>
      </c>
      <c r="J84" s="15">
        <v>0</v>
      </c>
      <c r="K84" s="15">
        <v>0</v>
      </c>
      <c r="L84" s="15">
        <v>157.35</v>
      </c>
      <c r="M84" s="15">
        <v>172.96</v>
      </c>
      <c r="N84" s="16">
        <v>1.0992055926278901</v>
      </c>
      <c r="O84" s="16">
        <v>1.0958817339640901</v>
      </c>
      <c r="P84" s="16">
        <v>1.0978699464866499</v>
      </c>
      <c r="Q84" s="16">
        <v>1.0982103830427501</v>
      </c>
      <c r="R84" s="15">
        <v>172.43699083924901</v>
      </c>
      <c r="S84" s="15">
        <v>172.64423936641501</v>
      </c>
      <c r="T84" s="15">
        <v>172.820818224666</v>
      </c>
      <c r="U84" s="11">
        <v>-3.0284546441051098E-3</v>
      </c>
      <c r="V84" s="11">
        <v>-1.8272965749755699E-3</v>
      </c>
      <c r="W84" s="11">
        <v>-8.0502894038382501E-4</v>
      </c>
      <c r="X84" s="16">
        <v>1.0992055926278901</v>
      </c>
      <c r="Y84" s="16">
        <v>1.0957888908294</v>
      </c>
      <c r="Z84" s="16">
        <v>1.0978699464866499</v>
      </c>
      <c r="AA84" s="16">
        <v>1.0982103830427501</v>
      </c>
      <c r="AB84" s="15">
        <v>172.422381972007</v>
      </c>
      <c r="AC84" s="15">
        <v>172.64423936641501</v>
      </c>
      <c r="AD84" s="15">
        <v>172.820818224666</v>
      </c>
      <c r="AE84" s="11">
        <v>-3.1131782642382002E-3</v>
      </c>
      <c r="AF84" s="11">
        <v>-1.8272965749752399E-3</v>
      </c>
      <c r="AG84" s="11">
        <v>-8.0502894038371399E-4</v>
      </c>
      <c r="AZ84" s="11"/>
      <c r="BB84">
        <f t="shared" si="2"/>
        <v>0</v>
      </c>
      <c r="BC84">
        <f t="shared" si="3"/>
        <v>0</v>
      </c>
      <c r="BD84">
        <f t="shared" si="4"/>
        <v>0</v>
      </c>
      <c r="BE84">
        <f t="shared" si="0"/>
        <v>1</v>
      </c>
      <c r="BF84">
        <f t="shared" si="5"/>
        <v>0</v>
      </c>
      <c r="BG84" s="11">
        <f t="shared" si="6"/>
        <v>0</v>
      </c>
      <c r="BH84" s="11">
        <f t="shared" si="7"/>
        <v>0</v>
      </c>
      <c r="BI84" s="11">
        <f t="shared" si="8"/>
        <v>0</v>
      </c>
      <c r="BJ84" s="6">
        <f t="shared" si="9"/>
        <v>-1.2065648803745967E-2</v>
      </c>
      <c r="BL84" s="11"/>
      <c r="BN84">
        <f t="shared" si="10"/>
        <v>0</v>
      </c>
      <c r="BO84">
        <f t="shared" si="11"/>
        <v>1</v>
      </c>
      <c r="BP84">
        <f t="shared" si="12"/>
        <v>0</v>
      </c>
      <c r="BQ84">
        <f t="shared" si="1"/>
        <v>1</v>
      </c>
      <c r="BR84">
        <f t="shared" si="13"/>
        <v>0</v>
      </c>
      <c r="BS84" s="11">
        <f t="shared" si="14"/>
        <v>0</v>
      </c>
      <c r="BT84" s="11">
        <f t="shared" si="15"/>
        <v>0</v>
      </c>
      <c r="BU84" s="11">
        <f t="shared" si="16"/>
        <v>0</v>
      </c>
      <c r="BV84" s="6">
        <f t="shared" si="17"/>
        <v>2.2114827190093066E-2</v>
      </c>
      <c r="BX84" s="6">
        <f t="shared" si="18"/>
        <v>0</v>
      </c>
      <c r="BY84" s="6">
        <f t="shared" si="19"/>
        <v>1.0049178386347106E-2</v>
      </c>
    </row>
    <row r="85" spans="1:77" x14ac:dyDescent="0.3">
      <c r="A85" s="1">
        <v>46146</v>
      </c>
      <c r="B85" s="15">
        <v>155.82</v>
      </c>
      <c r="C85" s="15">
        <v>170.98</v>
      </c>
      <c r="D85" s="11">
        <v>-9.7711286077038408E-3</v>
      </c>
      <c r="E85" s="11">
        <v>-1.15137632928106E-2</v>
      </c>
      <c r="F85" s="15">
        <v>0</v>
      </c>
      <c r="G85" s="15">
        <v>0.27510000000000001</v>
      </c>
      <c r="H85" s="15">
        <v>0</v>
      </c>
      <c r="I85" s="15">
        <v>0.45319999999999999</v>
      </c>
      <c r="J85" s="15">
        <v>0</v>
      </c>
      <c r="K85" s="15">
        <v>0</v>
      </c>
      <c r="L85" s="15">
        <v>155.82</v>
      </c>
      <c r="M85" s="15">
        <v>170.98</v>
      </c>
      <c r="N85" s="16">
        <v>1.0972917468874299</v>
      </c>
      <c r="O85" s="16">
        <v>1.0958817339640901</v>
      </c>
      <c r="P85" s="16">
        <v>1.09824868415093</v>
      </c>
      <c r="Q85" s="16">
        <v>1.0981096972470099</v>
      </c>
      <c r="R85" s="15">
        <v>170.760291786284</v>
      </c>
      <c r="S85" s="15">
        <v>171.07009506155001</v>
      </c>
      <c r="T85" s="15">
        <v>171.12314188572199</v>
      </c>
      <c r="U85" s="11">
        <v>-1.2858199589983401E-3</v>
      </c>
      <c r="V85" s="11">
        <v>5.26794553986018E-4</v>
      </c>
      <c r="W85" s="11">
        <v>8.3683472350977895E-4</v>
      </c>
      <c r="X85" s="16">
        <v>1.0972917468874299</v>
      </c>
      <c r="Y85" s="16">
        <v>1.0957888908294</v>
      </c>
      <c r="Z85" s="16">
        <v>1.09824868415093</v>
      </c>
      <c r="AA85" s="16">
        <v>1.0981096972470099</v>
      </c>
      <c r="AB85" s="15">
        <v>170.74582496903801</v>
      </c>
      <c r="AC85" s="15">
        <v>171.07009506155001</v>
      </c>
      <c r="AD85" s="15">
        <v>171.12314188572199</v>
      </c>
      <c r="AE85" s="11">
        <v>-1.37054357913144E-3</v>
      </c>
      <c r="AF85" s="11">
        <v>5.26794553986018E-4</v>
      </c>
      <c r="AG85" s="11">
        <v>8.3683472350955701E-4</v>
      </c>
      <c r="AZ85" s="11"/>
      <c r="BB85">
        <f t="shared" si="2"/>
        <v>0</v>
      </c>
      <c r="BC85">
        <f t="shared" si="3"/>
        <v>1</v>
      </c>
      <c r="BD85">
        <f t="shared" si="4"/>
        <v>0</v>
      </c>
      <c r="BE85">
        <f t="shared" si="0"/>
        <v>1</v>
      </c>
      <c r="BF85">
        <f t="shared" si="5"/>
        <v>0</v>
      </c>
      <c r="BG85" s="11">
        <f t="shared" si="6"/>
        <v>0</v>
      </c>
      <c r="BH85" s="11">
        <f t="shared" si="7"/>
        <v>0</v>
      </c>
      <c r="BI85" s="11">
        <f t="shared" si="8"/>
        <v>0</v>
      </c>
      <c r="BJ85" s="6">
        <f t="shared" si="9"/>
        <v>-1.2065648803745967E-2</v>
      </c>
      <c r="BL85" s="11"/>
      <c r="BN85">
        <f t="shared" si="10"/>
        <v>0</v>
      </c>
      <c r="BO85">
        <f t="shared" si="11"/>
        <v>0</v>
      </c>
      <c r="BP85">
        <f t="shared" si="12"/>
        <v>0</v>
      </c>
      <c r="BQ85">
        <f t="shared" si="1"/>
        <v>1</v>
      </c>
      <c r="BR85">
        <f t="shared" si="13"/>
        <v>0</v>
      </c>
      <c r="BS85" s="11">
        <f t="shared" si="14"/>
        <v>0</v>
      </c>
      <c r="BT85" s="11">
        <f t="shared" si="15"/>
        <v>0</v>
      </c>
      <c r="BU85" s="11">
        <f t="shared" si="16"/>
        <v>0</v>
      </c>
      <c r="BV85" s="6">
        <f t="shared" si="17"/>
        <v>2.2114827190093066E-2</v>
      </c>
      <c r="BX85" s="6">
        <f t="shared" si="18"/>
        <v>0</v>
      </c>
      <c r="BY85" s="6">
        <f t="shared" si="19"/>
        <v>1.0049178386347106E-2</v>
      </c>
    </row>
    <row r="86" spans="1:77" x14ac:dyDescent="0.3">
      <c r="A86" s="1">
        <v>46147</v>
      </c>
      <c r="B86" s="15">
        <v>156.41999999999999</v>
      </c>
      <c r="C86" s="15">
        <v>172.41</v>
      </c>
      <c r="D86" s="11">
        <v>3.8432022707533499E-3</v>
      </c>
      <c r="E86" s="11">
        <v>8.32877058967222E-3</v>
      </c>
      <c r="F86" s="15">
        <v>0</v>
      </c>
      <c r="G86" s="15">
        <v>0.27510000000000001</v>
      </c>
      <c r="H86" s="15">
        <v>0</v>
      </c>
      <c r="I86" s="15">
        <v>0.45319999999999999</v>
      </c>
      <c r="J86" s="15">
        <v>0</v>
      </c>
      <c r="K86" s="15">
        <v>0</v>
      </c>
      <c r="L86" s="15">
        <v>156.41999999999999</v>
      </c>
      <c r="M86" s="15">
        <v>172.41</v>
      </c>
      <c r="N86" s="16">
        <v>1.10222477943996</v>
      </c>
      <c r="O86" s="16">
        <v>1.0958817339640901</v>
      </c>
      <c r="P86" s="16">
        <v>1.09912745395028</v>
      </c>
      <c r="Q86" s="16">
        <v>1.0982041914099001</v>
      </c>
      <c r="R86" s="15">
        <v>171.41782082666299</v>
      </c>
      <c r="S86" s="15">
        <v>171.78805917488901</v>
      </c>
      <c r="T86" s="15">
        <v>171.766318843378</v>
      </c>
      <c r="U86" s="11">
        <v>-5.7713882779173303E-3</v>
      </c>
      <c r="V86" s="11">
        <v>-3.6138582737991298E-3</v>
      </c>
      <c r="W86" s="11">
        <v>-3.7404194992187402E-3</v>
      </c>
      <c r="X86" s="16">
        <v>1.10222477943996</v>
      </c>
      <c r="Y86" s="16">
        <v>1.0957888908294</v>
      </c>
      <c r="Z86" s="16">
        <v>1.09912745395028</v>
      </c>
      <c r="AA86" s="16">
        <v>1.0982041914099001</v>
      </c>
      <c r="AB86" s="15">
        <v>171.40329830353599</v>
      </c>
      <c r="AC86" s="15">
        <v>171.78805917488901</v>
      </c>
      <c r="AD86" s="15">
        <v>171.766318843378</v>
      </c>
      <c r="AE86" s="11">
        <v>-5.8561118980504402E-3</v>
      </c>
      <c r="AF86" s="11">
        <v>-3.6138582737991298E-3</v>
      </c>
      <c r="AG86" s="11">
        <v>-3.7404194992187402E-3</v>
      </c>
      <c r="AZ86" s="11"/>
      <c r="BB86">
        <f t="shared" si="2"/>
        <v>0</v>
      </c>
      <c r="BC86">
        <f t="shared" si="3"/>
        <v>0</v>
      </c>
      <c r="BD86">
        <f t="shared" si="4"/>
        <v>0</v>
      </c>
      <c r="BE86">
        <f t="shared" ref="BE86:BE149" si="20">IF(F87+H87&gt;0,0,1)</f>
        <v>1</v>
      </c>
      <c r="BF86">
        <f t="shared" si="5"/>
        <v>0</v>
      </c>
      <c r="BG86" s="11">
        <f t="shared" si="6"/>
        <v>0</v>
      </c>
      <c r="BH86" s="11">
        <f t="shared" si="7"/>
        <v>0</v>
      </c>
      <c r="BI86" s="11">
        <f t="shared" si="8"/>
        <v>0</v>
      </c>
      <c r="BJ86" s="6">
        <f t="shared" si="9"/>
        <v>-1.2065648803745967E-2</v>
      </c>
      <c r="BL86" s="11"/>
      <c r="BN86">
        <f t="shared" si="10"/>
        <v>0</v>
      </c>
      <c r="BO86">
        <f t="shared" si="11"/>
        <v>1</v>
      </c>
      <c r="BP86">
        <f t="shared" si="12"/>
        <v>0</v>
      </c>
      <c r="BQ86">
        <f t="shared" ref="BQ86:BQ149" si="21">IF(F87+H87&gt;0,0,1)</f>
        <v>1</v>
      </c>
      <c r="BR86">
        <f t="shared" si="13"/>
        <v>0</v>
      </c>
      <c r="BS86" s="11">
        <f t="shared" si="14"/>
        <v>0</v>
      </c>
      <c r="BT86" s="11">
        <f t="shared" si="15"/>
        <v>0</v>
      </c>
      <c r="BU86" s="11">
        <f t="shared" si="16"/>
        <v>0</v>
      </c>
      <c r="BV86" s="6">
        <f t="shared" si="17"/>
        <v>2.2114827190093066E-2</v>
      </c>
      <c r="BX86" s="6">
        <f t="shared" si="18"/>
        <v>0</v>
      </c>
      <c r="BY86" s="6">
        <f t="shared" si="19"/>
        <v>1.0049178386347106E-2</v>
      </c>
    </row>
    <row r="87" spans="1:77" x14ac:dyDescent="0.3">
      <c r="A87" s="1">
        <v>46148</v>
      </c>
      <c r="B87" s="15">
        <v>159.41</v>
      </c>
      <c r="C87" s="15">
        <v>176.87</v>
      </c>
      <c r="D87" s="11">
        <v>1.8934802472089899E-2</v>
      </c>
      <c r="E87" s="11">
        <v>2.5539638258942499E-2</v>
      </c>
      <c r="F87" s="15">
        <v>0</v>
      </c>
      <c r="G87" s="15">
        <v>0.27510000000000001</v>
      </c>
      <c r="H87" s="15">
        <v>0</v>
      </c>
      <c r="I87" s="15">
        <v>0.45319999999999999</v>
      </c>
      <c r="J87" s="15">
        <v>0</v>
      </c>
      <c r="K87" s="15">
        <v>0</v>
      </c>
      <c r="L87" s="15">
        <v>159.41</v>
      </c>
      <c r="M87" s="15">
        <v>176.87</v>
      </c>
      <c r="N87" s="16">
        <v>1.10952888777366</v>
      </c>
      <c r="O87" s="16">
        <v>1.0958817339640901</v>
      </c>
      <c r="P87" s="16">
        <v>1.10083847008282</v>
      </c>
      <c r="Q87" s="16">
        <v>1.09868934716208</v>
      </c>
      <c r="R87" s="15">
        <v>174.69450721121501</v>
      </c>
      <c r="S87" s="15">
        <v>175.211907434214</v>
      </c>
      <c r="T87" s="15">
        <v>175.064730152653</v>
      </c>
      <c r="U87" s="11">
        <v>-1.2376224064769801E-2</v>
      </c>
      <c r="V87" s="11">
        <v>-9.4188584467520403E-3</v>
      </c>
      <c r="W87" s="11">
        <v>-1.0259207327775801E-2</v>
      </c>
      <c r="X87" s="16">
        <v>1.10952888777366</v>
      </c>
      <c r="Y87" s="16">
        <v>1.0957888908294</v>
      </c>
      <c r="Z87" s="16">
        <v>1.10083847008282</v>
      </c>
      <c r="AA87" s="16">
        <v>1.09868934716208</v>
      </c>
      <c r="AB87" s="15">
        <v>174.67970708711599</v>
      </c>
      <c r="AC87" s="15">
        <v>175.211907434214</v>
      </c>
      <c r="AD87" s="15">
        <v>175.064730152653</v>
      </c>
      <c r="AE87" s="11">
        <v>-1.2460947684903001E-2</v>
      </c>
      <c r="AF87" s="11">
        <v>-9.4188584467520403E-3</v>
      </c>
      <c r="AG87" s="11">
        <v>-1.0259207327775801E-2</v>
      </c>
      <c r="AZ87" s="11"/>
      <c r="BB87">
        <f t="shared" ref="BB87:BB150" si="22">IF($AG87&lt;BA$20,1,0)</f>
        <v>1</v>
      </c>
      <c r="BC87">
        <f t="shared" ref="BC87:BC150" si="23">IF($AG87&gt;BA$21,1,0)</f>
        <v>0</v>
      </c>
      <c r="BD87">
        <f t="shared" ref="BD87:BD150" si="24">BF87</f>
        <v>0</v>
      </c>
      <c r="BE87">
        <f t="shared" si="20"/>
        <v>1</v>
      </c>
      <c r="BF87">
        <f t="shared" ref="BF87:BF150" si="25">IF(BB86,1,IF(BC86,0,BD86))*BE86</f>
        <v>0</v>
      </c>
      <c r="BG87" s="11">
        <f t="shared" ref="BG87:BG150" si="26">BF87*D87</f>
        <v>0</v>
      </c>
      <c r="BH87" s="11">
        <f t="shared" ref="BH87:BH150" si="27">-BF87*$E87</f>
        <v>0</v>
      </c>
      <c r="BI87" s="11">
        <f t="shared" ref="BI87:BI150" si="28">BG87+BH87</f>
        <v>0</v>
      </c>
      <c r="BJ87" s="6">
        <f t="shared" ref="BJ87:BJ150" si="29">BJ86+BI87</f>
        <v>-1.2065648803745967E-2</v>
      </c>
      <c r="BL87" s="11"/>
      <c r="BN87">
        <f t="shared" ref="BN87:BN150" si="30">IF($AG87&gt;BM$20,1,0)</f>
        <v>0</v>
      </c>
      <c r="BO87">
        <f t="shared" ref="BO87:BO150" si="31">IF($AG87&lt;BM$21,1,0)</f>
        <v>1</v>
      </c>
      <c r="BP87">
        <f t="shared" ref="BP87:BP150" si="32">BR87</f>
        <v>0</v>
      </c>
      <c r="BQ87">
        <f t="shared" si="21"/>
        <v>1</v>
      </c>
      <c r="BR87">
        <f t="shared" ref="BR87:BR150" si="33">IF(BN86,1,IF(BO86,0,BP86))*BQ86</f>
        <v>0</v>
      </c>
      <c r="BS87" s="11">
        <f t="shared" ref="BS87:BS150" si="34">-BR87*D87</f>
        <v>0</v>
      </c>
      <c r="BT87" s="11">
        <f t="shared" ref="BT87:BT150" si="35">BR87*$E87</f>
        <v>0</v>
      </c>
      <c r="BU87" s="11">
        <f t="shared" ref="BU87:BU150" si="36">BS87+BT87</f>
        <v>0</v>
      </c>
      <c r="BV87" s="6">
        <f t="shared" ref="BV87:BV150" si="37">BV86+BU87</f>
        <v>2.2114827190093066E-2</v>
      </c>
      <c r="BX87" s="6">
        <f t="shared" ref="BX87:BX150" si="38">BI87+BU87</f>
        <v>0</v>
      </c>
      <c r="BY87" s="6">
        <f t="shared" ref="BY87:BY150" si="39">BY86+BX87</f>
        <v>1.0049178386347106E-2</v>
      </c>
    </row>
    <row r="88" spans="1:77" x14ac:dyDescent="0.3">
      <c r="A88" s="1">
        <v>46149</v>
      </c>
      <c r="B88" s="15">
        <v>157.69999999999999</v>
      </c>
      <c r="C88" s="15">
        <v>174</v>
      </c>
      <c r="D88" s="11">
        <v>-1.07850056765626E-2</v>
      </c>
      <c r="E88" s="11">
        <v>-1.6359700232173299E-2</v>
      </c>
      <c r="F88" s="15">
        <v>0</v>
      </c>
      <c r="G88" s="15">
        <v>0.27510000000000001</v>
      </c>
      <c r="H88" s="15">
        <v>0</v>
      </c>
      <c r="I88" s="15">
        <v>0.45319999999999999</v>
      </c>
      <c r="J88" s="15">
        <v>0</v>
      </c>
      <c r="K88" s="15">
        <v>0</v>
      </c>
      <c r="L88" s="15">
        <v>157.69999999999999</v>
      </c>
      <c r="M88" s="15">
        <v>174</v>
      </c>
      <c r="N88" s="16">
        <v>1.10336081166772</v>
      </c>
      <c r="O88" s="16">
        <v>1.0958817339640901</v>
      </c>
      <c r="P88" s="16">
        <v>1.1007870821646799</v>
      </c>
      <c r="Q88" s="16">
        <v>1.098657669851</v>
      </c>
      <c r="R88" s="15">
        <v>172.82054944613699</v>
      </c>
      <c r="S88" s="15">
        <v>173.60222673206101</v>
      </c>
      <c r="T88" s="15">
        <v>173.26331004746001</v>
      </c>
      <c r="U88" s="11">
        <v>-6.80152950915912E-3</v>
      </c>
      <c r="V88" s="11">
        <v>-2.2886702729505602E-3</v>
      </c>
      <c r="W88" s="11">
        <v>-4.2428384246906304E-3</v>
      </c>
      <c r="X88" s="16">
        <v>1.10336081166772</v>
      </c>
      <c r="Y88" s="16">
        <v>1.0957888908294</v>
      </c>
      <c r="Z88" s="16">
        <v>1.1007870821646799</v>
      </c>
      <c r="AA88" s="16">
        <v>1.098657669851</v>
      </c>
      <c r="AB88" s="15">
        <v>172.80590808379699</v>
      </c>
      <c r="AC88" s="15">
        <v>173.60222673206101</v>
      </c>
      <c r="AD88" s="15">
        <v>173.26331004746001</v>
      </c>
      <c r="AE88" s="11">
        <v>-6.8862531292923799E-3</v>
      </c>
      <c r="AF88" s="11">
        <v>-2.2886702729503299E-3</v>
      </c>
      <c r="AG88" s="11">
        <v>-4.2428384246905202E-3</v>
      </c>
      <c r="AZ88" s="11"/>
      <c r="BB88">
        <f t="shared" si="22"/>
        <v>0</v>
      </c>
      <c r="BC88">
        <f t="shared" si="23"/>
        <v>0</v>
      </c>
      <c r="BD88">
        <f t="shared" si="24"/>
        <v>1</v>
      </c>
      <c r="BE88">
        <f t="shared" si="20"/>
        <v>1</v>
      </c>
      <c r="BF88">
        <f t="shared" si="25"/>
        <v>1</v>
      </c>
      <c r="BG88" s="11">
        <f t="shared" si="26"/>
        <v>-1.07850056765626E-2</v>
      </c>
      <c r="BH88" s="11">
        <f t="shared" si="27"/>
        <v>1.6359700232173299E-2</v>
      </c>
      <c r="BI88" s="11">
        <f t="shared" si="28"/>
        <v>5.5746945556106996E-3</v>
      </c>
      <c r="BJ88" s="6">
        <f t="shared" si="29"/>
        <v>-6.4909542481352677E-3</v>
      </c>
      <c r="BL88" s="11"/>
      <c r="BN88">
        <f t="shared" si="30"/>
        <v>0</v>
      </c>
      <c r="BO88">
        <f t="shared" si="31"/>
        <v>1</v>
      </c>
      <c r="BP88">
        <f t="shared" si="32"/>
        <v>0</v>
      </c>
      <c r="BQ88">
        <f t="shared" si="21"/>
        <v>1</v>
      </c>
      <c r="BR88">
        <f t="shared" si="33"/>
        <v>0</v>
      </c>
      <c r="BS88" s="11">
        <f t="shared" si="34"/>
        <v>0</v>
      </c>
      <c r="BT88" s="11">
        <f t="shared" si="35"/>
        <v>0</v>
      </c>
      <c r="BU88" s="11">
        <f t="shared" si="36"/>
        <v>0</v>
      </c>
      <c r="BV88" s="6">
        <f t="shared" si="37"/>
        <v>2.2114827190093066E-2</v>
      </c>
      <c r="BX88" s="6">
        <f t="shared" si="38"/>
        <v>5.5746945556106996E-3</v>
      </c>
      <c r="BY88" s="6">
        <f t="shared" si="39"/>
        <v>1.5623872941957806E-2</v>
      </c>
    </row>
    <row r="89" spans="1:77" x14ac:dyDescent="0.3">
      <c r="A89" s="1">
        <v>46150</v>
      </c>
      <c r="B89" s="15">
        <v>157.27000000000001</v>
      </c>
      <c r="C89" s="15">
        <v>173.2</v>
      </c>
      <c r="D89" s="11">
        <v>-2.73042046635844E-3</v>
      </c>
      <c r="E89" s="11">
        <v>-4.6083030861943297E-3</v>
      </c>
      <c r="F89" s="15">
        <v>0</v>
      </c>
      <c r="G89" s="15">
        <v>0.27510000000000001</v>
      </c>
      <c r="H89" s="15">
        <v>0</v>
      </c>
      <c r="I89" s="15">
        <v>0.45319999999999999</v>
      </c>
      <c r="J89" s="15">
        <v>0</v>
      </c>
      <c r="K89" s="15">
        <v>0</v>
      </c>
      <c r="L89" s="15">
        <v>157.27000000000001</v>
      </c>
      <c r="M89" s="15">
        <v>173.2</v>
      </c>
      <c r="N89" s="16">
        <v>1.1012907738284401</v>
      </c>
      <c r="O89" s="16">
        <v>1.0958817339640901</v>
      </c>
      <c r="P89" s="16">
        <v>1.1007046444347399</v>
      </c>
      <c r="Q89" s="16">
        <v>1.0984466687422301</v>
      </c>
      <c r="R89" s="15">
        <v>172.34932030053201</v>
      </c>
      <c r="S89" s="15">
        <v>173.12078441204</v>
      </c>
      <c r="T89" s="15">
        <v>172.78589173746599</v>
      </c>
      <c r="U89" s="11">
        <v>-4.9236468893232603E-3</v>
      </c>
      <c r="V89" s="11">
        <v>-4.57469449751708E-4</v>
      </c>
      <c r="W89" s="11">
        <v>-2.3937881293239899E-3</v>
      </c>
      <c r="X89" s="16">
        <v>1.1012907738284401</v>
      </c>
      <c r="Y89" s="16">
        <v>1.0957888908294</v>
      </c>
      <c r="Z89" s="16">
        <v>1.1007046444347399</v>
      </c>
      <c r="AA89" s="16">
        <v>1.0984466687422301</v>
      </c>
      <c r="AB89" s="15">
        <v>172.33471886074099</v>
      </c>
      <c r="AC89" s="15">
        <v>173.12078441204</v>
      </c>
      <c r="AD89" s="15">
        <v>172.78589173746599</v>
      </c>
      <c r="AE89" s="11">
        <v>-5.0083705094565402E-3</v>
      </c>
      <c r="AF89" s="11">
        <v>-4.57469449751708E-4</v>
      </c>
      <c r="AG89" s="11">
        <v>-2.3937881293239899E-3</v>
      </c>
      <c r="AZ89" s="11"/>
      <c r="BB89">
        <f t="shared" si="22"/>
        <v>0</v>
      </c>
      <c r="BC89">
        <f t="shared" si="23"/>
        <v>0</v>
      </c>
      <c r="BD89">
        <f t="shared" si="24"/>
        <v>1</v>
      </c>
      <c r="BE89">
        <f t="shared" si="20"/>
        <v>1</v>
      </c>
      <c r="BF89">
        <f t="shared" si="25"/>
        <v>1</v>
      </c>
      <c r="BG89" s="11">
        <f t="shared" si="26"/>
        <v>-2.73042046635844E-3</v>
      </c>
      <c r="BH89" s="11">
        <f t="shared" si="27"/>
        <v>4.6083030861943297E-3</v>
      </c>
      <c r="BI89" s="11">
        <f t="shared" si="28"/>
        <v>1.8778826198358896E-3</v>
      </c>
      <c r="BJ89" s="6">
        <f t="shared" si="29"/>
        <v>-4.6130716282993776E-3</v>
      </c>
      <c r="BL89" s="11"/>
      <c r="BN89">
        <f t="shared" si="30"/>
        <v>0</v>
      </c>
      <c r="BO89">
        <f t="shared" si="31"/>
        <v>1</v>
      </c>
      <c r="BP89">
        <f t="shared" si="32"/>
        <v>0</v>
      </c>
      <c r="BQ89">
        <f t="shared" si="21"/>
        <v>1</v>
      </c>
      <c r="BR89">
        <f t="shared" si="33"/>
        <v>0</v>
      </c>
      <c r="BS89" s="11">
        <f t="shared" si="34"/>
        <v>0</v>
      </c>
      <c r="BT89" s="11">
        <f t="shared" si="35"/>
        <v>0</v>
      </c>
      <c r="BU89" s="11">
        <f t="shared" si="36"/>
        <v>0</v>
      </c>
      <c r="BV89" s="6">
        <f t="shared" si="37"/>
        <v>2.2114827190093066E-2</v>
      </c>
      <c r="BX89" s="6">
        <f t="shared" si="38"/>
        <v>1.8778826198358896E-3</v>
      </c>
      <c r="BY89" s="6">
        <f t="shared" si="39"/>
        <v>1.7501755561793696E-2</v>
      </c>
    </row>
    <row r="90" spans="1:77" x14ac:dyDescent="0.3">
      <c r="A90" s="1">
        <v>46153</v>
      </c>
      <c r="B90" s="15">
        <v>158.25</v>
      </c>
      <c r="C90" s="15">
        <v>175.04</v>
      </c>
      <c r="D90" s="11">
        <v>6.2119875216513501E-3</v>
      </c>
      <c r="E90" s="11">
        <v>1.0567523105281499E-2</v>
      </c>
      <c r="F90" s="15">
        <v>0</v>
      </c>
      <c r="G90" s="15">
        <v>0.27510000000000001</v>
      </c>
      <c r="H90" s="15">
        <v>0</v>
      </c>
      <c r="I90" s="15">
        <v>0.45319999999999999</v>
      </c>
      <c r="J90" s="15">
        <v>0</v>
      </c>
      <c r="K90" s="15">
        <v>0</v>
      </c>
      <c r="L90" s="15">
        <v>158.25</v>
      </c>
      <c r="M90" s="15">
        <v>175.04</v>
      </c>
      <c r="N90" s="16">
        <v>1.10609794628751</v>
      </c>
      <c r="O90" s="16">
        <v>1.0958817339640901</v>
      </c>
      <c r="P90" s="16">
        <v>1.10117589600022</v>
      </c>
      <c r="Q90" s="16">
        <v>1.0987875235440301</v>
      </c>
      <c r="R90" s="15">
        <v>173.42328439981699</v>
      </c>
      <c r="S90" s="15">
        <v>174.186509981798</v>
      </c>
      <c r="T90" s="15">
        <v>173.82918532845699</v>
      </c>
      <c r="U90" s="11">
        <v>-9.2791824729535292E-3</v>
      </c>
      <c r="V90" s="11">
        <v>-4.8878976427741997E-3</v>
      </c>
      <c r="W90" s="11">
        <v>-6.94139571036768E-3</v>
      </c>
      <c r="X90" s="16">
        <v>1.10609794628751</v>
      </c>
      <c r="Y90" s="16">
        <v>1.0957888908294</v>
      </c>
      <c r="Z90" s="16">
        <v>1.10117589600022</v>
      </c>
      <c r="AA90" s="16">
        <v>1.0987875235440301</v>
      </c>
      <c r="AB90" s="15">
        <v>173.408591973754</v>
      </c>
      <c r="AC90" s="15">
        <v>174.186509981798</v>
      </c>
      <c r="AD90" s="15">
        <v>173.82918532845699</v>
      </c>
      <c r="AE90" s="11">
        <v>-9.3639060930868195E-3</v>
      </c>
      <c r="AF90" s="11">
        <v>-4.8878976427741997E-3</v>
      </c>
      <c r="AG90" s="11">
        <v>-6.94139571036768E-3</v>
      </c>
      <c r="AZ90" s="11"/>
      <c r="BB90">
        <f t="shared" si="22"/>
        <v>1</v>
      </c>
      <c r="BC90">
        <f t="shared" si="23"/>
        <v>0</v>
      </c>
      <c r="BD90">
        <f t="shared" si="24"/>
        <v>1</v>
      </c>
      <c r="BE90">
        <f t="shared" si="20"/>
        <v>1</v>
      </c>
      <c r="BF90">
        <f t="shared" si="25"/>
        <v>1</v>
      </c>
      <c r="BG90" s="11">
        <f t="shared" si="26"/>
        <v>6.2119875216513501E-3</v>
      </c>
      <c r="BH90" s="11">
        <f t="shared" si="27"/>
        <v>-1.0567523105281499E-2</v>
      </c>
      <c r="BI90" s="11">
        <f t="shared" si="28"/>
        <v>-4.3555355836301492E-3</v>
      </c>
      <c r="BJ90" s="6">
        <f t="shared" si="29"/>
        <v>-8.968607211929526E-3</v>
      </c>
      <c r="BL90" s="11"/>
      <c r="BN90">
        <f t="shared" si="30"/>
        <v>0</v>
      </c>
      <c r="BO90">
        <f t="shared" si="31"/>
        <v>1</v>
      </c>
      <c r="BP90">
        <f t="shared" si="32"/>
        <v>0</v>
      </c>
      <c r="BQ90">
        <f t="shared" si="21"/>
        <v>1</v>
      </c>
      <c r="BR90">
        <f t="shared" si="33"/>
        <v>0</v>
      </c>
      <c r="BS90" s="11">
        <f t="shared" si="34"/>
        <v>0</v>
      </c>
      <c r="BT90" s="11">
        <f t="shared" si="35"/>
        <v>0</v>
      </c>
      <c r="BU90" s="11">
        <f t="shared" si="36"/>
        <v>0</v>
      </c>
      <c r="BV90" s="6">
        <f t="shared" si="37"/>
        <v>2.2114827190093066E-2</v>
      </c>
      <c r="BX90" s="6">
        <f t="shared" si="38"/>
        <v>-4.3555355836301492E-3</v>
      </c>
      <c r="BY90" s="6">
        <f t="shared" si="39"/>
        <v>1.3146219978163547E-2</v>
      </c>
    </row>
    <row r="91" spans="1:77" x14ac:dyDescent="0.3">
      <c r="A91" s="1">
        <v>46154</v>
      </c>
      <c r="B91" s="15">
        <v>157.55000000000001</v>
      </c>
      <c r="C91" s="15">
        <v>174.35</v>
      </c>
      <c r="D91" s="11">
        <v>-4.43319282100192E-3</v>
      </c>
      <c r="E91" s="11">
        <v>-3.9497461119562399E-3</v>
      </c>
      <c r="F91" s="15">
        <v>0</v>
      </c>
      <c r="G91" s="15">
        <v>0.27510000000000001</v>
      </c>
      <c r="H91" s="15">
        <v>0</v>
      </c>
      <c r="I91" s="15">
        <v>0.45319999999999999</v>
      </c>
      <c r="J91" s="15">
        <v>0</v>
      </c>
      <c r="K91" s="15">
        <v>0</v>
      </c>
      <c r="L91" s="15">
        <v>157.55000000000001</v>
      </c>
      <c r="M91" s="15">
        <v>174.35</v>
      </c>
      <c r="N91" s="16">
        <v>1.10663281497937</v>
      </c>
      <c r="O91" s="16">
        <v>1.0958817339640901</v>
      </c>
      <c r="P91" s="16">
        <v>1.1018205171802899</v>
      </c>
      <c r="Q91" s="16">
        <v>1.0991781145972599</v>
      </c>
      <c r="R91" s="15">
        <v>172.65616718604201</v>
      </c>
      <c r="S91" s="15">
        <v>173.490262414835</v>
      </c>
      <c r="T91" s="15">
        <v>173.11397433436301</v>
      </c>
      <c r="U91" s="11">
        <v>-9.7626291819991606E-3</v>
      </c>
      <c r="V91" s="11">
        <v>-4.9432997199492304E-3</v>
      </c>
      <c r="W91" s="11">
        <v>-7.1145843634104096E-3</v>
      </c>
      <c r="X91" s="16">
        <v>1.10663281497937</v>
      </c>
      <c r="Y91" s="16">
        <v>1.0957888908294</v>
      </c>
      <c r="Z91" s="16">
        <v>1.1018205171802899</v>
      </c>
      <c r="AA91" s="16">
        <v>1.0991781145972599</v>
      </c>
      <c r="AB91" s="15">
        <v>172.641539750173</v>
      </c>
      <c r="AC91" s="15">
        <v>173.490262414835</v>
      </c>
      <c r="AD91" s="15">
        <v>173.11397433436301</v>
      </c>
      <c r="AE91" s="11">
        <v>-9.8473528021323104E-3</v>
      </c>
      <c r="AF91" s="11">
        <v>-4.9432997199492304E-3</v>
      </c>
      <c r="AG91" s="11">
        <v>-7.1145843634101901E-3</v>
      </c>
      <c r="AZ91" s="11"/>
      <c r="BB91">
        <f t="shared" si="22"/>
        <v>1</v>
      </c>
      <c r="BC91">
        <f t="shared" si="23"/>
        <v>0</v>
      </c>
      <c r="BD91">
        <f t="shared" si="24"/>
        <v>1</v>
      </c>
      <c r="BE91">
        <f t="shared" si="20"/>
        <v>1</v>
      </c>
      <c r="BF91">
        <f t="shared" si="25"/>
        <v>1</v>
      </c>
      <c r="BG91" s="11">
        <f t="shared" si="26"/>
        <v>-4.43319282100192E-3</v>
      </c>
      <c r="BH91" s="11">
        <f t="shared" si="27"/>
        <v>3.9497461119562399E-3</v>
      </c>
      <c r="BI91" s="11">
        <f t="shared" si="28"/>
        <v>-4.8344670904568003E-4</v>
      </c>
      <c r="BJ91" s="6">
        <f t="shared" si="29"/>
        <v>-9.452053920975206E-3</v>
      </c>
      <c r="BL91" s="11"/>
      <c r="BN91">
        <f t="shared" si="30"/>
        <v>0</v>
      </c>
      <c r="BO91">
        <f t="shared" si="31"/>
        <v>1</v>
      </c>
      <c r="BP91">
        <f t="shared" si="32"/>
        <v>0</v>
      </c>
      <c r="BQ91">
        <f t="shared" si="21"/>
        <v>1</v>
      </c>
      <c r="BR91">
        <f t="shared" si="33"/>
        <v>0</v>
      </c>
      <c r="BS91" s="11">
        <f t="shared" si="34"/>
        <v>0</v>
      </c>
      <c r="BT91" s="11">
        <f t="shared" si="35"/>
        <v>0</v>
      </c>
      <c r="BU91" s="11">
        <f t="shared" si="36"/>
        <v>0</v>
      </c>
      <c r="BV91" s="6">
        <f t="shared" si="37"/>
        <v>2.2114827190093066E-2</v>
      </c>
      <c r="BX91" s="6">
        <f t="shared" si="38"/>
        <v>-4.8344670904568003E-4</v>
      </c>
      <c r="BY91" s="6">
        <f t="shared" si="39"/>
        <v>1.2662773269117867E-2</v>
      </c>
    </row>
    <row r="92" spans="1:77" x14ac:dyDescent="0.3">
      <c r="A92" s="1">
        <v>46155</v>
      </c>
      <c r="B92" s="15">
        <v>156.44</v>
      </c>
      <c r="C92" s="15">
        <v>173.62</v>
      </c>
      <c r="D92" s="11">
        <v>-7.0703183159703401E-3</v>
      </c>
      <c r="E92" s="11">
        <v>-4.1957701579981898E-3</v>
      </c>
      <c r="F92" s="15">
        <v>0</v>
      </c>
      <c r="G92" s="15">
        <v>0.27510000000000001</v>
      </c>
      <c r="H92" s="15">
        <v>0</v>
      </c>
      <c r="I92" s="15">
        <v>0.45319999999999999</v>
      </c>
      <c r="J92" s="15">
        <v>0</v>
      </c>
      <c r="K92" s="15">
        <v>0</v>
      </c>
      <c r="L92" s="15">
        <v>156.44</v>
      </c>
      <c r="M92" s="15">
        <v>173.62</v>
      </c>
      <c r="N92" s="16">
        <v>1.1098184607517201</v>
      </c>
      <c r="O92" s="16">
        <v>1.0958817339640901</v>
      </c>
      <c r="P92" s="16">
        <v>1.1036139034469401</v>
      </c>
      <c r="Q92" s="16">
        <v>1.09995446881812</v>
      </c>
      <c r="R92" s="15">
        <v>171.43973846134199</v>
      </c>
      <c r="S92" s="15">
        <v>172.36880170768501</v>
      </c>
      <c r="T92" s="15">
        <v>171.955424247596</v>
      </c>
      <c r="U92" s="11">
        <v>-1.2637177339971399E-2</v>
      </c>
      <c r="V92" s="11">
        <v>-7.2326256827244199E-3</v>
      </c>
      <c r="W92" s="11">
        <v>-9.6337210895001898E-3</v>
      </c>
      <c r="X92" s="16">
        <v>1.1098184607517201</v>
      </c>
      <c r="Y92" s="16">
        <v>1.0957888908294</v>
      </c>
      <c r="Z92" s="16">
        <v>1.1036139034469401</v>
      </c>
      <c r="AA92" s="16">
        <v>1.09995446881812</v>
      </c>
      <c r="AB92" s="15">
        <v>171.42521408135201</v>
      </c>
      <c r="AC92" s="15">
        <v>172.36880170768501</v>
      </c>
      <c r="AD92" s="15">
        <v>171.955424247596</v>
      </c>
      <c r="AE92" s="11">
        <v>-1.2721900960104501E-2</v>
      </c>
      <c r="AF92" s="11">
        <v>-7.2326256827243097E-3</v>
      </c>
      <c r="AG92" s="11">
        <v>-9.6337210895001898E-3</v>
      </c>
      <c r="AZ92" s="11"/>
      <c r="BB92">
        <f t="shared" si="22"/>
        <v>1</v>
      </c>
      <c r="BC92">
        <f t="shared" si="23"/>
        <v>0</v>
      </c>
      <c r="BD92">
        <f t="shared" si="24"/>
        <v>1</v>
      </c>
      <c r="BE92">
        <f t="shared" si="20"/>
        <v>1</v>
      </c>
      <c r="BF92">
        <f t="shared" si="25"/>
        <v>1</v>
      </c>
      <c r="BG92" s="11">
        <f t="shared" si="26"/>
        <v>-7.0703183159703401E-3</v>
      </c>
      <c r="BH92" s="11">
        <f t="shared" si="27"/>
        <v>4.1957701579981898E-3</v>
      </c>
      <c r="BI92" s="11">
        <f t="shared" si="28"/>
        <v>-2.8745481579721503E-3</v>
      </c>
      <c r="BJ92" s="6">
        <f t="shared" si="29"/>
        <v>-1.2326602078947356E-2</v>
      </c>
      <c r="BL92" s="11"/>
      <c r="BN92">
        <f t="shared" si="30"/>
        <v>0</v>
      </c>
      <c r="BO92">
        <f t="shared" si="31"/>
        <v>1</v>
      </c>
      <c r="BP92">
        <f t="shared" si="32"/>
        <v>0</v>
      </c>
      <c r="BQ92">
        <f t="shared" si="21"/>
        <v>1</v>
      </c>
      <c r="BR92">
        <f t="shared" si="33"/>
        <v>0</v>
      </c>
      <c r="BS92" s="11">
        <f t="shared" si="34"/>
        <v>0</v>
      </c>
      <c r="BT92" s="11">
        <f t="shared" si="35"/>
        <v>0</v>
      </c>
      <c r="BU92" s="11">
        <f t="shared" si="36"/>
        <v>0</v>
      </c>
      <c r="BV92" s="6">
        <f t="shared" si="37"/>
        <v>2.2114827190093066E-2</v>
      </c>
      <c r="BX92" s="6">
        <f t="shared" si="38"/>
        <v>-2.8745481579721503E-3</v>
      </c>
      <c r="BY92" s="6">
        <f t="shared" si="39"/>
        <v>9.788225111145717E-3</v>
      </c>
    </row>
    <row r="93" spans="1:77" x14ac:dyDescent="0.3">
      <c r="A93" s="1">
        <v>46156</v>
      </c>
      <c r="B93" s="15">
        <v>157.28</v>
      </c>
      <c r="C93" s="15">
        <v>174.51</v>
      </c>
      <c r="D93" s="11">
        <v>5.3551065115429999E-3</v>
      </c>
      <c r="E93" s="11">
        <v>5.1130436271177599E-3</v>
      </c>
      <c r="F93" s="15">
        <v>0</v>
      </c>
      <c r="G93" s="15">
        <v>0.27510000000000001</v>
      </c>
      <c r="H93" s="15">
        <v>0</v>
      </c>
      <c r="I93" s="15">
        <v>0.45319999999999999</v>
      </c>
      <c r="J93" s="15">
        <v>0</v>
      </c>
      <c r="K93" s="15">
        <v>0</v>
      </c>
      <c r="L93" s="15">
        <v>157.28</v>
      </c>
      <c r="M93" s="15">
        <v>174.51</v>
      </c>
      <c r="N93" s="16">
        <v>1.1095498474059</v>
      </c>
      <c r="O93" s="16">
        <v>1.0958817339640901</v>
      </c>
      <c r="P93" s="16">
        <v>1.1045001661649601</v>
      </c>
      <c r="Q93" s="16">
        <v>1.1008495090958701</v>
      </c>
      <c r="R93" s="15">
        <v>172.36027911787201</v>
      </c>
      <c r="S93" s="15">
        <v>173.57639473413499</v>
      </c>
      <c r="T93" s="15">
        <v>173.00083885571499</v>
      </c>
      <c r="U93" s="11">
        <v>-1.2395114455546001E-2</v>
      </c>
      <c r="V93" s="11">
        <v>-5.3642286437529602E-3</v>
      </c>
      <c r="W93" s="11">
        <v>-8.68560322778986E-3</v>
      </c>
      <c r="X93" s="16">
        <v>1.1095498474059</v>
      </c>
      <c r="Y93" s="16">
        <v>1.0957888908294</v>
      </c>
      <c r="Z93" s="16">
        <v>1.1045001661649601</v>
      </c>
      <c r="AA93" s="16">
        <v>1.1008495090958701</v>
      </c>
      <c r="AB93" s="15">
        <v>172.34567674964899</v>
      </c>
      <c r="AC93" s="15">
        <v>173.57639473413499</v>
      </c>
      <c r="AD93" s="15">
        <v>173.00083885571499</v>
      </c>
      <c r="AE93" s="11">
        <v>-1.24798380756791E-2</v>
      </c>
      <c r="AF93" s="11">
        <v>-5.3642286437529602E-3</v>
      </c>
      <c r="AG93" s="11">
        <v>-8.6856032277899693E-3</v>
      </c>
      <c r="AZ93" s="11"/>
      <c r="BB93">
        <f t="shared" si="22"/>
        <v>1</v>
      </c>
      <c r="BC93">
        <f t="shared" si="23"/>
        <v>0</v>
      </c>
      <c r="BD93">
        <f t="shared" si="24"/>
        <v>1</v>
      </c>
      <c r="BE93">
        <f t="shared" si="20"/>
        <v>1</v>
      </c>
      <c r="BF93">
        <f t="shared" si="25"/>
        <v>1</v>
      </c>
      <c r="BG93" s="11">
        <f t="shared" si="26"/>
        <v>5.3551065115429999E-3</v>
      </c>
      <c r="BH93" s="11">
        <f t="shared" si="27"/>
        <v>-5.1130436271177599E-3</v>
      </c>
      <c r="BI93" s="11">
        <f t="shared" si="28"/>
        <v>2.4206288442523999E-4</v>
      </c>
      <c r="BJ93" s="6">
        <f t="shared" si="29"/>
        <v>-1.2084539194522115E-2</v>
      </c>
      <c r="BL93" s="11"/>
      <c r="BN93">
        <f t="shared" si="30"/>
        <v>0</v>
      </c>
      <c r="BO93">
        <f t="shared" si="31"/>
        <v>1</v>
      </c>
      <c r="BP93">
        <f t="shared" si="32"/>
        <v>0</v>
      </c>
      <c r="BQ93">
        <f t="shared" si="21"/>
        <v>1</v>
      </c>
      <c r="BR93">
        <f t="shared" si="33"/>
        <v>0</v>
      </c>
      <c r="BS93" s="11">
        <f t="shared" si="34"/>
        <v>0</v>
      </c>
      <c r="BT93" s="11">
        <f t="shared" si="35"/>
        <v>0</v>
      </c>
      <c r="BU93" s="11">
        <f t="shared" si="36"/>
        <v>0</v>
      </c>
      <c r="BV93" s="6">
        <f t="shared" si="37"/>
        <v>2.2114827190093066E-2</v>
      </c>
      <c r="BX93" s="6">
        <f t="shared" si="38"/>
        <v>2.4206288442523999E-4</v>
      </c>
      <c r="BY93" s="6">
        <f t="shared" si="39"/>
        <v>1.0030287995570958E-2</v>
      </c>
    </row>
    <row r="94" spans="1:77" x14ac:dyDescent="0.3">
      <c r="A94" s="1">
        <v>46157</v>
      </c>
      <c r="B94" s="15">
        <v>154.85</v>
      </c>
      <c r="C94" s="15">
        <v>171.4</v>
      </c>
      <c r="D94" s="11">
        <v>-1.55707499796446E-2</v>
      </c>
      <c r="E94" s="11">
        <v>-1.7982040427100301E-2</v>
      </c>
      <c r="F94" s="15">
        <v>0</v>
      </c>
      <c r="G94" s="15">
        <v>0.27510000000000001</v>
      </c>
      <c r="H94" s="15">
        <v>0</v>
      </c>
      <c r="I94" s="15">
        <v>0.45319999999999999</v>
      </c>
      <c r="J94" s="15">
        <v>0</v>
      </c>
      <c r="K94" s="15">
        <v>0</v>
      </c>
      <c r="L94" s="15">
        <v>154.85</v>
      </c>
      <c r="M94" s="15">
        <v>171.4</v>
      </c>
      <c r="N94" s="16">
        <v>1.10687762350661</v>
      </c>
      <c r="O94" s="16">
        <v>1.0958817339640901</v>
      </c>
      <c r="P94" s="16">
        <v>1.1052673692528301</v>
      </c>
      <c r="Q94" s="16">
        <v>1.1015686578697399</v>
      </c>
      <c r="R94" s="15">
        <v>169.69728650433899</v>
      </c>
      <c r="S94" s="15">
        <v>171.03185073064401</v>
      </c>
      <c r="T94" s="15">
        <v>170.46654648349599</v>
      </c>
      <c r="U94" s="11">
        <v>-9.9838240080904906E-3</v>
      </c>
      <c r="V94" s="11">
        <v>-2.1502054228354698E-3</v>
      </c>
      <c r="W94" s="11">
        <v>-5.4609369994143798E-3</v>
      </c>
      <c r="X94" s="16">
        <v>1.10687762350661</v>
      </c>
      <c r="Y94" s="16">
        <v>1.0957888908294</v>
      </c>
      <c r="Z94" s="16">
        <v>1.1052673692528301</v>
      </c>
      <c r="AA94" s="16">
        <v>1.1015686578697399</v>
      </c>
      <c r="AB94" s="15">
        <v>169.68290974493399</v>
      </c>
      <c r="AC94" s="15">
        <v>171.03185073064401</v>
      </c>
      <c r="AD94" s="15">
        <v>170.46654648349599</v>
      </c>
      <c r="AE94" s="11">
        <v>-1.00685476282235E-2</v>
      </c>
      <c r="AF94" s="11">
        <v>-2.1502054228356902E-3</v>
      </c>
      <c r="AG94" s="11">
        <v>-5.46093699941415E-3</v>
      </c>
      <c r="AZ94" s="11"/>
      <c r="BB94">
        <f t="shared" si="22"/>
        <v>1</v>
      </c>
      <c r="BC94">
        <f t="shared" si="23"/>
        <v>0</v>
      </c>
      <c r="BD94">
        <f t="shared" si="24"/>
        <v>1</v>
      </c>
      <c r="BE94">
        <f t="shared" si="20"/>
        <v>1</v>
      </c>
      <c r="BF94">
        <f t="shared" si="25"/>
        <v>1</v>
      </c>
      <c r="BG94" s="11">
        <f t="shared" si="26"/>
        <v>-1.55707499796446E-2</v>
      </c>
      <c r="BH94" s="11">
        <f t="shared" si="27"/>
        <v>1.7982040427100301E-2</v>
      </c>
      <c r="BI94" s="11">
        <f t="shared" si="28"/>
        <v>2.4112904474557009E-3</v>
      </c>
      <c r="BJ94" s="6">
        <f t="shared" si="29"/>
        <v>-9.6732487470664145E-3</v>
      </c>
      <c r="BL94" s="11"/>
      <c r="BN94">
        <f t="shared" si="30"/>
        <v>0</v>
      </c>
      <c r="BO94">
        <f t="shared" si="31"/>
        <v>1</v>
      </c>
      <c r="BP94">
        <f t="shared" si="32"/>
        <v>0</v>
      </c>
      <c r="BQ94">
        <f t="shared" si="21"/>
        <v>1</v>
      </c>
      <c r="BR94">
        <f t="shared" si="33"/>
        <v>0</v>
      </c>
      <c r="BS94" s="11">
        <f t="shared" si="34"/>
        <v>0</v>
      </c>
      <c r="BT94" s="11">
        <f t="shared" si="35"/>
        <v>0</v>
      </c>
      <c r="BU94" s="11">
        <f t="shared" si="36"/>
        <v>0</v>
      </c>
      <c r="BV94" s="6">
        <f t="shared" si="37"/>
        <v>2.2114827190093066E-2</v>
      </c>
      <c r="BX94" s="6">
        <f t="shared" si="38"/>
        <v>2.4112904474557009E-3</v>
      </c>
      <c r="BY94" s="6">
        <f t="shared" si="39"/>
        <v>1.2441578443026659E-2</v>
      </c>
    </row>
    <row r="95" spans="1:77" x14ac:dyDescent="0.3">
      <c r="A95" s="1">
        <v>46160</v>
      </c>
      <c r="B95" s="15">
        <v>155.12</v>
      </c>
      <c r="C95" s="15">
        <v>170.75</v>
      </c>
      <c r="D95" s="11">
        <v>1.74210451518468E-3</v>
      </c>
      <c r="E95" s="11">
        <v>-3.79950771278004E-3</v>
      </c>
      <c r="F95" s="15">
        <v>0</v>
      </c>
      <c r="G95" s="15">
        <v>0.27510000000000001</v>
      </c>
      <c r="H95" s="15">
        <v>0</v>
      </c>
      <c r="I95" s="15">
        <v>0.45319999999999999</v>
      </c>
      <c r="J95" s="15">
        <v>0</v>
      </c>
      <c r="K95" s="15">
        <v>0</v>
      </c>
      <c r="L95" s="15">
        <v>155.12</v>
      </c>
      <c r="M95" s="15">
        <v>170.75</v>
      </c>
      <c r="N95" s="16">
        <v>1.1007607013924701</v>
      </c>
      <c r="O95" s="16">
        <v>1.0958817339640901</v>
      </c>
      <c r="P95" s="16">
        <v>1.10561426470334</v>
      </c>
      <c r="Q95" s="16">
        <v>1.10193147442714</v>
      </c>
      <c r="R95" s="15">
        <v>169.99317457250899</v>
      </c>
      <c r="S95" s="15">
        <v>171.44907431850001</v>
      </c>
      <c r="T95" s="15">
        <v>170.875330208755</v>
      </c>
      <c r="U95" s="11">
        <v>-4.4422117801257198E-3</v>
      </c>
      <c r="V95" s="11">
        <v>4.0857813095972603E-3</v>
      </c>
      <c r="W95" s="11">
        <v>7.3372904931435395E-4</v>
      </c>
      <c r="X95" s="16">
        <v>1.1007607013924701</v>
      </c>
      <c r="Y95" s="16">
        <v>1.0957888908294</v>
      </c>
      <c r="Z95" s="16">
        <v>1.10561426470334</v>
      </c>
      <c r="AA95" s="16">
        <v>1.10193147442714</v>
      </c>
      <c r="AB95" s="15">
        <v>169.978772745458</v>
      </c>
      <c r="AC95" s="15">
        <v>171.44907431850001</v>
      </c>
      <c r="AD95" s="15">
        <v>170.875330208755</v>
      </c>
      <c r="AE95" s="11">
        <v>-4.5269354002588904E-3</v>
      </c>
      <c r="AF95" s="11">
        <v>4.0857813095972603E-3</v>
      </c>
      <c r="AG95" s="11">
        <v>7.3372904931457599E-4</v>
      </c>
      <c r="AZ95" s="11"/>
      <c r="BB95">
        <f t="shared" si="22"/>
        <v>0</v>
      </c>
      <c r="BC95">
        <f t="shared" si="23"/>
        <v>1</v>
      </c>
      <c r="BD95">
        <f t="shared" si="24"/>
        <v>1</v>
      </c>
      <c r="BE95">
        <f t="shared" si="20"/>
        <v>1</v>
      </c>
      <c r="BF95">
        <f t="shared" si="25"/>
        <v>1</v>
      </c>
      <c r="BG95" s="11">
        <f t="shared" si="26"/>
        <v>1.74210451518468E-3</v>
      </c>
      <c r="BH95" s="11">
        <f t="shared" si="27"/>
        <v>3.79950771278004E-3</v>
      </c>
      <c r="BI95" s="11">
        <f t="shared" si="28"/>
        <v>5.5416122279647196E-3</v>
      </c>
      <c r="BJ95" s="6">
        <f t="shared" si="29"/>
        <v>-4.131636519101695E-3</v>
      </c>
      <c r="BL95" s="11"/>
      <c r="BN95">
        <f t="shared" si="30"/>
        <v>0</v>
      </c>
      <c r="BO95">
        <f t="shared" si="31"/>
        <v>0</v>
      </c>
      <c r="BP95">
        <f t="shared" si="32"/>
        <v>0</v>
      </c>
      <c r="BQ95">
        <f t="shared" si="21"/>
        <v>1</v>
      </c>
      <c r="BR95">
        <f t="shared" si="33"/>
        <v>0</v>
      </c>
      <c r="BS95" s="11">
        <f t="shared" si="34"/>
        <v>0</v>
      </c>
      <c r="BT95" s="11">
        <f t="shared" si="35"/>
        <v>0</v>
      </c>
      <c r="BU95" s="11">
        <f t="shared" si="36"/>
        <v>0</v>
      </c>
      <c r="BV95" s="6">
        <f t="shared" si="37"/>
        <v>2.2114827190093066E-2</v>
      </c>
      <c r="BX95" s="6">
        <f t="shared" si="38"/>
        <v>5.5416122279647196E-3</v>
      </c>
      <c r="BY95" s="6">
        <f t="shared" si="39"/>
        <v>1.7983190670991377E-2</v>
      </c>
    </row>
    <row r="96" spans="1:77" x14ac:dyDescent="0.3">
      <c r="A96" s="1">
        <v>46161</v>
      </c>
      <c r="B96" s="15">
        <v>153.16</v>
      </c>
      <c r="C96" s="15">
        <v>168.74</v>
      </c>
      <c r="D96" s="11">
        <v>-1.2715884325302599E-2</v>
      </c>
      <c r="E96" s="11">
        <v>-1.18414297134187E-2</v>
      </c>
      <c r="F96" s="15">
        <v>0</v>
      </c>
      <c r="G96" s="15">
        <v>0.27510000000000001</v>
      </c>
      <c r="H96" s="15">
        <v>0</v>
      </c>
      <c r="I96" s="15">
        <v>0.45319999999999999</v>
      </c>
      <c r="J96" s="15">
        <v>0</v>
      </c>
      <c r="K96" s="15">
        <v>0</v>
      </c>
      <c r="L96" s="15">
        <v>153.16</v>
      </c>
      <c r="M96" s="15">
        <v>168.74</v>
      </c>
      <c r="N96" s="16">
        <v>1.1017236876469001</v>
      </c>
      <c r="O96" s="16">
        <v>1.0958817339640901</v>
      </c>
      <c r="P96" s="16">
        <v>1.1055641555240301</v>
      </c>
      <c r="Q96" s="16">
        <v>1.1023458047371499</v>
      </c>
      <c r="R96" s="15">
        <v>167.84524637394</v>
      </c>
      <c r="S96" s="15">
        <v>169.335880781963</v>
      </c>
      <c r="T96" s="15">
        <v>168.77182462325999</v>
      </c>
      <c r="U96" s="11">
        <v>-5.3166663920097999E-3</v>
      </c>
      <c r="V96" s="11">
        <v>3.52513404770678E-3</v>
      </c>
      <c r="W96" s="11">
        <v>1.8858375341729899E-4</v>
      </c>
      <c r="X96" s="16">
        <v>1.1017236876469001</v>
      </c>
      <c r="Y96" s="16">
        <v>1.0957888908294</v>
      </c>
      <c r="Z96" s="16">
        <v>1.1055641555240301</v>
      </c>
      <c r="AA96" s="16">
        <v>1.1023458047371499</v>
      </c>
      <c r="AB96" s="15">
        <v>167.83102651943199</v>
      </c>
      <c r="AC96" s="15">
        <v>169.335880781963</v>
      </c>
      <c r="AD96" s="15">
        <v>168.77182462325999</v>
      </c>
      <c r="AE96" s="11">
        <v>-5.4013900121430104E-3</v>
      </c>
      <c r="AF96" s="11">
        <v>3.52513404770678E-3</v>
      </c>
      <c r="AG96" s="11">
        <v>1.88583753417743E-4</v>
      </c>
      <c r="AZ96" s="11"/>
      <c r="BB96">
        <f t="shared" si="22"/>
        <v>0</v>
      </c>
      <c r="BC96">
        <f t="shared" si="23"/>
        <v>1</v>
      </c>
      <c r="BD96">
        <f t="shared" si="24"/>
        <v>0</v>
      </c>
      <c r="BE96">
        <f t="shared" si="20"/>
        <v>1</v>
      </c>
      <c r="BF96">
        <f t="shared" si="25"/>
        <v>0</v>
      </c>
      <c r="BG96" s="11">
        <f t="shared" si="26"/>
        <v>0</v>
      </c>
      <c r="BH96" s="11">
        <f t="shared" si="27"/>
        <v>0</v>
      </c>
      <c r="BI96" s="11">
        <f t="shared" si="28"/>
        <v>0</v>
      </c>
      <c r="BJ96" s="6">
        <f t="shared" si="29"/>
        <v>-4.131636519101695E-3</v>
      </c>
      <c r="BL96" s="11"/>
      <c r="BN96">
        <f t="shared" si="30"/>
        <v>0</v>
      </c>
      <c r="BO96">
        <f t="shared" si="31"/>
        <v>0</v>
      </c>
      <c r="BP96">
        <f t="shared" si="32"/>
        <v>0</v>
      </c>
      <c r="BQ96">
        <f t="shared" si="21"/>
        <v>1</v>
      </c>
      <c r="BR96">
        <f t="shared" si="33"/>
        <v>0</v>
      </c>
      <c r="BS96" s="11">
        <f t="shared" si="34"/>
        <v>0</v>
      </c>
      <c r="BT96" s="11">
        <f t="shared" si="35"/>
        <v>0</v>
      </c>
      <c r="BU96" s="11">
        <f t="shared" si="36"/>
        <v>0</v>
      </c>
      <c r="BV96" s="6">
        <f t="shared" si="37"/>
        <v>2.2114827190093066E-2</v>
      </c>
      <c r="BX96" s="6">
        <f t="shared" si="38"/>
        <v>0</v>
      </c>
      <c r="BY96" s="6">
        <f t="shared" si="39"/>
        <v>1.7983190670991377E-2</v>
      </c>
    </row>
    <row r="97" spans="1:77" x14ac:dyDescent="0.3">
      <c r="A97" s="1">
        <v>46162</v>
      </c>
      <c r="B97" s="15">
        <v>155.32</v>
      </c>
      <c r="C97" s="15">
        <v>170.73</v>
      </c>
      <c r="D97" s="11">
        <v>1.4004378254372601E-2</v>
      </c>
      <c r="E97" s="11">
        <v>1.17242925456613E-2</v>
      </c>
      <c r="F97" s="15">
        <v>0</v>
      </c>
      <c r="G97" s="15">
        <v>0.27510000000000001</v>
      </c>
      <c r="H97" s="15">
        <v>0</v>
      </c>
      <c r="I97" s="15">
        <v>0.45319999999999999</v>
      </c>
      <c r="J97" s="15">
        <v>0</v>
      </c>
      <c r="K97" s="15">
        <v>0</v>
      </c>
      <c r="L97" s="15">
        <v>155.32</v>
      </c>
      <c r="M97" s="15">
        <v>170.73</v>
      </c>
      <c r="N97" s="16">
        <v>1.0992145248519101</v>
      </c>
      <c r="O97" s="16">
        <v>1.0958817339640901</v>
      </c>
      <c r="P97" s="16">
        <v>1.1045327192318599</v>
      </c>
      <c r="Q97" s="16">
        <v>1.10268559465734</v>
      </c>
      <c r="R97" s="15">
        <v>170.212350919302</v>
      </c>
      <c r="S97" s="15">
        <v>171.716224635993</v>
      </c>
      <c r="T97" s="15">
        <v>171.21635039177499</v>
      </c>
      <c r="U97" s="11">
        <v>-3.0365806832984401E-3</v>
      </c>
      <c r="V97" s="11">
        <v>5.7598962503124101E-3</v>
      </c>
      <c r="W97" s="11">
        <v>2.8446024890809401E-3</v>
      </c>
      <c r="X97" s="16">
        <v>1.0992145248519101</v>
      </c>
      <c r="Y97" s="16">
        <v>1.0957888908294</v>
      </c>
      <c r="Z97" s="16">
        <v>1.1045327192318599</v>
      </c>
      <c r="AA97" s="16">
        <v>1.10268559465734</v>
      </c>
      <c r="AB97" s="15">
        <v>170.197930523623</v>
      </c>
      <c r="AC97" s="15">
        <v>171.716224635993</v>
      </c>
      <c r="AD97" s="15">
        <v>171.21635039177499</v>
      </c>
      <c r="AE97" s="11">
        <v>-3.1213043034316401E-3</v>
      </c>
      <c r="AF97" s="11">
        <v>5.7598962503121898E-3</v>
      </c>
      <c r="AG97" s="11">
        <v>2.8446024890807198E-3</v>
      </c>
      <c r="AZ97" s="11"/>
      <c r="BB97">
        <f t="shared" si="22"/>
        <v>0</v>
      </c>
      <c r="BC97">
        <f t="shared" si="23"/>
        <v>1</v>
      </c>
      <c r="BD97">
        <f t="shared" si="24"/>
        <v>0</v>
      </c>
      <c r="BE97">
        <f t="shared" si="20"/>
        <v>1</v>
      </c>
      <c r="BF97">
        <f t="shared" si="25"/>
        <v>0</v>
      </c>
      <c r="BG97" s="11">
        <f t="shared" si="26"/>
        <v>0</v>
      </c>
      <c r="BH97" s="11">
        <f t="shared" si="27"/>
        <v>0</v>
      </c>
      <c r="BI97" s="11">
        <f t="shared" si="28"/>
        <v>0</v>
      </c>
      <c r="BJ97" s="6">
        <f t="shared" si="29"/>
        <v>-4.131636519101695E-3</v>
      </c>
      <c r="BL97" s="11"/>
      <c r="BN97">
        <f t="shared" si="30"/>
        <v>0</v>
      </c>
      <c r="BO97">
        <f t="shared" si="31"/>
        <v>0</v>
      </c>
      <c r="BP97">
        <f t="shared" si="32"/>
        <v>0</v>
      </c>
      <c r="BQ97">
        <f t="shared" si="21"/>
        <v>1</v>
      </c>
      <c r="BR97">
        <f t="shared" si="33"/>
        <v>0</v>
      </c>
      <c r="BS97" s="11">
        <f t="shared" si="34"/>
        <v>0</v>
      </c>
      <c r="BT97" s="11">
        <f t="shared" si="35"/>
        <v>0</v>
      </c>
      <c r="BU97" s="11">
        <f t="shared" si="36"/>
        <v>0</v>
      </c>
      <c r="BV97" s="6">
        <f t="shared" si="37"/>
        <v>2.2114827190093066E-2</v>
      </c>
      <c r="BX97" s="6">
        <f t="shared" si="38"/>
        <v>0</v>
      </c>
      <c r="BY97" s="6">
        <f t="shared" si="39"/>
        <v>1.7983190670991377E-2</v>
      </c>
    </row>
    <row r="98" spans="1:77" x14ac:dyDescent="0.3">
      <c r="A98" s="1">
        <v>46163</v>
      </c>
      <c r="B98" s="15">
        <v>155</v>
      </c>
      <c r="C98" s="15">
        <v>170.53</v>
      </c>
      <c r="D98" s="11">
        <v>-2.0623879442199199E-3</v>
      </c>
      <c r="E98" s="11">
        <v>-1.17212695831927E-3</v>
      </c>
      <c r="F98" s="15">
        <v>0</v>
      </c>
      <c r="G98" s="15">
        <v>0.27510000000000001</v>
      </c>
      <c r="H98" s="15">
        <v>0</v>
      </c>
      <c r="I98" s="15">
        <v>0.45319999999999999</v>
      </c>
      <c r="J98" s="15">
        <v>0</v>
      </c>
      <c r="K98" s="15">
        <v>0</v>
      </c>
      <c r="L98" s="15">
        <v>155</v>
      </c>
      <c r="M98" s="15">
        <v>170.53</v>
      </c>
      <c r="N98" s="16">
        <v>1.1001935483870899</v>
      </c>
      <c r="O98" s="16">
        <v>1.0958817339640901</v>
      </c>
      <c r="P98" s="16">
        <v>1.10421599290379</v>
      </c>
      <c r="Q98" s="16">
        <v>1.10250153753424</v>
      </c>
      <c r="R98" s="15">
        <v>169.861668764434</v>
      </c>
      <c r="S98" s="15">
        <v>171.20257148093799</v>
      </c>
      <c r="T98" s="15">
        <v>170.91626717188799</v>
      </c>
      <c r="U98" s="11">
        <v>-3.9268416691989796E-3</v>
      </c>
      <c r="V98" s="11">
        <v>3.9362496025985502E-3</v>
      </c>
      <c r="W98" s="11">
        <v>2.2625365909843798E-3</v>
      </c>
      <c r="X98" s="16">
        <v>1.1001935483870899</v>
      </c>
      <c r="Y98" s="16">
        <v>1.0957888908294</v>
      </c>
      <c r="Z98" s="16">
        <v>1.10421599290379</v>
      </c>
      <c r="AA98" s="16">
        <v>1.10250153753424</v>
      </c>
      <c r="AB98" s="15">
        <v>169.84727807855799</v>
      </c>
      <c r="AC98" s="15">
        <v>171.20257148093799</v>
      </c>
      <c r="AD98" s="15">
        <v>170.91626717188799</v>
      </c>
      <c r="AE98" s="11">
        <v>-4.0115652893323098E-3</v>
      </c>
      <c r="AF98" s="11">
        <v>3.9362496025985502E-3</v>
      </c>
      <c r="AG98" s="11">
        <v>2.2625365909843798E-3</v>
      </c>
      <c r="AZ98" s="11"/>
      <c r="BB98">
        <f t="shared" si="22"/>
        <v>0</v>
      </c>
      <c r="BC98">
        <f t="shared" si="23"/>
        <v>1</v>
      </c>
      <c r="BD98">
        <f t="shared" si="24"/>
        <v>0</v>
      </c>
      <c r="BE98">
        <f t="shared" si="20"/>
        <v>1</v>
      </c>
      <c r="BF98">
        <f t="shared" si="25"/>
        <v>0</v>
      </c>
      <c r="BG98" s="11">
        <f t="shared" si="26"/>
        <v>0</v>
      </c>
      <c r="BH98" s="11">
        <f t="shared" si="27"/>
        <v>0</v>
      </c>
      <c r="BI98" s="11">
        <f t="shared" si="28"/>
        <v>0</v>
      </c>
      <c r="BJ98" s="6">
        <f t="shared" si="29"/>
        <v>-4.131636519101695E-3</v>
      </c>
      <c r="BL98" s="11"/>
      <c r="BN98">
        <f t="shared" si="30"/>
        <v>0</v>
      </c>
      <c r="BO98">
        <f t="shared" si="31"/>
        <v>0</v>
      </c>
      <c r="BP98">
        <f t="shared" si="32"/>
        <v>0</v>
      </c>
      <c r="BQ98">
        <f t="shared" si="21"/>
        <v>1</v>
      </c>
      <c r="BR98">
        <f t="shared" si="33"/>
        <v>0</v>
      </c>
      <c r="BS98" s="11">
        <f t="shared" si="34"/>
        <v>0</v>
      </c>
      <c r="BT98" s="11">
        <f t="shared" si="35"/>
        <v>0</v>
      </c>
      <c r="BU98" s="11">
        <f t="shared" si="36"/>
        <v>0</v>
      </c>
      <c r="BV98" s="6">
        <f t="shared" si="37"/>
        <v>2.2114827190093066E-2</v>
      </c>
      <c r="BX98" s="6">
        <f t="shared" si="38"/>
        <v>0</v>
      </c>
      <c r="BY98" s="6">
        <f t="shared" si="39"/>
        <v>1.7983190670991377E-2</v>
      </c>
    </row>
    <row r="99" spans="1:77" x14ac:dyDescent="0.3">
      <c r="A99" s="1">
        <v>46164</v>
      </c>
      <c r="B99" s="15">
        <v>156.13999999999999</v>
      </c>
      <c r="C99" s="15">
        <v>171.77</v>
      </c>
      <c r="D99" s="11">
        <v>7.3279237728981804E-3</v>
      </c>
      <c r="E99" s="11">
        <v>7.2451383241110704E-3</v>
      </c>
      <c r="F99" s="15">
        <v>0</v>
      </c>
      <c r="G99" s="15">
        <v>0.27510000000000001</v>
      </c>
      <c r="H99" s="15">
        <v>0</v>
      </c>
      <c r="I99" s="15">
        <v>0.45319999999999999</v>
      </c>
      <c r="J99" s="15">
        <v>0</v>
      </c>
      <c r="K99" s="15">
        <v>0</v>
      </c>
      <c r="L99" s="15">
        <v>156.13999999999999</v>
      </c>
      <c r="M99" s="15">
        <v>171.77</v>
      </c>
      <c r="N99" s="16">
        <v>1.10010247214038</v>
      </c>
      <c r="O99" s="16">
        <v>1.0958817339640901</v>
      </c>
      <c r="P99" s="16">
        <v>1.10409716273499</v>
      </c>
      <c r="Q99" s="16">
        <v>1.1024009035848601</v>
      </c>
      <c r="R99" s="15">
        <v>171.11097394115299</v>
      </c>
      <c r="S99" s="15">
        <v>172.412285131998</v>
      </c>
      <c r="T99" s="15">
        <v>172.144590070596</v>
      </c>
      <c r="U99" s="11">
        <v>-3.8440562204119298E-3</v>
      </c>
      <c r="V99" s="11">
        <v>3.73224250817469E-3</v>
      </c>
      <c r="W99" s="11">
        <v>2.1783909699838802E-3</v>
      </c>
      <c r="X99" s="16">
        <v>1.10010247214038</v>
      </c>
      <c r="Y99" s="16">
        <v>1.0957888908294</v>
      </c>
      <c r="Z99" s="16">
        <v>1.10409716273499</v>
      </c>
      <c r="AA99" s="16">
        <v>1.1024009035848601</v>
      </c>
      <c r="AB99" s="15">
        <v>171.09647741410399</v>
      </c>
      <c r="AC99" s="15">
        <v>172.412285131998</v>
      </c>
      <c r="AD99" s="15">
        <v>172.144590070596</v>
      </c>
      <c r="AE99" s="11">
        <v>-3.9287798405453203E-3</v>
      </c>
      <c r="AF99" s="11">
        <v>3.73224250817469E-3</v>
      </c>
      <c r="AG99" s="11">
        <v>2.1783909699838802E-3</v>
      </c>
      <c r="AZ99" s="11"/>
      <c r="BB99">
        <f t="shared" si="22"/>
        <v>0</v>
      </c>
      <c r="BC99">
        <f t="shared" si="23"/>
        <v>1</v>
      </c>
      <c r="BD99">
        <f t="shared" si="24"/>
        <v>0</v>
      </c>
      <c r="BE99">
        <f t="shared" si="20"/>
        <v>1</v>
      </c>
      <c r="BF99">
        <f t="shared" si="25"/>
        <v>0</v>
      </c>
      <c r="BG99" s="11">
        <f t="shared" si="26"/>
        <v>0</v>
      </c>
      <c r="BH99" s="11">
        <f t="shared" si="27"/>
        <v>0</v>
      </c>
      <c r="BI99" s="11">
        <f t="shared" si="28"/>
        <v>0</v>
      </c>
      <c r="BJ99" s="6">
        <f t="shared" si="29"/>
        <v>-4.131636519101695E-3</v>
      </c>
      <c r="BL99" s="11"/>
      <c r="BN99">
        <f t="shared" si="30"/>
        <v>0</v>
      </c>
      <c r="BO99">
        <f t="shared" si="31"/>
        <v>0</v>
      </c>
      <c r="BP99">
        <f t="shared" si="32"/>
        <v>0</v>
      </c>
      <c r="BQ99">
        <f t="shared" si="21"/>
        <v>1</v>
      </c>
      <c r="BR99">
        <f t="shared" si="33"/>
        <v>0</v>
      </c>
      <c r="BS99" s="11">
        <f t="shared" si="34"/>
        <v>0</v>
      </c>
      <c r="BT99" s="11">
        <f t="shared" si="35"/>
        <v>0</v>
      </c>
      <c r="BU99" s="11">
        <f t="shared" si="36"/>
        <v>0</v>
      </c>
      <c r="BV99" s="6">
        <f t="shared" si="37"/>
        <v>2.2114827190093066E-2</v>
      </c>
      <c r="BX99" s="6">
        <f t="shared" si="38"/>
        <v>0</v>
      </c>
      <c r="BY99" s="6">
        <f t="shared" si="39"/>
        <v>1.7983190670991377E-2</v>
      </c>
    </row>
    <row r="100" spans="1:77" x14ac:dyDescent="0.3">
      <c r="A100" s="1">
        <v>46168</v>
      </c>
      <c r="B100" s="15">
        <v>158.15</v>
      </c>
      <c r="C100" s="15">
        <v>174.3</v>
      </c>
      <c r="D100" s="11">
        <v>1.2790909059513101E-2</v>
      </c>
      <c r="E100" s="11">
        <v>1.4621579877041199E-2</v>
      </c>
      <c r="F100" s="15">
        <v>0</v>
      </c>
      <c r="G100" s="15">
        <v>0.27510000000000001</v>
      </c>
      <c r="H100" s="15">
        <v>0</v>
      </c>
      <c r="I100" s="15">
        <v>0.45319999999999999</v>
      </c>
      <c r="J100" s="15">
        <v>0</v>
      </c>
      <c r="K100" s="15">
        <v>0</v>
      </c>
      <c r="L100" s="15">
        <v>158.15</v>
      </c>
      <c r="M100" s="15">
        <v>174.3</v>
      </c>
      <c r="N100" s="16">
        <v>1.1021182421751501</v>
      </c>
      <c r="O100" s="16">
        <v>1.0958817339640901</v>
      </c>
      <c r="P100" s="16">
        <v>1.10369919232375</v>
      </c>
      <c r="Q100" s="16">
        <v>1.10243754416199</v>
      </c>
      <c r="R100" s="15">
        <v>173.31369622642001</v>
      </c>
      <c r="S100" s="15">
        <v>174.61296628653801</v>
      </c>
      <c r="T100" s="15">
        <v>174.34470290194599</v>
      </c>
      <c r="U100" s="11">
        <v>-5.6747270379401103E-3</v>
      </c>
      <c r="V100" s="11">
        <v>1.7939509316818999E-3</v>
      </c>
      <c r="W100" s="11">
        <v>2.5643815506008099E-4</v>
      </c>
      <c r="X100" s="16">
        <v>1.1021182421751501</v>
      </c>
      <c r="Y100" s="16">
        <v>1.0957888908294</v>
      </c>
      <c r="Z100" s="16">
        <v>1.10369919232375</v>
      </c>
      <c r="AA100" s="16">
        <v>1.10243754416199</v>
      </c>
      <c r="AB100" s="15">
        <v>173.299013084671</v>
      </c>
      <c r="AC100" s="15">
        <v>174.61296628653801</v>
      </c>
      <c r="AD100" s="15">
        <v>174.34470290194599</v>
      </c>
      <c r="AE100" s="11">
        <v>-5.7594506580732297E-3</v>
      </c>
      <c r="AF100" s="11">
        <v>1.7939509316818999E-3</v>
      </c>
      <c r="AG100" s="11">
        <v>2.5643815506008099E-4</v>
      </c>
      <c r="AZ100" s="11"/>
      <c r="BB100">
        <f t="shared" si="22"/>
        <v>0</v>
      </c>
      <c r="BC100">
        <f t="shared" si="23"/>
        <v>1</v>
      </c>
      <c r="BD100">
        <f t="shared" si="24"/>
        <v>0</v>
      </c>
      <c r="BE100">
        <f t="shared" si="20"/>
        <v>1</v>
      </c>
      <c r="BF100">
        <f t="shared" si="25"/>
        <v>0</v>
      </c>
      <c r="BG100" s="11">
        <f t="shared" si="26"/>
        <v>0</v>
      </c>
      <c r="BH100" s="11">
        <f t="shared" si="27"/>
        <v>0</v>
      </c>
      <c r="BI100" s="11">
        <f t="shared" si="28"/>
        <v>0</v>
      </c>
      <c r="BJ100" s="6">
        <f t="shared" si="29"/>
        <v>-4.131636519101695E-3</v>
      </c>
      <c r="BL100" s="11"/>
      <c r="BN100">
        <f t="shared" si="30"/>
        <v>0</v>
      </c>
      <c r="BO100">
        <f t="shared" si="31"/>
        <v>0</v>
      </c>
      <c r="BP100">
        <f t="shared" si="32"/>
        <v>0</v>
      </c>
      <c r="BQ100">
        <f t="shared" si="21"/>
        <v>1</v>
      </c>
      <c r="BR100">
        <f t="shared" si="33"/>
        <v>0</v>
      </c>
      <c r="BS100" s="11">
        <f t="shared" si="34"/>
        <v>0</v>
      </c>
      <c r="BT100" s="11">
        <f t="shared" si="35"/>
        <v>0</v>
      </c>
      <c r="BU100" s="11">
        <f t="shared" si="36"/>
        <v>0</v>
      </c>
      <c r="BV100" s="6">
        <f t="shared" si="37"/>
        <v>2.2114827190093066E-2</v>
      </c>
      <c r="BX100" s="6">
        <f t="shared" si="38"/>
        <v>0</v>
      </c>
      <c r="BY100" s="6">
        <f t="shared" si="39"/>
        <v>1.7983190670991377E-2</v>
      </c>
    </row>
    <row r="101" spans="1:77" x14ac:dyDescent="0.3">
      <c r="A101" s="1">
        <v>46169</v>
      </c>
      <c r="B101" s="15">
        <v>158.35</v>
      </c>
      <c r="C101" s="15">
        <v>174.3</v>
      </c>
      <c r="D101" s="11">
        <v>1.26382323299094E-3</v>
      </c>
      <c r="E101" s="11">
        <v>0</v>
      </c>
      <c r="F101" s="15">
        <v>0</v>
      </c>
      <c r="G101" s="15">
        <v>0.27510000000000001</v>
      </c>
      <c r="H101" s="15">
        <v>0</v>
      </c>
      <c r="I101" s="15">
        <v>0.45319999999999999</v>
      </c>
      <c r="J101" s="15">
        <v>0</v>
      </c>
      <c r="K101" s="15">
        <v>0</v>
      </c>
      <c r="L101" s="15">
        <v>158.35</v>
      </c>
      <c r="M101" s="15">
        <v>174.3</v>
      </c>
      <c r="N101" s="16">
        <v>1.10072623934322</v>
      </c>
      <c r="O101" s="16">
        <v>1.0958817339640901</v>
      </c>
      <c r="P101" s="16">
        <v>1.1031085347601399</v>
      </c>
      <c r="Q101" s="16">
        <v>1.1024645259702099</v>
      </c>
      <c r="R101" s="15">
        <v>173.53287257321301</v>
      </c>
      <c r="S101" s="15">
        <v>174.77076710446599</v>
      </c>
      <c r="T101" s="15">
        <v>174.570985118051</v>
      </c>
      <c r="U101" s="11">
        <v>-4.41090380494922E-3</v>
      </c>
      <c r="V101" s="11">
        <v>2.6972604654489801E-3</v>
      </c>
      <c r="W101" s="11">
        <v>1.55349790672964E-3</v>
      </c>
      <c r="X101" s="16">
        <v>1.10072623934322</v>
      </c>
      <c r="Y101" s="16">
        <v>1.0957888908294</v>
      </c>
      <c r="Z101" s="16">
        <v>1.1031085347601399</v>
      </c>
      <c r="AA101" s="16">
        <v>1.1024645259702099</v>
      </c>
      <c r="AB101" s="15">
        <v>173.518170862837</v>
      </c>
      <c r="AC101" s="15">
        <v>174.77076710446599</v>
      </c>
      <c r="AD101" s="15">
        <v>174.570985118051</v>
      </c>
      <c r="AE101" s="11">
        <v>-4.4956274250825198E-3</v>
      </c>
      <c r="AF101" s="11">
        <v>2.6972604654489801E-3</v>
      </c>
      <c r="AG101" s="11">
        <v>1.5534979067294201E-3</v>
      </c>
      <c r="AZ101" s="11"/>
      <c r="BB101">
        <f t="shared" si="22"/>
        <v>0</v>
      </c>
      <c r="BC101">
        <f t="shared" si="23"/>
        <v>1</v>
      </c>
      <c r="BD101">
        <f t="shared" si="24"/>
        <v>0</v>
      </c>
      <c r="BE101">
        <f t="shared" si="20"/>
        <v>1</v>
      </c>
      <c r="BF101">
        <f t="shared" si="25"/>
        <v>0</v>
      </c>
      <c r="BG101" s="11">
        <f t="shared" si="26"/>
        <v>0</v>
      </c>
      <c r="BH101" s="11">
        <f t="shared" si="27"/>
        <v>0</v>
      </c>
      <c r="BI101" s="11">
        <f t="shared" si="28"/>
        <v>0</v>
      </c>
      <c r="BJ101" s="6">
        <f t="shared" si="29"/>
        <v>-4.131636519101695E-3</v>
      </c>
      <c r="BL101" s="11"/>
      <c r="BN101">
        <f t="shared" si="30"/>
        <v>0</v>
      </c>
      <c r="BO101">
        <f t="shared" si="31"/>
        <v>0</v>
      </c>
      <c r="BP101">
        <f t="shared" si="32"/>
        <v>0</v>
      </c>
      <c r="BQ101">
        <f t="shared" si="21"/>
        <v>1</v>
      </c>
      <c r="BR101">
        <f t="shared" si="33"/>
        <v>0</v>
      </c>
      <c r="BS101" s="11">
        <f t="shared" si="34"/>
        <v>0</v>
      </c>
      <c r="BT101" s="11">
        <f t="shared" si="35"/>
        <v>0</v>
      </c>
      <c r="BU101" s="11">
        <f t="shared" si="36"/>
        <v>0</v>
      </c>
      <c r="BV101" s="6">
        <f t="shared" si="37"/>
        <v>2.2114827190093066E-2</v>
      </c>
      <c r="BX101" s="6">
        <f t="shared" si="38"/>
        <v>0</v>
      </c>
      <c r="BY101" s="6">
        <f t="shared" si="39"/>
        <v>1.7983190670991377E-2</v>
      </c>
    </row>
    <row r="102" spans="1:77" x14ac:dyDescent="0.3">
      <c r="A102" s="1">
        <v>46170</v>
      </c>
      <c r="B102" s="15">
        <v>158.06</v>
      </c>
      <c r="C102" s="15">
        <v>173.8</v>
      </c>
      <c r="D102" s="11">
        <v>-1.8330652078194501E-3</v>
      </c>
      <c r="E102" s="11">
        <v>-2.8727396946835199E-3</v>
      </c>
      <c r="F102" s="15">
        <v>0</v>
      </c>
      <c r="G102" s="15">
        <v>0.27510000000000001</v>
      </c>
      <c r="H102" s="15">
        <v>0</v>
      </c>
      <c r="I102" s="15">
        <v>0.45319999999999999</v>
      </c>
      <c r="J102" s="15">
        <v>0</v>
      </c>
      <c r="K102" s="15">
        <v>0</v>
      </c>
      <c r="L102" s="15">
        <v>158.06</v>
      </c>
      <c r="M102" s="15">
        <v>173.8</v>
      </c>
      <c r="N102" s="16">
        <v>1.09958243704922</v>
      </c>
      <c r="O102" s="16">
        <v>1.0958817339640901</v>
      </c>
      <c r="P102" s="16">
        <v>1.10208493238988</v>
      </c>
      <c r="Q102" s="16">
        <v>1.1028494179184101</v>
      </c>
      <c r="R102" s="15">
        <v>173.21506687036401</v>
      </c>
      <c r="S102" s="15">
        <v>174.35733500418701</v>
      </c>
      <c r="T102" s="15">
        <v>174.25554297485201</v>
      </c>
      <c r="U102" s="11">
        <v>-3.3712293180852698E-3</v>
      </c>
      <c r="V102" s="11">
        <v>3.2016299771947098E-3</v>
      </c>
      <c r="W102" s="11">
        <v>2.6176467760107101E-3</v>
      </c>
      <c r="X102" s="16">
        <v>1.09958243704922</v>
      </c>
      <c r="Y102" s="16">
        <v>1.0957888908294</v>
      </c>
      <c r="Z102" s="16">
        <v>1.10208493238988</v>
      </c>
      <c r="AA102" s="16">
        <v>1.1028494179184101</v>
      </c>
      <c r="AB102" s="15">
        <v>173.200392084496</v>
      </c>
      <c r="AC102" s="15">
        <v>174.35733500418701</v>
      </c>
      <c r="AD102" s="15">
        <v>174.25554297485201</v>
      </c>
      <c r="AE102" s="11">
        <v>-3.4559529382183502E-3</v>
      </c>
      <c r="AF102" s="11">
        <v>3.2016299771944899E-3</v>
      </c>
      <c r="AG102" s="11">
        <v>2.6176467760107101E-3</v>
      </c>
      <c r="AZ102" s="11"/>
      <c r="BB102">
        <f t="shared" si="22"/>
        <v>0</v>
      </c>
      <c r="BC102">
        <f t="shared" si="23"/>
        <v>1</v>
      </c>
      <c r="BD102">
        <f t="shared" si="24"/>
        <v>0</v>
      </c>
      <c r="BE102">
        <f t="shared" si="20"/>
        <v>1</v>
      </c>
      <c r="BF102">
        <f t="shared" si="25"/>
        <v>0</v>
      </c>
      <c r="BG102" s="11">
        <f t="shared" si="26"/>
        <v>0</v>
      </c>
      <c r="BH102" s="11">
        <f t="shared" si="27"/>
        <v>0</v>
      </c>
      <c r="BI102" s="11">
        <f t="shared" si="28"/>
        <v>0</v>
      </c>
      <c r="BJ102" s="6">
        <f t="shared" si="29"/>
        <v>-4.131636519101695E-3</v>
      </c>
      <c r="BL102" s="11"/>
      <c r="BN102">
        <f t="shared" si="30"/>
        <v>0</v>
      </c>
      <c r="BO102">
        <f t="shared" si="31"/>
        <v>0</v>
      </c>
      <c r="BP102">
        <f t="shared" si="32"/>
        <v>0</v>
      </c>
      <c r="BQ102">
        <f t="shared" si="21"/>
        <v>1</v>
      </c>
      <c r="BR102">
        <f t="shared" si="33"/>
        <v>0</v>
      </c>
      <c r="BS102" s="11">
        <f t="shared" si="34"/>
        <v>0</v>
      </c>
      <c r="BT102" s="11">
        <f t="shared" si="35"/>
        <v>0</v>
      </c>
      <c r="BU102" s="11">
        <f t="shared" si="36"/>
        <v>0</v>
      </c>
      <c r="BV102" s="6">
        <f t="shared" si="37"/>
        <v>2.2114827190093066E-2</v>
      </c>
      <c r="BX102" s="6">
        <f t="shared" si="38"/>
        <v>0</v>
      </c>
      <c r="BY102" s="6">
        <f t="shared" si="39"/>
        <v>1.7983190670991377E-2</v>
      </c>
    </row>
    <row r="103" spans="1:77" x14ac:dyDescent="0.3">
      <c r="A103" s="1">
        <v>46171</v>
      </c>
      <c r="B103" s="15">
        <v>157.88</v>
      </c>
      <c r="C103" s="15">
        <v>173.13</v>
      </c>
      <c r="D103" s="11">
        <v>-1.13945698218296E-3</v>
      </c>
      <c r="E103" s="11">
        <v>-3.86245544030696E-3</v>
      </c>
      <c r="F103" s="15">
        <v>0</v>
      </c>
      <c r="G103" s="15">
        <v>0.27510000000000001</v>
      </c>
      <c r="H103" s="15">
        <v>0</v>
      </c>
      <c r="I103" s="15">
        <v>0.45319999999999999</v>
      </c>
      <c r="J103" s="15">
        <v>0</v>
      </c>
      <c r="K103" s="15">
        <v>0</v>
      </c>
      <c r="L103" s="15">
        <v>157.88</v>
      </c>
      <c r="M103" s="15">
        <v>173.13</v>
      </c>
      <c r="N103" s="16">
        <v>1.0965923486192</v>
      </c>
      <c r="O103" s="16">
        <v>1.0958817339640901</v>
      </c>
      <c r="P103" s="16">
        <v>1.1007891825112199</v>
      </c>
      <c r="Q103" s="16">
        <v>1.10264467433809</v>
      </c>
      <c r="R103" s="15">
        <v>173.01780815825001</v>
      </c>
      <c r="S103" s="15">
        <v>173.997169125715</v>
      </c>
      <c r="T103" s="15">
        <v>174.11786610095899</v>
      </c>
      <c r="U103" s="11">
        <v>-6.4823085996108397E-4</v>
      </c>
      <c r="V103" s="11">
        <v>4.9962722987583101E-3</v>
      </c>
      <c r="W103" s="11">
        <v>5.6897038823833599E-3</v>
      </c>
      <c r="X103" s="16">
        <v>1.0965923486192</v>
      </c>
      <c r="Y103" s="16">
        <v>1.0957888908294</v>
      </c>
      <c r="Z103" s="16">
        <v>1.1007891825112199</v>
      </c>
      <c r="AA103" s="16">
        <v>1.10264467433809</v>
      </c>
      <c r="AB103" s="15">
        <v>173.00315008414699</v>
      </c>
      <c r="AC103" s="15">
        <v>173.997169125715</v>
      </c>
      <c r="AD103" s="15">
        <v>174.11786610095899</v>
      </c>
      <c r="AE103" s="11">
        <v>-7.3295448009426303E-4</v>
      </c>
      <c r="AF103" s="11">
        <v>4.9962722987583101E-3</v>
      </c>
      <c r="AG103" s="11">
        <v>5.6897038823835802E-3</v>
      </c>
      <c r="AZ103" s="11"/>
      <c r="BB103">
        <f t="shared" si="22"/>
        <v>0</v>
      </c>
      <c r="BC103">
        <f t="shared" si="23"/>
        <v>1</v>
      </c>
      <c r="BD103">
        <f t="shared" si="24"/>
        <v>0</v>
      </c>
      <c r="BE103">
        <f t="shared" si="20"/>
        <v>1</v>
      </c>
      <c r="BF103">
        <f t="shared" si="25"/>
        <v>0</v>
      </c>
      <c r="BG103" s="11">
        <f t="shared" si="26"/>
        <v>0</v>
      </c>
      <c r="BH103" s="11">
        <f t="shared" si="27"/>
        <v>0</v>
      </c>
      <c r="BI103" s="11">
        <f t="shared" si="28"/>
        <v>0</v>
      </c>
      <c r="BJ103" s="6">
        <f t="shared" si="29"/>
        <v>-4.131636519101695E-3</v>
      </c>
      <c r="BL103" s="11"/>
      <c r="BN103">
        <f t="shared" si="30"/>
        <v>1</v>
      </c>
      <c r="BO103">
        <f t="shared" si="31"/>
        <v>0</v>
      </c>
      <c r="BP103">
        <f t="shared" si="32"/>
        <v>0</v>
      </c>
      <c r="BQ103">
        <f t="shared" si="21"/>
        <v>1</v>
      </c>
      <c r="BR103">
        <f t="shared" si="33"/>
        <v>0</v>
      </c>
      <c r="BS103" s="11">
        <f t="shared" si="34"/>
        <v>0</v>
      </c>
      <c r="BT103" s="11">
        <f t="shared" si="35"/>
        <v>0</v>
      </c>
      <c r="BU103" s="11">
        <f t="shared" si="36"/>
        <v>0</v>
      </c>
      <c r="BV103" s="6">
        <f t="shared" si="37"/>
        <v>2.2114827190093066E-2</v>
      </c>
      <c r="BX103" s="6">
        <f t="shared" si="38"/>
        <v>0</v>
      </c>
      <c r="BY103" s="6">
        <f t="shared" si="39"/>
        <v>1.7983190670991377E-2</v>
      </c>
    </row>
    <row r="104" spans="1:77" x14ac:dyDescent="0.3">
      <c r="A104" s="1">
        <v>46174</v>
      </c>
      <c r="B104" s="15">
        <v>156.82</v>
      </c>
      <c r="C104" s="15">
        <v>172.4</v>
      </c>
      <c r="D104" s="11">
        <v>-6.7365999918705399E-3</v>
      </c>
      <c r="E104" s="11">
        <v>-4.22539916139196E-3</v>
      </c>
      <c r="F104" s="15">
        <v>0</v>
      </c>
      <c r="G104" s="15">
        <v>0.27510000000000001</v>
      </c>
      <c r="H104" s="15">
        <v>0</v>
      </c>
      <c r="I104" s="15">
        <v>0.45319999999999999</v>
      </c>
      <c r="J104" s="15">
        <v>0</v>
      </c>
      <c r="K104" s="15">
        <v>0</v>
      </c>
      <c r="L104" s="15">
        <v>156.82</v>
      </c>
      <c r="M104" s="15">
        <v>172.4</v>
      </c>
      <c r="N104" s="16">
        <v>1.09934957275857</v>
      </c>
      <c r="O104" s="16">
        <v>1.0958817339640901</v>
      </c>
      <c r="P104" s="16">
        <v>1.1000363774364099</v>
      </c>
      <c r="Q104" s="16">
        <v>1.10265187334462</v>
      </c>
      <c r="R104" s="15">
        <v>171.85617352024801</v>
      </c>
      <c r="S104" s="15">
        <v>172.62575960140899</v>
      </c>
      <c r="T104" s="15">
        <v>172.916737829699</v>
      </c>
      <c r="U104" s="11">
        <v>-3.1594316904396099E-3</v>
      </c>
      <c r="V104" s="11">
        <v>1.3086537879925099E-3</v>
      </c>
      <c r="W104" s="11">
        <v>2.9928361923724799E-3</v>
      </c>
      <c r="X104" s="16">
        <v>1.09934957275857</v>
      </c>
      <c r="Y104" s="16">
        <v>1.0957888908294</v>
      </c>
      <c r="Z104" s="16">
        <v>1.1000363774364099</v>
      </c>
      <c r="AA104" s="16">
        <v>1.10265187334462</v>
      </c>
      <c r="AB104" s="15">
        <v>171.841613859868</v>
      </c>
      <c r="AC104" s="15">
        <v>172.62575960140899</v>
      </c>
      <c r="AD104" s="15">
        <v>172.916737829699</v>
      </c>
      <c r="AE104" s="11">
        <v>-3.2441553105728598E-3</v>
      </c>
      <c r="AF104" s="11">
        <v>1.3086537879925099E-3</v>
      </c>
      <c r="AG104" s="11">
        <v>2.9928361923724799E-3</v>
      </c>
      <c r="AZ104" s="11"/>
      <c r="BB104">
        <f t="shared" si="22"/>
        <v>0</v>
      </c>
      <c r="BC104">
        <f t="shared" si="23"/>
        <v>1</v>
      </c>
      <c r="BD104">
        <f t="shared" si="24"/>
        <v>0</v>
      </c>
      <c r="BE104">
        <f t="shared" si="20"/>
        <v>1</v>
      </c>
      <c r="BF104">
        <f t="shared" si="25"/>
        <v>0</v>
      </c>
      <c r="BG104" s="11">
        <f t="shared" si="26"/>
        <v>0</v>
      </c>
      <c r="BH104" s="11">
        <f t="shared" si="27"/>
        <v>0</v>
      </c>
      <c r="BI104" s="11">
        <f t="shared" si="28"/>
        <v>0</v>
      </c>
      <c r="BJ104" s="6">
        <f t="shared" si="29"/>
        <v>-4.131636519101695E-3</v>
      </c>
      <c r="BL104" s="11"/>
      <c r="BN104">
        <f t="shared" si="30"/>
        <v>0</v>
      </c>
      <c r="BO104">
        <f t="shared" si="31"/>
        <v>0</v>
      </c>
      <c r="BP104">
        <f t="shared" si="32"/>
        <v>1</v>
      </c>
      <c r="BQ104">
        <f t="shared" si="21"/>
        <v>1</v>
      </c>
      <c r="BR104">
        <f t="shared" si="33"/>
        <v>1</v>
      </c>
      <c r="BS104" s="11">
        <f t="shared" si="34"/>
        <v>6.7365999918705399E-3</v>
      </c>
      <c r="BT104" s="11">
        <f t="shared" si="35"/>
        <v>-4.22539916139196E-3</v>
      </c>
      <c r="BU104" s="11">
        <f t="shared" si="36"/>
        <v>2.5112008304785799E-3</v>
      </c>
      <c r="BV104" s="6">
        <f t="shared" si="37"/>
        <v>2.4626028020571646E-2</v>
      </c>
      <c r="BX104" s="6">
        <f t="shared" si="38"/>
        <v>2.5112008304785799E-3</v>
      </c>
      <c r="BY104" s="6">
        <f t="shared" si="39"/>
        <v>2.0494391501469957E-2</v>
      </c>
    </row>
    <row r="105" spans="1:77" x14ac:dyDescent="0.3">
      <c r="A105" s="1">
        <v>46175</v>
      </c>
      <c r="B105" s="15">
        <v>157.47</v>
      </c>
      <c r="C105" s="15">
        <v>174.19</v>
      </c>
      <c r="D105" s="11">
        <v>4.13631312954214E-3</v>
      </c>
      <c r="E105" s="11">
        <v>1.0329299259777601E-2</v>
      </c>
      <c r="F105" s="15">
        <v>0</v>
      </c>
      <c r="G105" s="15">
        <v>0.27510000000000001</v>
      </c>
      <c r="H105" s="15">
        <v>0</v>
      </c>
      <c r="I105" s="15">
        <v>0.45319999999999999</v>
      </c>
      <c r="J105" s="15">
        <v>0</v>
      </c>
      <c r="K105" s="15">
        <v>0</v>
      </c>
      <c r="L105" s="15">
        <v>157.47</v>
      </c>
      <c r="M105" s="15">
        <v>174.19</v>
      </c>
      <c r="N105" s="16">
        <v>1.1061789547215299</v>
      </c>
      <c r="O105" s="16">
        <v>1.0958817339640901</v>
      </c>
      <c r="P105" s="16">
        <v>1.1005782027693201</v>
      </c>
      <c r="Q105" s="16">
        <v>1.1030962337363299</v>
      </c>
      <c r="R105" s="15">
        <v>172.56849664732499</v>
      </c>
      <c r="S105" s="15">
        <v>173.22272835491199</v>
      </c>
      <c r="T105" s="15">
        <v>173.63459049557801</v>
      </c>
      <c r="U105" s="11">
        <v>-9.3524178206748597E-3</v>
      </c>
      <c r="V105" s="11">
        <v>-5.5684439027992904E-3</v>
      </c>
      <c r="W105" s="11">
        <v>-3.19362110477555E-3</v>
      </c>
      <c r="X105" s="16">
        <v>1.1061789547215299</v>
      </c>
      <c r="Y105" s="16">
        <v>1.0957888908294</v>
      </c>
      <c r="Z105" s="16">
        <v>1.1005782027693201</v>
      </c>
      <c r="AA105" s="16">
        <v>1.1030962337363299</v>
      </c>
      <c r="AB105" s="15">
        <v>172.55387663890701</v>
      </c>
      <c r="AC105" s="15">
        <v>173.22272835491199</v>
      </c>
      <c r="AD105" s="15">
        <v>173.63459049557801</v>
      </c>
      <c r="AE105" s="11">
        <v>-9.4371414408081101E-3</v>
      </c>
      <c r="AF105" s="11">
        <v>-5.5684439027990701E-3</v>
      </c>
      <c r="AG105" s="11">
        <v>-3.19362110477555E-3</v>
      </c>
      <c r="AZ105" s="11"/>
      <c r="BB105">
        <f t="shared" si="22"/>
        <v>0</v>
      </c>
      <c r="BC105">
        <f t="shared" si="23"/>
        <v>0</v>
      </c>
      <c r="BD105">
        <f t="shared" si="24"/>
        <v>0</v>
      </c>
      <c r="BE105">
        <f t="shared" si="20"/>
        <v>1</v>
      </c>
      <c r="BF105">
        <f t="shared" si="25"/>
        <v>0</v>
      </c>
      <c r="BG105" s="11">
        <f t="shared" si="26"/>
        <v>0</v>
      </c>
      <c r="BH105" s="11">
        <f t="shared" si="27"/>
        <v>0</v>
      </c>
      <c r="BI105" s="11">
        <f t="shared" si="28"/>
        <v>0</v>
      </c>
      <c r="BJ105" s="6">
        <f t="shared" si="29"/>
        <v>-4.131636519101695E-3</v>
      </c>
      <c r="BL105" s="11"/>
      <c r="BN105">
        <f t="shared" si="30"/>
        <v>0</v>
      </c>
      <c r="BO105">
        <f t="shared" si="31"/>
        <v>1</v>
      </c>
      <c r="BP105">
        <f t="shared" si="32"/>
        <v>1</v>
      </c>
      <c r="BQ105">
        <f t="shared" si="21"/>
        <v>1</v>
      </c>
      <c r="BR105">
        <f t="shared" si="33"/>
        <v>1</v>
      </c>
      <c r="BS105" s="11">
        <f t="shared" si="34"/>
        <v>-4.13631312954214E-3</v>
      </c>
      <c r="BT105" s="11">
        <f t="shared" si="35"/>
        <v>1.0329299259777601E-2</v>
      </c>
      <c r="BU105" s="11">
        <f t="shared" si="36"/>
        <v>6.1929861302354606E-3</v>
      </c>
      <c r="BV105" s="6">
        <f t="shared" si="37"/>
        <v>3.0819014150807109E-2</v>
      </c>
      <c r="BX105" s="6">
        <f t="shared" si="38"/>
        <v>6.1929861302354606E-3</v>
      </c>
      <c r="BY105" s="6">
        <f t="shared" si="39"/>
        <v>2.6687377631705415E-2</v>
      </c>
    </row>
    <row r="106" spans="1:77" x14ac:dyDescent="0.3">
      <c r="A106" s="1">
        <v>46176</v>
      </c>
      <c r="B106" s="15">
        <v>156.5</v>
      </c>
      <c r="C106" s="15">
        <v>174.05</v>
      </c>
      <c r="D106" s="11">
        <v>-6.1789539521102197E-3</v>
      </c>
      <c r="E106" s="11">
        <v>-8.0404323192231702E-4</v>
      </c>
      <c r="F106" s="15">
        <v>0</v>
      </c>
      <c r="G106" s="15">
        <v>0.27510000000000001</v>
      </c>
      <c r="H106" s="15">
        <v>0</v>
      </c>
      <c r="I106" s="15">
        <v>0.45319999999999999</v>
      </c>
      <c r="J106" s="15">
        <v>0</v>
      </c>
      <c r="K106" s="15">
        <v>0</v>
      </c>
      <c r="L106" s="15">
        <v>156.5</v>
      </c>
      <c r="M106" s="15">
        <v>174.05</v>
      </c>
      <c r="N106" s="16">
        <v>1.1121405750798701</v>
      </c>
      <c r="O106" s="16">
        <v>1.0958817339640901</v>
      </c>
      <c r="P106" s="16">
        <v>1.1016198915126101</v>
      </c>
      <c r="Q106" s="16">
        <v>1.1035920235183201</v>
      </c>
      <c r="R106" s="15">
        <v>171.50549136538001</v>
      </c>
      <c r="S106" s="15">
        <v>172.240488733398</v>
      </c>
      <c r="T106" s="15">
        <v>172.63456057973499</v>
      </c>
      <c r="U106" s="11">
        <v>-1.47273285408628E-2</v>
      </c>
      <c r="V106" s="11">
        <v>-1.0450923691438199E-2</v>
      </c>
      <c r="W106" s="11">
        <v>-8.1656205439430193E-3</v>
      </c>
      <c r="X106" s="16">
        <v>1.1121405750798701</v>
      </c>
      <c r="Y106" s="16">
        <v>1.0957888908294</v>
      </c>
      <c r="Z106" s="16">
        <v>1.1016198915126101</v>
      </c>
      <c r="AA106" s="16">
        <v>1.1035920235183201</v>
      </c>
      <c r="AB106" s="15">
        <v>171.490961414802</v>
      </c>
      <c r="AC106" s="15">
        <v>172.240488733398</v>
      </c>
      <c r="AD106" s="15">
        <v>172.63456057973499</v>
      </c>
      <c r="AE106" s="11">
        <v>-1.48120521609959E-2</v>
      </c>
      <c r="AF106" s="11">
        <v>-1.0450923691438199E-2</v>
      </c>
      <c r="AG106" s="11">
        <v>-8.1656205439430193E-3</v>
      </c>
      <c r="AZ106" s="11"/>
      <c r="BB106">
        <f t="shared" si="22"/>
        <v>1</v>
      </c>
      <c r="BC106">
        <f t="shared" si="23"/>
        <v>0</v>
      </c>
      <c r="BD106">
        <f t="shared" si="24"/>
        <v>0</v>
      </c>
      <c r="BE106">
        <f t="shared" si="20"/>
        <v>1</v>
      </c>
      <c r="BF106">
        <f t="shared" si="25"/>
        <v>0</v>
      </c>
      <c r="BG106" s="11">
        <f t="shared" si="26"/>
        <v>0</v>
      </c>
      <c r="BH106" s="11">
        <f t="shared" si="27"/>
        <v>0</v>
      </c>
      <c r="BI106" s="11">
        <f t="shared" si="28"/>
        <v>0</v>
      </c>
      <c r="BJ106" s="6">
        <f t="shared" si="29"/>
        <v>-4.131636519101695E-3</v>
      </c>
      <c r="BL106" s="11"/>
      <c r="BN106">
        <f t="shared" si="30"/>
        <v>0</v>
      </c>
      <c r="BO106">
        <f t="shared" si="31"/>
        <v>1</v>
      </c>
      <c r="BP106">
        <f t="shared" si="32"/>
        <v>0</v>
      </c>
      <c r="BQ106">
        <f t="shared" si="21"/>
        <v>1</v>
      </c>
      <c r="BR106">
        <f t="shared" si="33"/>
        <v>0</v>
      </c>
      <c r="BS106" s="11">
        <f t="shared" si="34"/>
        <v>0</v>
      </c>
      <c r="BT106" s="11">
        <f t="shared" si="35"/>
        <v>0</v>
      </c>
      <c r="BU106" s="11">
        <f t="shared" si="36"/>
        <v>0</v>
      </c>
      <c r="BV106" s="6">
        <f t="shared" si="37"/>
        <v>3.0819014150807109E-2</v>
      </c>
      <c r="BX106" s="6">
        <f t="shared" si="38"/>
        <v>0</v>
      </c>
      <c r="BY106" s="6">
        <f t="shared" si="39"/>
        <v>2.6687377631705415E-2</v>
      </c>
    </row>
    <row r="107" spans="1:77" x14ac:dyDescent="0.3">
      <c r="A107" s="1">
        <v>46177</v>
      </c>
      <c r="B107" s="15">
        <v>158.63</v>
      </c>
      <c r="C107" s="15">
        <v>176.16</v>
      </c>
      <c r="D107" s="11">
        <v>1.3518436440155801E-2</v>
      </c>
      <c r="E107" s="11">
        <v>1.2050058716921899E-2</v>
      </c>
      <c r="F107" s="15">
        <v>0</v>
      </c>
      <c r="G107" s="15">
        <v>0.27510000000000001</v>
      </c>
      <c r="H107" s="15">
        <v>0</v>
      </c>
      <c r="I107" s="15">
        <v>0.45319999999999999</v>
      </c>
      <c r="J107" s="15">
        <v>0</v>
      </c>
      <c r="K107" s="15">
        <v>0</v>
      </c>
      <c r="L107" s="15">
        <v>158.63</v>
      </c>
      <c r="M107" s="15">
        <v>176.16</v>
      </c>
      <c r="N107" s="16">
        <v>1.1105087310092601</v>
      </c>
      <c r="O107" s="16">
        <v>1.0958817339640901</v>
      </c>
      <c r="P107" s="16">
        <v>1.10274931212835</v>
      </c>
      <c r="Q107" s="16">
        <v>1.1036410156801</v>
      </c>
      <c r="R107" s="15">
        <v>173.83971945872301</v>
      </c>
      <c r="S107" s="15">
        <v>174.749963390646</v>
      </c>
      <c r="T107" s="15">
        <v>175.062802690712</v>
      </c>
      <c r="U107" s="11">
        <v>-1.32589508176286E-2</v>
      </c>
      <c r="V107" s="11">
        <v>-8.0365013560558893E-3</v>
      </c>
      <c r="W107" s="11">
        <v>-6.2478909118403696E-3</v>
      </c>
      <c r="X107" s="16">
        <v>1.1105087310092601</v>
      </c>
      <c r="Y107" s="16">
        <v>1.0957888908294</v>
      </c>
      <c r="Z107" s="16">
        <v>1.10274931212835</v>
      </c>
      <c r="AA107" s="16">
        <v>1.1036410156801</v>
      </c>
      <c r="AB107" s="15">
        <v>173.824991752269</v>
      </c>
      <c r="AC107" s="15">
        <v>174.749963390646</v>
      </c>
      <c r="AD107" s="15">
        <v>175.062802690712</v>
      </c>
      <c r="AE107" s="11">
        <v>-1.3343674437761899E-2</v>
      </c>
      <c r="AF107" s="11">
        <v>-8.0365013560558893E-3</v>
      </c>
      <c r="AG107" s="11">
        <v>-6.2478909118403696E-3</v>
      </c>
      <c r="AZ107" s="11"/>
      <c r="BB107">
        <f t="shared" si="22"/>
        <v>1</v>
      </c>
      <c r="BC107">
        <f t="shared" si="23"/>
        <v>0</v>
      </c>
      <c r="BD107">
        <f t="shared" si="24"/>
        <v>1</v>
      </c>
      <c r="BE107">
        <f t="shared" si="20"/>
        <v>1</v>
      </c>
      <c r="BF107">
        <f t="shared" si="25"/>
        <v>1</v>
      </c>
      <c r="BG107" s="11">
        <f t="shared" si="26"/>
        <v>1.3518436440155801E-2</v>
      </c>
      <c r="BH107" s="11">
        <f t="shared" si="27"/>
        <v>-1.2050058716921899E-2</v>
      </c>
      <c r="BI107" s="11">
        <f t="shared" si="28"/>
        <v>1.4683777232339015E-3</v>
      </c>
      <c r="BJ107" s="6">
        <f t="shared" si="29"/>
        <v>-2.6632587958677935E-3</v>
      </c>
      <c r="BL107" s="11"/>
      <c r="BN107">
        <f t="shared" si="30"/>
        <v>0</v>
      </c>
      <c r="BO107">
        <f t="shared" si="31"/>
        <v>1</v>
      </c>
      <c r="BP107">
        <f t="shared" si="32"/>
        <v>0</v>
      </c>
      <c r="BQ107">
        <f t="shared" si="21"/>
        <v>1</v>
      </c>
      <c r="BR107">
        <f t="shared" si="33"/>
        <v>0</v>
      </c>
      <c r="BS107" s="11">
        <f t="shared" si="34"/>
        <v>0</v>
      </c>
      <c r="BT107" s="11">
        <f t="shared" si="35"/>
        <v>0</v>
      </c>
      <c r="BU107" s="11">
        <f t="shared" si="36"/>
        <v>0</v>
      </c>
      <c r="BV107" s="6">
        <f t="shared" si="37"/>
        <v>3.0819014150807109E-2</v>
      </c>
      <c r="BX107" s="6">
        <f t="shared" si="38"/>
        <v>1.4683777232339015E-3</v>
      </c>
      <c r="BY107" s="6">
        <f t="shared" si="39"/>
        <v>2.8155755354939319E-2</v>
      </c>
    </row>
    <row r="108" spans="1:77" x14ac:dyDescent="0.3">
      <c r="A108" s="1">
        <v>46178</v>
      </c>
      <c r="B108" s="15">
        <v>157.19</v>
      </c>
      <c r="C108" s="15">
        <v>174.18</v>
      </c>
      <c r="D108" s="11">
        <v>-9.1191816802172806E-3</v>
      </c>
      <c r="E108" s="11">
        <v>-1.13034257097762E-2</v>
      </c>
      <c r="F108" s="15">
        <v>0</v>
      </c>
      <c r="G108" s="15">
        <v>0.27510000000000001</v>
      </c>
      <c r="H108" s="15">
        <v>0</v>
      </c>
      <c r="I108" s="15">
        <v>0.45319999999999999</v>
      </c>
      <c r="J108" s="15">
        <v>0</v>
      </c>
      <c r="K108" s="15">
        <v>0</v>
      </c>
      <c r="L108" s="15">
        <v>157.19</v>
      </c>
      <c r="M108" s="15">
        <v>174.18</v>
      </c>
      <c r="N108" s="16">
        <v>1.10808575609135</v>
      </c>
      <c r="O108" s="16">
        <v>1.0958817339640901</v>
      </c>
      <c r="P108" s="16">
        <v>1.1035385328987699</v>
      </c>
      <c r="Q108" s="16">
        <v>1.1038772629012801</v>
      </c>
      <c r="R108" s="15">
        <v>172.26164976181499</v>
      </c>
      <c r="S108" s="15">
        <v>173.341164373455</v>
      </c>
      <c r="T108" s="15">
        <v>173.48133125475599</v>
      </c>
      <c r="U108" s="11">
        <v>-1.1074706788069801E-2</v>
      </c>
      <c r="V108" s="11">
        <v>-4.8275463001435396E-3</v>
      </c>
      <c r="W108" s="11">
        <v>-4.0192545042059998E-3</v>
      </c>
      <c r="X108" s="16">
        <v>1.10808575609135</v>
      </c>
      <c r="Y108" s="16">
        <v>1.0957888908294</v>
      </c>
      <c r="Z108" s="16">
        <v>1.1035385328987699</v>
      </c>
      <c r="AA108" s="16">
        <v>1.1038772629012801</v>
      </c>
      <c r="AB108" s="15">
        <v>172.24705574947399</v>
      </c>
      <c r="AC108" s="15">
        <v>173.341164373455</v>
      </c>
      <c r="AD108" s="15">
        <v>173.48133125475599</v>
      </c>
      <c r="AE108" s="11">
        <v>-1.11594304082029E-2</v>
      </c>
      <c r="AF108" s="11">
        <v>-4.8275463001437599E-3</v>
      </c>
      <c r="AG108" s="11">
        <v>-4.0192545042059998E-3</v>
      </c>
      <c r="AZ108" s="11"/>
      <c r="BB108">
        <f t="shared" si="22"/>
        <v>0</v>
      </c>
      <c r="BC108">
        <f t="shared" si="23"/>
        <v>0</v>
      </c>
      <c r="BD108">
        <f t="shared" si="24"/>
        <v>1</v>
      </c>
      <c r="BE108">
        <f t="shared" si="20"/>
        <v>1</v>
      </c>
      <c r="BF108">
        <f t="shared" si="25"/>
        <v>1</v>
      </c>
      <c r="BG108" s="11">
        <f t="shared" si="26"/>
        <v>-9.1191816802172806E-3</v>
      </c>
      <c r="BH108" s="11">
        <f t="shared" si="27"/>
        <v>1.13034257097762E-2</v>
      </c>
      <c r="BI108" s="11">
        <f t="shared" si="28"/>
        <v>2.1842440295589197E-3</v>
      </c>
      <c r="BJ108" s="6">
        <f t="shared" si="29"/>
        <v>-4.7901476630887382E-4</v>
      </c>
      <c r="BL108" s="11"/>
      <c r="BN108">
        <f t="shared" si="30"/>
        <v>0</v>
      </c>
      <c r="BO108">
        <f t="shared" si="31"/>
        <v>1</v>
      </c>
      <c r="BP108">
        <f t="shared" si="32"/>
        <v>0</v>
      </c>
      <c r="BQ108">
        <f t="shared" si="21"/>
        <v>1</v>
      </c>
      <c r="BR108">
        <f t="shared" si="33"/>
        <v>0</v>
      </c>
      <c r="BS108" s="11">
        <f t="shared" si="34"/>
        <v>0</v>
      </c>
      <c r="BT108" s="11">
        <f t="shared" si="35"/>
        <v>0</v>
      </c>
      <c r="BU108" s="11">
        <f t="shared" si="36"/>
        <v>0</v>
      </c>
      <c r="BV108" s="6">
        <f t="shared" si="37"/>
        <v>3.0819014150807109E-2</v>
      </c>
      <c r="BX108" s="6">
        <f t="shared" si="38"/>
        <v>2.1842440295589197E-3</v>
      </c>
      <c r="BY108" s="6">
        <f t="shared" si="39"/>
        <v>3.0339999384498238E-2</v>
      </c>
    </row>
    <row r="109" spans="1:77" x14ac:dyDescent="0.3">
      <c r="A109" s="1">
        <v>46181</v>
      </c>
      <c r="B109" s="15">
        <v>156.63</v>
      </c>
      <c r="C109" s="15">
        <v>173.63</v>
      </c>
      <c r="D109" s="11">
        <v>-3.5689286495759098E-3</v>
      </c>
      <c r="E109" s="11">
        <v>-3.1626489085471599E-3</v>
      </c>
      <c r="F109" s="15">
        <v>0</v>
      </c>
      <c r="G109" s="15">
        <v>0.27510000000000001</v>
      </c>
      <c r="H109" s="15">
        <v>0</v>
      </c>
      <c r="I109" s="15">
        <v>0.45319999999999999</v>
      </c>
      <c r="J109" s="15">
        <v>0</v>
      </c>
      <c r="K109" s="15">
        <v>0</v>
      </c>
      <c r="L109" s="15">
        <v>156.63</v>
      </c>
      <c r="M109" s="15">
        <v>173.63</v>
      </c>
      <c r="N109" s="16">
        <v>1.1085360403498601</v>
      </c>
      <c r="O109" s="16">
        <v>1.0958817339640901</v>
      </c>
      <c r="P109" s="16">
        <v>1.10438188971972</v>
      </c>
      <c r="Q109" s="16">
        <v>1.1042395262273501</v>
      </c>
      <c r="R109" s="15">
        <v>171.647955990795</v>
      </c>
      <c r="S109" s="15">
        <v>172.847240407935</v>
      </c>
      <c r="T109" s="15">
        <v>172.900295688228</v>
      </c>
      <c r="U109" s="11">
        <v>-1.14809865290985E-2</v>
      </c>
      <c r="V109" s="11">
        <v>-4.5183973577688297E-3</v>
      </c>
      <c r="W109" s="11">
        <v>-4.2114954992134397E-3</v>
      </c>
      <c r="X109" s="16">
        <v>1.1085360403498601</v>
      </c>
      <c r="Y109" s="16">
        <v>1.0957888908294</v>
      </c>
      <c r="Z109" s="16">
        <v>1.10438188971972</v>
      </c>
      <c r="AA109" s="16">
        <v>1.1042395262273501</v>
      </c>
      <c r="AB109" s="15">
        <v>171.63341397061001</v>
      </c>
      <c r="AC109" s="15">
        <v>172.847240407935</v>
      </c>
      <c r="AD109" s="15">
        <v>172.900295688228</v>
      </c>
      <c r="AE109" s="11">
        <v>-1.15657101492315E-2</v>
      </c>
      <c r="AF109" s="11">
        <v>-4.5183973577688297E-3</v>
      </c>
      <c r="AG109" s="11">
        <v>-4.2114954992134397E-3</v>
      </c>
      <c r="AZ109" s="11"/>
      <c r="BB109">
        <f t="shared" si="22"/>
        <v>0</v>
      </c>
      <c r="BC109">
        <f t="shared" si="23"/>
        <v>0</v>
      </c>
      <c r="BD109">
        <f t="shared" si="24"/>
        <v>1</v>
      </c>
      <c r="BE109">
        <f t="shared" si="20"/>
        <v>1</v>
      </c>
      <c r="BF109">
        <f t="shared" si="25"/>
        <v>1</v>
      </c>
      <c r="BG109" s="11">
        <f t="shared" si="26"/>
        <v>-3.5689286495759098E-3</v>
      </c>
      <c r="BH109" s="11">
        <f t="shared" si="27"/>
        <v>3.1626489085471599E-3</v>
      </c>
      <c r="BI109" s="11">
        <f t="shared" si="28"/>
        <v>-4.0627974102874992E-4</v>
      </c>
      <c r="BJ109" s="6">
        <f t="shared" si="29"/>
        <v>-8.8529450733762375E-4</v>
      </c>
      <c r="BL109" s="11"/>
      <c r="BN109">
        <f t="shared" si="30"/>
        <v>0</v>
      </c>
      <c r="BO109">
        <f t="shared" si="31"/>
        <v>1</v>
      </c>
      <c r="BP109">
        <f t="shared" si="32"/>
        <v>0</v>
      </c>
      <c r="BQ109">
        <f t="shared" si="21"/>
        <v>1</v>
      </c>
      <c r="BR109">
        <f t="shared" si="33"/>
        <v>0</v>
      </c>
      <c r="BS109" s="11">
        <f t="shared" si="34"/>
        <v>0</v>
      </c>
      <c r="BT109" s="11">
        <f t="shared" si="35"/>
        <v>0</v>
      </c>
      <c r="BU109" s="11">
        <f t="shared" si="36"/>
        <v>0</v>
      </c>
      <c r="BV109" s="6">
        <f t="shared" si="37"/>
        <v>3.0819014150807109E-2</v>
      </c>
      <c r="BX109" s="6">
        <f t="shared" si="38"/>
        <v>-4.0627974102874992E-4</v>
      </c>
      <c r="BY109" s="6">
        <f t="shared" si="39"/>
        <v>2.9933719643469487E-2</v>
      </c>
    </row>
    <row r="110" spans="1:77" x14ac:dyDescent="0.3">
      <c r="A110" s="1">
        <v>46182</v>
      </c>
      <c r="B110" s="15">
        <v>158.65</v>
      </c>
      <c r="C110" s="15">
        <v>175.6</v>
      </c>
      <c r="D110" s="11">
        <v>1.2814181938634E-2</v>
      </c>
      <c r="E110" s="11">
        <v>1.12820828449698E-2</v>
      </c>
      <c r="F110" s="15">
        <v>0</v>
      </c>
      <c r="G110" s="15">
        <v>0.27510000000000001</v>
      </c>
      <c r="H110" s="15">
        <v>0</v>
      </c>
      <c r="I110" s="15">
        <v>0.45319999999999999</v>
      </c>
      <c r="J110" s="15">
        <v>0</v>
      </c>
      <c r="K110" s="15">
        <v>0</v>
      </c>
      <c r="L110" s="15">
        <v>158.65</v>
      </c>
      <c r="M110" s="15">
        <v>175.6</v>
      </c>
      <c r="N110" s="16">
        <v>1.1068389536715999</v>
      </c>
      <c r="O110" s="16">
        <v>1.0958817339640901</v>
      </c>
      <c r="P110" s="16">
        <v>1.1048539608693699</v>
      </c>
      <c r="Q110" s="16">
        <v>1.1042765765965601</v>
      </c>
      <c r="R110" s="15">
        <v>173.86163709340201</v>
      </c>
      <c r="S110" s="15">
        <v>175.21018680403401</v>
      </c>
      <c r="T110" s="15">
        <v>175.18760083596999</v>
      </c>
      <c r="U110" s="11">
        <v>-9.9488874354344697E-3</v>
      </c>
      <c r="V110" s="11">
        <v>-2.22236053036764E-3</v>
      </c>
      <c r="W110" s="11">
        <v>-2.35127668733084E-3</v>
      </c>
      <c r="X110" s="16">
        <v>1.1068389536715999</v>
      </c>
      <c r="Y110" s="16">
        <v>1.0957888908294</v>
      </c>
      <c r="Z110" s="16">
        <v>1.1048539608693699</v>
      </c>
      <c r="AA110" s="16">
        <v>1.1042765765965601</v>
      </c>
      <c r="AB110" s="15">
        <v>173.84690753008499</v>
      </c>
      <c r="AC110" s="15">
        <v>175.21018680403401</v>
      </c>
      <c r="AD110" s="15">
        <v>175.18760083596999</v>
      </c>
      <c r="AE110" s="11">
        <v>-1.00336110555675E-2</v>
      </c>
      <c r="AF110" s="11">
        <v>-2.22236053036764E-3</v>
      </c>
      <c r="AG110" s="11">
        <v>-2.35127668733084E-3</v>
      </c>
      <c r="AZ110" s="11"/>
      <c r="BB110">
        <f t="shared" si="22"/>
        <v>0</v>
      </c>
      <c r="BC110">
        <f t="shared" si="23"/>
        <v>0</v>
      </c>
      <c r="BD110">
        <f t="shared" si="24"/>
        <v>1</v>
      </c>
      <c r="BE110">
        <f t="shared" si="20"/>
        <v>1</v>
      </c>
      <c r="BF110">
        <f t="shared" si="25"/>
        <v>1</v>
      </c>
      <c r="BG110" s="11">
        <f t="shared" si="26"/>
        <v>1.2814181938634E-2</v>
      </c>
      <c r="BH110" s="11">
        <f t="shared" si="27"/>
        <v>-1.12820828449698E-2</v>
      </c>
      <c r="BI110" s="11">
        <f t="shared" si="28"/>
        <v>1.5320990936642E-3</v>
      </c>
      <c r="BJ110" s="6">
        <f t="shared" si="29"/>
        <v>6.4680458632657622E-4</v>
      </c>
      <c r="BL110" s="11"/>
      <c r="BN110">
        <f t="shared" si="30"/>
        <v>0</v>
      </c>
      <c r="BO110">
        <f t="shared" si="31"/>
        <v>1</v>
      </c>
      <c r="BP110">
        <f t="shared" si="32"/>
        <v>0</v>
      </c>
      <c r="BQ110">
        <f t="shared" si="21"/>
        <v>1</v>
      </c>
      <c r="BR110">
        <f t="shared" si="33"/>
        <v>0</v>
      </c>
      <c r="BS110" s="11">
        <f t="shared" si="34"/>
        <v>0</v>
      </c>
      <c r="BT110" s="11">
        <f t="shared" si="35"/>
        <v>0</v>
      </c>
      <c r="BU110" s="11">
        <f t="shared" si="36"/>
        <v>0</v>
      </c>
      <c r="BV110" s="6">
        <f t="shared" si="37"/>
        <v>3.0819014150807109E-2</v>
      </c>
      <c r="BX110" s="6">
        <f t="shared" si="38"/>
        <v>1.5320990936642E-3</v>
      </c>
      <c r="BY110" s="6">
        <f t="shared" si="39"/>
        <v>3.1465818737133687E-2</v>
      </c>
    </row>
    <row r="111" spans="1:77" x14ac:dyDescent="0.3">
      <c r="A111" s="1">
        <v>46183</v>
      </c>
      <c r="B111" s="15">
        <v>153.78</v>
      </c>
      <c r="C111" s="15">
        <v>169.66</v>
      </c>
      <c r="D111" s="11">
        <v>-3.1177508425169798E-2</v>
      </c>
      <c r="E111" s="11">
        <v>-3.44122468214276E-2</v>
      </c>
      <c r="F111" s="15">
        <v>0</v>
      </c>
      <c r="G111" s="15">
        <v>0.27510000000000001</v>
      </c>
      <c r="H111" s="15">
        <v>0</v>
      </c>
      <c r="I111" s="15">
        <v>0.45319999999999999</v>
      </c>
      <c r="J111" s="15">
        <v>0</v>
      </c>
      <c r="K111" s="15">
        <v>0</v>
      </c>
      <c r="L111" s="15">
        <v>153.78</v>
      </c>
      <c r="M111" s="15">
        <v>169.66</v>
      </c>
      <c r="N111" s="16">
        <v>1.1032644036935799</v>
      </c>
      <c r="O111" s="16">
        <v>1.0958817339640901</v>
      </c>
      <c r="P111" s="16">
        <v>1.1051077773044</v>
      </c>
      <c r="Q111" s="16">
        <v>1.1041081560322701</v>
      </c>
      <c r="R111" s="15">
        <v>168.52469304899699</v>
      </c>
      <c r="S111" s="15">
        <v>169.904442102492</v>
      </c>
      <c r="T111" s="15">
        <v>169.81565194901901</v>
      </c>
      <c r="U111" s="11">
        <v>-6.71414903917672E-3</v>
      </c>
      <c r="V111" s="11">
        <v>1.4397393508167699E-3</v>
      </c>
      <c r="W111" s="11">
        <v>9.1701398337967505E-4</v>
      </c>
      <c r="X111" s="16">
        <v>1.1032644036935799</v>
      </c>
      <c r="Y111" s="16">
        <v>1.0957888908294</v>
      </c>
      <c r="Z111" s="16">
        <v>1.1051077773044</v>
      </c>
      <c r="AA111" s="16">
        <v>1.1041081560322701</v>
      </c>
      <c r="AB111" s="15">
        <v>168.51041563174601</v>
      </c>
      <c r="AC111" s="15">
        <v>169.904442102492</v>
      </c>
      <c r="AD111" s="15">
        <v>169.81565194901901</v>
      </c>
      <c r="AE111" s="11">
        <v>-6.7988726593098204E-3</v>
      </c>
      <c r="AF111" s="11">
        <v>1.4397393508165501E-3</v>
      </c>
      <c r="AG111" s="11">
        <v>9.1701398337967505E-4</v>
      </c>
      <c r="AZ111" s="11"/>
      <c r="BB111">
        <f t="shared" si="22"/>
        <v>0</v>
      </c>
      <c r="BC111">
        <f t="shared" si="23"/>
        <v>1</v>
      </c>
      <c r="BD111">
        <f t="shared" si="24"/>
        <v>1</v>
      </c>
      <c r="BE111">
        <f t="shared" si="20"/>
        <v>1</v>
      </c>
      <c r="BF111">
        <f t="shared" si="25"/>
        <v>1</v>
      </c>
      <c r="BG111" s="11">
        <f t="shared" si="26"/>
        <v>-3.1177508425169798E-2</v>
      </c>
      <c r="BH111" s="11">
        <f t="shared" si="27"/>
        <v>3.44122468214276E-2</v>
      </c>
      <c r="BI111" s="11">
        <f t="shared" si="28"/>
        <v>3.2347383962578018E-3</v>
      </c>
      <c r="BJ111" s="6">
        <f t="shared" si="29"/>
        <v>3.881542982584378E-3</v>
      </c>
      <c r="BL111" s="11"/>
      <c r="BN111">
        <f t="shared" si="30"/>
        <v>0</v>
      </c>
      <c r="BO111">
        <f t="shared" si="31"/>
        <v>0</v>
      </c>
      <c r="BP111">
        <f t="shared" si="32"/>
        <v>0</v>
      </c>
      <c r="BQ111">
        <f t="shared" si="21"/>
        <v>1</v>
      </c>
      <c r="BR111">
        <f t="shared" si="33"/>
        <v>0</v>
      </c>
      <c r="BS111" s="11">
        <f t="shared" si="34"/>
        <v>0</v>
      </c>
      <c r="BT111" s="11">
        <f t="shared" si="35"/>
        <v>0</v>
      </c>
      <c r="BU111" s="11">
        <f t="shared" si="36"/>
        <v>0</v>
      </c>
      <c r="BV111" s="6">
        <f t="shared" si="37"/>
        <v>3.0819014150807109E-2</v>
      </c>
      <c r="BX111" s="6">
        <f t="shared" si="38"/>
        <v>3.2347383962578018E-3</v>
      </c>
      <c r="BY111" s="6">
        <f t="shared" si="39"/>
        <v>3.4700557133391485E-2</v>
      </c>
    </row>
    <row r="112" spans="1:77" x14ac:dyDescent="0.3">
      <c r="A112" s="1">
        <v>46184</v>
      </c>
      <c r="B112" s="15">
        <v>158.07</v>
      </c>
      <c r="C112" s="15">
        <v>175.15</v>
      </c>
      <c r="D112" s="11">
        <v>2.7514963285269301E-2</v>
      </c>
      <c r="E112" s="11">
        <v>3.1846315263907098E-2</v>
      </c>
      <c r="F112" s="15">
        <v>0</v>
      </c>
      <c r="G112" s="15">
        <v>0.27510000000000001</v>
      </c>
      <c r="H112" s="15">
        <v>0</v>
      </c>
      <c r="I112" s="15">
        <v>0.45319999999999999</v>
      </c>
      <c r="J112" s="15">
        <v>0</v>
      </c>
      <c r="K112" s="15">
        <v>0</v>
      </c>
      <c r="L112" s="15">
        <v>158.07</v>
      </c>
      <c r="M112" s="15">
        <v>175.15</v>
      </c>
      <c r="N112" s="16">
        <v>1.1080533940659201</v>
      </c>
      <c r="O112" s="16">
        <v>1.0958817339640901</v>
      </c>
      <c r="P112" s="16">
        <v>1.10595487300607</v>
      </c>
      <c r="Q112" s="16">
        <v>1.10401990269798</v>
      </c>
      <c r="R112" s="15">
        <v>173.22602568770299</v>
      </c>
      <c r="S112" s="15">
        <v>174.684386358507</v>
      </c>
      <c r="T112" s="15">
        <v>174.52637622402099</v>
      </c>
      <c r="U112" s="11">
        <v>-1.10455010178144E-2</v>
      </c>
      <c r="V112" s="11">
        <v>-2.66191051871454E-3</v>
      </c>
      <c r="W112" s="11">
        <v>-3.5668662772441501E-3</v>
      </c>
      <c r="X112" s="16">
        <v>1.1080533940659201</v>
      </c>
      <c r="Y112" s="16">
        <v>1.0957888908294</v>
      </c>
      <c r="Z112" s="16">
        <v>1.10595487300607</v>
      </c>
      <c r="AA112" s="16">
        <v>1.10401990269798</v>
      </c>
      <c r="AB112" s="15">
        <v>173.211349973404</v>
      </c>
      <c r="AC112" s="15">
        <v>174.684386358507</v>
      </c>
      <c r="AD112" s="15">
        <v>174.52637622402099</v>
      </c>
      <c r="AE112" s="11">
        <v>-1.1130224637947699E-2</v>
      </c>
      <c r="AF112" s="11">
        <v>-2.66191051871454E-3</v>
      </c>
      <c r="AG112" s="11">
        <v>-3.56686627724382E-3</v>
      </c>
      <c r="AZ112" s="11"/>
      <c r="BB112">
        <f t="shared" si="22"/>
        <v>0</v>
      </c>
      <c r="BC112">
        <f t="shared" si="23"/>
        <v>0</v>
      </c>
      <c r="BD112">
        <f t="shared" si="24"/>
        <v>0</v>
      </c>
      <c r="BE112">
        <f t="shared" si="20"/>
        <v>1</v>
      </c>
      <c r="BF112">
        <f t="shared" si="25"/>
        <v>0</v>
      </c>
      <c r="BG112" s="11">
        <f t="shared" si="26"/>
        <v>0</v>
      </c>
      <c r="BH112" s="11">
        <f t="shared" si="27"/>
        <v>0</v>
      </c>
      <c r="BI112" s="11">
        <f t="shared" si="28"/>
        <v>0</v>
      </c>
      <c r="BJ112" s="6">
        <f t="shared" si="29"/>
        <v>3.881542982584378E-3</v>
      </c>
      <c r="BL112" s="11"/>
      <c r="BN112">
        <f t="shared" si="30"/>
        <v>0</v>
      </c>
      <c r="BO112">
        <f t="shared" si="31"/>
        <v>1</v>
      </c>
      <c r="BP112">
        <f t="shared" si="32"/>
        <v>0</v>
      </c>
      <c r="BQ112">
        <f t="shared" si="21"/>
        <v>1</v>
      </c>
      <c r="BR112">
        <f t="shared" si="33"/>
        <v>0</v>
      </c>
      <c r="BS112" s="11">
        <f t="shared" si="34"/>
        <v>0</v>
      </c>
      <c r="BT112" s="11">
        <f t="shared" si="35"/>
        <v>0</v>
      </c>
      <c r="BU112" s="11">
        <f t="shared" si="36"/>
        <v>0</v>
      </c>
      <c r="BV112" s="6">
        <f t="shared" si="37"/>
        <v>3.0819014150807109E-2</v>
      </c>
      <c r="BX112" s="6">
        <f t="shared" si="38"/>
        <v>0</v>
      </c>
      <c r="BY112" s="6">
        <f t="shared" si="39"/>
        <v>3.4700557133391485E-2</v>
      </c>
    </row>
    <row r="113" spans="1:77" x14ac:dyDescent="0.3">
      <c r="A113" s="1">
        <v>46185</v>
      </c>
      <c r="B113" s="15">
        <v>159.13999999999999</v>
      </c>
      <c r="C113" s="15">
        <v>176.18</v>
      </c>
      <c r="D113" s="11">
        <v>6.7463450600847201E-3</v>
      </c>
      <c r="E113" s="11">
        <v>5.8634500381539098E-3</v>
      </c>
      <c r="F113" s="15">
        <v>0</v>
      </c>
      <c r="G113" s="15">
        <v>0.27510000000000001</v>
      </c>
      <c r="H113" s="15">
        <v>0</v>
      </c>
      <c r="I113" s="15">
        <v>0.45319999999999999</v>
      </c>
      <c r="J113" s="15">
        <v>0</v>
      </c>
      <c r="K113" s="15">
        <v>0</v>
      </c>
      <c r="L113" s="15">
        <v>159.13999999999999</v>
      </c>
      <c r="M113" s="15">
        <v>176.18</v>
      </c>
      <c r="N113" s="16">
        <v>1.1070755309790099</v>
      </c>
      <c r="O113" s="16">
        <v>1.0958817339640901</v>
      </c>
      <c r="P113" s="16">
        <v>1.1070031912420599</v>
      </c>
      <c r="Q113" s="16">
        <v>1.1038961868766399</v>
      </c>
      <c r="R113" s="15">
        <v>174.39861914304501</v>
      </c>
      <c r="S113" s="15">
        <v>176.001658490187</v>
      </c>
      <c r="T113" s="15">
        <v>175.69372731535699</v>
      </c>
      <c r="U113" s="11">
        <v>-1.0162605995883599E-2</v>
      </c>
      <c r="V113" s="11">
        <v>-1.01278144819505E-3</v>
      </c>
      <c r="W113" s="11">
        <v>-2.76390623371107E-3</v>
      </c>
      <c r="X113" s="16">
        <v>1.1070755309790099</v>
      </c>
      <c r="Y113" s="16">
        <v>1.0957888908294</v>
      </c>
      <c r="Z113" s="16">
        <v>1.1070031912420499</v>
      </c>
      <c r="AA113" s="16">
        <v>1.1038961868766399</v>
      </c>
      <c r="AB113" s="15">
        <v>174.38384408659201</v>
      </c>
      <c r="AC113" s="15">
        <v>176.001658490187</v>
      </c>
      <c r="AD113" s="15">
        <v>175.69372731535699</v>
      </c>
      <c r="AE113" s="11">
        <v>-1.02473296160168E-2</v>
      </c>
      <c r="AF113" s="11">
        <v>-1.01278144819505E-3</v>
      </c>
      <c r="AG113" s="11">
        <v>-2.76390623371107E-3</v>
      </c>
      <c r="AZ113" s="11"/>
      <c r="BB113">
        <f t="shared" si="22"/>
        <v>0</v>
      </c>
      <c r="BC113">
        <f t="shared" si="23"/>
        <v>0</v>
      </c>
      <c r="BD113">
        <f t="shared" si="24"/>
        <v>0</v>
      </c>
      <c r="BE113">
        <f t="shared" si="20"/>
        <v>0</v>
      </c>
      <c r="BF113">
        <f t="shared" si="25"/>
        <v>0</v>
      </c>
      <c r="BG113" s="11">
        <f t="shared" si="26"/>
        <v>0</v>
      </c>
      <c r="BH113" s="11">
        <f t="shared" si="27"/>
        <v>0</v>
      </c>
      <c r="BI113" s="11">
        <f t="shared" si="28"/>
        <v>0</v>
      </c>
      <c r="BJ113" s="6">
        <f t="shared" si="29"/>
        <v>3.881542982584378E-3</v>
      </c>
      <c r="BL113" s="11"/>
      <c r="BN113">
        <f t="shared" si="30"/>
        <v>0</v>
      </c>
      <c r="BO113">
        <f t="shared" si="31"/>
        <v>1</v>
      </c>
      <c r="BP113">
        <f t="shared" si="32"/>
        <v>0</v>
      </c>
      <c r="BQ113">
        <f t="shared" si="21"/>
        <v>0</v>
      </c>
      <c r="BR113">
        <f t="shared" si="33"/>
        <v>0</v>
      </c>
      <c r="BS113" s="11">
        <f t="shared" si="34"/>
        <v>0</v>
      </c>
      <c r="BT113" s="11">
        <f t="shared" si="35"/>
        <v>0</v>
      </c>
      <c r="BU113" s="11">
        <f t="shared" si="36"/>
        <v>0</v>
      </c>
      <c r="BV113" s="6">
        <f t="shared" si="37"/>
        <v>3.0819014150807109E-2</v>
      </c>
      <c r="BX113" s="6">
        <f t="shared" si="38"/>
        <v>0</v>
      </c>
      <c r="BY113" s="6">
        <f t="shared" si="39"/>
        <v>3.4700557133391485E-2</v>
      </c>
    </row>
    <row r="114" spans="1:77" x14ac:dyDescent="0.3">
      <c r="A114" s="1">
        <v>46188</v>
      </c>
      <c r="B114" s="15">
        <v>161</v>
      </c>
      <c r="C114" s="15">
        <v>178.68</v>
      </c>
      <c r="D114" s="11">
        <v>1.16200470350742E-2</v>
      </c>
      <c r="E114" s="11">
        <v>1.4090296802268301E-2</v>
      </c>
      <c r="F114" s="15">
        <v>0.26229999999999998</v>
      </c>
      <c r="G114" s="15">
        <v>0.53739999999999999</v>
      </c>
      <c r="H114" s="15">
        <v>0</v>
      </c>
      <c r="I114" s="15">
        <v>0.45319999999999999</v>
      </c>
      <c r="J114" s="15">
        <v>0.26229999999999998</v>
      </c>
      <c r="K114" s="15">
        <v>0</v>
      </c>
      <c r="L114" s="15">
        <v>161.26230000000001</v>
      </c>
      <c r="M114" s="15">
        <v>178.68</v>
      </c>
      <c r="N114" s="16">
        <v>1.10981366459627</v>
      </c>
      <c r="O114" s="16">
        <v>1.0958817339640901</v>
      </c>
      <c r="P114" s="16">
        <v>1.10804960042582</v>
      </c>
      <c r="Q114" s="16">
        <v>1.1040429889311201</v>
      </c>
      <c r="R114" s="15">
        <v>176.43695916821801</v>
      </c>
      <c r="S114" s="15">
        <v>178.227513789971</v>
      </c>
      <c r="T114" s="15">
        <v>177.72728608713899</v>
      </c>
      <c r="U114" s="11">
        <v>-1.2632855763077801E-2</v>
      </c>
      <c r="V114" s="11">
        <v>-2.53559499295496E-3</v>
      </c>
      <c r="W114" s="11">
        <v>-5.3462216922219603E-3</v>
      </c>
      <c r="X114" s="16">
        <v>1.10800850539772</v>
      </c>
      <c r="Y114" s="16">
        <v>1.0957888908294</v>
      </c>
      <c r="Z114" s="16">
        <v>1.10786908450597</v>
      </c>
      <c r="AA114" s="16">
        <v>1.1039527309711901</v>
      </c>
      <c r="AB114" s="15">
        <v>176.709436849599</v>
      </c>
      <c r="AC114" s="15">
        <v>178.517880727034</v>
      </c>
      <c r="AD114" s="15">
        <v>178.016838056956</v>
      </c>
      <c r="AE114" s="11">
        <v>-1.10897125311247E-2</v>
      </c>
      <c r="AF114" s="11">
        <v>-9.07728140869119E-4</v>
      </c>
      <c r="AG114" s="11">
        <v>-3.7183548401359501E-3</v>
      </c>
      <c r="AZ114" s="11"/>
      <c r="BB114">
        <f t="shared" si="22"/>
        <v>0</v>
      </c>
      <c r="BC114">
        <f t="shared" si="23"/>
        <v>0</v>
      </c>
      <c r="BD114">
        <f t="shared" si="24"/>
        <v>0</v>
      </c>
      <c r="BE114">
        <f t="shared" si="20"/>
        <v>1</v>
      </c>
      <c r="BF114">
        <f t="shared" si="25"/>
        <v>0</v>
      </c>
      <c r="BG114" s="11">
        <f t="shared" si="26"/>
        <v>0</v>
      </c>
      <c r="BH114" s="11">
        <f t="shared" si="27"/>
        <v>0</v>
      </c>
      <c r="BI114" s="11">
        <f t="shared" si="28"/>
        <v>0</v>
      </c>
      <c r="BJ114" s="6">
        <f t="shared" si="29"/>
        <v>3.881542982584378E-3</v>
      </c>
      <c r="BL114" s="11"/>
      <c r="BN114">
        <f t="shared" si="30"/>
        <v>0</v>
      </c>
      <c r="BO114">
        <f t="shared" si="31"/>
        <v>1</v>
      </c>
      <c r="BP114">
        <f t="shared" si="32"/>
        <v>0</v>
      </c>
      <c r="BQ114">
        <f t="shared" si="21"/>
        <v>1</v>
      </c>
      <c r="BR114">
        <f t="shared" si="33"/>
        <v>0</v>
      </c>
      <c r="BS114" s="11">
        <f t="shared" si="34"/>
        <v>0</v>
      </c>
      <c r="BT114" s="11">
        <f t="shared" si="35"/>
        <v>0</v>
      </c>
      <c r="BU114" s="11">
        <f t="shared" si="36"/>
        <v>0</v>
      </c>
      <c r="BV114" s="6">
        <f t="shared" si="37"/>
        <v>3.0819014150807109E-2</v>
      </c>
      <c r="BX114" s="6">
        <f t="shared" si="38"/>
        <v>0</v>
      </c>
      <c r="BY114" s="6">
        <f t="shared" si="39"/>
        <v>3.4700557133391485E-2</v>
      </c>
    </row>
    <row r="115" spans="1:77" x14ac:dyDescent="0.3">
      <c r="A115" s="1">
        <v>46189</v>
      </c>
      <c r="B115" s="15">
        <v>162.47</v>
      </c>
      <c r="C115" s="15">
        <v>179.85</v>
      </c>
      <c r="D115" s="11">
        <v>9.0890043571959494E-3</v>
      </c>
      <c r="E115" s="11">
        <v>6.5266736577149799E-3</v>
      </c>
      <c r="F115" s="15">
        <v>0</v>
      </c>
      <c r="G115" s="15">
        <v>0.53739999999999999</v>
      </c>
      <c r="H115" s="15">
        <v>0</v>
      </c>
      <c r="I115" s="15">
        <v>0.45319999999999999</v>
      </c>
      <c r="J115" s="15">
        <v>0.26229999999999998</v>
      </c>
      <c r="K115" s="15">
        <v>0</v>
      </c>
      <c r="L115" s="15">
        <v>162.73230000000001</v>
      </c>
      <c r="M115" s="15">
        <v>179.85</v>
      </c>
      <c r="N115" s="16">
        <v>1.10697359512525</v>
      </c>
      <c r="O115" s="16">
        <v>1.0958817339640901</v>
      </c>
      <c r="P115" s="16">
        <v>1.1081290644662001</v>
      </c>
      <c r="Q115" s="16">
        <v>1.10435363361776</v>
      </c>
      <c r="R115" s="15">
        <v>178.04790531714499</v>
      </c>
      <c r="S115" s="15">
        <v>180.02481858118401</v>
      </c>
      <c r="T115" s="15">
        <v>179.373864411639</v>
      </c>
      <c r="U115" s="11">
        <v>-1.0070525063596699E-2</v>
      </c>
      <c r="V115" s="11">
        <v>9.7155225044586596E-4</v>
      </c>
      <c r="W115" s="11">
        <v>-2.6509144539778799E-3</v>
      </c>
      <c r="X115" s="16">
        <v>1.1051893201288201</v>
      </c>
      <c r="Y115" s="16">
        <v>1.0957888908294</v>
      </c>
      <c r="Z115" s="16">
        <v>1.1077701210466999</v>
      </c>
      <c r="AA115" s="16">
        <v>1.1041741619080101</v>
      </c>
      <c r="AB115" s="15">
        <v>178.320246519118</v>
      </c>
      <c r="AC115" s="15">
        <v>180.286084220551</v>
      </c>
      <c r="AD115" s="15">
        <v>179.648767002223</v>
      </c>
      <c r="AE115" s="11">
        <v>-8.5420986114153104E-3</v>
      </c>
      <c r="AF115" s="11">
        <v>2.4217758386063399E-3</v>
      </c>
      <c r="AG115" s="11">
        <v>-1.1195199386728699E-3</v>
      </c>
      <c r="AZ115" s="11"/>
      <c r="BB115">
        <f t="shared" si="22"/>
        <v>0</v>
      </c>
      <c r="BC115">
        <f t="shared" si="23"/>
        <v>0</v>
      </c>
      <c r="BD115">
        <f t="shared" si="24"/>
        <v>0</v>
      </c>
      <c r="BE115">
        <f t="shared" si="20"/>
        <v>1</v>
      </c>
      <c r="BF115">
        <f t="shared" si="25"/>
        <v>0</v>
      </c>
      <c r="BG115" s="11">
        <f t="shared" si="26"/>
        <v>0</v>
      </c>
      <c r="BH115" s="11">
        <f t="shared" si="27"/>
        <v>0</v>
      </c>
      <c r="BI115" s="11">
        <f t="shared" si="28"/>
        <v>0</v>
      </c>
      <c r="BJ115" s="6">
        <f t="shared" si="29"/>
        <v>3.881542982584378E-3</v>
      </c>
      <c r="BL115" s="11"/>
      <c r="BN115">
        <f t="shared" si="30"/>
        <v>0</v>
      </c>
      <c r="BO115">
        <f t="shared" si="31"/>
        <v>1</v>
      </c>
      <c r="BP115">
        <f t="shared" si="32"/>
        <v>0</v>
      </c>
      <c r="BQ115">
        <f t="shared" si="21"/>
        <v>1</v>
      </c>
      <c r="BR115">
        <f t="shared" si="33"/>
        <v>0</v>
      </c>
      <c r="BS115" s="11">
        <f t="shared" si="34"/>
        <v>0</v>
      </c>
      <c r="BT115" s="11">
        <f t="shared" si="35"/>
        <v>0</v>
      </c>
      <c r="BU115" s="11">
        <f t="shared" si="36"/>
        <v>0</v>
      </c>
      <c r="BV115" s="6">
        <f t="shared" si="37"/>
        <v>3.0819014150807109E-2</v>
      </c>
      <c r="BX115" s="6">
        <f t="shared" si="38"/>
        <v>0</v>
      </c>
      <c r="BY115" s="6">
        <f t="shared" si="39"/>
        <v>3.4700557133391485E-2</v>
      </c>
    </row>
    <row r="116" spans="1:77" x14ac:dyDescent="0.3">
      <c r="A116" s="1">
        <v>46190</v>
      </c>
      <c r="B116" s="15">
        <v>161.63</v>
      </c>
      <c r="C116" s="15">
        <v>179.6</v>
      </c>
      <c r="D116" s="11">
        <v>-5.1835969199417204E-3</v>
      </c>
      <c r="E116" s="11">
        <v>-1.39101427353367E-3</v>
      </c>
      <c r="F116" s="15">
        <v>0</v>
      </c>
      <c r="G116" s="15">
        <v>0.53739999999999999</v>
      </c>
      <c r="H116" s="15">
        <v>0</v>
      </c>
      <c r="I116" s="15">
        <v>0.45319999999999999</v>
      </c>
      <c r="J116" s="15">
        <v>0.26229999999999998</v>
      </c>
      <c r="K116" s="15">
        <v>0</v>
      </c>
      <c r="L116" s="15">
        <v>161.89230000000001</v>
      </c>
      <c r="M116" s="15">
        <v>179.6</v>
      </c>
      <c r="N116" s="16">
        <v>1.1111798552248899</v>
      </c>
      <c r="O116" s="16">
        <v>1.0958817339640901</v>
      </c>
      <c r="P116" s="16">
        <v>1.1080329924807</v>
      </c>
      <c r="Q116" s="16">
        <v>1.10482644199666</v>
      </c>
      <c r="R116" s="15">
        <v>177.127364660615</v>
      </c>
      <c r="S116" s="15">
        <v>179.10690068967199</v>
      </c>
      <c r="T116" s="15">
        <v>178.49667780163799</v>
      </c>
      <c r="U116" s="11">
        <v>-1.38631077100046E-2</v>
      </c>
      <c r="V116" s="11">
        <v>-2.7493177297724602E-3</v>
      </c>
      <c r="W116" s="11">
        <v>-6.1621665771307999E-3</v>
      </c>
      <c r="X116" s="16">
        <v>1.1093795072403001</v>
      </c>
      <c r="Y116" s="16">
        <v>1.0957888908294</v>
      </c>
      <c r="Z116" s="16">
        <v>1.1074940142627401</v>
      </c>
      <c r="AA116" s="16">
        <v>1.10455695288768</v>
      </c>
      <c r="AB116" s="15">
        <v>177.39978385082199</v>
      </c>
      <c r="AC116" s="15">
        <v>179.339452767529</v>
      </c>
      <c r="AD116" s="15">
        <v>178.75729467186</v>
      </c>
      <c r="AE116" s="11">
        <v>-1.2326304421648299E-2</v>
      </c>
      <c r="AF116" s="11">
        <v>-1.4517617175977199E-3</v>
      </c>
      <c r="AG116" s="11">
        <v>-4.7031657735945699E-3</v>
      </c>
      <c r="AZ116" s="11"/>
      <c r="BB116">
        <f t="shared" si="22"/>
        <v>0</v>
      </c>
      <c r="BC116">
        <f t="shared" si="23"/>
        <v>0</v>
      </c>
      <c r="BD116">
        <f t="shared" si="24"/>
        <v>0</v>
      </c>
      <c r="BE116">
        <f t="shared" si="20"/>
        <v>1</v>
      </c>
      <c r="BF116">
        <f t="shared" si="25"/>
        <v>0</v>
      </c>
      <c r="BG116" s="11">
        <f t="shared" si="26"/>
        <v>0</v>
      </c>
      <c r="BH116" s="11">
        <f t="shared" si="27"/>
        <v>0</v>
      </c>
      <c r="BI116" s="11">
        <f t="shared" si="28"/>
        <v>0</v>
      </c>
      <c r="BJ116" s="6">
        <f t="shared" si="29"/>
        <v>3.881542982584378E-3</v>
      </c>
      <c r="BL116" s="11"/>
      <c r="BN116">
        <f t="shared" si="30"/>
        <v>0</v>
      </c>
      <c r="BO116">
        <f t="shared" si="31"/>
        <v>1</v>
      </c>
      <c r="BP116">
        <f t="shared" si="32"/>
        <v>0</v>
      </c>
      <c r="BQ116">
        <f t="shared" si="21"/>
        <v>1</v>
      </c>
      <c r="BR116">
        <f t="shared" si="33"/>
        <v>0</v>
      </c>
      <c r="BS116" s="11">
        <f t="shared" si="34"/>
        <v>0</v>
      </c>
      <c r="BT116" s="11">
        <f t="shared" si="35"/>
        <v>0</v>
      </c>
      <c r="BU116" s="11">
        <f t="shared" si="36"/>
        <v>0</v>
      </c>
      <c r="BV116" s="6">
        <f t="shared" si="37"/>
        <v>3.0819014150807109E-2</v>
      </c>
      <c r="BX116" s="6">
        <f t="shared" si="38"/>
        <v>0</v>
      </c>
      <c r="BY116" s="6">
        <f t="shared" si="39"/>
        <v>3.4700557133391485E-2</v>
      </c>
    </row>
    <row r="117" spans="1:77" x14ac:dyDescent="0.3">
      <c r="A117" s="1">
        <v>46191</v>
      </c>
      <c r="B117" s="15">
        <v>162.25</v>
      </c>
      <c r="C117" s="15">
        <v>180.91</v>
      </c>
      <c r="D117" s="11">
        <v>3.8285831624821401E-3</v>
      </c>
      <c r="E117" s="11">
        <v>7.2675141650704999E-3</v>
      </c>
      <c r="F117" s="15">
        <v>0</v>
      </c>
      <c r="G117" s="15">
        <v>0.53739999999999999</v>
      </c>
      <c r="H117" s="15">
        <v>0</v>
      </c>
      <c r="I117" s="15">
        <v>0.45319999999999999</v>
      </c>
      <c r="J117" s="15">
        <v>0.26229999999999998</v>
      </c>
      <c r="K117" s="15">
        <v>0</v>
      </c>
      <c r="L117" s="15">
        <v>162.51230000000001</v>
      </c>
      <c r="M117" s="15">
        <v>180.91</v>
      </c>
      <c r="N117" s="16">
        <v>1.11500770416024</v>
      </c>
      <c r="O117" s="16">
        <v>1.0958817339640901</v>
      </c>
      <c r="P117" s="16">
        <v>1.1084828897957999</v>
      </c>
      <c r="Q117" s="16">
        <v>1.10561610096207</v>
      </c>
      <c r="R117" s="15">
        <v>177.80681133567299</v>
      </c>
      <c r="S117" s="15">
        <v>179.77835302999401</v>
      </c>
      <c r="T117" s="15">
        <v>179.25809021395801</v>
      </c>
      <c r="U117" s="11">
        <v>-1.7302038712593101E-2</v>
      </c>
      <c r="V117" s="11">
        <v>-6.2749499600591799E-3</v>
      </c>
      <c r="W117" s="11">
        <v>-9.1730578817904099E-3</v>
      </c>
      <c r="X117" s="16">
        <v>1.1132080464063301</v>
      </c>
      <c r="Y117" s="16">
        <v>1.0957888908294</v>
      </c>
      <c r="Z117" s="16">
        <v>1.10776394580245</v>
      </c>
      <c r="AA117" s="16">
        <v>1.1052566289654</v>
      </c>
      <c r="AB117" s="15">
        <v>178.07917296313599</v>
      </c>
      <c r="AC117" s="15">
        <v>179.98139949407101</v>
      </c>
      <c r="AD117" s="15">
        <v>179.50409089476901</v>
      </c>
      <c r="AE117" s="11">
        <v>-1.5771426703959202E-2</v>
      </c>
      <c r="AF117" s="11">
        <v>-5.1461606265513996E-3</v>
      </c>
      <c r="AG117" s="11">
        <v>-7.8016718644295198E-3</v>
      </c>
      <c r="AZ117" s="11"/>
      <c r="BB117">
        <f t="shared" si="22"/>
        <v>1</v>
      </c>
      <c r="BC117">
        <f t="shared" si="23"/>
        <v>0</v>
      </c>
      <c r="BD117">
        <f t="shared" si="24"/>
        <v>0</v>
      </c>
      <c r="BE117">
        <f t="shared" si="20"/>
        <v>0</v>
      </c>
      <c r="BF117">
        <f t="shared" si="25"/>
        <v>0</v>
      </c>
      <c r="BG117" s="11">
        <f t="shared" si="26"/>
        <v>0</v>
      </c>
      <c r="BH117" s="11">
        <f t="shared" si="27"/>
        <v>0</v>
      </c>
      <c r="BI117" s="11">
        <f t="shared" si="28"/>
        <v>0</v>
      </c>
      <c r="BJ117" s="6">
        <f t="shared" si="29"/>
        <v>3.881542982584378E-3</v>
      </c>
      <c r="BL117" s="11"/>
      <c r="BN117">
        <f t="shared" si="30"/>
        <v>0</v>
      </c>
      <c r="BO117">
        <f t="shared" si="31"/>
        <v>1</v>
      </c>
      <c r="BP117">
        <f t="shared" si="32"/>
        <v>0</v>
      </c>
      <c r="BQ117">
        <f t="shared" si="21"/>
        <v>0</v>
      </c>
      <c r="BR117">
        <f t="shared" si="33"/>
        <v>0</v>
      </c>
      <c r="BS117" s="11">
        <f t="shared" si="34"/>
        <v>0</v>
      </c>
      <c r="BT117" s="11">
        <f t="shared" si="35"/>
        <v>0</v>
      </c>
      <c r="BU117" s="11">
        <f t="shared" si="36"/>
        <v>0</v>
      </c>
      <c r="BV117" s="6">
        <f t="shared" si="37"/>
        <v>3.0819014150807109E-2</v>
      </c>
      <c r="BX117" s="6">
        <f t="shared" si="38"/>
        <v>0</v>
      </c>
      <c r="BY117" s="6">
        <f t="shared" si="39"/>
        <v>3.4700557133391485E-2</v>
      </c>
    </row>
    <row r="118" spans="1:77" x14ac:dyDescent="0.3">
      <c r="A118" s="1">
        <v>46195</v>
      </c>
      <c r="B118" s="15">
        <v>162.72999999999999</v>
      </c>
      <c r="C118" s="15">
        <v>181.8</v>
      </c>
      <c r="D118" s="11">
        <v>2.95403008832362E-3</v>
      </c>
      <c r="E118" s="11">
        <v>4.9075117102087796E-3</v>
      </c>
      <c r="F118" s="15">
        <v>0</v>
      </c>
      <c r="G118" s="15">
        <v>0.53739999999999999</v>
      </c>
      <c r="H118" s="15">
        <v>0.44409999999999999</v>
      </c>
      <c r="I118" s="15">
        <v>0.89729999999999999</v>
      </c>
      <c r="J118" s="15">
        <v>0</v>
      </c>
      <c r="K118" s="15">
        <v>0</v>
      </c>
      <c r="L118" s="15">
        <v>162.72999999999999</v>
      </c>
      <c r="M118" s="15">
        <v>181.8</v>
      </c>
      <c r="N118" s="16">
        <v>1.11718798008971</v>
      </c>
      <c r="O118" s="16">
        <v>1.0958817339640901</v>
      </c>
      <c r="P118" s="16">
        <v>1.10939311219563</v>
      </c>
      <c r="Q118" s="16">
        <v>1.1064658225471999</v>
      </c>
      <c r="R118" s="15">
        <v>178.33283456797599</v>
      </c>
      <c r="S118" s="15">
        <v>180.38342065647001</v>
      </c>
      <c r="T118" s="15">
        <v>179.91690810955799</v>
      </c>
      <c r="U118" s="11">
        <v>-1.9255520334478402E-2</v>
      </c>
      <c r="V118" s="11">
        <v>-7.8224815728568705E-3</v>
      </c>
      <c r="W118" s="11">
        <v>-1.0412059046787801E-2</v>
      </c>
      <c r="X118" s="16">
        <v>1.11718798008971</v>
      </c>
      <c r="Y118" s="16">
        <v>1.0957888908294</v>
      </c>
      <c r="Z118" s="16">
        <v>1.10867416820229</v>
      </c>
      <c r="AA118" s="16">
        <v>1.10610635055053</v>
      </c>
      <c r="AB118" s="15">
        <v>178.31772620466899</v>
      </c>
      <c r="AC118" s="15">
        <v>180.266426900433</v>
      </c>
      <c r="AD118" s="15">
        <v>179.85841123154</v>
      </c>
      <c r="AE118" s="11">
        <v>-1.9340243954611602E-2</v>
      </c>
      <c r="AF118" s="11">
        <v>-8.4712757477825393E-3</v>
      </c>
      <c r="AG118" s="11">
        <v>-1.0737244657859401E-2</v>
      </c>
      <c r="AZ118" s="11"/>
      <c r="BB118">
        <f t="shared" si="22"/>
        <v>1</v>
      </c>
      <c r="BC118">
        <f t="shared" si="23"/>
        <v>0</v>
      </c>
      <c r="BD118">
        <f t="shared" si="24"/>
        <v>0</v>
      </c>
      <c r="BE118">
        <f t="shared" si="20"/>
        <v>1</v>
      </c>
      <c r="BF118">
        <f t="shared" si="25"/>
        <v>0</v>
      </c>
      <c r="BG118" s="11">
        <f t="shared" si="26"/>
        <v>0</v>
      </c>
      <c r="BH118" s="11">
        <f t="shared" si="27"/>
        <v>0</v>
      </c>
      <c r="BI118" s="11">
        <f t="shared" si="28"/>
        <v>0</v>
      </c>
      <c r="BJ118" s="6">
        <f t="shared" si="29"/>
        <v>3.881542982584378E-3</v>
      </c>
      <c r="BL118" s="11"/>
      <c r="BN118">
        <f t="shared" si="30"/>
        <v>0</v>
      </c>
      <c r="BO118">
        <f t="shared" si="31"/>
        <v>1</v>
      </c>
      <c r="BP118">
        <f t="shared" si="32"/>
        <v>0</v>
      </c>
      <c r="BQ118">
        <f t="shared" si="21"/>
        <v>1</v>
      </c>
      <c r="BR118">
        <f t="shared" si="33"/>
        <v>0</v>
      </c>
      <c r="BS118" s="11">
        <f t="shared" si="34"/>
        <v>0</v>
      </c>
      <c r="BT118" s="11">
        <f t="shared" si="35"/>
        <v>0</v>
      </c>
      <c r="BU118" s="11">
        <f t="shared" si="36"/>
        <v>0</v>
      </c>
      <c r="BV118" s="6">
        <f t="shared" si="37"/>
        <v>3.0819014150807109E-2</v>
      </c>
      <c r="BX118" s="6">
        <f t="shared" si="38"/>
        <v>0</v>
      </c>
      <c r="BY118" s="6">
        <f t="shared" si="39"/>
        <v>3.4700557133391485E-2</v>
      </c>
    </row>
    <row r="119" spans="1:77" x14ac:dyDescent="0.3">
      <c r="A119" s="1">
        <v>46196</v>
      </c>
      <c r="B119" s="15">
        <v>160.13</v>
      </c>
      <c r="C119" s="15">
        <v>178.15</v>
      </c>
      <c r="D119" s="11">
        <v>-1.6106400338137501E-2</v>
      </c>
      <c r="E119" s="11">
        <v>-2.0281289691533401E-2</v>
      </c>
      <c r="F119" s="15">
        <v>0</v>
      </c>
      <c r="G119" s="15">
        <v>0.53739999999999999</v>
      </c>
      <c r="H119" s="15">
        <v>0</v>
      </c>
      <c r="I119" s="15">
        <v>0.89729999999999999</v>
      </c>
      <c r="J119" s="15">
        <v>0</v>
      </c>
      <c r="K119" s="15">
        <v>0</v>
      </c>
      <c r="L119" s="15">
        <v>160.13</v>
      </c>
      <c r="M119" s="15">
        <v>178.15</v>
      </c>
      <c r="N119" s="16">
        <v>1.11253356647723</v>
      </c>
      <c r="O119" s="16">
        <v>1.0958817339640901</v>
      </c>
      <c r="P119" s="16">
        <v>1.1097928648083699</v>
      </c>
      <c r="Q119" s="16">
        <v>1.1070873772640499</v>
      </c>
      <c r="R119" s="15">
        <v>175.48354205966899</v>
      </c>
      <c r="S119" s="15">
        <v>177.647119055887</v>
      </c>
      <c r="T119" s="15">
        <v>177.17837216448399</v>
      </c>
      <c r="U119" s="11">
        <v>-1.5080630981082499E-2</v>
      </c>
      <c r="V119" s="11">
        <v>-2.8267866828825699E-3</v>
      </c>
      <c r="W119" s="11">
        <v>-5.4689145777980603E-3</v>
      </c>
      <c r="X119" s="16">
        <v>1.11253356647723</v>
      </c>
      <c r="Y119" s="16">
        <v>1.0957888908294</v>
      </c>
      <c r="Z119" s="16">
        <v>1.10907392081502</v>
      </c>
      <c r="AA119" s="16">
        <v>1.10672790526737</v>
      </c>
      <c r="AB119" s="15">
        <v>175.46867508851301</v>
      </c>
      <c r="AC119" s="15">
        <v>177.531994554232</v>
      </c>
      <c r="AD119" s="15">
        <v>177.12080991365701</v>
      </c>
      <c r="AE119" s="11">
        <v>-1.5165354601215601E-2</v>
      </c>
      <c r="AF119" s="11">
        <v>-3.4750483698739098E-3</v>
      </c>
      <c r="AG119" s="11">
        <v>-5.7938504187233899E-3</v>
      </c>
      <c r="AZ119" s="11"/>
      <c r="BB119">
        <f t="shared" si="22"/>
        <v>1</v>
      </c>
      <c r="BC119">
        <f t="shared" si="23"/>
        <v>0</v>
      </c>
      <c r="BD119">
        <f t="shared" si="24"/>
        <v>1</v>
      </c>
      <c r="BE119">
        <f t="shared" si="20"/>
        <v>1</v>
      </c>
      <c r="BF119">
        <f t="shared" si="25"/>
        <v>1</v>
      </c>
      <c r="BG119" s="11">
        <f t="shared" si="26"/>
        <v>-1.6106400338137501E-2</v>
      </c>
      <c r="BH119" s="11">
        <f t="shared" si="27"/>
        <v>2.0281289691533401E-2</v>
      </c>
      <c r="BI119" s="11">
        <f t="shared" si="28"/>
        <v>4.1748893533959004E-3</v>
      </c>
      <c r="BJ119" s="6">
        <f t="shared" si="29"/>
        <v>8.0564323359802788E-3</v>
      </c>
      <c r="BL119" s="11"/>
      <c r="BN119">
        <f t="shared" si="30"/>
        <v>0</v>
      </c>
      <c r="BO119">
        <f t="shared" si="31"/>
        <v>1</v>
      </c>
      <c r="BP119">
        <f t="shared" si="32"/>
        <v>0</v>
      </c>
      <c r="BQ119">
        <f t="shared" si="21"/>
        <v>1</v>
      </c>
      <c r="BR119">
        <f t="shared" si="33"/>
        <v>0</v>
      </c>
      <c r="BS119" s="11">
        <f t="shared" si="34"/>
        <v>0</v>
      </c>
      <c r="BT119" s="11">
        <f t="shared" si="35"/>
        <v>0</v>
      </c>
      <c r="BU119" s="11">
        <f t="shared" si="36"/>
        <v>0</v>
      </c>
      <c r="BV119" s="6">
        <f t="shared" si="37"/>
        <v>3.0819014150807109E-2</v>
      </c>
      <c r="BX119" s="6">
        <f t="shared" si="38"/>
        <v>4.1748893533959004E-3</v>
      </c>
      <c r="BY119" s="6">
        <f t="shared" si="39"/>
        <v>3.8875446486787382E-2</v>
      </c>
    </row>
    <row r="120" spans="1:77" x14ac:dyDescent="0.3">
      <c r="A120" s="1">
        <v>46197</v>
      </c>
      <c r="B120" s="15">
        <v>161.97999999999999</v>
      </c>
      <c r="C120" s="15">
        <v>180.21</v>
      </c>
      <c r="D120" s="11">
        <v>1.1486885486458299E-2</v>
      </c>
      <c r="E120" s="11">
        <v>1.14969454783347E-2</v>
      </c>
      <c r="F120" s="15">
        <v>0</v>
      </c>
      <c r="G120" s="15">
        <v>0.53739999999999999</v>
      </c>
      <c r="H120" s="15">
        <v>0</v>
      </c>
      <c r="I120" s="15">
        <v>0.89729999999999999</v>
      </c>
      <c r="J120" s="15">
        <v>0</v>
      </c>
      <c r="K120" s="15">
        <v>0</v>
      </c>
      <c r="L120" s="15">
        <v>161.97999999999999</v>
      </c>
      <c r="M120" s="15">
        <v>180.21</v>
      </c>
      <c r="N120" s="16">
        <v>1.1125447586121699</v>
      </c>
      <c r="O120" s="16">
        <v>1.0958817339640901</v>
      </c>
      <c r="P120" s="16">
        <v>1.11036344530243</v>
      </c>
      <c r="Q120" s="16">
        <v>1.1076087030859001</v>
      </c>
      <c r="R120" s="15">
        <v>177.51092326750299</v>
      </c>
      <c r="S120" s="15">
        <v>179.76424824166</v>
      </c>
      <c r="T120" s="15">
        <v>179.32601336923099</v>
      </c>
      <c r="U120" s="11">
        <v>-1.5090690972958801E-2</v>
      </c>
      <c r="V120" s="11">
        <v>-2.47657707932786E-3</v>
      </c>
      <c r="W120" s="11">
        <v>-4.9173845132607702E-3</v>
      </c>
      <c r="X120" s="16">
        <v>1.1125447586121699</v>
      </c>
      <c r="Y120" s="16">
        <v>1.0957888908294</v>
      </c>
      <c r="Z120" s="16">
        <v>1.1096445013090801</v>
      </c>
      <c r="AA120" s="16">
        <v>1.1072492310892199</v>
      </c>
      <c r="AB120" s="15">
        <v>177.49588453654701</v>
      </c>
      <c r="AC120" s="15">
        <v>179.64779369361801</v>
      </c>
      <c r="AD120" s="15">
        <v>179.267786095209</v>
      </c>
      <c r="AE120" s="11">
        <v>-1.5175414593092001E-2</v>
      </c>
      <c r="AF120" s="11">
        <v>-3.1246051837326501E-3</v>
      </c>
      <c r="AG120" s="11">
        <v>-5.2421378950533899E-3</v>
      </c>
      <c r="AZ120" s="11"/>
      <c r="BB120">
        <f t="shared" si="22"/>
        <v>1</v>
      </c>
      <c r="BC120">
        <f t="shared" si="23"/>
        <v>0</v>
      </c>
      <c r="BD120">
        <f t="shared" si="24"/>
        <v>1</v>
      </c>
      <c r="BE120">
        <f t="shared" si="20"/>
        <v>1</v>
      </c>
      <c r="BF120">
        <f t="shared" si="25"/>
        <v>1</v>
      </c>
      <c r="BG120" s="11">
        <f t="shared" si="26"/>
        <v>1.1486885486458299E-2</v>
      </c>
      <c r="BH120" s="11">
        <f t="shared" si="27"/>
        <v>-1.14969454783347E-2</v>
      </c>
      <c r="BI120" s="11">
        <f t="shared" si="28"/>
        <v>-1.0059991876400221E-5</v>
      </c>
      <c r="BJ120" s="6">
        <f t="shared" si="29"/>
        <v>8.0463723441038786E-3</v>
      </c>
      <c r="BL120" s="11"/>
      <c r="BN120">
        <f t="shared" si="30"/>
        <v>0</v>
      </c>
      <c r="BO120">
        <f t="shared" si="31"/>
        <v>1</v>
      </c>
      <c r="BP120">
        <f t="shared" si="32"/>
        <v>0</v>
      </c>
      <c r="BQ120">
        <f t="shared" si="21"/>
        <v>1</v>
      </c>
      <c r="BR120">
        <f t="shared" si="33"/>
        <v>0</v>
      </c>
      <c r="BS120" s="11">
        <f t="shared" si="34"/>
        <v>0</v>
      </c>
      <c r="BT120" s="11">
        <f t="shared" si="35"/>
        <v>0</v>
      </c>
      <c r="BU120" s="11">
        <f t="shared" si="36"/>
        <v>0</v>
      </c>
      <c r="BV120" s="6">
        <f t="shared" si="37"/>
        <v>3.0819014150807109E-2</v>
      </c>
      <c r="BX120" s="6">
        <f t="shared" si="38"/>
        <v>-1.0059991876400221E-5</v>
      </c>
      <c r="BY120" s="6">
        <f t="shared" si="39"/>
        <v>3.8865386494910982E-2</v>
      </c>
    </row>
    <row r="121" spans="1:77" x14ac:dyDescent="0.3">
      <c r="A121" s="1">
        <v>46198</v>
      </c>
      <c r="B121" s="15">
        <v>164.66</v>
      </c>
      <c r="C121" s="15">
        <v>184.12</v>
      </c>
      <c r="D121" s="11">
        <v>1.6409871049436101E-2</v>
      </c>
      <c r="E121" s="11">
        <v>2.1464881418860899E-2</v>
      </c>
      <c r="F121" s="15">
        <v>0</v>
      </c>
      <c r="G121" s="15">
        <v>0.53739999999999999</v>
      </c>
      <c r="H121" s="15">
        <v>0</v>
      </c>
      <c r="I121" s="15">
        <v>0.89729999999999999</v>
      </c>
      <c r="J121" s="15">
        <v>0</v>
      </c>
      <c r="K121" s="15">
        <v>0</v>
      </c>
      <c r="L121" s="15">
        <v>164.66</v>
      </c>
      <c r="M121" s="15">
        <v>184.12</v>
      </c>
      <c r="N121" s="16">
        <v>1.11818292238552</v>
      </c>
      <c r="O121" s="16">
        <v>1.0958817339640901</v>
      </c>
      <c r="P121" s="16">
        <v>1.11185529717162</v>
      </c>
      <c r="Q121" s="16">
        <v>1.1084815372380099</v>
      </c>
      <c r="R121" s="15">
        <v>180.44788631452701</v>
      </c>
      <c r="S121" s="15">
        <v>182.83244490349799</v>
      </c>
      <c r="T121" s="15">
        <v>182.37884905012399</v>
      </c>
      <c r="U121" s="11">
        <v>-2.0145701342383499E-2</v>
      </c>
      <c r="V121" s="11">
        <v>-7.0175871470435098E-3</v>
      </c>
      <c r="W121" s="11">
        <v>-9.5016071876103999E-3</v>
      </c>
      <c r="X121" s="16">
        <v>1.11818292238552</v>
      </c>
      <c r="Y121" s="16">
        <v>1.0957888908294</v>
      </c>
      <c r="Z121" s="16">
        <v>1.1111363531782701</v>
      </c>
      <c r="AA121" s="16">
        <v>1.1081220652413399</v>
      </c>
      <c r="AB121" s="15">
        <v>180.43259876396999</v>
      </c>
      <c r="AC121" s="15">
        <v>182.71406358555299</v>
      </c>
      <c r="AD121" s="15">
        <v>182.31965839115199</v>
      </c>
      <c r="AE121" s="11">
        <v>-2.0230424962516699E-2</v>
      </c>
      <c r="AF121" s="11">
        <v>-7.6652821425307197E-3</v>
      </c>
      <c r="AG121" s="11">
        <v>-9.8262076906795604E-3</v>
      </c>
      <c r="AZ121" s="11"/>
      <c r="BB121">
        <f t="shared" si="22"/>
        <v>1</v>
      </c>
      <c r="BC121">
        <f t="shared" si="23"/>
        <v>0</v>
      </c>
      <c r="BD121">
        <f t="shared" si="24"/>
        <v>1</v>
      </c>
      <c r="BE121">
        <f t="shared" si="20"/>
        <v>1</v>
      </c>
      <c r="BF121">
        <f t="shared" si="25"/>
        <v>1</v>
      </c>
      <c r="BG121" s="11">
        <f t="shared" si="26"/>
        <v>1.6409871049436101E-2</v>
      </c>
      <c r="BH121" s="11">
        <f t="shared" si="27"/>
        <v>-2.1464881418860899E-2</v>
      </c>
      <c r="BI121" s="11">
        <f t="shared" si="28"/>
        <v>-5.0550103694247984E-3</v>
      </c>
      <c r="BJ121" s="6">
        <f t="shared" si="29"/>
        <v>2.9913619746790802E-3</v>
      </c>
      <c r="BL121" s="11"/>
      <c r="BN121">
        <f t="shared" si="30"/>
        <v>0</v>
      </c>
      <c r="BO121">
        <f t="shared" si="31"/>
        <v>1</v>
      </c>
      <c r="BP121">
        <f t="shared" si="32"/>
        <v>0</v>
      </c>
      <c r="BQ121">
        <f t="shared" si="21"/>
        <v>1</v>
      </c>
      <c r="BR121">
        <f t="shared" si="33"/>
        <v>0</v>
      </c>
      <c r="BS121" s="11">
        <f t="shared" si="34"/>
        <v>0</v>
      </c>
      <c r="BT121" s="11">
        <f t="shared" si="35"/>
        <v>0</v>
      </c>
      <c r="BU121" s="11">
        <f t="shared" si="36"/>
        <v>0</v>
      </c>
      <c r="BV121" s="6">
        <f t="shared" si="37"/>
        <v>3.0819014150807109E-2</v>
      </c>
      <c r="BX121" s="6">
        <f t="shared" si="38"/>
        <v>-5.0550103694247984E-3</v>
      </c>
      <c r="BY121" s="6">
        <f t="shared" si="39"/>
        <v>3.381037612548618E-2</v>
      </c>
    </row>
    <row r="122" spans="1:77" x14ac:dyDescent="0.3">
      <c r="A122" s="1">
        <v>46199</v>
      </c>
      <c r="B122" s="15">
        <v>163.15</v>
      </c>
      <c r="C122" s="15">
        <v>181.2</v>
      </c>
      <c r="D122" s="11">
        <v>-9.2127188309502495E-3</v>
      </c>
      <c r="E122" s="11">
        <v>-1.5986325340161801E-2</v>
      </c>
      <c r="F122" s="15">
        <v>0</v>
      </c>
      <c r="G122" s="15">
        <v>0.53739999999999999</v>
      </c>
      <c r="H122" s="15">
        <v>0</v>
      </c>
      <c r="I122" s="15">
        <v>0.89729999999999999</v>
      </c>
      <c r="J122" s="15">
        <v>0</v>
      </c>
      <c r="K122" s="15">
        <v>0</v>
      </c>
      <c r="L122" s="15">
        <v>163.15</v>
      </c>
      <c r="M122" s="15">
        <v>181.2</v>
      </c>
      <c r="N122" s="16">
        <v>1.11063438553478</v>
      </c>
      <c r="O122" s="16">
        <v>1.0958817339640901</v>
      </c>
      <c r="P122" s="16">
        <v>1.1121133963185099</v>
      </c>
      <c r="Q122" s="16">
        <v>1.1090341346622901</v>
      </c>
      <c r="R122" s="15">
        <v>178.793104896241</v>
      </c>
      <c r="S122" s="15">
        <v>181.39919173355</v>
      </c>
      <c r="T122" s="15">
        <v>180.84876280038199</v>
      </c>
      <c r="U122" s="11">
        <v>-1.33720948331718E-2</v>
      </c>
      <c r="V122" s="11">
        <v>1.0986883486181201E-3</v>
      </c>
      <c r="W122" s="11">
        <v>-1.9402762605331199E-3</v>
      </c>
      <c r="X122" s="16">
        <v>1.11063438553478</v>
      </c>
      <c r="Y122" s="16">
        <v>1.0957888908294</v>
      </c>
      <c r="Z122" s="16">
        <v>1.11139445232516</v>
      </c>
      <c r="AA122" s="16">
        <v>1.1086746626656201</v>
      </c>
      <c r="AB122" s="15">
        <v>178.77795753881799</v>
      </c>
      <c r="AC122" s="15">
        <v>181.281896021036</v>
      </c>
      <c r="AD122" s="15">
        <v>180.79011494412501</v>
      </c>
      <c r="AE122" s="11">
        <v>-1.3456818453305101E-2</v>
      </c>
      <c r="AF122" s="11">
        <v>4.51862690680391E-4</v>
      </c>
      <c r="AG122" s="11">
        <v>-2.2646211270877202E-3</v>
      </c>
      <c r="AZ122" s="11"/>
      <c r="BB122">
        <f t="shared" si="22"/>
        <v>0</v>
      </c>
      <c r="BC122">
        <f t="shared" si="23"/>
        <v>0</v>
      </c>
      <c r="BD122">
        <f t="shared" si="24"/>
        <v>1</v>
      </c>
      <c r="BE122">
        <f t="shared" si="20"/>
        <v>1</v>
      </c>
      <c r="BF122">
        <f t="shared" si="25"/>
        <v>1</v>
      </c>
      <c r="BG122" s="11">
        <f t="shared" si="26"/>
        <v>-9.2127188309502495E-3</v>
      </c>
      <c r="BH122" s="11">
        <f t="shared" si="27"/>
        <v>1.5986325340161801E-2</v>
      </c>
      <c r="BI122" s="11">
        <f t="shared" si="28"/>
        <v>6.7736065092115511E-3</v>
      </c>
      <c r="BJ122" s="6">
        <f t="shared" si="29"/>
        <v>9.7649684838906313E-3</v>
      </c>
      <c r="BL122" s="11"/>
      <c r="BN122">
        <f t="shared" si="30"/>
        <v>0</v>
      </c>
      <c r="BO122">
        <f t="shared" si="31"/>
        <v>1</v>
      </c>
      <c r="BP122">
        <f t="shared" si="32"/>
        <v>0</v>
      </c>
      <c r="BQ122">
        <f t="shared" si="21"/>
        <v>1</v>
      </c>
      <c r="BR122">
        <f t="shared" si="33"/>
        <v>0</v>
      </c>
      <c r="BS122" s="11">
        <f t="shared" si="34"/>
        <v>0</v>
      </c>
      <c r="BT122" s="11">
        <f t="shared" si="35"/>
        <v>0</v>
      </c>
      <c r="BU122" s="11">
        <f t="shared" si="36"/>
        <v>0</v>
      </c>
      <c r="BV122" s="6">
        <f t="shared" si="37"/>
        <v>3.0819014150807109E-2</v>
      </c>
      <c r="BX122" s="6">
        <f t="shared" si="38"/>
        <v>6.7736065092115511E-3</v>
      </c>
      <c r="BY122" s="6">
        <f t="shared" si="39"/>
        <v>4.0583982634697729E-2</v>
      </c>
    </row>
    <row r="123" spans="1:77" x14ac:dyDescent="0.3">
      <c r="A123" s="1">
        <v>46202</v>
      </c>
      <c r="B123" s="15">
        <v>164.26</v>
      </c>
      <c r="C123" s="15">
        <v>182.76</v>
      </c>
      <c r="D123" s="11">
        <v>6.7805152727164397E-3</v>
      </c>
      <c r="E123" s="11">
        <v>8.5724230861919E-3</v>
      </c>
      <c r="F123" s="15">
        <v>0</v>
      </c>
      <c r="G123" s="15">
        <v>0.53739999999999999</v>
      </c>
      <c r="H123" s="15">
        <v>0</v>
      </c>
      <c r="I123" s="15">
        <v>0.89729999999999999</v>
      </c>
      <c r="J123" s="15">
        <v>0</v>
      </c>
      <c r="K123" s="15">
        <v>0</v>
      </c>
      <c r="L123" s="15">
        <v>164.26</v>
      </c>
      <c r="M123" s="15">
        <v>182.76</v>
      </c>
      <c r="N123" s="16">
        <v>1.1126263241202901</v>
      </c>
      <c r="O123" s="16">
        <v>1.0958817339640901</v>
      </c>
      <c r="P123" s="16">
        <v>1.1126684756326399</v>
      </c>
      <c r="Q123" s="16">
        <v>1.1098358334373499</v>
      </c>
      <c r="R123" s="15">
        <v>180.009533620941</v>
      </c>
      <c r="S123" s="15">
        <v>182.67574647927799</v>
      </c>
      <c r="T123" s="15">
        <v>182.16994695962799</v>
      </c>
      <c r="U123" s="11">
        <v>-1.5164002646647299E-2</v>
      </c>
      <c r="V123" s="11">
        <v>-4.6111264716617299E-4</v>
      </c>
      <c r="W123" s="11">
        <v>-3.2337908110261502E-3</v>
      </c>
      <c r="X123" s="16">
        <v>1.1126263241202901</v>
      </c>
      <c r="Y123" s="16">
        <v>1.0957888908294</v>
      </c>
      <c r="Z123" s="16">
        <v>1.11194953163929</v>
      </c>
      <c r="AA123" s="16">
        <v>1.10947636144067</v>
      </c>
      <c r="AB123" s="15">
        <v>179.99428320763801</v>
      </c>
      <c r="AC123" s="15">
        <v>182.55765273893101</v>
      </c>
      <c r="AD123" s="15">
        <v>182.11090008945499</v>
      </c>
      <c r="AE123" s="11">
        <v>-1.5248726266780499E-2</v>
      </c>
      <c r="AF123" s="11">
        <v>-1.1077881413324899E-3</v>
      </c>
      <c r="AG123" s="11">
        <v>-3.5579740403617402E-3</v>
      </c>
      <c r="AZ123" s="11"/>
      <c r="BB123">
        <f t="shared" si="22"/>
        <v>0</v>
      </c>
      <c r="BC123">
        <f t="shared" si="23"/>
        <v>0</v>
      </c>
      <c r="BD123">
        <f t="shared" si="24"/>
        <v>1</v>
      </c>
      <c r="BE123">
        <f t="shared" si="20"/>
        <v>1</v>
      </c>
      <c r="BF123">
        <f t="shared" si="25"/>
        <v>1</v>
      </c>
      <c r="BG123" s="11">
        <f t="shared" si="26"/>
        <v>6.7805152727164397E-3</v>
      </c>
      <c r="BH123" s="11">
        <f t="shared" si="27"/>
        <v>-8.5724230861919E-3</v>
      </c>
      <c r="BI123" s="11">
        <f t="shared" si="28"/>
        <v>-1.7919078134754603E-3</v>
      </c>
      <c r="BJ123" s="6">
        <f t="shared" si="29"/>
        <v>7.9730606704151719E-3</v>
      </c>
      <c r="BL123" s="11"/>
      <c r="BN123">
        <f t="shared" si="30"/>
        <v>0</v>
      </c>
      <c r="BO123">
        <f t="shared" si="31"/>
        <v>1</v>
      </c>
      <c r="BP123">
        <f t="shared" si="32"/>
        <v>0</v>
      </c>
      <c r="BQ123">
        <f t="shared" si="21"/>
        <v>1</v>
      </c>
      <c r="BR123">
        <f t="shared" si="33"/>
        <v>0</v>
      </c>
      <c r="BS123" s="11">
        <f t="shared" si="34"/>
        <v>0</v>
      </c>
      <c r="BT123" s="11">
        <f t="shared" si="35"/>
        <v>0</v>
      </c>
      <c r="BU123" s="11">
        <f t="shared" si="36"/>
        <v>0</v>
      </c>
      <c r="BV123" s="6">
        <f t="shared" si="37"/>
        <v>3.0819014150807109E-2</v>
      </c>
      <c r="BX123" s="6">
        <f t="shared" si="38"/>
        <v>-1.7919078134754603E-3</v>
      </c>
      <c r="BY123" s="6">
        <f t="shared" si="39"/>
        <v>3.8792074821222267E-2</v>
      </c>
    </row>
    <row r="124" spans="1:77" x14ac:dyDescent="0.3">
      <c r="A124" s="1">
        <v>46203</v>
      </c>
      <c r="B124" s="15">
        <v>166.65</v>
      </c>
      <c r="C124" s="15">
        <v>185.23</v>
      </c>
      <c r="D124" s="11">
        <v>1.44452664417026E-2</v>
      </c>
      <c r="E124" s="11">
        <v>1.3424479439560899E-2</v>
      </c>
      <c r="F124" s="15">
        <v>0</v>
      </c>
      <c r="G124" s="15">
        <v>0.53739999999999999</v>
      </c>
      <c r="H124" s="15">
        <v>0</v>
      </c>
      <c r="I124" s="15">
        <v>0.89729999999999999</v>
      </c>
      <c r="J124" s="15">
        <v>0</v>
      </c>
      <c r="K124" s="15">
        <v>0</v>
      </c>
      <c r="L124" s="15">
        <v>166.65</v>
      </c>
      <c r="M124" s="15">
        <v>185.23</v>
      </c>
      <c r="N124" s="16">
        <v>1.11149114911491</v>
      </c>
      <c r="O124" s="16">
        <v>1.0958817339640901</v>
      </c>
      <c r="P124" s="16">
        <v>1.1128362240845</v>
      </c>
      <c r="Q124" s="16">
        <v>1.11044291225516</v>
      </c>
      <c r="R124" s="15">
        <v>182.628690965115</v>
      </c>
      <c r="S124" s="15">
        <v>185.426201464179</v>
      </c>
      <c r="T124" s="15">
        <v>184.95414164233401</v>
      </c>
      <c r="U124" s="11">
        <v>-1.4143215644505601E-2</v>
      </c>
      <c r="V124" s="11">
        <v>1.05867098259484E-3</v>
      </c>
      <c r="W124" s="11">
        <v>-1.49038479878795E-3</v>
      </c>
      <c r="X124" s="16">
        <v>1.11149114911491</v>
      </c>
      <c r="Y124" s="16">
        <v>1.0957888908294</v>
      </c>
      <c r="Z124" s="16">
        <v>1.1122977960110101</v>
      </c>
      <c r="AA124" s="16">
        <v>1.11008344025849</v>
      </c>
      <c r="AB124" s="15">
        <v>182.61321865672099</v>
      </c>
      <c r="AC124" s="15">
        <v>185.30638944768799</v>
      </c>
      <c r="AD124" s="15">
        <v>184.89423563408801</v>
      </c>
      <c r="AE124" s="11">
        <v>-1.42279392646387E-2</v>
      </c>
      <c r="AF124" s="11">
        <v>4.1231820110413899E-4</v>
      </c>
      <c r="AG124" s="11">
        <v>-1.81433381384521E-3</v>
      </c>
      <c r="AZ124" s="11"/>
      <c r="BB124">
        <f t="shared" si="22"/>
        <v>0</v>
      </c>
      <c r="BC124">
        <f t="shared" si="23"/>
        <v>0</v>
      </c>
      <c r="BD124">
        <f t="shared" si="24"/>
        <v>1</v>
      </c>
      <c r="BE124">
        <f t="shared" si="20"/>
        <v>1</v>
      </c>
      <c r="BF124">
        <f t="shared" si="25"/>
        <v>1</v>
      </c>
      <c r="BG124" s="11">
        <f t="shared" si="26"/>
        <v>1.44452664417026E-2</v>
      </c>
      <c r="BH124" s="11">
        <f t="shared" si="27"/>
        <v>-1.3424479439560899E-2</v>
      </c>
      <c r="BI124" s="11">
        <f t="shared" si="28"/>
        <v>1.0207870021417004E-3</v>
      </c>
      <c r="BJ124" s="6">
        <f t="shared" si="29"/>
        <v>8.9938476725568723E-3</v>
      </c>
      <c r="BL124" s="11"/>
      <c r="BN124">
        <f t="shared" si="30"/>
        <v>0</v>
      </c>
      <c r="BO124">
        <f t="shared" si="31"/>
        <v>1</v>
      </c>
      <c r="BP124">
        <f t="shared" si="32"/>
        <v>0</v>
      </c>
      <c r="BQ124">
        <f t="shared" si="21"/>
        <v>1</v>
      </c>
      <c r="BR124">
        <f t="shared" si="33"/>
        <v>0</v>
      </c>
      <c r="BS124" s="11">
        <f t="shared" si="34"/>
        <v>0</v>
      </c>
      <c r="BT124" s="11">
        <f t="shared" si="35"/>
        <v>0</v>
      </c>
      <c r="BU124" s="11">
        <f t="shared" si="36"/>
        <v>0</v>
      </c>
      <c r="BV124" s="6">
        <f t="shared" si="37"/>
        <v>3.0819014150807109E-2</v>
      </c>
      <c r="BX124" s="6">
        <f t="shared" si="38"/>
        <v>1.0207870021417004E-3</v>
      </c>
      <c r="BY124" s="6">
        <f t="shared" si="39"/>
        <v>3.9812861823363965E-2</v>
      </c>
    </row>
    <row r="125" spans="1:77" x14ac:dyDescent="0.3">
      <c r="A125" s="1">
        <v>46204</v>
      </c>
      <c r="B125" s="15">
        <v>165.69</v>
      </c>
      <c r="C125" s="15">
        <v>183.36</v>
      </c>
      <c r="D125" s="11">
        <v>-5.7772321725428804E-3</v>
      </c>
      <c r="E125" s="11">
        <v>-1.01468626082568E-2</v>
      </c>
      <c r="F125" s="15">
        <v>0</v>
      </c>
      <c r="G125" s="15">
        <v>0.53739999999999999</v>
      </c>
      <c r="H125" s="15">
        <v>0</v>
      </c>
      <c r="I125" s="15">
        <v>0.89729999999999999</v>
      </c>
      <c r="J125" s="15">
        <v>0</v>
      </c>
      <c r="K125" s="15">
        <v>0</v>
      </c>
      <c r="L125" s="15">
        <v>165.69</v>
      </c>
      <c r="M125" s="15">
        <v>183.36</v>
      </c>
      <c r="N125" s="16">
        <v>1.1066449393445501</v>
      </c>
      <c r="O125" s="16">
        <v>1.0958817339640901</v>
      </c>
      <c r="P125" s="16">
        <v>1.1128033585064301</v>
      </c>
      <c r="Q125" s="16">
        <v>1.11046621148631</v>
      </c>
      <c r="R125" s="15">
        <v>181.57664450051001</v>
      </c>
      <c r="S125" s="15">
        <v>184.385833968561</v>
      </c>
      <c r="T125" s="15">
        <v>183.989286131558</v>
      </c>
      <c r="U125" s="11">
        <v>-9.7735852087916693E-3</v>
      </c>
      <c r="V125" s="11">
        <v>5.5790523488306399E-3</v>
      </c>
      <c r="W125" s="11">
        <v>3.4260948414442699E-3</v>
      </c>
      <c r="X125" s="16">
        <v>1.1066449393445501</v>
      </c>
      <c r="Y125" s="16">
        <v>1.0957888908294</v>
      </c>
      <c r="Z125" s="16">
        <v>1.1124433579325801</v>
      </c>
      <c r="AA125" s="16">
        <v>1.11010673948964</v>
      </c>
      <c r="AB125" s="15">
        <v>181.561261321524</v>
      </c>
      <c r="AC125" s="15">
        <v>184.29662182106401</v>
      </c>
      <c r="AD125" s="15">
        <v>183.92972521642901</v>
      </c>
      <c r="AE125" s="11">
        <v>-9.8583088289248902E-3</v>
      </c>
      <c r="AF125" s="11">
        <v>5.0951011987971197E-3</v>
      </c>
      <c r="AG125" s="11">
        <v>3.1023229578930099E-3</v>
      </c>
      <c r="AZ125" s="11"/>
      <c r="BB125">
        <f t="shared" si="22"/>
        <v>0</v>
      </c>
      <c r="BC125">
        <f t="shared" si="23"/>
        <v>1</v>
      </c>
      <c r="BD125">
        <f t="shared" si="24"/>
        <v>1</v>
      </c>
      <c r="BE125">
        <f t="shared" si="20"/>
        <v>1</v>
      </c>
      <c r="BF125">
        <f t="shared" si="25"/>
        <v>1</v>
      </c>
      <c r="BG125" s="11">
        <f t="shared" si="26"/>
        <v>-5.7772321725428804E-3</v>
      </c>
      <c r="BH125" s="11">
        <f t="shared" si="27"/>
        <v>1.01468626082568E-2</v>
      </c>
      <c r="BI125" s="11">
        <f t="shared" si="28"/>
        <v>4.36963043571392E-3</v>
      </c>
      <c r="BJ125" s="6">
        <f t="shared" si="29"/>
        <v>1.3363478108270793E-2</v>
      </c>
      <c r="BL125" s="11"/>
      <c r="BN125">
        <f t="shared" si="30"/>
        <v>0</v>
      </c>
      <c r="BO125">
        <f t="shared" si="31"/>
        <v>0</v>
      </c>
      <c r="BP125">
        <f t="shared" si="32"/>
        <v>0</v>
      </c>
      <c r="BQ125">
        <f t="shared" si="21"/>
        <v>1</v>
      </c>
      <c r="BR125">
        <f t="shared" si="33"/>
        <v>0</v>
      </c>
      <c r="BS125" s="11">
        <f t="shared" si="34"/>
        <v>0</v>
      </c>
      <c r="BT125" s="11">
        <f t="shared" si="35"/>
        <v>0</v>
      </c>
      <c r="BU125" s="11">
        <f t="shared" si="36"/>
        <v>0</v>
      </c>
      <c r="BV125" s="6">
        <f t="shared" si="37"/>
        <v>3.0819014150807109E-2</v>
      </c>
      <c r="BX125" s="6">
        <f t="shared" si="38"/>
        <v>4.36963043571392E-3</v>
      </c>
      <c r="BY125" s="6">
        <f t="shared" si="39"/>
        <v>4.4182492259077888E-2</v>
      </c>
    </row>
    <row r="126" spans="1:77" x14ac:dyDescent="0.3">
      <c r="A126" s="1">
        <v>46205</v>
      </c>
      <c r="B126" s="15">
        <v>166.54</v>
      </c>
      <c r="C126" s="15">
        <v>183.91</v>
      </c>
      <c r="D126" s="11">
        <v>5.1169482264673801E-3</v>
      </c>
      <c r="E126" s="11">
        <v>2.9950739845148902E-3</v>
      </c>
      <c r="F126" s="15">
        <v>0</v>
      </c>
      <c r="G126" s="15">
        <v>0.53739999999999999</v>
      </c>
      <c r="H126" s="15">
        <v>0</v>
      </c>
      <c r="I126" s="15">
        <v>0.89729999999999999</v>
      </c>
      <c r="J126" s="15">
        <v>0</v>
      </c>
      <c r="K126" s="15">
        <v>0</v>
      </c>
      <c r="L126" s="15">
        <v>166.54</v>
      </c>
      <c r="M126" s="15">
        <v>183.91</v>
      </c>
      <c r="N126" s="16">
        <v>1.1042992674432499</v>
      </c>
      <c r="O126" s="16">
        <v>1.0958817339640901</v>
      </c>
      <c r="P126" s="16">
        <v>1.1121152997282699</v>
      </c>
      <c r="Q126" s="16">
        <v>1.1100741461044801</v>
      </c>
      <c r="R126" s="15">
        <v>182.50814397437901</v>
      </c>
      <c r="S126" s="15">
        <v>185.326271325661</v>
      </c>
      <c r="T126" s="15">
        <v>184.937042860931</v>
      </c>
      <c r="U126" s="11">
        <v>-7.6517109668391798E-3</v>
      </c>
      <c r="V126" s="11">
        <v>7.6713929876525699E-3</v>
      </c>
      <c r="W126" s="11">
        <v>5.5689507894045196E-3</v>
      </c>
      <c r="X126" s="16">
        <v>1.1042992674432499</v>
      </c>
      <c r="Y126" s="16">
        <v>1.0957888908294</v>
      </c>
      <c r="Z126" s="16">
        <v>1.1119353339528699</v>
      </c>
      <c r="AA126" s="16">
        <v>1.1097146741078101</v>
      </c>
      <c r="AB126" s="15">
        <v>182.492681878729</v>
      </c>
      <c r="AC126" s="15">
        <v>185.26631683009199</v>
      </c>
      <c r="AD126" s="15">
        <v>184.87717639460499</v>
      </c>
      <c r="AE126" s="11">
        <v>-7.7364345869724398E-3</v>
      </c>
      <c r="AF126" s="11">
        <v>7.3478328409674202E-3</v>
      </c>
      <c r="AG126" s="11">
        <v>5.24518570016844E-3</v>
      </c>
      <c r="AZ126" s="11"/>
      <c r="BB126">
        <f t="shared" si="22"/>
        <v>0</v>
      </c>
      <c r="BC126">
        <f t="shared" si="23"/>
        <v>1</v>
      </c>
      <c r="BD126">
        <f t="shared" si="24"/>
        <v>0</v>
      </c>
      <c r="BE126">
        <f t="shared" si="20"/>
        <v>1</v>
      </c>
      <c r="BF126">
        <f t="shared" si="25"/>
        <v>0</v>
      </c>
      <c r="BG126" s="11">
        <f t="shared" si="26"/>
        <v>0</v>
      </c>
      <c r="BH126" s="11">
        <f t="shared" si="27"/>
        <v>0</v>
      </c>
      <c r="BI126" s="11">
        <f t="shared" si="28"/>
        <v>0</v>
      </c>
      <c r="BJ126" s="6">
        <f t="shared" si="29"/>
        <v>1.3363478108270793E-2</v>
      </c>
      <c r="BL126" s="11"/>
      <c r="BN126">
        <f t="shared" si="30"/>
        <v>1</v>
      </c>
      <c r="BO126">
        <f t="shared" si="31"/>
        <v>0</v>
      </c>
      <c r="BP126">
        <f t="shared" si="32"/>
        <v>0</v>
      </c>
      <c r="BQ126">
        <f t="shared" si="21"/>
        <v>1</v>
      </c>
      <c r="BR126">
        <f t="shared" si="33"/>
        <v>0</v>
      </c>
      <c r="BS126" s="11">
        <f t="shared" si="34"/>
        <v>0</v>
      </c>
      <c r="BT126" s="11">
        <f t="shared" si="35"/>
        <v>0</v>
      </c>
      <c r="BU126" s="11">
        <f t="shared" si="36"/>
        <v>0</v>
      </c>
      <c r="BV126" s="6">
        <f t="shared" si="37"/>
        <v>3.0819014150807109E-2</v>
      </c>
      <c r="BX126" s="6">
        <f t="shared" si="38"/>
        <v>0</v>
      </c>
      <c r="BY126" s="6">
        <f t="shared" si="39"/>
        <v>4.4182492259077888E-2</v>
      </c>
    </row>
    <row r="127" spans="1:77" x14ac:dyDescent="0.3">
      <c r="A127" s="1">
        <v>46209</v>
      </c>
      <c r="B127" s="15">
        <v>167.51</v>
      </c>
      <c r="C127" s="15">
        <v>185.56</v>
      </c>
      <c r="D127" s="11">
        <v>5.8075301679219003E-3</v>
      </c>
      <c r="E127" s="11">
        <v>8.9317723726532808E-3</v>
      </c>
      <c r="F127" s="15">
        <v>0</v>
      </c>
      <c r="G127" s="15">
        <v>0.53739999999999999</v>
      </c>
      <c r="H127" s="15">
        <v>0</v>
      </c>
      <c r="I127" s="15">
        <v>0.89729999999999999</v>
      </c>
      <c r="J127" s="15">
        <v>0</v>
      </c>
      <c r="K127" s="15">
        <v>0</v>
      </c>
      <c r="L127" s="15">
        <v>167.51</v>
      </c>
      <c r="M127" s="15">
        <v>185.56</v>
      </c>
      <c r="N127" s="16">
        <v>1.10775476090979</v>
      </c>
      <c r="O127" s="16">
        <v>1.0958817339640901</v>
      </c>
      <c r="P127" s="16">
        <v>1.11139000540322</v>
      </c>
      <c r="Q127" s="16">
        <v>1.1099364475995099</v>
      </c>
      <c r="R127" s="15">
        <v>183.57114925632399</v>
      </c>
      <c r="S127" s="15">
        <v>186.29043385748199</v>
      </c>
      <c r="T127" s="15">
        <v>185.94852021396201</v>
      </c>
      <c r="U127" s="11">
        <v>-1.07759531715704E-2</v>
      </c>
      <c r="V127" s="11">
        <v>3.9286483513364199E-3</v>
      </c>
      <c r="W127" s="11">
        <v>2.09158247771918E-3</v>
      </c>
      <c r="X127" s="16">
        <v>1.10775476090979</v>
      </c>
      <c r="Y127" s="16">
        <v>1.0957888908294</v>
      </c>
      <c r="Z127" s="16">
        <v>1.11139000540322</v>
      </c>
      <c r="AA127" s="16">
        <v>1.10957697560284</v>
      </c>
      <c r="AB127" s="15">
        <v>183.55559710283401</v>
      </c>
      <c r="AC127" s="15">
        <v>186.260287790446</v>
      </c>
      <c r="AD127" s="15">
        <v>185.88830505979899</v>
      </c>
      <c r="AE127" s="11">
        <v>-1.0860676791703701E-2</v>
      </c>
      <c r="AF127" s="11">
        <v>3.7668123094238299E-3</v>
      </c>
      <c r="AG127" s="11">
        <v>1.7677030198691599E-3</v>
      </c>
      <c r="AZ127" s="11"/>
      <c r="BB127">
        <f t="shared" si="22"/>
        <v>0</v>
      </c>
      <c r="BC127">
        <f t="shared" si="23"/>
        <v>1</v>
      </c>
      <c r="BD127">
        <f t="shared" si="24"/>
        <v>0</v>
      </c>
      <c r="BE127">
        <f t="shared" si="20"/>
        <v>1</v>
      </c>
      <c r="BF127">
        <f t="shared" si="25"/>
        <v>0</v>
      </c>
      <c r="BG127" s="11">
        <f t="shared" si="26"/>
        <v>0</v>
      </c>
      <c r="BH127" s="11">
        <f t="shared" si="27"/>
        <v>0</v>
      </c>
      <c r="BI127" s="11">
        <f t="shared" si="28"/>
        <v>0</v>
      </c>
      <c r="BJ127" s="6">
        <f t="shared" si="29"/>
        <v>1.3363478108270793E-2</v>
      </c>
      <c r="BL127" s="11"/>
      <c r="BN127">
        <f t="shared" si="30"/>
        <v>0</v>
      </c>
      <c r="BO127">
        <f t="shared" si="31"/>
        <v>0</v>
      </c>
      <c r="BP127">
        <f t="shared" si="32"/>
        <v>1</v>
      </c>
      <c r="BQ127">
        <f t="shared" si="21"/>
        <v>1</v>
      </c>
      <c r="BR127">
        <f t="shared" si="33"/>
        <v>1</v>
      </c>
      <c r="BS127" s="11">
        <f t="shared" si="34"/>
        <v>-5.8075301679219003E-3</v>
      </c>
      <c r="BT127" s="11">
        <f t="shared" si="35"/>
        <v>8.9317723726532808E-3</v>
      </c>
      <c r="BU127" s="11">
        <f t="shared" si="36"/>
        <v>3.1242422047313805E-3</v>
      </c>
      <c r="BV127" s="6">
        <f t="shared" si="37"/>
        <v>3.3943256355538493E-2</v>
      </c>
      <c r="BX127" s="6">
        <f t="shared" si="38"/>
        <v>3.1242422047313805E-3</v>
      </c>
      <c r="BY127" s="6">
        <f t="shared" si="39"/>
        <v>4.7306734463809272E-2</v>
      </c>
    </row>
    <row r="128" spans="1:77" x14ac:dyDescent="0.3">
      <c r="A128" s="1">
        <v>46210</v>
      </c>
      <c r="B128" s="15">
        <v>164.39</v>
      </c>
      <c r="C128" s="15">
        <v>182.38</v>
      </c>
      <c r="D128" s="11">
        <v>-1.8801397454176201E-2</v>
      </c>
      <c r="E128" s="11">
        <v>-1.72858573780235E-2</v>
      </c>
      <c r="F128" s="15">
        <v>0</v>
      </c>
      <c r="G128" s="15">
        <v>0.53739999999999999</v>
      </c>
      <c r="H128" s="15">
        <v>0</v>
      </c>
      <c r="I128" s="15">
        <v>0.89729999999999999</v>
      </c>
      <c r="J128" s="15">
        <v>0</v>
      </c>
      <c r="K128" s="15">
        <v>0</v>
      </c>
      <c r="L128" s="15">
        <v>164.39</v>
      </c>
      <c r="M128" s="15">
        <v>182.38</v>
      </c>
      <c r="N128" s="16">
        <v>1.1094348804671801</v>
      </c>
      <c r="O128" s="16">
        <v>1.0958817339640901</v>
      </c>
      <c r="P128" s="16">
        <v>1.1106146954409699</v>
      </c>
      <c r="Q128" s="16">
        <v>1.1100039038183001</v>
      </c>
      <c r="R128" s="15">
        <v>180.15199824635599</v>
      </c>
      <c r="S128" s="15">
        <v>182.701402988236</v>
      </c>
      <c r="T128" s="15">
        <v>182.46245262088399</v>
      </c>
      <c r="U128" s="11">
        <v>-1.22914932477231E-2</v>
      </c>
      <c r="V128" s="11">
        <v>1.7607200401791099E-3</v>
      </c>
      <c r="W128" s="11">
        <v>4.5199028619314198E-4</v>
      </c>
      <c r="X128" s="16">
        <v>1.1094348804671801</v>
      </c>
      <c r="Y128" s="16">
        <v>1.0957888908294</v>
      </c>
      <c r="Z128" s="16">
        <v>1.1106146954409699</v>
      </c>
      <c r="AA128" s="16">
        <v>1.1096444318216301</v>
      </c>
      <c r="AB128" s="15">
        <v>180.13673576344601</v>
      </c>
      <c r="AC128" s="15">
        <v>182.701402988236</v>
      </c>
      <c r="AD128" s="15">
        <v>182.40335901935001</v>
      </c>
      <c r="AE128" s="11">
        <v>-1.23762168678563E-2</v>
      </c>
      <c r="AF128" s="11">
        <v>1.76072004017867E-3</v>
      </c>
      <c r="AG128" s="11">
        <v>1.2807064141081201E-4</v>
      </c>
      <c r="AZ128" s="11"/>
      <c r="BB128">
        <f t="shared" si="22"/>
        <v>0</v>
      </c>
      <c r="BC128">
        <f t="shared" si="23"/>
        <v>1</v>
      </c>
      <c r="BD128">
        <f t="shared" si="24"/>
        <v>0</v>
      </c>
      <c r="BE128">
        <f t="shared" si="20"/>
        <v>1</v>
      </c>
      <c r="BF128">
        <f t="shared" si="25"/>
        <v>0</v>
      </c>
      <c r="BG128" s="11">
        <f t="shared" si="26"/>
        <v>0</v>
      </c>
      <c r="BH128" s="11">
        <f t="shared" si="27"/>
        <v>0</v>
      </c>
      <c r="BI128" s="11">
        <f t="shared" si="28"/>
        <v>0</v>
      </c>
      <c r="BJ128" s="6">
        <f t="shared" si="29"/>
        <v>1.3363478108270793E-2</v>
      </c>
      <c r="BL128" s="11"/>
      <c r="BN128">
        <f t="shared" si="30"/>
        <v>0</v>
      </c>
      <c r="BO128">
        <f t="shared" si="31"/>
        <v>0</v>
      </c>
      <c r="BP128">
        <f t="shared" si="32"/>
        <v>1</v>
      </c>
      <c r="BQ128">
        <f t="shared" si="21"/>
        <v>1</v>
      </c>
      <c r="BR128">
        <f t="shared" si="33"/>
        <v>1</v>
      </c>
      <c r="BS128" s="11">
        <f t="shared" si="34"/>
        <v>1.8801397454176201E-2</v>
      </c>
      <c r="BT128" s="11">
        <f t="shared" si="35"/>
        <v>-1.72858573780235E-2</v>
      </c>
      <c r="BU128" s="11">
        <f t="shared" si="36"/>
        <v>1.5155400761527014E-3</v>
      </c>
      <c r="BV128" s="6">
        <f t="shared" si="37"/>
        <v>3.5458796431691197E-2</v>
      </c>
      <c r="BX128" s="6">
        <f t="shared" si="38"/>
        <v>1.5155400761527014E-3</v>
      </c>
      <c r="BY128" s="6">
        <f t="shared" si="39"/>
        <v>4.8822274539961977E-2</v>
      </c>
    </row>
    <row r="129" spans="1:77" x14ac:dyDescent="0.3">
      <c r="A129" s="1">
        <v>46211</v>
      </c>
      <c r="B129" s="15">
        <v>161.72</v>
      </c>
      <c r="C129" s="15">
        <v>180.42</v>
      </c>
      <c r="D129" s="11">
        <v>-1.6375208748848801E-2</v>
      </c>
      <c r="E129" s="11">
        <v>-1.08049562770268E-2</v>
      </c>
      <c r="F129" s="15">
        <v>0</v>
      </c>
      <c r="G129" s="15">
        <v>0.53739999999999999</v>
      </c>
      <c r="H129" s="15">
        <v>0</v>
      </c>
      <c r="I129" s="15">
        <v>0.89729999999999999</v>
      </c>
      <c r="J129" s="15">
        <v>0</v>
      </c>
      <c r="K129" s="15">
        <v>0</v>
      </c>
      <c r="L129" s="15">
        <v>161.72</v>
      </c>
      <c r="M129" s="15">
        <v>180.42</v>
      </c>
      <c r="N129" s="16">
        <v>1.11563195646796</v>
      </c>
      <c r="O129" s="16">
        <v>1.0958817339640901</v>
      </c>
      <c r="P129" s="16">
        <v>1.11092453444004</v>
      </c>
      <c r="Q129" s="16">
        <v>1.1103586996242101</v>
      </c>
      <c r="R129" s="15">
        <v>177.22599401667199</v>
      </c>
      <c r="S129" s="15">
        <v>179.60860854671299</v>
      </c>
      <c r="T129" s="15">
        <v>179.50983132549601</v>
      </c>
      <c r="U129" s="11">
        <v>-1.78617457195453E-2</v>
      </c>
      <c r="V129" s="11">
        <v>-4.5073797345074702E-3</v>
      </c>
      <c r="W129" s="11">
        <v>-5.0574891844361201E-3</v>
      </c>
      <c r="X129" s="16">
        <v>1.11563195646796</v>
      </c>
      <c r="Y129" s="16">
        <v>1.0957888908294</v>
      </c>
      <c r="Z129" s="16">
        <v>1.11092453444004</v>
      </c>
      <c r="AA129" s="16">
        <v>1.1099992276275299</v>
      </c>
      <c r="AB129" s="15">
        <v>177.21097942493199</v>
      </c>
      <c r="AC129" s="15">
        <v>179.60860854671299</v>
      </c>
      <c r="AD129" s="15">
        <v>179.451697514194</v>
      </c>
      <c r="AE129" s="11">
        <v>-1.79464693396785E-2</v>
      </c>
      <c r="AF129" s="11">
        <v>-4.5073797345074702E-3</v>
      </c>
      <c r="AG129" s="11">
        <v>-5.3813891410596096E-3</v>
      </c>
      <c r="AZ129" s="11"/>
      <c r="BB129">
        <f t="shared" si="22"/>
        <v>1</v>
      </c>
      <c r="BC129">
        <f t="shared" si="23"/>
        <v>0</v>
      </c>
      <c r="BD129">
        <f t="shared" si="24"/>
        <v>0</v>
      </c>
      <c r="BE129">
        <f t="shared" si="20"/>
        <v>1</v>
      </c>
      <c r="BF129">
        <f t="shared" si="25"/>
        <v>0</v>
      </c>
      <c r="BG129" s="11">
        <f t="shared" si="26"/>
        <v>0</v>
      </c>
      <c r="BH129" s="11">
        <f t="shared" si="27"/>
        <v>0</v>
      </c>
      <c r="BI129" s="11">
        <f t="shared" si="28"/>
        <v>0</v>
      </c>
      <c r="BJ129" s="6">
        <f t="shared" si="29"/>
        <v>1.3363478108270793E-2</v>
      </c>
      <c r="BL129" s="11"/>
      <c r="BN129">
        <f t="shared" si="30"/>
        <v>0</v>
      </c>
      <c r="BO129">
        <f t="shared" si="31"/>
        <v>1</v>
      </c>
      <c r="BP129">
        <f t="shared" si="32"/>
        <v>1</v>
      </c>
      <c r="BQ129">
        <f t="shared" si="21"/>
        <v>1</v>
      </c>
      <c r="BR129">
        <f t="shared" si="33"/>
        <v>1</v>
      </c>
      <c r="BS129" s="11">
        <f t="shared" si="34"/>
        <v>1.6375208748848801E-2</v>
      </c>
      <c r="BT129" s="11">
        <f t="shared" si="35"/>
        <v>-1.08049562770268E-2</v>
      </c>
      <c r="BU129" s="11">
        <f t="shared" si="36"/>
        <v>5.5702524718220011E-3</v>
      </c>
      <c r="BV129" s="6">
        <f t="shared" si="37"/>
        <v>4.10290489035132E-2</v>
      </c>
      <c r="BX129" s="6">
        <f t="shared" si="38"/>
        <v>5.5702524718220011E-3</v>
      </c>
      <c r="BY129" s="6">
        <f t="shared" si="39"/>
        <v>5.439252701178398E-2</v>
      </c>
    </row>
    <row r="130" spans="1:77" x14ac:dyDescent="0.3">
      <c r="A130" s="1">
        <v>46212</v>
      </c>
      <c r="B130" s="15">
        <v>162.83000000000001</v>
      </c>
      <c r="C130" s="15">
        <v>181.11</v>
      </c>
      <c r="D130" s="11">
        <v>6.8402670035589298E-3</v>
      </c>
      <c r="E130" s="11">
        <v>3.8171152479519002E-3</v>
      </c>
      <c r="F130" s="15">
        <v>0</v>
      </c>
      <c r="G130" s="15">
        <v>0.53739999999999999</v>
      </c>
      <c r="H130" s="15">
        <v>0</v>
      </c>
      <c r="I130" s="15">
        <v>0.89729999999999999</v>
      </c>
      <c r="J130" s="15">
        <v>0</v>
      </c>
      <c r="K130" s="15">
        <v>0</v>
      </c>
      <c r="L130" s="15">
        <v>162.83000000000001</v>
      </c>
      <c r="M130" s="15">
        <v>181.11</v>
      </c>
      <c r="N130" s="16">
        <v>1.1122643247558801</v>
      </c>
      <c r="O130" s="16">
        <v>1.0958817339640901</v>
      </c>
      <c r="P130" s="16">
        <v>1.1108964910544099</v>
      </c>
      <c r="Q130" s="16">
        <v>1.11062996817842</v>
      </c>
      <c r="R130" s="15">
        <v>178.44242274137201</v>
      </c>
      <c r="S130" s="15">
        <v>180.89184194287199</v>
      </c>
      <c r="T130" s="15">
        <v>180.79970705981</v>
      </c>
      <c r="U130" s="11">
        <v>-1.48385939639383E-2</v>
      </c>
      <c r="V130" s="11">
        <v>-1.2052871464229E-3</v>
      </c>
      <c r="W130" s="11">
        <v>-1.7147537640937701E-3</v>
      </c>
      <c r="X130" s="16">
        <v>1.1122643247558801</v>
      </c>
      <c r="Y130" s="16">
        <v>1.0957888908294</v>
      </c>
      <c r="Z130" s="16">
        <v>1.1108964910544099</v>
      </c>
      <c r="AA130" s="16">
        <v>1.11027049618175</v>
      </c>
      <c r="AB130" s="15">
        <v>178.42730509375201</v>
      </c>
      <c r="AC130" s="15">
        <v>180.89184194287199</v>
      </c>
      <c r="AD130" s="15">
        <v>180.741174234591</v>
      </c>
      <c r="AE130" s="11">
        <v>-1.49233175840715E-2</v>
      </c>
      <c r="AF130" s="11">
        <v>-1.2052871464229E-3</v>
      </c>
      <c r="AG130" s="11">
        <v>-2.0385502073634598E-3</v>
      </c>
      <c r="AZ130" s="11"/>
      <c r="BB130">
        <f t="shared" si="22"/>
        <v>0</v>
      </c>
      <c r="BC130">
        <f t="shared" si="23"/>
        <v>0</v>
      </c>
      <c r="BD130">
        <f t="shared" si="24"/>
        <v>1</v>
      </c>
      <c r="BE130">
        <f t="shared" si="20"/>
        <v>1</v>
      </c>
      <c r="BF130">
        <f t="shared" si="25"/>
        <v>1</v>
      </c>
      <c r="BG130" s="11">
        <f t="shared" si="26"/>
        <v>6.8402670035589298E-3</v>
      </c>
      <c r="BH130" s="11">
        <f t="shared" si="27"/>
        <v>-3.8171152479519002E-3</v>
      </c>
      <c r="BI130" s="11">
        <f t="shared" si="28"/>
        <v>3.0231517556070296E-3</v>
      </c>
      <c r="BJ130" s="6">
        <f t="shared" si="29"/>
        <v>1.6386629863877823E-2</v>
      </c>
      <c r="BL130" s="11"/>
      <c r="BN130">
        <f t="shared" si="30"/>
        <v>0</v>
      </c>
      <c r="BO130">
        <f t="shared" si="31"/>
        <v>1</v>
      </c>
      <c r="BP130">
        <f t="shared" si="32"/>
        <v>0</v>
      </c>
      <c r="BQ130">
        <f t="shared" si="21"/>
        <v>1</v>
      </c>
      <c r="BR130">
        <f t="shared" si="33"/>
        <v>0</v>
      </c>
      <c r="BS130" s="11">
        <f t="shared" si="34"/>
        <v>0</v>
      </c>
      <c r="BT130" s="11">
        <f t="shared" si="35"/>
        <v>0</v>
      </c>
      <c r="BU130" s="11">
        <f t="shared" si="36"/>
        <v>0</v>
      </c>
      <c r="BV130" s="6">
        <f t="shared" si="37"/>
        <v>4.10290489035132E-2</v>
      </c>
      <c r="BX130" s="6">
        <f t="shared" si="38"/>
        <v>3.0231517556070296E-3</v>
      </c>
      <c r="BY130" s="6">
        <f t="shared" si="39"/>
        <v>5.741567876739101E-2</v>
      </c>
    </row>
    <row r="131" spans="1:77" x14ac:dyDescent="0.3">
      <c r="A131" s="1">
        <v>46213</v>
      </c>
      <c r="B131" s="15">
        <v>163.68</v>
      </c>
      <c r="C131" s="15">
        <v>181.92</v>
      </c>
      <c r="D131" s="11">
        <v>5.2065904271875003E-3</v>
      </c>
      <c r="E131" s="11">
        <v>4.4624485257813897E-3</v>
      </c>
      <c r="F131" s="15">
        <v>0</v>
      </c>
      <c r="G131" s="15">
        <v>0.53739999999999999</v>
      </c>
      <c r="H131" s="15">
        <v>0</v>
      </c>
      <c r="I131" s="15">
        <v>0.89729999999999999</v>
      </c>
      <c r="J131" s="15">
        <v>0</v>
      </c>
      <c r="K131" s="15">
        <v>0</v>
      </c>
      <c r="L131" s="15">
        <v>163.68</v>
      </c>
      <c r="M131" s="15">
        <v>181.92</v>
      </c>
      <c r="N131" s="16">
        <v>1.1114369501466199</v>
      </c>
      <c r="O131" s="16">
        <v>1.0958817339640901</v>
      </c>
      <c r="P131" s="16">
        <v>1.1102218938305199</v>
      </c>
      <c r="Q131" s="16">
        <v>1.11103859550107</v>
      </c>
      <c r="R131" s="15">
        <v>179.373922215242</v>
      </c>
      <c r="S131" s="15">
        <v>181.83153765578601</v>
      </c>
      <c r="T131" s="15">
        <v>181.78791319144401</v>
      </c>
      <c r="U131" s="11">
        <v>-1.40944520625321E-2</v>
      </c>
      <c r="V131" s="11">
        <v>-4.8638884952793197E-4</v>
      </c>
      <c r="W131" s="11">
        <v>-7.26334564478043E-4</v>
      </c>
      <c r="X131" s="16">
        <v>1.1114369501466199</v>
      </c>
      <c r="Y131" s="16">
        <v>1.0957888908294</v>
      </c>
      <c r="Z131" s="16">
        <v>1.1102218938305199</v>
      </c>
      <c r="AA131" s="16">
        <v>1.1106791235044</v>
      </c>
      <c r="AB131" s="15">
        <v>179.35872565095701</v>
      </c>
      <c r="AC131" s="15">
        <v>181.83153765578601</v>
      </c>
      <c r="AD131" s="15">
        <v>181.72907481502801</v>
      </c>
      <c r="AE131" s="11">
        <v>-1.41791756826653E-2</v>
      </c>
      <c r="AF131" s="11">
        <v>-4.8638884952770998E-4</v>
      </c>
      <c r="AG131" s="11">
        <v>-1.0500519084844799E-3</v>
      </c>
      <c r="AZ131" s="11"/>
      <c r="BB131">
        <f t="shared" si="22"/>
        <v>0</v>
      </c>
      <c r="BC131">
        <f t="shared" si="23"/>
        <v>0</v>
      </c>
      <c r="BD131">
        <f t="shared" si="24"/>
        <v>1</v>
      </c>
      <c r="BE131">
        <f t="shared" si="20"/>
        <v>1</v>
      </c>
      <c r="BF131">
        <f t="shared" si="25"/>
        <v>1</v>
      </c>
      <c r="BG131" s="11">
        <f t="shared" si="26"/>
        <v>5.2065904271875003E-3</v>
      </c>
      <c r="BH131" s="11">
        <f t="shared" si="27"/>
        <v>-4.4624485257813897E-3</v>
      </c>
      <c r="BI131" s="11">
        <f t="shared" si="28"/>
        <v>7.4414190140611059E-4</v>
      </c>
      <c r="BJ131" s="6">
        <f t="shared" si="29"/>
        <v>1.7130771765283933E-2</v>
      </c>
      <c r="BL131" s="11"/>
      <c r="BN131">
        <f t="shared" si="30"/>
        <v>0</v>
      </c>
      <c r="BO131">
        <f t="shared" si="31"/>
        <v>1</v>
      </c>
      <c r="BP131">
        <f t="shared" si="32"/>
        <v>0</v>
      </c>
      <c r="BQ131">
        <f t="shared" si="21"/>
        <v>1</v>
      </c>
      <c r="BR131">
        <f t="shared" si="33"/>
        <v>0</v>
      </c>
      <c r="BS131" s="11">
        <f t="shared" si="34"/>
        <v>0</v>
      </c>
      <c r="BT131" s="11">
        <f t="shared" si="35"/>
        <v>0</v>
      </c>
      <c r="BU131" s="11">
        <f t="shared" si="36"/>
        <v>0</v>
      </c>
      <c r="BV131" s="6">
        <f t="shared" si="37"/>
        <v>4.10290489035132E-2</v>
      </c>
      <c r="BX131" s="6">
        <f t="shared" si="38"/>
        <v>7.4414190140611059E-4</v>
      </c>
      <c r="BY131" s="6">
        <f t="shared" si="39"/>
        <v>5.8159820668797123E-2</v>
      </c>
    </row>
    <row r="132" spans="1:77" x14ac:dyDescent="0.3">
      <c r="A132" s="1">
        <v>46216</v>
      </c>
      <c r="B132" s="15">
        <v>162.93</v>
      </c>
      <c r="C132" s="15">
        <v>180.37</v>
      </c>
      <c r="D132" s="11">
        <v>-4.5926414884527996E-3</v>
      </c>
      <c r="E132" s="11">
        <v>-8.5567333201179204E-3</v>
      </c>
      <c r="F132" s="15">
        <v>0</v>
      </c>
      <c r="G132" s="15">
        <v>0.53739999999999999</v>
      </c>
      <c r="H132" s="15">
        <v>0</v>
      </c>
      <c r="I132" s="15">
        <v>0.89729999999999999</v>
      </c>
      <c r="J132" s="15">
        <v>0</v>
      </c>
      <c r="K132" s="15">
        <v>0</v>
      </c>
      <c r="L132" s="15">
        <v>162.93</v>
      </c>
      <c r="M132" s="15">
        <v>180.37</v>
      </c>
      <c r="N132" s="16">
        <v>1.10703983305714</v>
      </c>
      <c r="O132" s="16">
        <v>1.0958817339640901</v>
      </c>
      <c r="P132" s="16">
        <v>1.10986243858276</v>
      </c>
      <c r="Q132" s="16">
        <v>1.1109879174506301</v>
      </c>
      <c r="R132" s="15">
        <v>178.552010914769</v>
      </c>
      <c r="S132" s="15">
        <v>180.88845316180701</v>
      </c>
      <c r="T132" s="15">
        <v>181.02151836498999</v>
      </c>
      <c r="U132" s="11">
        <v>-1.01303602308669E-2</v>
      </c>
      <c r="V132" s="11">
        <v>2.87026373061158E-3</v>
      </c>
      <c r="W132" s="11">
        <v>3.6056135117598699E-3</v>
      </c>
      <c r="X132" s="16">
        <v>1.10703983305714</v>
      </c>
      <c r="Y132" s="16">
        <v>1.0957888908294</v>
      </c>
      <c r="Z132" s="16">
        <v>1.10986243858276</v>
      </c>
      <c r="AA132" s="16">
        <v>1.1106284454539599</v>
      </c>
      <c r="AB132" s="15">
        <v>178.53688398283501</v>
      </c>
      <c r="AC132" s="15">
        <v>180.88845316180701</v>
      </c>
      <c r="AD132" s="15">
        <v>180.96294959257199</v>
      </c>
      <c r="AE132" s="11">
        <v>-1.02150838510001E-2</v>
      </c>
      <c r="AF132" s="11">
        <v>2.8702637306118098E-3</v>
      </c>
      <c r="AG132" s="11">
        <v>3.2820152465654301E-3</v>
      </c>
      <c r="AZ132" s="11"/>
      <c r="BB132">
        <f t="shared" si="22"/>
        <v>0</v>
      </c>
      <c r="BC132">
        <f t="shared" si="23"/>
        <v>1</v>
      </c>
      <c r="BD132">
        <f t="shared" si="24"/>
        <v>1</v>
      </c>
      <c r="BE132">
        <f t="shared" si="20"/>
        <v>1</v>
      </c>
      <c r="BF132">
        <f t="shared" si="25"/>
        <v>1</v>
      </c>
      <c r="BG132" s="11">
        <f t="shared" si="26"/>
        <v>-4.5926414884527996E-3</v>
      </c>
      <c r="BH132" s="11">
        <f t="shared" si="27"/>
        <v>8.5567333201179204E-3</v>
      </c>
      <c r="BI132" s="11">
        <f t="shared" si="28"/>
        <v>3.9640918316651208E-3</v>
      </c>
      <c r="BJ132" s="6">
        <f t="shared" si="29"/>
        <v>2.1094863596949055E-2</v>
      </c>
      <c r="BL132" s="11"/>
      <c r="BN132">
        <f t="shared" si="30"/>
        <v>0</v>
      </c>
      <c r="BO132">
        <f t="shared" si="31"/>
        <v>0</v>
      </c>
      <c r="BP132">
        <f t="shared" si="32"/>
        <v>0</v>
      </c>
      <c r="BQ132">
        <f t="shared" si="21"/>
        <v>1</v>
      </c>
      <c r="BR132">
        <f t="shared" si="33"/>
        <v>0</v>
      </c>
      <c r="BS132" s="11">
        <f t="shared" si="34"/>
        <v>0</v>
      </c>
      <c r="BT132" s="11">
        <f t="shared" si="35"/>
        <v>0</v>
      </c>
      <c r="BU132" s="11">
        <f t="shared" si="36"/>
        <v>0</v>
      </c>
      <c r="BV132" s="6">
        <f t="shared" si="37"/>
        <v>4.10290489035132E-2</v>
      </c>
      <c r="BX132" s="6">
        <f t="shared" si="38"/>
        <v>3.9640918316651208E-3</v>
      </c>
      <c r="BY132" s="6">
        <f t="shared" si="39"/>
        <v>6.2123912500462244E-2</v>
      </c>
    </row>
    <row r="133" spans="1:77" x14ac:dyDescent="0.3">
      <c r="A133" s="1">
        <v>46217</v>
      </c>
      <c r="B133" s="15">
        <v>163.30000000000001</v>
      </c>
      <c r="C133" s="15">
        <v>180.45</v>
      </c>
      <c r="D133" s="11">
        <v>2.2683392615558402E-3</v>
      </c>
      <c r="E133" s="11">
        <v>4.4343440668962901E-4</v>
      </c>
      <c r="F133" s="15">
        <v>0</v>
      </c>
      <c r="G133" s="15">
        <v>0.53739999999999999</v>
      </c>
      <c r="H133" s="15">
        <v>0</v>
      </c>
      <c r="I133" s="15">
        <v>0.89729999999999999</v>
      </c>
      <c r="J133" s="15">
        <v>0</v>
      </c>
      <c r="K133" s="15">
        <v>0</v>
      </c>
      <c r="L133" s="15">
        <v>163.30000000000001</v>
      </c>
      <c r="M133" s="15">
        <v>180.45</v>
      </c>
      <c r="N133" s="16">
        <v>1.1050214329454899</v>
      </c>
      <c r="O133" s="16">
        <v>1.0958817339640901</v>
      </c>
      <c r="P133" s="16">
        <v>1.1091019494652801</v>
      </c>
      <c r="Q133" s="16">
        <v>1.1108852125489601</v>
      </c>
      <c r="R133" s="15">
        <v>178.95748715633499</v>
      </c>
      <c r="S133" s="15">
        <v>181.24053622056499</v>
      </c>
      <c r="T133" s="15">
        <v>181.42432691968901</v>
      </c>
      <c r="U133" s="11">
        <v>-8.3054553760007407E-3</v>
      </c>
      <c r="V133" s="11">
        <v>4.3713473272876599E-3</v>
      </c>
      <c r="W133" s="11">
        <v>5.3849041040126503E-3</v>
      </c>
      <c r="X133" s="16">
        <v>1.1050214329454899</v>
      </c>
      <c r="Y133" s="16">
        <v>1.0957888908294</v>
      </c>
      <c r="Z133" s="16">
        <v>1.1091019494652801</v>
      </c>
      <c r="AA133" s="16">
        <v>1.1105257405522799</v>
      </c>
      <c r="AB133" s="15">
        <v>178.94232587244201</v>
      </c>
      <c r="AC133" s="15">
        <v>181.24053622056499</v>
      </c>
      <c r="AD133" s="15">
        <v>181.36562514263201</v>
      </c>
      <c r="AE133" s="11">
        <v>-8.3901789961338593E-3</v>
      </c>
      <c r="AF133" s="11">
        <v>4.3713473272874396E-3</v>
      </c>
      <c r="AG133" s="11">
        <v>5.0612910753967998E-3</v>
      </c>
      <c r="AZ133" s="11"/>
      <c r="BB133">
        <f t="shared" si="22"/>
        <v>0</v>
      </c>
      <c r="BC133">
        <f t="shared" si="23"/>
        <v>1</v>
      </c>
      <c r="BD133">
        <f t="shared" si="24"/>
        <v>0</v>
      </c>
      <c r="BE133">
        <f t="shared" si="20"/>
        <v>1</v>
      </c>
      <c r="BF133">
        <f t="shared" si="25"/>
        <v>0</v>
      </c>
      <c r="BG133" s="11">
        <f t="shared" si="26"/>
        <v>0</v>
      </c>
      <c r="BH133" s="11">
        <f t="shared" si="27"/>
        <v>0</v>
      </c>
      <c r="BI133" s="11">
        <f t="shared" si="28"/>
        <v>0</v>
      </c>
      <c r="BJ133" s="6">
        <f t="shared" si="29"/>
        <v>2.1094863596949055E-2</v>
      </c>
      <c r="BL133" s="11"/>
      <c r="BN133">
        <f t="shared" si="30"/>
        <v>1</v>
      </c>
      <c r="BO133">
        <f t="shared" si="31"/>
        <v>0</v>
      </c>
      <c r="BP133">
        <f t="shared" si="32"/>
        <v>0</v>
      </c>
      <c r="BQ133">
        <f t="shared" si="21"/>
        <v>1</v>
      </c>
      <c r="BR133">
        <f t="shared" si="33"/>
        <v>0</v>
      </c>
      <c r="BS133" s="11">
        <f t="shared" si="34"/>
        <v>0</v>
      </c>
      <c r="BT133" s="11">
        <f t="shared" si="35"/>
        <v>0</v>
      </c>
      <c r="BU133" s="11">
        <f t="shared" si="36"/>
        <v>0</v>
      </c>
      <c r="BV133" s="6">
        <f t="shared" si="37"/>
        <v>4.10290489035132E-2</v>
      </c>
      <c r="BX133" s="6">
        <f t="shared" si="38"/>
        <v>0</v>
      </c>
      <c r="BY133" s="6">
        <f t="shared" si="39"/>
        <v>6.2123912500462244E-2</v>
      </c>
    </row>
    <row r="134" spans="1:77" x14ac:dyDescent="0.3">
      <c r="A134" s="1">
        <v>46218</v>
      </c>
      <c r="B134" s="15">
        <v>163.25</v>
      </c>
      <c r="C134" s="15">
        <v>180.06</v>
      </c>
      <c r="D134" s="11">
        <v>-3.0623181987904699E-4</v>
      </c>
      <c r="E134" s="11">
        <v>-2.1636024084666998E-3</v>
      </c>
      <c r="F134" s="15">
        <v>0</v>
      </c>
      <c r="G134" s="15">
        <v>0.53739999999999999</v>
      </c>
      <c r="H134" s="15">
        <v>0</v>
      </c>
      <c r="I134" s="15">
        <v>0.89729999999999999</v>
      </c>
      <c r="J134" s="15">
        <v>0</v>
      </c>
      <c r="K134" s="15">
        <v>0</v>
      </c>
      <c r="L134" s="15">
        <v>163.25</v>
      </c>
      <c r="M134" s="15">
        <v>180.06</v>
      </c>
      <c r="N134" s="16">
        <v>1.1029709035222</v>
      </c>
      <c r="O134" s="16">
        <v>1.0958817339640901</v>
      </c>
      <c r="P134" s="16">
        <v>1.10824992490601</v>
      </c>
      <c r="Q134" s="16">
        <v>1.11054307449525</v>
      </c>
      <c r="R134" s="15">
        <v>178.902693069637</v>
      </c>
      <c r="S134" s="15">
        <v>181.06089325020699</v>
      </c>
      <c r="T134" s="15">
        <v>181.35201094861699</v>
      </c>
      <c r="U134" s="11">
        <v>-6.4480847874130304E-3</v>
      </c>
      <c r="V134" s="11">
        <v>5.54327280341518E-3</v>
      </c>
      <c r="W134" s="11">
        <v>7.14982575808465E-3</v>
      </c>
      <c r="X134" s="16">
        <v>1.1029709035222</v>
      </c>
      <c r="Y134" s="16">
        <v>1.0957888908294</v>
      </c>
      <c r="Z134" s="16">
        <v>1.10824992490601</v>
      </c>
      <c r="AA134" s="16">
        <v>1.1102738604585101</v>
      </c>
      <c r="AB134" s="15">
        <v>178.88753642790101</v>
      </c>
      <c r="AC134" s="15">
        <v>181.06089325020699</v>
      </c>
      <c r="AD134" s="15">
        <v>181.29332714515999</v>
      </c>
      <c r="AE134" s="11">
        <v>-6.5328084075462001E-3</v>
      </c>
      <c r="AF134" s="11">
        <v>5.54327280341518E-3</v>
      </c>
      <c r="AG134" s="11">
        <v>6.8261828055639897E-3</v>
      </c>
      <c r="AZ134" s="11"/>
      <c r="BB134">
        <f t="shared" si="22"/>
        <v>0</v>
      </c>
      <c r="BC134">
        <f t="shared" si="23"/>
        <v>1</v>
      </c>
      <c r="BD134">
        <f t="shared" si="24"/>
        <v>0</v>
      </c>
      <c r="BE134">
        <f t="shared" si="20"/>
        <v>1</v>
      </c>
      <c r="BF134">
        <f t="shared" si="25"/>
        <v>0</v>
      </c>
      <c r="BG134" s="11">
        <f t="shared" si="26"/>
        <v>0</v>
      </c>
      <c r="BH134" s="11">
        <f t="shared" si="27"/>
        <v>0</v>
      </c>
      <c r="BI134" s="11">
        <f t="shared" si="28"/>
        <v>0</v>
      </c>
      <c r="BJ134" s="6">
        <f t="shared" si="29"/>
        <v>2.1094863596949055E-2</v>
      </c>
      <c r="BL134" s="11"/>
      <c r="BN134">
        <f t="shared" si="30"/>
        <v>1</v>
      </c>
      <c r="BO134">
        <f t="shared" si="31"/>
        <v>0</v>
      </c>
      <c r="BP134">
        <f t="shared" si="32"/>
        <v>1</v>
      </c>
      <c r="BQ134">
        <f t="shared" si="21"/>
        <v>1</v>
      </c>
      <c r="BR134">
        <f t="shared" si="33"/>
        <v>1</v>
      </c>
      <c r="BS134" s="11">
        <f t="shared" si="34"/>
        <v>3.0623181987904699E-4</v>
      </c>
      <c r="BT134" s="11">
        <f t="shared" si="35"/>
        <v>-2.1636024084666998E-3</v>
      </c>
      <c r="BU134" s="11">
        <f t="shared" si="36"/>
        <v>-1.8573705885876529E-3</v>
      </c>
      <c r="BV134" s="6">
        <f t="shared" si="37"/>
        <v>3.9171678314925545E-2</v>
      </c>
      <c r="BX134" s="6">
        <f t="shared" si="38"/>
        <v>-1.8573705885876529E-3</v>
      </c>
      <c r="BY134" s="6">
        <f t="shared" si="39"/>
        <v>6.026654191187459E-2</v>
      </c>
    </row>
    <row r="135" spans="1:77" x14ac:dyDescent="0.3">
      <c r="A135" s="1">
        <v>46219</v>
      </c>
      <c r="B135" s="15">
        <v>163.80000000000001</v>
      </c>
      <c r="C135" s="15">
        <v>180.15</v>
      </c>
      <c r="D135" s="11">
        <v>3.3634032624286401E-3</v>
      </c>
      <c r="E135" s="11">
        <v>4.9970851377150003E-4</v>
      </c>
      <c r="F135" s="15">
        <v>0</v>
      </c>
      <c r="G135" s="15">
        <v>0.53739999999999999</v>
      </c>
      <c r="H135" s="15">
        <v>0</v>
      </c>
      <c r="I135" s="15">
        <v>0.89729999999999999</v>
      </c>
      <c r="J135" s="15">
        <v>0</v>
      </c>
      <c r="K135" s="15">
        <v>0</v>
      </c>
      <c r="L135" s="15">
        <v>163.80000000000001</v>
      </c>
      <c r="M135" s="15">
        <v>180.15</v>
      </c>
      <c r="N135" s="16">
        <v>1.0998168498168399</v>
      </c>
      <c r="O135" s="16">
        <v>1.0958817339640901</v>
      </c>
      <c r="P135" s="16">
        <v>1.1075671159532401</v>
      </c>
      <c r="Q135" s="16">
        <v>1.11018523722983</v>
      </c>
      <c r="R135" s="15">
        <v>179.50542802331799</v>
      </c>
      <c r="S135" s="15">
        <v>181.53133769960399</v>
      </c>
      <c r="T135" s="15">
        <v>181.90695560232299</v>
      </c>
      <c r="U135" s="11">
        <v>-3.5843900387559201E-3</v>
      </c>
      <c r="V135" s="11">
        <v>7.6384611088212099E-3</v>
      </c>
      <c r="W135" s="11">
        <v>9.7054862043031102E-3</v>
      </c>
      <c r="X135" s="16">
        <v>1.0998168498168399</v>
      </c>
      <c r="Y135" s="16">
        <v>1.0957888908294</v>
      </c>
      <c r="Z135" s="16">
        <v>1.1075671159532401</v>
      </c>
      <c r="AA135" s="16">
        <v>1.1100052369429101</v>
      </c>
      <c r="AB135" s="15">
        <v>179.49022031785699</v>
      </c>
      <c r="AC135" s="15">
        <v>181.53133769960399</v>
      </c>
      <c r="AD135" s="15">
        <v>181.86285834310399</v>
      </c>
      <c r="AE135" s="11">
        <v>-3.6691136588890799E-3</v>
      </c>
      <c r="AF135" s="11">
        <v>7.6384611088212099E-3</v>
      </c>
      <c r="AG135" s="11">
        <v>9.4630402522500601E-3</v>
      </c>
      <c r="AZ135" s="11"/>
      <c r="BB135">
        <f t="shared" si="22"/>
        <v>0</v>
      </c>
      <c r="BC135">
        <f t="shared" si="23"/>
        <v>1</v>
      </c>
      <c r="BD135">
        <f t="shared" si="24"/>
        <v>0</v>
      </c>
      <c r="BE135">
        <f t="shared" si="20"/>
        <v>1</v>
      </c>
      <c r="BF135">
        <f t="shared" si="25"/>
        <v>0</v>
      </c>
      <c r="BG135" s="11">
        <f t="shared" si="26"/>
        <v>0</v>
      </c>
      <c r="BH135" s="11">
        <f t="shared" si="27"/>
        <v>0</v>
      </c>
      <c r="BI135" s="11">
        <f t="shared" si="28"/>
        <v>0</v>
      </c>
      <c r="BJ135" s="6">
        <f t="shared" si="29"/>
        <v>2.1094863596949055E-2</v>
      </c>
      <c r="BL135" s="11"/>
      <c r="BN135">
        <f t="shared" si="30"/>
        <v>1</v>
      </c>
      <c r="BO135">
        <f t="shared" si="31"/>
        <v>0</v>
      </c>
      <c r="BP135">
        <f t="shared" si="32"/>
        <v>1</v>
      </c>
      <c r="BQ135">
        <f t="shared" si="21"/>
        <v>1</v>
      </c>
      <c r="BR135">
        <f t="shared" si="33"/>
        <v>1</v>
      </c>
      <c r="BS135" s="11">
        <f t="shared" si="34"/>
        <v>-3.3634032624286401E-3</v>
      </c>
      <c r="BT135" s="11">
        <f t="shared" si="35"/>
        <v>4.9970851377150003E-4</v>
      </c>
      <c r="BU135" s="11">
        <f t="shared" si="36"/>
        <v>-2.8636947486571401E-3</v>
      </c>
      <c r="BV135" s="6">
        <f t="shared" si="37"/>
        <v>3.6307983566268402E-2</v>
      </c>
      <c r="BX135" s="6">
        <f t="shared" si="38"/>
        <v>-2.8636947486571401E-3</v>
      </c>
      <c r="BY135" s="6">
        <f t="shared" si="39"/>
        <v>5.7402847163217446E-2</v>
      </c>
    </row>
    <row r="136" spans="1:77" x14ac:dyDescent="0.3">
      <c r="A136" s="1">
        <v>46220</v>
      </c>
      <c r="B136" s="15">
        <v>162.84</v>
      </c>
      <c r="C136" s="15">
        <v>179.41</v>
      </c>
      <c r="D136" s="11">
        <v>-5.8780477841910497E-3</v>
      </c>
      <c r="E136" s="11">
        <v>-4.1161477628092798E-3</v>
      </c>
      <c r="F136" s="15">
        <v>0</v>
      </c>
      <c r="G136" s="15">
        <v>0.53739999999999999</v>
      </c>
      <c r="H136" s="15">
        <v>0</v>
      </c>
      <c r="I136" s="15">
        <v>0.89729999999999999</v>
      </c>
      <c r="J136" s="15">
        <v>0</v>
      </c>
      <c r="K136" s="15">
        <v>0</v>
      </c>
      <c r="L136" s="15">
        <v>162.84</v>
      </c>
      <c r="M136" s="15">
        <v>179.41</v>
      </c>
      <c r="N136" s="16">
        <v>1.10175632522721</v>
      </c>
      <c r="O136" s="16">
        <v>1.0958817339640901</v>
      </c>
      <c r="P136" s="16">
        <v>1.1073128217316299</v>
      </c>
      <c r="Q136" s="16">
        <v>1.10971406072995</v>
      </c>
      <c r="R136" s="15">
        <v>178.45338155871201</v>
      </c>
      <c r="S136" s="15">
        <v>180.35622916182501</v>
      </c>
      <c r="T136" s="15">
        <v>180.78256403050599</v>
      </c>
      <c r="U136" s="11">
        <v>-5.3462900601377204E-3</v>
      </c>
      <c r="V136" s="11">
        <v>5.2602566166346501E-3</v>
      </c>
      <c r="W136" s="11">
        <v>7.62131599198631E-3</v>
      </c>
      <c r="X136" s="16">
        <v>1.10175632522721</v>
      </c>
      <c r="Y136" s="16">
        <v>1.0957888908294</v>
      </c>
      <c r="Z136" s="16">
        <v>1.1073128217316299</v>
      </c>
      <c r="AA136" s="16">
        <v>1.1096240778422499</v>
      </c>
      <c r="AB136" s="15">
        <v>178.438262982661</v>
      </c>
      <c r="AC136" s="15">
        <v>180.35622916182501</v>
      </c>
      <c r="AD136" s="15">
        <v>180.75325278378301</v>
      </c>
      <c r="AE136" s="11">
        <v>-5.4310136802708797E-3</v>
      </c>
      <c r="AF136" s="11">
        <v>5.2602566166346501E-3</v>
      </c>
      <c r="AG136" s="11">
        <v>7.4591674831864197E-3</v>
      </c>
      <c r="AZ136" s="11"/>
      <c r="BB136">
        <f t="shared" si="22"/>
        <v>0</v>
      </c>
      <c r="BC136">
        <f t="shared" si="23"/>
        <v>1</v>
      </c>
      <c r="BD136">
        <f t="shared" si="24"/>
        <v>0</v>
      </c>
      <c r="BE136">
        <f t="shared" si="20"/>
        <v>1</v>
      </c>
      <c r="BF136">
        <f t="shared" si="25"/>
        <v>0</v>
      </c>
      <c r="BG136" s="11">
        <f t="shared" si="26"/>
        <v>0</v>
      </c>
      <c r="BH136" s="11">
        <f t="shared" si="27"/>
        <v>0</v>
      </c>
      <c r="BI136" s="11">
        <f t="shared" si="28"/>
        <v>0</v>
      </c>
      <c r="BJ136" s="6">
        <f t="shared" si="29"/>
        <v>2.1094863596949055E-2</v>
      </c>
      <c r="BL136" s="11"/>
      <c r="BN136">
        <f t="shared" si="30"/>
        <v>1</v>
      </c>
      <c r="BO136">
        <f t="shared" si="31"/>
        <v>0</v>
      </c>
      <c r="BP136">
        <f t="shared" si="32"/>
        <v>1</v>
      </c>
      <c r="BQ136">
        <f t="shared" si="21"/>
        <v>1</v>
      </c>
      <c r="BR136">
        <f t="shared" si="33"/>
        <v>1</v>
      </c>
      <c r="BS136" s="11">
        <f t="shared" si="34"/>
        <v>5.8780477841910497E-3</v>
      </c>
      <c r="BT136" s="11">
        <f t="shared" si="35"/>
        <v>-4.1161477628092798E-3</v>
      </c>
      <c r="BU136" s="11">
        <f t="shared" si="36"/>
        <v>1.7619000213817699E-3</v>
      </c>
      <c r="BV136" s="6">
        <f t="shared" si="37"/>
        <v>3.806988358765017E-2</v>
      </c>
      <c r="BX136" s="6">
        <f t="shared" si="38"/>
        <v>1.7619000213817699E-3</v>
      </c>
      <c r="BY136" s="6">
        <f t="shared" si="39"/>
        <v>5.9164747184599215E-2</v>
      </c>
    </row>
    <row r="137" spans="1:77" x14ac:dyDescent="0.3">
      <c r="A137" s="1">
        <v>46223</v>
      </c>
      <c r="B137" s="15">
        <v>161.63</v>
      </c>
      <c r="C137" s="15">
        <v>178.12</v>
      </c>
      <c r="D137" s="11">
        <v>-7.4583512130608296E-3</v>
      </c>
      <c r="E137" s="11">
        <v>-7.2162089777913999E-3</v>
      </c>
      <c r="F137" s="15">
        <v>0</v>
      </c>
      <c r="G137" s="15">
        <v>0.53739999999999999</v>
      </c>
      <c r="H137" s="15">
        <v>0</v>
      </c>
      <c r="I137" s="15">
        <v>0.89729999999999999</v>
      </c>
      <c r="J137" s="15">
        <v>0</v>
      </c>
      <c r="K137" s="15">
        <v>0</v>
      </c>
      <c r="L137" s="15">
        <v>161.63</v>
      </c>
      <c r="M137" s="15">
        <v>178.12</v>
      </c>
      <c r="N137" s="16">
        <v>1.1020231392687001</v>
      </c>
      <c r="O137" s="16">
        <v>1.0958817339640901</v>
      </c>
      <c r="P137" s="16">
        <v>1.1067396595675201</v>
      </c>
      <c r="Q137" s="16">
        <v>1.10906483248537</v>
      </c>
      <c r="R137" s="15">
        <v>177.127364660615</v>
      </c>
      <c r="S137" s="15">
        <v>178.97497137648401</v>
      </c>
      <c r="T137" s="15">
        <v>179.363083635782</v>
      </c>
      <c r="U137" s="11">
        <v>-5.5884322954070703E-3</v>
      </c>
      <c r="V137" s="11">
        <v>4.7884908984896597E-3</v>
      </c>
      <c r="W137" s="11">
        <v>6.9546711611326098E-3</v>
      </c>
      <c r="X137" s="16">
        <v>1.1020231392687001</v>
      </c>
      <c r="Y137" s="16">
        <v>1.0957888908294</v>
      </c>
      <c r="Z137" s="16">
        <v>1.1067396595675201</v>
      </c>
      <c r="AA137" s="16">
        <v>1.10906483248537</v>
      </c>
      <c r="AB137" s="15">
        <v>177.11235842475699</v>
      </c>
      <c r="AC137" s="15">
        <v>178.97497137648401</v>
      </c>
      <c r="AD137" s="15">
        <v>179.348539701644</v>
      </c>
      <c r="AE137" s="11">
        <v>-5.67315591554026E-3</v>
      </c>
      <c r="AF137" s="11">
        <v>4.7884908984896597E-3</v>
      </c>
      <c r="AG137" s="11">
        <v>6.8735813207149296E-3</v>
      </c>
      <c r="AZ137" s="11"/>
      <c r="BB137">
        <f t="shared" si="22"/>
        <v>0</v>
      </c>
      <c r="BC137">
        <f t="shared" si="23"/>
        <v>1</v>
      </c>
      <c r="BD137">
        <f t="shared" si="24"/>
        <v>0</v>
      </c>
      <c r="BE137">
        <f t="shared" si="20"/>
        <v>1</v>
      </c>
      <c r="BF137">
        <f t="shared" si="25"/>
        <v>0</v>
      </c>
      <c r="BG137" s="11">
        <f t="shared" si="26"/>
        <v>0</v>
      </c>
      <c r="BH137" s="11">
        <f t="shared" si="27"/>
        <v>0</v>
      </c>
      <c r="BI137" s="11">
        <f t="shared" si="28"/>
        <v>0</v>
      </c>
      <c r="BJ137" s="6">
        <f t="shared" si="29"/>
        <v>2.1094863596949055E-2</v>
      </c>
      <c r="BL137" s="11"/>
      <c r="BN137">
        <f t="shared" si="30"/>
        <v>1</v>
      </c>
      <c r="BO137">
        <f t="shared" si="31"/>
        <v>0</v>
      </c>
      <c r="BP137">
        <f t="shared" si="32"/>
        <v>1</v>
      </c>
      <c r="BQ137">
        <f t="shared" si="21"/>
        <v>1</v>
      </c>
      <c r="BR137">
        <f t="shared" si="33"/>
        <v>1</v>
      </c>
      <c r="BS137" s="11">
        <f t="shared" si="34"/>
        <v>7.4583512130608296E-3</v>
      </c>
      <c r="BT137" s="11">
        <f t="shared" si="35"/>
        <v>-7.2162089777913999E-3</v>
      </c>
      <c r="BU137" s="11">
        <f t="shared" si="36"/>
        <v>2.4214223526942968E-4</v>
      </c>
      <c r="BV137" s="6">
        <f t="shared" si="37"/>
        <v>3.83120258229196E-2</v>
      </c>
      <c r="BX137" s="6">
        <f t="shared" si="38"/>
        <v>2.4214223526942968E-4</v>
      </c>
      <c r="BY137" s="6">
        <f t="shared" si="39"/>
        <v>5.9406889419868644E-2</v>
      </c>
    </row>
    <row r="138" spans="1:77" x14ac:dyDescent="0.3">
      <c r="A138" s="1">
        <v>46224</v>
      </c>
      <c r="B138" s="15">
        <v>162.08000000000001</v>
      </c>
      <c r="C138" s="15">
        <v>178.66</v>
      </c>
      <c r="D138" s="11">
        <v>2.7802680786560498E-3</v>
      </c>
      <c r="E138" s="11">
        <v>3.0270778201913801E-3</v>
      </c>
      <c r="F138" s="15">
        <v>0</v>
      </c>
      <c r="G138" s="15">
        <v>0.53739999999999999</v>
      </c>
      <c r="H138" s="15">
        <v>0</v>
      </c>
      <c r="I138" s="15">
        <v>0.89729999999999999</v>
      </c>
      <c r="J138" s="15">
        <v>0</v>
      </c>
      <c r="K138" s="15">
        <v>0</v>
      </c>
      <c r="L138" s="15">
        <v>162.08000000000001</v>
      </c>
      <c r="M138" s="15">
        <v>178.66</v>
      </c>
      <c r="N138" s="16">
        <v>1.1022951628825199</v>
      </c>
      <c r="O138" s="16">
        <v>1.0958817339640901</v>
      </c>
      <c r="P138" s="16">
        <v>1.10602568780906</v>
      </c>
      <c r="Q138" s="16">
        <v>1.1083201916250101</v>
      </c>
      <c r="R138" s="15">
        <v>177.62051144089901</v>
      </c>
      <c r="S138" s="15">
        <v>179.38036402270399</v>
      </c>
      <c r="T138" s="15">
        <v>179.75722804922901</v>
      </c>
      <c r="U138" s="11">
        <v>-5.8352420369423902E-3</v>
      </c>
      <c r="V138" s="11">
        <v>4.0239317524080704E-3</v>
      </c>
      <c r="W138" s="11">
        <v>6.1226491976033902E-3</v>
      </c>
      <c r="X138" s="16">
        <v>1.1022951628825199</v>
      </c>
      <c r="Y138" s="16">
        <v>1.0957888908294</v>
      </c>
      <c r="Z138" s="16">
        <v>1.10602568780906</v>
      </c>
      <c r="AA138" s="16">
        <v>1.1083201916250101</v>
      </c>
      <c r="AB138" s="15">
        <v>177.60546342563001</v>
      </c>
      <c r="AC138" s="15">
        <v>179.38036402270399</v>
      </c>
      <c r="AD138" s="15">
        <v>179.75722804922901</v>
      </c>
      <c r="AE138" s="11">
        <v>-5.91996565707567E-3</v>
      </c>
      <c r="AF138" s="11">
        <v>4.0239317524078501E-3</v>
      </c>
      <c r="AG138" s="11">
        <v>6.1226491976031699E-3</v>
      </c>
      <c r="AZ138" s="11"/>
      <c r="BB138">
        <f t="shared" si="22"/>
        <v>0</v>
      </c>
      <c r="BC138">
        <f t="shared" si="23"/>
        <v>1</v>
      </c>
      <c r="BD138">
        <f t="shared" si="24"/>
        <v>0</v>
      </c>
      <c r="BE138">
        <f t="shared" si="20"/>
        <v>1</v>
      </c>
      <c r="BF138">
        <f t="shared" si="25"/>
        <v>0</v>
      </c>
      <c r="BG138" s="11">
        <f t="shared" si="26"/>
        <v>0</v>
      </c>
      <c r="BH138" s="11">
        <f t="shared" si="27"/>
        <v>0</v>
      </c>
      <c r="BI138" s="11">
        <f t="shared" si="28"/>
        <v>0</v>
      </c>
      <c r="BJ138" s="6">
        <f t="shared" si="29"/>
        <v>2.1094863596949055E-2</v>
      </c>
      <c r="BL138" s="11"/>
      <c r="BN138">
        <f t="shared" si="30"/>
        <v>1</v>
      </c>
      <c r="BO138">
        <f t="shared" si="31"/>
        <v>0</v>
      </c>
      <c r="BP138">
        <f t="shared" si="32"/>
        <v>1</v>
      </c>
      <c r="BQ138">
        <f t="shared" si="21"/>
        <v>1</v>
      </c>
      <c r="BR138">
        <f t="shared" si="33"/>
        <v>1</v>
      </c>
      <c r="BS138" s="11">
        <f t="shared" si="34"/>
        <v>-2.7802680786560498E-3</v>
      </c>
      <c r="BT138" s="11">
        <f t="shared" si="35"/>
        <v>3.0270778201913801E-3</v>
      </c>
      <c r="BU138" s="11">
        <f t="shared" si="36"/>
        <v>2.4680974153533028E-4</v>
      </c>
      <c r="BV138" s="6">
        <f t="shared" si="37"/>
        <v>3.8558835564454927E-2</v>
      </c>
      <c r="BX138" s="6">
        <f t="shared" si="38"/>
        <v>2.4680974153533028E-4</v>
      </c>
      <c r="BY138" s="6">
        <f t="shared" si="39"/>
        <v>5.9653699161403978E-2</v>
      </c>
    </row>
    <row r="139" spans="1:77" x14ac:dyDescent="0.3">
      <c r="A139" s="1">
        <v>46225</v>
      </c>
      <c r="B139" s="15">
        <v>162.03</v>
      </c>
      <c r="C139" s="15">
        <v>178.85</v>
      </c>
      <c r="D139" s="11">
        <v>-3.0853722746391902E-4</v>
      </c>
      <c r="E139" s="11">
        <v>1.0629074313337401E-3</v>
      </c>
      <c r="F139" s="15">
        <v>0</v>
      </c>
      <c r="G139" s="15">
        <v>0.53739999999999999</v>
      </c>
      <c r="H139" s="15">
        <v>0</v>
      </c>
      <c r="I139" s="15">
        <v>0.89729999999999999</v>
      </c>
      <c r="J139" s="15">
        <v>0</v>
      </c>
      <c r="K139" s="15">
        <v>0</v>
      </c>
      <c r="L139" s="15">
        <v>162.03</v>
      </c>
      <c r="M139" s="15">
        <v>178.85</v>
      </c>
      <c r="N139" s="16">
        <v>1.1038079368018201</v>
      </c>
      <c r="O139" s="16">
        <v>1.0958817339640901</v>
      </c>
      <c r="P139" s="16">
        <v>1.10484328584244</v>
      </c>
      <c r="Q139" s="16">
        <v>1.1078839101412401</v>
      </c>
      <c r="R139" s="15">
        <v>177.56571735420101</v>
      </c>
      <c r="S139" s="15">
        <v>179.20934219570199</v>
      </c>
      <c r="T139" s="15">
        <v>179.58112064900101</v>
      </c>
      <c r="U139" s="11">
        <v>-7.2066866957400198E-3</v>
      </c>
      <c r="V139" s="11">
        <v>2.0071662654538198E-3</v>
      </c>
      <c r="W139" s="11">
        <v>4.0795657568575804E-3</v>
      </c>
      <c r="X139" s="16">
        <v>1.1038079368018201</v>
      </c>
      <c r="Y139" s="16">
        <v>1.0957888908294</v>
      </c>
      <c r="Z139" s="16">
        <v>1.10484328584244</v>
      </c>
      <c r="AA139" s="16">
        <v>1.1078839101412401</v>
      </c>
      <c r="AB139" s="15">
        <v>177.55067398108901</v>
      </c>
      <c r="AC139" s="15">
        <v>179.20934219570199</v>
      </c>
      <c r="AD139" s="15">
        <v>179.58112064900101</v>
      </c>
      <c r="AE139" s="11">
        <v>-7.2914103158732597E-3</v>
      </c>
      <c r="AF139" s="11">
        <v>2.0071662654538198E-3</v>
      </c>
      <c r="AG139" s="11">
        <v>4.0795657568575804E-3</v>
      </c>
      <c r="AZ139" s="11"/>
      <c r="BB139">
        <f t="shared" si="22"/>
        <v>0</v>
      </c>
      <c r="BC139">
        <f t="shared" si="23"/>
        <v>1</v>
      </c>
      <c r="BD139">
        <f t="shared" si="24"/>
        <v>0</v>
      </c>
      <c r="BE139">
        <f t="shared" si="20"/>
        <v>1</v>
      </c>
      <c r="BF139">
        <f t="shared" si="25"/>
        <v>0</v>
      </c>
      <c r="BG139" s="11">
        <f t="shared" si="26"/>
        <v>0</v>
      </c>
      <c r="BH139" s="11">
        <f t="shared" si="27"/>
        <v>0</v>
      </c>
      <c r="BI139" s="11">
        <f t="shared" si="28"/>
        <v>0</v>
      </c>
      <c r="BJ139" s="6">
        <f t="shared" si="29"/>
        <v>2.1094863596949055E-2</v>
      </c>
      <c r="BL139" s="11"/>
      <c r="BN139">
        <f t="shared" si="30"/>
        <v>0</v>
      </c>
      <c r="BO139">
        <f t="shared" si="31"/>
        <v>0</v>
      </c>
      <c r="BP139">
        <f t="shared" si="32"/>
        <v>1</v>
      </c>
      <c r="BQ139">
        <f t="shared" si="21"/>
        <v>1</v>
      </c>
      <c r="BR139">
        <f t="shared" si="33"/>
        <v>1</v>
      </c>
      <c r="BS139" s="11">
        <f t="shared" si="34"/>
        <v>3.0853722746391902E-4</v>
      </c>
      <c r="BT139" s="11">
        <f t="shared" si="35"/>
        <v>1.0629074313337401E-3</v>
      </c>
      <c r="BU139" s="11">
        <f t="shared" si="36"/>
        <v>1.3714446587976591E-3</v>
      </c>
      <c r="BV139" s="6">
        <f t="shared" si="37"/>
        <v>3.9930280223252589E-2</v>
      </c>
      <c r="BX139" s="6">
        <f t="shared" si="38"/>
        <v>1.3714446587976591E-3</v>
      </c>
      <c r="BY139" s="6">
        <f t="shared" si="39"/>
        <v>6.102514382020164E-2</v>
      </c>
    </row>
    <row r="140" spans="1:77" x14ac:dyDescent="0.3">
      <c r="A140" s="1">
        <v>46226</v>
      </c>
      <c r="B140" s="15">
        <v>163.68</v>
      </c>
      <c r="C140" s="15">
        <v>181.94</v>
      </c>
      <c r="D140" s="11">
        <v>1.01317989304069E-2</v>
      </c>
      <c r="E140" s="11">
        <v>1.71294966888891E-2</v>
      </c>
      <c r="F140" s="15">
        <v>0</v>
      </c>
      <c r="G140" s="15">
        <v>0.53739999999999999</v>
      </c>
      <c r="H140" s="15">
        <v>0</v>
      </c>
      <c r="I140" s="15">
        <v>0.89729999999999999</v>
      </c>
      <c r="J140" s="15">
        <v>0</v>
      </c>
      <c r="K140" s="15">
        <v>0</v>
      </c>
      <c r="L140" s="15">
        <v>163.68</v>
      </c>
      <c r="M140" s="15">
        <v>181.94</v>
      </c>
      <c r="N140" s="16">
        <v>1.11155913978494</v>
      </c>
      <c r="O140" s="16">
        <v>1.0958817339640901</v>
      </c>
      <c r="P140" s="16">
        <v>1.10477276734535</v>
      </c>
      <c r="Q140" s="16">
        <v>1.10783462919988</v>
      </c>
      <c r="R140" s="15">
        <v>179.373922215242</v>
      </c>
      <c r="S140" s="15">
        <v>180.84074902669099</v>
      </c>
      <c r="T140" s="15">
        <v>181.33843841191899</v>
      </c>
      <c r="U140" s="11">
        <v>-1.4204384454222001E-2</v>
      </c>
      <c r="V140" s="11">
        <v>-6.0601580456986701E-3</v>
      </c>
      <c r="W140" s="11">
        <v>-3.3118515954638399E-3</v>
      </c>
      <c r="X140" s="16">
        <v>1.11155913978494</v>
      </c>
      <c r="Y140" s="16">
        <v>1.0957888908294</v>
      </c>
      <c r="Z140" s="16">
        <v>1.10477276734535</v>
      </c>
      <c r="AA140" s="16">
        <v>1.10783462919988</v>
      </c>
      <c r="AB140" s="15">
        <v>179.35872565095701</v>
      </c>
      <c r="AC140" s="15">
        <v>180.84074902669099</v>
      </c>
      <c r="AD140" s="15">
        <v>181.33843841191899</v>
      </c>
      <c r="AE140" s="11">
        <v>-1.4289108074355201E-2</v>
      </c>
      <c r="AF140" s="11">
        <v>-6.0601580456988999E-3</v>
      </c>
      <c r="AG140" s="11">
        <v>-3.3118515954638399E-3</v>
      </c>
      <c r="AZ140" s="11"/>
      <c r="BB140">
        <f t="shared" si="22"/>
        <v>0</v>
      </c>
      <c r="BC140">
        <f t="shared" si="23"/>
        <v>0</v>
      </c>
      <c r="BD140">
        <f t="shared" si="24"/>
        <v>0</v>
      </c>
      <c r="BE140">
        <f t="shared" si="20"/>
        <v>1</v>
      </c>
      <c r="BF140">
        <f t="shared" si="25"/>
        <v>0</v>
      </c>
      <c r="BG140" s="11">
        <f t="shared" si="26"/>
        <v>0</v>
      </c>
      <c r="BH140" s="11">
        <f t="shared" si="27"/>
        <v>0</v>
      </c>
      <c r="BI140" s="11">
        <f t="shared" si="28"/>
        <v>0</v>
      </c>
      <c r="BJ140" s="6">
        <f t="shared" si="29"/>
        <v>2.1094863596949055E-2</v>
      </c>
      <c r="BL140" s="11"/>
      <c r="BN140">
        <f t="shared" si="30"/>
        <v>0</v>
      </c>
      <c r="BO140">
        <f t="shared" si="31"/>
        <v>1</v>
      </c>
      <c r="BP140">
        <f t="shared" si="32"/>
        <v>1</v>
      </c>
      <c r="BQ140">
        <f t="shared" si="21"/>
        <v>1</v>
      </c>
      <c r="BR140">
        <f t="shared" si="33"/>
        <v>1</v>
      </c>
      <c r="BS140" s="11">
        <f t="shared" si="34"/>
        <v>-1.01317989304069E-2</v>
      </c>
      <c r="BT140" s="11">
        <f t="shared" si="35"/>
        <v>1.71294966888891E-2</v>
      </c>
      <c r="BU140" s="11">
        <f t="shared" si="36"/>
        <v>6.9976977584821996E-3</v>
      </c>
      <c r="BV140" s="6">
        <f t="shared" si="37"/>
        <v>4.6927977981734786E-2</v>
      </c>
      <c r="BX140" s="6">
        <f t="shared" si="38"/>
        <v>6.9976977584821996E-3</v>
      </c>
      <c r="BY140" s="6">
        <f t="shared" si="39"/>
        <v>6.8022841578683838E-2</v>
      </c>
    </row>
    <row r="141" spans="1:77" x14ac:dyDescent="0.3">
      <c r="A141" s="1">
        <v>46227</v>
      </c>
      <c r="B141" s="15">
        <v>164.5</v>
      </c>
      <c r="C141" s="15">
        <v>182.66</v>
      </c>
      <c r="D141" s="11">
        <v>4.9972680021101099E-3</v>
      </c>
      <c r="E141" s="11">
        <v>3.9495388696169902E-3</v>
      </c>
      <c r="F141" s="15">
        <v>0</v>
      </c>
      <c r="G141" s="15">
        <v>0.53739999999999999</v>
      </c>
      <c r="H141" s="15">
        <v>0</v>
      </c>
      <c r="I141" s="15">
        <v>0.89729999999999999</v>
      </c>
      <c r="J141" s="15">
        <v>0</v>
      </c>
      <c r="K141" s="15">
        <v>0</v>
      </c>
      <c r="L141" s="15">
        <v>164.5</v>
      </c>
      <c r="M141" s="15">
        <v>182.66</v>
      </c>
      <c r="N141" s="16">
        <v>1.11039513677811</v>
      </c>
      <c r="O141" s="16">
        <v>1.0958817339640901</v>
      </c>
      <c r="P141" s="16">
        <v>1.1046685860084999</v>
      </c>
      <c r="Q141" s="16">
        <v>1.10744523991951</v>
      </c>
      <c r="R141" s="15">
        <v>180.272545237092</v>
      </c>
      <c r="S141" s="15">
        <v>181.73512022831</v>
      </c>
      <c r="T141" s="15">
        <v>182.238796503381</v>
      </c>
      <c r="U141" s="11">
        <v>-1.31566553217289E-2</v>
      </c>
      <c r="V141" s="11">
        <v>-5.0762576467229797E-3</v>
      </c>
      <c r="W141" s="11">
        <v>-2.3086054967988798E-3</v>
      </c>
      <c r="X141" s="16">
        <v>1.11039513677811</v>
      </c>
      <c r="Y141" s="16">
        <v>1.0957888908294</v>
      </c>
      <c r="Z141" s="16">
        <v>1.1046685860084999</v>
      </c>
      <c r="AA141" s="16">
        <v>1.10744523991951</v>
      </c>
      <c r="AB141" s="15">
        <v>180.257272541437</v>
      </c>
      <c r="AC141" s="15">
        <v>181.73512022831</v>
      </c>
      <c r="AD141" s="15">
        <v>182.238796503381</v>
      </c>
      <c r="AE141" s="11">
        <v>-1.32413789418621E-2</v>
      </c>
      <c r="AF141" s="11">
        <v>-5.0762576467229797E-3</v>
      </c>
      <c r="AG141" s="11">
        <v>-2.30860549679899E-3</v>
      </c>
      <c r="AZ141" s="11"/>
      <c r="BB141">
        <f t="shared" si="22"/>
        <v>0</v>
      </c>
      <c r="BC141">
        <f t="shared" si="23"/>
        <v>0</v>
      </c>
      <c r="BD141">
        <f t="shared" si="24"/>
        <v>0</v>
      </c>
      <c r="BE141">
        <f t="shared" si="20"/>
        <v>1</v>
      </c>
      <c r="BF141">
        <f t="shared" si="25"/>
        <v>0</v>
      </c>
      <c r="BG141" s="11">
        <f t="shared" si="26"/>
        <v>0</v>
      </c>
      <c r="BH141" s="11">
        <f t="shared" si="27"/>
        <v>0</v>
      </c>
      <c r="BI141" s="11">
        <f t="shared" si="28"/>
        <v>0</v>
      </c>
      <c r="BJ141" s="6">
        <f t="shared" si="29"/>
        <v>2.1094863596949055E-2</v>
      </c>
      <c r="BL141" s="11"/>
      <c r="BN141">
        <f t="shared" si="30"/>
        <v>0</v>
      </c>
      <c r="BO141">
        <f t="shared" si="31"/>
        <v>1</v>
      </c>
      <c r="BP141">
        <f t="shared" si="32"/>
        <v>0</v>
      </c>
      <c r="BQ141">
        <f t="shared" si="21"/>
        <v>1</v>
      </c>
      <c r="BR141">
        <f t="shared" si="33"/>
        <v>0</v>
      </c>
      <c r="BS141" s="11">
        <f t="shared" si="34"/>
        <v>0</v>
      </c>
      <c r="BT141" s="11">
        <f t="shared" si="35"/>
        <v>0</v>
      </c>
      <c r="BU141" s="11">
        <f t="shared" si="36"/>
        <v>0</v>
      </c>
      <c r="BV141" s="6">
        <f t="shared" si="37"/>
        <v>4.6927977981734786E-2</v>
      </c>
      <c r="BX141" s="6">
        <f t="shared" si="38"/>
        <v>0</v>
      </c>
      <c r="BY141" s="6">
        <f t="shared" si="39"/>
        <v>6.8022841578683838E-2</v>
      </c>
    </row>
    <row r="142" spans="1:77" x14ac:dyDescent="0.3">
      <c r="A142" s="1">
        <v>46230</v>
      </c>
      <c r="B142" s="15">
        <v>165.62</v>
      </c>
      <c r="C142" s="15">
        <v>183.2</v>
      </c>
      <c r="D142" s="11">
        <v>6.7854374001273601E-3</v>
      </c>
      <c r="E142" s="11">
        <v>2.9519509764968999E-3</v>
      </c>
      <c r="F142" s="15">
        <v>0</v>
      </c>
      <c r="G142" s="15">
        <v>0.53739999999999999</v>
      </c>
      <c r="H142" s="15">
        <v>0</v>
      </c>
      <c r="I142" s="15">
        <v>0.89729999999999999</v>
      </c>
      <c r="J142" s="15">
        <v>0</v>
      </c>
      <c r="K142" s="15">
        <v>0</v>
      </c>
      <c r="L142" s="15">
        <v>165.62</v>
      </c>
      <c r="M142" s="15">
        <v>183.2</v>
      </c>
      <c r="N142" s="16">
        <v>1.1061466006520899</v>
      </c>
      <c r="O142" s="16">
        <v>1.0958817339640901</v>
      </c>
      <c r="P142" s="16">
        <v>1.10457926276799</v>
      </c>
      <c r="Q142" s="16">
        <v>1.10722085067538</v>
      </c>
      <c r="R142" s="15">
        <v>181.499932779132</v>
      </c>
      <c r="S142" s="15">
        <v>182.955211214728</v>
      </c>
      <c r="T142" s="15">
        <v>183.41508063546999</v>
      </c>
      <c r="U142" s="11">
        <v>-9.3231688980985102E-3</v>
      </c>
      <c r="V142" s="11">
        <v>-1.33707681465771E-3</v>
      </c>
      <c r="W142" s="11">
        <v>1.1733323123125001E-3</v>
      </c>
      <c r="X142" s="16">
        <v>1.1061466006520899</v>
      </c>
      <c r="Y142" s="16">
        <v>1.0957888908294</v>
      </c>
      <c r="Z142" s="16">
        <v>1.10457926276799</v>
      </c>
      <c r="AA142" s="16">
        <v>1.10722085067538</v>
      </c>
      <c r="AB142" s="15">
        <v>181.48455609916601</v>
      </c>
      <c r="AC142" s="15">
        <v>182.955211214728</v>
      </c>
      <c r="AD142" s="15">
        <v>183.41508063546999</v>
      </c>
      <c r="AE142" s="11">
        <v>-9.4078925182316704E-3</v>
      </c>
      <c r="AF142" s="11">
        <v>-1.33707681465771E-3</v>
      </c>
      <c r="AG142" s="11">
        <v>1.17333231231227E-3</v>
      </c>
      <c r="AZ142" s="11"/>
      <c r="BB142">
        <f t="shared" si="22"/>
        <v>0</v>
      </c>
      <c r="BC142">
        <f t="shared" si="23"/>
        <v>1</v>
      </c>
      <c r="BD142">
        <f t="shared" si="24"/>
        <v>0</v>
      </c>
      <c r="BE142">
        <f t="shared" si="20"/>
        <v>1</v>
      </c>
      <c r="BF142">
        <f t="shared" si="25"/>
        <v>0</v>
      </c>
      <c r="BG142" s="11">
        <f t="shared" si="26"/>
        <v>0</v>
      </c>
      <c r="BH142" s="11">
        <f t="shared" si="27"/>
        <v>0</v>
      </c>
      <c r="BI142" s="11">
        <f t="shared" si="28"/>
        <v>0</v>
      </c>
      <c r="BJ142" s="6">
        <f t="shared" si="29"/>
        <v>2.1094863596949055E-2</v>
      </c>
      <c r="BL142" s="11"/>
      <c r="BN142">
        <f t="shared" si="30"/>
        <v>0</v>
      </c>
      <c r="BO142">
        <f t="shared" si="31"/>
        <v>0</v>
      </c>
      <c r="BP142">
        <f t="shared" si="32"/>
        <v>0</v>
      </c>
      <c r="BQ142">
        <f t="shared" si="21"/>
        <v>1</v>
      </c>
      <c r="BR142">
        <f t="shared" si="33"/>
        <v>0</v>
      </c>
      <c r="BS142" s="11">
        <f t="shared" si="34"/>
        <v>0</v>
      </c>
      <c r="BT142" s="11">
        <f t="shared" si="35"/>
        <v>0</v>
      </c>
      <c r="BU142" s="11">
        <f t="shared" si="36"/>
        <v>0</v>
      </c>
      <c r="BV142" s="6">
        <f t="shared" si="37"/>
        <v>4.6927977981734786E-2</v>
      </c>
      <c r="BX142" s="6">
        <f t="shared" si="38"/>
        <v>0</v>
      </c>
      <c r="BY142" s="6">
        <f t="shared" si="39"/>
        <v>6.8022841578683838E-2</v>
      </c>
    </row>
    <row r="143" spans="1:77" x14ac:dyDescent="0.3">
      <c r="A143" s="1">
        <v>46231</v>
      </c>
      <c r="B143" s="15">
        <v>165.8</v>
      </c>
      <c r="C143" s="15">
        <v>182.49</v>
      </c>
      <c r="D143" s="11">
        <v>1.0862350956406001E-3</v>
      </c>
      <c r="E143" s="11">
        <v>-3.8830752393061098E-3</v>
      </c>
      <c r="F143" s="15">
        <v>0</v>
      </c>
      <c r="G143" s="15">
        <v>0.53739999999999999</v>
      </c>
      <c r="H143" s="15">
        <v>0</v>
      </c>
      <c r="I143" s="15">
        <v>0.89729999999999999</v>
      </c>
      <c r="J143" s="15">
        <v>0</v>
      </c>
      <c r="K143" s="15">
        <v>0</v>
      </c>
      <c r="L143" s="15">
        <v>165.8</v>
      </c>
      <c r="M143" s="15">
        <v>182.49</v>
      </c>
      <c r="N143" s="16">
        <v>1.1006634499396799</v>
      </c>
      <c r="O143" s="16">
        <v>1.0958817339640901</v>
      </c>
      <c r="P143" s="16">
        <v>1.10414346446741</v>
      </c>
      <c r="Q143" s="16">
        <v>1.1066227069663399</v>
      </c>
      <c r="R143" s="15">
        <v>181.697191491246</v>
      </c>
      <c r="S143" s="15">
        <v>183.13924176693399</v>
      </c>
      <c r="T143" s="15">
        <v>183.577217041978</v>
      </c>
      <c r="U143" s="11">
        <v>-4.3538585631517799E-3</v>
      </c>
      <c r="V143" s="11">
        <v>3.5513704875579401E-3</v>
      </c>
      <c r="W143" s="11">
        <v>5.9400033005376799E-3</v>
      </c>
      <c r="X143" s="16">
        <v>1.1006634499396799</v>
      </c>
      <c r="Y143" s="16">
        <v>1.0957888908294</v>
      </c>
      <c r="Z143" s="16">
        <v>1.10414346446741</v>
      </c>
      <c r="AA143" s="16">
        <v>1.1066227069663399</v>
      </c>
      <c r="AB143" s="15">
        <v>181.68179809951599</v>
      </c>
      <c r="AC143" s="15">
        <v>183.13924176693399</v>
      </c>
      <c r="AD143" s="15">
        <v>183.577217041978</v>
      </c>
      <c r="AE143" s="11">
        <v>-4.4385821832849202E-3</v>
      </c>
      <c r="AF143" s="11">
        <v>3.5513704875579401E-3</v>
      </c>
      <c r="AG143" s="11">
        <v>5.9400033005376799E-3</v>
      </c>
      <c r="AZ143" s="11"/>
      <c r="BB143">
        <f t="shared" si="22"/>
        <v>0</v>
      </c>
      <c r="BC143">
        <f t="shared" si="23"/>
        <v>1</v>
      </c>
      <c r="BD143">
        <f t="shared" si="24"/>
        <v>0</v>
      </c>
      <c r="BE143">
        <f t="shared" si="20"/>
        <v>1</v>
      </c>
      <c r="BF143">
        <f t="shared" si="25"/>
        <v>0</v>
      </c>
      <c r="BG143" s="11">
        <f t="shared" si="26"/>
        <v>0</v>
      </c>
      <c r="BH143" s="11">
        <f t="shared" si="27"/>
        <v>0</v>
      </c>
      <c r="BI143" s="11">
        <f t="shared" si="28"/>
        <v>0</v>
      </c>
      <c r="BJ143" s="6">
        <f t="shared" si="29"/>
        <v>2.1094863596949055E-2</v>
      </c>
      <c r="BL143" s="11"/>
      <c r="BN143">
        <f t="shared" si="30"/>
        <v>1</v>
      </c>
      <c r="BO143">
        <f t="shared" si="31"/>
        <v>0</v>
      </c>
      <c r="BP143">
        <f t="shared" si="32"/>
        <v>0</v>
      </c>
      <c r="BQ143">
        <f t="shared" si="21"/>
        <v>1</v>
      </c>
      <c r="BR143">
        <f t="shared" si="33"/>
        <v>0</v>
      </c>
      <c r="BS143" s="11">
        <f t="shared" si="34"/>
        <v>0</v>
      </c>
      <c r="BT143" s="11">
        <f t="shared" si="35"/>
        <v>0</v>
      </c>
      <c r="BU143" s="11">
        <f t="shared" si="36"/>
        <v>0</v>
      </c>
      <c r="BV143" s="6">
        <f t="shared" si="37"/>
        <v>4.6927977981734786E-2</v>
      </c>
      <c r="BX143" s="6">
        <f t="shared" si="38"/>
        <v>0</v>
      </c>
      <c r="BY143" s="6">
        <f t="shared" si="39"/>
        <v>6.8022841578683838E-2</v>
      </c>
    </row>
    <row r="144" spans="1:77" x14ac:dyDescent="0.3">
      <c r="A144" s="1">
        <v>46232</v>
      </c>
      <c r="B144" s="15">
        <v>161.59</v>
      </c>
      <c r="C144" s="15">
        <v>176.66</v>
      </c>
      <c r="D144" s="11">
        <v>-2.5719979717038099E-2</v>
      </c>
      <c r="E144" s="11">
        <v>-3.2468395683737598E-2</v>
      </c>
      <c r="F144" s="15">
        <v>0</v>
      </c>
      <c r="G144" s="15">
        <v>0.53739999999999999</v>
      </c>
      <c r="H144" s="15">
        <v>0</v>
      </c>
      <c r="I144" s="15">
        <v>0.89729999999999999</v>
      </c>
      <c r="J144" s="15">
        <v>0</v>
      </c>
      <c r="K144" s="15">
        <v>0</v>
      </c>
      <c r="L144" s="15">
        <v>161.59</v>
      </c>
      <c r="M144" s="15">
        <v>176.66</v>
      </c>
      <c r="N144" s="16">
        <v>1.0932607215793</v>
      </c>
      <c r="O144" s="16">
        <v>1.0958817339640901</v>
      </c>
      <c r="P144" s="16">
        <v>1.1031724462731201</v>
      </c>
      <c r="Q144" s="16">
        <v>1.1057111855895601</v>
      </c>
      <c r="R144" s="15">
        <v>177.083529391257</v>
      </c>
      <c r="S144" s="15">
        <v>178.41854242328901</v>
      </c>
      <c r="T144" s="15">
        <v>178.81916321869201</v>
      </c>
      <c r="U144" s="11">
        <v>2.3945574035475598E-3</v>
      </c>
      <c r="V144" s="11">
        <v>9.9051707780904493E-3</v>
      </c>
      <c r="W144" s="11">
        <v>1.2148052517725201E-2</v>
      </c>
      <c r="X144" s="16">
        <v>1.0932607215793</v>
      </c>
      <c r="Y144" s="16">
        <v>1.0957888908294</v>
      </c>
      <c r="Z144" s="16">
        <v>1.1031724462731201</v>
      </c>
      <c r="AA144" s="16">
        <v>1.1057111855895601</v>
      </c>
      <c r="AB144" s="15">
        <v>177.06852686912401</v>
      </c>
      <c r="AC144" s="15">
        <v>178.41854242328901</v>
      </c>
      <c r="AD144" s="15">
        <v>178.81916321869201</v>
      </c>
      <c r="AE144" s="11">
        <v>2.3098337834144699E-3</v>
      </c>
      <c r="AF144" s="11">
        <v>9.9051707780904493E-3</v>
      </c>
      <c r="AG144" s="11">
        <v>1.2148052517725201E-2</v>
      </c>
      <c r="AZ144" s="11"/>
      <c r="BB144">
        <f t="shared" si="22"/>
        <v>0</v>
      </c>
      <c r="BC144">
        <f t="shared" si="23"/>
        <v>1</v>
      </c>
      <c r="BD144">
        <f t="shared" si="24"/>
        <v>0</v>
      </c>
      <c r="BE144">
        <f t="shared" si="20"/>
        <v>1</v>
      </c>
      <c r="BF144">
        <f t="shared" si="25"/>
        <v>0</v>
      </c>
      <c r="BG144" s="11">
        <f t="shared" si="26"/>
        <v>0</v>
      </c>
      <c r="BH144" s="11">
        <f t="shared" si="27"/>
        <v>0</v>
      </c>
      <c r="BI144" s="11">
        <f t="shared" si="28"/>
        <v>0</v>
      </c>
      <c r="BJ144" s="6">
        <f t="shared" si="29"/>
        <v>2.1094863596949055E-2</v>
      </c>
      <c r="BL144" s="11"/>
      <c r="BN144">
        <f t="shared" si="30"/>
        <v>1</v>
      </c>
      <c r="BO144">
        <f t="shared" si="31"/>
        <v>0</v>
      </c>
      <c r="BP144">
        <f t="shared" si="32"/>
        <v>1</v>
      </c>
      <c r="BQ144">
        <f t="shared" si="21"/>
        <v>1</v>
      </c>
      <c r="BR144">
        <f t="shared" si="33"/>
        <v>1</v>
      </c>
      <c r="BS144" s="11">
        <f t="shared" si="34"/>
        <v>2.5719979717038099E-2</v>
      </c>
      <c r="BT144" s="11">
        <f t="shared" si="35"/>
        <v>-3.2468395683737598E-2</v>
      </c>
      <c r="BU144" s="11">
        <f t="shared" si="36"/>
        <v>-6.7484159666994989E-3</v>
      </c>
      <c r="BV144" s="6">
        <f t="shared" si="37"/>
        <v>4.0179562015035288E-2</v>
      </c>
      <c r="BX144" s="6">
        <f t="shared" si="38"/>
        <v>-6.7484159666994989E-3</v>
      </c>
      <c r="BY144" s="6">
        <f t="shared" si="39"/>
        <v>6.1274425611984339E-2</v>
      </c>
    </row>
    <row r="145" spans="1:77" x14ac:dyDescent="0.3">
      <c r="A145" s="1">
        <v>46233</v>
      </c>
      <c r="B145" s="15">
        <v>163.24</v>
      </c>
      <c r="C145" s="15">
        <v>178.39</v>
      </c>
      <c r="D145" s="11">
        <v>1.01592475534485E-2</v>
      </c>
      <c r="E145" s="11">
        <v>9.7451834461899194E-3</v>
      </c>
      <c r="F145" s="15">
        <v>0</v>
      </c>
      <c r="G145" s="15">
        <v>0.53739999999999999</v>
      </c>
      <c r="H145" s="15">
        <v>0</v>
      </c>
      <c r="I145" s="15">
        <v>0.89729999999999999</v>
      </c>
      <c r="J145" s="15">
        <v>0</v>
      </c>
      <c r="K145" s="15">
        <v>0</v>
      </c>
      <c r="L145" s="15">
        <v>163.24</v>
      </c>
      <c r="M145" s="15">
        <v>178.39</v>
      </c>
      <c r="N145" s="16">
        <v>1.09280813526096</v>
      </c>
      <c r="O145" s="16">
        <v>1.0958817339640901</v>
      </c>
      <c r="P145" s="16">
        <v>1.10247157481753</v>
      </c>
      <c r="Q145" s="16">
        <v>1.10501934538538</v>
      </c>
      <c r="R145" s="15">
        <v>178.89173425229799</v>
      </c>
      <c r="S145" s="15">
        <v>180.081870129625</v>
      </c>
      <c r="T145" s="15">
        <v>180.49629393564101</v>
      </c>
      <c r="U145" s="11">
        <v>2.80862151080608E-3</v>
      </c>
      <c r="V145" s="11">
        <v>9.4394167748536196E-3</v>
      </c>
      <c r="W145" s="11">
        <v>1.17380805864572E-2</v>
      </c>
      <c r="X145" s="16">
        <v>1.09280813526096</v>
      </c>
      <c r="Y145" s="16">
        <v>1.0957888908294</v>
      </c>
      <c r="Z145" s="16">
        <v>1.10247157481753</v>
      </c>
      <c r="AA145" s="16">
        <v>1.10501934538538</v>
      </c>
      <c r="AB145" s="15">
        <v>178.87657853899199</v>
      </c>
      <c r="AC145" s="15">
        <v>180.081870129625</v>
      </c>
      <c r="AD145" s="15">
        <v>180.49629393564101</v>
      </c>
      <c r="AE145" s="11">
        <v>2.7238978906729198E-3</v>
      </c>
      <c r="AF145" s="11">
        <v>9.4394167748536196E-3</v>
      </c>
      <c r="AG145" s="11">
        <v>1.17380805864572E-2</v>
      </c>
      <c r="AZ145" s="11"/>
      <c r="BB145">
        <f t="shared" si="22"/>
        <v>0</v>
      </c>
      <c r="BC145">
        <f t="shared" si="23"/>
        <v>1</v>
      </c>
      <c r="BD145">
        <f t="shared" si="24"/>
        <v>0</v>
      </c>
      <c r="BE145">
        <f t="shared" si="20"/>
        <v>1</v>
      </c>
      <c r="BF145">
        <f t="shared" si="25"/>
        <v>0</v>
      </c>
      <c r="BG145" s="11">
        <f t="shared" si="26"/>
        <v>0</v>
      </c>
      <c r="BH145" s="11">
        <f t="shared" si="27"/>
        <v>0</v>
      </c>
      <c r="BI145" s="11">
        <f t="shared" si="28"/>
        <v>0</v>
      </c>
      <c r="BJ145" s="6">
        <f t="shared" si="29"/>
        <v>2.1094863596949055E-2</v>
      </c>
      <c r="BL145" s="11"/>
      <c r="BN145">
        <f t="shared" si="30"/>
        <v>1</v>
      </c>
      <c r="BO145">
        <f t="shared" si="31"/>
        <v>0</v>
      </c>
      <c r="BP145">
        <f t="shared" si="32"/>
        <v>1</v>
      </c>
      <c r="BQ145">
        <f t="shared" si="21"/>
        <v>1</v>
      </c>
      <c r="BR145">
        <f t="shared" si="33"/>
        <v>1</v>
      </c>
      <c r="BS145" s="11">
        <f t="shared" si="34"/>
        <v>-1.01592475534485E-2</v>
      </c>
      <c r="BT145" s="11">
        <f t="shared" si="35"/>
        <v>9.7451834461899194E-3</v>
      </c>
      <c r="BU145" s="11">
        <f t="shared" si="36"/>
        <v>-4.1406410725858094E-4</v>
      </c>
      <c r="BV145" s="6">
        <f t="shared" si="37"/>
        <v>3.9765497907776705E-2</v>
      </c>
      <c r="BX145" s="6">
        <f t="shared" si="38"/>
        <v>-4.1406410725858094E-4</v>
      </c>
      <c r="BY145" s="6">
        <f t="shared" si="39"/>
        <v>6.0860361504725756E-2</v>
      </c>
    </row>
    <row r="146" spans="1:77" x14ac:dyDescent="0.3">
      <c r="A146" s="1">
        <v>46234</v>
      </c>
      <c r="B146" s="15">
        <v>163.92</v>
      </c>
      <c r="C146" s="15">
        <v>179.84</v>
      </c>
      <c r="D146" s="11">
        <v>4.1569933930393401E-3</v>
      </c>
      <c r="E146" s="11">
        <v>8.0954019421502505E-3</v>
      </c>
      <c r="F146" s="15">
        <v>0</v>
      </c>
      <c r="G146" s="15">
        <v>0.53739999999999999</v>
      </c>
      <c r="H146" s="15">
        <v>0</v>
      </c>
      <c r="I146" s="15">
        <v>0.89729999999999999</v>
      </c>
      <c r="J146" s="15">
        <v>0</v>
      </c>
      <c r="K146" s="15">
        <v>0</v>
      </c>
      <c r="L146" s="15">
        <v>163.92</v>
      </c>
      <c r="M146" s="15">
        <v>179.84</v>
      </c>
      <c r="N146" s="16">
        <v>1.0971205466081</v>
      </c>
      <c r="O146" s="16">
        <v>1.0958817339640901</v>
      </c>
      <c r="P146" s="16">
        <v>1.10200799695562</v>
      </c>
      <c r="Q146" s="16">
        <v>1.1046604093436301</v>
      </c>
      <c r="R146" s="15">
        <v>179.63693383139301</v>
      </c>
      <c r="S146" s="15">
        <v>180.71714054409</v>
      </c>
      <c r="T146" s="15">
        <v>181.134771095573</v>
      </c>
      <c r="U146" s="11">
        <v>-1.12978703830473E-3</v>
      </c>
      <c r="V146" s="11">
        <v>4.86548275338489E-3</v>
      </c>
      <c r="W146" s="11">
        <v>7.1737791778853002E-3</v>
      </c>
      <c r="X146" s="16">
        <v>1.0971205466081</v>
      </c>
      <c r="Y146" s="16">
        <v>1.0957888908294</v>
      </c>
      <c r="Z146" s="16">
        <v>1.10200799695562</v>
      </c>
      <c r="AA146" s="16">
        <v>1.1046604093436301</v>
      </c>
      <c r="AB146" s="15">
        <v>179.62171498475601</v>
      </c>
      <c r="AC146" s="15">
        <v>180.71714054409</v>
      </c>
      <c r="AD146" s="15">
        <v>181.134771095573</v>
      </c>
      <c r="AE146" s="11">
        <v>-1.2145106584379301E-3</v>
      </c>
      <c r="AF146" s="11">
        <v>4.86548275338489E-3</v>
      </c>
      <c r="AG146" s="11">
        <v>7.1737791778853002E-3</v>
      </c>
      <c r="AZ146" s="11"/>
      <c r="BB146">
        <f t="shared" si="22"/>
        <v>0</v>
      </c>
      <c r="BC146">
        <f t="shared" si="23"/>
        <v>1</v>
      </c>
      <c r="BD146">
        <f t="shared" si="24"/>
        <v>0</v>
      </c>
      <c r="BE146">
        <f t="shared" si="20"/>
        <v>1</v>
      </c>
      <c r="BF146">
        <f t="shared" si="25"/>
        <v>0</v>
      </c>
      <c r="BG146" s="11">
        <f t="shared" si="26"/>
        <v>0</v>
      </c>
      <c r="BH146" s="11">
        <f t="shared" si="27"/>
        <v>0</v>
      </c>
      <c r="BI146" s="11">
        <f t="shared" si="28"/>
        <v>0</v>
      </c>
      <c r="BJ146" s="6">
        <f t="shared" si="29"/>
        <v>2.1094863596949055E-2</v>
      </c>
      <c r="BL146" s="11"/>
      <c r="BN146">
        <f t="shared" si="30"/>
        <v>1</v>
      </c>
      <c r="BO146">
        <f t="shared" si="31"/>
        <v>0</v>
      </c>
      <c r="BP146">
        <f t="shared" si="32"/>
        <v>1</v>
      </c>
      <c r="BQ146">
        <f t="shared" si="21"/>
        <v>1</v>
      </c>
      <c r="BR146">
        <f t="shared" si="33"/>
        <v>1</v>
      </c>
      <c r="BS146" s="11">
        <f t="shared" si="34"/>
        <v>-4.1569933930393401E-3</v>
      </c>
      <c r="BT146" s="11">
        <f t="shared" si="35"/>
        <v>8.0954019421502505E-3</v>
      </c>
      <c r="BU146" s="11">
        <f t="shared" si="36"/>
        <v>3.9384085491109104E-3</v>
      </c>
      <c r="BV146" s="6">
        <f t="shared" si="37"/>
        <v>4.3703906456887612E-2</v>
      </c>
      <c r="BX146" s="6">
        <f t="shared" si="38"/>
        <v>3.9384085491109104E-3</v>
      </c>
      <c r="BY146" s="6">
        <f t="shared" si="39"/>
        <v>6.4798770053836663E-2</v>
      </c>
    </row>
    <row r="147" spans="1:77" x14ac:dyDescent="0.3">
      <c r="A147" s="1">
        <v>46237</v>
      </c>
      <c r="B147" s="15">
        <v>166.73</v>
      </c>
      <c r="C147" s="15">
        <v>183.16</v>
      </c>
      <c r="D147" s="11">
        <v>1.6997233641723099E-2</v>
      </c>
      <c r="E147" s="11">
        <v>1.8292521083568301E-2</v>
      </c>
      <c r="F147" s="15">
        <v>0</v>
      </c>
      <c r="G147" s="15">
        <v>0.53739999999999999</v>
      </c>
      <c r="H147" s="15">
        <v>0</v>
      </c>
      <c r="I147" s="15">
        <v>0.89729999999999999</v>
      </c>
      <c r="J147" s="15">
        <v>0</v>
      </c>
      <c r="K147" s="15">
        <v>0</v>
      </c>
      <c r="L147" s="15">
        <v>166.73</v>
      </c>
      <c r="M147" s="15">
        <v>183.16</v>
      </c>
      <c r="N147" s="16">
        <v>1.0985425538295399</v>
      </c>
      <c r="O147" s="16">
        <v>1.0958817339640901</v>
      </c>
      <c r="P147" s="16">
        <v>1.1016599384117101</v>
      </c>
      <c r="Q147" s="16">
        <v>1.10419979898961</v>
      </c>
      <c r="R147" s="15">
        <v>182.71636150383199</v>
      </c>
      <c r="S147" s="15">
        <v>183.737793332411</v>
      </c>
      <c r="T147" s="15">
        <v>184.18003004986301</v>
      </c>
      <c r="U147" s="11">
        <v>-2.4250744801499699E-3</v>
      </c>
      <c r="V147" s="11">
        <v>3.1496172534068501E-3</v>
      </c>
      <c r="W147" s="11">
        <v>5.5536156591816299E-3</v>
      </c>
      <c r="X147" s="16">
        <v>1.0985425538295399</v>
      </c>
      <c r="Y147" s="16">
        <v>1.0957888908294</v>
      </c>
      <c r="Z147" s="16">
        <v>1.1016599384117101</v>
      </c>
      <c r="AA147" s="16">
        <v>1.10419979898961</v>
      </c>
      <c r="AB147" s="15">
        <v>182.700881767987</v>
      </c>
      <c r="AC147" s="15">
        <v>183.737793332411</v>
      </c>
      <c r="AD147" s="15">
        <v>184.18003004986301</v>
      </c>
      <c r="AE147" s="11">
        <v>-2.5097981002831201E-3</v>
      </c>
      <c r="AF147" s="11">
        <v>3.1496172534068501E-3</v>
      </c>
      <c r="AG147" s="11">
        <v>5.5536156591814096E-3</v>
      </c>
      <c r="AZ147" s="11"/>
      <c r="BB147">
        <f t="shared" si="22"/>
        <v>0</v>
      </c>
      <c r="BC147">
        <f t="shared" si="23"/>
        <v>1</v>
      </c>
      <c r="BD147">
        <f t="shared" si="24"/>
        <v>0</v>
      </c>
      <c r="BE147">
        <f t="shared" si="20"/>
        <v>1</v>
      </c>
      <c r="BF147">
        <f t="shared" si="25"/>
        <v>0</v>
      </c>
      <c r="BG147" s="11">
        <f t="shared" si="26"/>
        <v>0</v>
      </c>
      <c r="BH147" s="11">
        <f t="shared" si="27"/>
        <v>0</v>
      </c>
      <c r="BI147" s="11">
        <f t="shared" si="28"/>
        <v>0</v>
      </c>
      <c r="BJ147" s="6">
        <f t="shared" si="29"/>
        <v>2.1094863596949055E-2</v>
      </c>
      <c r="BL147" s="11"/>
      <c r="BN147">
        <f t="shared" si="30"/>
        <v>1</v>
      </c>
      <c r="BO147">
        <f t="shared" si="31"/>
        <v>0</v>
      </c>
      <c r="BP147">
        <f t="shared" si="32"/>
        <v>1</v>
      </c>
      <c r="BQ147">
        <f t="shared" si="21"/>
        <v>1</v>
      </c>
      <c r="BR147">
        <f t="shared" si="33"/>
        <v>1</v>
      </c>
      <c r="BS147" s="11">
        <f t="shared" si="34"/>
        <v>-1.6997233641723099E-2</v>
      </c>
      <c r="BT147" s="11">
        <f t="shared" si="35"/>
        <v>1.8292521083568301E-2</v>
      </c>
      <c r="BU147" s="11">
        <f t="shared" si="36"/>
        <v>1.2952874418452019E-3</v>
      </c>
      <c r="BV147" s="6">
        <f t="shared" si="37"/>
        <v>4.4999193898732817E-2</v>
      </c>
      <c r="BX147" s="6">
        <f t="shared" si="38"/>
        <v>1.2952874418452019E-3</v>
      </c>
      <c r="BY147" s="6">
        <f t="shared" si="39"/>
        <v>6.6094057495681868E-2</v>
      </c>
    </row>
    <row r="148" spans="1:77" x14ac:dyDescent="0.3">
      <c r="A148" s="1">
        <v>46238</v>
      </c>
      <c r="B148" s="15">
        <v>169.86</v>
      </c>
      <c r="C148" s="15">
        <v>186.4</v>
      </c>
      <c r="D148" s="11">
        <v>1.8598830779495801E-2</v>
      </c>
      <c r="E148" s="11">
        <v>1.75348144625961E-2</v>
      </c>
      <c r="F148" s="15">
        <v>0</v>
      </c>
      <c r="G148" s="15">
        <v>0.53739999999999999</v>
      </c>
      <c r="H148" s="15">
        <v>0</v>
      </c>
      <c r="I148" s="15">
        <v>0.89729999999999999</v>
      </c>
      <c r="J148" s="15">
        <v>0</v>
      </c>
      <c r="K148" s="15">
        <v>0</v>
      </c>
      <c r="L148" s="15">
        <v>169.86</v>
      </c>
      <c r="M148" s="15">
        <v>186.4</v>
      </c>
      <c r="N148" s="16">
        <v>1.0973743082538501</v>
      </c>
      <c r="O148" s="16">
        <v>1.0958817339640901</v>
      </c>
      <c r="P148" s="16">
        <v>1.10116785294884</v>
      </c>
      <c r="Q148" s="16">
        <v>1.10359677037895</v>
      </c>
      <c r="R148" s="15">
        <v>186.14647133113999</v>
      </c>
      <c r="S148" s="15">
        <v>187.127957138613</v>
      </c>
      <c r="T148" s="15">
        <v>187.55937785637599</v>
      </c>
      <c r="U148" s="11">
        <v>-1.3610581632503001E-3</v>
      </c>
      <c r="V148" s="11">
        <v>3.8977433753968199E-3</v>
      </c>
      <c r="W148" s="11">
        <v>6.2005749265214198E-3</v>
      </c>
      <c r="X148" s="16">
        <v>1.0973743082538501</v>
      </c>
      <c r="Y148" s="16">
        <v>1.0957888908294</v>
      </c>
      <c r="Z148" s="16">
        <v>1.10116785294884</v>
      </c>
      <c r="AA148" s="16">
        <v>1.10359677037895</v>
      </c>
      <c r="AB148" s="15">
        <v>186.130700996283</v>
      </c>
      <c r="AC148" s="15">
        <v>187.127957138613</v>
      </c>
      <c r="AD148" s="15">
        <v>187.55937785637599</v>
      </c>
      <c r="AE148" s="11">
        <v>-1.4457817833834401E-3</v>
      </c>
      <c r="AF148" s="11">
        <v>3.8977433753968199E-3</v>
      </c>
      <c r="AG148" s="11">
        <v>6.2005749265214198E-3</v>
      </c>
      <c r="AZ148" s="11"/>
      <c r="BB148">
        <f t="shared" si="22"/>
        <v>0</v>
      </c>
      <c r="BC148">
        <f t="shared" si="23"/>
        <v>1</v>
      </c>
      <c r="BD148">
        <f t="shared" si="24"/>
        <v>0</v>
      </c>
      <c r="BE148">
        <f t="shared" si="20"/>
        <v>1</v>
      </c>
      <c r="BF148">
        <f t="shared" si="25"/>
        <v>0</v>
      </c>
      <c r="BG148" s="11">
        <f t="shared" si="26"/>
        <v>0</v>
      </c>
      <c r="BH148" s="11">
        <f t="shared" si="27"/>
        <v>0</v>
      </c>
      <c r="BI148" s="11">
        <f t="shared" si="28"/>
        <v>0</v>
      </c>
      <c r="BJ148" s="6">
        <f t="shared" si="29"/>
        <v>2.1094863596949055E-2</v>
      </c>
      <c r="BL148" s="11"/>
      <c r="BN148">
        <f t="shared" si="30"/>
        <v>1</v>
      </c>
      <c r="BO148">
        <f t="shared" si="31"/>
        <v>0</v>
      </c>
      <c r="BP148">
        <f t="shared" si="32"/>
        <v>1</v>
      </c>
      <c r="BQ148">
        <f t="shared" si="21"/>
        <v>1</v>
      </c>
      <c r="BR148">
        <f t="shared" si="33"/>
        <v>1</v>
      </c>
      <c r="BS148" s="11">
        <f t="shared" si="34"/>
        <v>-1.8598830779495801E-2</v>
      </c>
      <c r="BT148" s="11">
        <f t="shared" si="35"/>
        <v>1.75348144625961E-2</v>
      </c>
      <c r="BU148" s="11">
        <f t="shared" si="36"/>
        <v>-1.0640163168997019E-3</v>
      </c>
      <c r="BV148" s="6">
        <f t="shared" si="37"/>
        <v>4.3935177581833115E-2</v>
      </c>
      <c r="BX148" s="6">
        <f t="shared" si="38"/>
        <v>-1.0640163168997019E-3</v>
      </c>
      <c r="BY148" s="6">
        <f t="shared" si="39"/>
        <v>6.5030041178782166E-2</v>
      </c>
    </row>
    <row r="149" spans="1:77" x14ac:dyDescent="0.3">
      <c r="A149" s="1">
        <v>46239</v>
      </c>
      <c r="B149" s="15">
        <v>169.8</v>
      </c>
      <c r="C149" s="15">
        <v>186.35</v>
      </c>
      <c r="D149" s="11">
        <v>-3.5329447461628598E-4</v>
      </c>
      <c r="E149" s="11">
        <v>-2.6827632622346297E-4</v>
      </c>
      <c r="F149" s="15">
        <v>0</v>
      </c>
      <c r="G149" s="15">
        <v>0.53739999999999999</v>
      </c>
      <c r="H149" s="15">
        <v>0</v>
      </c>
      <c r="I149" s="15">
        <v>0.89729999999999999</v>
      </c>
      <c r="J149" s="15">
        <v>0</v>
      </c>
      <c r="K149" s="15">
        <v>0</v>
      </c>
      <c r="L149" s="15">
        <v>169.8</v>
      </c>
      <c r="M149" s="15">
        <v>186.35</v>
      </c>
      <c r="N149" s="16">
        <v>1.0974676089516999</v>
      </c>
      <c r="O149" s="16">
        <v>1.0958817339640901</v>
      </c>
      <c r="P149" s="16">
        <v>1.1005338201638299</v>
      </c>
      <c r="Q149" s="16">
        <v>1.1026885530031301</v>
      </c>
      <c r="R149" s="15">
        <v>186.080718427102</v>
      </c>
      <c r="S149" s="15">
        <v>186.978301430713</v>
      </c>
      <c r="T149" s="15">
        <v>187.39073161034599</v>
      </c>
      <c r="U149" s="11">
        <v>-1.4460763116430899E-3</v>
      </c>
      <c r="V149" s="11">
        <v>3.3659490668497801E-3</v>
      </c>
      <c r="W149" s="11">
        <v>5.56928486700339E-3</v>
      </c>
      <c r="X149" s="16">
        <v>1.0974676089516999</v>
      </c>
      <c r="Y149" s="16">
        <v>1.0957888908294</v>
      </c>
      <c r="Z149" s="16">
        <v>1.1005338201638299</v>
      </c>
      <c r="AA149" s="16">
        <v>1.1026885530031401</v>
      </c>
      <c r="AB149" s="15">
        <v>186.06495366283301</v>
      </c>
      <c r="AC149" s="15">
        <v>186.978301430713</v>
      </c>
      <c r="AD149" s="15">
        <v>187.39073161034599</v>
      </c>
      <c r="AE149" s="11">
        <v>-1.5307999317762701E-3</v>
      </c>
      <c r="AF149" s="11">
        <v>3.36594906685E-3</v>
      </c>
      <c r="AG149" s="11">
        <v>5.5692848670036103E-3</v>
      </c>
      <c r="AZ149" s="11"/>
      <c r="BB149">
        <f t="shared" si="22"/>
        <v>0</v>
      </c>
      <c r="BC149">
        <f t="shared" si="23"/>
        <v>1</v>
      </c>
      <c r="BD149">
        <f t="shared" si="24"/>
        <v>0</v>
      </c>
      <c r="BE149">
        <f t="shared" si="20"/>
        <v>1</v>
      </c>
      <c r="BF149">
        <f t="shared" si="25"/>
        <v>0</v>
      </c>
      <c r="BG149" s="11">
        <f t="shared" si="26"/>
        <v>0</v>
      </c>
      <c r="BH149" s="11">
        <f t="shared" si="27"/>
        <v>0</v>
      </c>
      <c r="BI149" s="11">
        <f t="shared" si="28"/>
        <v>0</v>
      </c>
      <c r="BJ149" s="6">
        <f t="shared" si="29"/>
        <v>2.1094863596949055E-2</v>
      </c>
      <c r="BL149" s="11"/>
      <c r="BN149">
        <f t="shared" si="30"/>
        <v>1</v>
      </c>
      <c r="BO149">
        <f t="shared" si="31"/>
        <v>0</v>
      </c>
      <c r="BP149">
        <f t="shared" si="32"/>
        <v>1</v>
      </c>
      <c r="BQ149">
        <f t="shared" si="21"/>
        <v>1</v>
      </c>
      <c r="BR149">
        <f t="shared" si="33"/>
        <v>1</v>
      </c>
      <c r="BS149" s="11">
        <f t="shared" si="34"/>
        <v>3.5329447461628598E-4</v>
      </c>
      <c r="BT149" s="11">
        <f t="shared" si="35"/>
        <v>-2.6827632622346297E-4</v>
      </c>
      <c r="BU149" s="11">
        <f t="shared" si="36"/>
        <v>8.5018148392823005E-5</v>
      </c>
      <c r="BV149" s="6">
        <f t="shared" si="37"/>
        <v>4.402019573022594E-2</v>
      </c>
      <c r="BX149" s="6">
        <f t="shared" si="38"/>
        <v>8.5018148392823005E-5</v>
      </c>
      <c r="BY149" s="6">
        <f t="shared" si="39"/>
        <v>6.5115059327174984E-2</v>
      </c>
    </row>
    <row r="150" spans="1:77" x14ac:dyDescent="0.3">
      <c r="A150" s="1">
        <v>46240</v>
      </c>
      <c r="B150" s="15">
        <v>168.49</v>
      </c>
      <c r="C150" s="15">
        <v>184.76</v>
      </c>
      <c r="D150" s="11">
        <v>-7.7448730269530797E-3</v>
      </c>
      <c r="E150" s="11">
        <v>-8.5689403628627803E-3</v>
      </c>
      <c r="F150" s="15">
        <v>0</v>
      </c>
      <c r="G150" s="15">
        <v>0.53739999999999999</v>
      </c>
      <c r="H150" s="15">
        <v>0</v>
      </c>
      <c r="I150" s="15">
        <v>0.89729999999999999</v>
      </c>
      <c r="J150" s="15">
        <v>0</v>
      </c>
      <c r="K150" s="15">
        <v>0</v>
      </c>
      <c r="L150" s="15">
        <v>168.49</v>
      </c>
      <c r="M150" s="15">
        <v>184.76</v>
      </c>
      <c r="N150" s="16">
        <v>1.0965635942785901</v>
      </c>
      <c r="O150" s="16">
        <v>1.0958817339640901</v>
      </c>
      <c r="P150" s="16">
        <v>1.09903426561319</v>
      </c>
      <c r="Q150" s="16">
        <v>1.1019035164792701</v>
      </c>
      <c r="R150" s="15">
        <v>184.645113355609</v>
      </c>
      <c r="S150" s="15">
        <v>185.428943359404</v>
      </c>
      <c r="T150" s="15">
        <v>185.79199429549899</v>
      </c>
      <c r="U150" s="11">
        <v>-6.22008975733497E-4</v>
      </c>
      <c r="V150" s="11">
        <v>3.61406843462085E-3</v>
      </c>
      <c r="W150" s="11">
        <v>5.5700521360644902E-3</v>
      </c>
      <c r="X150" s="16">
        <v>1.0965635942785901</v>
      </c>
      <c r="Y150" s="16">
        <v>1.0957888908294</v>
      </c>
      <c r="Z150" s="16">
        <v>1.09903426561319</v>
      </c>
      <c r="AA150" s="16">
        <v>1.1019035164792701</v>
      </c>
      <c r="AB150" s="15">
        <v>184.62947021584699</v>
      </c>
      <c r="AC150" s="15">
        <v>185.428943359404</v>
      </c>
      <c r="AD150" s="15">
        <v>185.79199429549899</v>
      </c>
      <c r="AE150" s="11">
        <v>-7.0673259586651797E-4</v>
      </c>
      <c r="AF150" s="11">
        <v>3.61406843462085E-3</v>
      </c>
      <c r="AG150" s="11">
        <v>5.5700521360644902E-3</v>
      </c>
      <c r="AZ150" s="11"/>
      <c r="BB150">
        <f t="shared" si="22"/>
        <v>0</v>
      </c>
      <c r="BC150">
        <f t="shared" si="23"/>
        <v>1</v>
      </c>
      <c r="BD150">
        <f t="shared" si="24"/>
        <v>0</v>
      </c>
      <c r="BE150">
        <f t="shared" ref="BE150:BE167" si="40">IF(F151+H151&gt;0,0,1)</f>
        <v>1</v>
      </c>
      <c r="BF150">
        <f t="shared" si="25"/>
        <v>0</v>
      </c>
      <c r="BG150" s="11">
        <f t="shared" si="26"/>
        <v>0</v>
      </c>
      <c r="BH150" s="11">
        <f t="shared" si="27"/>
        <v>0</v>
      </c>
      <c r="BI150" s="11">
        <f t="shared" si="28"/>
        <v>0</v>
      </c>
      <c r="BJ150" s="6">
        <f t="shared" si="29"/>
        <v>2.1094863596949055E-2</v>
      </c>
      <c r="BL150" s="11"/>
      <c r="BN150">
        <f t="shared" si="30"/>
        <v>1</v>
      </c>
      <c r="BO150">
        <f t="shared" si="31"/>
        <v>0</v>
      </c>
      <c r="BP150">
        <f t="shared" si="32"/>
        <v>1</v>
      </c>
      <c r="BQ150">
        <f t="shared" ref="BQ150:BQ167" si="41">IF(F151+H151&gt;0,0,1)</f>
        <v>1</v>
      </c>
      <c r="BR150">
        <f t="shared" si="33"/>
        <v>1</v>
      </c>
      <c r="BS150" s="11">
        <f t="shared" si="34"/>
        <v>7.7448730269530797E-3</v>
      </c>
      <c r="BT150" s="11">
        <f t="shared" si="35"/>
        <v>-8.5689403628627803E-3</v>
      </c>
      <c r="BU150" s="11">
        <f t="shared" si="36"/>
        <v>-8.240673359097006E-4</v>
      </c>
      <c r="BV150" s="6">
        <f t="shared" si="37"/>
        <v>4.319612839431624E-2</v>
      </c>
      <c r="BX150" s="6">
        <f t="shared" si="38"/>
        <v>-8.240673359097006E-4</v>
      </c>
      <c r="BY150" s="6">
        <f t="shared" si="39"/>
        <v>6.4290991991265284E-2</v>
      </c>
    </row>
    <row r="151" spans="1:77" x14ac:dyDescent="0.3">
      <c r="A151" s="1">
        <v>46241</v>
      </c>
      <c r="B151" s="15">
        <v>168.38</v>
      </c>
      <c r="C151" s="15">
        <v>185.18</v>
      </c>
      <c r="D151" s="11">
        <v>-6.5307094077603602E-4</v>
      </c>
      <c r="E151" s="11">
        <v>2.2706394574964401E-3</v>
      </c>
      <c r="F151" s="15">
        <v>0</v>
      </c>
      <c r="G151" s="15">
        <v>0.53739999999999999</v>
      </c>
      <c r="H151" s="15">
        <v>0</v>
      </c>
      <c r="I151" s="15">
        <v>0.89729999999999999</v>
      </c>
      <c r="J151" s="15">
        <v>0</v>
      </c>
      <c r="K151" s="15">
        <v>0</v>
      </c>
      <c r="L151" s="15">
        <v>168.38</v>
      </c>
      <c r="M151" s="15">
        <v>185.18</v>
      </c>
      <c r="N151" s="16">
        <v>1.0997743199904899</v>
      </c>
      <c r="O151" s="16">
        <v>1.0958817339640901</v>
      </c>
      <c r="P151" s="16">
        <v>1.0979721839344301</v>
      </c>
      <c r="Q151" s="16">
        <v>1.1013203849714599</v>
      </c>
      <c r="R151" s="15">
        <v>184.52456636487301</v>
      </c>
      <c r="S151" s="15">
        <v>185.05538964395001</v>
      </c>
      <c r="T151" s="15">
        <v>185.53851410478001</v>
      </c>
      <c r="U151" s="11">
        <v>-3.5457193740058802E-3</v>
      </c>
      <c r="V151" s="11">
        <v>-6.7314127304252602E-4</v>
      </c>
      <c r="W151" s="11">
        <v>1.93415868323719E-3</v>
      </c>
      <c r="X151" s="16">
        <v>1.0997743199904899</v>
      </c>
      <c r="Y151" s="16">
        <v>1.0957888908294</v>
      </c>
      <c r="Z151" s="16">
        <v>1.0979721839344301</v>
      </c>
      <c r="AA151" s="16">
        <v>1.1013203849714599</v>
      </c>
      <c r="AB151" s="15">
        <v>184.508933437856</v>
      </c>
      <c r="AC151" s="15">
        <v>185.05538964395001</v>
      </c>
      <c r="AD151" s="15">
        <v>185.53851410478001</v>
      </c>
      <c r="AE151" s="11">
        <v>-3.6304429941391701E-3</v>
      </c>
      <c r="AF151" s="11">
        <v>-6.7314127304285995E-4</v>
      </c>
      <c r="AG151" s="11">
        <v>1.93415868323719E-3</v>
      </c>
      <c r="AZ151" s="11"/>
      <c r="BB151">
        <f t="shared" ref="BB151:BB167" si="42">IF($AG151&lt;BA$20,1,0)</f>
        <v>0</v>
      </c>
      <c r="BC151">
        <f t="shared" ref="BC151:BC167" si="43">IF($AG151&gt;BA$21,1,0)</f>
        <v>1</v>
      </c>
      <c r="BD151">
        <f t="shared" ref="BD151:BD167" si="44">BF151</f>
        <v>0</v>
      </c>
      <c r="BE151">
        <f t="shared" si="40"/>
        <v>1</v>
      </c>
      <c r="BF151">
        <f t="shared" ref="BF151:BF167" si="45">IF(BB150,1,IF(BC150,0,BD150))*BE150</f>
        <v>0</v>
      </c>
      <c r="BG151" s="11">
        <f t="shared" ref="BG151:BG167" si="46">BF151*D151</f>
        <v>0</v>
      </c>
      <c r="BH151" s="11">
        <f t="shared" ref="BH151:BH167" si="47">-BF151*$E151</f>
        <v>0</v>
      </c>
      <c r="BI151" s="11">
        <f t="shared" ref="BI151:BI167" si="48">BG151+BH151</f>
        <v>0</v>
      </c>
      <c r="BJ151" s="6">
        <f t="shared" ref="BJ151:BJ167" si="49">BJ150+BI151</f>
        <v>2.1094863596949055E-2</v>
      </c>
      <c r="BL151" s="11"/>
      <c r="BN151">
        <f t="shared" ref="BN151:BN167" si="50">IF($AG151&gt;BM$20,1,0)</f>
        <v>0</v>
      </c>
      <c r="BO151">
        <f t="shared" ref="BO151:BO167" si="51">IF($AG151&lt;BM$21,1,0)</f>
        <v>0</v>
      </c>
      <c r="BP151">
        <f t="shared" ref="BP151:BP167" si="52">BR151</f>
        <v>1</v>
      </c>
      <c r="BQ151">
        <f t="shared" si="41"/>
        <v>1</v>
      </c>
      <c r="BR151">
        <f t="shared" ref="BR151:BR167" si="53">IF(BN150,1,IF(BO150,0,BP150))*BQ150</f>
        <v>1</v>
      </c>
      <c r="BS151" s="11">
        <f t="shared" ref="BS151:BS167" si="54">-BR151*D151</f>
        <v>6.5307094077603602E-4</v>
      </c>
      <c r="BT151" s="11">
        <f t="shared" ref="BT151:BT167" si="55">BR151*$E151</f>
        <v>2.2706394574964401E-3</v>
      </c>
      <c r="BU151" s="11">
        <f t="shared" ref="BU151:BU167" si="56">BS151+BT151</f>
        <v>2.9237103982724761E-3</v>
      </c>
      <c r="BV151" s="6">
        <f t="shared" ref="BV151:BV167" si="57">BV150+BU151</f>
        <v>4.6119838792588713E-2</v>
      </c>
      <c r="BX151" s="6">
        <f t="shared" ref="BX151:BX167" si="58">BI151+BU151</f>
        <v>2.9237103982724761E-3</v>
      </c>
      <c r="BY151" s="6">
        <f t="shared" ref="BY151:BY167" si="59">BY150+BX151</f>
        <v>6.7214702389537764E-2</v>
      </c>
    </row>
    <row r="152" spans="1:77" x14ac:dyDescent="0.3">
      <c r="A152" s="1">
        <v>46244</v>
      </c>
      <c r="B152" s="15">
        <v>167.59</v>
      </c>
      <c r="C152" s="15">
        <v>184.6</v>
      </c>
      <c r="D152" s="11">
        <v>-4.7028095127358603E-3</v>
      </c>
      <c r="E152" s="11">
        <v>-3.1370029511493202E-3</v>
      </c>
      <c r="F152" s="15">
        <v>0</v>
      </c>
      <c r="G152" s="15">
        <v>0.53739999999999999</v>
      </c>
      <c r="H152" s="15">
        <v>0</v>
      </c>
      <c r="I152" s="15">
        <v>0.89729999999999999</v>
      </c>
      <c r="J152" s="15">
        <v>0</v>
      </c>
      <c r="K152" s="15">
        <v>0</v>
      </c>
      <c r="L152" s="15">
        <v>167.59</v>
      </c>
      <c r="M152" s="15">
        <v>184.6</v>
      </c>
      <c r="N152" s="16">
        <v>1.10149770272689</v>
      </c>
      <c r="O152" s="16">
        <v>1.0958817339640901</v>
      </c>
      <c r="P152" s="16">
        <v>1.09750729414191</v>
      </c>
      <c r="Q152" s="16">
        <v>1.10104327845495</v>
      </c>
      <c r="R152" s="15">
        <v>183.65881979504101</v>
      </c>
      <c r="S152" s="15">
        <v>184.00915830557199</v>
      </c>
      <c r="T152" s="15">
        <v>184.57028331736799</v>
      </c>
      <c r="U152" s="11">
        <v>-5.1115259355924304E-3</v>
      </c>
      <c r="V152" s="11">
        <v>-3.2057922985726799E-3</v>
      </c>
      <c r="W152" s="11">
        <v>-1.6099173762682299E-4</v>
      </c>
      <c r="X152" s="16">
        <v>1.10149770272689</v>
      </c>
      <c r="Y152" s="16">
        <v>1.0957888908294</v>
      </c>
      <c r="Z152" s="16">
        <v>1.09750729414191</v>
      </c>
      <c r="AA152" s="16">
        <v>1.10104327845495</v>
      </c>
      <c r="AB152" s="15">
        <v>183.6432602141</v>
      </c>
      <c r="AC152" s="15">
        <v>184.00915830557199</v>
      </c>
      <c r="AD152" s="15">
        <v>184.57028331736799</v>
      </c>
      <c r="AE152" s="11">
        <v>-5.1962495557255602E-3</v>
      </c>
      <c r="AF152" s="11">
        <v>-3.2057922985729102E-3</v>
      </c>
      <c r="AG152" s="11">
        <v>-1.6099173762649E-4</v>
      </c>
      <c r="AZ152" s="11"/>
      <c r="BB152">
        <f t="shared" si="42"/>
        <v>0</v>
      </c>
      <c r="BC152">
        <f t="shared" si="43"/>
        <v>0</v>
      </c>
      <c r="BD152">
        <f t="shared" si="44"/>
        <v>0</v>
      </c>
      <c r="BE152">
        <f t="shared" si="40"/>
        <v>1</v>
      </c>
      <c r="BF152">
        <f t="shared" si="45"/>
        <v>0</v>
      </c>
      <c r="BG152" s="11">
        <f t="shared" si="46"/>
        <v>0</v>
      </c>
      <c r="BH152" s="11">
        <f t="shared" si="47"/>
        <v>0</v>
      </c>
      <c r="BI152" s="11">
        <f t="shared" si="48"/>
        <v>0</v>
      </c>
      <c r="BJ152" s="6">
        <f t="shared" si="49"/>
        <v>2.1094863596949055E-2</v>
      </c>
      <c r="BL152" s="11"/>
      <c r="BN152">
        <f t="shared" si="50"/>
        <v>0</v>
      </c>
      <c r="BO152">
        <f t="shared" si="51"/>
        <v>1</v>
      </c>
      <c r="BP152">
        <f t="shared" si="52"/>
        <v>1</v>
      </c>
      <c r="BQ152">
        <f t="shared" si="41"/>
        <v>1</v>
      </c>
      <c r="BR152">
        <f t="shared" si="53"/>
        <v>1</v>
      </c>
      <c r="BS152" s="11">
        <f t="shared" si="54"/>
        <v>4.7028095127358603E-3</v>
      </c>
      <c r="BT152" s="11">
        <f t="shared" si="55"/>
        <v>-3.1370029511493202E-3</v>
      </c>
      <c r="BU152" s="11">
        <f t="shared" si="56"/>
        <v>1.5658065615865402E-3</v>
      </c>
      <c r="BV152" s="6">
        <f t="shared" si="57"/>
        <v>4.768564535417525E-2</v>
      </c>
      <c r="BX152" s="6">
        <f t="shared" si="58"/>
        <v>1.5658065615865402E-3</v>
      </c>
      <c r="BY152" s="6">
        <f t="shared" si="59"/>
        <v>6.8780508951124308E-2</v>
      </c>
    </row>
    <row r="153" spans="1:77" x14ac:dyDescent="0.3">
      <c r="A153" s="1">
        <v>46245</v>
      </c>
      <c r="B153" s="15">
        <v>168.41</v>
      </c>
      <c r="C153" s="15">
        <v>185.7</v>
      </c>
      <c r="D153" s="11">
        <v>4.8809620711808797E-3</v>
      </c>
      <c r="E153" s="11">
        <v>5.9411462899082003E-3</v>
      </c>
      <c r="F153" s="15">
        <v>0</v>
      </c>
      <c r="G153" s="15">
        <v>0.53739999999999999</v>
      </c>
      <c r="H153" s="15">
        <v>0</v>
      </c>
      <c r="I153" s="15">
        <v>0.89729999999999999</v>
      </c>
      <c r="J153" s="15">
        <v>0</v>
      </c>
      <c r="K153" s="15">
        <v>0</v>
      </c>
      <c r="L153" s="15">
        <v>168.41</v>
      </c>
      <c r="M153" s="15">
        <v>185.7</v>
      </c>
      <c r="N153" s="16">
        <v>1.1026661124636301</v>
      </c>
      <c r="O153" s="16">
        <v>1.0958817339640901</v>
      </c>
      <c r="P153" s="16">
        <v>1.0977075603943001</v>
      </c>
      <c r="Q153" s="16">
        <v>1.1009255124308599</v>
      </c>
      <c r="R153" s="15">
        <v>184.55744281689201</v>
      </c>
      <c r="S153" s="15">
        <v>184.83120340643899</v>
      </c>
      <c r="T153" s="15">
        <v>185.426698524599</v>
      </c>
      <c r="U153" s="11">
        <v>-6.1717101543198802E-3</v>
      </c>
      <c r="V153" s="11">
        <v>-4.6894738026184001E-3</v>
      </c>
      <c r="W153" s="11">
        <v>-1.47282060757738E-3</v>
      </c>
      <c r="X153" s="16">
        <v>1.1026661124636301</v>
      </c>
      <c r="Y153" s="16">
        <v>1.0957888908294</v>
      </c>
      <c r="Z153" s="16">
        <v>1.0977075603943001</v>
      </c>
      <c r="AA153" s="16">
        <v>1.1009255124308599</v>
      </c>
      <c r="AB153" s="15">
        <v>184.54180710457999</v>
      </c>
      <c r="AC153" s="15">
        <v>184.83120340643899</v>
      </c>
      <c r="AD153" s="15">
        <v>185.426698524599</v>
      </c>
      <c r="AE153" s="11">
        <v>-6.25643377445303E-3</v>
      </c>
      <c r="AF153" s="11">
        <v>-4.6894738026184001E-3</v>
      </c>
      <c r="AG153" s="11">
        <v>-1.4728206075771599E-3</v>
      </c>
      <c r="AZ153" s="11"/>
      <c r="BB153">
        <f t="shared" si="42"/>
        <v>0</v>
      </c>
      <c r="BC153">
        <f t="shared" si="43"/>
        <v>0</v>
      </c>
      <c r="BD153">
        <f t="shared" si="44"/>
        <v>0</v>
      </c>
      <c r="BE153">
        <f t="shared" si="40"/>
        <v>1</v>
      </c>
      <c r="BF153">
        <f t="shared" si="45"/>
        <v>0</v>
      </c>
      <c r="BG153" s="11">
        <f t="shared" si="46"/>
        <v>0</v>
      </c>
      <c r="BH153" s="11">
        <f t="shared" si="47"/>
        <v>0</v>
      </c>
      <c r="BI153" s="11">
        <f t="shared" si="48"/>
        <v>0</v>
      </c>
      <c r="BJ153" s="6">
        <f t="shared" si="49"/>
        <v>2.1094863596949055E-2</v>
      </c>
      <c r="BL153" s="11"/>
      <c r="BN153">
        <f t="shared" si="50"/>
        <v>0</v>
      </c>
      <c r="BO153">
        <f t="shared" si="51"/>
        <v>1</v>
      </c>
      <c r="BP153">
        <f t="shared" si="52"/>
        <v>0</v>
      </c>
      <c r="BQ153">
        <f t="shared" si="41"/>
        <v>1</v>
      </c>
      <c r="BR153">
        <f t="shared" si="53"/>
        <v>0</v>
      </c>
      <c r="BS153" s="11">
        <f t="shared" si="54"/>
        <v>0</v>
      </c>
      <c r="BT153" s="11">
        <f t="shared" si="55"/>
        <v>0</v>
      </c>
      <c r="BU153" s="11">
        <f t="shared" si="56"/>
        <v>0</v>
      </c>
      <c r="BV153" s="6">
        <f t="shared" si="57"/>
        <v>4.768564535417525E-2</v>
      </c>
      <c r="BX153" s="6">
        <f t="shared" si="58"/>
        <v>0</v>
      </c>
      <c r="BY153" s="6">
        <f t="shared" si="59"/>
        <v>6.8780508951124308E-2</v>
      </c>
    </row>
    <row r="154" spans="1:77" x14ac:dyDescent="0.3">
      <c r="A154" s="1">
        <v>46246</v>
      </c>
      <c r="B154" s="15">
        <v>168.75</v>
      </c>
      <c r="C154" s="15">
        <v>185.88</v>
      </c>
      <c r="D154" s="11">
        <v>2.0168472846762899E-3</v>
      </c>
      <c r="E154" s="11">
        <v>9.6883585811759004E-4</v>
      </c>
      <c r="F154" s="15">
        <v>0</v>
      </c>
      <c r="G154" s="15">
        <v>0.53739999999999999</v>
      </c>
      <c r="H154" s="15">
        <v>0</v>
      </c>
      <c r="I154" s="15">
        <v>0.89729999999999999</v>
      </c>
      <c r="J154" s="15">
        <v>0</v>
      </c>
      <c r="K154" s="15">
        <v>0</v>
      </c>
      <c r="L154" s="15">
        <v>168.75</v>
      </c>
      <c r="M154" s="15">
        <v>185.88</v>
      </c>
      <c r="N154" s="16">
        <v>1.10151111111111</v>
      </c>
      <c r="O154" s="16">
        <v>1.0958817339640901</v>
      </c>
      <c r="P154" s="16">
        <v>1.0985325993474899</v>
      </c>
      <c r="Q154" s="16">
        <v>1.1008525228103001</v>
      </c>
      <c r="R154" s="15">
        <v>184.93004260644</v>
      </c>
      <c r="S154" s="15">
        <v>185.23815081653899</v>
      </c>
      <c r="T154" s="15">
        <v>185.781180222708</v>
      </c>
      <c r="U154" s="11">
        <v>-5.1236987277611E-3</v>
      </c>
      <c r="V154" s="11">
        <v>-3.4590052898786001E-3</v>
      </c>
      <c r="W154" s="11">
        <v>-5.3177348014312397E-4</v>
      </c>
      <c r="X154" s="16">
        <v>1.10151111111111</v>
      </c>
      <c r="Y154" s="16">
        <v>1.0957888908294</v>
      </c>
      <c r="Z154" s="16">
        <v>1.0985325993474899</v>
      </c>
      <c r="AA154" s="16">
        <v>1.1008525228103001</v>
      </c>
      <c r="AB154" s="15">
        <v>184.91437532746201</v>
      </c>
      <c r="AC154" s="15">
        <v>185.23815081653899</v>
      </c>
      <c r="AD154" s="15">
        <v>185.781180222708</v>
      </c>
      <c r="AE154" s="11">
        <v>-5.2084223478943096E-3</v>
      </c>
      <c r="AF154" s="11">
        <v>-3.4590052898782701E-3</v>
      </c>
      <c r="AG154" s="11">
        <v>-5.3177348014301295E-4</v>
      </c>
      <c r="AZ154" s="11"/>
      <c r="BB154">
        <f t="shared" si="42"/>
        <v>0</v>
      </c>
      <c r="BC154">
        <f t="shared" si="43"/>
        <v>0</v>
      </c>
      <c r="BD154">
        <f t="shared" si="44"/>
        <v>0</v>
      </c>
      <c r="BE154">
        <f t="shared" si="40"/>
        <v>1</v>
      </c>
      <c r="BF154">
        <f t="shared" si="45"/>
        <v>0</v>
      </c>
      <c r="BG154" s="11">
        <f t="shared" si="46"/>
        <v>0</v>
      </c>
      <c r="BH154" s="11">
        <f t="shared" si="47"/>
        <v>0</v>
      </c>
      <c r="BI154" s="11">
        <f t="shared" si="48"/>
        <v>0</v>
      </c>
      <c r="BJ154" s="6">
        <f t="shared" si="49"/>
        <v>2.1094863596949055E-2</v>
      </c>
      <c r="BL154" s="11"/>
      <c r="BN154">
        <f t="shared" si="50"/>
        <v>0</v>
      </c>
      <c r="BO154">
        <f t="shared" si="51"/>
        <v>1</v>
      </c>
      <c r="BP154">
        <f t="shared" si="52"/>
        <v>0</v>
      </c>
      <c r="BQ154">
        <f t="shared" si="41"/>
        <v>1</v>
      </c>
      <c r="BR154">
        <f t="shared" si="53"/>
        <v>0</v>
      </c>
      <c r="BS154" s="11">
        <f t="shared" si="54"/>
        <v>0</v>
      </c>
      <c r="BT154" s="11">
        <f t="shared" si="55"/>
        <v>0</v>
      </c>
      <c r="BU154" s="11">
        <f t="shared" si="56"/>
        <v>0</v>
      </c>
      <c r="BV154" s="6">
        <f t="shared" si="57"/>
        <v>4.768564535417525E-2</v>
      </c>
      <c r="BX154" s="6">
        <f t="shared" si="58"/>
        <v>0</v>
      </c>
      <c r="BY154" s="6">
        <f t="shared" si="59"/>
        <v>6.8780508951124308E-2</v>
      </c>
    </row>
    <row r="155" spans="1:77" x14ac:dyDescent="0.3">
      <c r="A155" s="1">
        <v>46247</v>
      </c>
      <c r="B155" s="15">
        <v>169.1</v>
      </c>
      <c r="C155" s="15">
        <v>185.79</v>
      </c>
      <c r="D155" s="11">
        <v>2.0719261518954502E-3</v>
      </c>
      <c r="E155" s="11">
        <v>-4.8430059869830801E-4</v>
      </c>
      <c r="F155" s="15">
        <v>0</v>
      </c>
      <c r="G155" s="15">
        <v>0.53739999999999999</v>
      </c>
      <c r="H155" s="15">
        <v>0</v>
      </c>
      <c r="I155" s="15">
        <v>0.89729999999999999</v>
      </c>
      <c r="J155" s="15">
        <v>0</v>
      </c>
      <c r="K155" s="15">
        <v>0</v>
      </c>
      <c r="L155" s="15">
        <v>169.1</v>
      </c>
      <c r="M155" s="15">
        <v>185.79</v>
      </c>
      <c r="N155" s="16">
        <v>1.0986989946776999</v>
      </c>
      <c r="O155" s="16">
        <v>1.0958817339640901</v>
      </c>
      <c r="P155" s="16">
        <v>1.0991216852891601</v>
      </c>
      <c r="Q155" s="16">
        <v>1.10079663005335</v>
      </c>
      <c r="R155" s="15">
        <v>185.31360121332699</v>
      </c>
      <c r="S155" s="15">
        <v>185.76186254966001</v>
      </c>
      <c r="T155" s="15">
        <v>186.15416160722299</v>
      </c>
      <c r="U155" s="11">
        <v>-2.5674719771673301E-3</v>
      </c>
      <c r="V155" s="11">
        <v>-1.51459073304855E-4</v>
      </c>
      <c r="W155" s="11">
        <v>1.9581526539367402E-3</v>
      </c>
      <c r="X155" s="16">
        <v>1.0986989946776999</v>
      </c>
      <c r="Y155" s="16">
        <v>1.0957888908294</v>
      </c>
      <c r="Z155" s="16">
        <v>1.0991216852891601</v>
      </c>
      <c r="AA155" s="16">
        <v>1.10079663005335</v>
      </c>
      <c r="AB155" s="15">
        <v>185.297901439253</v>
      </c>
      <c r="AC155" s="15">
        <v>185.76186254966001</v>
      </c>
      <c r="AD155" s="15">
        <v>186.15416160722299</v>
      </c>
      <c r="AE155" s="11">
        <v>-2.6521955973005601E-3</v>
      </c>
      <c r="AF155" s="11">
        <v>-1.51459073304855E-4</v>
      </c>
      <c r="AG155" s="11">
        <v>1.95815265393696E-3</v>
      </c>
      <c r="AZ155" s="11"/>
      <c r="BB155">
        <f t="shared" si="42"/>
        <v>0</v>
      </c>
      <c r="BC155">
        <f t="shared" si="43"/>
        <v>1</v>
      </c>
      <c r="BD155">
        <f t="shared" si="44"/>
        <v>0</v>
      </c>
      <c r="BE155">
        <f t="shared" si="40"/>
        <v>1</v>
      </c>
      <c r="BF155">
        <f t="shared" si="45"/>
        <v>0</v>
      </c>
      <c r="BG155" s="11">
        <f t="shared" si="46"/>
        <v>0</v>
      </c>
      <c r="BH155" s="11">
        <f t="shared" si="47"/>
        <v>0</v>
      </c>
      <c r="BI155" s="11">
        <f t="shared" si="48"/>
        <v>0</v>
      </c>
      <c r="BJ155" s="6">
        <f t="shared" si="49"/>
        <v>2.1094863596949055E-2</v>
      </c>
      <c r="BL155" s="11"/>
      <c r="BN155">
        <f t="shared" si="50"/>
        <v>0</v>
      </c>
      <c r="BO155">
        <f t="shared" si="51"/>
        <v>0</v>
      </c>
      <c r="BP155">
        <f t="shared" si="52"/>
        <v>0</v>
      </c>
      <c r="BQ155">
        <f t="shared" si="41"/>
        <v>1</v>
      </c>
      <c r="BR155">
        <f t="shared" si="53"/>
        <v>0</v>
      </c>
      <c r="BS155" s="11">
        <f t="shared" si="54"/>
        <v>0</v>
      </c>
      <c r="BT155" s="11">
        <f t="shared" si="55"/>
        <v>0</v>
      </c>
      <c r="BU155" s="11">
        <f t="shared" si="56"/>
        <v>0</v>
      </c>
      <c r="BV155" s="6">
        <f t="shared" si="57"/>
        <v>4.768564535417525E-2</v>
      </c>
      <c r="BX155" s="6">
        <f t="shared" si="58"/>
        <v>0</v>
      </c>
      <c r="BY155" s="6">
        <f t="shared" si="59"/>
        <v>6.8780508951124308E-2</v>
      </c>
    </row>
    <row r="156" spans="1:77" x14ac:dyDescent="0.3">
      <c r="A156" s="1">
        <v>46248</v>
      </c>
      <c r="B156" s="15">
        <v>169.65</v>
      </c>
      <c r="C156" s="15">
        <v>186.51</v>
      </c>
      <c r="D156" s="11">
        <v>3.24723532570468E-3</v>
      </c>
      <c r="E156" s="11">
        <v>3.8678533312767002E-3</v>
      </c>
      <c r="F156" s="15">
        <v>0</v>
      </c>
      <c r="G156" s="15">
        <v>0.53739999999999999</v>
      </c>
      <c r="H156" s="15">
        <v>0</v>
      </c>
      <c r="I156" s="15">
        <v>0.89729999999999999</v>
      </c>
      <c r="J156" s="15">
        <v>0</v>
      </c>
      <c r="K156" s="15">
        <v>0</v>
      </c>
      <c r="L156" s="15">
        <v>169.65</v>
      </c>
      <c r="M156" s="15">
        <v>186.51</v>
      </c>
      <c r="N156" s="16">
        <v>1.09938107869142</v>
      </c>
      <c r="O156" s="16">
        <v>1.0958817339640901</v>
      </c>
      <c r="P156" s="16">
        <v>1.0993477384974899</v>
      </c>
      <c r="Q156" s="16">
        <v>1.1006778677265601</v>
      </c>
      <c r="R156" s="15">
        <v>185.91633616700699</v>
      </c>
      <c r="S156" s="15">
        <v>186.46599390930601</v>
      </c>
      <c r="T156" s="15">
        <v>186.750148288551</v>
      </c>
      <c r="U156" s="11">
        <v>-3.1880899827393099E-3</v>
      </c>
      <c r="V156" s="11">
        <v>-2.3597277903213699E-4</v>
      </c>
      <c r="W156" s="11">
        <v>1.2867611117215901E-3</v>
      </c>
      <c r="X156" s="16">
        <v>1.09938107869142</v>
      </c>
      <c r="Y156" s="16">
        <v>1.0957888908294</v>
      </c>
      <c r="Z156" s="16">
        <v>1.0993477384974899</v>
      </c>
      <c r="AA156" s="16">
        <v>1.1006778677265601</v>
      </c>
      <c r="AB156" s="15">
        <v>185.90058532920901</v>
      </c>
      <c r="AC156" s="15">
        <v>186.46599390930601</v>
      </c>
      <c r="AD156" s="15">
        <v>186.750148288551</v>
      </c>
      <c r="AE156" s="11">
        <v>-3.27281360287251E-3</v>
      </c>
      <c r="AF156" s="11">
        <v>-2.3597277903213699E-4</v>
      </c>
      <c r="AG156" s="11">
        <v>1.2867611117215901E-3</v>
      </c>
      <c r="AZ156" s="11"/>
      <c r="BB156">
        <f t="shared" si="42"/>
        <v>0</v>
      </c>
      <c r="BC156">
        <f t="shared" si="43"/>
        <v>1</v>
      </c>
      <c r="BD156">
        <f t="shared" si="44"/>
        <v>0</v>
      </c>
      <c r="BE156">
        <f t="shared" si="40"/>
        <v>1</v>
      </c>
      <c r="BF156">
        <f t="shared" si="45"/>
        <v>0</v>
      </c>
      <c r="BG156" s="11">
        <f t="shared" si="46"/>
        <v>0</v>
      </c>
      <c r="BH156" s="11">
        <f t="shared" si="47"/>
        <v>0</v>
      </c>
      <c r="BI156" s="11">
        <f t="shared" si="48"/>
        <v>0</v>
      </c>
      <c r="BJ156" s="6">
        <f t="shared" si="49"/>
        <v>2.1094863596949055E-2</v>
      </c>
      <c r="BL156" s="11"/>
      <c r="BN156">
        <f t="shared" si="50"/>
        <v>0</v>
      </c>
      <c r="BO156">
        <f t="shared" si="51"/>
        <v>0</v>
      </c>
      <c r="BP156">
        <f t="shared" si="52"/>
        <v>0</v>
      </c>
      <c r="BQ156">
        <f t="shared" si="41"/>
        <v>1</v>
      </c>
      <c r="BR156">
        <f t="shared" si="53"/>
        <v>0</v>
      </c>
      <c r="BS156" s="11">
        <f t="shared" si="54"/>
        <v>0</v>
      </c>
      <c r="BT156" s="11">
        <f t="shared" si="55"/>
        <v>0</v>
      </c>
      <c r="BU156" s="11">
        <f t="shared" si="56"/>
        <v>0</v>
      </c>
      <c r="BV156" s="6">
        <f t="shared" si="57"/>
        <v>4.768564535417525E-2</v>
      </c>
      <c r="BX156" s="6">
        <f t="shared" si="58"/>
        <v>0</v>
      </c>
      <c r="BY156" s="6">
        <f t="shared" si="59"/>
        <v>6.8780508951124308E-2</v>
      </c>
    </row>
    <row r="157" spans="1:77" x14ac:dyDescent="0.3">
      <c r="A157" s="1">
        <v>46251</v>
      </c>
      <c r="B157" s="15">
        <v>168.85</v>
      </c>
      <c r="C157" s="15">
        <v>186.32</v>
      </c>
      <c r="D157" s="11">
        <v>-4.7267443986624899E-3</v>
      </c>
      <c r="E157" s="11">
        <v>-1.0192313732702799E-3</v>
      </c>
      <c r="F157" s="15">
        <v>0</v>
      </c>
      <c r="G157" s="15">
        <v>0.53739999999999999</v>
      </c>
      <c r="H157" s="15">
        <v>0</v>
      </c>
      <c r="I157" s="15">
        <v>0.89729999999999999</v>
      </c>
      <c r="J157" s="15">
        <v>0</v>
      </c>
      <c r="K157" s="15">
        <v>0</v>
      </c>
      <c r="L157" s="15">
        <v>168.85</v>
      </c>
      <c r="M157" s="15">
        <v>186.32</v>
      </c>
      <c r="N157" s="16">
        <v>1.1034646135623301</v>
      </c>
      <c r="O157" s="16">
        <v>1.0958817339640901</v>
      </c>
      <c r="P157" s="16">
        <v>1.09983994447077</v>
      </c>
      <c r="Q157" s="16">
        <v>1.1007499414412401</v>
      </c>
      <c r="R157" s="15">
        <v>185.03963077983599</v>
      </c>
      <c r="S157" s="15">
        <v>185.62486564530201</v>
      </c>
      <c r="T157" s="15">
        <v>185.849457965629</v>
      </c>
      <c r="U157" s="11">
        <v>-6.8956030081316101E-3</v>
      </c>
      <c r="V157" s="11">
        <v>-3.73783981573486E-3</v>
      </c>
      <c r="W157" s="11">
        <v>-2.5286453523860998E-3</v>
      </c>
      <c r="X157" s="16">
        <v>1.1034646135623301</v>
      </c>
      <c r="Y157" s="16">
        <v>1.0957888908294</v>
      </c>
      <c r="Z157" s="16">
        <v>1.09983994447077</v>
      </c>
      <c r="AA157" s="16">
        <v>1.1007499414412401</v>
      </c>
      <c r="AB157" s="15">
        <v>185.02395421654501</v>
      </c>
      <c r="AC157" s="15">
        <v>185.62486564530201</v>
      </c>
      <c r="AD157" s="15">
        <v>185.849457965629</v>
      </c>
      <c r="AE157" s="11">
        <v>-6.9803266282647599E-3</v>
      </c>
      <c r="AF157" s="11">
        <v>-3.7378398157350899E-3</v>
      </c>
      <c r="AG157" s="11">
        <v>-2.5286453523860998E-3</v>
      </c>
      <c r="BB157">
        <f t="shared" si="42"/>
        <v>0</v>
      </c>
      <c r="BC157">
        <f t="shared" si="43"/>
        <v>0</v>
      </c>
      <c r="BD157">
        <f t="shared" si="44"/>
        <v>0</v>
      </c>
      <c r="BE157">
        <f t="shared" si="40"/>
        <v>1</v>
      </c>
      <c r="BF157">
        <f t="shared" si="45"/>
        <v>0</v>
      </c>
      <c r="BG157" s="11">
        <f t="shared" si="46"/>
        <v>0</v>
      </c>
      <c r="BH157" s="11">
        <f t="shared" si="47"/>
        <v>0</v>
      </c>
      <c r="BI157" s="11">
        <f t="shared" si="48"/>
        <v>0</v>
      </c>
      <c r="BJ157" s="6">
        <f t="shared" si="49"/>
        <v>2.1094863596949055E-2</v>
      </c>
      <c r="BL157" s="11"/>
      <c r="BN157">
        <f t="shared" si="50"/>
        <v>0</v>
      </c>
      <c r="BO157">
        <f t="shared" si="51"/>
        <v>1</v>
      </c>
      <c r="BP157">
        <f t="shared" si="52"/>
        <v>0</v>
      </c>
      <c r="BQ157">
        <f t="shared" si="41"/>
        <v>1</v>
      </c>
      <c r="BR157">
        <f t="shared" si="53"/>
        <v>0</v>
      </c>
      <c r="BS157" s="11">
        <f t="shared" si="54"/>
        <v>0</v>
      </c>
      <c r="BT157" s="11">
        <f t="shared" si="55"/>
        <v>0</v>
      </c>
      <c r="BU157" s="11">
        <f t="shared" si="56"/>
        <v>0</v>
      </c>
      <c r="BV157" s="6">
        <f t="shared" si="57"/>
        <v>4.768564535417525E-2</v>
      </c>
      <c r="BX157" s="6">
        <f t="shared" si="58"/>
        <v>0</v>
      </c>
      <c r="BY157" s="6">
        <f t="shared" si="59"/>
        <v>6.8780508951124308E-2</v>
      </c>
    </row>
    <row r="158" spans="1:77" x14ac:dyDescent="0.3">
      <c r="A158" s="1">
        <v>46252</v>
      </c>
      <c r="B158" s="15">
        <v>166.88</v>
      </c>
      <c r="C158" s="15">
        <v>183.57</v>
      </c>
      <c r="D158" s="11">
        <v>-1.17357555791143E-2</v>
      </c>
      <c r="E158" s="11">
        <v>-1.48695594335267E-2</v>
      </c>
      <c r="F158" s="15">
        <v>0</v>
      </c>
      <c r="G158" s="15">
        <v>0.53739999999999999</v>
      </c>
      <c r="H158" s="15">
        <v>0</v>
      </c>
      <c r="I158" s="15">
        <v>0.89729999999999999</v>
      </c>
      <c r="J158" s="15">
        <v>0</v>
      </c>
      <c r="K158" s="15">
        <v>0</v>
      </c>
      <c r="L158" s="15">
        <v>166.88</v>
      </c>
      <c r="M158" s="15">
        <v>183.57</v>
      </c>
      <c r="N158" s="16">
        <v>1.1000119846596299</v>
      </c>
      <c r="O158" s="16">
        <v>1.0958817339640901</v>
      </c>
      <c r="P158" s="16">
        <v>1.1001037121113499</v>
      </c>
      <c r="Q158" s="16">
        <v>1.1006357825300901</v>
      </c>
      <c r="R158" s="15">
        <v>182.880743763927</v>
      </c>
      <c r="S158" s="15">
        <v>183.541289933282</v>
      </c>
      <c r="T158" s="15">
        <v>183.693150227714</v>
      </c>
      <c r="U158" s="11">
        <v>-3.76179915371932E-3</v>
      </c>
      <c r="V158" s="11">
        <v>-1.5641069922323501E-4</v>
      </c>
      <c r="W158" s="11">
        <v>6.7063756466666496E-4</v>
      </c>
      <c r="X158" s="16">
        <v>1.1000119846596299</v>
      </c>
      <c r="Y158" s="16">
        <v>1.0957888908294</v>
      </c>
      <c r="Z158" s="16">
        <v>1.1001037121113499</v>
      </c>
      <c r="AA158" s="16">
        <v>1.1006357825300901</v>
      </c>
      <c r="AB158" s="15">
        <v>182.865250101611</v>
      </c>
      <c r="AC158" s="15">
        <v>183.541289933282</v>
      </c>
      <c r="AD158" s="15">
        <v>183.693150227714</v>
      </c>
      <c r="AE158" s="11">
        <v>-3.8465227738523899E-3</v>
      </c>
      <c r="AF158" s="11">
        <v>-1.5641069922312401E-4</v>
      </c>
      <c r="AG158" s="11">
        <v>6.7063756466666496E-4</v>
      </c>
      <c r="BB158">
        <f t="shared" si="42"/>
        <v>0</v>
      </c>
      <c r="BC158">
        <f t="shared" si="43"/>
        <v>1</v>
      </c>
      <c r="BD158">
        <f t="shared" si="44"/>
        <v>0</v>
      </c>
      <c r="BE158">
        <f t="shared" si="40"/>
        <v>1</v>
      </c>
      <c r="BF158">
        <f t="shared" si="45"/>
        <v>0</v>
      </c>
      <c r="BG158" s="11">
        <f t="shared" si="46"/>
        <v>0</v>
      </c>
      <c r="BH158" s="11">
        <f t="shared" si="47"/>
        <v>0</v>
      </c>
      <c r="BI158" s="11">
        <f t="shared" si="48"/>
        <v>0</v>
      </c>
      <c r="BJ158" s="6">
        <f t="shared" si="49"/>
        <v>2.1094863596949055E-2</v>
      </c>
      <c r="BL158" s="11"/>
      <c r="BN158">
        <f t="shared" si="50"/>
        <v>0</v>
      </c>
      <c r="BO158">
        <f t="shared" si="51"/>
        <v>0</v>
      </c>
      <c r="BP158">
        <f t="shared" si="52"/>
        <v>0</v>
      </c>
      <c r="BQ158">
        <f t="shared" si="41"/>
        <v>1</v>
      </c>
      <c r="BR158">
        <f t="shared" si="53"/>
        <v>0</v>
      </c>
      <c r="BS158" s="11">
        <f t="shared" si="54"/>
        <v>0</v>
      </c>
      <c r="BT158" s="11">
        <f t="shared" si="55"/>
        <v>0</v>
      </c>
      <c r="BU158" s="11">
        <f t="shared" si="56"/>
        <v>0</v>
      </c>
      <c r="BV158" s="6">
        <f t="shared" si="57"/>
        <v>4.768564535417525E-2</v>
      </c>
      <c r="BX158" s="6">
        <f t="shared" si="58"/>
        <v>0</v>
      </c>
      <c r="BY158" s="6">
        <f t="shared" si="59"/>
        <v>6.8780508951124308E-2</v>
      </c>
    </row>
    <row r="159" spans="1:77" x14ac:dyDescent="0.3">
      <c r="A159" s="1">
        <v>46253</v>
      </c>
      <c r="B159" s="15">
        <v>165.97</v>
      </c>
      <c r="C159" s="15">
        <v>181.95</v>
      </c>
      <c r="D159" s="11">
        <v>-5.4679421198349197E-3</v>
      </c>
      <c r="E159" s="11">
        <v>-8.8641420843900802E-3</v>
      </c>
      <c r="F159" s="15">
        <v>0</v>
      </c>
      <c r="G159" s="15">
        <v>0.53739999999999999</v>
      </c>
      <c r="H159" s="15">
        <v>0</v>
      </c>
      <c r="I159" s="15">
        <v>0.89729999999999999</v>
      </c>
      <c r="J159" s="15">
        <v>0</v>
      </c>
      <c r="K159" s="15">
        <v>0</v>
      </c>
      <c r="L159" s="15">
        <v>165.97</v>
      </c>
      <c r="M159" s="15">
        <v>181.95</v>
      </c>
      <c r="N159" s="16">
        <v>1.09628246068566</v>
      </c>
      <c r="O159" s="16">
        <v>1.0958817339640901</v>
      </c>
      <c r="P159" s="16">
        <v>1.0999851972847401</v>
      </c>
      <c r="Q159" s="16">
        <v>1.1002595087242899</v>
      </c>
      <c r="R159" s="15">
        <v>181.88349138602001</v>
      </c>
      <c r="S159" s="15">
        <v>182.584213099121</v>
      </c>
      <c r="T159" s="15">
        <v>182.67252082652001</v>
      </c>
      <c r="U159" s="11">
        <v>-3.6559918916409501E-4</v>
      </c>
      <c r="V159" s="11">
        <v>3.47958417194497E-3</v>
      </c>
      <c r="W159" s="11">
        <v>3.9631220285678897E-3</v>
      </c>
      <c r="X159" s="16">
        <v>1.09628246068566</v>
      </c>
      <c r="Y159" s="16">
        <v>1.0957888908294</v>
      </c>
      <c r="Z159" s="16">
        <v>1.0999851972847401</v>
      </c>
      <c r="AA159" s="16">
        <v>1.1002595087242899</v>
      </c>
      <c r="AB159" s="15">
        <v>181.868082210957</v>
      </c>
      <c r="AC159" s="15">
        <v>182.584213099121</v>
      </c>
      <c r="AD159" s="15">
        <v>182.67252082652001</v>
      </c>
      <c r="AE159" s="11">
        <v>-4.5032280929727401E-4</v>
      </c>
      <c r="AF159" s="11">
        <v>3.47958417194497E-3</v>
      </c>
      <c r="AG159" s="11">
        <v>3.9631220285678897E-3</v>
      </c>
      <c r="BB159">
        <f t="shared" si="42"/>
        <v>0</v>
      </c>
      <c r="BC159">
        <f t="shared" si="43"/>
        <v>1</v>
      </c>
      <c r="BD159">
        <f t="shared" si="44"/>
        <v>0</v>
      </c>
      <c r="BE159">
        <f t="shared" si="40"/>
        <v>1</v>
      </c>
      <c r="BF159">
        <f t="shared" si="45"/>
        <v>0</v>
      </c>
      <c r="BG159" s="11">
        <f t="shared" si="46"/>
        <v>0</v>
      </c>
      <c r="BH159" s="11">
        <f t="shared" si="47"/>
        <v>0</v>
      </c>
      <c r="BI159" s="11">
        <f t="shared" si="48"/>
        <v>0</v>
      </c>
      <c r="BJ159" s="6">
        <f t="shared" si="49"/>
        <v>2.1094863596949055E-2</v>
      </c>
      <c r="BL159" s="11"/>
      <c r="BN159">
        <f t="shared" si="50"/>
        <v>0</v>
      </c>
      <c r="BO159">
        <f t="shared" si="51"/>
        <v>0</v>
      </c>
      <c r="BP159">
        <f t="shared" si="52"/>
        <v>0</v>
      </c>
      <c r="BQ159">
        <f t="shared" si="41"/>
        <v>1</v>
      </c>
      <c r="BR159">
        <f t="shared" si="53"/>
        <v>0</v>
      </c>
      <c r="BS159" s="11">
        <f t="shared" si="54"/>
        <v>0</v>
      </c>
      <c r="BT159" s="11">
        <f t="shared" si="55"/>
        <v>0</v>
      </c>
      <c r="BU159" s="11">
        <f t="shared" si="56"/>
        <v>0</v>
      </c>
      <c r="BV159" s="6">
        <f t="shared" si="57"/>
        <v>4.768564535417525E-2</v>
      </c>
      <c r="BX159" s="6">
        <f t="shared" si="58"/>
        <v>0</v>
      </c>
      <c r="BY159" s="6">
        <f t="shared" si="59"/>
        <v>6.8780508951124308E-2</v>
      </c>
    </row>
    <row r="160" spans="1:77" x14ac:dyDescent="0.3">
      <c r="A160" s="1">
        <v>46254</v>
      </c>
      <c r="B160" s="15">
        <v>163.98</v>
      </c>
      <c r="C160" s="15">
        <v>179.77</v>
      </c>
      <c r="D160" s="11">
        <v>-1.2062579964595799E-2</v>
      </c>
      <c r="E160" s="11">
        <v>-1.2053667999844E-2</v>
      </c>
      <c r="F160" s="15">
        <v>0</v>
      </c>
      <c r="G160" s="15">
        <v>0.53739999999999999</v>
      </c>
      <c r="H160" s="15">
        <v>0</v>
      </c>
      <c r="I160" s="15">
        <v>0.89729999999999999</v>
      </c>
      <c r="J160" s="15">
        <v>0</v>
      </c>
      <c r="K160" s="15">
        <v>0</v>
      </c>
      <c r="L160" s="15">
        <v>163.98</v>
      </c>
      <c r="M160" s="15">
        <v>179.77</v>
      </c>
      <c r="N160" s="16">
        <v>1.0962922307598399</v>
      </c>
      <c r="O160" s="16">
        <v>1.0958817339640901</v>
      </c>
      <c r="P160" s="16">
        <v>1.0999580609328701</v>
      </c>
      <c r="Q160" s="16">
        <v>1.09949616327303</v>
      </c>
      <c r="R160" s="15">
        <v>179.702686735431</v>
      </c>
      <c r="S160" s="15">
        <v>180.37557265075301</v>
      </c>
      <c r="T160" s="15">
        <v>180.42055424060899</v>
      </c>
      <c r="U160" s="11">
        <v>-3.7451115391587701E-4</v>
      </c>
      <c r="V160" s="11">
        <v>3.3629358096206401E-3</v>
      </c>
      <c r="W160" s="11">
        <v>3.6122821120695499E-3</v>
      </c>
      <c r="X160" s="16">
        <v>1.0962922307598399</v>
      </c>
      <c r="Y160" s="16">
        <v>1.0957888908294</v>
      </c>
      <c r="Z160" s="16">
        <v>1.0999580609328701</v>
      </c>
      <c r="AA160" s="16">
        <v>1.09949616327303</v>
      </c>
      <c r="AB160" s="15">
        <v>179.687462318206</v>
      </c>
      <c r="AC160" s="15">
        <v>180.37557265075301</v>
      </c>
      <c r="AD160" s="15">
        <v>180.42055424060899</v>
      </c>
      <c r="AE160" s="11">
        <v>-4.5923477404914898E-4</v>
      </c>
      <c r="AF160" s="11">
        <v>3.3629358096206401E-3</v>
      </c>
      <c r="AG160" s="11">
        <v>3.6122821120695499E-3</v>
      </c>
      <c r="BB160">
        <f t="shared" si="42"/>
        <v>0</v>
      </c>
      <c r="BC160">
        <f t="shared" si="43"/>
        <v>1</v>
      </c>
      <c r="BD160">
        <f t="shared" si="44"/>
        <v>0</v>
      </c>
      <c r="BE160">
        <f t="shared" si="40"/>
        <v>1</v>
      </c>
      <c r="BF160">
        <f t="shared" si="45"/>
        <v>0</v>
      </c>
      <c r="BG160" s="11">
        <f t="shared" si="46"/>
        <v>0</v>
      </c>
      <c r="BH160" s="11">
        <f t="shared" si="47"/>
        <v>0</v>
      </c>
      <c r="BI160" s="11">
        <f t="shared" si="48"/>
        <v>0</v>
      </c>
      <c r="BJ160" s="6">
        <f t="shared" si="49"/>
        <v>2.1094863596949055E-2</v>
      </c>
      <c r="BL160" s="11"/>
      <c r="BN160">
        <f t="shared" si="50"/>
        <v>0</v>
      </c>
      <c r="BO160">
        <f t="shared" si="51"/>
        <v>0</v>
      </c>
      <c r="BP160">
        <f t="shared" si="52"/>
        <v>0</v>
      </c>
      <c r="BQ160">
        <f t="shared" si="41"/>
        <v>1</v>
      </c>
      <c r="BR160">
        <f t="shared" si="53"/>
        <v>0</v>
      </c>
      <c r="BS160" s="11">
        <f t="shared" si="54"/>
        <v>0</v>
      </c>
      <c r="BT160" s="11">
        <f t="shared" si="55"/>
        <v>0</v>
      </c>
      <c r="BU160" s="11">
        <f t="shared" si="56"/>
        <v>0</v>
      </c>
      <c r="BV160" s="6">
        <f t="shared" si="57"/>
        <v>4.768564535417525E-2</v>
      </c>
      <c r="BX160" s="6">
        <f t="shared" si="58"/>
        <v>0</v>
      </c>
      <c r="BY160" s="6">
        <f t="shared" si="59"/>
        <v>6.8780508951124308E-2</v>
      </c>
    </row>
    <row r="161" spans="1:77" x14ac:dyDescent="0.3">
      <c r="A161" s="1">
        <v>46255</v>
      </c>
      <c r="B161" s="15">
        <v>164.9</v>
      </c>
      <c r="C161" s="15">
        <v>180.25</v>
      </c>
      <c r="D161" s="11">
        <v>5.5947603975216899E-3</v>
      </c>
      <c r="E161" s="11">
        <v>2.6665201067336002E-3</v>
      </c>
      <c r="F161" s="15">
        <v>0</v>
      </c>
      <c r="G161" s="15">
        <v>0.53739999999999999</v>
      </c>
      <c r="H161" s="15">
        <v>0</v>
      </c>
      <c r="I161" s="15">
        <v>0.89729999999999999</v>
      </c>
      <c r="J161" s="15">
        <v>0</v>
      </c>
      <c r="K161" s="15">
        <v>0</v>
      </c>
      <c r="L161" s="15">
        <v>164.9</v>
      </c>
      <c r="M161" s="15">
        <v>180.25</v>
      </c>
      <c r="N161" s="16">
        <v>1.0930867192237701</v>
      </c>
      <c r="O161" s="16">
        <v>1.0958817339640901</v>
      </c>
      <c r="P161" s="16">
        <v>1.0992893008561999</v>
      </c>
      <c r="Q161" s="16">
        <v>1.0986307423953099</v>
      </c>
      <c r="R161" s="15">
        <v>180.71089793067799</v>
      </c>
      <c r="S161" s="15">
        <v>181.38308424783</v>
      </c>
      <c r="T161" s="15">
        <v>181.30691732372301</v>
      </c>
      <c r="U161" s="11">
        <v>2.5537291368720799E-3</v>
      </c>
      <c r="V161" s="11">
        <v>6.2665060533292002E-3</v>
      </c>
      <c r="W161" s="11">
        <v>5.8464948873360898E-3</v>
      </c>
      <c r="X161" s="16">
        <v>1.0930867192237701</v>
      </c>
      <c r="Y161" s="16">
        <v>1.0957888908294</v>
      </c>
      <c r="Z161" s="16">
        <v>1.0992893008561999</v>
      </c>
      <c r="AA161" s="16">
        <v>1.0986307423953099</v>
      </c>
      <c r="AB161" s="15">
        <v>180.69558809776899</v>
      </c>
      <c r="AC161" s="15">
        <v>181.38308424783099</v>
      </c>
      <c r="AD161" s="15">
        <v>181.30691732372301</v>
      </c>
      <c r="AE161" s="11">
        <v>2.4690055167387401E-3</v>
      </c>
      <c r="AF161" s="11">
        <v>6.26650605332964E-3</v>
      </c>
      <c r="AG161" s="11">
        <v>5.8464948873360898E-3</v>
      </c>
      <c r="BB161">
        <f t="shared" si="42"/>
        <v>0</v>
      </c>
      <c r="BC161">
        <f t="shared" si="43"/>
        <v>1</v>
      </c>
      <c r="BD161">
        <f t="shared" si="44"/>
        <v>0</v>
      </c>
      <c r="BE161">
        <f t="shared" si="40"/>
        <v>1</v>
      </c>
      <c r="BF161">
        <f t="shared" si="45"/>
        <v>0</v>
      </c>
      <c r="BG161" s="11">
        <f t="shared" si="46"/>
        <v>0</v>
      </c>
      <c r="BH161" s="11">
        <f t="shared" si="47"/>
        <v>0</v>
      </c>
      <c r="BI161" s="11">
        <f t="shared" si="48"/>
        <v>0</v>
      </c>
      <c r="BJ161" s="6">
        <f t="shared" si="49"/>
        <v>2.1094863596949055E-2</v>
      </c>
      <c r="BL161" s="11"/>
      <c r="BN161">
        <f t="shared" si="50"/>
        <v>1</v>
      </c>
      <c r="BO161">
        <f t="shared" si="51"/>
        <v>0</v>
      </c>
      <c r="BP161">
        <f t="shared" si="52"/>
        <v>0</v>
      </c>
      <c r="BQ161">
        <f t="shared" si="41"/>
        <v>1</v>
      </c>
      <c r="BR161">
        <f t="shared" si="53"/>
        <v>0</v>
      </c>
      <c r="BS161" s="11">
        <f t="shared" si="54"/>
        <v>0</v>
      </c>
      <c r="BT161" s="11">
        <f t="shared" si="55"/>
        <v>0</v>
      </c>
      <c r="BU161" s="11">
        <f t="shared" si="56"/>
        <v>0</v>
      </c>
      <c r="BV161" s="6">
        <f t="shared" si="57"/>
        <v>4.768564535417525E-2</v>
      </c>
      <c r="BX161" s="6">
        <f t="shared" si="58"/>
        <v>0</v>
      </c>
      <c r="BY161" s="6">
        <f t="shared" si="59"/>
        <v>6.8780508951124308E-2</v>
      </c>
    </row>
    <row r="162" spans="1:77" x14ac:dyDescent="0.3">
      <c r="A162" s="1">
        <v>46258</v>
      </c>
      <c r="B162" s="15">
        <v>164.47</v>
      </c>
      <c r="C162" s="15">
        <v>179</v>
      </c>
      <c r="D162" s="11">
        <v>-2.6110468123755402E-3</v>
      </c>
      <c r="E162" s="11">
        <v>-6.9589703243034496E-3</v>
      </c>
      <c r="F162" s="15">
        <v>0</v>
      </c>
      <c r="G162" s="15">
        <v>0.53739999999999999</v>
      </c>
      <c r="H162" s="15">
        <v>0</v>
      </c>
      <c r="I162" s="15">
        <v>0.89729999999999999</v>
      </c>
      <c r="J162" s="15">
        <v>0</v>
      </c>
      <c r="K162" s="15">
        <v>0</v>
      </c>
      <c r="L162" s="15">
        <v>164.47</v>
      </c>
      <c r="M162" s="15">
        <v>179</v>
      </c>
      <c r="N162" s="16">
        <v>1.0883443789140801</v>
      </c>
      <c r="O162" s="16">
        <v>1.0958817339640901</v>
      </c>
      <c r="P162" s="16">
        <v>1.0979739684749199</v>
      </c>
      <c r="Q162" s="16">
        <v>1.0977406313084099</v>
      </c>
      <c r="R162" s="15">
        <v>180.23966878507301</v>
      </c>
      <c r="S162" s="15">
        <v>180.80011131181899</v>
      </c>
      <c r="T162" s="15">
        <v>180.69179820175799</v>
      </c>
      <c r="U162" s="11">
        <v>6.9016526487999403E-3</v>
      </c>
      <c r="V162" s="11">
        <v>1.00062577798501E-2</v>
      </c>
      <c r="W162" s="11">
        <v>9.40700169443154E-3</v>
      </c>
      <c r="X162" s="16">
        <v>1.0883443789140801</v>
      </c>
      <c r="Y162" s="16">
        <v>1.0957888908294</v>
      </c>
      <c r="Z162" s="16">
        <v>1.0979739684749199</v>
      </c>
      <c r="AA162" s="16">
        <v>1.0977406313084099</v>
      </c>
      <c r="AB162" s="15">
        <v>180.22439887471299</v>
      </c>
      <c r="AC162" s="15">
        <v>180.80011131181899</v>
      </c>
      <c r="AD162" s="15">
        <v>180.69179820175799</v>
      </c>
      <c r="AE162" s="11">
        <v>6.8169290286667497E-3</v>
      </c>
      <c r="AF162" s="11">
        <v>1.00062577798501E-2</v>
      </c>
      <c r="AG162" s="11">
        <v>9.40700169443154E-3</v>
      </c>
      <c r="BB162">
        <f t="shared" si="42"/>
        <v>0</v>
      </c>
      <c r="BC162">
        <f t="shared" si="43"/>
        <v>1</v>
      </c>
      <c r="BD162">
        <f t="shared" si="44"/>
        <v>0</v>
      </c>
      <c r="BE162">
        <f t="shared" si="40"/>
        <v>1</v>
      </c>
      <c r="BF162">
        <f t="shared" si="45"/>
        <v>0</v>
      </c>
      <c r="BG162" s="11">
        <f t="shared" si="46"/>
        <v>0</v>
      </c>
      <c r="BH162" s="11">
        <f t="shared" si="47"/>
        <v>0</v>
      </c>
      <c r="BI162" s="11">
        <f t="shared" si="48"/>
        <v>0</v>
      </c>
      <c r="BJ162" s="6">
        <f t="shared" si="49"/>
        <v>2.1094863596949055E-2</v>
      </c>
      <c r="BL162" s="11"/>
      <c r="BN162">
        <f t="shared" si="50"/>
        <v>1</v>
      </c>
      <c r="BO162">
        <f t="shared" si="51"/>
        <v>0</v>
      </c>
      <c r="BP162">
        <f t="shared" si="52"/>
        <v>1</v>
      </c>
      <c r="BQ162">
        <f t="shared" si="41"/>
        <v>1</v>
      </c>
      <c r="BR162">
        <f t="shared" si="53"/>
        <v>1</v>
      </c>
      <c r="BS162" s="11">
        <f t="shared" si="54"/>
        <v>2.6110468123755402E-3</v>
      </c>
      <c r="BT162" s="11">
        <f t="shared" si="55"/>
        <v>-6.9589703243034496E-3</v>
      </c>
      <c r="BU162" s="11">
        <f t="shared" si="56"/>
        <v>-4.3479235119279099E-3</v>
      </c>
      <c r="BV162" s="6">
        <f t="shared" si="57"/>
        <v>4.3337721842247337E-2</v>
      </c>
      <c r="BX162" s="6">
        <f t="shared" si="58"/>
        <v>-4.3479235119279099E-3</v>
      </c>
      <c r="BY162" s="6">
        <f t="shared" si="59"/>
        <v>6.4432585439196402E-2</v>
      </c>
    </row>
    <row r="163" spans="1:77" x14ac:dyDescent="0.3">
      <c r="A163" s="1">
        <v>46259</v>
      </c>
      <c r="B163" s="15">
        <v>164.19</v>
      </c>
      <c r="C163" s="15">
        <v>178.4</v>
      </c>
      <c r="D163" s="11">
        <v>-1.70388892924121E-3</v>
      </c>
      <c r="E163" s="11">
        <v>-3.3575856948459301E-3</v>
      </c>
      <c r="F163" s="15">
        <v>0</v>
      </c>
      <c r="G163" s="15">
        <v>0.53739999999999999</v>
      </c>
      <c r="H163" s="15">
        <v>0</v>
      </c>
      <c r="I163" s="15">
        <v>0.89729999999999999</v>
      </c>
      <c r="J163" s="15">
        <v>0</v>
      </c>
      <c r="K163" s="15">
        <v>0</v>
      </c>
      <c r="L163" s="15">
        <v>164.19</v>
      </c>
      <c r="M163" s="15">
        <v>178.4</v>
      </c>
      <c r="N163" s="16">
        <v>1.0865460746695901</v>
      </c>
      <c r="O163" s="16">
        <v>1.0958817339640901</v>
      </c>
      <c r="P163" s="16">
        <v>1.0963619646955101</v>
      </c>
      <c r="Q163" s="16">
        <v>1.0970347625449099</v>
      </c>
      <c r="R163" s="15">
        <v>179.93282189956301</v>
      </c>
      <c r="S163" s="15">
        <v>180.27634588389699</v>
      </c>
      <c r="T163" s="15">
        <v>180.238034254529</v>
      </c>
      <c r="U163" s="11">
        <v>8.5553494144046498E-3</v>
      </c>
      <c r="V163" s="11">
        <v>1.04627083558373E-2</v>
      </c>
      <c r="W163" s="11">
        <v>1.02501696521236E-2</v>
      </c>
      <c r="X163" s="16">
        <v>1.0865460746695901</v>
      </c>
      <c r="Y163" s="16">
        <v>1.0957888908294</v>
      </c>
      <c r="Z163" s="16">
        <v>1.0963619646955101</v>
      </c>
      <c r="AA163" s="16">
        <v>1.0970347625449099</v>
      </c>
      <c r="AB163" s="15">
        <v>179.91757798527999</v>
      </c>
      <c r="AC163" s="15">
        <v>180.27634588389699</v>
      </c>
      <c r="AD163" s="15">
        <v>180.238034254529</v>
      </c>
      <c r="AE163" s="11">
        <v>8.4706257942714896E-3</v>
      </c>
      <c r="AF163" s="11">
        <v>1.04627083558371E-2</v>
      </c>
      <c r="AG163" s="11">
        <v>1.02501696521236E-2</v>
      </c>
      <c r="BB163">
        <f t="shared" si="42"/>
        <v>0</v>
      </c>
      <c r="BC163">
        <f t="shared" si="43"/>
        <v>1</v>
      </c>
      <c r="BD163">
        <f t="shared" si="44"/>
        <v>0</v>
      </c>
      <c r="BE163">
        <f t="shared" si="40"/>
        <v>1</v>
      </c>
      <c r="BF163">
        <f t="shared" si="45"/>
        <v>0</v>
      </c>
      <c r="BG163" s="11">
        <f t="shared" si="46"/>
        <v>0</v>
      </c>
      <c r="BH163" s="11">
        <f t="shared" si="47"/>
        <v>0</v>
      </c>
      <c r="BI163" s="11">
        <f t="shared" si="48"/>
        <v>0</v>
      </c>
      <c r="BJ163" s="6">
        <f t="shared" si="49"/>
        <v>2.1094863596949055E-2</v>
      </c>
      <c r="BL163" s="11"/>
      <c r="BN163">
        <f t="shared" si="50"/>
        <v>1</v>
      </c>
      <c r="BO163">
        <f t="shared" si="51"/>
        <v>0</v>
      </c>
      <c r="BP163">
        <f t="shared" si="52"/>
        <v>1</v>
      </c>
      <c r="BQ163">
        <f t="shared" si="41"/>
        <v>1</v>
      </c>
      <c r="BR163">
        <f t="shared" si="53"/>
        <v>1</v>
      </c>
      <c r="BS163" s="11">
        <f t="shared" si="54"/>
        <v>1.70388892924121E-3</v>
      </c>
      <c r="BT163" s="11">
        <f t="shared" si="55"/>
        <v>-3.3575856948459301E-3</v>
      </c>
      <c r="BU163" s="11">
        <f t="shared" si="56"/>
        <v>-1.6536967656047201E-3</v>
      </c>
      <c r="BV163" s="6">
        <f t="shared" si="57"/>
        <v>4.1684025076642615E-2</v>
      </c>
      <c r="BX163" s="6">
        <f t="shared" si="58"/>
        <v>-1.6536967656047201E-3</v>
      </c>
      <c r="BY163" s="6">
        <f t="shared" si="59"/>
        <v>6.2778888673591687E-2</v>
      </c>
    </row>
    <row r="164" spans="1:77" x14ac:dyDescent="0.3">
      <c r="A164" s="1">
        <v>46260</v>
      </c>
      <c r="B164" s="15">
        <v>165.38</v>
      </c>
      <c r="C164" s="15">
        <v>180.34</v>
      </c>
      <c r="D164" s="11">
        <v>7.2215624700841703E-3</v>
      </c>
      <c r="E164" s="11">
        <v>1.0815737925851601E-2</v>
      </c>
      <c r="F164" s="15">
        <v>0</v>
      </c>
      <c r="G164" s="15">
        <v>0.53739999999999999</v>
      </c>
      <c r="H164" s="15">
        <v>0</v>
      </c>
      <c r="I164" s="15">
        <v>0.89729999999999999</v>
      </c>
      <c r="J164" s="15">
        <v>0</v>
      </c>
      <c r="K164" s="15">
        <v>0</v>
      </c>
      <c r="L164" s="15">
        <v>165.38</v>
      </c>
      <c r="M164" s="15">
        <v>180.34</v>
      </c>
      <c r="N164" s="16">
        <v>1.0904583383722299</v>
      </c>
      <c r="O164" s="16">
        <v>1.0958817339640901</v>
      </c>
      <c r="P164" s="16">
        <v>1.0952566874216201</v>
      </c>
      <c r="Q164" s="16">
        <v>1.0968946433845499</v>
      </c>
      <c r="R164" s="15">
        <v>181.23692116298099</v>
      </c>
      <c r="S164" s="15">
        <v>181.316341721344</v>
      </c>
      <c r="T164" s="15">
        <v>181.427609029677</v>
      </c>
      <c r="U164" s="11">
        <v>4.9611739586372496E-3</v>
      </c>
      <c r="V164" s="11">
        <v>5.3992919830177198E-3</v>
      </c>
      <c r="W164" s="11">
        <v>6.0127677506623799E-3</v>
      </c>
      <c r="X164" s="16">
        <v>1.0904583383722299</v>
      </c>
      <c r="Y164" s="16">
        <v>1.0957888908294</v>
      </c>
      <c r="Z164" s="16">
        <v>1.0952566874216201</v>
      </c>
      <c r="AA164" s="16">
        <v>1.0968946433845499</v>
      </c>
      <c r="AB164" s="15">
        <v>181.22156676536699</v>
      </c>
      <c r="AC164" s="15">
        <v>181.316341721344</v>
      </c>
      <c r="AD164" s="15">
        <v>181.427609029677</v>
      </c>
      <c r="AE164" s="11">
        <v>4.8764503385041198E-3</v>
      </c>
      <c r="AF164" s="11">
        <v>5.3992919830177198E-3</v>
      </c>
      <c r="AG164" s="11">
        <v>6.0127677506628197E-3</v>
      </c>
      <c r="BB164">
        <f t="shared" si="42"/>
        <v>0</v>
      </c>
      <c r="BC164">
        <f t="shared" si="43"/>
        <v>1</v>
      </c>
      <c r="BD164">
        <f t="shared" si="44"/>
        <v>0</v>
      </c>
      <c r="BE164">
        <f t="shared" si="40"/>
        <v>1</v>
      </c>
      <c r="BF164">
        <f t="shared" si="45"/>
        <v>0</v>
      </c>
      <c r="BG164" s="11">
        <f t="shared" si="46"/>
        <v>0</v>
      </c>
      <c r="BH164" s="11">
        <f t="shared" si="47"/>
        <v>0</v>
      </c>
      <c r="BI164" s="11">
        <f t="shared" si="48"/>
        <v>0</v>
      </c>
      <c r="BJ164" s="6">
        <f t="shared" si="49"/>
        <v>2.1094863596949055E-2</v>
      </c>
      <c r="BL164" s="11"/>
      <c r="BN164">
        <f t="shared" si="50"/>
        <v>1</v>
      </c>
      <c r="BO164">
        <f t="shared" si="51"/>
        <v>0</v>
      </c>
      <c r="BP164">
        <f t="shared" si="52"/>
        <v>1</v>
      </c>
      <c r="BQ164">
        <f t="shared" si="41"/>
        <v>1</v>
      </c>
      <c r="BR164">
        <f t="shared" si="53"/>
        <v>1</v>
      </c>
      <c r="BS164" s="11">
        <f t="shared" si="54"/>
        <v>-7.2215624700841703E-3</v>
      </c>
      <c r="BT164" s="11">
        <f t="shared" si="55"/>
        <v>1.0815737925851601E-2</v>
      </c>
      <c r="BU164" s="11">
        <f t="shared" si="56"/>
        <v>3.5941754557674305E-3</v>
      </c>
      <c r="BV164" s="6">
        <f t="shared" si="57"/>
        <v>4.5278200532410044E-2</v>
      </c>
      <c r="BX164" s="6">
        <f t="shared" si="58"/>
        <v>3.5941754557674305E-3</v>
      </c>
      <c r="BY164" s="6">
        <f t="shared" si="59"/>
        <v>6.6373064129359116E-2</v>
      </c>
    </row>
    <row r="165" spans="1:77" x14ac:dyDescent="0.3">
      <c r="A165" s="1">
        <v>46261</v>
      </c>
      <c r="B165" s="15">
        <v>164.32</v>
      </c>
      <c r="C165" s="15">
        <v>178.8</v>
      </c>
      <c r="D165" s="11">
        <v>-6.4301101137725896E-3</v>
      </c>
      <c r="E165" s="11">
        <v>-8.5760953323468E-3</v>
      </c>
      <c r="F165" s="15">
        <v>0</v>
      </c>
      <c r="G165" s="15">
        <v>0.53739999999999999</v>
      </c>
      <c r="H165" s="15">
        <v>0</v>
      </c>
      <c r="I165" s="15">
        <v>0.89729999999999999</v>
      </c>
      <c r="J165" s="15">
        <v>0</v>
      </c>
      <c r="K165" s="15">
        <v>0</v>
      </c>
      <c r="L165" s="15">
        <v>164.32</v>
      </c>
      <c r="M165" s="15">
        <v>178.8</v>
      </c>
      <c r="N165" s="16">
        <v>1.0881207400194699</v>
      </c>
      <c r="O165" s="16">
        <v>1.0958817339640901</v>
      </c>
      <c r="P165" s="16">
        <v>1.0941988619558001</v>
      </c>
      <c r="Q165" s="16">
        <v>1.09666027362248</v>
      </c>
      <c r="R165" s="15">
        <v>180.07528652497899</v>
      </c>
      <c r="S165" s="15">
        <v>179.972578877122</v>
      </c>
      <c r="T165" s="15">
        <v>180.24172780095</v>
      </c>
      <c r="U165" s="11">
        <v>7.1071591772114097E-3</v>
      </c>
      <c r="V165" s="11">
        <v>6.5366369744018597E-3</v>
      </c>
      <c r="W165" s="11">
        <v>8.0310194513167499E-3</v>
      </c>
      <c r="X165" s="16">
        <v>1.0881207400194699</v>
      </c>
      <c r="Y165" s="16">
        <v>1.0957888908294</v>
      </c>
      <c r="Z165" s="16">
        <v>1.0941988619558001</v>
      </c>
      <c r="AA165" s="16">
        <v>1.09666027362248</v>
      </c>
      <c r="AB165" s="15">
        <v>180.060030541088</v>
      </c>
      <c r="AC165" s="15">
        <v>179.972578877122</v>
      </c>
      <c r="AD165" s="15">
        <v>180.24172780095</v>
      </c>
      <c r="AE165" s="11">
        <v>7.0224355570781697E-3</v>
      </c>
      <c r="AF165" s="11">
        <v>6.5366369744018597E-3</v>
      </c>
      <c r="AG165" s="11">
        <v>8.0310194513167499E-3</v>
      </c>
      <c r="BB165">
        <f t="shared" si="42"/>
        <v>0</v>
      </c>
      <c r="BC165">
        <f t="shared" si="43"/>
        <v>1</v>
      </c>
      <c r="BD165">
        <f t="shared" si="44"/>
        <v>0</v>
      </c>
      <c r="BE165">
        <f t="shared" si="40"/>
        <v>1</v>
      </c>
      <c r="BF165">
        <f t="shared" si="45"/>
        <v>0</v>
      </c>
      <c r="BG165" s="11">
        <f t="shared" si="46"/>
        <v>0</v>
      </c>
      <c r="BH165" s="11">
        <f t="shared" si="47"/>
        <v>0</v>
      </c>
      <c r="BI165" s="11">
        <f t="shared" si="48"/>
        <v>0</v>
      </c>
      <c r="BJ165" s="6">
        <f t="shared" si="49"/>
        <v>2.1094863596949055E-2</v>
      </c>
      <c r="BL165" s="11"/>
      <c r="BN165">
        <f t="shared" si="50"/>
        <v>1</v>
      </c>
      <c r="BO165">
        <f t="shared" si="51"/>
        <v>0</v>
      </c>
      <c r="BP165">
        <f t="shared" si="52"/>
        <v>1</v>
      </c>
      <c r="BQ165">
        <f t="shared" si="41"/>
        <v>1</v>
      </c>
      <c r="BR165">
        <f t="shared" si="53"/>
        <v>1</v>
      </c>
      <c r="BS165" s="11">
        <f t="shared" si="54"/>
        <v>6.4301101137725896E-3</v>
      </c>
      <c r="BT165" s="11">
        <f t="shared" si="55"/>
        <v>-8.5760953323468E-3</v>
      </c>
      <c r="BU165" s="11">
        <f t="shared" si="56"/>
        <v>-2.1459852185742104E-3</v>
      </c>
      <c r="BV165" s="6">
        <f t="shared" si="57"/>
        <v>4.3132215313835834E-2</v>
      </c>
      <c r="BX165" s="6">
        <f t="shared" si="58"/>
        <v>-2.1459852185742104E-3</v>
      </c>
      <c r="BY165" s="6">
        <f t="shared" si="59"/>
        <v>6.4227078910784913E-2</v>
      </c>
    </row>
    <row r="166" spans="1:77" x14ac:dyDescent="0.3">
      <c r="A166" s="1">
        <v>46262</v>
      </c>
      <c r="B166" s="15">
        <v>162.86000000000001</v>
      </c>
      <c r="C166" s="15">
        <v>177.14</v>
      </c>
      <c r="D166" s="11">
        <v>-8.9248101412627602E-3</v>
      </c>
      <c r="E166" s="11">
        <v>-9.3274823579770107E-3</v>
      </c>
      <c r="F166" s="15">
        <v>0</v>
      </c>
      <c r="G166" s="15">
        <v>0.53739999999999999</v>
      </c>
      <c r="H166" s="15">
        <v>0</v>
      </c>
      <c r="I166" s="15">
        <v>0.89729999999999999</v>
      </c>
      <c r="J166" s="15">
        <v>0</v>
      </c>
      <c r="K166" s="15">
        <v>0</v>
      </c>
      <c r="L166" s="15">
        <v>162.86000000000001</v>
      </c>
      <c r="M166" s="15">
        <v>177.14</v>
      </c>
      <c r="N166" s="16">
        <v>1.08768267223382</v>
      </c>
      <c r="O166" s="16">
        <v>1.0958817339640901</v>
      </c>
      <c r="P166" s="16">
        <v>1.09302902131004</v>
      </c>
      <c r="Q166" s="16">
        <v>1.0961883799037699</v>
      </c>
      <c r="R166" s="15">
        <v>178.47529919339101</v>
      </c>
      <c r="S166" s="15">
        <v>178.20122665812201</v>
      </c>
      <c r="T166" s="15">
        <v>178.60209216215699</v>
      </c>
      <c r="U166" s="11">
        <v>7.5098313939257304E-3</v>
      </c>
      <c r="V166" s="11">
        <v>5.9730182349622303E-3</v>
      </c>
      <c r="W166" s="11">
        <v>8.2200022261577702E-3</v>
      </c>
      <c r="X166" s="16">
        <v>1.08768267223382</v>
      </c>
      <c r="Y166" s="16">
        <v>1.0957888908294</v>
      </c>
      <c r="Z166" s="16">
        <v>1.09302902131004</v>
      </c>
      <c r="AA166" s="16">
        <v>1.0961883799037699</v>
      </c>
      <c r="AB166" s="15">
        <v>178.46017876047699</v>
      </c>
      <c r="AC166" s="15">
        <v>178.20122665812201</v>
      </c>
      <c r="AD166" s="15">
        <v>178.60209216215699</v>
      </c>
      <c r="AE166" s="11">
        <v>7.4251077737926196E-3</v>
      </c>
      <c r="AF166" s="11">
        <v>5.9730182349619996E-3</v>
      </c>
      <c r="AG166" s="11">
        <v>8.2200022261577702E-3</v>
      </c>
      <c r="BB166">
        <f t="shared" si="42"/>
        <v>0</v>
      </c>
      <c r="BC166">
        <f t="shared" si="43"/>
        <v>1</v>
      </c>
      <c r="BD166">
        <f t="shared" si="44"/>
        <v>0</v>
      </c>
      <c r="BE166">
        <f t="shared" si="40"/>
        <v>1</v>
      </c>
      <c r="BF166">
        <f t="shared" si="45"/>
        <v>0</v>
      </c>
      <c r="BG166" s="11">
        <f t="shared" si="46"/>
        <v>0</v>
      </c>
      <c r="BH166" s="11">
        <f t="shared" si="47"/>
        <v>0</v>
      </c>
      <c r="BI166" s="11">
        <f t="shared" si="48"/>
        <v>0</v>
      </c>
      <c r="BJ166" s="6">
        <f t="shared" si="49"/>
        <v>2.1094863596949055E-2</v>
      </c>
      <c r="BL166" s="11"/>
      <c r="BN166">
        <f t="shared" si="50"/>
        <v>1</v>
      </c>
      <c r="BO166">
        <f t="shared" si="51"/>
        <v>0</v>
      </c>
      <c r="BP166">
        <f t="shared" si="52"/>
        <v>1</v>
      </c>
      <c r="BQ166">
        <f t="shared" si="41"/>
        <v>1</v>
      </c>
      <c r="BR166">
        <f t="shared" si="53"/>
        <v>1</v>
      </c>
      <c r="BS166" s="11">
        <f t="shared" si="54"/>
        <v>8.9248101412627602E-3</v>
      </c>
      <c r="BT166" s="11">
        <f t="shared" si="55"/>
        <v>-9.3274823579770107E-3</v>
      </c>
      <c r="BU166" s="11">
        <f t="shared" si="56"/>
        <v>-4.0267221671425046E-4</v>
      </c>
      <c r="BV166" s="6">
        <f t="shared" si="57"/>
        <v>4.2729543097121583E-2</v>
      </c>
      <c r="BX166" s="6">
        <f t="shared" si="58"/>
        <v>-4.0267221671425046E-4</v>
      </c>
      <c r="BY166" s="6">
        <f t="shared" si="59"/>
        <v>6.3824406694070662E-2</v>
      </c>
    </row>
    <row r="167" spans="1:77" x14ac:dyDescent="0.3">
      <c r="A167" s="1">
        <v>46265</v>
      </c>
      <c r="B167" s="15">
        <v>161.19999999999999</v>
      </c>
      <c r="C167" s="15">
        <v>175.13</v>
      </c>
      <c r="D167" s="11">
        <v>-1.0245105966457399E-2</v>
      </c>
      <c r="E167" s="11">
        <v>-1.14118250968637E-2</v>
      </c>
      <c r="F167" s="15">
        <v>0</v>
      </c>
      <c r="G167" s="15">
        <v>0.53739999999999999</v>
      </c>
      <c r="H167" s="15">
        <v>0</v>
      </c>
      <c r="I167" s="15">
        <v>0.89729999999999999</v>
      </c>
      <c r="J167" s="15">
        <v>0</v>
      </c>
      <c r="K167" s="15">
        <v>0</v>
      </c>
      <c r="L167" s="15">
        <v>161.19999999999999</v>
      </c>
      <c r="M167" s="15">
        <v>175.13</v>
      </c>
      <c r="N167" s="16">
        <v>1.0864143920595499</v>
      </c>
      <c r="O167" s="16">
        <v>1.0958817339640901</v>
      </c>
      <c r="P167" s="16">
        <v>1.0913239991597601</v>
      </c>
      <c r="Q167" s="16">
        <v>1.09558197181527</v>
      </c>
      <c r="R167" s="15">
        <v>176.65613551501099</v>
      </c>
      <c r="S167" s="15">
        <v>176.19627823517899</v>
      </c>
      <c r="T167" s="15">
        <v>176.70556684048699</v>
      </c>
      <c r="U167" s="11">
        <v>8.6765505243319007E-3</v>
      </c>
      <c r="V167" s="11">
        <v>6.0700356061134299E-3</v>
      </c>
      <c r="W167" s="11">
        <v>8.9563280184378705E-3</v>
      </c>
      <c r="X167" s="16">
        <v>1.0864143920595499</v>
      </c>
      <c r="Y167" s="16">
        <v>1.0957888908294</v>
      </c>
      <c r="Z167" s="16">
        <v>1.0913239991597601</v>
      </c>
      <c r="AA167" s="16">
        <v>1.09558197181527</v>
      </c>
      <c r="AB167" s="15">
        <v>176.6411692017</v>
      </c>
      <c r="AC167" s="15">
        <v>176.19627823517899</v>
      </c>
      <c r="AD167" s="15">
        <v>176.70556684048699</v>
      </c>
      <c r="AE167" s="11">
        <v>8.5918269041988394E-3</v>
      </c>
      <c r="AF167" s="11">
        <v>6.0700356061134299E-3</v>
      </c>
      <c r="AG167" s="11">
        <v>8.9563280184378705E-3</v>
      </c>
      <c r="BB167">
        <f t="shared" si="42"/>
        <v>0</v>
      </c>
      <c r="BC167">
        <f t="shared" si="43"/>
        <v>1</v>
      </c>
      <c r="BD167">
        <f t="shared" si="44"/>
        <v>0</v>
      </c>
      <c r="BE167">
        <f t="shared" si="40"/>
        <v>1</v>
      </c>
      <c r="BF167">
        <f t="shared" si="45"/>
        <v>0</v>
      </c>
      <c r="BG167" s="11">
        <f t="shared" si="46"/>
        <v>0</v>
      </c>
      <c r="BH167" s="11">
        <f t="shared" si="47"/>
        <v>0</v>
      </c>
      <c r="BI167" s="11">
        <f t="shared" si="48"/>
        <v>0</v>
      </c>
      <c r="BJ167" s="6">
        <f t="shared" si="49"/>
        <v>2.1094863596949055E-2</v>
      </c>
      <c r="BL167" s="11"/>
      <c r="BN167">
        <f t="shared" si="50"/>
        <v>1</v>
      </c>
      <c r="BO167">
        <f t="shared" si="51"/>
        <v>0</v>
      </c>
      <c r="BP167">
        <f t="shared" si="52"/>
        <v>1</v>
      </c>
      <c r="BQ167">
        <f t="shared" si="41"/>
        <v>1</v>
      </c>
      <c r="BR167">
        <f t="shared" si="53"/>
        <v>1</v>
      </c>
      <c r="BS167" s="11">
        <f t="shared" si="54"/>
        <v>1.0245105966457399E-2</v>
      </c>
      <c r="BT167" s="11">
        <f t="shared" si="55"/>
        <v>-1.14118250968637E-2</v>
      </c>
      <c r="BU167" s="11">
        <f t="shared" si="56"/>
        <v>-1.1667191304063004E-3</v>
      </c>
      <c r="BV167" s="6">
        <f t="shared" si="57"/>
        <v>4.1562823966715283E-2</v>
      </c>
      <c r="BX167" s="6">
        <f t="shared" si="58"/>
        <v>-1.1667191304063004E-3</v>
      </c>
      <c r="BY167" s="6">
        <f t="shared" si="59"/>
        <v>6.2657687563664355E-2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IYJ_XLI_1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2026-09-03T18:29:39Z</dcterms:created>
  <dcterms:modified xsi:type="dcterms:W3CDTF">2026-09-03T20:02:52Z</dcterms:modified>
</cp:coreProperties>
</file>