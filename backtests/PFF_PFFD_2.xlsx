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9F03F17C-6F42-44B5-BCB9-47619FDECFC5}" xr6:coauthVersionLast="47" xr6:coauthVersionMax="47" xr10:uidLastSave="{00000000-0000-0000-0000-000000000000}"/>
  <bookViews>
    <workbookView xWindow="-108" yWindow="-108" windowWidth="23256" windowHeight="12456" xr2:uid="{DB0E9052-E157-43A5-9229-A98A1ADD1ECD}"/>
  </bookViews>
  <sheets>
    <sheet name="PFF_PFFD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14" i="1" l="1"/>
  <c r="CP14" i="1" s="1"/>
  <c r="CQ14" i="1" s="1"/>
  <c r="CR14" i="1" s="1"/>
  <c r="CS14" i="1" s="1"/>
  <c r="CT14" i="1" s="1"/>
  <c r="CN14" i="1"/>
  <c r="CL16" i="1"/>
  <c r="CL17" i="1" s="1"/>
  <c r="CL18" i="1" s="1"/>
  <c r="CL19" i="1" s="1"/>
  <c r="CL20" i="1" s="1"/>
  <c r="CL21" i="1" s="1"/>
  <c r="CL22" i="1" s="1"/>
  <c r="CT3" i="1"/>
  <c r="CL6" i="1"/>
  <c r="CL7" i="1" s="1"/>
  <c r="CL8" i="1" s="1"/>
  <c r="CL9" i="1" s="1"/>
  <c r="CL10" i="1" s="1"/>
  <c r="CL11" i="1" s="1"/>
  <c r="CL5" i="1"/>
  <c r="CO3" i="1"/>
  <c r="CP3" i="1" s="1"/>
  <c r="CQ3" i="1" s="1"/>
  <c r="CR3" i="1" s="1"/>
  <c r="CS3" i="1" s="1"/>
  <c r="CN3" i="1"/>
  <c r="BQ167" i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R163" i="1" s="1"/>
  <c r="BP163" i="1" s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R129" i="1" s="1"/>
  <c r="BT129" i="1" s="1"/>
  <c r="BE128" i="1"/>
  <c r="BC128" i="1"/>
  <c r="BB128" i="1"/>
  <c r="BQ127" i="1"/>
  <c r="BO127" i="1"/>
  <c r="BN127" i="1"/>
  <c r="BR128" i="1" s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R126" i="1" s="1"/>
  <c r="BE125" i="1"/>
  <c r="BC125" i="1"/>
  <c r="BB125" i="1"/>
  <c r="BQ124" i="1"/>
  <c r="BO124" i="1"/>
  <c r="BN124" i="1"/>
  <c r="BR125" i="1" s="1"/>
  <c r="BE124" i="1"/>
  <c r="BC124" i="1"/>
  <c r="BB124" i="1"/>
  <c r="BQ123" i="1"/>
  <c r="BO123" i="1"/>
  <c r="BN123" i="1"/>
  <c r="BR124" i="1" s="1"/>
  <c r="BE123" i="1"/>
  <c r="BC123" i="1"/>
  <c r="BB123" i="1"/>
  <c r="BQ122" i="1"/>
  <c r="BO122" i="1"/>
  <c r="BN122" i="1"/>
  <c r="BR123" i="1" s="1"/>
  <c r="BT123" i="1" s="1"/>
  <c r="BE122" i="1"/>
  <c r="BC122" i="1"/>
  <c r="BB122" i="1"/>
  <c r="BQ121" i="1"/>
  <c r="BO121" i="1"/>
  <c r="BN121" i="1"/>
  <c r="BR122" i="1" s="1"/>
  <c r="BE121" i="1"/>
  <c r="BC121" i="1"/>
  <c r="BB121" i="1"/>
  <c r="BQ120" i="1"/>
  <c r="BO120" i="1"/>
  <c r="BN120" i="1"/>
  <c r="BR121" i="1" s="1"/>
  <c r="BE120" i="1"/>
  <c r="BC120" i="1"/>
  <c r="BB120" i="1"/>
  <c r="BQ119" i="1"/>
  <c r="BO119" i="1"/>
  <c r="BN119" i="1"/>
  <c r="BR120" i="1" s="1"/>
  <c r="BT120" i="1" s="1"/>
  <c r="BE119" i="1"/>
  <c r="BC119" i="1"/>
  <c r="BB119" i="1"/>
  <c r="BQ118" i="1"/>
  <c r="BO118" i="1"/>
  <c r="BN118" i="1"/>
  <c r="BR119" i="1" s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S22" i="1"/>
  <c r="BQ22" i="1"/>
  <c r="BP22" i="1"/>
  <c r="BO22" i="1"/>
  <c r="BN22" i="1"/>
  <c r="BE22" i="1"/>
  <c r="BD22" i="1"/>
  <c r="BC22" i="1"/>
  <c r="BB22" i="1"/>
  <c r="BQ21" i="1"/>
  <c r="BR22" i="1" s="1"/>
  <c r="BT22" i="1" s="1"/>
  <c r="BE21" i="1"/>
  <c r="BF22" i="1" s="1"/>
  <c r="BT20" i="1"/>
  <c r="BS20" i="1"/>
  <c r="BH20" i="1"/>
  <c r="BG20" i="1"/>
  <c r="BR97" i="1" l="1"/>
  <c r="BS97" i="1" s="1"/>
  <c r="BR146" i="1"/>
  <c r="BP146" i="1" s="1"/>
  <c r="BR153" i="1"/>
  <c r="BR160" i="1"/>
  <c r="BR167" i="1"/>
  <c r="BR28" i="1"/>
  <c r="BS28" i="1" s="1"/>
  <c r="BR49" i="1"/>
  <c r="BP49" i="1" s="1"/>
  <c r="BR91" i="1"/>
  <c r="BS91" i="1" s="1"/>
  <c r="BR154" i="1"/>
  <c r="BS154" i="1" s="1"/>
  <c r="BR89" i="1"/>
  <c r="BP89" i="1" s="1"/>
  <c r="BR94" i="1"/>
  <c r="BS94" i="1" s="1"/>
  <c r="BR101" i="1"/>
  <c r="BT101" i="1" s="1"/>
  <c r="BR143" i="1"/>
  <c r="BP143" i="1" s="1"/>
  <c r="BR157" i="1"/>
  <c r="BP157" i="1" s="1"/>
  <c r="BR162" i="1"/>
  <c r="BP162" i="1" s="1"/>
  <c r="BR104" i="1"/>
  <c r="BP104" i="1" s="1"/>
  <c r="BR105" i="1" s="1"/>
  <c r="BP105" i="1" s="1"/>
  <c r="BR164" i="1"/>
  <c r="BS164" i="1" s="1"/>
  <c r="BR99" i="1"/>
  <c r="BT99" i="1" s="1"/>
  <c r="BR106" i="1"/>
  <c r="BS106" i="1" s="1"/>
  <c r="BR134" i="1"/>
  <c r="BT134" i="1" s="1"/>
  <c r="BR141" i="1"/>
  <c r="BT141" i="1" s="1"/>
  <c r="BR148" i="1"/>
  <c r="BS148" i="1" s="1"/>
  <c r="BR23" i="1"/>
  <c r="BP23" i="1" s="1"/>
  <c r="BR24" i="1" s="1"/>
  <c r="BT24" i="1" s="1"/>
  <c r="BR39" i="1"/>
  <c r="BT39" i="1" s="1"/>
  <c r="BR46" i="1"/>
  <c r="BP46" i="1" s="1"/>
  <c r="BR144" i="1"/>
  <c r="BP144" i="1" s="1"/>
  <c r="BR50" i="1"/>
  <c r="BT50" i="1" s="1"/>
  <c r="BF23" i="1"/>
  <c r="BH23" i="1" s="1"/>
  <c r="BR29" i="1"/>
  <c r="BP29" i="1" s="1"/>
  <c r="BR30" i="1" s="1"/>
  <c r="BR36" i="1"/>
  <c r="BT36" i="1" s="1"/>
  <c r="BR64" i="1"/>
  <c r="BP64" i="1" s="1"/>
  <c r="BR78" i="1"/>
  <c r="BP78" i="1" s="1"/>
  <c r="BR85" i="1"/>
  <c r="BP85" i="1" s="1"/>
  <c r="BR92" i="1"/>
  <c r="BS92" i="1" s="1"/>
  <c r="BR90" i="1"/>
  <c r="BP90" i="1" s="1"/>
  <c r="BR53" i="1"/>
  <c r="BT53" i="1" s="1"/>
  <c r="BR88" i="1"/>
  <c r="BS88" i="1" s="1"/>
  <c r="BR42" i="1"/>
  <c r="BT42" i="1" s="1"/>
  <c r="BR44" i="1"/>
  <c r="BS44" i="1" s="1"/>
  <c r="BR51" i="1"/>
  <c r="BT51" i="1" s="1"/>
  <c r="BR65" i="1"/>
  <c r="BT65" i="1" s="1"/>
  <c r="BR72" i="1"/>
  <c r="BT72" i="1" s="1"/>
  <c r="BR79" i="1"/>
  <c r="BS79" i="1" s="1"/>
  <c r="BR158" i="1"/>
  <c r="BT158" i="1" s="1"/>
  <c r="BR165" i="1"/>
  <c r="BT165" i="1" s="1"/>
  <c r="BR100" i="1"/>
  <c r="BS100" i="1" s="1"/>
  <c r="BR149" i="1"/>
  <c r="BT149" i="1" s="1"/>
  <c r="BR26" i="1"/>
  <c r="BP26" i="1" s="1"/>
  <c r="BR40" i="1"/>
  <c r="BT40" i="1" s="1"/>
  <c r="BR140" i="1"/>
  <c r="BP140" i="1" s="1"/>
  <c r="BR147" i="1"/>
  <c r="BS147" i="1" s="1"/>
  <c r="BR45" i="1"/>
  <c r="BP45" i="1" s="1"/>
  <c r="BR52" i="1"/>
  <c r="BS52" i="1" s="1"/>
  <c r="BR96" i="1"/>
  <c r="BS96" i="1" s="1"/>
  <c r="BR103" i="1"/>
  <c r="BT103" i="1" s="1"/>
  <c r="BR145" i="1"/>
  <c r="BS145" i="1" s="1"/>
  <c r="BR66" i="1"/>
  <c r="BP66" i="1" s="1"/>
  <c r="BR67" i="1" s="1"/>
  <c r="BP67" i="1" s="1"/>
  <c r="BR68" i="1" s="1"/>
  <c r="BR152" i="1"/>
  <c r="BS152" i="1" s="1"/>
  <c r="BR166" i="1"/>
  <c r="BP166" i="1" s="1"/>
  <c r="BR35" i="1"/>
  <c r="BS35" i="1" s="1"/>
  <c r="BR127" i="1"/>
  <c r="BT127" i="1" s="1"/>
  <c r="BR93" i="1"/>
  <c r="BS93" i="1" s="1"/>
  <c r="BR27" i="1"/>
  <c r="BS27" i="1" s="1"/>
  <c r="BS160" i="1"/>
  <c r="BP160" i="1"/>
  <c r="BR81" i="1"/>
  <c r="BP81" i="1" s="1"/>
  <c r="BR82" i="1" s="1"/>
  <c r="BR34" i="1"/>
  <c r="BP34" i="1" s="1"/>
  <c r="BR32" i="1"/>
  <c r="BT32" i="1" s="1"/>
  <c r="BR75" i="1"/>
  <c r="BT75" i="1" s="1"/>
  <c r="BR155" i="1"/>
  <c r="BR43" i="1"/>
  <c r="BP43" i="1" s="1"/>
  <c r="BR159" i="1"/>
  <c r="BS159" i="1" s="1"/>
  <c r="BP123" i="1"/>
  <c r="BR48" i="1"/>
  <c r="BS48" i="1" s="1"/>
  <c r="BR87" i="1"/>
  <c r="BS87" i="1" s="1"/>
  <c r="BR135" i="1"/>
  <c r="BS135" i="1" s="1"/>
  <c r="BU22" i="1"/>
  <c r="BS125" i="1"/>
  <c r="BP125" i="1"/>
  <c r="BT125" i="1"/>
  <c r="BG22" i="1"/>
  <c r="BH22" i="1"/>
  <c r="BR74" i="1"/>
  <c r="BR77" i="1"/>
  <c r="BT119" i="1"/>
  <c r="BS119" i="1"/>
  <c r="BP119" i="1"/>
  <c r="BT122" i="1"/>
  <c r="BP122" i="1"/>
  <c r="BS122" i="1"/>
  <c r="BS121" i="1"/>
  <c r="BP121" i="1"/>
  <c r="BT121" i="1"/>
  <c r="BR55" i="1"/>
  <c r="BP28" i="1"/>
  <c r="BR25" i="1"/>
  <c r="BR47" i="1"/>
  <c r="BR57" i="1"/>
  <c r="BR60" i="1"/>
  <c r="BR86" i="1"/>
  <c r="BR156" i="1"/>
  <c r="BP129" i="1"/>
  <c r="BR130" i="1" s="1"/>
  <c r="BS129" i="1"/>
  <c r="BU129" i="1" s="1"/>
  <c r="BR31" i="1"/>
  <c r="BS163" i="1"/>
  <c r="BT163" i="1"/>
  <c r="BS153" i="1"/>
  <c r="BP153" i="1"/>
  <c r="BT153" i="1"/>
  <c r="BR76" i="1"/>
  <c r="BT124" i="1"/>
  <c r="BS124" i="1"/>
  <c r="BP124" i="1"/>
  <c r="BR56" i="1"/>
  <c r="BR73" i="1"/>
  <c r="BR33" i="1"/>
  <c r="BR62" i="1"/>
  <c r="BT160" i="1"/>
  <c r="BR116" i="1"/>
  <c r="BS123" i="1"/>
  <c r="BU123" i="1" s="1"/>
  <c r="BT126" i="1"/>
  <c r="BS126" i="1"/>
  <c r="BP126" i="1"/>
  <c r="BT164" i="1"/>
  <c r="BU164" i="1" s="1"/>
  <c r="BS128" i="1"/>
  <c r="BT128" i="1"/>
  <c r="BP128" i="1"/>
  <c r="BR102" i="1"/>
  <c r="BR142" i="1"/>
  <c r="BR54" i="1"/>
  <c r="BS120" i="1"/>
  <c r="BU120" i="1" s="1"/>
  <c r="BP120" i="1"/>
  <c r="BR161" i="1"/>
  <c r="BS167" i="1"/>
  <c r="BT167" i="1"/>
  <c r="BP167" i="1"/>
  <c r="BR150" i="1"/>
  <c r="BR95" i="1"/>
  <c r="BR109" i="1"/>
  <c r="BR98" i="1"/>
  <c r="BR151" i="1"/>
  <c r="BP97" i="1" l="1"/>
  <c r="BS146" i="1"/>
  <c r="BT146" i="1"/>
  <c r="BU146" i="1" s="1"/>
  <c r="BT157" i="1"/>
  <c r="BP91" i="1"/>
  <c r="BT94" i="1"/>
  <c r="BU94" i="1" s="1"/>
  <c r="BT97" i="1"/>
  <c r="BU97" i="1" s="1"/>
  <c r="BT49" i="1"/>
  <c r="BP154" i="1"/>
  <c r="BT91" i="1"/>
  <c r="BU91" i="1" s="1"/>
  <c r="BP101" i="1"/>
  <c r="BS49" i="1"/>
  <c r="BT89" i="1"/>
  <c r="BT154" i="1"/>
  <c r="BU154" i="1" s="1"/>
  <c r="BT143" i="1"/>
  <c r="BS89" i="1"/>
  <c r="BS101" i="1"/>
  <c r="BU101" i="1" s="1"/>
  <c r="BT28" i="1"/>
  <c r="BP94" i="1"/>
  <c r="BS149" i="1"/>
  <c r="BU149" i="1" s="1"/>
  <c r="BP149" i="1"/>
  <c r="BP164" i="1"/>
  <c r="BS85" i="1"/>
  <c r="BS143" i="1"/>
  <c r="BT106" i="1"/>
  <c r="BU106" i="1" s="1"/>
  <c r="BS99" i="1"/>
  <c r="BU99" i="1" s="1"/>
  <c r="BS157" i="1"/>
  <c r="BP106" i="1"/>
  <c r="BR107" i="1" s="1"/>
  <c r="BS107" i="1" s="1"/>
  <c r="BP100" i="1"/>
  <c r="BS162" i="1"/>
  <c r="BP148" i="1"/>
  <c r="BT162" i="1"/>
  <c r="BT148" i="1"/>
  <c r="BU148" i="1" s="1"/>
  <c r="BT85" i="1"/>
  <c r="BS78" i="1"/>
  <c r="BS166" i="1"/>
  <c r="BP99" i="1"/>
  <c r="BS104" i="1"/>
  <c r="BT104" i="1"/>
  <c r="BS23" i="1"/>
  <c r="BT166" i="1"/>
  <c r="BS141" i="1"/>
  <c r="BU141" i="1" s="1"/>
  <c r="BP141" i="1"/>
  <c r="BT29" i="1"/>
  <c r="BT145" i="1"/>
  <c r="BU145" i="1" s="1"/>
  <c r="BP134" i="1"/>
  <c r="BP39" i="1"/>
  <c r="BP145" i="1"/>
  <c r="BP152" i="1"/>
  <c r="BS39" i="1"/>
  <c r="BU39" i="1" s="1"/>
  <c r="BS46" i="1"/>
  <c r="BS134" i="1"/>
  <c r="BU134" i="1" s="1"/>
  <c r="BT64" i="1"/>
  <c r="BS66" i="1"/>
  <c r="BS36" i="1"/>
  <c r="BU36" i="1" s="1"/>
  <c r="BP51" i="1"/>
  <c r="BT152" i="1"/>
  <c r="BU152" i="1" s="1"/>
  <c r="BT66" i="1"/>
  <c r="BP36" i="1"/>
  <c r="BR37" i="1" s="1"/>
  <c r="BP37" i="1" s="1"/>
  <c r="BR38" i="1" s="1"/>
  <c r="BT144" i="1"/>
  <c r="BS144" i="1"/>
  <c r="BT23" i="1"/>
  <c r="BP158" i="1"/>
  <c r="BS165" i="1"/>
  <c r="BU165" i="1" s="1"/>
  <c r="BT46" i="1"/>
  <c r="BS64" i="1"/>
  <c r="BT79" i="1"/>
  <c r="BU79" i="1" s="1"/>
  <c r="BS29" i="1"/>
  <c r="BT96" i="1"/>
  <c r="BU96" i="1" s="1"/>
  <c r="BS158" i="1"/>
  <c r="BU158" i="1" s="1"/>
  <c r="BS26" i="1"/>
  <c r="BT90" i="1"/>
  <c r="BS90" i="1"/>
  <c r="BS50" i="1"/>
  <c r="BU50" i="1" s="1"/>
  <c r="BP50" i="1"/>
  <c r="BS65" i="1"/>
  <c r="BU65" i="1" s="1"/>
  <c r="BT92" i="1"/>
  <c r="BU92" i="1" s="1"/>
  <c r="BT78" i="1"/>
  <c r="BP88" i="1"/>
  <c r="BP92" i="1"/>
  <c r="BS51" i="1"/>
  <c r="BU51" i="1" s="1"/>
  <c r="BT44" i="1"/>
  <c r="BU44" i="1" s="1"/>
  <c r="BT88" i="1"/>
  <c r="BU88" i="1" s="1"/>
  <c r="BT26" i="1"/>
  <c r="BP65" i="1"/>
  <c r="BP79" i="1"/>
  <c r="BR80" i="1" s="1"/>
  <c r="BT80" i="1" s="1"/>
  <c r="BU119" i="1"/>
  <c r="BD23" i="1"/>
  <c r="BF24" i="1" s="1"/>
  <c r="BD24" i="1" s="1"/>
  <c r="BF25" i="1" s="1"/>
  <c r="BG23" i="1"/>
  <c r="BI23" i="1" s="1"/>
  <c r="BP103" i="1"/>
  <c r="BP96" i="1"/>
  <c r="BP72" i="1"/>
  <c r="BS40" i="1"/>
  <c r="BU40" i="1" s="1"/>
  <c r="BT67" i="1"/>
  <c r="BP127" i="1"/>
  <c r="BP42" i="1"/>
  <c r="BS53" i="1"/>
  <c r="BU53" i="1" s="1"/>
  <c r="BS103" i="1"/>
  <c r="BU103" i="1" s="1"/>
  <c r="BS72" i="1"/>
  <c r="BU72" i="1" s="1"/>
  <c r="BS42" i="1"/>
  <c r="BU42" i="1" s="1"/>
  <c r="BP53" i="1"/>
  <c r="BS127" i="1"/>
  <c r="BU127" i="1" s="1"/>
  <c r="BP44" i="1"/>
  <c r="BT52" i="1"/>
  <c r="BU52" i="1" s="1"/>
  <c r="BS45" i="1"/>
  <c r="BP52" i="1"/>
  <c r="BP40" i="1"/>
  <c r="BR41" i="1" s="1"/>
  <c r="BS41" i="1" s="1"/>
  <c r="BP24" i="1"/>
  <c r="BT45" i="1"/>
  <c r="BP165" i="1"/>
  <c r="BP147" i="1"/>
  <c r="BT35" i="1"/>
  <c r="BU35" i="1" s="1"/>
  <c r="BT147" i="1"/>
  <c r="BU147" i="1" s="1"/>
  <c r="BP35" i="1"/>
  <c r="BS140" i="1"/>
  <c r="BS24" i="1"/>
  <c r="BU24" i="1" s="1"/>
  <c r="BT140" i="1"/>
  <c r="BT100" i="1"/>
  <c r="BU100" i="1" s="1"/>
  <c r="BS81" i="1"/>
  <c r="BT81" i="1"/>
  <c r="BP48" i="1"/>
  <c r="BP27" i="1"/>
  <c r="BT93" i="1"/>
  <c r="BU93" i="1" s="1"/>
  <c r="BP93" i="1"/>
  <c r="BS75" i="1"/>
  <c r="BU75" i="1" s="1"/>
  <c r="BP75" i="1"/>
  <c r="BT43" i="1"/>
  <c r="BP87" i="1"/>
  <c r="BT48" i="1"/>
  <c r="BU48" i="1" s="1"/>
  <c r="BT27" i="1"/>
  <c r="BU27" i="1" s="1"/>
  <c r="BU125" i="1"/>
  <c r="BP135" i="1"/>
  <c r="BR136" i="1" s="1"/>
  <c r="BT135" i="1"/>
  <c r="BU135" i="1" s="1"/>
  <c r="BU28" i="1"/>
  <c r="BS67" i="1"/>
  <c r="BU160" i="1"/>
  <c r="BS43" i="1"/>
  <c r="BT87" i="1"/>
  <c r="BU87" i="1" s="1"/>
  <c r="BT68" i="1"/>
  <c r="BS68" i="1"/>
  <c r="BP68" i="1"/>
  <c r="BR69" i="1" s="1"/>
  <c r="BT130" i="1"/>
  <c r="BP130" i="1"/>
  <c r="BR131" i="1" s="1"/>
  <c r="BS130" i="1"/>
  <c r="BU128" i="1"/>
  <c r="BP159" i="1"/>
  <c r="BS105" i="1"/>
  <c r="BT34" i="1"/>
  <c r="BT159" i="1"/>
  <c r="BU159" i="1" s="1"/>
  <c r="BT105" i="1"/>
  <c r="BS34" i="1"/>
  <c r="BS32" i="1"/>
  <c r="BU32" i="1" s="1"/>
  <c r="BP32" i="1"/>
  <c r="BS155" i="1"/>
  <c r="BP155" i="1"/>
  <c r="BT155" i="1"/>
  <c r="BU167" i="1"/>
  <c r="BU163" i="1"/>
  <c r="BT82" i="1"/>
  <c r="BS82" i="1"/>
  <c r="BP82" i="1"/>
  <c r="BR83" i="1" s="1"/>
  <c r="BT55" i="1"/>
  <c r="BS55" i="1"/>
  <c r="BP55" i="1"/>
  <c r="BT98" i="1"/>
  <c r="BS98" i="1"/>
  <c r="BP98" i="1"/>
  <c r="BS161" i="1"/>
  <c r="BT161" i="1"/>
  <c r="BP161" i="1"/>
  <c r="BU126" i="1"/>
  <c r="BU49" i="1"/>
  <c r="BP33" i="1"/>
  <c r="BT33" i="1"/>
  <c r="BS33" i="1"/>
  <c r="BS142" i="1"/>
  <c r="BT142" i="1"/>
  <c r="BP142" i="1"/>
  <c r="BT109" i="1"/>
  <c r="BP109" i="1"/>
  <c r="BR110" i="1" s="1"/>
  <c r="BS109" i="1"/>
  <c r="BT150" i="1"/>
  <c r="BP150" i="1"/>
  <c r="BS150" i="1"/>
  <c r="BS156" i="1"/>
  <c r="BT156" i="1"/>
  <c r="BP156" i="1"/>
  <c r="BI22" i="1"/>
  <c r="BS76" i="1"/>
  <c r="BP76" i="1"/>
  <c r="BT76" i="1"/>
  <c r="BU122" i="1"/>
  <c r="BP62" i="1"/>
  <c r="BR63" i="1" s="1"/>
  <c r="BT62" i="1"/>
  <c r="BS62" i="1"/>
  <c r="BT102" i="1"/>
  <c r="BP102" i="1"/>
  <c r="BS102" i="1"/>
  <c r="BS86" i="1"/>
  <c r="BP86" i="1"/>
  <c r="BT86" i="1"/>
  <c r="BU121" i="1"/>
  <c r="BT31" i="1"/>
  <c r="BS31" i="1"/>
  <c r="BP31" i="1"/>
  <c r="BT60" i="1"/>
  <c r="BP60" i="1"/>
  <c r="BR61" i="1" s="1"/>
  <c r="BS60" i="1"/>
  <c r="BP151" i="1"/>
  <c r="BS151" i="1"/>
  <c r="BT151" i="1"/>
  <c r="BS57" i="1"/>
  <c r="BP57" i="1"/>
  <c r="BR58" i="1" s="1"/>
  <c r="BT57" i="1"/>
  <c r="BT95" i="1"/>
  <c r="BS95" i="1"/>
  <c r="BP95" i="1"/>
  <c r="BU153" i="1"/>
  <c r="BT54" i="1"/>
  <c r="BS54" i="1"/>
  <c r="BP54" i="1"/>
  <c r="BS116" i="1"/>
  <c r="BP116" i="1"/>
  <c r="BR117" i="1" s="1"/>
  <c r="BT116" i="1"/>
  <c r="BT47" i="1"/>
  <c r="BS47" i="1"/>
  <c r="BP47" i="1"/>
  <c r="BP73" i="1"/>
  <c r="BT73" i="1"/>
  <c r="BS73" i="1"/>
  <c r="BT25" i="1"/>
  <c r="BP25" i="1"/>
  <c r="BS25" i="1"/>
  <c r="BV22" i="1"/>
  <c r="BT30" i="1"/>
  <c r="BS30" i="1"/>
  <c r="BP30" i="1"/>
  <c r="BP77" i="1"/>
  <c r="BS77" i="1"/>
  <c r="BT77" i="1"/>
  <c r="BP56" i="1"/>
  <c r="BS56" i="1"/>
  <c r="BT56" i="1"/>
  <c r="BU124" i="1"/>
  <c r="BT74" i="1"/>
  <c r="BS74" i="1"/>
  <c r="BP74" i="1"/>
  <c r="BU157" i="1" l="1"/>
  <c r="BU89" i="1"/>
  <c r="BU143" i="1"/>
  <c r="BU90" i="1"/>
  <c r="BP107" i="1"/>
  <c r="BR108" i="1" s="1"/>
  <c r="BS108" i="1" s="1"/>
  <c r="BU144" i="1"/>
  <c r="BU85" i="1"/>
  <c r="BU162" i="1"/>
  <c r="BT107" i="1"/>
  <c r="BU107" i="1" s="1"/>
  <c r="BU78" i="1"/>
  <c r="BU104" i="1"/>
  <c r="BU166" i="1"/>
  <c r="BU23" i="1"/>
  <c r="BX23" i="1" s="1"/>
  <c r="BU29" i="1"/>
  <c r="BU46" i="1"/>
  <c r="BS80" i="1"/>
  <c r="BU80" i="1" s="1"/>
  <c r="BU68" i="1"/>
  <c r="BS37" i="1"/>
  <c r="BU64" i="1"/>
  <c r="BU25" i="1"/>
  <c r="BT37" i="1"/>
  <c r="BU45" i="1"/>
  <c r="BU26" i="1"/>
  <c r="BP80" i="1"/>
  <c r="BU66" i="1"/>
  <c r="BT41" i="1"/>
  <c r="BU41" i="1" s="1"/>
  <c r="BU102" i="1"/>
  <c r="BP41" i="1"/>
  <c r="BU67" i="1"/>
  <c r="BU60" i="1"/>
  <c r="BG25" i="1"/>
  <c r="BD25" i="1"/>
  <c r="BF26" i="1" s="1"/>
  <c r="BH26" i="1" s="1"/>
  <c r="BH25" i="1"/>
  <c r="BG24" i="1"/>
  <c r="BH24" i="1"/>
  <c r="BU140" i="1"/>
  <c r="BU30" i="1"/>
  <c r="BU55" i="1"/>
  <c r="BU82" i="1"/>
  <c r="BU34" i="1"/>
  <c r="BU109" i="1"/>
  <c r="BU81" i="1"/>
  <c r="BP69" i="1"/>
  <c r="BR70" i="1" s="1"/>
  <c r="BT69" i="1"/>
  <c r="BS69" i="1"/>
  <c r="BU31" i="1"/>
  <c r="BU155" i="1"/>
  <c r="BS136" i="1"/>
  <c r="BT136" i="1"/>
  <c r="BP136" i="1"/>
  <c r="BR137" i="1" s="1"/>
  <c r="BU47" i="1"/>
  <c r="BU43" i="1"/>
  <c r="BU150" i="1"/>
  <c r="BU130" i="1"/>
  <c r="BU62" i="1"/>
  <c r="BS131" i="1"/>
  <c r="BT131" i="1"/>
  <c r="BP131" i="1"/>
  <c r="BR132" i="1" s="1"/>
  <c r="BT117" i="1"/>
  <c r="BS117" i="1"/>
  <c r="BU117" i="1" s="1"/>
  <c r="BP117" i="1"/>
  <c r="BR118" i="1" s="1"/>
  <c r="BU156" i="1"/>
  <c r="BU151" i="1"/>
  <c r="BU74" i="1"/>
  <c r="BU56" i="1"/>
  <c r="BU105" i="1"/>
  <c r="BU86" i="1"/>
  <c r="BU77" i="1"/>
  <c r="BU54" i="1"/>
  <c r="BU57" i="1"/>
  <c r="BT110" i="1"/>
  <c r="BP110" i="1"/>
  <c r="BR111" i="1" s="1"/>
  <c r="BS110" i="1"/>
  <c r="BT58" i="1"/>
  <c r="BS58" i="1"/>
  <c r="BP58" i="1"/>
  <c r="BR59" i="1" s="1"/>
  <c r="BU95" i="1"/>
  <c r="BP63" i="1"/>
  <c r="BT63" i="1"/>
  <c r="BS63" i="1"/>
  <c r="BU76" i="1"/>
  <c r="BT38" i="1"/>
  <c r="BP38" i="1"/>
  <c r="BS38" i="1"/>
  <c r="BT61" i="1"/>
  <c r="BS61" i="1"/>
  <c r="BP61" i="1"/>
  <c r="BT83" i="1"/>
  <c r="BS83" i="1"/>
  <c r="BP83" i="1"/>
  <c r="BR84" i="1" s="1"/>
  <c r="BU142" i="1"/>
  <c r="BU161" i="1"/>
  <c r="BU73" i="1"/>
  <c r="BU33" i="1"/>
  <c r="BU98" i="1"/>
  <c r="BX22" i="1"/>
  <c r="BJ22" i="1"/>
  <c r="BJ23" i="1" s="1"/>
  <c r="BV23" i="1"/>
  <c r="BV24" i="1" s="1"/>
  <c r="BU116" i="1"/>
  <c r="BP108" i="1" l="1"/>
  <c r="BT108" i="1"/>
  <c r="BU37" i="1"/>
  <c r="BV25" i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G26" i="1"/>
  <c r="BI26" i="1" s="1"/>
  <c r="BX26" i="1" s="1"/>
  <c r="BD26" i="1"/>
  <c r="BF27" i="1" s="1"/>
  <c r="BG27" i="1" s="1"/>
  <c r="BI25" i="1"/>
  <c r="BX25" i="1" s="1"/>
  <c r="BU69" i="1"/>
  <c r="BU63" i="1"/>
  <c r="BI24" i="1"/>
  <c r="BX24" i="1" s="1"/>
  <c r="BU108" i="1"/>
  <c r="BU61" i="1"/>
  <c r="BS137" i="1"/>
  <c r="BP137" i="1"/>
  <c r="BR138" i="1" s="1"/>
  <c r="BT137" i="1"/>
  <c r="BP70" i="1"/>
  <c r="BR71" i="1" s="1"/>
  <c r="BT70" i="1"/>
  <c r="BS70" i="1"/>
  <c r="BU136" i="1"/>
  <c r="BU110" i="1"/>
  <c r="BT132" i="1"/>
  <c r="BP132" i="1"/>
  <c r="BR133" i="1" s="1"/>
  <c r="BS132" i="1"/>
  <c r="BU131" i="1"/>
  <c r="BU58" i="1"/>
  <c r="BP118" i="1"/>
  <c r="BT118" i="1"/>
  <c r="BS118" i="1"/>
  <c r="BT59" i="1"/>
  <c r="BS59" i="1"/>
  <c r="BP59" i="1"/>
  <c r="BS84" i="1"/>
  <c r="BP84" i="1"/>
  <c r="BT84" i="1"/>
  <c r="BU83" i="1"/>
  <c r="BS111" i="1"/>
  <c r="BT111" i="1"/>
  <c r="BP111" i="1"/>
  <c r="BR112" i="1" s="1"/>
  <c r="BU38" i="1"/>
  <c r="BY22" i="1"/>
  <c r="BY23" i="1" s="1"/>
  <c r="BV37" i="1" l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U70" i="1"/>
  <c r="BD27" i="1"/>
  <c r="BF28" i="1" s="1"/>
  <c r="BG28" i="1" s="1"/>
  <c r="BH27" i="1"/>
  <c r="BI27" i="1" s="1"/>
  <c r="BX27" i="1" s="1"/>
  <c r="BJ24" i="1"/>
  <c r="BJ25" i="1" s="1"/>
  <c r="BJ26" i="1" s="1"/>
  <c r="BY24" i="1"/>
  <c r="BY25" i="1" s="1"/>
  <c r="BY26" i="1" s="1"/>
  <c r="BU59" i="1"/>
  <c r="BU132" i="1"/>
  <c r="BP133" i="1"/>
  <c r="BT133" i="1"/>
  <c r="BS133" i="1"/>
  <c r="BT71" i="1"/>
  <c r="BP71" i="1"/>
  <c r="BS71" i="1"/>
  <c r="BS138" i="1"/>
  <c r="BP138" i="1"/>
  <c r="BR139" i="1" s="1"/>
  <c r="BT138" i="1"/>
  <c r="BU137" i="1"/>
  <c r="BP112" i="1"/>
  <c r="BR113" i="1" s="1"/>
  <c r="BT112" i="1"/>
  <c r="BS112" i="1"/>
  <c r="BU118" i="1"/>
  <c r="BU84" i="1"/>
  <c r="BU111" i="1"/>
  <c r="BV59" i="1" l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U138" i="1"/>
  <c r="BD28" i="1"/>
  <c r="BF29" i="1" s="1"/>
  <c r="BG29" i="1" s="1"/>
  <c r="BH28" i="1"/>
  <c r="BI28" i="1" s="1"/>
  <c r="BU112" i="1"/>
  <c r="BP139" i="1"/>
  <c r="BT139" i="1"/>
  <c r="BS139" i="1"/>
  <c r="BU71" i="1"/>
  <c r="BU133" i="1"/>
  <c r="BP113" i="1"/>
  <c r="BR114" i="1" s="1"/>
  <c r="BS113" i="1"/>
  <c r="BT113" i="1"/>
  <c r="BY27" i="1"/>
  <c r="BJ27" i="1"/>
  <c r="BV71" i="1" l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H29" i="1"/>
  <c r="BI29" i="1" s="1"/>
  <c r="BX29" i="1" s="1"/>
  <c r="BD29" i="1"/>
  <c r="BF30" i="1" s="1"/>
  <c r="BD30" i="1" s="1"/>
  <c r="BF31" i="1" s="1"/>
  <c r="BU139" i="1"/>
  <c r="BU113" i="1"/>
  <c r="BS114" i="1"/>
  <c r="BT114" i="1"/>
  <c r="BP114" i="1"/>
  <c r="BR115" i="1" s="1"/>
  <c r="BJ28" i="1"/>
  <c r="BX28" i="1"/>
  <c r="BV113" i="1" l="1"/>
  <c r="BG30" i="1"/>
  <c r="BH30" i="1"/>
  <c r="BP115" i="1"/>
  <c r="BT115" i="1"/>
  <c r="BS115" i="1"/>
  <c r="BU114" i="1"/>
  <c r="BG31" i="1"/>
  <c r="BD31" i="1"/>
  <c r="BF32" i="1" s="1"/>
  <c r="BH31" i="1"/>
  <c r="BJ29" i="1"/>
  <c r="BY28" i="1"/>
  <c r="BY29" i="1" s="1"/>
  <c r="BV114" i="1" l="1"/>
  <c r="BI30" i="1"/>
  <c r="BX30" i="1" s="1"/>
  <c r="BY30" i="1" s="1"/>
  <c r="BU115" i="1"/>
  <c r="BI31" i="1"/>
  <c r="BX31" i="1" s="1"/>
  <c r="BD32" i="1"/>
  <c r="BF33" i="1" s="1"/>
  <c r="BG32" i="1"/>
  <c r="BH32" i="1"/>
  <c r="BJ30" i="1" l="1"/>
  <c r="BJ31" i="1" s="1"/>
  <c r="BV9" i="1"/>
  <c r="BV10" i="1"/>
  <c r="BV115" i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Y31" i="1"/>
  <c r="BI32" i="1"/>
  <c r="BX32" i="1" s="1"/>
  <c r="BG33" i="1"/>
  <c r="BH33" i="1"/>
  <c r="BD33" i="1"/>
  <c r="BF34" i="1" s="1"/>
  <c r="BV11" i="1" l="1"/>
  <c r="CL14" i="1" s="1"/>
  <c r="BY32" i="1"/>
  <c r="BJ32" i="1"/>
  <c r="BI33" i="1"/>
  <c r="BX33" i="1" s="1"/>
  <c r="BH34" i="1"/>
  <c r="BG34" i="1"/>
  <c r="BD34" i="1"/>
  <c r="BF35" i="1" s="1"/>
  <c r="BJ33" i="1" l="1"/>
  <c r="BY33" i="1"/>
  <c r="BI34" i="1"/>
  <c r="BX34" i="1" s="1"/>
  <c r="BH35" i="1"/>
  <c r="BD35" i="1"/>
  <c r="BF36" i="1" s="1"/>
  <c r="BG35" i="1"/>
  <c r="BY34" i="1" l="1"/>
  <c r="BJ34" i="1"/>
  <c r="BI35" i="1"/>
  <c r="BX35" i="1" s="1"/>
  <c r="BG36" i="1"/>
  <c r="BD36" i="1"/>
  <c r="BF37" i="1" s="1"/>
  <c r="BH36" i="1"/>
  <c r="BY35" i="1" l="1"/>
  <c r="BJ35" i="1"/>
  <c r="BD37" i="1"/>
  <c r="BF38" i="1" s="1"/>
  <c r="BH37" i="1"/>
  <c r="BG37" i="1"/>
  <c r="BI36" i="1"/>
  <c r="BI37" i="1" l="1"/>
  <c r="BX37" i="1" s="1"/>
  <c r="BX36" i="1"/>
  <c r="BY36" i="1" s="1"/>
  <c r="BJ36" i="1"/>
  <c r="BD38" i="1"/>
  <c r="BF39" i="1" s="1"/>
  <c r="BH38" i="1"/>
  <c r="BG38" i="1"/>
  <c r="BJ37" i="1" l="1"/>
  <c r="BY37" i="1"/>
  <c r="BI38" i="1"/>
  <c r="BX38" i="1" s="1"/>
  <c r="BH39" i="1"/>
  <c r="BD39" i="1"/>
  <c r="BF40" i="1" s="1"/>
  <c r="BG39" i="1"/>
  <c r="BY38" i="1" l="1"/>
  <c r="BJ38" i="1"/>
  <c r="BI39" i="1"/>
  <c r="BX39" i="1" s="1"/>
  <c r="BH40" i="1"/>
  <c r="BD40" i="1"/>
  <c r="BF41" i="1" s="1"/>
  <c r="BG40" i="1"/>
  <c r="BY39" i="1" l="1"/>
  <c r="BJ39" i="1"/>
  <c r="BI40" i="1"/>
  <c r="BX40" i="1" s="1"/>
  <c r="BG41" i="1"/>
  <c r="BD41" i="1"/>
  <c r="BF42" i="1" s="1"/>
  <c r="BH41" i="1"/>
  <c r="BY40" i="1" l="1"/>
  <c r="BJ40" i="1"/>
  <c r="BI41" i="1"/>
  <c r="BX41" i="1" s="1"/>
  <c r="BD42" i="1"/>
  <c r="BF43" i="1" s="1"/>
  <c r="BG42" i="1"/>
  <c r="BH42" i="1"/>
  <c r="BY41" i="1" l="1"/>
  <c r="BJ41" i="1"/>
  <c r="BI42" i="1"/>
  <c r="BH43" i="1"/>
  <c r="BG43" i="1"/>
  <c r="BD43" i="1"/>
  <c r="BF44" i="1" s="1"/>
  <c r="BI43" i="1" l="1"/>
  <c r="BX43" i="1" s="1"/>
  <c r="BH44" i="1"/>
  <c r="BG44" i="1"/>
  <c r="BD44" i="1"/>
  <c r="BF45" i="1" s="1"/>
  <c r="BX42" i="1"/>
  <c r="BY42" i="1" s="1"/>
  <c r="BJ42" i="1"/>
  <c r="BI44" i="1" l="1"/>
  <c r="BX44" i="1" s="1"/>
  <c r="BJ43" i="1"/>
  <c r="BY43" i="1"/>
  <c r="BH45" i="1"/>
  <c r="BD45" i="1"/>
  <c r="BF46" i="1" s="1"/>
  <c r="BG45" i="1"/>
  <c r="BJ44" i="1" l="1"/>
  <c r="BY44" i="1"/>
  <c r="BI45" i="1"/>
  <c r="BX45" i="1" s="1"/>
  <c r="BH46" i="1"/>
  <c r="BG46" i="1"/>
  <c r="BD46" i="1"/>
  <c r="BF47" i="1" s="1"/>
  <c r="BY45" i="1" l="1"/>
  <c r="BJ45" i="1"/>
  <c r="BI46" i="1"/>
  <c r="BX46" i="1" s="1"/>
  <c r="BG47" i="1"/>
  <c r="BD47" i="1"/>
  <c r="BF48" i="1" s="1"/>
  <c r="BH47" i="1"/>
  <c r="BY46" i="1" l="1"/>
  <c r="BJ46" i="1"/>
  <c r="BH48" i="1"/>
  <c r="BG48" i="1"/>
  <c r="BD48" i="1"/>
  <c r="BF49" i="1" s="1"/>
  <c r="BI47" i="1"/>
  <c r="BJ47" i="1" l="1"/>
  <c r="BX47" i="1"/>
  <c r="BY47" i="1" s="1"/>
  <c r="BD49" i="1"/>
  <c r="BF50" i="1" s="1"/>
  <c r="BH49" i="1"/>
  <c r="BG49" i="1"/>
  <c r="BI49" i="1" s="1"/>
  <c r="BX49" i="1" s="1"/>
  <c r="BI48" i="1"/>
  <c r="BX48" i="1" s="1"/>
  <c r="BY48" i="1" l="1"/>
  <c r="BY49" i="1" s="1"/>
  <c r="BJ48" i="1"/>
  <c r="BJ49" i="1" s="1"/>
  <c r="BG50" i="1"/>
  <c r="BD50" i="1"/>
  <c r="BF51" i="1" s="1"/>
  <c r="BH50" i="1"/>
  <c r="BH51" i="1" l="1"/>
  <c r="BD51" i="1"/>
  <c r="BF52" i="1" s="1"/>
  <c r="BG51" i="1"/>
  <c r="BI50" i="1"/>
  <c r="BI51" i="1" l="1"/>
  <c r="BX51" i="1" s="1"/>
  <c r="BG52" i="1"/>
  <c r="BH52" i="1"/>
  <c r="BD52" i="1"/>
  <c r="BF53" i="1" s="1"/>
  <c r="BX50" i="1"/>
  <c r="BY50" i="1" s="1"/>
  <c r="BJ50" i="1"/>
  <c r="BJ51" i="1" l="1"/>
  <c r="BY51" i="1"/>
  <c r="BD53" i="1"/>
  <c r="BF54" i="1" s="1"/>
  <c r="BG53" i="1"/>
  <c r="BH53" i="1"/>
  <c r="BI52" i="1"/>
  <c r="BX52" i="1" s="1"/>
  <c r="BY52" i="1" l="1"/>
  <c r="BI53" i="1"/>
  <c r="BX53" i="1" s="1"/>
  <c r="BH54" i="1"/>
  <c r="BG54" i="1"/>
  <c r="BI54" i="1" s="1"/>
  <c r="BX54" i="1" s="1"/>
  <c r="BD54" i="1"/>
  <c r="BF55" i="1" s="1"/>
  <c r="BJ52" i="1"/>
  <c r="BY53" i="1" l="1"/>
  <c r="BY54" i="1" s="1"/>
  <c r="BJ53" i="1"/>
  <c r="BJ54" i="1" s="1"/>
  <c r="BD55" i="1"/>
  <c r="BF56" i="1" s="1"/>
  <c r="BG55" i="1"/>
  <c r="BH55" i="1"/>
  <c r="BI55" i="1" l="1"/>
  <c r="BD56" i="1"/>
  <c r="BF57" i="1" s="1"/>
  <c r="BH56" i="1"/>
  <c r="BG56" i="1"/>
  <c r="BI56" i="1" l="1"/>
  <c r="BX56" i="1" s="1"/>
  <c r="BG57" i="1"/>
  <c r="BD57" i="1"/>
  <c r="BF58" i="1" s="1"/>
  <c r="BH57" i="1"/>
  <c r="BX55" i="1"/>
  <c r="BJ55" i="1"/>
  <c r="BJ56" i="1" l="1"/>
  <c r="BI57" i="1"/>
  <c r="BX57" i="1" s="1"/>
  <c r="BY55" i="1"/>
  <c r="BY56" i="1" s="1"/>
  <c r="BH58" i="1"/>
  <c r="BG58" i="1"/>
  <c r="BD58" i="1"/>
  <c r="BF59" i="1" s="1"/>
  <c r="BY57" i="1" l="1"/>
  <c r="BJ57" i="1"/>
  <c r="BI58" i="1"/>
  <c r="BD59" i="1"/>
  <c r="BF60" i="1" s="1"/>
  <c r="BG59" i="1"/>
  <c r="BH59" i="1"/>
  <c r="BI59" i="1" l="1"/>
  <c r="BX59" i="1" s="1"/>
  <c r="BD60" i="1"/>
  <c r="BF61" i="1" s="1"/>
  <c r="BG60" i="1"/>
  <c r="BH60" i="1"/>
  <c r="BX58" i="1"/>
  <c r="BJ58" i="1"/>
  <c r="BJ59" i="1" l="1"/>
  <c r="BI60" i="1"/>
  <c r="BG61" i="1"/>
  <c r="BH61" i="1"/>
  <c r="BD61" i="1"/>
  <c r="BF62" i="1" s="1"/>
  <c r="BY58" i="1"/>
  <c r="BY59" i="1" s="1"/>
  <c r="BH62" i="1" l="1"/>
  <c r="BD62" i="1"/>
  <c r="BF63" i="1" s="1"/>
  <c r="BG62" i="1"/>
  <c r="BI61" i="1"/>
  <c r="BX61" i="1" s="1"/>
  <c r="BX60" i="1"/>
  <c r="BJ60" i="1"/>
  <c r="BJ61" i="1" l="1"/>
  <c r="BI62" i="1"/>
  <c r="BX62" i="1" s="1"/>
  <c r="BD63" i="1"/>
  <c r="BF64" i="1" s="1"/>
  <c r="BG63" i="1"/>
  <c r="BH63" i="1"/>
  <c r="BY60" i="1"/>
  <c r="BY61" i="1" s="1"/>
  <c r="BJ62" i="1" l="1"/>
  <c r="BY62" i="1"/>
  <c r="BI63" i="1"/>
  <c r="BD64" i="1"/>
  <c r="BF65" i="1" s="1"/>
  <c r="BG64" i="1"/>
  <c r="BH64" i="1"/>
  <c r="BI64" i="1" l="1"/>
  <c r="BX64" i="1" s="1"/>
  <c r="BD65" i="1"/>
  <c r="BF66" i="1" s="1"/>
  <c r="BH65" i="1"/>
  <c r="BG65" i="1"/>
  <c r="BX63" i="1"/>
  <c r="BJ63" i="1"/>
  <c r="BI65" i="1" l="1"/>
  <c r="BX65" i="1" s="1"/>
  <c r="BJ64" i="1"/>
  <c r="BY63" i="1"/>
  <c r="BY64" i="1" s="1"/>
  <c r="BH66" i="1"/>
  <c r="BG66" i="1"/>
  <c r="BD66" i="1"/>
  <c r="BF67" i="1" s="1"/>
  <c r="BY65" i="1" l="1"/>
  <c r="BJ65" i="1"/>
  <c r="BI66" i="1"/>
  <c r="BD67" i="1"/>
  <c r="BF68" i="1" s="1"/>
  <c r="BG67" i="1"/>
  <c r="BH67" i="1"/>
  <c r="BJ66" i="1" l="1"/>
  <c r="BX66" i="1"/>
  <c r="BY66" i="1" s="1"/>
  <c r="BI67" i="1"/>
  <c r="BG68" i="1"/>
  <c r="BH68" i="1"/>
  <c r="BD68" i="1"/>
  <c r="BF69" i="1" s="1"/>
  <c r="BI68" i="1" l="1"/>
  <c r="BX68" i="1" s="1"/>
  <c r="BX67" i="1"/>
  <c r="BY67" i="1" s="1"/>
  <c r="BJ67" i="1"/>
  <c r="BH69" i="1"/>
  <c r="BG69" i="1"/>
  <c r="BD69" i="1"/>
  <c r="BF70" i="1" s="1"/>
  <c r="BJ68" i="1" l="1"/>
  <c r="BY68" i="1"/>
  <c r="BI69" i="1"/>
  <c r="BX69" i="1" s="1"/>
  <c r="BH70" i="1"/>
  <c r="BD70" i="1"/>
  <c r="BF71" i="1" s="1"/>
  <c r="BG70" i="1"/>
  <c r="BY69" i="1" l="1"/>
  <c r="BJ69" i="1"/>
  <c r="BI70" i="1"/>
  <c r="BX70" i="1" s="1"/>
  <c r="BG71" i="1"/>
  <c r="BH71" i="1"/>
  <c r="BD71" i="1"/>
  <c r="BF72" i="1" s="1"/>
  <c r="BY70" i="1" l="1"/>
  <c r="BH72" i="1"/>
  <c r="BG72" i="1"/>
  <c r="BD72" i="1"/>
  <c r="BF73" i="1" s="1"/>
  <c r="BI71" i="1"/>
  <c r="BX71" i="1" s="1"/>
  <c r="BJ70" i="1"/>
  <c r="BY71" i="1" l="1"/>
  <c r="BJ71" i="1"/>
  <c r="BH73" i="1"/>
  <c r="BG73" i="1"/>
  <c r="BD73" i="1"/>
  <c r="BF74" i="1" s="1"/>
  <c r="BI72" i="1"/>
  <c r="BX72" i="1" s="1"/>
  <c r="BY72" i="1" s="1"/>
  <c r="BI73" i="1" l="1"/>
  <c r="BX73" i="1" s="1"/>
  <c r="BY73" i="1" s="1"/>
  <c r="BJ72" i="1"/>
  <c r="BG74" i="1"/>
  <c r="BD74" i="1"/>
  <c r="BF75" i="1" s="1"/>
  <c r="BH74" i="1"/>
  <c r="BJ73" i="1" l="1"/>
  <c r="BD75" i="1"/>
  <c r="BF76" i="1" s="1"/>
  <c r="BG75" i="1"/>
  <c r="BH75" i="1"/>
  <c r="BI74" i="1"/>
  <c r="BX74" i="1" s="1"/>
  <c r="BY74" i="1" s="1"/>
  <c r="BJ74" i="1" l="1"/>
  <c r="BI75" i="1"/>
  <c r="BX75" i="1" s="1"/>
  <c r="BY75" i="1" s="1"/>
  <c r="BD76" i="1"/>
  <c r="BF77" i="1" s="1"/>
  <c r="BG76" i="1"/>
  <c r="BH76" i="1"/>
  <c r="BI76" i="1" l="1"/>
  <c r="BX76" i="1" s="1"/>
  <c r="BY76" i="1" s="1"/>
  <c r="BD77" i="1"/>
  <c r="BF78" i="1" s="1"/>
  <c r="BH77" i="1"/>
  <c r="BG77" i="1"/>
  <c r="BJ75" i="1"/>
  <c r="BI77" i="1" l="1"/>
  <c r="BX77" i="1" s="1"/>
  <c r="BY77" i="1" s="1"/>
  <c r="BJ76" i="1"/>
  <c r="BG78" i="1"/>
  <c r="BD78" i="1"/>
  <c r="BF79" i="1" s="1"/>
  <c r="BH78" i="1"/>
  <c r="BJ77" i="1" l="1"/>
  <c r="BD79" i="1"/>
  <c r="BF80" i="1" s="1"/>
  <c r="BG79" i="1"/>
  <c r="BH79" i="1"/>
  <c r="BI78" i="1"/>
  <c r="BX78" i="1" l="1"/>
  <c r="BY78" i="1" s="1"/>
  <c r="BJ78" i="1"/>
  <c r="BI79" i="1"/>
  <c r="BX79" i="1" s="1"/>
  <c r="BD80" i="1"/>
  <c r="BF81" i="1" s="1"/>
  <c r="BH80" i="1"/>
  <c r="BG80" i="1"/>
  <c r="BI80" i="1" l="1"/>
  <c r="BX80" i="1" s="1"/>
  <c r="BH81" i="1"/>
  <c r="BD81" i="1"/>
  <c r="BF82" i="1" s="1"/>
  <c r="BG81" i="1"/>
  <c r="BJ79" i="1"/>
  <c r="BY79" i="1"/>
  <c r="BY80" i="1" l="1"/>
  <c r="BJ80" i="1"/>
  <c r="BI81" i="1"/>
  <c r="BX81" i="1" s="1"/>
  <c r="BD82" i="1"/>
  <c r="BF83" i="1" s="1"/>
  <c r="BH82" i="1"/>
  <c r="BG82" i="1"/>
  <c r="BY81" i="1" l="1"/>
  <c r="BI82" i="1"/>
  <c r="BX82" i="1" s="1"/>
  <c r="BJ81" i="1"/>
  <c r="BH83" i="1"/>
  <c r="BG83" i="1"/>
  <c r="BD83" i="1"/>
  <c r="BF84" i="1" s="1"/>
  <c r="BY82" i="1" l="1"/>
  <c r="BJ82" i="1"/>
  <c r="BI83" i="1"/>
  <c r="BX83" i="1" s="1"/>
  <c r="BG84" i="1"/>
  <c r="BH84" i="1"/>
  <c r="BD84" i="1"/>
  <c r="BF85" i="1" s="1"/>
  <c r="BY83" i="1" l="1"/>
  <c r="BJ83" i="1"/>
  <c r="BG85" i="1"/>
  <c r="BH85" i="1"/>
  <c r="BD85" i="1"/>
  <c r="BF86" i="1" s="1"/>
  <c r="BI84" i="1"/>
  <c r="BI85" i="1" l="1"/>
  <c r="BX85" i="1" s="1"/>
  <c r="BX84" i="1"/>
  <c r="BY84" i="1" s="1"/>
  <c r="BJ84" i="1"/>
  <c r="BH86" i="1"/>
  <c r="BG86" i="1"/>
  <c r="BD86" i="1"/>
  <c r="BF87" i="1" s="1"/>
  <c r="BI86" i="1" l="1"/>
  <c r="BX86" i="1" s="1"/>
  <c r="BJ85" i="1"/>
  <c r="BY85" i="1"/>
  <c r="BH87" i="1"/>
  <c r="BD87" i="1"/>
  <c r="BF88" i="1" s="1"/>
  <c r="BG87" i="1"/>
  <c r="BI87" i="1" s="1"/>
  <c r="BX87" i="1" s="1"/>
  <c r="BJ86" i="1" l="1"/>
  <c r="BJ87" i="1" s="1"/>
  <c r="BY86" i="1"/>
  <c r="BY87" i="1" s="1"/>
  <c r="BG88" i="1"/>
  <c r="BD88" i="1"/>
  <c r="BF89" i="1" s="1"/>
  <c r="BH88" i="1"/>
  <c r="BH89" i="1" l="1"/>
  <c r="BG89" i="1"/>
  <c r="BD89" i="1"/>
  <c r="BF90" i="1" s="1"/>
  <c r="BI88" i="1"/>
  <c r="BI89" i="1" l="1"/>
  <c r="BX89" i="1" s="1"/>
  <c r="BX88" i="1"/>
  <c r="BY88" i="1" s="1"/>
  <c r="BJ88" i="1"/>
  <c r="BH90" i="1"/>
  <c r="BG90" i="1"/>
  <c r="BD90" i="1"/>
  <c r="BF91" i="1" s="1"/>
  <c r="BI90" i="1" l="1"/>
  <c r="BX90" i="1" s="1"/>
  <c r="BJ89" i="1"/>
  <c r="BY89" i="1"/>
  <c r="BH91" i="1"/>
  <c r="BG91" i="1"/>
  <c r="BD91" i="1"/>
  <c r="BF92" i="1" s="1"/>
  <c r="BY90" i="1" l="1"/>
  <c r="BJ90" i="1"/>
  <c r="BI91" i="1"/>
  <c r="BX91" i="1" s="1"/>
  <c r="BH92" i="1"/>
  <c r="BG92" i="1"/>
  <c r="BD92" i="1"/>
  <c r="BF93" i="1" s="1"/>
  <c r="BY91" i="1" l="1"/>
  <c r="BI92" i="1"/>
  <c r="BX92" i="1" s="1"/>
  <c r="BJ91" i="1"/>
  <c r="BH93" i="1"/>
  <c r="BG93" i="1"/>
  <c r="BD93" i="1"/>
  <c r="BF94" i="1" s="1"/>
  <c r="BI93" i="1" l="1"/>
  <c r="BX93" i="1" s="1"/>
  <c r="BY92" i="1"/>
  <c r="BJ92" i="1"/>
  <c r="BD94" i="1"/>
  <c r="BF95" i="1" s="1"/>
  <c r="BG94" i="1"/>
  <c r="BH94" i="1"/>
  <c r="BY93" i="1" l="1"/>
  <c r="BJ93" i="1"/>
  <c r="BI94" i="1"/>
  <c r="BG95" i="1"/>
  <c r="BH95" i="1"/>
  <c r="BD95" i="1"/>
  <c r="BF96" i="1" s="1"/>
  <c r="BD96" i="1" l="1"/>
  <c r="BF97" i="1" s="1"/>
  <c r="BG96" i="1"/>
  <c r="BH96" i="1"/>
  <c r="BI95" i="1"/>
  <c r="BX95" i="1" s="1"/>
  <c r="BX94" i="1"/>
  <c r="BY94" i="1" s="1"/>
  <c r="BJ94" i="1"/>
  <c r="BJ95" i="1" l="1"/>
  <c r="BY95" i="1"/>
  <c r="BI96" i="1"/>
  <c r="BX96" i="1" s="1"/>
  <c r="BG97" i="1"/>
  <c r="BD97" i="1"/>
  <c r="BF98" i="1" s="1"/>
  <c r="BH97" i="1"/>
  <c r="BY96" i="1" l="1"/>
  <c r="BG98" i="1"/>
  <c r="BH98" i="1"/>
  <c r="BD98" i="1"/>
  <c r="BF99" i="1" s="1"/>
  <c r="BI97" i="1"/>
  <c r="BX97" i="1" s="1"/>
  <c r="BJ96" i="1"/>
  <c r="BY97" i="1" l="1"/>
  <c r="BJ97" i="1"/>
  <c r="BH99" i="1"/>
  <c r="BG99" i="1"/>
  <c r="BD99" i="1"/>
  <c r="BF100" i="1" s="1"/>
  <c r="BI98" i="1"/>
  <c r="BX98" i="1" s="1"/>
  <c r="BY98" i="1" l="1"/>
  <c r="BI99" i="1"/>
  <c r="BX99" i="1" s="1"/>
  <c r="BG100" i="1"/>
  <c r="BH100" i="1"/>
  <c r="BD100" i="1"/>
  <c r="BF101" i="1" s="1"/>
  <c r="BJ98" i="1"/>
  <c r="BY99" i="1" l="1"/>
  <c r="BJ99" i="1"/>
  <c r="BH101" i="1"/>
  <c r="BG101" i="1"/>
  <c r="BD101" i="1"/>
  <c r="BF102" i="1" s="1"/>
  <c r="BI100" i="1"/>
  <c r="BX100" i="1" s="1"/>
  <c r="BY100" i="1" s="1"/>
  <c r="BI101" i="1" l="1"/>
  <c r="BX101" i="1" s="1"/>
  <c r="BY101" i="1" s="1"/>
  <c r="BG102" i="1"/>
  <c r="BH102" i="1"/>
  <c r="BD102" i="1"/>
  <c r="BF103" i="1" s="1"/>
  <c r="BJ100" i="1"/>
  <c r="BJ101" i="1" l="1"/>
  <c r="BH103" i="1"/>
  <c r="BD103" i="1"/>
  <c r="BF104" i="1" s="1"/>
  <c r="BG103" i="1"/>
  <c r="BI102" i="1"/>
  <c r="BX102" i="1" s="1"/>
  <c r="BY102" i="1" s="1"/>
  <c r="BI103" i="1" l="1"/>
  <c r="BX103" i="1" s="1"/>
  <c r="BY103" i="1" s="1"/>
  <c r="BG104" i="1"/>
  <c r="BH104" i="1"/>
  <c r="BD104" i="1"/>
  <c r="BF105" i="1" s="1"/>
  <c r="BJ102" i="1"/>
  <c r="BJ103" i="1" l="1"/>
  <c r="BG105" i="1"/>
  <c r="BD105" i="1"/>
  <c r="BF106" i="1" s="1"/>
  <c r="BH105" i="1"/>
  <c r="BI104" i="1"/>
  <c r="BX104" i="1" s="1"/>
  <c r="BY104" i="1" s="1"/>
  <c r="BG106" i="1" l="1"/>
  <c r="BD106" i="1"/>
  <c r="BF107" i="1" s="1"/>
  <c r="BH106" i="1"/>
  <c r="BI105" i="1"/>
  <c r="BX105" i="1" s="1"/>
  <c r="BY105" i="1" s="1"/>
  <c r="BJ104" i="1"/>
  <c r="BJ105" i="1" l="1"/>
  <c r="BG107" i="1"/>
  <c r="BH107" i="1"/>
  <c r="BD107" i="1"/>
  <c r="BF108" i="1" s="1"/>
  <c r="BI106" i="1"/>
  <c r="BX106" i="1" s="1"/>
  <c r="BY106" i="1" s="1"/>
  <c r="BG108" i="1" l="1"/>
  <c r="BD108" i="1"/>
  <c r="BF109" i="1" s="1"/>
  <c r="BH108" i="1"/>
  <c r="BI107" i="1"/>
  <c r="BX107" i="1" s="1"/>
  <c r="BY107" i="1" s="1"/>
  <c r="BJ106" i="1"/>
  <c r="BI108" i="1" l="1"/>
  <c r="BX108" i="1" s="1"/>
  <c r="BY108" i="1" s="1"/>
  <c r="BJ107" i="1"/>
  <c r="BG109" i="1"/>
  <c r="BD109" i="1"/>
  <c r="BF110" i="1" s="1"/>
  <c r="BH109" i="1"/>
  <c r="BI109" i="1" s="1"/>
  <c r="BX109" i="1" s="1"/>
  <c r="BY109" i="1" l="1"/>
  <c r="BJ108" i="1"/>
  <c r="BJ109" i="1" s="1"/>
  <c r="BG110" i="1"/>
  <c r="BH110" i="1"/>
  <c r="BD110" i="1"/>
  <c r="BF111" i="1" s="1"/>
  <c r="BD111" i="1" l="1"/>
  <c r="BF112" i="1" s="1"/>
  <c r="BH111" i="1"/>
  <c r="BG111" i="1"/>
  <c r="BI110" i="1"/>
  <c r="BX110" i="1" s="1"/>
  <c r="BY110" i="1" s="1"/>
  <c r="BI111" i="1" l="1"/>
  <c r="BX111" i="1" s="1"/>
  <c r="BY111" i="1" s="1"/>
  <c r="BH112" i="1"/>
  <c r="BG112" i="1"/>
  <c r="BD112" i="1"/>
  <c r="BF113" i="1" s="1"/>
  <c r="BJ110" i="1"/>
  <c r="BJ111" i="1" l="1"/>
  <c r="BI112" i="1"/>
  <c r="BX112" i="1" s="1"/>
  <c r="BY112" i="1" s="1"/>
  <c r="BD113" i="1"/>
  <c r="BF114" i="1" s="1"/>
  <c r="BH113" i="1"/>
  <c r="BG113" i="1"/>
  <c r="BI113" i="1" l="1"/>
  <c r="BX113" i="1" s="1"/>
  <c r="BY113" i="1" s="1"/>
  <c r="BJ112" i="1"/>
  <c r="BH114" i="1"/>
  <c r="BG114" i="1"/>
  <c r="BD114" i="1"/>
  <c r="BF115" i="1" s="1"/>
  <c r="BJ113" i="1" l="1"/>
  <c r="BI114" i="1"/>
  <c r="BX114" i="1" s="1"/>
  <c r="BY114" i="1" s="1"/>
  <c r="BD115" i="1"/>
  <c r="BF116" i="1" s="1"/>
  <c r="BG115" i="1"/>
  <c r="BH115" i="1"/>
  <c r="BJ114" i="1" l="1"/>
  <c r="BI115" i="1"/>
  <c r="BH116" i="1"/>
  <c r="BD116" i="1"/>
  <c r="BF117" i="1" s="1"/>
  <c r="BG116" i="1"/>
  <c r="BI116" i="1" s="1"/>
  <c r="BX116" i="1" s="1"/>
  <c r="BD117" i="1" l="1"/>
  <c r="BF118" i="1" s="1"/>
  <c r="BH117" i="1"/>
  <c r="BG117" i="1"/>
  <c r="BX115" i="1"/>
  <c r="BY115" i="1" s="1"/>
  <c r="BY116" i="1" s="1"/>
  <c r="BJ115" i="1"/>
  <c r="BJ116" i="1" s="1"/>
  <c r="BI117" i="1" l="1"/>
  <c r="BX117" i="1" s="1"/>
  <c r="BY117" i="1" s="1"/>
  <c r="BG118" i="1"/>
  <c r="BD118" i="1"/>
  <c r="BF119" i="1" s="1"/>
  <c r="BH118" i="1"/>
  <c r="BJ117" i="1" l="1"/>
  <c r="BD119" i="1"/>
  <c r="BF120" i="1" s="1"/>
  <c r="BG119" i="1"/>
  <c r="BH119" i="1"/>
  <c r="BI118" i="1"/>
  <c r="BI119" i="1" l="1"/>
  <c r="BX119" i="1" s="1"/>
  <c r="BX118" i="1"/>
  <c r="BY118" i="1" s="1"/>
  <c r="BJ118" i="1"/>
  <c r="BH120" i="1"/>
  <c r="BD120" i="1"/>
  <c r="BF121" i="1" s="1"/>
  <c r="BG120" i="1"/>
  <c r="BJ119" i="1" l="1"/>
  <c r="BY119" i="1"/>
  <c r="BI120" i="1"/>
  <c r="BX120" i="1" s="1"/>
  <c r="BY120" i="1" s="1"/>
  <c r="BG121" i="1"/>
  <c r="BH121" i="1"/>
  <c r="BD121" i="1"/>
  <c r="BF122" i="1" s="1"/>
  <c r="BJ120" i="1" l="1"/>
  <c r="BH122" i="1"/>
  <c r="BG122" i="1"/>
  <c r="BD122" i="1"/>
  <c r="BF123" i="1" s="1"/>
  <c r="BI121" i="1"/>
  <c r="BX121" i="1" s="1"/>
  <c r="BY121" i="1" s="1"/>
  <c r="BI122" i="1" l="1"/>
  <c r="BX122" i="1" s="1"/>
  <c r="BY122" i="1" s="1"/>
  <c r="BG123" i="1"/>
  <c r="BD123" i="1"/>
  <c r="BF124" i="1" s="1"/>
  <c r="BH123" i="1"/>
  <c r="BJ121" i="1"/>
  <c r="BJ122" i="1" l="1"/>
  <c r="BI123" i="1"/>
  <c r="BX123" i="1" s="1"/>
  <c r="BY123" i="1" s="1"/>
  <c r="BH124" i="1"/>
  <c r="BG124" i="1"/>
  <c r="BD124" i="1"/>
  <c r="BF125" i="1" s="1"/>
  <c r="BJ123" i="1" l="1"/>
  <c r="BI124" i="1"/>
  <c r="BX124" i="1" s="1"/>
  <c r="BY124" i="1" s="1"/>
  <c r="BD125" i="1"/>
  <c r="BF126" i="1" s="1"/>
  <c r="BH125" i="1"/>
  <c r="BG125" i="1"/>
  <c r="BJ124" i="1" l="1"/>
  <c r="BI125" i="1"/>
  <c r="BX125" i="1" s="1"/>
  <c r="BY125" i="1" s="1"/>
  <c r="BG126" i="1"/>
  <c r="BH126" i="1"/>
  <c r="BD126" i="1"/>
  <c r="BF127" i="1" s="1"/>
  <c r="BJ125" i="1" l="1"/>
  <c r="BH127" i="1"/>
  <c r="BG127" i="1"/>
  <c r="BD127" i="1"/>
  <c r="BF128" i="1" s="1"/>
  <c r="BI126" i="1"/>
  <c r="BI127" i="1" l="1"/>
  <c r="BX127" i="1" s="1"/>
  <c r="BX126" i="1"/>
  <c r="BY126" i="1" s="1"/>
  <c r="BJ126" i="1"/>
  <c r="BG128" i="1"/>
  <c r="BH128" i="1"/>
  <c r="BD128" i="1"/>
  <c r="BF129" i="1" s="1"/>
  <c r="BJ127" i="1" l="1"/>
  <c r="BY127" i="1"/>
  <c r="BH129" i="1"/>
  <c r="BD129" i="1"/>
  <c r="BF130" i="1" s="1"/>
  <c r="BG129" i="1"/>
  <c r="BI128" i="1"/>
  <c r="BX128" i="1" s="1"/>
  <c r="BY128" i="1" s="1"/>
  <c r="BJ128" i="1" l="1"/>
  <c r="BI129" i="1"/>
  <c r="BX129" i="1" s="1"/>
  <c r="BY129" i="1" s="1"/>
  <c r="BG130" i="1"/>
  <c r="BD130" i="1"/>
  <c r="BF131" i="1" s="1"/>
  <c r="BH130" i="1"/>
  <c r="BJ129" i="1" l="1"/>
  <c r="BG131" i="1"/>
  <c r="BH131" i="1"/>
  <c r="BD131" i="1"/>
  <c r="BF132" i="1" s="1"/>
  <c r="BI130" i="1"/>
  <c r="BI131" i="1" l="1"/>
  <c r="BX131" i="1" s="1"/>
  <c r="BX130" i="1"/>
  <c r="BY130" i="1" s="1"/>
  <c r="BJ130" i="1"/>
  <c r="BG132" i="1"/>
  <c r="BH132" i="1"/>
  <c r="BD132" i="1"/>
  <c r="BF133" i="1" s="1"/>
  <c r="BJ131" i="1" l="1"/>
  <c r="BY131" i="1"/>
  <c r="BG133" i="1"/>
  <c r="BD133" i="1"/>
  <c r="BF134" i="1" s="1"/>
  <c r="BH133" i="1"/>
  <c r="BI132" i="1"/>
  <c r="BX132" i="1" s="1"/>
  <c r="BJ132" i="1" l="1"/>
  <c r="BY132" i="1"/>
  <c r="BH134" i="1"/>
  <c r="BG134" i="1"/>
  <c r="BD134" i="1"/>
  <c r="BF135" i="1" s="1"/>
  <c r="BI133" i="1"/>
  <c r="BX133" i="1" s="1"/>
  <c r="BY133" i="1" l="1"/>
  <c r="BI134" i="1"/>
  <c r="BX134" i="1" s="1"/>
  <c r="BG135" i="1"/>
  <c r="BH135" i="1"/>
  <c r="BD135" i="1"/>
  <c r="BF136" i="1" s="1"/>
  <c r="BJ133" i="1"/>
  <c r="BY134" i="1" l="1"/>
  <c r="BJ134" i="1"/>
  <c r="BH136" i="1"/>
  <c r="BD136" i="1"/>
  <c r="BF137" i="1" s="1"/>
  <c r="BG136" i="1"/>
  <c r="BI136" i="1" s="1"/>
  <c r="BX136" i="1" s="1"/>
  <c r="BI135" i="1"/>
  <c r="BX135" i="1" s="1"/>
  <c r="BY135" i="1" l="1"/>
  <c r="BY136" i="1" s="1"/>
  <c r="BH137" i="1"/>
  <c r="BG137" i="1"/>
  <c r="BD137" i="1"/>
  <c r="BF138" i="1" s="1"/>
  <c r="BJ135" i="1"/>
  <c r="BJ136" i="1" s="1"/>
  <c r="BI137" i="1" l="1"/>
  <c r="BX137" i="1" s="1"/>
  <c r="BY137" i="1" s="1"/>
  <c r="BG138" i="1"/>
  <c r="BD138" i="1"/>
  <c r="BF139" i="1" s="1"/>
  <c r="BH138" i="1"/>
  <c r="BJ137" i="1" l="1"/>
  <c r="BH139" i="1"/>
  <c r="BG139" i="1"/>
  <c r="BD139" i="1"/>
  <c r="BF140" i="1" s="1"/>
  <c r="BI138" i="1"/>
  <c r="BI139" i="1" l="1"/>
  <c r="BX139" i="1" s="1"/>
  <c r="BX138" i="1"/>
  <c r="BY138" i="1" s="1"/>
  <c r="BJ138" i="1"/>
  <c r="BH140" i="1"/>
  <c r="BG140" i="1"/>
  <c r="BI140" i="1" s="1"/>
  <c r="BX140" i="1" s="1"/>
  <c r="BD140" i="1"/>
  <c r="BF141" i="1" s="1"/>
  <c r="BJ139" i="1" l="1"/>
  <c r="BJ140" i="1" s="1"/>
  <c r="BY139" i="1"/>
  <c r="BH141" i="1"/>
  <c r="BD141" i="1"/>
  <c r="BF142" i="1" s="1"/>
  <c r="BG141" i="1"/>
  <c r="BI141" i="1" s="1"/>
  <c r="BX141" i="1" s="1"/>
  <c r="BY140" i="1"/>
  <c r="BY141" i="1" l="1"/>
  <c r="BJ141" i="1"/>
  <c r="BG142" i="1"/>
  <c r="BD142" i="1"/>
  <c r="BF143" i="1" s="1"/>
  <c r="BH142" i="1"/>
  <c r="BG143" i="1" l="1"/>
  <c r="BD143" i="1"/>
  <c r="BF144" i="1" s="1"/>
  <c r="BH143" i="1"/>
  <c r="BI142" i="1"/>
  <c r="BX142" i="1" l="1"/>
  <c r="BY142" i="1" s="1"/>
  <c r="BJ142" i="1"/>
  <c r="BD144" i="1"/>
  <c r="BF145" i="1" s="1"/>
  <c r="BH144" i="1"/>
  <c r="BG144" i="1"/>
  <c r="BI143" i="1"/>
  <c r="BX143" i="1" s="1"/>
  <c r="BI144" i="1" l="1"/>
  <c r="BX144" i="1" s="1"/>
  <c r="BG145" i="1"/>
  <c r="BH145" i="1"/>
  <c r="BD145" i="1"/>
  <c r="BF146" i="1" s="1"/>
  <c r="BJ143" i="1"/>
  <c r="BJ144" i="1" s="1"/>
  <c r="BY143" i="1"/>
  <c r="BY144" i="1" l="1"/>
  <c r="BD146" i="1"/>
  <c r="BF147" i="1" s="1"/>
  <c r="BH146" i="1"/>
  <c r="BG146" i="1"/>
  <c r="BI145" i="1"/>
  <c r="BX145" i="1" s="1"/>
  <c r="BY145" i="1" l="1"/>
  <c r="BI146" i="1"/>
  <c r="BX146" i="1" s="1"/>
  <c r="BG147" i="1"/>
  <c r="BD147" i="1"/>
  <c r="BF148" i="1" s="1"/>
  <c r="BH147" i="1"/>
  <c r="BJ145" i="1"/>
  <c r="BY146" i="1" l="1"/>
  <c r="BJ146" i="1"/>
  <c r="BG148" i="1"/>
  <c r="BD148" i="1"/>
  <c r="BF149" i="1" s="1"/>
  <c r="BH148" i="1"/>
  <c r="BI147" i="1"/>
  <c r="BX147" i="1" s="1"/>
  <c r="BY147" i="1" s="1"/>
  <c r="BD149" i="1" l="1"/>
  <c r="BF150" i="1" s="1"/>
  <c r="BG149" i="1"/>
  <c r="BH149" i="1"/>
  <c r="BI148" i="1"/>
  <c r="BX148" i="1" s="1"/>
  <c r="BY148" i="1" s="1"/>
  <c r="BJ147" i="1"/>
  <c r="BJ148" i="1" l="1"/>
  <c r="BI149" i="1"/>
  <c r="BX149" i="1" s="1"/>
  <c r="BY149" i="1" s="1"/>
  <c r="BH150" i="1"/>
  <c r="BD150" i="1"/>
  <c r="BF151" i="1" s="1"/>
  <c r="BG150" i="1"/>
  <c r="BI150" i="1" s="1"/>
  <c r="BX150" i="1" s="1"/>
  <c r="BY150" i="1" l="1"/>
  <c r="BG151" i="1"/>
  <c r="BD151" i="1"/>
  <c r="BF152" i="1" s="1"/>
  <c r="BH151" i="1"/>
  <c r="BJ149" i="1"/>
  <c r="BJ150" i="1" s="1"/>
  <c r="BG152" i="1" l="1"/>
  <c r="BH152" i="1"/>
  <c r="BD152" i="1"/>
  <c r="BF153" i="1" s="1"/>
  <c r="BI151" i="1"/>
  <c r="BX151" i="1" s="1"/>
  <c r="BY151" i="1" s="1"/>
  <c r="BH153" i="1" l="1"/>
  <c r="BG153" i="1"/>
  <c r="BD153" i="1"/>
  <c r="BF154" i="1" s="1"/>
  <c r="BI152" i="1"/>
  <c r="BX152" i="1" s="1"/>
  <c r="BY152" i="1" s="1"/>
  <c r="BJ151" i="1"/>
  <c r="BJ152" i="1" l="1"/>
  <c r="BI153" i="1"/>
  <c r="BX153" i="1" s="1"/>
  <c r="BY153" i="1" s="1"/>
  <c r="BD154" i="1"/>
  <c r="BF155" i="1" s="1"/>
  <c r="BG154" i="1"/>
  <c r="BH154" i="1"/>
  <c r="BJ153" i="1" l="1"/>
  <c r="BI154" i="1"/>
  <c r="BX154" i="1" s="1"/>
  <c r="BY154" i="1" s="1"/>
  <c r="BD155" i="1"/>
  <c r="BF156" i="1" s="1"/>
  <c r="BG155" i="1"/>
  <c r="BH155" i="1"/>
  <c r="BJ154" i="1" l="1"/>
  <c r="BI155" i="1"/>
  <c r="BX155" i="1" s="1"/>
  <c r="BY155" i="1" s="1"/>
  <c r="BH156" i="1"/>
  <c r="BG156" i="1"/>
  <c r="BD156" i="1"/>
  <c r="BF157" i="1" s="1"/>
  <c r="BJ155" i="1" l="1"/>
  <c r="BG157" i="1"/>
  <c r="BH157" i="1"/>
  <c r="BD157" i="1"/>
  <c r="BF158" i="1" s="1"/>
  <c r="BI156" i="1"/>
  <c r="BI157" i="1" l="1"/>
  <c r="BX157" i="1" s="1"/>
  <c r="BH158" i="1"/>
  <c r="BD158" i="1"/>
  <c r="BF159" i="1" s="1"/>
  <c r="BG158" i="1"/>
  <c r="BX156" i="1"/>
  <c r="BY156" i="1" s="1"/>
  <c r="BJ156" i="1"/>
  <c r="BJ157" i="1" l="1"/>
  <c r="BY157" i="1"/>
  <c r="BI158" i="1"/>
  <c r="BX158" i="1" s="1"/>
  <c r="BH159" i="1"/>
  <c r="BD159" i="1"/>
  <c r="BF160" i="1" s="1"/>
  <c r="BG159" i="1"/>
  <c r="BI159" i="1" s="1"/>
  <c r="BX159" i="1" s="1"/>
  <c r="BY158" i="1" l="1"/>
  <c r="BY159" i="1" s="1"/>
  <c r="BJ158" i="1"/>
  <c r="BJ159" i="1" s="1"/>
  <c r="BD160" i="1"/>
  <c r="BF161" i="1" s="1"/>
  <c r="BG160" i="1"/>
  <c r="BH160" i="1"/>
  <c r="BI160" i="1" l="1"/>
  <c r="BX160" i="1" s="1"/>
  <c r="BY160" i="1" s="1"/>
  <c r="BG161" i="1"/>
  <c r="BH161" i="1"/>
  <c r="BD161" i="1"/>
  <c r="BF162" i="1" s="1"/>
  <c r="BJ160" i="1" l="1"/>
  <c r="BH162" i="1"/>
  <c r="BG162" i="1"/>
  <c r="BD162" i="1"/>
  <c r="BF163" i="1" s="1"/>
  <c r="BI161" i="1"/>
  <c r="BX161" i="1" s="1"/>
  <c r="BY161" i="1" s="1"/>
  <c r="BI162" i="1" l="1"/>
  <c r="BX162" i="1" s="1"/>
  <c r="BY162" i="1" s="1"/>
  <c r="BJ161" i="1"/>
  <c r="BH163" i="1"/>
  <c r="BG163" i="1"/>
  <c r="BD163" i="1"/>
  <c r="BF164" i="1" s="1"/>
  <c r="BJ162" i="1" l="1"/>
  <c r="BG164" i="1"/>
  <c r="BH164" i="1"/>
  <c r="BD164" i="1"/>
  <c r="BF165" i="1" s="1"/>
  <c r="BI163" i="1"/>
  <c r="BX163" i="1" s="1"/>
  <c r="BY163" i="1" s="1"/>
  <c r="BI164" i="1" l="1"/>
  <c r="BX164" i="1" s="1"/>
  <c r="BY164" i="1" s="1"/>
  <c r="BJ163" i="1"/>
  <c r="BJ164" i="1" s="1"/>
  <c r="BH165" i="1"/>
  <c r="BD165" i="1"/>
  <c r="BF166" i="1" s="1"/>
  <c r="BG165" i="1"/>
  <c r="BI165" i="1" l="1"/>
  <c r="BX165" i="1" s="1"/>
  <c r="BY165" i="1" s="1"/>
  <c r="BG166" i="1"/>
  <c r="BD166" i="1"/>
  <c r="BF167" i="1" s="1"/>
  <c r="BH166" i="1"/>
  <c r="BJ165" i="1" l="1"/>
  <c r="BI166" i="1"/>
  <c r="BX166" i="1" s="1"/>
  <c r="BY166" i="1" s="1"/>
  <c r="BH167" i="1"/>
  <c r="BD167" i="1"/>
  <c r="BG167" i="1"/>
  <c r="BI167" i="1" l="1"/>
  <c r="BX167" i="1" s="1"/>
  <c r="BJ166" i="1"/>
  <c r="BJ9" i="1"/>
  <c r="BJ10" i="1"/>
  <c r="BJ167" i="1" l="1"/>
  <c r="BJ1" i="1" s="1"/>
  <c r="BJ11" i="1"/>
  <c r="CL3" i="1" s="1"/>
  <c r="BY167" i="1"/>
  <c r="BY1" i="1" s="1"/>
  <c r="BY9" i="1"/>
  <c r="BY10" i="1"/>
  <c r="BY11" i="1" l="1"/>
</calcChain>
</file>

<file path=xl/sharedStrings.xml><?xml version="1.0" encoding="utf-8"?>
<sst xmlns="http://schemas.openxmlformats.org/spreadsheetml/2006/main" count="65" uniqueCount="50">
  <si>
    <t>date</t>
  </si>
  <si>
    <t>PFFD</t>
  </si>
  <si>
    <t>PFF</t>
  </si>
  <si>
    <t>PFFD log rtn</t>
  </si>
  <si>
    <t>PFF log rtn</t>
  </si>
  <si>
    <t>PFFD div</t>
  </si>
  <si>
    <t>PFFD div cumsum</t>
  </si>
  <si>
    <t>PFF div</t>
  </si>
  <si>
    <t>PFF div cumsum</t>
  </si>
  <si>
    <t>PFFD div adjustment</t>
  </si>
  <si>
    <t>PFF div adjustment</t>
  </si>
  <si>
    <t>PFFD*</t>
  </si>
  <si>
    <t>PFF*</t>
  </si>
  <si>
    <t>PFF/PFFD</t>
  </si>
  <si>
    <t>PFF/PFFD avg</t>
  </si>
  <si>
    <t>PFF/PFFD 10 dma</t>
  </si>
  <si>
    <t>PFF/PFFD 20 dma</t>
  </si>
  <si>
    <t>PFFD x avg</t>
  </si>
  <si>
    <t>PFFD x 10 dma</t>
  </si>
  <si>
    <t>PFFD x 20 dma</t>
  </si>
  <si>
    <t>log diff PFFD x avg / PFF</t>
  </si>
  <si>
    <t>log diff PFFD x 10 dma / PFF</t>
  </si>
  <si>
    <t>log diff PFFD x 20 dma / PFF</t>
  </si>
  <si>
    <t>PFF*/PFFD*</t>
  </si>
  <si>
    <t>PFF*/PFFD* avg</t>
  </si>
  <si>
    <t>PFF*/PFFD* 10 dma</t>
  </si>
  <si>
    <t>PFF*/PFFD* 20 dma</t>
  </si>
  <si>
    <t>PFFD* x avg</t>
  </si>
  <si>
    <t>PFFD* x 10 dma</t>
  </si>
  <si>
    <t>PFFD* x 20 dma</t>
  </si>
  <si>
    <t>log diff PFFD* x avg / PFF*</t>
  </si>
  <si>
    <t>log diff PFFD* x 10 dma / PFF*</t>
  </si>
  <si>
    <t>log diff PFFD* x 20 dma / PFF*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</si>
  <si>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</si>
  <si>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</si>
  <si>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</si>
  <si>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</si>
  <si>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</si>
  <si>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</si>
  <si>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</si>
  <si>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</si>
  <si>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</si>
  <si>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ba20</t>
  </si>
  <si>
    <t>ba21</t>
  </si>
  <si>
    <t>bm20</t>
  </si>
  <si>
    <t>bm21</t>
  </si>
  <si>
    <t>enter</t>
  </si>
  <si>
    <t>exit</t>
  </si>
  <si>
    <t>row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</si>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</sst>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10" fontId="16" fillId="0" borderId="0" xfId="3" applyNumberFormat="1" applyFont="1"/>
    <xf numFmtId="0" fontId="0" fillId="0" borderId="0" xfId="0" applyAlignment="1">
      <alignment horizontal="right"/>
    </xf>
    <xf numFmtId="10" fontId="0" fillId="0" borderId="10" xfId="3" applyNumberFormat="1" applyFont="1" applyBorder="1"/>
    <xf numFmtId="10" fontId="0" fillId="0" borderId="0" xfId="3" applyNumberFormat="1" applyFont="1" applyBorder="1"/>
    <xf numFmtId="43" fontId="16" fillId="0" borderId="0" xfId="1" applyFont="1"/>
    <xf numFmtId="43" fontId="0" fillId="0" borderId="0" xfId="1" applyFont="1"/>
    <xf numFmtId="43" fontId="0" fillId="0" borderId="10" xfId="1" applyFont="1" applyBorder="1"/>
    <xf numFmtId="43" fontId="0" fillId="0" borderId="0" xfId="1" applyFont="1" applyBorder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PFF_PFFD_2!$O$1</c:f>
              <c:strCache>
                <c:ptCount val="1"/>
                <c:pt idx="0">
                  <c:v> PFF/PFFD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PFF_PFFD_2!$O$2:$O$167</c:f>
              <c:numCache>
                <c:formatCode>_(* #,##0.0000_);_(* \(#,##0.0000\);_(* "-"??_);_(@_)</c:formatCode>
                <c:ptCount val="166"/>
                <c:pt idx="0">
                  <c:v>1.64495540501874</c:v>
                </c:pt>
                <c:pt idx="1">
                  <c:v>1.64495540501874</c:v>
                </c:pt>
                <c:pt idx="2">
                  <c:v>1.64495540501874</c:v>
                </c:pt>
                <c:pt idx="3">
                  <c:v>1.64495540501874</c:v>
                </c:pt>
                <c:pt idx="4">
                  <c:v>1.64495540501874</c:v>
                </c:pt>
                <c:pt idx="5">
                  <c:v>1.64495540501874</c:v>
                </c:pt>
                <c:pt idx="6">
                  <c:v>1.64495540501874</c:v>
                </c:pt>
                <c:pt idx="7">
                  <c:v>1.64495540501874</c:v>
                </c:pt>
                <c:pt idx="8">
                  <c:v>1.64495540501874</c:v>
                </c:pt>
                <c:pt idx="9">
                  <c:v>1.64495540501874</c:v>
                </c:pt>
                <c:pt idx="10">
                  <c:v>1.64495540501874</c:v>
                </c:pt>
                <c:pt idx="11">
                  <c:v>1.64495540501874</c:v>
                </c:pt>
                <c:pt idx="12">
                  <c:v>1.64495540501874</c:v>
                </c:pt>
                <c:pt idx="13">
                  <c:v>1.64495540501874</c:v>
                </c:pt>
                <c:pt idx="14">
                  <c:v>1.64495540501874</c:v>
                </c:pt>
                <c:pt idx="15">
                  <c:v>1.64495540501874</c:v>
                </c:pt>
                <c:pt idx="16">
                  <c:v>1.64495540501874</c:v>
                </c:pt>
                <c:pt idx="17">
                  <c:v>1.64495540501874</c:v>
                </c:pt>
                <c:pt idx="18">
                  <c:v>1.64495540501874</c:v>
                </c:pt>
                <c:pt idx="19">
                  <c:v>1.64495540501874</c:v>
                </c:pt>
                <c:pt idx="20">
                  <c:v>1.64495540501874</c:v>
                </c:pt>
                <c:pt idx="21">
                  <c:v>1.64495540501874</c:v>
                </c:pt>
                <c:pt idx="22">
                  <c:v>1.64495540501874</c:v>
                </c:pt>
                <c:pt idx="23">
                  <c:v>1.64495540501874</c:v>
                </c:pt>
                <c:pt idx="24">
                  <c:v>1.64495540501874</c:v>
                </c:pt>
                <c:pt idx="25">
                  <c:v>1.64495540501874</c:v>
                </c:pt>
                <c:pt idx="26">
                  <c:v>1.64495540501874</c:v>
                </c:pt>
                <c:pt idx="27">
                  <c:v>1.64495540501874</c:v>
                </c:pt>
                <c:pt idx="28">
                  <c:v>1.64495540501874</c:v>
                </c:pt>
                <c:pt idx="29">
                  <c:v>1.64495540501874</c:v>
                </c:pt>
                <c:pt idx="30">
                  <c:v>1.64495540501874</c:v>
                </c:pt>
                <c:pt idx="31">
                  <c:v>1.64495540501874</c:v>
                </c:pt>
                <c:pt idx="32">
                  <c:v>1.64495540501874</c:v>
                </c:pt>
                <c:pt idx="33">
                  <c:v>1.64495540501874</c:v>
                </c:pt>
                <c:pt idx="34">
                  <c:v>1.64495540501874</c:v>
                </c:pt>
                <c:pt idx="35">
                  <c:v>1.64495540501874</c:v>
                </c:pt>
                <c:pt idx="36">
                  <c:v>1.64495540501874</c:v>
                </c:pt>
                <c:pt idx="37">
                  <c:v>1.64495540501874</c:v>
                </c:pt>
                <c:pt idx="38">
                  <c:v>1.64495540501874</c:v>
                </c:pt>
                <c:pt idx="39">
                  <c:v>1.64495540501874</c:v>
                </c:pt>
                <c:pt idx="40">
                  <c:v>1.64495540501874</c:v>
                </c:pt>
                <c:pt idx="41">
                  <c:v>1.64495540501874</c:v>
                </c:pt>
                <c:pt idx="42">
                  <c:v>1.64495540501874</c:v>
                </c:pt>
                <c:pt idx="43">
                  <c:v>1.64495540501874</c:v>
                </c:pt>
                <c:pt idx="44">
                  <c:v>1.64495540501874</c:v>
                </c:pt>
                <c:pt idx="45">
                  <c:v>1.64495540501874</c:v>
                </c:pt>
                <c:pt idx="46">
                  <c:v>1.64495540501874</c:v>
                </c:pt>
                <c:pt idx="47">
                  <c:v>1.64495540501874</c:v>
                </c:pt>
                <c:pt idx="48">
                  <c:v>1.64495540501874</c:v>
                </c:pt>
                <c:pt idx="49">
                  <c:v>1.64495540501874</c:v>
                </c:pt>
                <c:pt idx="50">
                  <c:v>1.64495540501874</c:v>
                </c:pt>
                <c:pt idx="51">
                  <c:v>1.64495540501874</c:v>
                </c:pt>
                <c:pt idx="52">
                  <c:v>1.64495540501874</c:v>
                </c:pt>
                <c:pt idx="53">
                  <c:v>1.64495540501874</c:v>
                </c:pt>
                <c:pt idx="54">
                  <c:v>1.64495540501874</c:v>
                </c:pt>
                <c:pt idx="55">
                  <c:v>1.64495540501874</c:v>
                </c:pt>
                <c:pt idx="56">
                  <c:v>1.64495540501874</c:v>
                </c:pt>
                <c:pt idx="57">
                  <c:v>1.64495540501874</c:v>
                </c:pt>
                <c:pt idx="58">
                  <c:v>1.64495540501874</c:v>
                </c:pt>
                <c:pt idx="59">
                  <c:v>1.64495540501874</c:v>
                </c:pt>
                <c:pt idx="60">
                  <c:v>1.64495540501874</c:v>
                </c:pt>
                <c:pt idx="61">
                  <c:v>1.64495540501874</c:v>
                </c:pt>
                <c:pt idx="62">
                  <c:v>1.64495540501874</c:v>
                </c:pt>
                <c:pt idx="63">
                  <c:v>1.64495540501874</c:v>
                </c:pt>
                <c:pt idx="64">
                  <c:v>1.64495540501874</c:v>
                </c:pt>
                <c:pt idx="65">
                  <c:v>1.64495540501874</c:v>
                </c:pt>
                <c:pt idx="66">
                  <c:v>1.64495540501874</c:v>
                </c:pt>
                <c:pt idx="67">
                  <c:v>1.64495540501874</c:v>
                </c:pt>
                <c:pt idx="68">
                  <c:v>1.64495540501874</c:v>
                </c:pt>
                <c:pt idx="69">
                  <c:v>1.64495540501874</c:v>
                </c:pt>
                <c:pt idx="70">
                  <c:v>1.64495540501874</c:v>
                </c:pt>
                <c:pt idx="71">
                  <c:v>1.64495540501874</c:v>
                </c:pt>
                <c:pt idx="72">
                  <c:v>1.64495540501874</c:v>
                </c:pt>
                <c:pt idx="73">
                  <c:v>1.64495540501874</c:v>
                </c:pt>
                <c:pt idx="74">
                  <c:v>1.64495540501874</c:v>
                </c:pt>
                <c:pt idx="75">
                  <c:v>1.64495540501874</c:v>
                </c:pt>
                <c:pt idx="76">
                  <c:v>1.64495540501874</c:v>
                </c:pt>
                <c:pt idx="77">
                  <c:v>1.64495540501874</c:v>
                </c:pt>
                <c:pt idx="78">
                  <c:v>1.64495540501874</c:v>
                </c:pt>
                <c:pt idx="79">
                  <c:v>1.64495540501874</c:v>
                </c:pt>
                <c:pt idx="80">
                  <c:v>1.64495540501874</c:v>
                </c:pt>
                <c:pt idx="81">
                  <c:v>1.64495540501874</c:v>
                </c:pt>
                <c:pt idx="82">
                  <c:v>1.64495540501874</c:v>
                </c:pt>
                <c:pt idx="83">
                  <c:v>1.64495540501874</c:v>
                </c:pt>
                <c:pt idx="84">
                  <c:v>1.64495540501874</c:v>
                </c:pt>
                <c:pt idx="85">
                  <c:v>1.64495540501874</c:v>
                </c:pt>
                <c:pt idx="86">
                  <c:v>1.64495540501874</c:v>
                </c:pt>
                <c:pt idx="87">
                  <c:v>1.64495540501874</c:v>
                </c:pt>
                <c:pt idx="88">
                  <c:v>1.64495540501874</c:v>
                </c:pt>
                <c:pt idx="89">
                  <c:v>1.64495540501874</c:v>
                </c:pt>
                <c:pt idx="90">
                  <c:v>1.64495540501874</c:v>
                </c:pt>
                <c:pt idx="91">
                  <c:v>1.64495540501874</c:v>
                </c:pt>
                <c:pt idx="92">
                  <c:v>1.64495540501874</c:v>
                </c:pt>
                <c:pt idx="93">
                  <c:v>1.64495540501874</c:v>
                </c:pt>
                <c:pt idx="94">
                  <c:v>1.64495540501874</c:v>
                </c:pt>
                <c:pt idx="95">
                  <c:v>1.64495540501874</c:v>
                </c:pt>
                <c:pt idx="96">
                  <c:v>1.64495540501874</c:v>
                </c:pt>
                <c:pt idx="97">
                  <c:v>1.64495540501874</c:v>
                </c:pt>
                <c:pt idx="98">
                  <c:v>1.64495540501874</c:v>
                </c:pt>
                <c:pt idx="99">
                  <c:v>1.64495540501874</c:v>
                </c:pt>
                <c:pt idx="100">
                  <c:v>1.64495540501874</c:v>
                </c:pt>
                <c:pt idx="101">
                  <c:v>1.64495540501874</c:v>
                </c:pt>
                <c:pt idx="102">
                  <c:v>1.64495540501874</c:v>
                </c:pt>
                <c:pt idx="103">
                  <c:v>1.64495540501874</c:v>
                </c:pt>
                <c:pt idx="104">
                  <c:v>1.64495540501874</c:v>
                </c:pt>
                <c:pt idx="105">
                  <c:v>1.64495540501874</c:v>
                </c:pt>
                <c:pt idx="106">
                  <c:v>1.64495540501874</c:v>
                </c:pt>
                <c:pt idx="107">
                  <c:v>1.64495540501874</c:v>
                </c:pt>
                <c:pt idx="108">
                  <c:v>1.64495540501874</c:v>
                </c:pt>
                <c:pt idx="109">
                  <c:v>1.64495540501874</c:v>
                </c:pt>
                <c:pt idx="110">
                  <c:v>1.64495540501874</c:v>
                </c:pt>
                <c:pt idx="111">
                  <c:v>1.64495540501874</c:v>
                </c:pt>
                <c:pt idx="112">
                  <c:v>1.64495540501874</c:v>
                </c:pt>
                <c:pt idx="113">
                  <c:v>1.64495540501874</c:v>
                </c:pt>
                <c:pt idx="114">
                  <c:v>1.64495540501874</c:v>
                </c:pt>
                <c:pt idx="115">
                  <c:v>1.64495540501874</c:v>
                </c:pt>
                <c:pt idx="116">
                  <c:v>1.64495540501874</c:v>
                </c:pt>
                <c:pt idx="117">
                  <c:v>1.64495540501874</c:v>
                </c:pt>
                <c:pt idx="118">
                  <c:v>1.64495540501874</c:v>
                </c:pt>
                <c:pt idx="119">
                  <c:v>1.64495540501874</c:v>
                </c:pt>
                <c:pt idx="120">
                  <c:v>1.64495540501874</c:v>
                </c:pt>
                <c:pt idx="121">
                  <c:v>1.64495540501874</c:v>
                </c:pt>
                <c:pt idx="122">
                  <c:v>1.64495540501874</c:v>
                </c:pt>
                <c:pt idx="123">
                  <c:v>1.64495540501874</c:v>
                </c:pt>
                <c:pt idx="124">
                  <c:v>1.64495540501874</c:v>
                </c:pt>
                <c:pt idx="125">
                  <c:v>1.64495540501874</c:v>
                </c:pt>
                <c:pt idx="126">
                  <c:v>1.64495540501874</c:v>
                </c:pt>
                <c:pt idx="127">
                  <c:v>1.64495540501874</c:v>
                </c:pt>
                <c:pt idx="128">
                  <c:v>1.64495540501874</c:v>
                </c:pt>
                <c:pt idx="129">
                  <c:v>1.64495540501874</c:v>
                </c:pt>
                <c:pt idx="130">
                  <c:v>1.64495540501874</c:v>
                </c:pt>
                <c:pt idx="131">
                  <c:v>1.64495540501874</c:v>
                </c:pt>
                <c:pt idx="132">
                  <c:v>1.64495540501874</c:v>
                </c:pt>
                <c:pt idx="133">
                  <c:v>1.64495540501874</c:v>
                </c:pt>
                <c:pt idx="134">
                  <c:v>1.64495540501874</c:v>
                </c:pt>
                <c:pt idx="135">
                  <c:v>1.64495540501874</c:v>
                </c:pt>
                <c:pt idx="136">
                  <c:v>1.64495540501874</c:v>
                </c:pt>
                <c:pt idx="137">
                  <c:v>1.64495540501874</c:v>
                </c:pt>
                <c:pt idx="138">
                  <c:v>1.64495540501874</c:v>
                </c:pt>
                <c:pt idx="139">
                  <c:v>1.64495540501874</c:v>
                </c:pt>
                <c:pt idx="140">
                  <c:v>1.64495540501874</c:v>
                </c:pt>
                <c:pt idx="141">
                  <c:v>1.64495540501874</c:v>
                </c:pt>
                <c:pt idx="142">
                  <c:v>1.64495540501874</c:v>
                </c:pt>
                <c:pt idx="143">
                  <c:v>1.64495540501874</c:v>
                </c:pt>
                <c:pt idx="144">
                  <c:v>1.64495540501874</c:v>
                </c:pt>
                <c:pt idx="145">
                  <c:v>1.64495540501874</c:v>
                </c:pt>
                <c:pt idx="146">
                  <c:v>1.64495540501874</c:v>
                </c:pt>
                <c:pt idx="147">
                  <c:v>1.64495540501874</c:v>
                </c:pt>
                <c:pt idx="148">
                  <c:v>1.64495540501874</c:v>
                </c:pt>
                <c:pt idx="149">
                  <c:v>1.64495540501874</c:v>
                </c:pt>
                <c:pt idx="150">
                  <c:v>1.64495540501874</c:v>
                </c:pt>
                <c:pt idx="151">
                  <c:v>1.64495540501874</c:v>
                </c:pt>
                <c:pt idx="152">
                  <c:v>1.64495540501874</c:v>
                </c:pt>
                <c:pt idx="153">
                  <c:v>1.64495540501874</c:v>
                </c:pt>
                <c:pt idx="154">
                  <c:v>1.64495540501874</c:v>
                </c:pt>
                <c:pt idx="155">
                  <c:v>1.64495540501874</c:v>
                </c:pt>
                <c:pt idx="156">
                  <c:v>1.64495540501874</c:v>
                </c:pt>
                <c:pt idx="157">
                  <c:v>1.64495540501874</c:v>
                </c:pt>
                <c:pt idx="158">
                  <c:v>1.64495540501874</c:v>
                </c:pt>
                <c:pt idx="159">
                  <c:v>1.64495540501874</c:v>
                </c:pt>
                <c:pt idx="160">
                  <c:v>1.64495540501874</c:v>
                </c:pt>
                <c:pt idx="161">
                  <c:v>1.64495540501874</c:v>
                </c:pt>
                <c:pt idx="162">
                  <c:v>1.64495540501874</c:v>
                </c:pt>
                <c:pt idx="163">
                  <c:v>1.64495540501874</c:v>
                </c:pt>
                <c:pt idx="164">
                  <c:v>1.64495540501874</c:v>
                </c:pt>
                <c:pt idx="165">
                  <c:v>1.64495540501874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PFF_PFFD_2!$P$1</c:f>
              <c:strCache>
                <c:ptCount val="1"/>
                <c:pt idx="0">
                  <c:v> PFF/PFFD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PFF_PFFD_2!$P$2:$P$167</c:f>
              <c:numCache>
                <c:formatCode>_(* #,##0.0000_);_(* \(#,##0.0000\);_(* "-"??_);_(@_)</c:formatCode>
                <c:ptCount val="166"/>
                <c:pt idx="9">
                  <c:v>1.6308743455753001</c:v>
                </c:pt>
                <c:pt idx="10">
                  <c:v>1.63072469004868</c:v>
                </c:pt>
                <c:pt idx="11">
                  <c:v>1.63056886951306</c:v>
                </c:pt>
                <c:pt idx="12">
                  <c:v>1.63035951031968</c:v>
                </c:pt>
                <c:pt idx="13">
                  <c:v>1.6302345818436199</c:v>
                </c:pt>
                <c:pt idx="14">
                  <c:v>1.63061531822003</c:v>
                </c:pt>
                <c:pt idx="15">
                  <c:v>1.6301977065972599</c:v>
                </c:pt>
                <c:pt idx="16">
                  <c:v>1.62956803997815</c:v>
                </c:pt>
                <c:pt idx="17">
                  <c:v>1.6299391106439101</c:v>
                </c:pt>
                <c:pt idx="18">
                  <c:v>1.63010076893866</c:v>
                </c:pt>
                <c:pt idx="19">
                  <c:v>1.6302707601594699</c:v>
                </c:pt>
                <c:pt idx="20">
                  <c:v>1.63013496884356</c:v>
                </c:pt>
                <c:pt idx="21">
                  <c:v>1.6299184865837399</c:v>
                </c:pt>
                <c:pt idx="22">
                  <c:v>1.6300759246971599</c:v>
                </c:pt>
                <c:pt idx="23">
                  <c:v>1.63008745232076</c:v>
                </c:pt>
                <c:pt idx="24">
                  <c:v>1.63034260069901</c:v>
                </c:pt>
                <c:pt idx="25">
                  <c:v>1.6307876461350299</c:v>
                </c:pt>
                <c:pt idx="26">
                  <c:v>1.6312379463175</c:v>
                </c:pt>
                <c:pt idx="27">
                  <c:v>1.6311448501888699</c:v>
                </c:pt>
                <c:pt idx="28">
                  <c:v>1.6318329949986199</c:v>
                </c:pt>
                <c:pt idx="29">
                  <c:v>1.6318329949986199</c:v>
                </c:pt>
                <c:pt idx="30">
                  <c:v>1.63222559165607</c:v>
                </c:pt>
                <c:pt idx="31">
                  <c:v>1.63247746254449</c:v>
                </c:pt>
                <c:pt idx="32">
                  <c:v>1.63277549329227</c:v>
                </c:pt>
                <c:pt idx="33">
                  <c:v>1.63320684385087</c:v>
                </c:pt>
                <c:pt idx="34">
                  <c:v>1.6330239109749001</c:v>
                </c:pt>
                <c:pt idx="35">
                  <c:v>1.6326065276350901</c:v>
                </c:pt>
                <c:pt idx="36">
                  <c:v>1.63266031427307</c:v>
                </c:pt>
                <c:pt idx="37">
                  <c:v>1.63308691705859</c:v>
                </c:pt>
                <c:pt idx="38">
                  <c:v>1.6325532001255001</c:v>
                </c:pt>
                <c:pt idx="39">
                  <c:v>1.63331046567264</c:v>
                </c:pt>
                <c:pt idx="40">
                  <c:v>1.63411389952692</c:v>
                </c:pt>
                <c:pt idx="41">
                  <c:v>1.63530275968174</c:v>
                </c:pt>
                <c:pt idx="42">
                  <c:v>1.6362758945540199</c:v>
                </c:pt>
                <c:pt idx="43">
                  <c:v>1.63752991735444</c:v>
                </c:pt>
                <c:pt idx="44">
                  <c:v>1.6392354258261099</c:v>
                </c:pt>
                <c:pt idx="45">
                  <c:v>1.6410291524274301</c:v>
                </c:pt>
                <c:pt idx="46">
                  <c:v>1.6425872146164699</c:v>
                </c:pt>
                <c:pt idx="47">
                  <c:v>1.6444474657375101</c:v>
                </c:pt>
                <c:pt idx="48">
                  <c:v>1.6464374929423999</c:v>
                </c:pt>
                <c:pt idx="49">
                  <c:v>1.6474657522512699</c:v>
                </c:pt>
                <c:pt idx="50">
                  <c:v>1.64824414052966</c:v>
                </c:pt>
                <c:pt idx="51">
                  <c:v>1.6488060697148901</c:v>
                </c:pt>
                <c:pt idx="52">
                  <c:v>1.64949137082484</c:v>
                </c:pt>
                <c:pt idx="53">
                  <c:v>1.65024512223433</c:v>
                </c:pt>
                <c:pt idx="54">
                  <c:v>1.6503629467013701</c:v>
                </c:pt>
                <c:pt idx="55">
                  <c:v>1.6502628952757401</c:v>
                </c:pt>
                <c:pt idx="56">
                  <c:v>1.6500779786767501</c:v>
                </c:pt>
                <c:pt idx="57">
                  <c:v>1.64967956327093</c:v>
                </c:pt>
                <c:pt idx="58">
                  <c:v>1.6492394378300299</c:v>
                </c:pt>
                <c:pt idx="59">
                  <c:v>1.6494032056186001</c:v>
                </c:pt>
                <c:pt idx="60">
                  <c:v>1.64912171175015</c:v>
                </c:pt>
                <c:pt idx="61">
                  <c:v>1.64942771606526</c:v>
                </c:pt>
                <c:pt idx="62">
                  <c:v>1.6494322425669099</c:v>
                </c:pt>
                <c:pt idx="63">
                  <c:v>1.6491550540378801</c:v>
                </c:pt>
                <c:pt idx="64">
                  <c:v>1.6486398577499399</c:v>
                </c:pt>
                <c:pt idx="65">
                  <c:v>1.6488367234259</c:v>
                </c:pt>
                <c:pt idx="66">
                  <c:v>1.64848304653028</c:v>
                </c:pt>
                <c:pt idx="67">
                  <c:v>1.64803179290152</c:v>
                </c:pt>
                <c:pt idx="68">
                  <c:v>1.64789086134947</c:v>
                </c:pt>
                <c:pt idx="69">
                  <c:v>1.6478411630148899</c:v>
                </c:pt>
                <c:pt idx="70">
                  <c:v>1.6481111858981801</c:v>
                </c:pt>
                <c:pt idx="71">
                  <c:v>1.6485922431025499</c:v>
                </c:pt>
                <c:pt idx="72">
                  <c:v>1.64931964452368</c:v>
                </c:pt>
                <c:pt idx="73">
                  <c:v>1.6495736355984001</c:v>
                </c:pt>
                <c:pt idx="74">
                  <c:v>1.65051609309582</c:v>
                </c:pt>
                <c:pt idx="75">
                  <c:v>1.6512723843582999</c:v>
                </c:pt>
                <c:pt idx="76">
                  <c:v>1.65209611679235</c:v>
                </c:pt>
                <c:pt idx="77">
                  <c:v>1.6525609920177</c:v>
                </c:pt>
                <c:pt idx="78">
                  <c:v>1.65311166467992</c:v>
                </c:pt>
                <c:pt idx="79">
                  <c:v>1.6527139945934499</c:v>
                </c:pt>
                <c:pt idx="80">
                  <c:v>1.6524076632259199</c:v>
                </c:pt>
                <c:pt idx="81">
                  <c:v>1.6514740688710301</c:v>
                </c:pt>
                <c:pt idx="82">
                  <c:v>1.6508615883025199</c:v>
                </c:pt>
                <c:pt idx="83">
                  <c:v>1.65078430981818</c:v>
                </c:pt>
                <c:pt idx="84">
                  <c:v>1.6513688633575601</c:v>
                </c:pt>
                <c:pt idx="85">
                  <c:v>1.65154602541735</c:v>
                </c:pt>
                <c:pt idx="86">
                  <c:v>1.65231228821646</c:v>
                </c:pt>
                <c:pt idx="87">
                  <c:v>1.6531849595263</c:v>
                </c:pt>
                <c:pt idx="88">
                  <c:v>1.65426844770785</c:v>
                </c:pt>
                <c:pt idx="89">
                  <c:v>1.6550454531144501</c:v>
                </c:pt>
                <c:pt idx="90">
                  <c:v>1.6562476552677201</c:v>
                </c:pt>
                <c:pt idx="91">
                  <c:v>1.6573809800767101</c:v>
                </c:pt>
                <c:pt idx="92">
                  <c:v>1.65782952181322</c:v>
                </c:pt>
                <c:pt idx="93">
                  <c:v>1.65808870578832</c:v>
                </c:pt>
                <c:pt idx="94">
                  <c:v>1.6577406183643399</c:v>
                </c:pt>
                <c:pt idx="95">
                  <c:v>1.6574605084268299</c:v>
                </c:pt>
                <c:pt idx="96">
                  <c:v>1.6570628476081199</c:v>
                </c:pt>
                <c:pt idx="97">
                  <c:v>1.65733024361739</c:v>
                </c:pt>
                <c:pt idx="98">
                  <c:v>1.65693838721294</c:v>
                </c:pt>
                <c:pt idx="99">
                  <c:v>1.6571236092747501</c:v>
                </c:pt>
                <c:pt idx="100">
                  <c:v>1.6569645805942701</c:v>
                </c:pt>
                <c:pt idx="101">
                  <c:v>1.65701591487149</c:v>
                </c:pt>
                <c:pt idx="102">
                  <c:v>1.6570382784870701</c:v>
                </c:pt>
                <c:pt idx="103">
                  <c:v>1.6573800246225201</c:v>
                </c:pt>
                <c:pt idx="104">
                  <c:v>1.6575293825706701</c:v>
                </c:pt>
                <c:pt idx="105">
                  <c:v>1.65748254831331</c:v>
                </c:pt>
                <c:pt idx="106">
                  <c:v>1.6568388056232599</c:v>
                </c:pt>
                <c:pt idx="107">
                  <c:v>1.6565487666234999</c:v>
                </c:pt>
                <c:pt idx="108">
                  <c:v>1.6562699255408</c:v>
                </c:pt>
                <c:pt idx="109">
                  <c:v>1.6559647019469399</c:v>
                </c:pt>
                <c:pt idx="110">
                  <c:v>1.6554389469627799</c:v>
                </c:pt>
                <c:pt idx="111">
                  <c:v>1.6545986770304599</c:v>
                </c:pt>
                <c:pt idx="112">
                  <c:v>1.6541579938264599</c:v>
                </c:pt>
                <c:pt idx="113">
                  <c:v>1.6529256338952301</c:v>
                </c:pt>
                <c:pt idx="114">
                  <c:v>1.65218253410754</c:v>
                </c:pt>
                <c:pt idx="115">
                  <c:v>1.6521641878477999</c:v>
                </c:pt>
                <c:pt idx="116">
                  <c:v>1.65187862399152</c:v>
                </c:pt>
                <c:pt idx="117">
                  <c:v>1.65042263790613</c:v>
                </c:pt>
                <c:pt idx="118">
                  <c:v>1.6491212018625101</c:v>
                </c:pt>
                <c:pt idx="119">
                  <c:v>1.6469971456385899</c:v>
                </c:pt>
                <c:pt idx="120">
                  <c:v>1.64460896341923</c:v>
                </c:pt>
                <c:pt idx="121">
                  <c:v>1.6433837303422001</c:v>
                </c:pt>
                <c:pt idx="122">
                  <c:v>1.64117308522659</c:v>
                </c:pt>
                <c:pt idx="123">
                  <c:v>1.6402243327817201</c:v>
                </c:pt>
                <c:pt idx="124">
                  <c:v>1.63925046411487</c:v>
                </c:pt>
                <c:pt idx="125">
                  <c:v>1.6375225533596001</c:v>
                </c:pt>
                <c:pt idx="126">
                  <c:v>1.6365472771801299</c:v>
                </c:pt>
                <c:pt idx="127">
                  <c:v>1.63636217846081</c:v>
                </c:pt>
                <c:pt idx="128">
                  <c:v>1.6357197801738801</c:v>
                </c:pt>
                <c:pt idx="129">
                  <c:v>1.6362559732033699</c:v>
                </c:pt>
                <c:pt idx="130">
                  <c:v>1.63699229656095</c:v>
                </c:pt>
                <c:pt idx="131">
                  <c:v>1.63742445383611</c:v>
                </c:pt>
                <c:pt idx="132">
                  <c:v>1.6384713929599799</c:v>
                </c:pt>
                <c:pt idx="133">
                  <c:v>1.63828556458704</c:v>
                </c:pt>
                <c:pt idx="134">
                  <c:v>1.63749801893736</c:v>
                </c:pt>
                <c:pt idx="135">
                  <c:v>1.6377922525003501</c:v>
                </c:pt>
                <c:pt idx="136">
                  <c:v>1.63791466201054</c:v>
                </c:pt>
                <c:pt idx="137">
                  <c:v>1.6380031054067701</c:v>
                </c:pt>
                <c:pt idx="138">
                  <c:v>1.63829909533705</c:v>
                </c:pt>
                <c:pt idx="139">
                  <c:v>1.63881589663607</c:v>
                </c:pt>
                <c:pt idx="140">
                  <c:v>1.6393232779902001</c:v>
                </c:pt>
                <c:pt idx="141">
                  <c:v>1.63922288752459</c:v>
                </c:pt>
                <c:pt idx="142">
                  <c:v>1.63916271929914</c:v>
                </c:pt>
                <c:pt idx="143">
                  <c:v>1.63998222078264</c:v>
                </c:pt>
                <c:pt idx="144">
                  <c:v>1.64124724168963</c:v>
                </c:pt>
                <c:pt idx="145">
                  <c:v>1.64189054592885</c:v>
                </c:pt>
                <c:pt idx="146">
                  <c:v>1.64277125104823</c:v>
                </c:pt>
                <c:pt idx="147">
                  <c:v>1.64371160732977</c:v>
                </c:pt>
                <c:pt idx="148">
                  <c:v>1.6447020335620499</c:v>
                </c:pt>
                <c:pt idx="149">
                  <c:v>1.6451630638523</c:v>
                </c:pt>
                <c:pt idx="150">
                  <c:v>1.64575287438403</c:v>
                </c:pt>
                <c:pt idx="151">
                  <c:v>1.64628406721906</c:v>
                </c:pt>
                <c:pt idx="152">
                  <c:v>1.6471485249887401</c:v>
                </c:pt>
                <c:pt idx="153">
                  <c:v>1.6477963577775001</c:v>
                </c:pt>
                <c:pt idx="154">
                  <c:v>1.64854483166165</c:v>
                </c:pt>
                <c:pt idx="155">
                  <c:v>1.6493091498316701</c:v>
                </c:pt>
                <c:pt idx="156">
                  <c:v>1.6501127814482399</c:v>
                </c:pt>
                <c:pt idx="157">
                  <c:v>1.65055178480078</c:v>
                </c:pt>
                <c:pt idx="158">
                  <c:v>1.6509773844854301</c:v>
                </c:pt>
                <c:pt idx="159">
                  <c:v>1.6518796981552</c:v>
                </c:pt>
                <c:pt idx="160">
                  <c:v>1.65298586382236</c:v>
                </c:pt>
                <c:pt idx="161">
                  <c:v>1.65409564565589</c:v>
                </c:pt>
                <c:pt idx="162">
                  <c:v>1.6549113195253899</c:v>
                </c:pt>
                <c:pt idx="163">
                  <c:v>1.6557015015655701</c:v>
                </c:pt>
                <c:pt idx="164">
                  <c:v>1.6563162939596101</c:v>
                </c:pt>
                <c:pt idx="165">
                  <c:v>1.65717398489866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PFF_PFFD_2!$Q$1</c:f>
              <c:strCache>
                <c:ptCount val="1"/>
                <c:pt idx="0">
                  <c:v> PFF/PFFD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PFF_PFFD_2!$Q$2:$Q$167</c:f>
              <c:numCache>
                <c:formatCode>_(* #,##0.0000_);_(* \(#,##0.0000\);_(* "-"??_);_(@_)</c:formatCode>
                <c:ptCount val="166"/>
                <c:pt idx="19">
                  <c:v>1.63057255286739</c:v>
                </c:pt>
                <c:pt idx="20">
                  <c:v>1.6304298294461199</c:v>
                </c:pt>
                <c:pt idx="21">
                  <c:v>1.6302436780484</c:v>
                </c:pt>
                <c:pt idx="22">
                  <c:v>1.63021771750842</c:v>
                </c:pt>
                <c:pt idx="23">
                  <c:v>1.6301610170821901</c:v>
                </c:pt>
                <c:pt idx="24">
                  <c:v>1.6304789594595199</c:v>
                </c:pt>
                <c:pt idx="25">
                  <c:v>1.63049267636615</c:v>
                </c:pt>
                <c:pt idx="26">
                  <c:v>1.6304029931478301</c:v>
                </c:pt>
                <c:pt idx="27">
                  <c:v>1.6305419804163901</c:v>
                </c:pt>
                <c:pt idx="28">
                  <c:v>1.63096688196864</c:v>
                </c:pt>
                <c:pt idx="29">
                  <c:v>1.6310518775790399</c:v>
                </c:pt>
                <c:pt idx="30">
                  <c:v>1.6311802802498201</c:v>
                </c:pt>
                <c:pt idx="31">
                  <c:v>1.6311979745641201</c:v>
                </c:pt>
                <c:pt idx="32">
                  <c:v>1.6314257089947199</c:v>
                </c:pt>
                <c:pt idx="33">
                  <c:v>1.6316471480858199</c:v>
                </c:pt>
                <c:pt idx="34">
                  <c:v>1.6316832558369601</c:v>
                </c:pt>
                <c:pt idx="35">
                  <c:v>1.63169708688506</c:v>
                </c:pt>
                <c:pt idx="36">
                  <c:v>1.63194913029529</c:v>
                </c:pt>
                <c:pt idx="37">
                  <c:v>1.6321158836237299</c:v>
                </c:pt>
                <c:pt idx="38">
                  <c:v>1.63219309756206</c:v>
                </c:pt>
                <c:pt idx="39">
                  <c:v>1.63257173033563</c:v>
                </c:pt>
                <c:pt idx="40">
                  <c:v>1.6331697455915</c:v>
                </c:pt>
                <c:pt idx="41">
                  <c:v>1.6338901111131201</c:v>
                </c:pt>
                <c:pt idx="42">
                  <c:v>1.6345256939231501</c:v>
                </c:pt>
                <c:pt idx="43">
                  <c:v>1.63536838060265</c:v>
                </c:pt>
                <c:pt idx="44">
                  <c:v>1.63612966840051</c:v>
                </c:pt>
                <c:pt idx="45">
                  <c:v>1.6368178400312601</c:v>
                </c:pt>
                <c:pt idx="46">
                  <c:v>1.63762376444477</c:v>
                </c:pt>
                <c:pt idx="47">
                  <c:v>1.6387671913980499</c:v>
                </c:pt>
                <c:pt idx="48">
                  <c:v>1.6394953465339499</c:v>
                </c:pt>
                <c:pt idx="49">
                  <c:v>1.6403881089619601</c:v>
                </c:pt>
                <c:pt idx="50">
                  <c:v>1.6411790200282901</c:v>
                </c:pt>
                <c:pt idx="51">
                  <c:v>1.64205441469832</c:v>
                </c:pt>
                <c:pt idx="52">
                  <c:v>1.6428836326894301</c:v>
                </c:pt>
                <c:pt idx="53">
                  <c:v>1.6438875197943901</c:v>
                </c:pt>
                <c:pt idx="54">
                  <c:v>1.6447991862637401</c:v>
                </c:pt>
                <c:pt idx="55">
                  <c:v>1.64564602385159</c:v>
                </c:pt>
                <c:pt idx="56">
                  <c:v>1.64633259664661</c:v>
                </c:pt>
                <c:pt idx="57">
                  <c:v>1.6470635145042201</c:v>
                </c:pt>
                <c:pt idx="58">
                  <c:v>1.6478384653862199</c:v>
                </c:pt>
                <c:pt idx="59">
                  <c:v>1.6484344789349401</c:v>
                </c:pt>
                <c:pt idx="60">
                  <c:v>1.6486829261399101</c:v>
                </c:pt>
                <c:pt idx="61">
                  <c:v>1.6491168928900799</c:v>
                </c:pt>
                <c:pt idx="62">
                  <c:v>1.6494618066958799</c:v>
                </c:pt>
                <c:pt idx="63">
                  <c:v>1.6497000881361099</c:v>
                </c:pt>
                <c:pt idx="64">
                  <c:v>1.64950140222565</c:v>
                </c:pt>
                <c:pt idx="65">
                  <c:v>1.6495498093508201</c:v>
                </c:pt>
                <c:pt idx="66">
                  <c:v>1.6492805126035199</c:v>
                </c:pt>
                <c:pt idx="67">
                  <c:v>1.64885567808623</c:v>
                </c:pt>
                <c:pt idx="68">
                  <c:v>1.64856514958975</c:v>
                </c:pt>
                <c:pt idx="69">
                  <c:v>1.6486221843167499</c:v>
                </c:pt>
                <c:pt idx="70">
                  <c:v>1.6486164488241699</c:v>
                </c:pt>
                <c:pt idx="71">
                  <c:v>1.6490099795839099</c:v>
                </c:pt>
                <c:pt idx="72">
                  <c:v>1.6493759435452999</c:v>
                </c:pt>
                <c:pt idx="73">
                  <c:v>1.6493643448181401</c:v>
                </c:pt>
                <c:pt idx="74">
                  <c:v>1.6495779754228801</c:v>
                </c:pt>
                <c:pt idx="75">
                  <c:v>1.6500545538921001</c:v>
                </c:pt>
                <c:pt idx="76">
                  <c:v>1.6502895816613099</c:v>
                </c:pt>
                <c:pt idx="77">
                  <c:v>1.6502963924596099</c:v>
                </c:pt>
                <c:pt idx="78">
                  <c:v>1.6505012630147</c:v>
                </c:pt>
                <c:pt idx="79">
                  <c:v>1.6502775788041699</c:v>
                </c:pt>
                <c:pt idx="80">
                  <c:v>1.6502594245620501</c:v>
                </c:pt>
                <c:pt idx="81">
                  <c:v>1.65003315598679</c:v>
                </c:pt>
                <c:pt idx="82">
                  <c:v>1.6500906164131</c:v>
                </c:pt>
                <c:pt idx="83">
                  <c:v>1.6501789727082901</c:v>
                </c:pt>
                <c:pt idx="84">
                  <c:v>1.6509424782266899</c:v>
                </c:pt>
                <c:pt idx="85">
                  <c:v>1.6514092048878299</c:v>
                </c:pt>
                <c:pt idx="86">
                  <c:v>1.6522042025044099</c:v>
                </c:pt>
                <c:pt idx="87">
                  <c:v>1.652872975772</c:v>
                </c:pt>
                <c:pt idx="88">
                  <c:v>1.6536900561938901</c:v>
                </c:pt>
                <c:pt idx="89">
                  <c:v>1.65387972385395</c:v>
                </c:pt>
                <c:pt idx="90">
                  <c:v>1.6543276592468199</c:v>
                </c:pt>
                <c:pt idx="91">
                  <c:v>1.65442752447387</c:v>
                </c:pt>
                <c:pt idx="92">
                  <c:v>1.6543455550578701</c:v>
                </c:pt>
                <c:pt idx="93">
                  <c:v>1.6544365078032499</c:v>
                </c:pt>
                <c:pt idx="94">
                  <c:v>1.65455474086095</c:v>
                </c:pt>
                <c:pt idx="95">
                  <c:v>1.65450326692209</c:v>
                </c:pt>
                <c:pt idx="96">
                  <c:v>1.6546875679122901</c:v>
                </c:pt>
                <c:pt idx="97">
                  <c:v>1.6552576015718401</c:v>
                </c:pt>
                <c:pt idx="98">
                  <c:v>1.6556034174604</c:v>
                </c:pt>
                <c:pt idx="99">
                  <c:v>1.6560845311946</c:v>
                </c:pt>
                <c:pt idx="100">
                  <c:v>1.6566061179310001</c:v>
                </c:pt>
                <c:pt idx="101">
                  <c:v>1.6571984474740999</c:v>
                </c:pt>
                <c:pt idx="102">
                  <c:v>1.6574339001501399</c:v>
                </c:pt>
                <c:pt idx="103">
                  <c:v>1.6577343652054199</c:v>
                </c:pt>
                <c:pt idx="104">
                  <c:v>1.65763500046751</c:v>
                </c:pt>
                <c:pt idx="105">
                  <c:v>1.6574715283700701</c:v>
                </c:pt>
                <c:pt idx="106">
                  <c:v>1.65695082661569</c:v>
                </c:pt>
                <c:pt idx="107">
                  <c:v>1.6569395051204401</c:v>
                </c:pt>
                <c:pt idx="108">
                  <c:v>1.6566041563768701</c:v>
                </c:pt>
                <c:pt idx="109">
                  <c:v>1.65654415561084</c:v>
                </c:pt>
                <c:pt idx="110">
                  <c:v>1.65620176377853</c:v>
                </c:pt>
                <c:pt idx="111">
                  <c:v>1.65580729595098</c:v>
                </c:pt>
                <c:pt idx="112">
                  <c:v>1.65559813615677</c:v>
                </c:pt>
                <c:pt idx="113">
                  <c:v>1.65515282925887</c:v>
                </c:pt>
                <c:pt idx="114">
                  <c:v>1.65485595833911</c:v>
                </c:pt>
                <c:pt idx="115">
                  <c:v>1.65482336808056</c:v>
                </c:pt>
                <c:pt idx="116">
                  <c:v>1.6543587148073899</c:v>
                </c:pt>
                <c:pt idx="117">
                  <c:v>1.65348570226481</c:v>
                </c:pt>
                <c:pt idx="118">
                  <c:v>1.65269556370166</c:v>
                </c:pt>
                <c:pt idx="119">
                  <c:v>1.6514809237927699</c:v>
                </c:pt>
                <c:pt idx="120">
                  <c:v>1.6500239551910001</c:v>
                </c:pt>
                <c:pt idx="121">
                  <c:v>1.6489912036863299</c:v>
                </c:pt>
                <c:pt idx="122">
                  <c:v>1.6476655395265301</c:v>
                </c:pt>
                <c:pt idx="123">
                  <c:v>1.64657498333848</c:v>
                </c:pt>
                <c:pt idx="124">
                  <c:v>1.6457164991112101</c:v>
                </c:pt>
                <c:pt idx="125">
                  <c:v>1.6448433706037</c:v>
                </c:pt>
                <c:pt idx="126">
                  <c:v>1.6442129505858201</c:v>
                </c:pt>
                <c:pt idx="127">
                  <c:v>1.6433924081834701</c:v>
                </c:pt>
                <c:pt idx="128">
                  <c:v>1.6424204910181901</c:v>
                </c:pt>
                <c:pt idx="129">
                  <c:v>1.64162655942098</c:v>
                </c:pt>
                <c:pt idx="130">
                  <c:v>1.6408006299900899</c:v>
                </c:pt>
                <c:pt idx="131">
                  <c:v>1.6404040920891501</c:v>
                </c:pt>
                <c:pt idx="132">
                  <c:v>1.6398222390932899</c:v>
                </c:pt>
                <c:pt idx="133">
                  <c:v>1.6392549486843799</c:v>
                </c:pt>
                <c:pt idx="134">
                  <c:v>1.63837424152611</c:v>
                </c:pt>
                <c:pt idx="135">
                  <c:v>1.63765740292997</c:v>
                </c:pt>
                <c:pt idx="136">
                  <c:v>1.63723096959533</c:v>
                </c:pt>
                <c:pt idx="137">
                  <c:v>1.63718264193379</c:v>
                </c:pt>
                <c:pt idx="138">
                  <c:v>1.63700943775546</c:v>
                </c:pt>
                <c:pt idx="139">
                  <c:v>1.63753593491972</c:v>
                </c:pt>
                <c:pt idx="140">
                  <c:v>1.6381577872755799</c:v>
                </c:pt>
                <c:pt idx="141">
                  <c:v>1.6383236706803499</c:v>
                </c:pt>
                <c:pt idx="142">
                  <c:v>1.6388170561295601</c:v>
                </c:pt>
                <c:pt idx="143">
                  <c:v>1.63913389268484</c:v>
                </c:pt>
                <c:pt idx="144">
                  <c:v>1.6393726303134899</c:v>
                </c:pt>
                <c:pt idx="145">
                  <c:v>1.6398413992145999</c:v>
                </c:pt>
                <c:pt idx="146">
                  <c:v>1.6403429565293799</c:v>
                </c:pt>
                <c:pt idx="147">
                  <c:v>1.64085735636827</c:v>
                </c:pt>
                <c:pt idx="148">
                  <c:v>1.6415005644495499</c:v>
                </c:pt>
                <c:pt idx="149">
                  <c:v>1.6419894802441799</c:v>
                </c:pt>
                <c:pt idx="150">
                  <c:v>1.64253807618712</c:v>
                </c:pt>
                <c:pt idx="151">
                  <c:v>1.64275347737182</c:v>
                </c:pt>
                <c:pt idx="152">
                  <c:v>1.6431556221439401</c:v>
                </c:pt>
                <c:pt idx="153">
                  <c:v>1.6438892892800701</c:v>
                </c:pt>
                <c:pt idx="154">
                  <c:v>1.64489603667564</c:v>
                </c:pt>
                <c:pt idx="155">
                  <c:v>1.64559984788026</c:v>
                </c:pt>
                <c:pt idx="156">
                  <c:v>1.6464420162482301</c:v>
                </c:pt>
                <c:pt idx="157">
                  <c:v>1.64713169606527</c:v>
                </c:pt>
                <c:pt idx="158">
                  <c:v>1.64783970902374</c:v>
                </c:pt>
                <c:pt idx="159">
                  <c:v>1.64852138100375</c:v>
                </c:pt>
                <c:pt idx="160">
                  <c:v>1.6493693691032001</c:v>
                </c:pt>
                <c:pt idx="161">
                  <c:v>1.65018985643748</c:v>
                </c:pt>
                <c:pt idx="162">
                  <c:v>1.6510299222570699</c:v>
                </c:pt>
                <c:pt idx="163">
                  <c:v>1.65174892967154</c:v>
                </c:pt>
                <c:pt idx="164">
                  <c:v>1.6524305628106299</c:v>
                </c:pt>
                <c:pt idx="165">
                  <c:v>1.6532415673651599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PFF_PFFD_2!$AF$1</c:f>
              <c:strCache>
                <c:ptCount val="1"/>
                <c:pt idx="0">
                  <c:v>log diff PFFD* x 10 dma / PFF*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PFF_PFFD_2!$AF$2:$AF$167</c:f>
              <c:numCache>
                <c:formatCode>0.00%</c:formatCode>
                <c:ptCount val="166"/>
                <c:pt idx="10">
                  <c:v>-8.4606239290041605E-4</c:v>
                </c:pt>
                <c:pt idx="11">
                  <c:v>-2.0740862747201501E-4</c:v>
                </c:pt>
                <c:pt idx="12">
                  <c:v>-1.56683495875287E-4</c:v>
                </c:pt>
                <c:pt idx="13">
                  <c:v>4.70972427166251E-4</c:v>
                </c:pt>
                <c:pt idx="14">
                  <c:v>-1.9773917681455001E-4</c:v>
                </c:pt>
                <c:pt idx="15">
                  <c:v>1.4872226059076199E-3</c:v>
                </c:pt>
                <c:pt idx="16">
                  <c:v>1.4646034847925701E-3</c:v>
                </c:pt>
                <c:pt idx="17">
                  <c:v>-5.3857757606656895E-4</c:v>
                </c:pt>
                <c:pt idx="18">
                  <c:v>-1.2571598277835101E-4</c:v>
                </c:pt>
                <c:pt idx="19">
                  <c:v>-1.05587649708441E-3</c:v>
                </c:pt>
                <c:pt idx="20">
                  <c:v>-8.3006260257707397E-4</c:v>
                </c:pt>
                <c:pt idx="21">
                  <c:v>3.49515984444025E-4</c:v>
                </c:pt>
                <c:pt idx="22">
                  <c:v>-1.87214953819179E-3</c:v>
                </c:pt>
                <c:pt idx="23">
                  <c:v>-9.3631442102329096E-5</c:v>
                </c:pt>
                <c:pt idx="24">
                  <c:v>-2.1108636063849801E-3</c:v>
                </c:pt>
                <c:pt idx="25">
                  <c:v>-1.6259554040302499E-3</c:v>
                </c:pt>
                <c:pt idx="26">
                  <c:v>-1.1092432865794899E-3</c:v>
                </c:pt>
                <c:pt idx="27">
                  <c:v>9.1965211499645796E-4</c:v>
                </c:pt>
                <c:pt idx="28">
                  <c:v>-3.6687198453153199E-3</c:v>
                </c:pt>
                <c:pt idx="29">
                  <c:v>-3.4675672104874701E-5</c:v>
                </c:pt>
                <c:pt idx="30">
                  <c:v>-1.8160966262815901E-3</c:v>
                </c:pt>
                <c:pt idx="31">
                  <c:v>4.96941407104059E-4</c:v>
                </c:pt>
                <c:pt idx="32">
                  <c:v>-1.7644616016282799E-3</c:v>
                </c:pt>
                <c:pt idx="33">
                  <c:v>-7.5661894554916904E-4</c:v>
                </c:pt>
                <c:pt idx="34">
                  <c:v>1.1731814237037901E-3</c:v>
                </c:pt>
                <c:pt idx="35">
                  <c:v>2.7798810485136802E-3</c:v>
                </c:pt>
                <c:pt idx="36">
                  <c:v>-1.4917377565401899E-4</c:v>
                </c:pt>
                <c:pt idx="37">
                  <c:v>-6.8316860700135505E-4</c:v>
                </c:pt>
                <c:pt idx="38">
                  <c:v>8.4872696509283101E-4</c:v>
                </c:pt>
                <c:pt idx="39">
                  <c:v>2.13326952087435E-5</c:v>
                </c:pt>
                <c:pt idx="40">
                  <c:v>-2.0021696500095E-3</c:v>
                </c:pt>
                <c:pt idx="41">
                  <c:v>-2.2224360720440898E-3</c:v>
                </c:pt>
                <c:pt idx="42">
                  <c:v>-2.9904168073659801E-3</c:v>
                </c:pt>
                <c:pt idx="43">
                  <c:v>-3.6732024947562698E-3</c:v>
                </c:pt>
                <c:pt idx="44">
                  <c:v>-4.4078747102900204E-3</c:v>
                </c:pt>
                <c:pt idx="45">
                  <c:v>-2.6365757004244801E-3</c:v>
                </c:pt>
                <c:pt idx="46">
                  <c:v>-3.1758170477250401E-3</c:v>
                </c:pt>
                <c:pt idx="47">
                  <c:v>-5.0014591429975198E-3</c:v>
                </c:pt>
                <c:pt idx="48">
                  <c:v>-3.80532378055593E-3</c:v>
                </c:pt>
                <c:pt idx="49">
                  <c:v>-1.89695858979123E-3</c:v>
                </c:pt>
                <c:pt idx="50">
                  <c:v>-1.8840401926920099E-3</c:v>
                </c:pt>
                <c:pt idx="51">
                  <c:v>-3.6301777867192098E-4</c:v>
                </c:pt>
                <c:pt idx="52">
                  <c:v>-1.8615718061181299E-3</c:v>
                </c:pt>
                <c:pt idx="53">
                  <c:v>-2.6784273200026001E-3</c:v>
                </c:pt>
                <c:pt idx="54">
                  <c:v>4.8577735983118E-4</c:v>
                </c:pt>
                <c:pt idx="55">
                  <c:v>3.01493221630024E-3</c:v>
                </c:pt>
                <c:pt idx="56">
                  <c:v>2.2159148714439901E-3</c:v>
                </c:pt>
                <c:pt idx="57">
                  <c:v>1.03909217353206E-3</c:v>
                </c:pt>
                <c:pt idx="58">
                  <c:v>1.5503891784287001E-3</c:v>
                </c:pt>
                <c:pt idx="59">
                  <c:v>-1.1910348806123E-3</c:v>
                </c:pt>
                <c:pt idx="60">
                  <c:v>9.6558478201444399E-4</c:v>
                </c:pt>
                <c:pt idx="61">
                  <c:v>-9.786197454932379E-4</c:v>
                </c:pt>
                <c:pt idx="62">
                  <c:v>-8.9408634360931395E-4</c:v>
                </c:pt>
                <c:pt idx="63">
                  <c:v>-5.7249674783183002E-4</c:v>
                </c:pt>
                <c:pt idx="64">
                  <c:v>3.3556981253178601E-3</c:v>
                </c:pt>
                <c:pt idx="65">
                  <c:v>1.1341488533406401E-3</c:v>
                </c:pt>
                <c:pt idx="66">
                  <c:v>3.7587999499184201E-3</c:v>
                </c:pt>
                <c:pt idx="67">
                  <c:v>2.9847088497878698E-3</c:v>
                </c:pt>
                <c:pt idx="68">
                  <c:v>1.4883704595101601E-3</c:v>
                </c:pt>
                <c:pt idx="69">
                  <c:v>-1.70365690686619E-3</c:v>
                </c:pt>
                <c:pt idx="70">
                  <c:v>-1.63164614699602E-3</c:v>
                </c:pt>
                <c:pt idx="71">
                  <c:v>-5.25476620495011E-3</c:v>
                </c:pt>
                <c:pt idx="72">
                  <c:v>-6.4489953109942702E-3</c:v>
                </c:pt>
                <c:pt idx="73">
                  <c:v>-2.7778718016737199E-3</c:v>
                </c:pt>
                <c:pt idx="74">
                  <c:v>-2.5351292127766701E-3</c:v>
                </c:pt>
                <c:pt idx="75">
                  <c:v>-2.6860368429184002E-3</c:v>
                </c:pt>
                <c:pt idx="76">
                  <c:v>-4.5968985128196497E-5</c:v>
                </c:pt>
                <c:pt idx="77">
                  <c:v>2.0905535743056102E-3</c:v>
                </c:pt>
                <c:pt idx="78">
                  <c:v>7.4175373880971702E-4</c:v>
                </c:pt>
                <c:pt idx="79">
                  <c:v>3.7576650316367001E-3</c:v>
                </c:pt>
                <c:pt idx="80">
                  <c:v>3.16753021102877E-3</c:v>
                </c:pt>
                <c:pt idx="81">
                  <c:v>2.9444753715960402E-3</c:v>
                </c:pt>
                <c:pt idx="82">
                  <c:v>-2.4365369790193701E-4</c:v>
                </c:pt>
                <c:pt idx="83">
                  <c:v>-6.2241949109217802E-4</c:v>
                </c:pt>
                <c:pt idx="84">
                  <c:v>-4.6445050456359101E-3</c:v>
                </c:pt>
                <c:pt idx="85">
                  <c:v>-2.67207871765127E-3</c:v>
                </c:pt>
                <c:pt idx="86">
                  <c:v>-3.94950351689003E-3</c:v>
                </c:pt>
                <c:pt idx="87">
                  <c:v>-2.6080179378066E-3</c:v>
                </c:pt>
                <c:pt idx="88">
                  <c:v>-5.0218401811952598E-3</c:v>
                </c:pt>
                <c:pt idx="89">
                  <c:v>3.7309624693166197E-8</c:v>
                </c:pt>
                <c:pt idx="90">
                  <c:v>-2.4913986971691199E-3</c:v>
                </c:pt>
                <c:pt idx="91">
                  <c:v>-1.4425926586577101E-3</c:v>
                </c:pt>
                <c:pt idx="92">
                  <c:v>-1.02744687738524E-4</c:v>
                </c:pt>
                <c:pt idx="93">
                  <c:v>1.32837508104801E-3</c:v>
                </c:pt>
                <c:pt idx="94">
                  <c:v>1.2378148148162399E-3</c:v>
                </c:pt>
                <c:pt idx="95">
                  <c:v>2.32656273758721E-3</c:v>
                </c:pt>
                <c:pt idx="96">
                  <c:v>1.5199794439889E-3</c:v>
                </c:pt>
                <c:pt idx="97">
                  <c:v>-1.6738610695297401E-3</c:v>
                </c:pt>
                <c:pt idx="98">
                  <c:v>-5.1678630112247004E-4</c:v>
                </c:pt>
                <c:pt idx="99">
                  <c:v>2.6363889926144999E-4</c:v>
                </c:pt>
                <c:pt idx="100">
                  <c:v>-4.9365868421028197E-4</c:v>
                </c:pt>
                <c:pt idx="101">
                  <c:v>-1.43238807936406E-3</c:v>
                </c:pt>
                <c:pt idx="102">
                  <c:v>3.007814331605E-4</c:v>
                </c:pt>
                <c:pt idx="103">
                  <c:v>-4.9963241385947595E-4</c:v>
                </c:pt>
                <c:pt idx="104">
                  <c:v>5.2236119970858804E-4</c:v>
                </c:pt>
                <c:pt idx="105">
                  <c:v>3.00203978053436E-3</c:v>
                </c:pt>
                <c:pt idx="106">
                  <c:v>5.8557953615336203E-3</c:v>
                </c:pt>
                <c:pt idx="107">
                  <c:v>3.6858281367375397E-4</c:v>
                </c:pt>
                <c:pt idx="108">
                  <c:v>1.0793051371796099E-3</c:v>
                </c:pt>
                <c:pt idx="109">
                  <c:v>2.02496846968122E-3</c:v>
                </c:pt>
                <c:pt idx="110">
                  <c:v>2.1582603186541299E-3</c:v>
                </c:pt>
                <c:pt idx="111">
                  <c:v>2.76981590455606E-3</c:v>
                </c:pt>
                <c:pt idx="112">
                  <c:v>6.3064056852380303E-4</c:v>
                </c:pt>
                <c:pt idx="113">
                  <c:v>4.3347957286100297E-3</c:v>
                </c:pt>
                <c:pt idx="114">
                  <c:v>1.59423547539691E-3</c:v>
                </c:pt>
                <c:pt idx="115">
                  <c:v>-6.6858616244890696E-4</c:v>
                </c:pt>
                <c:pt idx="116">
                  <c:v>3.8711281003677E-3</c:v>
                </c:pt>
                <c:pt idx="117">
                  <c:v>5.60984730887161E-3</c:v>
                </c:pt>
                <c:pt idx="118">
                  <c:v>4.8127710076865896E-3</c:v>
                </c:pt>
                <c:pt idx="119">
                  <c:v>1.0170062011822601E-2</c:v>
                </c:pt>
                <c:pt idx="120">
                  <c:v>1.0964364850599401E-2</c:v>
                </c:pt>
                <c:pt idx="121">
                  <c:v>3.5909680176312501E-3</c:v>
                </c:pt>
                <c:pt idx="122">
                  <c:v>7.2261124033523401E-3</c:v>
                </c:pt>
                <c:pt idx="123">
                  <c:v>3.0378125199964799E-3</c:v>
                </c:pt>
                <c:pt idx="124">
                  <c:v>5.1053786700292001E-4</c:v>
                </c:pt>
                <c:pt idx="125">
                  <c:v>2.4558652555375501E-3</c:v>
                </c:pt>
                <c:pt idx="126">
                  <c:v>1.43207772276273E-3</c:v>
                </c:pt>
                <c:pt idx="127">
                  <c:v>-1.98779088790315E-3</c:v>
                </c:pt>
                <c:pt idx="128">
                  <c:v>5.5342560019665797E-4</c:v>
                </c:pt>
                <c:pt idx="129">
                  <c:v>-8.1685595330887597E-4</c:v>
                </c:pt>
                <c:pt idx="130">
                  <c:v>3.1543002190564099E-4</c:v>
                </c:pt>
                <c:pt idx="131">
                  <c:v>-3.3978351695045099E-3</c:v>
                </c:pt>
                <c:pt idx="132">
                  <c:v>-2.55770664412026E-3</c:v>
                </c:pt>
                <c:pt idx="133">
                  <c:v>1.83064089369428E-3</c:v>
                </c:pt>
                <c:pt idx="134">
                  <c:v>3.40381483838554E-3</c:v>
                </c:pt>
                <c:pt idx="135">
                  <c:v>-8.0130460106919298E-4</c:v>
                </c:pt>
                <c:pt idx="136">
                  <c:v>4.1032494027974198E-4</c:v>
                </c:pt>
                <c:pt idx="137">
                  <c:v>-2.12614287845784E-3</c:v>
                </c:pt>
                <c:pt idx="138">
                  <c:v>-4.8512993825628901E-4</c:v>
                </c:pt>
                <c:pt idx="139">
                  <c:v>-2.5470664590779299E-3</c:v>
                </c:pt>
                <c:pt idx="140">
                  <c:v>-1.38641892234037E-3</c:v>
                </c:pt>
                <c:pt idx="141">
                  <c:v>-1.56369036774825E-3</c:v>
                </c:pt>
                <c:pt idx="142">
                  <c:v>-1.1279190230467199E-3</c:v>
                </c:pt>
                <c:pt idx="143">
                  <c:v>-2.6695126883841498E-3</c:v>
                </c:pt>
                <c:pt idx="144">
                  <c:v>-3.1445590079630199E-3</c:v>
                </c:pt>
                <c:pt idx="145">
                  <c:v>-1.8196666555792399E-3</c:v>
                </c:pt>
                <c:pt idx="146">
                  <c:v>-1.88048540619921E-3</c:v>
                </c:pt>
                <c:pt idx="147">
                  <c:v>-4.3196535820461696E-3</c:v>
                </c:pt>
                <c:pt idx="148">
                  <c:v>-2.5627540049504901E-3</c:v>
                </c:pt>
                <c:pt idx="149">
                  <c:v>-1.1754248843148501E-3</c:v>
                </c:pt>
                <c:pt idx="150">
                  <c:v>-8.1458937389893796E-4</c:v>
                </c:pt>
                <c:pt idx="151">
                  <c:v>-6.4448886251783702E-4</c:v>
                </c:pt>
                <c:pt idx="152">
                  <c:v>-1.94885439526281E-3</c:v>
                </c:pt>
                <c:pt idx="153">
                  <c:v>-1.6627848855531001E-3</c:v>
                </c:pt>
                <c:pt idx="154">
                  <c:v>-2.8606892023644902E-3</c:v>
                </c:pt>
                <c:pt idx="155">
                  <c:v>-2.5832982502358198E-3</c:v>
                </c:pt>
                <c:pt idx="156">
                  <c:v>-2.6733598108092701E-3</c:v>
                </c:pt>
                <c:pt idx="157">
                  <c:v>-3.0083348252748299E-3</c:v>
                </c:pt>
                <c:pt idx="158">
                  <c:v>-1.43491407727516E-3</c:v>
                </c:pt>
                <c:pt idx="159">
                  <c:v>-3.07729641236825E-3</c:v>
                </c:pt>
                <c:pt idx="160">
                  <c:v>-3.6239985663970601E-3</c:v>
                </c:pt>
                <c:pt idx="161">
                  <c:v>-3.15400300727548E-3</c:v>
                </c:pt>
                <c:pt idx="162">
                  <c:v>-2.3008499652254601E-3</c:v>
                </c:pt>
                <c:pt idx="163">
                  <c:v>-1.8071993910216901E-3</c:v>
                </c:pt>
                <c:pt idx="164">
                  <c:v>-1.8351843533184801E-3</c:v>
                </c:pt>
                <c:pt idx="165">
                  <c:v>-3.02106469855886E-3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1"/>
          <c:tx>
            <c:strRef>
              <c:f>PFF_PFFD_2!$AG$1</c:f>
              <c:strCache>
                <c:ptCount val="1"/>
                <c:pt idx="0">
                  <c:v>log diff PFFD* x 20 dma / PFF*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PFF_PFFD_2!$AG$2:$AG$167</c:f>
              <c:numCache>
                <c:formatCode>0.00%</c:formatCode>
                <c:ptCount val="166"/>
                <c:pt idx="20">
                  <c:v>-6.4496158433836198E-4</c:v>
                </c:pt>
                <c:pt idx="21">
                  <c:v>5.0805686086110799E-4</c:v>
                </c:pt>
                <c:pt idx="22">
                  <c:v>-1.71768325532856E-3</c:v>
                </c:pt>
                <c:pt idx="23">
                  <c:v>-7.3784386015811503E-5</c:v>
                </c:pt>
                <c:pt idx="24">
                  <c:v>-2.15557077273414E-3</c:v>
                </c:pt>
                <c:pt idx="25">
                  <c:v>-1.65413148311992E-3</c:v>
                </c:pt>
                <c:pt idx="26">
                  <c:v>-1.42389805946894E-3</c:v>
                </c:pt>
                <c:pt idx="27">
                  <c:v>2.5194936038846799E-4</c:v>
                </c:pt>
                <c:pt idx="28">
                  <c:v>-4.2165392685168503E-3</c:v>
                </c:pt>
                <c:pt idx="29">
                  <c:v>-7.6499711810301305E-4</c:v>
                </c:pt>
                <c:pt idx="30">
                  <c:v>-2.5162952682493901E-3</c:v>
                </c:pt>
                <c:pt idx="31">
                  <c:v>-3.4188515109885299E-4</c:v>
                </c:pt>
                <c:pt idx="32">
                  <c:v>-2.72332909851722E-3</c:v>
                </c:pt>
                <c:pt idx="33">
                  <c:v>-1.73567966094143E-3</c:v>
                </c:pt>
                <c:pt idx="34">
                  <c:v>8.9455587856128796E-5</c:v>
                </c:pt>
                <c:pt idx="35">
                  <c:v>1.8519661039379999E-3</c:v>
                </c:pt>
                <c:pt idx="36">
                  <c:v>-7.9157337885287502E-4</c:v>
                </c:pt>
                <c:pt idx="37">
                  <c:v>-1.18184855588313E-3</c:v>
                </c:pt>
                <c:pt idx="38">
                  <c:v>2.1408601458036499E-4</c:v>
                </c:pt>
                <c:pt idx="39">
                  <c:v>-2.1873384358132099E-4</c:v>
                </c:pt>
                <c:pt idx="40">
                  <c:v>-2.2414458650366099E-3</c:v>
                </c:pt>
                <c:pt idx="41">
                  <c:v>-2.3756115593478802E-3</c:v>
                </c:pt>
                <c:pt idx="42">
                  <c:v>-3.2185059460682602E-3</c:v>
                </c:pt>
                <c:pt idx="43">
                  <c:v>-3.89495823177594E-3</c:v>
                </c:pt>
                <c:pt idx="44">
                  <c:v>-4.6669220026298299E-3</c:v>
                </c:pt>
                <c:pt idx="45">
                  <c:v>-3.2564866144955398E-3</c:v>
                </c:pt>
                <c:pt idx="46">
                  <c:v>-4.2551119436570698E-3</c:v>
                </c:pt>
                <c:pt idx="47">
                  <c:v>-6.3236093363578097E-3</c:v>
                </c:pt>
                <c:pt idx="48">
                  <c:v>-5.3458619370474296E-3</c:v>
                </c:pt>
                <c:pt idx="49">
                  <c:v>-3.9857416875149097E-3</c:v>
                </c:pt>
                <c:pt idx="50">
                  <c:v>-4.25555457083698E-3</c:v>
                </c:pt>
                <c:pt idx="51">
                  <c:v>-2.9321273316865399E-3</c:v>
                </c:pt>
                <c:pt idx="52">
                  <c:v>-4.4433105729046402E-3</c:v>
                </c:pt>
                <c:pt idx="53">
                  <c:v>-5.3775646619089196E-3</c:v>
                </c:pt>
                <c:pt idx="54">
                  <c:v>-2.26549924105413E-3</c:v>
                </c:pt>
                <c:pt idx="55">
                  <c:v>5.3742055097282101E-4</c:v>
                </c:pt>
                <c:pt idx="56">
                  <c:v>1.0447910267693699E-4</c:v>
                </c:pt>
                <c:pt idx="57">
                  <c:v>-7.5543227746836003E-4</c:v>
                </c:pt>
                <c:pt idx="58">
                  <c:v>2.2620670575434999E-4</c:v>
                </c:pt>
                <c:pt idx="59">
                  <c:v>-1.9937995005236799E-3</c:v>
                </c:pt>
                <c:pt idx="60">
                  <c:v>4.2216920956028499E-4</c:v>
                </c:pt>
                <c:pt idx="61">
                  <c:v>-1.20265899944568E-3</c:v>
                </c:pt>
                <c:pt idx="62">
                  <c:v>-1.00731777141791E-3</c:v>
                </c:pt>
                <c:pt idx="63">
                  <c:v>-4.4663497194480497E-4</c:v>
                </c:pt>
                <c:pt idx="64">
                  <c:v>3.82035848760655E-3</c:v>
                </c:pt>
                <c:pt idx="65">
                  <c:v>1.81944611066129E-3</c:v>
                </c:pt>
                <c:pt idx="66">
                  <c:v>4.3841354253440802E-3</c:v>
                </c:pt>
                <c:pt idx="67">
                  <c:v>3.6913186221734298E-3</c:v>
                </c:pt>
                <c:pt idx="68">
                  <c:v>2.2402877358703699E-3</c:v>
                </c:pt>
                <c:pt idx="69">
                  <c:v>-1.0150439675664499E-3</c:v>
                </c:pt>
                <c:pt idx="70">
                  <c:v>-8.5462388049043598E-4</c:v>
                </c:pt>
                <c:pt idx="71">
                  <c:v>-4.61821308531578E-3</c:v>
                </c:pt>
                <c:pt idx="72">
                  <c:v>-5.9100062737704401E-3</c:v>
                </c:pt>
                <c:pt idx="73">
                  <c:v>-2.5008435845626301E-3</c:v>
                </c:pt>
                <c:pt idx="74">
                  <c:v>-2.4589632558650099E-3</c:v>
                </c:pt>
                <c:pt idx="75">
                  <c:v>-3.0862520123612399E-3</c:v>
                </c:pt>
                <c:pt idx="76">
                  <c:v>-6.51656349844946E-4</c:v>
                </c:pt>
                <c:pt idx="77">
                  <c:v>1.0956834655686601E-3</c:v>
                </c:pt>
                <c:pt idx="78">
                  <c:v>-5.6419885766564003E-4</c:v>
                </c:pt>
                <c:pt idx="79">
                  <c:v>2.21246473523994E-3</c:v>
                </c:pt>
                <c:pt idx="80">
                  <c:v>1.6970523543108E-3</c:v>
                </c:pt>
                <c:pt idx="81">
                  <c:v>1.6186433055582301E-3</c:v>
                </c:pt>
                <c:pt idx="82">
                  <c:v>-1.1419272341948699E-3</c:v>
                </c:pt>
                <c:pt idx="83">
                  <c:v>-1.0752505334913299E-3</c:v>
                </c:pt>
                <c:pt idx="84">
                  <c:v>-4.95210591274786E-3</c:v>
                </c:pt>
                <c:pt idx="85">
                  <c:v>-2.8296299829518E-3</c:v>
                </c:pt>
                <c:pt idx="86">
                  <c:v>-3.8910893185725502E-3</c:v>
                </c:pt>
                <c:pt idx="87">
                  <c:v>-2.4891413157050301E-3</c:v>
                </c:pt>
                <c:pt idx="88">
                  <c:v>-4.9823311242798004E-3</c:v>
                </c:pt>
                <c:pt idx="89">
                  <c:v>-7.7642640078400899E-5</c:v>
                </c:pt>
                <c:pt idx="90">
                  <c:v>-2.8823705876900598E-3</c:v>
                </c:pt>
                <c:pt idx="91">
                  <c:v>-2.2476340364704999E-3</c:v>
                </c:pt>
                <c:pt idx="92">
                  <c:v>-1.4838103660606099E-3</c:v>
                </c:pt>
                <c:pt idx="93">
                  <c:v>-4.0411174866694899E-4</c:v>
                </c:pt>
                <c:pt idx="94">
                  <c:v>-6.3267928408875201E-4</c:v>
                </c:pt>
                <c:pt idx="95">
                  <c:v>6.9918987571614198E-4</c:v>
                </c:pt>
                <c:pt idx="96">
                  <c:v>-5.51509353123761E-6</c:v>
                </c:pt>
                <c:pt idx="97">
                  <c:v>-2.8893069887568601E-3</c:v>
                </c:pt>
                <c:pt idx="98">
                  <c:v>-1.58429949670079E-3</c:v>
                </c:pt>
                <c:pt idx="99">
                  <c:v>-4.0079539002199399E-4</c:v>
                </c:pt>
                <c:pt idx="100">
                  <c:v>-1.01618818099018E-3</c:v>
                </c:pt>
                <c:pt idx="101">
                  <c:v>-1.58565995613563E-3</c:v>
                </c:pt>
                <c:pt idx="102">
                  <c:v>4.3200390371887201E-4</c:v>
                </c:pt>
                <c:pt idx="103">
                  <c:v>-2.04093972257656E-4</c:v>
                </c:pt>
                <c:pt idx="104">
                  <c:v>8.31759524430462E-4</c:v>
                </c:pt>
                <c:pt idx="105">
                  <c:v>3.1996902266996198E-3</c:v>
                </c:pt>
                <c:pt idx="106">
                  <c:v>6.0199045878093502E-3</c:v>
                </c:pt>
                <c:pt idx="107">
                  <c:v>6.4436578745337197E-4</c:v>
                </c:pt>
                <c:pt idx="108">
                  <c:v>1.5599740003738899E-3</c:v>
                </c:pt>
                <c:pt idx="109">
                  <c:v>2.51488349123332E-3</c:v>
                </c:pt>
                <c:pt idx="110">
                  <c:v>2.8385018993445999E-3</c:v>
                </c:pt>
                <c:pt idx="111">
                  <c:v>3.6031111189986299E-3</c:v>
                </c:pt>
                <c:pt idx="112">
                  <c:v>1.7726169395040599E-3</c:v>
                </c:pt>
                <c:pt idx="113">
                  <c:v>5.5743190437998903E-3</c:v>
                </c:pt>
                <c:pt idx="114">
                  <c:v>3.2617024452754198E-3</c:v>
                </c:pt>
                <c:pt idx="115">
                  <c:v>1.2245004861707301E-3</c:v>
                </c:pt>
                <c:pt idx="116">
                  <c:v>5.7163201810034401E-3</c:v>
                </c:pt>
                <c:pt idx="117">
                  <c:v>7.3072104152583804E-3</c:v>
                </c:pt>
                <c:pt idx="118">
                  <c:v>6.8121418667092199E-3</c:v>
                </c:pt>
                <c:pt idx="119">
                  <c:v>1.24282749202468E-2</c:v>
                </c:pt>
                <c:pt idx="120">
                  <c:v>1.37176354364517E-2</c:v>
                </c:pt>
                <c:pt idx="121">
                  <c:v>6.8582193726455598E-3</c:v>
                </c:pt>
                <c:pt idx="122">
                  <c:v>1.05674841418694E-2</c:v>
                </c:pt>
                <c:pt idx="123">
                  <c:v>6.9137783477942801E-3</c:v>
                </c:pt>
                <c:pt idx="124">
                  <c:v>4.3430159227852401E-3</c:v>
                </c:pt>
                <c:pt idx="125">
                  <c:v>6.39773385722854E-3</c:v>
                </c:pt>
                <c:pt idx="126">
                  <c:v>5.9222570713424504E-3</c:v>
                </c:pt>
                <c:pt idx="127">
                  <c:v>2.7454009098062302E-3</c:v>
                </c:pt>
                <c:pt idx="128">
                  <c:v>4.9463904732505301E-3</c:v>
                </c:pt>
                <c:pt idx="129">
                  <c:v>3.4150273710272399E-3</c:v>
                </c:pt>
                <c:pt idx="130">
                  <c:v>3.78662792582393E-3</c:v>
                </c:pt>
                <c:pt idx="131">
                  <c:v>-8.2788364268544801E-4</c:v>
                </c:pt>
                <c:pt idx="132">
                  <c:v>-4.4924251338684397E-4</c:v>
                </c:pt>
                <c:pt idx="133">
                  <c:v>2.9957329413800499E-3</c:v>
                </c:pt>
                <c:pt idx="134">
                  <c:v>4.3024850434318501E-3</c:v>
                </c:pt>
                <c:pt idx="135">
                  <c:v>2.2301642307025299E-6</c:v>
                </c:pt>
                <c:pt idx="136">
                  <c:v>5.7940672390312698E-4</c:v>
                </c:pt>
                <c:pt idx="137">
                  <c:v>-2.3179769375264001E-3</c:v>
                </c:pt>
                <c:pt idx="138">
                  <c:v>-7.9568517656329596E-4</c:v>
                </c:pt>
                <c:pt idx="139">
                  <c:v>-3.1662339889376601E-3</c:v>
                </c:pt>
                <c:pt idx="140">
                  <c:v>-2.0271795695859401E-3</c:v>
                </c:pt>
                <c:pt idx="141">
                  <c:v>-2.16813564534721E-3</c:v>
                </c:pt>
                <c:pt idx="142">
                  <c:v>-1.6081324404613E-3</c:v>
                </c:pt>
                <c:pt idx="143">
                  <c:v>-2.8479108277046699E-3</c:v>
                </c:pt>
                <c:pt idx="144">
                  <c:v>-3.6217228447402799E-3</c:v>
                </c:pt>
                <c:pt idx="145">
                  <c:v>-2.9054310010638699E-3</c:v>
                </c:pt>
                <c:pt idx="146">
                  <c:v>-3.0431985262282602E-3</c:v>
                </c:pt>
                <c:pt idx="147">
                  <c:v>-5.6786922627539904E-3</c:v>
                </c:pt>
                <c:pt idx="148">
                  <c:v>-4.1413881927130696E-3</c:v>
                </c:pt>
                <c:pt idx="149">
                  <c:v>-2.93259442791484E-3</c:v>
                </c:pt>
                <c:pt idx="150">
                  <c:v>-2.5305374697056401E-3</c:v>
                </c:pt>
                <c:pt idx="151">
                  <c:v>-2.3543384147604101E-3</c:v>
                </c:pt>
                <c:pt idx="152">
                  <c:v>-3.8148078979860001E-3</c:v>
                </c:pt>
                <c:pt idx="153">
                  <c:v>-3.7794166234623801E-3</c:v>
                </c:pt>
                <c:pt idx="154">
                  <c:v>-4.8961739322516103E-3</c:v>
                </c:pt>
                <c:pt idx="155">
                  <c:v>-4.4340734163398499E-3</c:v>
                </c:pt>
                <c:pt idx="156">
                  <c:v>-4.5879095720313999E-3</c:v>
                </c:pt>
                <c:pt idx="157">
                  <c:v>-4.9234682839672398E-3</c:v>
                </c:pt>
                <c:pt idx="158">
                  <c:v>-3.2305359959841299E-3</c:v>
                </c:pt>
                <c:pt idx="159">
                  <c:v>-4.7347124172682402E-3</c:v>
                </c:pt>
                <c:pt idx="160">
                  <c:v>-5.4348856523458097E-3</c:v>
                </c:pt>
                <c:pt idx="161">
                  <c:v>-5.1432594321682299E-3</c:v>
                </c:pt>
                <c:pt idx="162">
                  <c:v>-4.4890747889678798E-3</c:v>
                </c:pt>
                <c:pt idx="163">
                  <c:v>-4.0043056805876597E-3</c:v>
                </c:pt>
                <c:pt idx="164">
                  <c:v>-4.0976279850661497E-3</c:v>
                </c:pt>
                <c:pt idx="165">
                  <c:v>-5.2690409085174601E-3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PFF_PFFD_2!$Y$1</c:f>
              <c:strCache>
                <c:ptCount val="1"/>
                <c:pt idx="0">
                  <c:v> PFF*/PFFD*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PFF_PFFD_2!$Y$2:$Y$167</c:f>
              <c:numCache>
                <c:formatCode>_(* #,##0.0000_);_(* \(#,##0.0000\);_(* "-"??_);_(@_)</c:formatCode>
                <c:ptCount val="166"/>
                <c:pt idx="0">
                  <c:v>1.6378015347179899</c:v>
                </c:pt>
                <c:pt idx="1">
                  <c:v>1.6378015347179899</c:v>
                </c:pt>
                <c:pt idx="2">
                  <c:v>1.6378015347179899</c:v>
                </c:pt>
                <c:pt idx="3">
                  <c:v>1.6378015347179899</c:v>
                </c:pt>
                <c:pt idx="4">
                  <c:v>1.6378015347179899</c:v>
                </c:pt>
                <c:pt idx="5">
                  <c:v>1.6378015347179899</c:v>
                </c:pt>
                <c:pt idx="6">
                  <c:v>1.6378015347179899</c:v>
                </c:pt>
                <c:pt idx="7">
                  <c:v>1.6378015347179899</c:v>
                </c:pt>
                <c:pt idx="8">
                  <c:v>1.6378015347179899</c:v>
                </c:pt>
                <c:pt idx="9">
                  <c:v>1.6378015347179899</c:v>
                </c:pt>
                <c:pt idx="10">
                  <c:v>1.6378015347179899</c:v>
                </c:pt>
                <c:pt idx="11">
                  <c:v>1.6378015347179899</c:v>
                </c:pt>
                <c:pt idx="12">
                  <c:v>1.6378015347179899</c:v>
                </c:pt>
                <c:pt idx="13">
                  <c:v>1.6378015347179899</c:v>
                </c:pt>
                <c:pt idx="14">
                  <c:v>1.6378015347179899</c:v>
                </c:pt>
                <c:pt idx="15">
                  <c:v>1.6378015347179899</c:v>
                </c:pt>
                <c:pt idx="16">
                  <c:v>1.6378015347179899</c:v>
                </c:pt>
                <c:pt idx="17">
                  <c:v>1.6378015347179899</c:v>
                </c:pt>
                <c:pt idx="18">
                  <c:v>1.6378015347179899</c:v>
                </c:pt>
                <c:pt idx="19">
                  <c:v>1.6378015347179899</c:v>
                </c:pt>
                <c:pt idx="20">
                  <c:v>1.6378015347179899</c:v>
                </c:pt>
                <c:pt idx="21">
                  <c:v>1.6378015347179899</c:v>
                </c:pt>
                <c:pt idx="22">
                  <c:v>1.6378015347179899</c:v>
                </c:pt>
                <c:pt idx="23">
                  <c:v>1.6378015347179899</c:v>
                </c:pt>
                <c:pt idx="24">
                  <c:v>1.6378015347179899</c:v>
                </c:pt>
                <c:pt idx="25">
                  <c:v>1.6378015347179899</c:v>
                </c:pt>
                <c:pt idx="26">
                  <c:v>1.6378015347179899</c:v>
                </c:pt>
                <c:pt idx="27">
                  <c:v>1.6378015347179899</c:v>
                </c:pt>
                <c:pt idx="28">
                  <c:v>1.6378015347179899</c:v>
                </c:pt>
                <c:pt idx="29">
                  <c:v>1.6378015347179899</c:v>
                </c:pt>
                <c:pt idx="30">
                  <c:v>1.6378015347179899</c:v>
                </c:pt>
                <c:pt idx="31">
                  <c:v>1.6378015347179899</c:v>
                </c:pt>
                <c:pt idx="32">
                  <c:v>1.6378015347179899</c:v>
                </c:pt>
                <c:pt idx="33">
                  <c:v>1.6378015347179899</c:v>
                </c:pt>
                <c:pt idx="34">
                  <c:v>1.6378015347179899</c:v>
                </c:pt>
                <c:pt idx="35">
                  <c:v>1.6378015347179899</c:v>
                </c:pt>
                <c:pt idx="36">
                  <c:v>1.6378015347179899</c:v>
                </c:pt>
                <c:pt idx="37">
                  <c:v>1.6378015347179899</c:v>
                </c:pt>
                <c:pt idx="38">
                  <c:v>1.6378015347179899</c:v>
                </c:pt>
                <c:pt idx="39">
                  <c:v>1.6378015347179899</c:v>
                </c:pt>
                <c:pt idx="40">
                  <c:v>1.6378015347179899</c:v>
                </c:pt>
                <c:pt idx="41">
                  <c:v>1.6378015347179899</c:v>
                </c:pt>
                <c:pt idx="42">
                  <c:v>1.6378015347179899</c:v>
                </c:pt>
                <c:pt idx="43">
                  <c:v>1.6378015347179899</c:v>
                </c:pt>
                <c:pt idx="44">
                  <c:v>1.6378015347179899</c:v>
                </c:pt>
                <c:pt idx="45">
                  <c:v>1.6378015347179899</c:v>
                </c:pt>
                <c:pt idx="46">
                  <c:v>1.6378015347179899</c:v>
                </c:pt>
                <c:pt idx="47">
                  <c:v>1.6378015347179899</c:v>
                </c:pt>
                <c:pt idx="48">
                  <c:v>1.6378015347179899</c:v>
                </c:pt>
                <c:pt idx="49">
                  <c:v>1.6378015347179899</c:v>
                </c:pt>
                <c:pt idx="50">
                  <c:v>1.6378015347179899</c:v>
                </c:pt>
                <c:pt idx="51">
                  <c:v>1.6378015347179899</c:v>
                </c:pt>
                <c:pt idx="52">
                  <c:v>1.6378015347179899</c:v>
                </c:pt>
                <c:pt idx="53">
                  <c:v>1.6378015347179899</c:v>
                </c:pt>
                <c:pt idx="54">
                  <c:v>1.6378015347179899</c:v>
                </c:pt>
                <c:pt idx="55">
                  <c:v>1.6378015347179899</c:v>
                </c:pt>
                <c:pt idx="56">
                  <c:v>1.6378015347179899</c:v>
                </c:pt>
                <c:pt idx="57">
                  <c:v>1.6378015347179899</c:v>
                </c:pt>
                <c:pt idx="58">
                  <c:v>1.6378015347179899</c:v>
                </c:pt>
                <c:pt idx="59">
                  <c:v>1.6378015347179899</c:v>
                </c:pt>
                <c:pt idx="60">
                  <c:v>1.6378015347179899</c:v>
                </c:pt>
                <c:pt idx="61">
                  <c:v>1.6378015347179899</c:v>
                </c:pt>
                <c:pt idx="62">
                  <c:v>1.6378015347179899</c:v>
                </c:pt>
                <c:pt idx="63">
                  <c:v>1.6378015347179899</c:v>
                </c:pt>
                <c:pt idx="64">
                  <c:v>1.6378015347179899</c:v>
                </c:pt>
                <c:pt idx="65">
                  <c:v>1.6378015347179899</c:v>
                </c:pt>
                <c:pt idx="66">
                  <c:v>1.6378015347179899</c:v>
                </c:pt>
                <c:pt idx="67">
                  <c:v>1.6378015347179899</c:v>
                </c:pt>
                <c:pt idx="68">
                  <c:v>1.6378015347179899</c:v>
                </c:pt>
                <c:pt idx="69">
                  <c:v>1.6378015347179899</c:v>
                </c:pt>
                <c:pt idx="70">
                  <c:v>1.6378015347179899</c:v>
                </c:pt>
                <c:pt idx="71">
                  <c:v>1.6378015347179899</c:v>
                </c:pt>
                <c:pt idx="72">
                  <c:v>1.6378015347179899</c:v>
                </c:pt>
                <c:pt idx="73">
                  <c:v>1.6378015347179899</c:v>
                </c:pt>
                <c:pt idx="74">
                  <c:v>1.6378015347179899</c:v>
                </c:pt>
                <c:pt idx="75">
                  <c:v>1.6378015347179899</c:v>
                </c:pt>
                <c:pt idx="76">
                  <c:v>1.6378015347179899</c:v>
                </c:pt>
                <c:pt idx="77">
                  <c:v>1.6378015347179899</c:v>
                </c:pt>
                <c:pt idx="78">
                  <c:v>1.6378015347179899</c:v>
                </c:pt>
                <c:pt idx="79">
                  <c:v>1.6378015347179899</c:v>
                </c:pt>
                <c:pt idx="80">
                  <c:v>1.6378015347179899</c:v>
                </c:pt>
                <c:pt idx="81">
                  <c:v>1.6378015347179899</c:v>
                </c:pt>
                <c:pt idx="82">
                  <c:v>1.6378015347179899</c:v>
                </c:pt>
                <c:pt idx="83">
                  <c:v>1.6378015347179899</c:v>
                </c:pt>
                <c:pt idx="84">
                  <c:v>1.6378015347179899</c:v>
                </c:pt>
                <c:pt idx="85">
                  <c:v>1.6378015347179899</c:v>
                </c:pt>
                <c:pt idx="86">
                  <c:v>1.6378015347179899</c:v>
                </c:pt>
                <c:pt idx="87">
                  <c:v>1.6378015347179899</c:v>
                </c:pt>
                <c:pt idx="88">
                  <c:v>1.6378015347179899</c:v>
                </c:pt>
                <c:pt idx="89">
                  <c:v>1.6378015347179899</c:v>
                </c:pt>
                <c:pt idx="90">
                  <c:v>1.6378015347179899</c:v>
                </c:pt>
                <c:pt idx="91">
                  <c:v>1.6378015347179899</c:v>
                </c:pt>
                <c:pt idx="92">
                  <c:v>1.6378015347179899</c:v>
                </c:pt>
                <c:pt idx="93">
                  <c:v>1.6378015347179899</c:v>
                </c:pt>
                <c:pt idx="94">
                  <c:v>1.6378015347179899</c:v>
                </c:pt>
                <c:pt idx="95">
                  <c:v>1.6378015347179899</c:v>
                </c:pt>
                <c:pt idx="96">
                  <c:v>1.6378015347179899</c:v>
                </c:pt>
                <c:pt idx="97">
                  <c:v>1.6378015347179899</c:v>
                </c:pt>
                <c:pt idx="98">
                  <c:v>1.6378015347179899</c:v>
                </c:pt>
                <c:pt idx="99">
                  <c:v>1.6378015347179899</c:v>
                </c:pt>
                <c:pt idx="100">
                  <c:v>1.6378015347179899</c:v>
                </c:pt>
                <c:pt idx="101">
                  <c:v>1.6378015347179899</c:v>
                </c:pt>
                <c:pt idx="102">
                  <c:v>1.6378015347179899</c:v>
                </c:pt>
                <c:pt idx="103">
                  <c:v>1.6378015347179899</c:v>
                </c:pt>
                <c:pt idx="104">
                  <c:v>1.6378015347179899</c:v>
                </c:pt>
                <c:pt idx="105">
                  <c:v>1.6378015347179899</c:v>
                </c:pt>
                <c:pt idx="106">
                  <c:v>1.6378015347179899</c:v>
                </c:pt>
                <c:pt idx="107">
                  <c:v>1.6378015347179899</c:v>
                </c:pt>
                <c:pt idx="108">
                  <c:v>1.6378015347179899</c:v>
                </c:pt>
                <c:pt idx="109">
                  <c:v>1.6378015347179899</c:v>
                </c:pt>
                <c:pt idx="110">
                  <c:v>1.6378015347179899</c:v>
                </c:pt>
                <c:pt idx="111">
                  <c:v>1.6378015347179899</c:v>
                </c:pt>
                <c:pt idx="112">
                  <c:v>1.6378015347179899</c:v>
                </c:pt>
                <c:pt idx="113">
                  <c:v>1.6378015347179899</c:v>
                </c:pt>
                <c:pt idx="114">
                  <c:v>1.6378015347179899</c:v>
                </c:pt>
                <c:pt idx="115">
                  <c:v>1.6378015347179899</c:v>
                </c:pt>
                <c:pt idx="116">
                  <c:v>1.6378015347179899</c:v>
                </c:pt>
                <c:pt idx="117">
                  <c:v>1.6378015347179899</c:v>
                </c:pt>
                <c:pt idx="118">
                  <c:v>1.6378015347179899</c:v>
                </c:pt>
                <c:pt idx="119">
                  <c:v>1.6378015347179899</c:v>
                </c:pt>
                <c:pt idx="120">
                  <c:v>1.6378015347179899</c:v>
                </c:pt>
                <c:pt idx="121">
                  <c:v>1.6378015347179899</c:v>
                </c:pt>
                <c:pt idx="122">
                  <c:v>1.6378015347179899</c:v>
                </c:pt>
                <c:pt idx="123">
                  <c:v>1.6378015347179899</c:v>
                </c:pt>
                <c:pt idx="124">
                  <c:v>1.6378015347179899</c:v>
                </c:pt>
                <c:pt idx="125">
                  <c:v>1.6378015347179899</c:v>
                </c:pt>
                <c:pt idx="126">
                  <c:v>1.6378015347179899</c:v>
                </c:pt>
                <c:pt idx="127">
                  <c:v>1.6378015347179899</c:v>
                </c:pt>
                <c:pt idx="128">
                  <c:v>1.6378015347179899</c:v>
                </c:pt>
                <c:pt idx="129">
                  <c:v>1.6378015347179899</c:v>
                </c:pt>
                <c:pt idx="130">
                  <c:v>1.6378015347179899</c:v>
                </c:pt>
                <c:pt idx="131">
                  <c:v>1.6378015347179899</c:v>
                </c:pt>
                <c:pt idx="132">
                  <c:v>1.6378015347179899</c:v>
                </c:pt>
                <c:pt idx="133">
                  <c:v>1.6378015347179899</c:v>
                </c:pt>
                <c:pt idx="134">
                  <c:v>1.6378015347179899</c:v>
                </c:pt>
                <c:pt idx="135">
                  <c:v>1.6378015347179899</c:v>
                </c:pt>
                <c:pt idx="136">
                  <c:v>1.6378015347179899</c:v>
                </c:pt>
                <c:pt idx="137">
                  <c:v>1.6378015347179899</c:v>
                </c:pt>
                <c:pt idx="138">
                  <c:v>1.6378015347179899</c:v>
                </c:pt>
                <c:pt idx="139">
                  <c:v>1.6378015347179899</c:v>
                </c:pt>
                <c:pt idx="140">
                  <c:v>1.6378015347179899</c:v>
                </c:pt>
                <c:pt idx="141">
                  <c:v>1.6378015347179899</c:v>
                </c:pt>
                <c:pt idx="142">
                  <c:v>1.6378015347179899</c:v>
                </c:pt>
                <c:pt idx="143">
                  <c:v>1.6378015347179899</c:v>
                </c:pt>
                <c:pt idx="144">
                  <c:v>1.6378015347179899</c:v>
                </c:pt>
                <c:pt idx="145">
                  <c:v>1.6378015347179899</c:v>
                </c:pt>
                <c:pt idx="146">
                  <c:v>1.6378015347179899</c:v>
                </c:pt>
                <c:pt idx="147">
                  <c:v>1.6378015347179899</c:v>
                </c:pt>
                <c:pt idx="148">
                  <c:v>1.6378015347179899</c:v>
                </c:pt>
                <c:pt idx="149">
                  <c:v>1.6378015347179899</c:v>
                </c:pt>
                <c:pt idx="150">
                  <c:v>1.6378015347179899</c:v>
                </c:pt>
                <c:pt idx="151">
                  <c:v>1.6378015347179899</c:v>
                </c:pt>
                <c:pt idx="152">
                  <c:v>1.6378015347179899</c:v>
                </c:pt>
                <c:pt idx="153">
                  <c:v>1.6378015347179899</c:v>
                </c:pt>
                <c:pt idx="154">
                  <c:v>1.6378015347179899</c:v>
                </c:pt>
                <c:pt idx="155">
                  <c:v>1.6378015347179899</c:v>
                </c:pt>
                <c:pt idx="156">
                  <c:v>1.6378015347179899</c:v>
                </c:pt>
                <c:pt idx="157">
                  <c:v>1.6378015347179899</c:v>
                </c:pt>
                <c:pt idx="158">
                  <c:v>1.6378015347179899</c:v>
                </c:pt>
                <c:pt idx="159">
                  <c:v>1.6378015347179899</c:v>
                </c:pt>
                <c:pt idx="160">
                  <c:v>1.6378015347179899</c:v>
                </c:pt>
                <c:pt idx="161">
                  <c:v>1.6378015347179899</c:v>
                </c:pt>
                <c:pt idx="162">
                  <c:v>1.6378015347179899</c:v>
                </c:pt>
                <c:pt idx="163">
                  <c:v>1.6378015347179899</c:v>
                </c:pt>
                <c:pt idx="164">
                  <c:v>1.6378015347179899</c:v>
                </c:pt>
                <c:pt idx="165">
                  <c:v>1.6378015347179899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PFF_PFFD_2!$Z$1</c:f>
              <c:strCache>
                <c:ptCount val="1"/>
                <c:pt idx="0">
                  <c:v> PFF*/PFFD*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PFF_PFFD_2!$Z$2:$Z$167</c:f>
              <c:numCache>
                <c:formatCode>_(* #,##0.0000_);_(* \(#,##0.0000\);_(* "-"??_);_(@_)</c:formatCode>
                <c:ptCount val="166"/>
                <c:pt idx="9">
                  <c:v>1.6308743455753001</c:v>
                </c:pt>
                <c:pt idx="10">
                  <c:v>1.63072469004868</c:v>
                </c:pt>
                <c:pt idx="11">
                  <c:v>1.63056886951306</c:v>
                </c:pt>
                <c:pt idx="12">
                  <c:v>1.63035951031968</c:v>
                </c:pt>
                <c:pt idx="13">
                  <c:v>1.6302345818436199</c:v>
                </c:pt>
                <c:pt idx="14">
                  <c:v>1.63061531822003</c:v>
                </c:pt>
                <c:pt idx="15">
                  <c:v>1.6301977065972599</c:v>
                </c:pt>
                <c:pt idx="16">
                  <c:v>1.62956803997815</c:v>
                </c:pt>
                <c:pt idx="17">
                  <c:v>1.6299391106439101</c:v>
                </c:pt>
                <c:pt idx="18">
                  <c:v>1.63010076893866</c:v>
                </c:pt>
                <c:pt idx="19">
                  <c:v>1.6302707601594699</c:v>
                </c:pt>
                <c:pt idx="20">
                  <c:v>1.63020773994323</c:v>
                </c:pt>
                <c:pt idx="21">
                  <c:v>1.6300652503778801</c:v>
                </c:pt>
                <c:pt idx="22">
                  <c:v>1.6302947965729599</c:v>
                </c:pt>
                <c:pt idx="23">
                  <c:v>1.63038035795673</c:v>
                </c:pt>
                <c:pt idx="24">
                  <c:v>1.63070721079613</c:v>
                </c:pt>
                <c:pt idx="25">
                  <c:v>1.6312240900017201</c:v>
                </c:pt>
                <c:pt idx="26">
                  <c:v>1.6317463557366001</c:v>
                </c:pt>
                <c:pt idx="27">
                  <c:v>1.6317264038770301</c:v>
                </c:pt>
                <c:pt idx="28">
                  <c:v>1.63248437513218</c:v>
                </c:pt>
                <c:pt idx="29">
                  <c:v>1.63255618719006</c:v>
                </c:pt>
                <c:pt idx="30">
                  <c:v>1.6329461084022601</c:v>
                </c:pt>
                <c:pt idx="31">
                  <c:v>1.63319578596404</c:v>
                </c:pt>
                <c:pt idx="32">
                  <c:v>1.63349180659764</c:v>
                </c:pt>
                <c:pt idx="33">
                  <c:v>1.6339198820532199</c:v>
                </c:pt>
                <c:pt idx="34">
                  <c:v>1.6337377438763401</c:v>
                </c:pt>
                <c:pt idx="35">
                  <c:v>1.63332190680088</c:v>
                </c:pt>
                <c:pt idx="36">
                  <c:v>1.6333750123489801</c:v>
                </c:pt>
                <c:pt idx="37">
                  <c:v>1.6337994981050501</c:v>
                </c:pt>
                <c:pt idx="38">
                  <c:v>1.63326846722696</c:v>
                </c:pt>
                <c:pt idx="39">
                  <c:v>1.63333773142433</c:v>
                </c:pt>
                <c:pt idx="40">
                  <c:v>1.6334464779996001</c:v>
                </c:pt>
                <c:pt idx="41">
                  <c:v>1.6339410693876999</c:v>
                </c:pt>
                <c:pt idx="42">
                  <c:v>1.6342165200176799</c:v>
                </c:pt>
                <c:pt idx="43">
                  <c:v>1.6347667361540701</c:v>
                </c:pt>
                <c:pt idx="44">
                  <c:v>1.6357651727656699</c:v>
                </c:pt>
                <c:pt idx="45">
                  <c:v>1.63685329556773</c:v>
                </c:pt>
                <c:pt idx="46">
                  <c:v>1.6377027287319399</c:v>
                </c:pt>
                <c:pt idx="47">
                  <c:v>1.6388450172631399</c:v>
                </c:pt>
                <c:pt idx="48">
                  <c:v>1.6401129969822701</c:v>
                </c:pt>
                <c:pt idx="49">
                  <c:v>1.64111235204633</c:v>
                </c:pt>
                <c:pt idx="50">
                  <c:v>1.64187194820128</c:v>
                </c:pt>
                <c:pt idx="51">
                  <c:v>1.64241068217775</c:v>
                </c:pt>
                <c:pt idx="52">
                  <c:v>1.6430743269641299</c:v>
                </c:pt>
                <c:pt idx="53">
                  <c:v>1.6437993984230199</c:v>
                </c:pt>
                <c:pt idx="54">
                  <c:v>1.6439006568338801</c:v>
                </c:pt>
                <c:pt idx="55">
                  <c:v>1.64378747579882</c:v>
                </c:pt>
                <c:pt idx="56">
                  <c:v>1.64359638680094</c:v>
                </c:pt>
                <c:pt idx="57">
                  <c:v>1.64319391442234</c:v>
                </c:pt>
                <c:pt idx="58">
                  <c:v>1.6427494208556701</c:v>
                </c:pt>
                <c:pt idx="59">
                  <c:v>1.64289741906873</c:v>
                </c:pt>
                <c:pt idx="60">
                  <c:v>1.6426078830483599</c:v>
                </c:pt>
                <c:pt idx="61">
                  <c:v>1.64278269037507</c:v>
                </c:pt>
                <c:pt idx="62">
                  <c:v>1.6426608045292601</c:v>
                </c:pt>
                <c:pt idx="63">
                  <c:v>1.6422728455953699</c:v>
                </c:pt>
                <c:pt idx="64">
                  <c:v>1.6416498494073299</c:v>
                </c:pt>
                <c:pt idx="65">
                  <c:v>1.6417335651951399</c:v>
                </c:pt>
                <c:pt idx="66">
                  <c:v>1.6412760836832301</c:v>
                </c:pt>
                <c:pt idx="67">
                  <c:v>1.6407256066981299</c:v>
                </c:pt>
                <c:pt idx="68">
                  <c:v>1.64048931843418</c:v>
                </c:pt>
                <c:pt idx="69">
                  <c:v>1.6403472557451599</c:v>
                </c:pt>
                <c:pt idx="70">
                  <c:v>1.64051866362304</c:v>
                </c:pt>
                <c:pt idx="71">
                  <c:v>1.6410132372703401</c:v>
                </c:pt>
                <c:pt idx="72">
                  <c:v>1.6417510557861901</c:v>
                </c:pt>
                <c:pt idx="73">
                  <c:v>1.6420227036083499</c:v>
                </c:pt>
                <c:pt idx="74">
                  <c:v>1.6429646650488201</c:v>
                </c:pt>
                <c:pt idx="75">
                  <c:v>1.6437241281758901</c:v>
                </c:pt>
                <c:pt idx="76">
                  <c:v>1.6445466771686901</c:v>
                </c:pt>
                <c:pt idx="77">
                  <c:v>1.6450194371287099</c:v>
                </c:pt>
                <c:pt idx="78">
                  <c:v>1.6455708645952101</c:v>
                </c:pt>
                <c:pt idx="79">
                  <c:v>1.64518210782214</c:v>
                </c:pt>
                <c:pt idx="80">
                  <c:v>1.64487743598312</c:v>
                </c:pt>
                <c:pt idx="81">
                  <c:v>1.64396537233653</c:v>
                </c:pt>
                <c:pt idx="82">
                  <c:v>1.6432389380836101</c:v>
                </c:pt>
                <c:pt idx="83">
                  <c:v>1.6430333451265899</c:v>
                </c:pt>
                <c:pt idx="84">
                  <c:v>1.6434824897472999</c:v>
                </c:pt>
                <c:pt idx="85">
                  <c:v>1.6435321113463099</c:v>
                </c:pt>
                <c:pt idx="86">
                  <c:v>1.64415575056946</c:v>
                </c:pt>
                <c:pt idx="87">
                  <c:v>1.64488945849859</c:v>
                </c:pt>
                <c:pt idx="88">
                  <c:v>1.6458265501115299</c:v>
                </c:pt>
                <c:pt idx="89">
                  <c:v>1.64646930260911</c:v>
                </c:pt>
                <c:pt idx="90">
                  <c:v>1.64752902659494</c:v>
                </c:pt>
                <c:pt idx="91">
                  <c:v>1.64851564625817</c:v>
                </c:pt>
                <c:pt idx="92">
                  <c:v>1.6489475514385299</c:v>
                </c:pt>
                <c:pt idx="93">
                  <c:v>1.64919720587992</c:v>
                </c:pt>
                <c:pt idx="94">
                  <c:v>1.64884469563194</c:v>
                </c:pt>
                <c:pt idx="95">
                  <c:v>1.6485580093577801</c:v>
                </c:pt>
                <c:pt idx="96">
                  <c:v>1.64815981495732</c:v>
                </c:pt>
                <c:pt idx="97">
                  <c:v>1.64840697305879</c:v>
                </c:pt>
                <c:pt idx="98">
                  <c:v>1.64801581915734</c:v>
                </c:pt>
                <c:pt idx="99">
                  <c:v>1.6481913098215799</c:v>
                </c:pt>
                <c:pt idx="100">
                  <c:v>1.6480341824651199</c:v>
                </c:pt>
                <c:pt idx="101">
                  <c:v>1.6480830868093601</c:v>
                </c:pt>
                <c:pt idx="102">
                  <c:v>1.6479733285468201</c:v>
                </c:pt>
                <c:pt idx="103">
                  <c:v>1.64817716158278</c:v>
                </c:pt>
                <c:pt idx="104">
                  <c:v>1.6481930990371001</c:v>
                </c:pt>
                <c:pt idx="105">
                  <c:v>1.64801705536354</c:v>
                </c:pt>
                <c:pt idx="106">
                  <c:v>1.6472511220360599</c:v>
                </c:pt>
                <c:pt idx="107">
                  <c:v>1.6468234390109</c:v>
                </c:pt>
                <c:pt idx="108">
                  <c:v>1.64640222956116</c:v>
                </c:pt>
                <c:pt idx="109">
                  <c:v>1.6459512590477301</c:v>
                </c:pt>
                <c:pt idx="110">
                  <c:v>1.6452910134333201</c:v>
                </c:pt>
                <c:pt idx="111">
                  <c:v>1.6443253801509501</c:v>
                </c:pt>
                <c:pt idx="112">
                  <c:v>1.6438955081719799</c:v>
                </c:pt>
                <c:pt idx="113">
                  <c:v>1.64269431459765</c:v>
                </c:pt>
                <c:pt idx="114">
                  <c:v>1.6419704262832799</c:v>
                </c:pt>
                <c:pt idx="115">
                  <c:v>1.6419520277571</c:v>
                </c:pt>
                <c:pt idx="116">
                  <c:v>1.64167335804843</c:v>
                </c:pt>
                <c:pt idx="117">
                  <c:v>1.64025791000127</c:v>
                </c:pt>
                <c:pt idx="118">
                  <c:v>1.6389914817455</c:v>
                </c:pt>
                <c:pt idx="119">
                  <c:v>1.63692504379454</c:v>
                </c:pt>
                <c:pt idx="120">
                  <c:v>1.6345922974560001</c:v>
                </c:pt>
                <c:pt idx="121">
                  <c:v>1.6333915864194499</c:v>
                </c:pt>
                <c:pt idx="122">
                  <c:v>1.63122581932672</c:v>
                </c:pt>
                <c:pt idx="123">
                  <c:v>1.63017511940619</c:v>
                </c:pt>
                <c:pt idx="124">
                  <c:v>1.6291016700293099</c:v>
                </c:pt>
                <c:pt idx="125">
                  <c:v>1.62730538328356</c:v>
                </c:pt>
                <c:pt idx="126">
                  <c:v>1.62624223481042</c:v>
                </c:pt>
                <c:pt idx="127">
                  <c:v>1.6259410822446501</c:v>
                </c:pt>
                <c:pt idx="128">
                  <c:v>1.625206962592</c:v>
                </c:pt>
                <c:pt idx="129">
                  <c:v>1.6256197380150099</c:v>
                </c:pt>
                <c:pt idx="130">
                  <c:v>1.6262229194648801</c:v>
                </c:pt>
                <c:pt idx="131">
                  <c:v>1.62652540945211</c:v>
                </c:pt>
                <c:pt idx="132">
                  <c:v>1.6274313945769401</c:v>
                </c:pt>
                <c:pt idx="133">
                  <c:v>1.6272490842963401</c:v>
                </c:pt>
                <c:pt idx="134">
                  <c:v>1.6264867422918701</c:v>
                </c:pt>
                <c:pt idx="135">
                  <c:v>1.62675522742346</c:v>
                </c:pt>
                <c:pt idx="136">
                  <c:v>1.6268663516966799</c:v>
                </c:pt>
                <c:pt idx="137">
                  <c:v>1.62695144193581</c:v>
                </c:pt>
                <c:pt idx="138">
                  <c:v>1.62722138418539</c:v>
                </c:pt>
                <c:pt idx="139">
                  <c:v>1.62770500849357</c:v>
                </c:pt>
                <c:pt idx="140">
                  <c:v>1.62819062899205</c:v>
                </c:pt>
                <c:pt idx="141">
                  <c:v>1.62808869413826</c:v>
                </c:pt>
                <c:pt idx="142">
                  <c:v>1.6280122114657101</c:v>
                </c:pt>
                <c:pt idx="143">
                  <c:v>1.6288031253980799</c:v>
                </c:pt>
                <c:pt idx="144">
                  <c:v>1.6300244662725401</c:v>
                </c:pt>
                <c:pt idx="145">
                  <c:v>1.6305447354546101</c:v>
                </c:pt>
                <c:pt idx="146">
                  <c:v>1.63129733242659</c:v>
                </c:pt>
                <c:pt idx="147">
                  <c:v>1.6321003555793201</c:v>
                </c:pt>
                <c:pt idx="148">
                  <c:v>1.63295510309842</c:v>
                </c:pt>
                <c:pt idx="149">
                  <c:v>1.6333055370635701</c:v>
                </c:pt>
                <c:pt idx="150">
                  <c:v>1.63377286684828</c:v>
                </c:pt>
                <c:pt idx="151">
                  <c:v>1.6341816216527101</c:v>
                </c:pt>
                <c:pt idx="152">
                  <c:v>1.63492596432056</c:v>
                </c:pt>
                <c:pt idx="153">
                  <c:v>1.63545423823909</c:v>
                </c:pt>
                <c:pt idx="154">
                  <c:v>1.63607487908076</c:v>
                </c:pt>
                <c:pt idx="155">
                  <c:v>1.6368062335343101</c:v>
                </c:pt>
                <c:pt idx="156">
                  <c:v>1.63756363592738</c:v>
                </c:pt>
                <c:pt idx="157">
                  <c:v>1.6379774539141101</c:v>
                </c:pt>
                <c:pt idx="158">
                  <c:v>1.6383815645586299</c:v>
                </c:pt>
                <c:pt idx="159">
                  <c:v>1.63923711136853</c:v>
                </c:pt>
                <c:pt idx="160">
                  <c:v>1.6402923042920401</c:v>
                </c:pt>
                <c:pt idx="161">
                  <c:v>1.64135708466092</c:v>
                </c:pt>
                <c:pt idx="162">
                  <c:v>1.6421339286550201</c:v>
                </c:pt>
                <c:pt idx="163">
                  <c:v>1.64287968059152</c:v>
                </c:pt>
                <c:pt idx="164">
                  <c:v>1.6434554779002799</c:v>
                </c:pt>
                <c:pt idx="165">
                  <c:v>1.6442675937287601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PFF_PFFD_2!$AA$1</c:f>
              <c:strCache>
                <c:ptCount val="1"/>
                <c:pt idx="0">
                  <c:v> PFF*/PFFD*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PFF_PFFD_2!$AA$2:$AA$167</c:f>
              <c:numCache>
                <c:formatCode>_(* #,##0.0000_);_(* \(#,##0.0000\);_(* "-"??_);_(@_)</c:formatCode>
                <c:ptCount val="166"/>
                <c:pt idx="19">
                  <c:v>1.63057255286739</c:v>
                </c:pt>
                <c:pt idx="20">
                  <c:v>1.6304662149959599</c:v>
                </c:pt>
                <c:pt idx="21">
                  <c:v>1.6303170599454699</c:v>
                </c:pt>
                <c:pt idx="22">
                  <c:v>1.63032715344632</c:v>
                </c:pt>
                <c:pt idx="23">
                  <c:v>1.6303074699001701</c:v>
                </c:pt>
                <c:pt idx="24">
                  <c:v>1.63066126450808</c:v>
                </c:pt>
                <c:pt idx="25">
                  <c:v>1.63071089829949</c:v>
                </c:pt>
                <c:pt idx="26">
                  <c:v>1.6306571978573801</c:v>
                </c:pt>
                <c:pt idx="27">
                  <c:v>1.6308327572604699</c:v>
                </c:pt>
                <c:pt idx="28">
                  <c:v>1.6312925720354201</c:v>
                </c:pt>
                <c:pt idx="29">
                  <c:v>1.6314134736747601</c:v>
                </c:pt>
                <c:pt idx="30">
                  <c:v>1.63157692417274</c:v>
                </c:pt>
                <c:pt idx="31">
                  <c:v>1.6316305181709601</c:v>
                </c:pt>
                <c:pt idx="32">
                  <c:v>1.6318933015853001</c:v>
                </c:pt>
                <c:pt idx="33">
                  <c:v>1.6321501200049799</c:v>
                </c:pt>
                <c:pt idx="34">
                  <c:v>1.6322224773362299</c:v>
                </c:pt>
                <c:pt idx="35">
                  <c:v>1.6322729984013</c:v>
                </c:pt>
                <c:pt idx="36">
                  <c:v>1.63256068404279</c:v>
                </c:pt>
                <c:pt idx="37">
                  <c:v>1.63276295099104</c:v>
                </c:pt>
                <c:pt idx="38">
                  <c:v>1.6328764211795701</c:v>
                </c:pt>
                <c:pt idx="39">
                  <c:v>1.6329469593071899</c:v>
                </c:pt>
                <c:pt idx="40">
                  <c:v>1.6331962932009301</c:v>
                </c:pt>
                <c:pt idx="41">
                  <c:v>1.63356842767587</c:v>
                </c:pt>
                <c:pt idx="42">
                  <c:v>1.63385416330766</c:v>
                </c:pt>
                <c:pt idx="43">
                  <c:v>1.6343433091036501</c:v>
                </c:pt>
                <c:pt idx="44">
                  <c:v>1.6347514583210001</c:v>
                </c:pt>
                <c:pt idx="45">
                  <c:v>1.6350876011843101</c:v>
                </c:pt>
                <c:pt idx="46">
                  <c:v>1.6355388705404601</c:v>
                </c:pt>
                <c:pt idx="47">
                  <c:v>1.6363222576840899</c:v>
                </c:pt>
                <c:pt idx="48">
                  <c:v>1.63669073210462</c:v>
                </c:pt>
                <c:pt idx="49">
                  <c:v>1.63722504173533</c:v>
                </c:pt>
                <c:pt idx="50">
                  <c:v>1.6376592131004399</c:v>
                </c:pt>
                <c:pt idx="51">
                  <c:v>1.6381758757827301</c:v>
                </c:pt>
                <c:pt idx="52">
                  <c:v>1.6386454234909</c:v>
                </c:pt>
                <c:pt idx="53">
                  <c:v>1.6392830672885501</c:v>
                </c:pt>
                <c:pt idx="54">
                  <c:v>1.6398329147997699</c:v>
                </c:pt>
                <c:pt idx="55">
                  <c:v>1.64032038568327</c:v>
                </c:pt>
                <c:pt idx="56">
                  <c:v>1.6406495577664399</c:v>
                </c:pt>
                <c:pt idx="57">
                  <c:v>1.6410194658427399</c:v>
                </c:pt>
                <c:pt idx="58">
                  <c:v>1.64143120891897</c:v>
                </c:pt>
                <c:pt idx="59">
                  <c:v>1.64200488555753</c:v>
                </c:pt>
                <c:pt idx="60">
                  <c:v>1.64223991562482</c:v>
                </c:pt>
                <c:pt idx="61">
                  <c:v>1.6425966862764101</c:v>
                </c:pt>
                <c:pt idx="62">
                  <c:v>1.64286756574669</c:v>
                </c:pt>
                <c:pt idx="63">
                  <c:v>1.64303612200919</c:v>
                </c:pt>
                <c:pt idx="64">
                  <c:v>1.6427752531205999</c:v>
                </c:pt>
                <c:pt idx="65">
                  <c:v>1.64276052049698</c:v>
                </c:pt>
                <c:pt idx="66">
                  <c:v>1.64243623524208</c:v>
                </c:pt>
                <c:pt idx="67">
                  <c:v>1.6419597605602401</c:v>
                </c:pt>
                <c:pt idx="68">
                  <c:v>1.6416193696449199</c:v>
                </c:pt>
                <c:pt idx="69">
                  <c:v>1.6416223374069501</c:v>
                </c:pt>
                <c:pt idx="70">
                  <c:v>1.6415632733357</c:v>
                </c:pt>
                <c:pt idx="71">
                  <c:v>1.6418979638227</c:v>
                </c:pt>
                <c:pt idx="72">
                  <c:v>1.6422059301577301</c:v>
                </c:pt>
                <c:pt idx="73">
                  <c:v>1.64214777460186</c:v>
                </c:pt>
                <c:pt idx="74">
                  <c:v>1.6423072572280699</c:v>
                </c:pt>
                <c:pt idx="75">
                  <c:v>1.6427288466855201</c:v>
                </c:pt>
                <c:pt idx="76">
                  <c:v>1.6429113804259601</c:v>
                </c:pt>
                <c:pt idx="77">
                  <c:v>1.6428725219134199</c:v>
                </c:pt>
                <c:pt idx="78">
                  <c:v>1.6430300915147</c:v>
                </c:pt>
                <c:pt idx="79">
                  <c:v>1.6427646817836501</c:v>
                </c:pt>
                <c:pt idx="80">
                  <c:v>1.6426980498030801</c:v>
                </c:pt>
                <c:pt idx="81">
                  <c:v>1.6424893048034399</c:v>
                </c:pt>
                <c:pt idx="82">
                  <c:v>1.6424949969349001</c:v>
                </c:pt>
                <c:pt idx="83">
                  <c:v>1.64252802436747</c:v>
                </c:pt>
                <c:pt idx="84">
                  <c:v>1.6432235773980599</c:v>
                </c:pt>
                <c:pt idx="85">
                  <c:v>1.6436281197611</c:v>
                </c:pt>
                <c:pt idx="86">
                  <c:v>1.6443512138690799</c:v>
                </c:pt>
                <c:pt idx="87">
                  <c:v>1.64495444781365</c:v>
                </c:pt>
                <c:pt idx="88">
                  <c:v>1.64569870735337</c:v>
                </c:pt>
                <c:pt idx="89">
                  <c:v>1.64582570521563</c:v>
                </c:pt>
                <c:pt idx="90">
                  <c:v>1.64620323128903</c:v>
                </c:pt>
                <c:pt idx="91">
                  <c:v>1.64624050929735</c:v>
                </c:pt>
                <c:pt idx="92">
                  <c:v>1.6460932447610701</c:v>
                </c:pt>
                <c:pt idx="93">
                  <c:v>1.64611527550326</c:v>
                </c:pt>
                <c:pt idx="94">
                  <c:v>1.6461635926896201</c:v>
                </c:pt>
                <c:pt idx="95">
                  <c:v>1.64604506035204</c:v>
                </c:pt>
                <c:pt idx="96">
                  <c:v>1.64615778276339</c:v>
                </c:pt>
                <c:pt idx="97">
                  <c:v>1.6466482157786899</c:v>
                </c:pt>
                <c:pt idx="98">
                  <c:v>1.64692118463443</c:v>
                </c:pt>
                <c:pt idx="99">
                  <c:v>1.6473303062153499</c:v>
                </c:pt>
                <c:pt idx="100">
                  <c:v>1.64778160453003</c:v>
                </c:pt>
                <c:pt idx="101">
                  <c:v>1.64829936653376</c:v>
                </c:pt>
                <c:pt idx="102">
                  <c:v>1.6484604399926699</c:v>
                </c:pt>
                <c:pt idx="103">
                  <c:v>1.6486871837313499</c:v>
                </c:pt>
                <c:pt idx="104">
                  <c:v>1.64851889733452</c:v>
                </c:pt>
                <c:pt idx="105">
                  <c:v>1.6482875323606601</c:v>
                </c:pt>
                <c:pt idx="106">
                  <c:v>1.6477054684966901</c:v>
                </c:pt>
                <c:pt idx="107">
                  <c:v>1.6476152060348499</c:v>
                </c:pt>
                <c:pt idx="108">
                  <c:v>1.6472090243592501</c:v>
                </c:pt>
                <c:pt idx="109">
                  <c:v>1.64707128443466</c:v>
                </c:pt>
                <c:pt idx="110">
                  <c:v>1.64666259794922</c:v>
                </c:pt>
                <c:pt idx="111">
                  <c:v>1.6462042334801501</c:v>
                </c:pt>
                <c:pt idx="112">
                  <c:v>1.6459344183594</c:v>
                </c:pt>
                <c:pt idx="113">
                  <c:v>1.64543573809022</c:v>
                </c:pt>
                <c:pt idx="114">
                  <c:v>1.6450817626601899</c:v>
                </c:pt>
                <c:pt idx="115">
                  <c:v>1.6449845415603199</c:v>
                </c:pt>
                <c:pt idx="116">
                  <c:v>1.6444622400422499</c:v>
                </c:pt>
                <c:pt idx="117">
                  <c:v>1.6435406745060901</c:v>
                </c:pt>
                <c:pt idx="118">
                  <c:v>1.6426968556533299</c:v>
                </c:pt>
                <c:pt idx="119">
                  <c:v>1.64143815142114</c:v>
                </c:pt>
                <c:pt idx="120">
                  <c:v>1.63994165544466</c:v>
                </c:pt>
                <c:pt idx="121">
                  <c:v>1.6388584832852</c:v>
                </c:pt>
                <c:pt idx="122">
                  <c:v>1.6375606637493501</c:v>
                </c:pt>
                <c:pt idx="123">
                  <c:v>1.63643471700192</c:v>
                </c:pt>
                <c:pt idx="124">
                  <c:v>1.6355360481562999</c:v>
                </c:pt>
                <c:pt idx="125">
                  <c:v>1.6346287055203299</c:v>
                </c:pt>
                <c:pt idx="126">
                  <c:v>1.6339577964294201</c:v>
                </c:pt>
                <c:pt idx="127">
                  <c:v>1.6330994961229599</c:v>
                </c:pt>
                <c:pt idx="128">
                  <c:v>1.63209922216875</c:v>
                </c:pt>
                <c:pt idx="129">
                  <c:v>1.6312723909047799</c:v>
                </c:pt>
                <c:pt idx="130">
                  <c:v>1.63040760846044</c:v>
                </c:pt>
                <c:pt idx="131">
                  <c:v>1.62995849793578</c:v>
                </c:pt>
                <c:pt idx="132">
                  <c:v>1.62932860695183</c:v>
                </c:pt>
                <c:pt idx="133">
                  <c:v>1.62871210185127</c:v>
                </c:pt>
                <c:pt idx="134">
                  <c:v>1.6277942061605899</c:v>
                </c:pt>
                <c:pt idx="135">
                  <c:v>1.62703030535351</c:v>
                </c:pt>
                <c:pt idx="136">
                  <c:v>1.6265542932535499</c:v>
                </c:pt>
                <c:pt idx="137">
                  <c:v>1.62644626209023</c:v>
                </c:pt>
                <c:pt idx="138">
                  <c:v>1.6262141733886999</c:v>
                </c:pt>
                <c:pt idx="139">
                  <c:v>1.62666237325429</c:v>
                </c:pt>
                <c:pt idx="140">
                  <c:v>1.6272067742284599</c:v>
                </c:pt>
                <c:pt idx="141">
                  <c:v>1.62730705179519</c:v>
                </c:pt>
                <c:pt idx="142">
                  <c:v>1.6277218030213201</c:v>
                </c:pt>
                <c:pt idx="143">
                  <c:v>1.62802610484721</c:v>
                </c:pt>
                <c:pt idx="144">
                  <c:v>1.6282556042822001</c:v>
                </c:pt>
                <c:pt idx="145">
                  <c:v>1.6286499814390401</c:v>
                </c:pt>
                <c:pt idx="146">
                  <c:v>1.62908184206163</c:v>
                </c:pt>
                <c:pt idx="147">
                  <c:v>1.62952589875756</c:v>
                </c:pt>
                <c:pt idx="148">
                  <c:v>1.63008824364191</c:v>
                </c:pt>
                <c:pt idx="149">
                  <c:v>1.63050527277857</c:v>
                </c:pt>
                <c:pt idx="150">
                  <c:v>1.63098174792017</c:v>
                </c:pt>
                <c:pt idx="151">
                  <c:v>1.63113515789548</c:v>
                </c:pt>
                <c:pt idx="152">
                  <c:v>1.6314690878931299</c:v>
                </c:pt>
                <c:pt idx="153">
                  <c:v>1.6321286818185901</c:v>
                </c:pt>
                <c:pt idx="154">
                  <c:v>1.6330496726766499</c:v>
                </c:pt>
                <c:pt idx="155">
                  <c:v>1.6336754844944601</c:v>
                </c:pt>
                <c:pt idx="156">
                  <c:v>1.6344304841769799</c:v>
                </c:pt>
                <c:pt idx="157">
                  <c:v>1.63503890474671</c:v>
                </c:pt>
                <c:pt idx="158">
                  <c:v>1.6356683338285301</c:v>
                </c:pt>
                <c:pt idx="159">
                  <c:v>1.63627132421605</c:v>
                </c:pt>
                <c:pt idx="160">
                  <c:v>1.63703258557016</c:v>
                </c:pt>
                <c:pt idx="161">
                  <c:v>1.63776935315681</c:v>
                </c:pt>
                <c:pt idx="162">
                  <c:v>1.63852994648779</c:v>
                </c:pt>
                <c:pt idx="163">
                  <c:v>1.63916695941531</c:v>
                </c:pt>
                <c:pt idx="164">
                  <c:v>1.6397651784905201</c:v>
                </c:pt>
                <c:pt idx="165">
                  <c:v>1.64053691363153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PFF_PFFD_2!$U$1</c:f>
              <c:strCache>
                <c:ptCount val="1"/>
                <c:pt idx="0">
                  <c:v>log diff PFFD x avg / PFF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PFF_PFFD_2!$U$2:$U$167</c:f>
              <c:numCache>
                <c:formatCode>0.00%</c:formatCode>
                <c:ptCount val="166"/>
                <c:pt idx="1">
                  <c:v>7.5264794942765303E-3</c:v>
                </c:pt>
                <c:pt idx="2">
                  <c:v>7.3446976622981996E-3</c:v>
                </c:pt>
                <c:pt idx="3">
                  <c:v>8.6173672581925705E-3</c:v>
                </c:pt>
                <c:pt idx="4">
                  <c:v>1.11293540515193E-2</c:v>
                </c:pt>
                <c:pt idx="5">
                  <c:v>7.6814618940161603E-3</c:v>
                </c:pt>
                <c:pt idx="6">
                  <c:v>6.6158621332329699E-3</c:v>
                </c:pt>
                <c:pt idx="7">
                  <c:v>1.11382016037703E-2</c:v>
                </c:pt>
                <c:pt idx="8">
                  <c:v>1.0037072859974501E-2</c:v>
                </c:pt>
                <c:pt idx="9">
                  <c:v>9.05783251407382E-3</c:v>
                </c:pt>
                <c:pt idx="10">
                  <c:v>7.7509327143064303E-3</c:v>
                </c:pt>
                <c:pt idx="11">
                  <c:v>8.4813546738619402E-3</c:v>
                </c:pt>
                <c:pt idx="12">
                  <c:v>8.6276373091833999E-3</c:v>
                </c:pt>
                <c:pt idx="13">
                  <c:v>9.38369788837334E-3</c:v>
                </c:pt>
                <c:pt idx="14">
                  <c:v>8.7916155566008704E-3</c:v>
                </c:pt>
                <c:pt idx="15">
                  <c:v>1.0243057619118199E-2</c:v>
                </c:pt>
                <c:pt idx="16">
                  <c:v>1.0476578069257E-2</c:v>
                </c:pt>
                <c:pt idx="17">
                  <c:v>8.8597233127353601E-3</c:v>
                </c:pt>
                <c:pt idx="18">
                  <c:v>9.0448997682318708E-3</c:v>
                </c:pt>
                <c:pt idx="19">
                  <c:v>8.0155635991176998E-3</c:v>
                </c:pt>
                <c:pt idx="20">
                  <c:v>8.5832037262739795E-3</c:v>
                </c:pt>
                <c:pt idx="21">
                  <c:v>9.8094827484537309E-3</c:v>
                </c:pt>
                <c:pt idx="22">
                  <c:v>7.6627132477419899E-3</c:v>
                </c:pt>
                <c:pt idx="23">
                  <c:v>9.3129610594759396E-3</c:v>
                </c:pt>
                <c:pt idx="24">
                  <c:v>7.2280457887276203E-3</c:v>
                </c:pt>
                <c:pt idx="25">
                  <c:v>7.5134145804248102E-3</c:v>
                </c:pt>
                <c:pt idx="26">
                  <c:v>7.7141058895128798E-3</c:v>
                </c:pt>
                <c:pt idx="27">
                  <c:v>9.4308720738922498E-3</c:v>
                </c:pt>
                <c:pt idx="28">
                  <c:v>4.8324104902541503E-3</c:v>
                </c:pt>
                <c:pt idx="29">
                  <c:v>8.0155635991176998E-3</c:v>
                </c:pt>
                <c:pt idx="30">
                  <c:v>6.17885252887505E-3</c:v>
                </c:pt>
                <c:pt idx="31">
                  <c:v>8.2644115445873502E-3</c:v>
                </c:pt>
                <c:pt idx="32">
                  <c:v>5.8386551430727801E-3</c:v>
                </c:pt>
                <c:pt idx="33">
                  <c:v>6.6696596248155904E-3</c:v>
                </c:pt>
                <c:pt idx="34">
                  <c:v>8.3488250476038504E-3</c:v>
                </c:pt>
                <c:pt idx="35">
                  <c:v>1.00731774937978E-2</c:v>
                </c:pt>
                <c:pt idx="36">
                  <c:v>7.3846487516912099E-3</c:v>
                </c:pt>
                <c:pt idx="37">
                  <c:v>6.8163189696417202E-3</c:v>
                </c:pt>
                <c:pt idx="38">
                  <c:v>8.0980216220061692E-3</c:v>
                </c:pt>
                <c:pt idx="39">
                  <c:v>3.3856868282449602E-3</c:v>
                </c:pt>
                <c:pt idx="40">
                  <c:v>1.2763881248769901E-3</c:v>
                </c:pt>
                <c:pt idx="41">
                  <c:v>1.0035492345483699E-3</c:v>
                </c:pt>
                <c:pt idx="42">
                  <c:v>-9.4226124778308497E-5</c:v>
                </c:pt>
                <c:pt idx="43">
                  <c:v>-9.7550280582610696E-4</c:v>
                </c:pt>
                <c:pt idx="44">
                  <c:v>-2.0519366701114501E-3</c:v>
                </c:pt>
                <c:pt idx="45">
                  <c:v>-8.8140717096156496E-4</c:v>
                </c:pt>
                <c:pt idx="46">
                  <c:v>-2.1120782071888501E-3</c:v>
                </c:pt>
                <c:pt idx="47">
                  <c:v>-4.5055183589973197E-3</c:v>
                </c:pt>
                <c:pt idx="48">
                  <c:v>-4.02432832277761E-3</c:v>
                </c:pt>
                <c:pt idx="49">
                  <c:v>-2.8669105563134999E-3</c:v>
                </c:pt>
                <c:pt idx="50">
                  <c:v>-3.4504384154856E-3</c:v>
                </c:pt>
                <c:pt idx="51">
                  <c:v>-2.4101229682363702E-3</c:v>
                </c:pt>
                <c:pt idx="52">
                  <c:v>-4.2512582806102399E-3</c:v>
                </c:pt>
                <c:pt idx="53">
                  <c:v>-5.5427887474837102E-3</c:v>
                </c:pt>
                <c:pt idx="54">
                  <c:v>-2.76649064243162E-3</c:v>
                </c:pt>
                <c:pt idx="55">
                  <c:v>-2.7352647043782298E-4</c:v>
                </c:pt>
                <c:pt idx="56">
                  <c:v>-9.8967678520036489E-4</c:v>
                </c:pt>
                <c:pt idx="57">
                  <c:v>-2.0914510471266501E-3</c:v>
                </c:pt>
                <c:pt idx="58">
                  <c:v>-1.35591001456778E-3</c:v>
                </c:pt>
                <c:pt idx="59">
                  <c:v>-3.8591438467393199E-3</c:v>
                </c:pt>
                <c:pt idx="60">
                  <c:v>-1.7436217204629199E-3</c:v>
                </c:pt>
                <c:pt idx="61">
                  <c:v>-4.2641841126288497E-3</c:v>
                </c:pt>
                <c:pt idx="62">
                  <c:v>-4.27865864295066E-3</c:v>
                </c:pt>
                <c:pt idx="63">
                  <c:v>-3.8656149634491901E-3</c:v>
                </c:pt>
                <c:pt idx="64">
                  <c:v>3.6172173841897301E-4</c:v>
                </c:pt>
                <c:pt idx="65">
                  <c:v>-1.4692682524837001E-3</c:v>
                </c:pt>
                <c:pt idx="66">
                  <c:v>1.1605763420568999E-3</c:v>
                </c:pt>
                <c:pt idx="67">
                  <c:v>6.4982895835642501E-4</c:v>
                </c:pt>
                <c:pt idx="68">
                  <c:v>-4.9995469182769598E-4</c:v>
                </c:pt>
                <c:pt idx="69">
                  <c:v>-3.55813652241091E-3</c:v>
                </c:pt>
                <c:pt idx="70">
                  <c:v>-3.3809418769983998E-3</c:v>
                </c:pt>
                <c:pt idx="71">
                  <c:v>-7.17194785496603E-3</c:v>
                </c:pt>
                <c:pt idx="72">
                  <c:v>-8.6721263644877894E-3</c:v>
                </c:pt>
                <c:pt idx="73">
                  <c:v>-5.4025366218997404E-3</c:v>
                </c:pt>
                <c:pt idx="74">
                  <c:v>-5.3533690192987798E-3</c:v>
                </c:pt>
                <c:pt idx="75">
                  <c:v>-6.0496519671958604E-3</c:v>
                </c:pt>
                <c:pt idx="76">
                  <c:v>-3.8403410618372599E-3</c:v>
                </c:pt>
                <c:pt idx="77">
                  <c:v>-2.17408292765485E-3</c:v>
                </c:pt>
                <c:pt idx="78">
                  <c:v>-3.8403410618372599E-3</c:v>
                </c:pt>
                <c:pt idx="79">
                  <c:v>-1.14630407558199E-3</c:v>
                </c:pt>
                <c:pt idx="80">
                  <c:v>-1.5232557167453001E-3</c:v>
                </c:pt>
                <c:pt idx="81">
                  <c:v>-1.5210709700251E-3</c:v>
                </c:pt>
                <c:pt idx="82">
                  <c:v>-4.9740599453465002E-3</c:v>
                </c:pt>
                <c:pt idx="83">
                  <c:v>-4.93516788419623E-3</c:v>
                </c:pt>
                <c:pt idx="84">
                  <c:v>-8.8817771792460195E-3</c:v>
                </c:pt>
                <c:pt idx="85">
                  <c:v>-7.1195857686177999E-3</c:v>
                </c:pt>
                <c:pt idx="86">
                  <c:v>-8.4700113844696605E-3</c:v>
                </c:pt>
                <c:pt idx="87">
                  <c:v>-7.45373630307084E-3</c:v>
                </c:pt>
                <c:pt idx="88">
                  <c:v>-1.03803942814009E-2</c:v>
                </c:pt>
                <c:pt idx="89">
                  <c:v>-5.85336211099178E-3</c:v>
                </c:pt>
                <c:pt idx="90">
                  <c:v>-8.7940530806695297E-3</c:v>
                </c:pt>
                <c:pt idx="91">
                  <c:v>-8.3767445813882693E-3</c:v>
                </c:pt>
                <c:pt idx="92">
                  <c:v>-7.6836277080019897E-3</c:v>
                </c:pt>
                <c:pt idx="93">
                  <c:v>-6.5018124065457199E-3</c:v>
                </c:pt>
                <c:pt idx="94">
                  <c:v>-6.7821956858022297E-3</c:v>
                </c:pt>
                <c:pt idx="95">
                  <c:v>-5.4273931578384203E-3</c:v>
                </c:pt>
                <c:pt idx="96">
                  <c:v>-6.0700667018096103E-3</c:v>
                </c:pt>
                <c:pt idx="97">
                  <c:v>-9.0659163754832801E-3</c:v>
                </c:pt>
                <c:pt idx="98">
                  <c:v>-8.0200404235099294E-3</c:v>
                </c:pt>
                <c:pt idx="99">
                  <c:v>-6.9721648866587702E-3</c:v>
                </c:pt>
                <c:pt idx="100">
                  <c:v>-7.8352922263786994E-3</c:v>
                </c:pt>
                <c:pt idx="101">
                  <c:v>-8.6861644216610304E-3</c:v>
                </c:pt>
                <c:pt idx="102">
                  <c:v>-7.8185307175071394E-3</c:v>
                </c:pt>
                <c:pt idx="103">
                  <c:v>-8.5637615938023697E-3</c:v>
                </c:pt>
                <c:pt idx="104">
                  <c:v>-7.6836277080019897E-3</c:v>
                </c:pt>
                <c:pt idx="105">
                  <c:v>-5.14417967804566E-3</c:v>
                </c:pt>
                <c:pt idx="106">
                  <c:v>-2.1727292888369101E-3</c:v>
                </c:pt>
                <c:pt idx="107">
                  <c:v>-7.3170980788716498E-3</c:v>
                </c:pt>
                <c:pt idx="108">
                  <c:v>-6.3370370725242898E-3</c:v>
                </c:pt>
                <c:pt idx="109">
                  <c:v>-5.12784424102286E-3</c:v>
                </c:pt>
                <c:pt idx="110">
                  <c:v>-4.6590327112071596E-3</c:v>
                </c:pt>
                <c:pt idx="111">
                  <c:v>-3.6093148089541998E-3</c:v>
                </c:pt>
                <c:pt idx="112">
                  <c:v>-5.1568578861079604E-3</c:v>
                </c:pt>
                <c:pt idx="113">
                  <c:v>-1.10816842301145E-3</c:v>
                </c:pt>
                <c:pt idx="114">
                  <c:v>-3.1906804836772302E-3</c:v>
                </c:pt>
                <c:pt idx="115">
                  <c:v>-5.0332153428007996E-3</c:v>
                </c:pt>
                <c:pt idx="116">
                  <c:v>-4.3899744608456398E-4</c:v>
                </c:pt>
                <c:pt idx="117">
                  <c:v>1.5084228383109701E-3</c:v>
                </c:pt>
                <c:pt idx="118">
                  <c:v>1.55573074040929E-3</c:v>
                </c:pt>
                <c:pt idx="119">
                  <c:v>7.8018875351075498E-3</c:v>
                </c:pt>
                <c:pt idx="120">
                  <c:v>9.8971311687843008E-3</c:v>
                </c:pt>
                <c:pt idx="121">
                  <c:v>3.8399542821436999E-3</c:v>
                </c:pt>
                <c:pt idx="122">
                  <c:v>8.3031349060764901E-3</c:v>
                </c:pt>
                <c:pt idx="123">
                  <c:v>4.6697520953099701E-3</c:v>
                </c:pt>
                <c:pt idx="124">
                  <c:v>2.72827700601519E-3</c:v>
                </c:pt>
                <c:pt idx="125">
                  <c:v>5.4733497536924303E-3</c:v>
                </c:pt>
                <c:pt idx="126">
                  <c:v>5.5049218000144196E-3</c:v>
                </c:pt>
                <c:pt idx="127">
                  <c:v>2.6360076409166302E-3</c:v>
                </c:pt>
                <c:pt idx="128">
                  <c:v>5.4747429411451396E-3</c:v>
                </c:pt>
                <c:pt idx="129">
                  <c:v>4.5221207381063401E-3</c:v>
                </c:pt>
                <c:pt idx="130">
                  <c:v>5.3865459867050098E-3</c:v>
                </c:pt>
                <c:pt idx="131">
                  <c:v>1.2061510748043E-3</c:v>
                </c:pt>
                <c:pt idx="132">
                  <c:v>1.90603029905489E-3</c:v>
                </c:pt>
                <c:pt idx="133">
                  <c:v>5.8053707457251602E-3</c:v>
                </c:pt>
                <c:pt idx="134">
                  <c:v>7.5405586666135701E-3</c:v>
                </c:pt>
                <c:pt idx="135">
                  <c:v>3.6764457488763398E-3</c:v>
                </c:pt>
                <c:pt idx="136">
                  <c:v>4.7569428826305703E-3</c:v>
                </c:pt>
                <c:pt idx="137">
                  <c:v>2.09706933630634E-3</c:v>
                </c:pt>
                <c:pt idx="138">
                  <c:v>3.6671198566486101E-3</c:v>
                </c:pt>
                <c:pt idx="139">
                  <c:v>1.3711164913572701E-3</c:v>
                </c:pt>
                <c:pt idx="140">
                  <c:v>2.2902163560562399E-3</c:v>
                </c:pt>
                <c:pt idx="141">
                  <c:v>1.81736731037238E-3</c:v>
                </c:pt>
                <c:pt idx="142">
                  <c:v>2.2725695122568302E-3</c:v>
                </c:pt>
                <c:pt idx="143">
                  <c:v>8.0697066331631003E-4</c:v>
                </c:pt>
                <c:pt idx="144">
                  <c:v>-1.7808934081611601E-4</c:v>
                </c:pt>
                <c:pt idx="145">
                  <c:v>-2.4104513661006601E-4</c:v>
                </c:pt>
                <c:pt idx="146">
                  <c:v>-6.0814414999366096E-4</c:v>
                </c:pt>
                <c:pt idx="147">
                  <c:v>-3.6151918227604902E-3</c:v>
                </c:pt>
                <c:pt idx="148">
                  <c:v>-2.3578053920818198E-3</c:v>
                </c:pt>
                <c:pt idx="149">
                  <c:v>-1.4314897144667E-3</c:v>
                </c:pt>
                <c:pt idx="150">
                  <c:v>-1.29713410592055E-3</c:v>
                </c:pt>
                <c:pt idx="151">
                  <c:v>-1.41250835942944E-3</c:v>
                </c:pt>
                <c:pt idx="152">
                  <c:v>-2.9807688053577501E-3</c:v>
                </c:pt>
                <c:pt idx="153">
                  <c:v>-3.12676144227621E-3</c:v>
                </c:pt>
                <c:pt idx="154">
                  <c:v>-4.7170788371626799E-3</c:v>
                </c:pt>
                <c:pt idx="155">
                  <c:v>-4.8756061086471401E-3</c:v>
                </c:pt>
                <c:pt idx="156">
                  <c:v>-5.4787244721513804E-3</c:v>
                </c:pt>
                <c:pt idx="157">
                  <c:v>-6.2708175105056904E-3</c:v>
                </c:pt>
                <c:pt idx="158">
                  <c:v>-4.9356888899769399E-3</c:v>
                </c:pt>
                <c:pt idx="159">
                  <c:v>-6.8940344120178897E-3</c:v>
                </c:pt>
                <c:pt idx="160">
                  <c:v>-7.9905596748703501E-3</c:v>
                </c:pt>
                <c:pt idx="161">
                  <c:v>-8.1269699760081106E-3</c:v>
                </c:pt>
                <c:pt idx="162">
                  <c:v>-7.9124676074704293E-3</c:v>
                </c:pt>
                <c:pt idx="163">
                  <c:v>-7.90400422008424E-3</c:v>
                </c:pt>
                <c:pt idx="164">
                  <c:v>-8.4300301067317292E-3</c:v>
                </c:pt>
                <c:pt idx="165">
                  <c:v>-1.0050899308732601E-2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PFF_PFFD_2!$V$1</c:f>
              <c:strCache>
                <c:ptCount val="1"/>
                <c:pt idx="0">
                  <c:v>log diff PFFD x 10 dma / PFF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PFF_PFFD_2!$V$2:$V$167</c:f>
              <c:numCache>
                <c:formatCode>0.00%</c:formatCode>
                <c:ptCount val="166"/>
                <c:pt idx="10">
                  <c:v>-8.4606239290041605E-4</c:v>
                </c:pt>
                <c:pt idx="11">
                  <c:v>-2.0740862747201501E-4</c:v>
                </c:pt>
                <c:pt idx="12">
                  <c:v>-1.56683495875287E-4</c:v>
                </c:pt>
                <c:pt idx="13">
                  <c:v>4.70972427166251E-4</c:v>
                </c:pt>
                <c:pt idx="14">
                  <c:v>-1.9773917681455001E-4</c:v>
                </c:pt>
                <c:pt idx="15">
                  <c:v>1.4872226059076199E-3</c:v>
                </c:pt>
                <c:pt idx="16">
                  <c:v>1.4646034847925701E-3</c:v>
                </c:pt>
                <c:pt idx="17">
                  <c:v>-5.3857757606656895E-4</c:v>
                </c:pt>
                <c:pt idx="18">
                  <c:v>-1.2571598277835101E-4</c:v>
                </c:pt>
                <c:pt idx="19">
                  <c:v>-1.05587649708441E-3</c:v>
                </c:pt>
                <c:pt idx="20">
                  <c:v>-3.8395916136431299E-4</c:v>
                </c:pt>
                <c:pt idx="21">
                  <c:v>7.5902267189419202E-4</c:v>
                </c:pt>
                <c:pt idx="22">
                  <c:v>-1.5205558536412001E-3</c:v>
                </c:pt>
                <c:pt idx="23">
                  <c:v>2.26279923397059E-4</c:v>
                </c:pt>
                <c:pt idx="24">
                  <c:v>-1.85156354004044E-3</c:v>
                </c:pt>
                <c:pt idx="25">
                  <c:v>-1.4096826474117401E-3</c:v>
                </c:pt>
                <c:pt idx="26">
                  <c:v>-9.3605195528801896E-4</c:v>
                </c:pt>
                <c:pt idx="27">
                  <c:v>1.05680046604382E-3</c:v>
                </c:pt>
                <c:pt idx="28">
                  <c:v>-3.5987335915874299E-3</c:v>
                </c:pt>
                <c:pt idx="29">
                  <c:v>6.2089700976183099E-6</c:v>
                </c:pt>
                <c:pt idx="30">
                  <c:v>-1.83050210014493E-3</c:v>
                </c:pt>
                <c:pt idx="31">
                  <c:v>4.9561427624403602E-4</c:v>
                </c:pt>
                <c:pt idx="32">
                  <c:v>-1.7758427083012199E-3</c:v>
                </c:pt>
                <c:pt idx="33">
                  <c:v>-7.6229142076124595E-4</c:v>
                </c:pt>
                <c:pt idx="34">
                  <c:v>1.18102151819789E-3</c:v>
                </c:pt>
                <c:pt idx="35">
                  <c:v>2.7933592967873001E-3</c:v>
                </c:pt>
                <c:pt idx="36">
                  <c:v>-1.50791353512236E-4</c:v>
                </c:pt>
                <c:pt idx="37">
                  <c:v>-6.86176423481881E-4</c:v>
                </c:pt>
                <c:pt idx="38">
                  <c:v>8.5678514314188505E-4</c:v>
                </c:pt>
                <c:pt idx="39">
                  <c:v>-4.1824178410464997E-3</c:v>
                </c:pt>
                <c:pt idx="40">
                  <c:v>-5.82797057201314E-3</c:v>
                </c:pt>
                <c:pt idx="41">
                  <c:v>-5.6090252429234003E-3</c:v>
                </c:pt>
                <c:pt idx="42">
                  <c:v>-5.9795392396634001E-3</c:v>
                </c:pt>
                <c:pt idx="43">
                  <c:v>-6.2659135791640402E-3</c:v>
                </c:pt>
                <c:pt idx="44">
                  <c:v>-6.5762526083892499E-3</c:v>
                </c:pt>
                <c:pt idx="45">
                  <c:v>-4.3647522449479703E-3</c:v>
                </c:pt>
                <c:pt idx="46">
                  <c:v>-4.5017756577496798E-3</c:v>
                </c:pt>
                <c:pt idx="47">
                  <c:v>-5.94622412977165E-3</c:v>
                </c:pt>
                <c:pt idx="48">
                  <c:v>-4.3331620565714201E-3</c:v>
                </c:pt>
                <c:pt idx="49">
                  <c:v>-1.9663264754812199E-3</c:v>
                </c:pt>
                <c:pt idx="50">
                  <c:v>-1.9255133836687201E-3</c:v>
                </c:pt>
                <c:pt idx="51">
                  <c:v>-4.1283336660879501E-4</c:v>
                </c:pt>
                <c:pt idx="52">
                  <c:v>-1.91310083965185E-3</c:v>
                </c:pt>
                <c:pt idx="53">
                  <c:v>-2.7890829018278598E-3</c:v>
                </c:pt>
                <c:pt idx="54">
                  <c:v>4.4407072740599099E-4</c:v>
                </c:pt>
                <c:pt idx="55">
                  <c:v>3.0084305117408301E-3</c:v>
                </c:pt>
                <c:pt idx="56">
                  <c:v>2.2316544669179501E-3</c:v>
                </c:pt>
                <c:pt idx="57">
                  <c:v>1.0178211139812599E-3</c:v>
                </c:pt>
                <c:pt idx="58">
                  <c:v>1.51188052087936E-3</c:v>
                </c:pt>
                <c:pt idx="59">
                  <c:v>-1.25818341131089E-3</c:v>
                </c:pt>
                <c:pt idx="60">
                  <c:v>9.5663276188511295E-4</c:v>
                </c:pt>
                <c:pt idx="61">
                  <c:v>-1.7346082676630999E-3</c:v>
                </c:pt>
                <c:pt idx="62">
                  <c:v>-1.56354408002255E-3</c:v>
                </c:pt>
                <c:pt idx="63">
                  <c:v>-1.14775611813149E-3</c:v>
                </c:pt>
                <c:pt idx="64">
                  <c:v>2.9115155881756899E-3</c:v>
                </c:pt>
                <c:pt idx="65">
                  <c:v>7.6807663915627101E-4</c:v>
                </c:pt>
                <c:pt idx="66">
                  <c:v>3.51732506954122E-3</c:v>
                </c:pt>
                <c:pt idx="67">
                  <c:v>2.7920538169693599E-3</c:v>
                </c:pt>
                <c:pt idx="68">
                  <c:v>1.36849397977807E-3</c:v>
                </c:pt>
                <c:pt idx="69">
                  <c:v>-1.7752065761625E-3</c:v>
                </c:pt>
                <c:pt idx="70">
                  <c:v>-1.6281711392179699E-3</c:v>
                </c:pt>
                <c:pt idx="71">
                  <c:v>-5.2553259110304498E-3</c:v>
                </c:pt>
                <c:pt idx="72">
                  <c:v>-6.46366305954129E-3</c:v>
                </c:pt>
                <c:pt idx="73">
                  <c:v>-2.7529448346219599E-3</c:v>
                </c:pt>
                <c:pt idx="74">
                  <c:v>-2.5497916049357998E-3</c:v>
                </c:pt>
                <c:pt idx="75">
                  <c:v>-2.6749037056595501E-3</c:v>
                </c:pt>
                <c:pt idx="76">
                  <c:v>-7.4827300305433202E-6</c:v>
                </c:pt>
                <c:pt idx="77">
                  <c:v>2.1574981175491899E-3</c:v>
                </c:pt>
                <c:pt idx="78">
                  <c:v>7.7258549856204202E-4</c:v>
                </c:pt>
                <c:pt idx="79">
                  <c:v>3.7997907833797299E-3</c:v>
                </c:pt>
                <c:pt idx="80">
                  <c:v>3.1822516888092801E-3</c:v>
                </c:pt>
                <c:pt idx="81">
                  <c:v>2.9990687546252301E-3</c:v>
                </c:pt>
                <c:pt idx="82">
                  <c:v>-1.01907022026525E-3</c:v>
                </c:pt>
                <c:pt idx="83">
                  <c:v>-1.3511159674523699E-3</c:v>
                </c:pt>
                <c:pt idx="84">
                  <c:v>-5.3445373597037597E-3</c:v>
                </c:pt>
                <c:pt idx="85">
                  <c:v>-3.2283020784084899E-3</c:v>
                </c:pt>
                <c:pt idx="86">
                  <c:v>-4.4714515058460599E-3</c:v>
                </c:pt>
                <c:pt idx="87">
                  <c:v>-2.9913170575468599E-3</c:v>
                </c:pt>
                <c:pt idx="88">
                  <c:v>-5.3899629005115498E-3</c:v>
                </c:pt>
                <c:pt idx="89">
                  <c:v>-2.0775099699221801E-4</c:v>
                </c:pt>
                <c:pt idx="90">
                  <c:v>-2.6788549500480099E-3</c:v>
                </c:pt>
                <c:pt idx="91">
                  <c:v>-1.5354239561742799E-3</c:v>
                </c:pt>
                <c:pt idx="92">
                  <c:v>-1.5826853900208999E-4</c:v>
                </c:pt>
                <c:pt idx="93">
                  <c:v>1.2941429969847899E-3</c:v>
                </c:pt>
                <c:pt idx="94">
                  <c:v>1.1700868391105201E-3</c:v>
                </c:pt>
                <c:pt idx="95">
                  <c:v>2.3149343957933198E-3</c:v>
                </c:pt>
                <c:pt idx="96">
                  <c:v>1.5032756666333001E-3</c:v>
                </c:pt>
                <c:pt idx="97">
                  <c:v>-1.7325245386289299E-3</c:v>
                </c:pt>
                <c:pt idx="98">
                  <c:v>-5.2529415313465203E-4</c:v>
                </c:pt>
                <c:pt idx="99">
                  <c:v>2.86115092101823E-4</c:v>
                </c:pt>
                <c:pt idx="100">
                  <c:v>-4.65232768418446E-4</c:v>
                </c:pt>
                <c:pt idx="101">
                  <c:v>-1.4120762665072899E-3</c:v>
                </c:pt>
                <c:pt idx="102">
                  <c:v>-5.1346212822236503E-4</c:v>
                </c:pt>
                <c:pt idx="103">
                  <c:v>-1.2451967764717099E-3</c:v>
                </c:pt>
                <c:pt idx="104">
                  <c:v>-1.5884502351905201E-4</c:v>
                </c:pt>
                <c:pt idx="105">
                  <c:v>2.4707158450782999E-3</c:v>
                </c:pt>
                <c:pt idx="106">
                  <c:v>5.4139103737712597E-3</c:v>
                </c:pt>
                <c:pt idx="107">
                  <c:v>-1.18919660306103E-4</c:v>
                </c:pt>
                <c:pt idx="108">
                  <c:v>6.8607036857686098E-4</c:v>
                </c:pt>
                <c:pt idx="109">
                  <c:v>1.72692251544146E-3</c:v>
                </c:pt>
                <c:pt idx="110">
                  <c:v>2.01143333648842E-3</c:v>
                </c:pt>
                <c:pt idx="111">
                  <c:v>2.74360916636485E-3</c:v>
                </c:pt>
                <c:pt idx="112">
                  <c:v>6.8835587814013296E-4</c:v>
                </c:pt>
                <c:pt idx="113">
                  <c:v>4.4706714428545602E-3</c:v>
                </c:pt>
                <c:pt idx="114">
                  <c:v>1.64287433529783E-3</c:v>
                </c:pt>
                <c:pt idx="115">
                  <c:v>-6.4932798548498702E-4</c:v>
                </c:pt>
                <c:pt idx="116">
                  <c:v>3.9337855924127399E-3</c:v>
                </c:pt>
                <c:pt idx="117">
                  <c:v>5.7083486390226102E-3</c:v>
                </c:pt>
                <c:pt idx="118">
                  <c:v>4.8738556003435803E-3</c:v>
                </c:pt>
                <c:pt idx="119">
                  <c:v>1.03311541926321E-2</c:v>
                </c:pt>
                <c:pt idx="120">
                  <c:v>1.1137574856986099E-2</c:v>
                </c:pt>
                <c:pt idx="121">
                  <c:v>3.6293235955321898E-3</c:v>
                </c:pt>
                <c:pt idx="122">
                  <c:v>7.3472269345961003E-3</c:v>
                </c:pt>
                <c:pt idx="123">
                  <c:v>2.3677596603610099E-3</c:v>
                </c:pt>
                <c:pt idx="124">
                  <c:v>-1.5197666976759E-4</c:v>
                </c:pt>
                <c:pt idx="125">
                  <c:v>1.9991786028297699E-3</c:v>
                </c:pt>
                <c:pt idx="126">
                  <c:v>9.7610883770075701E-4</c:v>
                </c:pt>
                <c:pt idx="127">
                  <c:v>-2.4885630533891499E-3</c:v>
                </c:pt>
                <c:pt idx="128">
                  <c:v>2.37062659163106E-4</c:v>
                </c:pt>
                <c:pt idx="129">
                  <c:v>-1.1082137031007699E-3</c:v>
                </c:pt>
                <c:pt idx="130">
                  <c:v>8.3960327705152703E-5</c:v>
                </c:pt>
                <c:pt idx="131">
                  <c:v>-3.6465308131864399E-3</c:v>
                </c:pt>
                <c:pt idx="132">
                  <c:v>-2.6826917386148599E-3</c:v>
                </c:pt>
                <c:pt idx="133">
                  <c:v>1.8558260253327601E-3</c:v>
                </c:pt>
                <c:pt idx="134">
                  <c:v>3.4775918184590899E-3</c:v>
                </c:pt>
                <c:pt idx="135">
                  <c:v>-8.6734997259831103E-4</c:v>
                </c:pt>
                <c:pt idx="136">
                  <c:v>3.9281585577556703E-4</c:v>
                </c:pt>
                <c:pt idx="137">
                  <c:v>-2.19231992344057E-3</c:v>
                </c:pt>
                <c:pt idx="138">
                  <c:v>-5.6827330031013396E-4</c:v>
                </c:pt>
                <c:pt idx="139">
                  <c:v>-2.6835912996265401E-3</c:v>
                </c:pt>
                <c:pt idx="140">
                  <c:v>-1.44909127072061E-3</c:v>
                </c:pt>
                <c:pt idx="141">
                  <c:v>-1.61238582151541E-3</c:v>
                </c:pt>
                <c:pt idx="142">
                  <c:v>-1.2184244627227901E-3</c:v>
                </c:pt>
                <c:pt idx="143">
                  <c:v>-2.72072932045501E-3</c:v>
                </c:pt>
                <c:pt idx="144">
                  <c:v>-3.2059629884326601E-3</c:v>
                </c:pt>
                <c:pt idx="145">
                  <c:v>-2.4978535575291999E-3</c:v>
                </c:pt>
                <c:pt idx="146">
                  <c:v>-2.47306877616056E-3</c:v>
                </c:pt>
                <c:pt idx="147">
                  <c:v>-4.9438632850270104E-3</c:v>
                </c:pt>
                <c:pt idx="148">
                  <c:v>-3.11421991723734E-3</c:v>
                </c:pt>
                <c:pt idx="149">
                  <c:v>-1.58553095548632E-3</c:v>
                </c:pt>
                <c:pt idx="150">
                  <c:v>-1.17090227821627E-3</c:v>
                </c:pt>
                <c:pt idx="151">
                  <c:v>-9.2782888425524705E-4</c:v>
                </c:pt>
                <c:pt idx="152">
                  <c:v>-2.17337555202103E-3</c:v>
                </c:pt>
                <c:pt idx="153">
                  <c:v>-1.7944096447263199E-3</c:v>
                </c:pt>
                <c:pt idx="154">
                  <c:v>-2.9914987337327798E-3</c:v>
                </c:pt>
                <c:pt idx="155">
                  <c:v>-2.6959019604076801E-3</c:v>
                </c:pt>
                <c:pt idx="156">
                  <c:v>-2.8354957482362901E-3</c:v>
                </c:pt>
                <c:pt idx="157">
                  <c:v>-3.14045397982753E-3</c:v>
                </c:pt>
                <c:pt idx="158">
                  <c:v>-1.53931628972218E-3</c:v>
                </c:pt>
                <c:pt idx="159">
                  <c:v>-3.23984207721917E-3</c:v>
                </c:pt>
                <c:pt idx="160">
                  <c:v>-3.7899836064482001E-3</c:v>
                </c:pt>
                <c:pt idx="161">
                  <c:v>-3.2569774440537901E-3</c:v>
                </c:pt>
                <c:pt idx="162">
                  <c:v>-2.37132023883743E-3</c:v>
                </c:pt>
                <c:pt idx="163">
                  <c:v>-1.8698546338065799E-3</c:v>
                </c:pt>
                <c:pt idx="164">
                  <c:v>-1.91851750768907E-3</c:v>
                </c:pt>
                <c:pt idx="165">
                  <c:v>-3.1681372544895602E-3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PFF_PFFD_2!$W$1</c:f>
              <c:strCache>
                <c:ptCount val="1"/>
                <c:pt idx="0">
                  <c:v>log diff PFFD x 20 dma / PFF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PFF_PFFD_2!$W$2:$W$167</c:f>
              <c:numCache>
                <c:formatCode>0.00%</c:formatCode>
                <c:ptCount val="166"/>
                <c:pt idx="20">
                  <c:v>-1.98858143125601E-4</c:v>
                </c:pt>
                <c:pt idx="21">
                  <c:v>9.3988741257657103E-4</c:v>
                </c:pt>
                <c:pt idx="22">
                  <c:v>-1.32106181051126E-3</c:v>
                </c:pt>
                <c:pt idx="23">
                  <c:v>3.13261543405004E-4</c:v>
                </c:pt>
                <c:pt idx="24">
                  <c:v>-1.8064352241274301E-3</c:v>
                </c:pt>
                <c:pt idx="25">
                  <c:v>-1.3260480430175E-3</c:v>
                </c:pt>
                <c:pt idx="26">
                  <c:v>-1.1169439612008301E-3</c:v>
                </c:pt>
                <c:pt idx="27">
                  <c:v>5.4481695626396401E-4</c:v>
                </c:pt>
                <c:pt idx="28">
                  <c:v>-3.9684010738795204E-3</c:v>
                </c:pt>
                <c:pt idx="29">
                  <c:v>-5.2469276030741099E-4</c:v>
                </c:pt>
                <c:pt idx="30">
                  <c:v>-2.30929155487598E-3</c:v>
                </c:pt>
                <c:pt idx="31">
                  <c:v>-1.45011795434091E-4</c:v>
                </c:pt>
                <c:pt idx="32">
                  <c:v>-2.5599207029331902E-3</c:v>
                </c:pt>
                <c:pt idx="33">
                  <c:v>-1.5893141995921799E-3</c:v>
                </c:pt>
                <c:pt idx="34">
                  <c:v>2.25575493624051E-4</c:v>
                </c:pt>
                <c:pt idx="35">
                  <c:v>1.97205732708271E-3</c:v>
                </c:pt>
                <c:pt idx="36">
                  <c:v>-7.0799489886440498E-4</c:v>
                </c:pt>
                <c:pt idx="37">
                  <c:v>-1.1218695752101E-3</c:v>
                </c:pt>
                <c:pt idx="38">
                  <c:v>2.6200832665600302E-4</c:v>
                </c:pt>
                <c:pt idx="39">
                  <c:v>-4.40301848322014E-3</c:v>
                </c:pt>
                <c:pt idx="40">
                  <c:v>-6.2803661608769297E-3</c:v>
                </c:pt>
                <c:pt idx="41">
                  <c:v>-6.1869695319757296E-3</c:v>
                </c:pt>
                <c:pt idx="42">
                  <c:v>-6.84375784797273E-3</c:v>
                </c:pt>
                <c:pt idx="43">
                  <c:v>-7.3361104410508901E-3</c:v>
                </c:pt>
                <c:pt idx="44">
                  <c:v>-7.8971229008769003E-3</c:v>
                </c:pt>
                <c:pt idx="45">
                  <c:v>-6.2611871565202201E-3</c:v>
                </c:pt>
                <c:pt idx="46">
                  <c:v>-7.0713371552892099E-3</c:v>
                </c:pt>
                <c:pt idx="47">
                  <c:v>-8.9725257863005406E-3</c:v>
                </c:pt>
                <c:pt idx="48">
                  <c:v>-7.7933561651582902E-3</c:v>
                </c:pt>
                <c:pt idx="49">
                  <c:v>-6.1917060411889801E-3</c:v>
                </c:pt>
                <c:pt idx="50">
                  <c:v>-6.23084720969327E-3</c:v>
                </c:pt>
                <c:pt idx="51">
                  <c:v>-4.7084992148468899E-3</c:v>
                </c:pt>
                <c:pt idx="52">
                  <c:v>-6.0163829578942299E-3</c:v>
                </c:pt>
                <c:pt idx="53">
                  <c:v>-6.8030527566099704E-3</c:v>
                </c:pt>
                <c:pt idx="54">
                  <c:v>-3.4158894044230802E-3</c:v>
                </c:pt>
                <c:pt idx="55">
                  <c:v>-3.6849936326346098E-4</c:v>
                </c:pt>
                <c:pt idx="56">
                  <c:v>-5.6992443419650305E-4</c:v>
                </c:pt>
                <c:pt idx="57">
                  <c:v>-1.2545800667945199E-3</c:v>
                </c:pt>
                <c:pt idx="58">
                  <c:v>-7.5170246553030501E-5</c:v>
                </c:pt>
                <c:pt idx="59">
                  <c:v>-2.1080101786841599E-3</c:v>
                </c:pt>
                <c:pt idx="60">
                  <c:v>3.69140711524107E-4</c:v>
                </c:pt>
                <c:pt idx="61">
                  <c:v>-2.00071597325214E-3</c:v>
                </c:pt>
                <c:pt idx="62">
                  <c:v>-1.75200487892338E-3</c:v>
                </c:pt>
                <c:pt idx="63">
                  <c:v>-1.12983245733663E-3</c:v>
                </c:pt>
                <c:pt idx="64">
                  <c:v>3.2419539249295198E-3</c:v>
                </c:pt>
                <c:pt idx="65">
                  <c:v>1.2905190862216201E-3</c:v>
                </c:pt>
                <c:pt idx="66">
                  <c:v>3.9497097697229902E-3</c:v>
                </c:pt>
                <c:pt idx="67">
                  <c:v>3.27569436577298E-3</c:v>
                </c:pt>
                <c:pt idx="68">
                  <c:v>1.86828974721393E-3</c:v>
                </c:pt>
                <c:pt idx="69">
                  <c:v>-1.36610768483963E-3</c:v>
                </c:pt>
                <c:pt idx="70">
                  <c:v>-1.15431705125748E-3</c:v>
                </c:pt>
                <c:pt idx="71">
                  <c:v>-4.9488019964556203E-3</c:v>
                </c:pt>
                <c:pt idx="72">
                  <c:v>-6.21030534361395E-3</c:v>
                </c:pt>
                <c:pt idx="73">
                  <c:v>-2.71881072305326E-3</c:v>
                </c:pt>
                <c:pt idx="74">
                  <c:v>-2.67667533647674E-3</c:v>
                </c:pt>
                <c:pt idx="75">
                  <c:v>-3.2434436798134498E-3</c:v>
                </c:pt>
                <c:pt idx="76">
                  <c:v>-7.4526516977119304E-4</c:v>
                </c:pt>
                <c:pt idx="77">
                  <c:v>1.0634191841977501E-3</c:v>
                </c:pt>
                <c:pt idx="78">
                  <c:v>-5.9871192626990098E-4</c:v>
                </c:pt>
                <c:pt idx="79">
                  <c:v>2.2194590280346402E-3</c:v>
                </c:pt>
                <c:pt idx="80">
                  <c:v>1.7069731862550299E-3</c:v>
                </c:pt>
                <c:pt idx="81">
                  <c:v>1.6981571521329599E-3</c:v>
                </c:pt>
                <c:pt idx="82">
                  <c:v>-1.8919521360642199E-3</c:v>
                </c:pt>
                <c:pt idx="83">
                  <c:v>-1.81823688022255E-3</c:v>
                </c:pt>
                <c:pt idx="84">
                  <c:v>-5.7113012797293302E-3</c:v>
                </c:pt>
                <c:pt idx="85">
                  <c:v>-3.48653644163926E-3</c:v>
                </c:pt>
                <c:pt idx="86">
                  <c:v>-4.55429884712926E-3</c:v>
                </c:pt>
                <c:pt idx="87">
                  <c:v>-3.0567340178774601E-3</c:v>
                </c:pt>
                <c:pt idx="88">
                  <c:v>-5.5786974970203299E-3</c:v>
                </c:pt>
                <c:pt idx="89">
                  <c:v>-5.5744795913852704E-4</c:v>
                </c:pt>
                <c:pt idx="90">
                  <c:v>-3.3834519091096699E-3</c:v>
                </c:pt>
                <c:pt idx="91">
                  <c:v>-2.6953409215106001E-3</c:v>
                </c:pt>
                <c:pt idx="92">
                  <c:v>-1.94185981956228E-3</c:v>
                </c:pt>
                <c:pt idx="93">
                  <c:v>-8.09591231674734E-4</c:v>
                </c:pt>
                <c:pt idx="94">
                  <c:v>-1.03499794029245E-3</c:v>
                </c:pt>
                <c:pt idx="95">
                  <c:v>3.91266280291341E-4</c:v>
                </c:pt>
                <c:pt idx="96">
                  <c:v>-2.8251819539559201E-4</c:v>
                </c:pt>
                <c:pt idx="97">
                  <c:v>-3.16698052419539E-3</c:v>
                </c:pt>
                <c:pt idx="98">
                  <c:v>-1.77666764894925E-3</c:v>
                </c:pt>
                <c:pt idx="99">
                  <c:v>-5.1989425270558098E-4</c:v>
                </c:pt>
                <c:pt idx="100">
                  <c:v>-1.09246659748195E-3</c:v>
                </c:pt>
                <c:pt idx="101">
                  <c:v>-1.6284366205105601E-3</c:v>
                </c:pt>
                <c:pt idx="102">
                  <c:v>-4.03310772372383E-4</c:v>
                </c:pt>
                <c:pt idx="103">
                  <c:v>-1.00647299565066E-3</c:v>
                </c:pt>
                <c:pt idx="104">
                  <c:v>5.4927741209802802E-5</c:v>
                </c:pt>
                <c:pt idx="105">
                  <c:v>2.53443389019764E-3</c:v>
                </c:pt>
                <c:pt idx="106">
                  <c:v>5.4072617487908696E-3</c:v>
                </c:pt>
                <c:pt idx="107">
                  <c:v>-5.1310665828105197E-5</c:v>
                </c:pt>
                <c:pt idx="108">
                  <c:v>9.2191758861173202E-4</c:v>
                </c:pt>
                <c:pt idx="109">
                  <c:v>1.92869947945454E-3</c:v>
                </c:pt>
                <c:pt idx="110">
                  <c:v>2.3612912204870298E-3</c:v>
                </c:pt>
                <c:pt idx="111">
                  <c:v>3.20429732420916E-3</c:v>
                </c:pt>
                <c:pt idx="112">
                  <c:v>1.41854968764842E-3</c:v>
                </c:pt>
                <c:pt idx="113">
                  <c:v>5.3409122489023299E-3</c:v>
                </c:pt>
                <c:pt idx="114">
                  <c:v>2.9893936062061499E-3</c:v>
                </c:pt>
                <c:pt idx="115">
                  <c:v>9.6748102357246198E-4</c:v>
                </c:pt>
                <c:pt idx="116">
                  <c:v>5.5420050132124797E-3</c:v>
                </c:pt>
                <c:pt idx="117">
                  <c:v>7.2085986373737598E-3</c:v>
                </c:pt>
                <c:pt idx="118">
                  <c:v>6.7280627519361504E-3</c:v>
                </c:pt>
                <c:pt idx="119">
                  <c:v>1.24962429841669E-2</c:v>
                </c:pt>
                <c:pt idx="120">
                  <c:v>1.38562716750579E-2</c:v>
                </c:pt>
                <c:pt idx="121">
                  <c:v>6.9164859480562099E-3</c:v>
                </c:pt>
                <c:pt idx="122">
                  <c:v>1.0753569698424699E-2</c:v>
                </c:pt>
                <c:pt idx="123">
                  <c:v>6.31593923039756E-3</c:v>
                </c:pt>
                <c:pt idx="124">
                  <c:v>3.7123654143574498E-3</c:v>
                </c:pt>
                <c:pt idx="125">
                  <c:v>5.9359264724998797E-3</c:v>
                </c:pt>
                <c:pt idx="126">
                  <c:v>5.4368116068246901E-3</c:v>
                </c:pt>
                <c:pt idx="127">
                  <c:v>2.1845534341073201E-3</c:v>
                </c:pt>
                <c:pt idx="128">
                  <c:v>4.5241154274156701E-3</c:v>
                </c:pt>
                <c:pt idx="129">
                  <c:v>2.9799092094391099E-3</c:v>
                </c:pt>
                <c:pt idx="130">
                  <c:v>3.3608263958899401E-3</c:v>
                </c:pt>
                <c:pt idx="131">
                  <c:v>-1.3228116349953401E-3</c:v>
                </c:pt>
                <c:pt idx="132">
                  <c:v>-8.6463503917241899E-4</c:v>
                </c:pt>
                <c:pt idx="133">
                  <c:v>2.6799414715829302E-3</c:v>
                </c:pt>
                <c:pt idx="134">
                  <c:v>4.0691232559407304E-3</c:v>
                </c:pt>
                <c:pt idx="135">
                  <c:v>-3.3239467520869897E-4</c:v>
                </c:pt>
                <c:pt idx="136">
                  <c:v>3.1047627822831399E-4</c:v>
                </c:pt>
                <c:pt idx="137">
                  <c:v>-2.60982344971923E-3</c:v>
                </c:pt>
                <c:pt idx="138">
                  <c:v>-1.0692912903918399E-3</c:v>
                </c:pt>
                <c:pt idx="139">
                  <c:v>-3.4710942998527599E-3</c:v>
                </c:pt>
                <c:pt idx="140">
                  <c:v>-2.2304248070874099E-3</c:v>
                </c:pt>
                <c:pt idx="141">
                  <c:v>-2.3235971088075001E-3</c:v>
                </c:pt>
                <c:pt idx="142">
                  <c:v>-1.76713786821308E-3</c:v>
                </c:pt>
                <c:pt idx="143">
                  <c:v>-2.9316294446429698E-3</c:v>
                </c:pt>
                <c:pt idx="144">
                  <c:v>-3.72337566146589E-3</c:v>
                </c:pt>
                <c:pt idx="145">
                  <c:v>-3.6406934190855202E-3</c:v>
                </c:pt>
                <c:pt idx="146">
                  <c:v>-3.7218892251278399E-3</c:v>
                </c:pt>
                <c:pt idx="147">
                  <c:v>-6.4231264529328799E-3</c:v>
                </c:pt>
                <c:pt idx="148">
                  <c:v>-4.8521963223619102E-3</c:v>
                </c:pt>
                <c:pt idx="149">
                  <c:v>-3.53396233173243E-3</c:v>
                </c:pt>
                <c:pt idx="150">
                  <c:v>-3.1018042072104598E-3</c:v>
                </c:pt>
                <c:pt idx="151">
                  <c:v>-2.8831298411795998E-3</c:v>
                </c:pt>
                <c:pt idx="152">
                  <c:v>-4.3202596513616598E-3</c:v>
                </c:pt>
                <c:pt idx="153">
                  <c:v>-4.2214830253781699E-3</c:v>
                </c:pt>
                <c:pt idx="154">
                  <c:v>-5.3654011965945598E-3</c:v>
                </c:pt>
                <c:pt idx="155">
                  <c:v>-4.91169791653272E-3</c:v>
                </c:pt>
                <c:pt idx="156">
                  <c:v>-5.0870319946000296E-3</c:v>
                </c:pt>
                <c:pt idx="157">
                  <c:v>-5.3674861042254298E-3</c:v>
                </c:pt>
                <c:pt idx="158">
                  <c:v>-3.6135541488627799E-3</c:v>
                </c:pt>
                <c:pt idx="159">
                  <c:v>-5.14214603585269E-3</c:v>
                </c:pt>
                <c:pt idx="160">
                  <c:v>-5.8250806931182796E-3</c:v>
                </c:pt>
                <c:pt idx="161">
                  <c:v>-5.4472301030442302E-3</c:v>
                </c:pt>
                <c:pt idx="162">
                  <c:v>-4.7353962455980404E-3</c:v>
                </c:pt>
                <c:pt idx="163">
                  <c:v>-4.2179901679100899E-3</c:v>
                </c:pt>
                <c:pt idx="164">
                  <c:v>-4.3086206144962403E-3</c:v>
                </c:pt>
                <c:pt idx="165">
                  <c:v>-5.51690136583114E-3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PFF_PFFD_2!$BY$22:$BY$167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4.8119003621975055E-4</c:v>
                </c:pt>
                <c:pt idx="29">
                  <c:v>1.6386078026838103E-3</c:v>
                </c:pt>
                <c:pt idx="30">
                  <c:v>1.0550799435116304E-3</c:v>
                </c:pt>
                <c:pt idx="31">
                  <c:v>2.0953953907608003E-3</c:v>
                </c:pt>
                <c:pt idx="32">
                  <c:v>2.0953953907608003E-3</c:v>
                </c:pt>
                <c:pt idx="33">
                  <c:v>2.0953953907608003E-3</c:v>
                </c:pt>
                <c:pt idx="34">
                  <c:v>4.8716934958129504E-3</c:v>
                </c:pt>
                <c:pt idx="35">
                  <c:v>4.8716934958129504E-3</c:v>
                </c:pt>
                <c:pt idx="36">
                  <c:v>4.8716934958129504E-3</c:v>
                </c:pt>
                <c:pt idx="37">
                  <c:v>4.8716934958129504E-3</c:v>
                </c:pt>
                <c:pt idx="38">
                  <c:v>4.8716934958129504E-3</c:v>
                </c:pt>
                <c:pt idx="39">
                  <c:v>4.8716934958129504E-3</c:v>
                </c:pt>
                <c:pt idx="40">
                  <c:v>4.8716934958129504E-3</c:v>
                </c:pt>
                <c:pt idx="41">
                  <c:v>4.8716934958129504E-3</c:v>
                </c:pt>
                <c:pt idx="42">
                  <c:v>4.8716934958129504E-3</c:v>
                </c:pt>
                <c:pt idx="43">
                  <c:v>4.8716934958129504E-3</c:v>
                </c:pt>
                <c:pt idx="44">
                  <c:v>4.8716934958129504E-3</c:v>
                </c:pt>
                <c:pt idx="45">
                  <c:v>4.8716934958129504E-3</c:v>
                </c:pt>
                <c:pt idx="46">
                  <c:v>4.8716934958129504E-3</c:v>
                </c:pt>
                <c:pt idx="47">
                  <c:v>5.3824408795135007E-3</c:v>
                </c:pt>
                <c:pt idx="48">
                  <c:v>6.5322245296974705E-3</c:v>
                </c:pt>
                <c:pt idx="49">
                  <c:v>9.5904063602806205E-3</c:v>
                </c:pt>
                <c:pt idx="50">
                  <c:v>9.5904063602806205E-3</c:v>
                </c:pt>
                <c:pt idx="51">
                  <c:v>9.5904063602806205E-3</c:v>
                </c:pt>
                <c:pt idx="52">
                  <c:v>9.5904063602806205E-3</c:v>
                </c:pt>
                <c:pt idx="53">
                  <c:v>1.2859996102868507E-2</c:v>
                </c:pt>
                <c:pt idx="54">
                  <c:v>1.2859996102868507E-2</c:v>
                </c:pt>
                <c:pt idx="55">
                  <c:v>1.2859996102868507E-2</c:v>
                </c:pt>
                <c:pt idx="56">
                  <c:v>1.2859996102868507E-2</c:v>
                </c:pt>
                <c:pt idx="57">
                  <c:v>1.2859996102868507E-2</c:v>
                </c:pt>
                <c:pt idx="58">
                  <c:v>1.2859996102868507E-2</c:v>
                </c:pt>
                <c:pt idx="59">
                  <c:v>1.2859996102868507E-2</c:v>
                </c:pt>
                <c:pt idx="60">
                  <c:v>1.2859996102868507E-2</c:v>
                </c:pt>
                <c:pt idx="61">
                  <c:v>1.2859996102868507E-2</c:v>
                </c:pt>
                <c:pt idx="62">
                  <c:v>1.2859996102868507E-2</c:v>
                </c:pt>
                <c:pt idx="63">
                  <c:v>1.2859996102868507E-2</c:v>
                </c:pt>
                <c:pt idx="64">
                  <c:v>1.2859996102868507E-2</c:v>
                </c:pt>
                <c:pt idx="65">
                  <c:v>1.2859996102868507E-2</c:v>
                </c:pt>
                <c:pt idx="66">
                  <c:v>1.2859996102868507E-2</c:v>
                </c:pt>
                <c:pt idx="67">
                  <c:v>1.2859996102868507E-2</c:v>
                </c:pt>
                <c:pt idx="68">
                  <c:v>1.2859996102868507E-2</c:v>
                </c:pt>
                <c:pt idx="69">
                  <c:v>1.2859996102868507E-2</c:v>
                </c:pt>
                <c:pt idx="70">
                  <c:v>1.2859996102868507E-2</c:v>
                </c:pt>
                <c:pt idx="71">
                  <c:v>1.2859996102868507E-2</c:v>
                </c:pt>
                <c:pt idx="72">
                  <c:v>1.2859996102868507E-2</c:v>
                </c:pt>
                <c:pt idx="73">
                  <c:v>1.2859996102868507E-2</c:v>
                </c:pt>
                <c:pt idx="74">
                  <c:v>1.2859996102868507E-2</c:v>
                </c:pt>
                <c:pt idx="75">
                  <c:v>1.2859996102868507E-2</c:v>
                </c:pt>
                <c:pt idx="76">
                  <c:v>1.2859996102868507E-2</c:v>
                </c:pt>
                <c:pt idx="77">
                  <c:v>1.2859996102868507E-2</c:v>
                </c:pt>
                <c:pt idx="78">
                  <c:v>1.2859996102868507E-2</c:v>
                </c:pt>
                <c:pt idx="79">
                  <c:v>1.2859996102868507E-2</c:v>
                </c:pt>
                <c:pt idx="80">
                  <c:v>1.2859996102868507E-2</c:v>
                </c:pt>
                <c:pt idx="81">
                  <c:v>1.2859996102868507E-2</c:v>
                </c:pt>
                <c:pt idx="82">
                  <c:v>1.2859996102868507E-2</c:v>
                </c:pt>
                <c:pt idx="83">
                  <c:v>1.2859996102868507E-2</c:v>
                </c:pt>
                <c:pt idx="84">
                  <c:v>1.2859996102868507E-2</c:v>
                </c:pt>
                <c:pt idx="85">
                  <c:v>1.2859996102868507E-2</c:v>
                </c:pt>
                <c:pt idx="86">
                  <c:v>1.2859996102868507E-2</c:v>
                </c:pt>
                <c:pt idx="87">
                  <c:v>1.8004364892903187E-2</c:v>
                </c:pt>
                <c:pt idx="88">
                  <c:v>1.8004364892903187E-2</c:v>
                </c:pt>
                <c:pt idx="89">
                  <c:v>1.8004364892903187E-2</c:v>
                </c:pt>
                <c:pt idx="90">
                  <c:v>1.8004364892903187E-2</c:v>
                </c:pt>
                <c:pt idx="91">
                  <c:v>1.8004364892903187E-2</c:v>
                </c:pt>
                <c:pt idx="92">
                  <c:v>1.8004364892903187E-2</c:v>
                </c:pt>
                <c:pt idx="93">
                  <c:v>1.8004364892903187E-2</c:v>
                </c:pt>
                <c:pt idx="94">
                  <c:v>2.0086876953568998E-2</c:v>
                </c:pt>
                <c:pt idx="95">
                  <c:v>2.1929411812692676E-2</c:v>
                </c:pt>
                <c:pt idx="96">
                  <c:v>2.1929411812692676E-2</c:v>
                </c:pt>
                <c:pt idx="97">
                  <c:v>1.9981991528297115E-2</c:v>
                </c:pt>
                <c:pt idx="98">
                  <c:v>1.9934683626198775E-2</c:v>
                </c:pt>
                <c:pt idx="99">
                  <c:v>1.3688526831500515E-2</c:v>
                </c:pt>
                <c:pt idx="100">
                  <c:v>1.1593283197823875E-2</c:v>
                </c:pt>
                <c:pt idx="101">
                  <c:v>1.7650460084464387E-2</c:v>
                </c:pt>
                <c:pt idx="102">
                  <c:v>1.3187279460531668E-2</c:v>
                </c:pt>
                <c:pt idx="103">
                  <c:v>1.3187279460531668E-2</c:v>
                </c:pt>
                <c:pt idx="104">
                  <c:v>1.5128754549826462E-2</c:v>
                </c:pt>
                <c:pt idx="105">
                  <c:v>1.2383681802149171E-2</c:v>
                </c:pt>
                <c:pt idx="106">
                  <c:v>1.2352109755827161E-2</c:v>
                </c:pt>
                <c:pt idx="107">
                  <c:v>1.5221023914924912E-2</c:v>
                </c:pt>
                <c:pt idx="108">
                  <c:v>1.2382288614696462E-2</c:v>
                </c:pt>
                <c:pt idx="109">
                  <c:v>1.3334910817735093E-2</c:v>
                </c:pt>
                <c:pt idx="110">
                  <c:v>1.2470485569136353E-2</c:v>
                </c:pt>
                <c:pt idx="111">
                  <c:v>1.665088048103705E-2</c:v>
                </c:pt>
                <c:pt idx="112">
                  <c:v>1.665088048103705E-2</c:v>
                </c:pt>
                <c:pt idx="113">
                  <c:v>1.665088048103705E-2</c:v>
                </c:pt>
                <c:pt idx="114">
                  <c:v>1.665088048103705E-2</c:v>
                </c:pt>
                <c:pt idx="115">
                  <c:v>2.051499339877411E-2</c:v>
                </c:pt>
                <c:pt idx="116">
                  <c:v>2.051499339877411E-2</c:v>
                </c:pt>
                <c:pt idx="117">
                  <c:v>2.051499339877411E-2</c:v>
                </c:pt>
                <c:pt idx="118">
                  <c:v>2.051499339877411E-2</c:v>
                </c:pt>
                <c:pt idx="119">
                  <c:v>2.051499339877411E-2</c:v>
                </c:pt>
                <c:pt idx="120">
                  <c:v>2.051499339877411E-2</c:v>
                </c:pt>
                <c:pt idx="121">
                  <c:v>2.051499339877411E-2</c:v>
                </c:pt>
                <c:pt idx="122">
                  <c:v>2.051499339877411E-2</c:v>
                </c:pt>
                <c:pt idx="123">
                  <c:v>2.051499339877411E-2</c:v>
                </c:pt>
                <c:pt idx="124">
                  <c:v>2.051499339877411E-2</c:v>
                </c:pt>
                <c:pt idx="125">
                  <c:v>2.051499339877411E-2</c:v>
                </c:pt>
                <c:pt idx="126">
                  <c:v>2.051499339877411E-2</c:v>
                </c:pt>
                <c:pt idx="127">
                  <c:v>2.051499339877411E-2</c:v>
                </c:pt>
                <c:pt idx="128">
                  <c:v>2.1772379829452772E-2</c:v>
                </c:pt>
                <c:pt idx="129">
                  <c:v>2.2698695507067893E-2</c:v>
                </c:pt>
                <c:pt idx="130">
                  <c:v>2.2698695507067893E-2</c:v>
                </c:pt>
                <c:pt idx="131">
                  <c:v>2.2698695507067893E-2</c:v>
                </c:pt>
                <c:pt idx="132">
                  <c:v>2.2698695507067893E-2</c:v>
                </c:pt>
                <c:pt idx="133">
                  <c:v>2.2698695507067893E-2</c:v>
                </c:pt>
                <c:pt idx="134">
                  <c:v>2.2698695507067893E-2</c:v>
                </c:pt>
                <c:pt idx="135">
                  <c:v>2.2698695507067893E-2</c:v>
                </c:pt>
                <c:pt idx="136">
                  <c:v>2.2698695507067893E-2</c:v>
                </c:pt>
                <c:pt idx="137">
                  <c:v>2.2698695507067893E-2</c:v>
                </c:pt>
                <c:pt idx="138">
                  <c:v>2.2698695507067893E-2</c:v>
                </c:pt>
                <c:pt idx="139">
                  <c:v>2.2698695507067893E-2</c:v>
                </c:pt>
                <c:pt idx="140">
                  <c:v>2.2698695507067893E-2</c:v>
                </c:pt>
                <c:pt idx="141">
                  <c:v>2.2562285205930052E-2</c:v>
                </c:pt>
                <c:pt idx="142">
                  <c:v>2.2776787574467716E-2</c:v>
                </c:pt>
                <c:pt idx="143">
                  <c:v>2.2785250961853958E-2</c:v>
                </c:pt>
                <c:pt idx="144">
                  <c:v>2.2259225075206567E-2</c:v>
                </c:pt>
                <c:pt idx="145">
                  <c:v>2.0638355873205526E-2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PFF_PFFD_2!$BJ$22:$BJ$167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4.8119003621975055E-4</c:v>
                </c:pt>
                <c:pt idx="29">
                  <c:v>1.6386078026838103E-3</c:v>
                </c:pt>
                <c:pt idx="30">
                  <c:v>1.0550799435116304E-3</c:v>
                </c:pt>
                <c:pt idx="31">
                  <c:v>2.0953953907608003E-3</c:v>
                </c:pt>
                <c:pt idx="32">
                  <c:v>2.0953953907608003E-3</c:v>
                </c:pt>
                <c:pt idx="33">
                  <c:v>2.0953953907608003E-3</c:v>
                </c:pt>
                <c:pt idx="34">
                  <c:v>4.8716934958129504E-3</c:v>
                </c:pt>
                <c:pt idx="35">
                  <c:v>4.8716934958129504E-3</c:v>
                </c:pt>
                <c:pt idx="36">
                  <c:v>4.8716934958129504E-3</c:v>
                </c:pt>
                <c:pt idx="37">
                  <c:v>4.8716934958129504E-3</c:v>
                </c:pt>
                <c:pt idx="38">
                  <c:v>4.8716934958129504E-3</c:v>
                </c:pt>
                <c:pt idx="39">
                  <c:v>4.8716934958129504E-3</c:v>
                </c:pt>
                <c:pt idx="40">
                  <c:v>4.8716934958129504E-3</c:v>
                </c:pt>
                <c:pt idx="41">
                  <c:v>4.8716934958129504E-3</c:v>
                </c:pt>
                <c:pt idx="42">
                  <c:v>4.8716934958129504E-3</c:v>
                </c:pt>
                <c:pt idx="43">
                  <c:v>4.8716934958129504E-3</c:v>
                </c:pt>
                <c:pt idx="44">
                  <c:v>4.8716934958129504E-3</c:v>
                </c:pt>
                <c:pt idx="45">
                  <c:v>4.8716934958129504E-3</c:v>
                </c:pt>
                <c:pt idx="46">
                  <c:v>4.8716934958129504E-3</c:v>
                </c:pt>
                <c:pt idx="47">
                  <c:v>4.8716934958129504E-3</c:v>
                </c:pt>
                <c:pt idx="48">
                  <c:v>4.8716934958129504E-3</c:v>
                </c:pt>
                <c:pt idx="49">
                  <c:v>4.8716934958129504E-3</c:v>
                </c:pt>
                <c:pt idx="50">
                  <c:v>4.8716934958129504E-3</c:v>
                </c:pt>
                <c:pt idx="51">
                  <c:v>4.8716934958129504E-3</c:v>
                </c:pt>
                <c:pt idx="52">
                  <c:v>4.8716934958129504E-3</c:v>
                </c:pt>
                <c:pt idx="53">
                  <c:v>8.1412832384008382E-3</c:v>
                </c:pt>
                <c:pt idx="54">
                  <c:v>8.1412832384008382E-3</c:v>
                </c:pt>
                <c:pt idx="55">
                  <c:v>8.1412832384008382E-3</c:v>
                </c:pt>
                <c:pt idx="56">
                  <c:v>8.1412832384008382E-3</c:v>
                </c:pt>
                <c:pt idx="57">
                  <c:v>8.1412832384008382E-3</c:v>
                </c:pt>
                <c:pt idx="58">
                  <c:v>8.1412832384008382E-3</c:v>
                </c:pt>
                <c:pt idx="59">
                  <c:v>8.1412832384008382E-3</c:v>
                </c:pt>
                <c:pt idx="60">
                  <c:v>8.1412832384008382E-3</c:v>
                </c:pt>
                <c:pt idx="61">
                  <c:v>8.1412832384008382E-3</c:v>
                </c:pt>
                <c:pt idx="62">
                  <c:v>8.1412832384008382E-3</c:v>
                </c:pt>
                <c:pt idx="63">
                  <c:v>8.1412832384008382E-3</c:v>
                </c:pt>
                <c:pt idx="64">
                  <c:v>8.1412832384008382E-3</c:v>
                </c:pt>
                <c:pt idx="65">
                  <c:v>8.1412832384008382E-3</c:v>
                </c:pt>
                <c:pt idx="66">
                  <c:v>8.1412832384008382E-3</c:v>
                </c:pt>
                <c:pt idx="67">
                  <c:v>8.1412832384008382E-3</c:v>
                </c:pt>
                <c:pt idx="68">
                  <c:v>8.1412832384008382E-3</c:v>
                </c:pt>
                <c:pt idx="69">
                  <c:v>8.1412832384008382E-3</c:v>
                </c:pt>
                <c:pt idx="70">
                  <c:v>8.1412832384008382E-3</c:v>
                </c:pt>
                <c:pt idx="71">
                  <c:v>8.1412832384008382E-3</c:v>
                </c:pt>
                <c:pt idx="72">
                  <c:v>8.1412832384008382E-3</c:v>
                </c:pt>
                <c:pt idx="73">
                  <c:v>8.1412832384008382E-3</c:v>
                </c:pt>
                <c:pt idx="74">
                  <c:v>8.1412832384008382E-3</c:v>
                </c:pt>
                <c:pt idx="75">
                  <c:v>8.1412832384008382E-3</c:v>
                </c:pt>
                <c:pt idx="76">
                  <c:v>8.1412832384008382E-3</c:v>
                </c:pt>
                <c:pt idx="77">
                  <c:v>8.1412832384008382E-3</c:v>
                </c:pt>
                <c:pt idx="78">
                  <c:v>8.1412832384008382E-3</c:v>
                </c:pt>
                <c:pt idx="79">
                  <c:v>8.1412832384008382E-3</c:v>
                </c:pt>
                <c:pt idx="80">
                  <c:v>8.1412832384008382E-3</c:v>
                </c:pt>
                <c:pt idx="81">
                  <c:v>8.1412832384008382E-3</c:v>
                </c:pt>
                <c:pt idx="82">
                  <c:v>8.1412832384008382E-3</c:v>
                </c:pt>
                <c:pt idx="83">
                  <c:v>8.1412832384008382E-3</c:v>
                </c:pt>
                <c:pt idx="84">
                  <c:v>8.1412832384008382E-3</c:v>
                </c:pt>
                <c:pt idx="85">
                  <c:v>8.1412832384008382E-3</c:v>
                </c:pt>
                <c:pt idx="86">
                  <c:v>8.1412832384008382E-3</c:v>
                </c:pt>
                <c:pt idx="87">
                  <c:v>8.1412832384008382E-3</c:v>
                </c:pt>
                <c:pt idx="88">
                  <c:v>8.1412832384008382E-3</c:v>
                </c:pt>
                <c:pt idx="89">
                  <c:v>8.1412832384008382E-3</c:v>
                </c:pt>
                <c:pt idx="90">
                  <c:v>8.1412832384008382E-3</c:v>
                </c:pt>
                <c:pt idx="91">
                  <c:v>8.1412832384008382E-3</c:v>
                </c:pt>
                <c:pt idx="92">
                  <c:v>8.1412832384008382E-3</c:v>
                </c:pt>
                <c:pt idx="93">
                  <c:v>8.1412832384008382E-3</c:v>
                </c:pt>
                <c:pt idx="94">
                  <c:v>8.1412832384008382E-3</c:v>
                </c:pt>
                <c:pt idx="95">
                  <c:v>8.1412832384008382E-3</c:v>
                </c:pt>
                <c:pt idx="96">
                  <c:v>8.1412832384008382E-3</c:v>
                </c:pt>
                <c:pt idx="97">
                  <c:v>8.1412832384008382E-3</c:v>
                </c:pt>
                <c:pt idx="98">
                  <c:v>8.1412832384008382E-3</c:v>
                </c:pt>
                <c:pt idx="99">
                  <c:v>8.1412832384008382E-3</c:v>
                </c:pt>
                <c:pt idx="100">
                  <c:v>8.1412832384008382E-3</c:v>
                </c:pt>
                <c:pt idx="101">
                  <c:v>8.1412832384008382E-3</c:v>
                </c:pt>
                <c:pt idx="102">
                  <c:v>8.1412832384008382E-3</c:v>
                </c:pt>
                <c:pt idx="103">
                  <c:v>8.1412832384008382E-3</c:v>
                </c:pt>
                <c:pt idx="104">
                  <c:v>8.1412832384008382E-3</c:v>
                </c:pt>
                <c:pt idx="105">
                  <c:v>8.1412832384008382E-3</c:v>
                </c:pt>
                <c:pt idx="106">
                  <c:v>8.1412832384008382E-3</c:v>
                </c:pt>
                <c:pt idx="107">
                  <c:v>8.1412832384008382E-3</c:v>
                </c:pt>
                <c:pt idx="108">
                  <c:v>8.1412832384008382E-3</c:v>
                </c:pt>
                <c:pt idx="109">
                  <c:v>8.1412832384008382E-3</c:v>
                </c:pt>
                <c:pt idx="110">
                  <c:v>8.1412832384008382E-3</c:v>
                </c:pt>
                <c:pt idx="111">
                  <c:v>8.1412832384008382E-3</c:v>
                </c:pt>
                <c:pt idx="112">
                  <c:v>8.1412832384008382E-3</c:v>
                </c:pt>
                <c:pt idx="113">
                  <c:v>8.1412832384008382E-3</c:v>
                </c:pt>
                <c:pt idx="114">
                  <c:v>8.1412832384008382E-3</c:v>
                </c:pt>
                <c:pt idx="115">
                  <c:v>8.1412832384008382E-3</c:v>
                </c:pt>
                <c:pt idx="116">
                  <c:v>8.1412832384008382E-3</c:v>
                </c:pt>
                <c:pt idx="117">
                  <c:v>8.1412832384008382E-3</c:v>
                </c:pt>
                <c:pt idx="118">
                  <c:v>8.1412832384008382E-3</c:v>
                </c:pt>
                <c:pt idx="119">
                  <c:v>8.1412832384008382E-3</c:v>
                </c:pt>
                <c:pt idx="120">
                  <c:v>8.1412832384008382E-3</c:v>
                </c:pt>
                <c:pt idx="121">
                  <c:v>8.1412832384008382E-3</c:v>
                </c:pt>
                <c:pt idx="122">
                  <c:v>8.1412832384008382E-3</c:v>
                </c:pt>
                <c:pt idx="123">
                  <c:v>8.1412832384008382E-3</c:v>
                </c:pt>
                <c:pt idx="124">
                  <c:v>8.1412832384008382E-3</c:v>
                </c:pt>
                <c:pt idx="125">
                  <c:v>8.1412832384008382E-3</c:v>
                </c:pt>
                <c:pt idx="126">
                  <c:v>8.1412832384008382E-3</c:v>
                </c:pt>
                <c:pt idx="127">
                  <c:v>8.1412832384008382E-3</c:v>
                </c:pt>
                <c:pt idx="128">
                  <c:v>9.3986696690794985E-3</c:v>
                </c:pt>
                <c:pt idx="129">
                  <c:v>1.0324985346694619E-2</c:v>
                </c:pt>
                <c:pt idx="130">
                  <c:v>1.0324985346694619E-2</c:v>
                </c:pt>
                <c:pt idx="131">
                  <c:v>1.0324985346694619E-2</c:v>
                </c:pt>
                <c:pt idx="132">
                  <c:v>1.0324985346694619E-2</c:v>
                </c:pt>
                <c:pt idx="133">
                  <c:v>1.0324985346694619E-2</c:v>
                </c:pt>
                <c:pt idx="134">
                  <c:v>1.0324985346694619E-2</c:v>
                </c:pt>
                <c:pt idx="135">
                  <c:v>1.0324985346694619E-2</c:v>
                </c:pt>
                <c:pt idx="136">
                  <c:v>1.0324985346694619E-2</c:v>
                </c:pt>
                <c:pt idx="137">
                  <c:v>1.0324985346694619E-2</c:v>
                </c:pt>
                <c:pt idx="138">
                  <c:v>1.0324985346694619E-2</c:v>
                </c:pt>
                <c:pt idx="139">
                  <c:v>1.0324985346694619E-2</c:v>
                </c:pt>
                <c:pt idx="140">
                  <c:v>1.0324985346694619E-2</c:v>
                </c:pt>
                <c:pt idx="141">
                  <c:v>1.0188575045556779E-2</c:v>
                </c:pt>
                <c:pt idx="142">
                  <c:v>1.0403077414094443E-2</c:v>
                </c:pt>
                <c:pt idx="143">
                  <c:v>1.0411540801480683E-2</c:v>
                </c:pt>
                <c:pt idx="144">
                  <c:v>9.8855149148332922E-3</c:v>
                </c:pt>
                <c:pt idx="145">
                  <c:v>8.2646457128322526E-3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PFF_PFFD_2!$BV$22:$BV$167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5.1074738370055026E-4</c:v>
                </c:pt>
                <c:pt idx="48">
                  <c:v>1.66053103388452E-3</c:v>
                </c:pt>
                <c:pt idx="49">
                  <c:v>4.7187128644676692E-3</c:v>
                </c:pt>
                <c:pt idx="50">
                  <c:v>4.7187128644676692E-3</c:v>
                </c:pt>
                <c:pt idx="51">
                  <c:v>4.7187128644676692E-3</c:v>
                </c:pt>
                <c:pt idx="52">
                  <c:v>4.7187128644676692E-3</c:v>
                </c:pt>
                <c:pt idx="53">
                  <c:v>4.7187128644676692E-3</c:v>
                </c:pt>
                <c:pt idx="54">
                  <c:v>4.7187128644676692E-3</c:v>
                </c:pt>
                <c:pt idx="55">
                  <c:v>4.7187128644676692E-3</c:v>
                </c:pt>
                <c:pt idx="56">
                  <c:v>4.7187128644676692E-3</c:v>
                </c:pt>
                <c:pt idx="57">
                  <c:v>4.7187128644676692E-3</c:v>
                </c:pt>
                <c:pt idx="58">
                  <c:v>4.7187128644676692E-3</c:v>
                </c:pt>
                <c:pt idx="59">
                  <c:v>4.7187128644676692E-3</c:v>
                </c:pt>
                <c:pt idx="60">
                  <c:v>4.7187128644676692E-3</c:v>
                </c:pt>
                <c:pt idx="61">
                  <c:v>4.7187128644676692E-3</c:v>
                </c:pt>
                <c:pt idx="62">
                  <c:v>4.7187128644676692E-3</c:v>
                </c:pt>
                <c:pt idx="63">
                  <c:v>4.7187128644676692E-3</c:v>
                </c:pt>
                <c:pt idx="64">
                  <c:v>4.7187128644676692E-3</c:v>
                </c:pt>
                <c:pt idx="65">
                  <c:v>4.7187128644676692E-3</c:v>
                </c:pt>
                <c:pt idx="66">
                  <c:v>4.7187128644676692E-3</c:v>
                </c:pt>
                <c:pt idx="67">
                  <c:v>4.7187128644676692E-3</c:v>
                </c:pt>
                <c:pt idx="68">
                  <c:v>4.7187128644676692E-3</c:v>
                </c:pt>
                <c:pt idx="69">
                  <c:v>4.7187128644676692E-3</c:v>
                </c:pt>
                <c:pt idx="70">
                  <c:v>4.7187128644676692E-3</c:v>
                </c:pt>
                <c:pt idx="71">
                  <c:v>4.7187128644676692E-3</c:v>
                </c:pt>
                <c:pt idx="72">
                  <c:v>4.7187128644676692E-3</c:v>
                </c:pt>
                <c:pt idx="73">
                  <c:v>4.7187128644676692E-3</c:v>
                </c:pt>
                <c:pt idx="74">
                  <c:v>4.7187128644676692E-3</c:v>
                </c:pt>
                <c:pt idx="75">
                  <c:v>4.7187128644676692E-3</c:v>
                </c:pt>
                <c:pt idx="76">
                  <c:v>4.7187128644676692E-3</c:v>
                </c:pt>
                <c:pt idx="77">
                  <c:v>4.7187128644676692E-3</c:v>
                </c:pt>
                <c:pt idx="78">
                  <c:v>4.7187128644676692E-3</c:v>
                </c:pt>
                <c:pt idx="79">
                  <c:v>4.7187128644676692E-3</c:v>
                </c:pt>
                <c:pt idx="80">
                  <c:v>4.7187128644676692E-3</c:v>
                </c:pt>
                <c:pt idx="81">
                  <c:v>4.7187128644676692E-3</c:v>
                </c:pt>
                <c:pt idx="82">
                  <c:v>4.7187128644676692E-3</c:v>
                </c:pt>
                <c:pt idx="83">
                  <c:v>4.7187128644676692E-3</c:v>
                </c:pt>
                <c:pt idx="84">
                  <c:v>4.7187128644676692E-3</c:v>
                </c:pt>
                <c:pt idx="85">
                  <c:v>4.7187128644676692E-3</c:v>
                </c:pt>
                <c:pt idx="86">
                  <c:v>4.7187128644676692E-3</c:v>
                </c:pt>
                <c:pt idx="87">
                  <c:v>9.8630816545023491E-3</c:v>
                </c:pt>
                <c:pt idx="88">
                  <c:v>9.8630816545023491E-3</c:v>
                </c:pt>
                <c:pt idx="89">
                  <c:v>9.8630816545023491E-3</c:v>
                </c:pt>
                <c:pt idx="90">
                  <c:v>9.8630816545023491E-3</c:v>
                </c:pt>
                <c:pt idx="91">
                  <c:v>9.8630816545023491E-3</c:v>
                </c:pt>
                <c:pt idx="92">
                  <c:v>9.8630816545023491E-3</c:v>
                </c:pt>
                <c:pt idx="93">
                  <c:v>9.8630816545023491E-3</c:v>
                </c:pt>
                <c:pt idx="94">
                  <c:v>1.1945593715168158E-2</c:v>
                </c:pt>
                <c:pt idx="95">
                  <c:v>1.3788128574291838E-2</c:v>
                </c:pt>
                <c:pt idx="96">
                  <c:v>1.3788128574291838E-2</c:v>
                </c:pt>
                <c:pt idx="97">
                  <c:v>1.1840708289896279E-2</c:v>
                </c:pt>
                <c:pt idx="98">
                  <c:v>1.1793400387797939E-2</c:v>
                </c:pt>
                <c:pt idx="99">
                  <c:v>5.5472435930996791E-3</c:v>
                </c:pt>
                <c:pt idx="100">
                  <c:v>3.4519999594230378E-3</c:v>
                </c:pt>
                <c:pt idx="101">
                  <c:v>9.5091768460635485E-3</c:v>
                </c:pt>
                <c:pt idx="102">
                  <c:v>5.0459962221308299E-3</c:v>
                </c:pt>
                <c:pt idx="103">
                  <c:v>5.0459962221308299E-3</c:v>
                </c:pt>
                <c:pt idx="104">
                  <c:v>6.9874713114256234E-3</c:v>
                </c:pt>
                <c:pt idx="105">
                  <c:v>4.2423985637483324E-3</c:v>
                </c:pt>
                <c:pt idx="106">
                  <c:v>4.2108265174263223E-3</c:v>
                </c:pt>
                <c:pt idx="107">
                  <c:v>7.0797406765240722E-3</c:v>
                </c:pt>
                <c:pt idx="108">
                  <c:v>4.2410053762956222E-3</c:v>
                </c:pt>
                <c:pt idx="109">
                  <c:v>5.1936275793342543E-3</c:v>
                </c:pt>
                <c:pt idx="110">
                  <c:v>4.3292023307355144E-3</c:v>
                </c:pt>
                <c:pt idx="111">
                  <c:v>8.5095972426362139E-3</c:v>
                </c:pt>
                <c:pt idx="112">
                  <c:v>8.5095972426362139E-3</c:v>
                </c:pt>
                <c:pt idx="113">
                  <c:v>8.5095972426362139E-3</c:v>
                </c:pt>
                <c:pt idx="114">
                  <c:v>8.5095972426362139E-3</c:v>
                </c:pt>
                <c:pt idx="115">
                  <c:v>1.2373710160373273E-2</c:v>
                </c:pt>
                <c:pt idx="116">
                  <c:v>1.2373710160373273E-2</c:v>
                </c:pt>
                <c:pt idx="117">
                  <c:v>1.2373710160373273E-2</c:v>
                </c:pt>
                <c:pt idx="118">
                  <c:v>1.2373710160373273E-2</c:v>
                </c:pt>
                <c:pt idx="119">
                  <c:v>1.2373710160373273E-2</c:v>
                </c:pt>
                <c:pt idx="120">
                  <c:v>1.2373710160373273E-2</c:v>
                </c:pt>
                <c:pt idx="121">
                  <c:v>1.2373710160373273E-2</c:v>
                </c:pt>
                <c:pt idx="122">
                  <c:v>1.2373710160373273E-2</c:v>
                </c:pt>
                <c:pt idx="123">
                  <c:v>1.2373710160373273E-2</c:v>
                </c:pt>
                <c:pt idx="124">
                  <c:v>1.2373710160373273E-2</c:v>
                </c:pt>
                <c:pt idx="125">
                  <c:v>1.2373710160373273E-2</c:v>
                </c:pt>
                <c:pt idx="126">
                  <c:v>1.2373710160373273E-2</c:v>
                </c:pt>
                <c:pt idx="127">
                  <c:v>1.2373710160373273E-2</c:v>
                </c:pt>
                <c:pt idx="128">
                  <c:v>1.2373710160373273E-2</c:v>
                </c:pt>
                <c:pt idx="129">
                  <c:v>1.2373710160373273E-2</c:v>
                </c:pt>
                <c:pt idx="130">
                  <c:v>1.2373710160373273E-2</c:v>
                </c:pt>
                <c:pt idx="131">
                  <c:v>1.2373710160373273E-2</c:v>
                </c:pt>
                <c:pt idx="132">
                  <c:v>1.2373710160373273E-2</c:v>
                </c:pt>
                <c:pt idx="133">
                  <c:v>1.2373710160373273E-2</c:v>
                </c:pt>
                <c:pt idx="134">
                  <c:v>1.2373710160373273E-2</c:v>
                </c:pt>
                <c:pt idx="135">
                  <c:v>1.2373710160373273E-2</c:v>
                </c:pt>
                <c:pt idx="136">
                  <c:v>1.2373710160373273E-2</c:v>
                </c:pt>
                <c:pt idx="137">
                  <c:v>1.2373710160373273E-2</c:v>
                </c:pt>
                <c:pt idx="138">
                  <c:v>1.2373710160373273E-2</c:v>
                </c:pt>
                <c:pt idx="139">
                  <c:v>1.2373710160373273E-2</c:v>
                </c:pt>
                <c:pt idx="140">
                  <c:v>1.2373710160373273E-2</c:v>
                </c:pt>
                <c:pt idx="141">
                  <c:v>1.2373710160373273E-2</c:v>
                </c:pt>
                <c:pt idx="142">
                  <c:v>1.2373710160373273E-2</c:v>
                </c:pt>
                <c:pt idx="143">
                  <c:v>1.2373710160373273E-2</c:v>
                </c:pt>
                <c:pt idx="144">
                  <c:v>1.2373710160373273E-2</c:v>
                </c:pt>
                <c:pt idx="145">
                  <c:v>1.2373710160373273E-2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77</xdr:col>
      <xdr:colOff>563880</xdr:colOff>
      <xdr:row>1</xdr:row>
      <xdr:rowOff>0</xdr:rowOff>
    </xdr:from>
    <xdr:to>
      <xdr:col>87</xdr:col>
      <xdr:colOff>432435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52</xdr:col>
      <xdr:colOff>53340</xdr:colOff>
      <xdr:row>1</xdr:row>
      <xdr:rowOff>0</xdr:rowOff>
    </xdr:from>
    <xdr:to>
      <xdr:col>60</xdr:col>
      <xdr:colOff>501015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64</xdr:col>
      <xdr:colOff>68580</xdr:colOff>
      <xdr:row>1</xdr:row>
      <xdr:rowOff>0</xdr:rowOff>
    </xdr:from>
    <xdr:to>
      <xdr:col>72</xdr:col>
      <xdr:colOff>371475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CW167"/>
  <sheetViews>
    <sheetView tabSelected="1" workbookViewId="0">
      <pane xSplit="3" ySplit="1" topLeftCell="BW2" activePane="bottomRight" state="frozen"/>
      <selection pane="topRight" activeCell="D1" sqref="D1"/>
      <selection pane="bottomLeft" activeCell="A2" sqref="A2"/>
      <selection pane="bottomRight" activeCell="CI20" sqref="CI20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4" width="10.77734375" style="9" bestFit="1" customWidth="1"/>
    <col min="5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  <col min="89" max="89" width="8.88671875" style="18"/>
  </cols>
  <sheetData>
    <row r="1" spans="1:101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8.2646457128322526E-3</v>
      </c>
      <c r="BS1" s="6"/>
      <c r="BT1" s="6"/>
      <c r="BU1" s="6"/>
      <c r="BV1" s="7">
        <f>BV167</f>
        <v>1.2373710160373273E-2</v>
      </c>
      <c r="BY1" s="7">
        <f>BY167</f>
        <v>2.0638355873205526E-2</v>
      </c>
      <c r="CK1" s="6"/>
    </row>
    <row r="2" spans="1:101" x14ac:dyDescent="0.3">
      <c r="A2" s="1">
        <v>46024</v>
      </c>
      <c r="B2" s="8">
        <v>19.14</v>
      </c>
      <c r="C2" s="8">
        <v>31.27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19.14</v>
      </c>
      <c r="M2" s="8">
        <v>31.27</v>
      </c>
      <c r="N2" s="10">
        <v>1.6337513061650899</v>
      </c>
      <c r="O2" s="10">
        <v>1.64495540501874</v>
      </c>
      <c r="X2" s="10">
        <v>1.6337513061650899</v>
      </c>
      <c r="Y2" s="10">
        <v>1.6378015347179899</v>
      </c>
    </row>
    <row r="3" spans="1:101" x14ac:dyDescent="0.3">
      <c r="A3" s="1">
        <v>46027</v>
      </c>
      <c r="B3" s="8">
        <v>19.190000000000001</v>
      </c>
      <c r="C3" s="8">
        <v>31.33</v>
      </c>
      <c r="D3" s="9">
        <v>2.6089239948004798E-3</v>
      </c>
      <c r="E3" s="9">
        <v>1.91693349435048E-3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19.190000000000001</v>
      </c>
      <c r="M3" s="8">
        <v>31.33</v>
      </c>
      <c r="N3" s="10">
        <v>1.63262115685252</v>
      </c>
      <c r="O3" s="10">
        <v>1.64495540501874</v>
      </c>
      <c r="R3" s="8">
        <v>31.5666942223096</v>
      </c>
      <c r="U3" s="9">
        <v>7.5264794942765303E-3</v>
      </c>
      <c r="X3" s="10">
        <v>1.63262115685252</v>
      </c>
      <c r="Y3" s="10">
        <v>1.6378015347179899</v>
      </c>
      <c r="AB3" s="8">
        <v>31.429411451238401</v>
      </c>
      <c r="AE3" s="9">
        <v>3.1680199697105699E-3</v>
      </c>
      <c r="CL3" s="21">
        <f>BJ11</f>
        <v>2.1087019155712765</v>
      </c>
      <c r="CM3" s="17">
        <v>0</v>
      </c>
      <c r="CN3" s="17">
        <f>CM3-0.001</f>
        <v>-1E-3</v>
      </c>
      <c r="CO3" s="17">
        <f t="shared" ref="CO3:CT3" si="0">CN3-0.001</f>
        <v>-2E-3</v>
      </c>
      <c r="CP3" s="17">
        <f t="shared" si="0"/>
        <v>-3.0000000000000001E-3</v>
      </c>
      <c r="CQ3" s="17">
        <f t="shared" si="0"/>
        <v>-4.0000000000000001E-3</v>
      </c>
      <c r="CR3" s="17">
        <f t="shared" si="0"/>
        <v>-5.0000000000000001E-3</v>
      </c>
      <c r="CS3" s="17">
        <f t="shared" si="0"/>
        <v>-6.0000000000000001E-3</v>
      </c>
      <c r="CT3" s="17">
        <f t="shared" si="0"/>
        <v>-7.0000000000000001E-3</v>
      </c>
      <c r="CU3" t="s">
        <v>46</v>
      </c>
    </row>
    <row r="4" spans="1:101" x14ac:dyDescent="0.3">
      <c r="A4" s="1">
        <v>46028</v>
      </c>
      <c r="B4" s="8">
        <v>19.260000000000002</v>
      </c>
      <c r="C4" s="8">
        <v>31.45</v>
      </c>
      <c r="D4" s="9">
        <v>3.6410963503709401E-3</v>
      </c>
      <c r="E4" s="9">
        <v>3.8228781823491501E-3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19.260000000000002</v>
      </c>
      <c r="M4" s="8">
        <v>31.45</v>
      </c>
      <c r="N4" s="10">
        <v>1.63291796469366</v>
      </c>
      <c r="O4" s="10">
        <v>1.64495540501874</v>
      </c>
      <c r="R4" s="8">
        <v>31.6818411006609</v>
      </c>
      <c r="U4" s="9">
        <v>7.3446976622981996E-3</v>
      </c>
      <c r="X4" s="10">
        <v>1.63291796469366</v>
      </c>
      <c r="Y4" s="10">
        <v>1.6378015347179899</v>
      </c>
      <c r="AB4" s="8">
        <v>31.544057558668602</v>
      </c>
      <c r="AE4" s="9">
        <v>2.98623813773228E-3</v>
      </c>
      <c r="CL4" s="17">
        <v>0</v>
      </c>
      <c r="CM4" s="22">
        <f t="dataTable" ref="CM4:CT11" dt2D="1" dtr="1" r1="BA20" r2="BA21"/>
        <v>0.4286326079591804</v>
      </c>
      <c r="CN4" s="22">
        <v>8.3569457088899776E-2</v>
      </c>
      <c r="CO4" s="22">
        <v>9.0408546682010982E-2</v>
      </c>
      <c r="CP4" s="22">
        <v>8.2482983299882878E-2</v>
      </c>
      <c r="CQ4" s="22">
        <v>0.79640042954502888</v>
      </c>
      <c r="CR4" s="22">
        <v>0.73217891745879415</v>
      </c>
      <c r="CS4" s="22">
        <v>1.1853123349451689</v>
      </c>
      <c r="CT4" s="22" t="e">
        <v>#DIV/0!</v>
      </c>
      <c r="CV4" t="s">
        <v>48</v>
      </c>
      <c r="CW4" t="s">
        <v>42</v>
      </c>
    </row>
    <row r="5" spans="1:101" x14ac:dyDescent="0.3">
      <c r="A5" s="1">
        <v>46029</v>
      </c>
      <c r="B5" s="8">
        <v>19.260000000000002</v>
      </c>
      <c r="C5" s="8">
        <v>31.41</v>
      </c>
      <c r="D5" s="9">
        <v>0</v>
      </c>
      <c r="E5" s="9">
        <v>-1.2726695958943299E-3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19.260000000000002</v>
      </c>
      <c r="M5" s="8">
        <v>31.41</v>
      </c>
      <c r="N5" s="10">
        <v>1.63084112149532</v>
      </c>
      <c r="O5" s="10">
        <v>1.64495540501874</v>
      </c>
      <c r="R5" s="8">
        <v>31.6818411006609</v>
      </c>
      <c r="U5" s="9">
        <v>8.6173672581925705E-3</v>
      </c>
      <c r="X5" s="10">
        <v>1.63084112149532</v>
      </c>
      <c r="Y5" s="10">
        <v>1.6378015347179899</v>
      </c>
      <c r="AB5" s="8">
        <v>31.544057558668602</v>
      </c>
      <c r="AE5" s="9">
        <v>4.25890773362648E-3</v>
      </c>
      <c r="CL5" s="17">
        <f>CL4-0.001</f>
        <v>-1E-3</v>
      </c>
      <c r="CM5" s="22">
        <v>0.4286326079591804</v>
      </c>
      <c r="CN5" s="22">
        <v>1.0254560491673297</v>
      </c>
      <c r="CO5" s="22">
        <v>1.0167990789347048</v>
      </c>
      <c r="CP5" s="22">
        <v>-0.18863927557833773</v>
      </c>
      <c r="CQ5" s="22">
        <v>0.60399258073440432</v>
      </c>
      <c r="CR5" s="22">
        <v>0.458697445060956</v>
      </c>
      <c r="CS5" s="22">
        <v>1.1853123349451689</v>
      </c>
      <c r="CT5" s="22" t="e">
        <v>#DIV/0!</v>
      </c>
      <c r="CV5" t="s">
        <v>49</v>
      </c>
      <c r="CW5" t="s">
        <v>43</v>
      </c>
    </row>
    <row r="6" spans="1:101" ht="15" thickBot="1" x14ac:dyDescent="0.35">
      <c r="A6" s="1">
        <v>46030</v>
      </c>
      <c r="B6" s="8">
        <v>19.29</v>
      </c>
      <c r="C6" s="8">
        <v>31.38</v>
      </c>
      <c r="D6" s="9">
        <v>1.5564205476581499E-3</v>
      </c>
      <c r="E6" s="9">
        <v>-9.5556624566867901E-4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19.29</v>
      </c>
      <c r="M6" s="8">
        <v>31.38</v>
      </c>
      <c r="N6" s="10">
        <v>1.6267496111975099</v>
      </c>
      <c r="O6" s="10">
        <v>1.64495540501874</v>
      </c>
      <c r="R6" s="8">
        <v>31.7311897628114</v>
      </c>
      <c r="U6" s="9">
        <v>1.11293540515193E-2</v>
      </c>
      <c r="X6" s="10">
        <v>1.6267496111975099</v>
      </c>
      <c r="Y6" s="10">
        <v>1.6378015347179899</v>
      </c>
      <c r="AB6" s="8">
        <v>31.5931916047101</v>
      </c>
      <c r="AE6" s="9">
        <v>6.7708945269533104E-3</v>
      </c>
      <c r="CL6" s="17">
        <f t="shared" ref="CL6:CL11" si="1">CL5-0.001</f>
        <v>-2E-3</v>
      </c>
      <c r="CM6" s="22">
        <v>0.4286326079591804</v>
      </c>
      <c r="CN6" s="22">
        <v>1.0254560491673297</v>
      </c>
      <c r="CO6" s="22">
        <v>0.56421992641203222</v>
      </c>
      <c r="CP6" s="22">
        <v>9.6488181857483049E-2</v>
      </c>
      <c r="CQ6" s="22">
        <v>0.60399258073440432</v>
      </c>
      <c r="CR6" s="22">
        <v>0.458697445060956</v>
      </c>
      <c r="CS6" s="22">
        <v>1.1853123349451689</v>
      </c>
      <c r="CT6" s="22" t="e">
        <v>#DIV/0!</v>
      </c>
    </row>
    <row r="7" spans="1:101" ht="15" thickBot="1" x14ac:dyDescent="0.35">
      <c r="A7" s="1">
        <v>46031</v>
      </c>
      <c r="B7" s="8">
        <v>19.34</v>
      </c>
      <c r="C7" s="8">
        <v>31.57</v>
      </c>
      <c r="D7" s="9">
        <v>2.5886631075105601E-3</v>
      </c>
      <c r="E7" s="9">
        <v>6.0365552650136897E-3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19.34</v>
      </c>
      <c r="M7" s="8">
        <v>31.57</v>
      </c>
      <c r="N7" s="10">
        <v>1.6323681489141599</v>
      </c>
      <c r="O7" s="10">
        <v>1.64495540501874</v>
      </c>
      <c r="R7" s="8">
        <v>31.813437533062402</v>
      </c>
      <c r="U7" s="9">
        <v>7.6814618940161603E-3</v>
      </c>
      <c r="X7" s="10">
        <v>1.6323681489141599</v>
      </c>
      <c r="Y7" s="10">
        <v>1.6378015347179899</v>
      </c>
      <c r="AB7" s="8">
        <v>31.675081681446098</v>
      </c>
      <c r="AE7" s="9">
        <v>3.32300236945014E-3</v>
      </c>
      <c r="CL7" s="17">
        <f t="shared" si="1"/>
        <v>-3.0000000000000001E-3</v>
      </c>
      <c r="CM7" s="22">
        <v>0.4286326079591804</v>
      </c>
      <c r="CN7" s="22">
        <v>1.0254560491673297</v>
      </c>
      <c r="CO7" s="22">
        <v>0.56421992641203222</v>
      </c>
      <c r="CP7" s="22">
        <v>0.86839990987148508</v>
      </c>
      <c r="CQ7" s="22">
        <v>1.3467114019774327</v>
      </c>
      <c r="CR7" s="23">
        <v>2.1087019155712765</v>
      </c>
      <c r="CS7" s="22">
        <v>1.5935638461418689</v>
      </c>
      <c r="CT7" s="22" t="e">
        <v>#DIV/0!</v>
      </c>
    </row>
    <row r="8" spans="1:101" x14ac:dyDescent="0.3">
      <c r="A8" s="1">
        <v>46034</v>
      </c>
      <c r="B8" s="8">
        <v>19.350000000000001</v>
      </c>
      <c r="C8" s="8">
        <v>31.62</v>
      </c>
      <c r="D8" s="9">
        <v>5.1692945064254602E-4</v>
      </c>
      <c r="E8" s="9">
        <v>1.58252921142566E-3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19.350000000000001</v>
      </c>
      <c r="M8" s="8">
        <v>31.62</v>
      </c>
      <c r="N8" s="10">
        <v>1.6341085271317799</v>
      </c>
      <c r="O8" s="10">
        <v>1.64495540501874</v>
      </c>
      <c r="R8" s="8">
        <v>31.829887087112599</v>
      </c>
      <c r="U8" s="9">
        <v>6.6158621332329699E-3</v>
      </c>
      <c r="X8" s="10">
        <v>1.6341085271317799</v>
      </c>
      <c r="Y8" s="10">
        <v>1.6378015347179899</v>
      </c>
      <c r="AB8" s="8">
        <v>31.691459696793199</v>
      </c>
      <c r="AE8" s="9">
        <v>2.2574026086671999E-3</v>
      </c>
      <c r="CL8" s="17">
        <f t="shared" si="1"/>
        <v>-4.0000000000000001E-3</v>
      </c>
      <c r="CM8" s="22">
        <v>0.4286326079591804</v>
      </c>
      <c r="CN8" s="22">
        <v>1.0254560491673297</v>
      </c>
      <c r="CO8" s="22">
        <v>0.56421992641203222</v>
      </c>
      <c r="CP8" s="22">
        <v>0.86839990987148508</v>
      </c>
      <c r="CQ8" s="22">
        <v>1.9764878134798294</v>
      </c>
      <c r="CR8" s="22">
        <v>2.046193553901043</v>
      </c>
      <c r="CS8" s="22">
        <v>1.7216822286220594</v>
      </c>
      <c r="CT8" s="22" t="e">
        <v>#DIV/0!</v>
      </c>
    </row>
    <row r="9" spans="1:101" x14ac:dyDescent="0.3">
      <c r="A9" s="1">
        <v>46035</v>
      </c>
      <c r="B9" s="8">
        <v>19.45</v>
      </c>
      <c r="C9" s="8">
        <v>31.64</v>
      </c>
      <c r="D9" s="9">
        <v>5.1546505886644204E-3</v>
      </c>
      <c r="E9" s="9">
        <v>6.3231111812725601E-4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19.45</v>
      </c>
      <c r="M9" s="8">
        <v>31.64</v>
      </c>
      <c r="N9" s="10">
        <v>1.6267352185089901</v>
      </c>
      <c r="O9" s="10">
        <v>1.64495540501874</v>
      </c>
      <c r="R9" s="8">
        <v>31.994382627614399</v>
      </c>
      <c r="U9" s="9">
        <v>1.11382016037703E-2</v>
      </c>
      <c r="X9" s="10">
        <v>1.6267352185089901</v>
      </c>
      <c r="Y9" s="10">
        <v>1.6378015347179899</v>
      </c>
      <c r="AB9" s="8">
        <v>31.855239850265001</v>
      </c>
      <c r="AE9" s="9">
        <v>6.7797420792043402E-3</v>
      </c>
      <c r="BJ9" s="12">
        <f>AVERAGE(BI22:BI200)</f>
        <v>5.6607162416659266E-5</v>
      </c>
      <c r="BV9" s="12">
        <f>AVERAGE(BU22:BU200)</f>
        <v>8.4751439454611456E-5</v>
      </c>
      <c r="BY9" s="12">
        <f>AVERAGE(BX22:BX200)</f>
        <v>1.4135860187127072E-4</v>
      </c>
      <c r="CL9" s="17">
        <f t="shared" si="1"/>
        <v>-5.0000000000000001E-3</v>
      </c>
      <c r="CM9" s="22">
        <v>0.4286326079591804</v>
      </c>
      <c r="CN9" s="22">
        <v>1.0254560491673297</v>
      </c>
      <c r="CO9" s="22">
        <v>0.56421992641203222</v>
      </c>
      <c r="CP9" s="22">
        <v>0.86839990987148508</v>
      </c>
      <c r="CQ9" s="22">
        <v>1.9764878134798294</v>
      </c>
      <c r="CR9" s="22">
        <v>2.5735487420315999</v>
      </c>
      <c r="CS9" s="22">
        <v>1.7216822286220594</v>
      </c>
      <c r="CT9" s="22" t="e">
        <v>#DIV/0!</v>
      </c>
    </row>
    <row r="10" spans="1:101" x14ac:dyDescent="0.3">
      <c r="A10" s="1">
        <v>46036</v>
      </c>
      <c r="B10" s="8">
        <v>19.489999999999998</v>
      </c>
      <c r="C10" s="8">
        <v>31.74</v>
      </c>
      <c r="D10" s="9">
        <v>2.0544434550140299E-3</v>
      </c>
      <c r="E10" s="9">
        <v>3.1555721988098398E-3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19.489999999999998</v>
      </c>
      <c r="M10" s="8">
        <v>31.74</v>
      </c>
      <c r="N10" s="10">
        <v>1.6285274499743401</v>
      </c>
      <c r="O10" s="10">
        <v>1.64495540501874</v>
      </c>
      <c r="R10" s="8">
        <v>32.060180843815203</v>
      </c>
      <c r="U10" s="9">
        <v>1.0037072859974501E-2</v>
      </c>
      <c r="X10" s="10">
        <v>1.6285274499743401</v>
      </c>
      <c r="Y10" s="10">
        <v>1.6378015347179899</v>
      </c>
      <c r="AB10" s="8">
        <v>31.920751911653699</v>
      </c>
      <c r="AE10" s="9">
        <v>5.6786133354085897E-3</v>
      </c>
      <c r="AZ10" s="13"/>
      <c r="BJ10" s="12">
        <f>STDEV(BI22:BI200)</f>
        <v>4.2614408344846064E-4</v>
      </c>
      <c r="BL10" s="13"/>
      <c r="BV10" s="12">
        <f>STDEV(BU22:BU200)</f>
        <v>1.2021480034979154E-3</v>
      </c>
      <c r="BY10" s="12">
        <f>STDEV(BX22:BX200)</f>
        <v>1.2716514271728882E-3</v>
      </c>
      <c r="CL10" s="17">
        <f t="shared" si="1"/>
        <v>-6.0000000000000001E-3</v>
      </c>
      <c r="CM10" s="22">
        <v>0.4286326079591804</v>
      </c>
      <c r="CN10" s="22">
        <v>1.0254560491673297</v>
      </c>
      <c r="CO10" s="22">
        <v>0.56421992641203222</v>
      </c>
      <c r="CP10" s="22">
        <v>0.86839990987148508</v>
      </c>
      <c r="CQ10" s="22">
        <v>1.9764878134798294</v>
      </c>
      <c r="CR10" s="22">
        <v>2.5735487420315999</v>
      </c>
      <c r="CS10" s="22">
        <v>1.3137836188886929</v>
      </c>
      <c r="CT10" s="22" t="e">
        <v>#DIV/0!</v>
      </c>
    </row>
    <row r="11" spans="1:101" x14ac:dyDescent="0.3">
      <c r="A11" s="1">
        <v>46037</v>
      </c>
      <c r="B11" s="8">
        <v>19.52</v>
      </c>
      <c r="C11" s="8">
        <v>31.82</v>
      </c>
      <c r="D11" s="9">
        <v>1.5380674654770399E-3</v>
      </c>
      <c r="E11" s="9">
        <v>2.5173078113778901E-3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19.52</v>
      </c>
      <c r="M11" s="8">
        <v>31.82</v>
      </c>
      <c r="N11" s="10">
        <v>1.63012295081967</v>
      </c>
      <c r="O11" s="10">
        <v>1.64495540501874</v>
      </c>
      <c r="P11" s="10">
        <v>1.6308743455753001</v>
      </c>
      <c r="R11" s="8">
        <v>32.109529505965803</v>
      </c>
      <c r="U11" s="9">
        <v>9.05783251407382E-3</v>
      </c>
      <c r="X11" s="10">
        <v>1.63012295081967</v>
      </c>
      <c r="Y11" s="10">
        <v>1.6378015347179899</v>
      </c>
      <c r="Z11" s="10">
        <v>1.6308743455753001</v>
      </c>
      <c r="AB11" s="8">
        <v>31.969885957695301</v>
      </c>
      <c r="AE11" s="9">
        <v>4.6993729895077798E-3</v>
      </c>
      <c r="BJ11">
        <f>SQRT(252)*BJ9/BJ10</f>
        <v>2.1087019155712765</v>
      </c>
      <c r="BV11">
        <f>SQRT(252)*BV9/BV10</f>
        <v>1.1191528733526945</v>
      </c>
      <c r="BY11">
        <f>SQRT(252)*BY9/BY10</f>
        <v>1.7646331293598649</v>
      </c>
      <c r="CL11" s="17">
        <f t="shared" si="1"/>
        <v>-7.0000000000000001E-3</v>
      </c>
      <c r="CM11" s="22">
        <v>0.4286326079591804</v>
      </c>
      <c r="CN11" s="22">
        <v>1.0254560491673297</v>
      </c>
      <c r="CO11" s="22">
        <v>0.56421992641203222</v>
      </c>
      <c r="CP11" s="22">
        <v>0.86839990987148508</v>
      </c>
      <c r="CQ11" s="22">
        <v>1.9764878134798294</v>
      </c>
      <c r="CR11" s="22">
        <v>2.5735487420315999</v>
      </c>
      <c r="CS11" s="22">
        <v>1.3137836188886929</v>
      </c>
      <c r="CT11" s="22" t="e">
        <v>#DIV/0!</v>
      </c>
    </row>
    <row r="12" spans="1:101" x14ac:dyDescent="0.3">
      <c r="A12" s="1">
        <v>46038</v>
      </c>
      <c r="B12" s="8">
        <v>19.47</v>
      </c>
      <c r="C12" s="8">
        <v>31.78</v>
      </c>
      <c r="D12" s="9">
        <v>-2.5647616008381302E-3</v>
      </c>
      <c r="E12" s="9">
        <v>-1.2578618010708901E-3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19.47</v>
      </c>
      <c r="M12" s="8">
        <v>31.78</v>
      </c>
      <c r="N12" s="10">
        <v>1.6322547508988099</v>
      </c>
      <c r="O12" s="10">
        <v>1.64495540501874</v>
      </c>
      <c r="P12" s="10">
        <v>1.63072469004868</v>
      </c>
      <c r="R12" s="8">
        <v>32.027281735714801</v>
      </c>
      <c r="S12" s="8">
        <v>31.753123508351202</v>
      </c>
      <c r="U12" s="9">
        <v>7.7509327143064303E-3</v>
      </c>
      <c r="V12" s="9">
        <v>-8.4606239290041605E-4</v>
      </c>
      <c r="X12" s="10">
        <v>1.6322547508988099</v>
      </c>
      <c r="Y12" s="10">
        <v>1.6378015347179899</v>
      </c>
      <c r="Z12" s="10">
        <v>1.63072469004868</v>
      </c>
      <c r="AB12" s="8">
        <v>31.887995880959402</v>
      </c>
      <c r="AC12" s="8">
        <v>31.753123508351202</v>
      </c>
      <c r="AE12" s="9">
        <v>3.39247318974058E-3</v>
      </c>
      <c r="AF12" s="9">
        <v>-8.4606239290041605E-4</v>
      </c>
      <c r="CL12" t="s">
        <v>47</v>
      </c>
    </row>
    <row r="13" spans="1:101" x14ac:dyDescent="0.3">
      <c r="A13" s="1">
        <v>46042</v>
      </c>
      <c r="B13" s="8">
        <v>19.38</v>
      </c>
      <c r="C13" s="8">
        <v>31.61</v>
      </c>
      <c r="D13" s="9">
        <v>-4.6332129214881404E-3</v>
      </c>
      <c r="E13" s="9">
        <v>-5.3636348810435696E-3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19.38</v>
      </c>
      <c r="M13" s="8">
        <v>31.61</v>
      </c>
      <c r="N13" s="10">
        <v>1.6310629514963799</v>
      </c>
      <c r="O13" s="10">
        <v>1.64495540501874</v>
      </c>
      <c r="P13" s="10">
        <v>1.63056886951306</v>
      </c>
      <c r="R13" s="8">
        <v>31.879235749263099</v>
      </c>
      <c r="S13" s="8">
        <v>31.6034444931434</v>
      </c>
      <c r="U13" s="9">
        <v>8.4813546738619402E-3</v>
      </c>
      <c r="V13" s="9">
        <v>-2.0740862747201501E-4</v>
      </c>
      <c r="X13" s="10">
        <v>1.6310629514963799</v>
      </c>
      <c r="Y13" s="10">
        <v>1.6378015347179899</v>
      </c>
      <c r="Z13" s="10">
        <v>1.63056886951306</v>
      </c>
      <c r="AB13" s="8">
        <v>31.7405937428348</v>
      </c>
      <c r="AC13" s="8">
        <v>31.6034444931434</v>
      </c>
      <c r="AE13" s="9">
        <v>4.1228951492959902E-3</v>
      </c>
      <c r="AF13" s="9">
        <v>-2.0740862747201501E-4</v>
      </c>
    </row>
    <row r="14" spans="1:101" x14ac:dyDescent="0.3">
      <c r="A14" s="1">
        <v>46043</v>
      </c>
      <c r="B14" s="8">
        <v>19.53</v>
      </c>
      <c r="C14" s="8">
        <v>31.85</v>
      </c>
      <c r="D14" s="9">
        <v>7.7101384259674801E-3</v>
      </c>
      <c r="E14" s="9">
        <v>7.5638557906459796E-3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19.53</v>
      </c>
      <c r="M14" s="8">
        <v>31.85</v>
      </c>
      <c r="N14" s="10">
        <v>1.6308243727598499</v>
      </c>
      <c r="O14" s="10">
        <v>1.64495540501874</v>
      </c>
      <c r="P14" s="10">
        <v>1.63035951031968</v>
      </c>
      <c r="R14" s="8">
        <v>32.125979060015901</v>
      </c>
      <c r="S14" s="8">
        <v>31.845010021590198</v>
      </c>
      <c r="U14" s="9">
        <v>8.6276373091833999E-3</v>
      </c>
      <c r="V14" s="9">
        <v>-1.56683495875287E-4</v>
      </c>
      <c r="X14" s="10">
        <v>1.6308243727598499</v>
      </c>
      <c r="Y14" s="10">
        <v>1.6378015347179899</v>
      </c>
      <c r="Z14" s="10">
        <v>1.63035951031968</v>
      </c>
      <c r="AB14" s="8">
        <v>31.986263973042501</v>
      </c>
      <c r="AC14" s="8">
        <v>31.845010021590198</v>
      </c>
      <c r="AE14" s="9">
        <v>4.2691777846174898E-3</v>
      </c>
      <c r="AF14" s="9">
        <v>-1.56683495875287E-4</v>
      </c>
      <c r="CL14" s="21">
        <f>BV11</f>
        <v>1.1191528733526945</v>
      </c>
      <c r="CM14" s="17">
        <v>0</v>
      </c>
      <c r="CN14" s="17">
        <f>CM14+0.001</f>
        <v>1E-3</v>
      </c>
      <c r="CO14" s="17">
        <f t="shared" ref="CO14:CT14" si="2">CN14+0.001</f>
        <v>2E-3</v>
      </c>
      <c r="CP14" s="17">
        <f t="shared" si="2"/>
        <v>3.0000000000000001E-3</v>
      </c>
      <c r="CQ14" s="17">
        <f t="shared" si="2"/>
        <v>4.0000000000000001E-3</v>
      </c>
      <c r="CR14" s="17">
        <f t="shared" si="2"/>
        <v>5.0000000000000001E-3</v>
      </c>
      <c r="CS14" s="17">
        <f t="shared" si="2"/>
        <v>6.0000000000000001E-3</v>
      </c>
      <c r="CT14" s="17">
        <f t="shared" si="2"/>
        <v>7.0000000000000001E-3</v>
      </c>
      <c r="CU14" t="s">
        <v>46</v>
      </c>
    </row>
    <row r="15" spans="1:101" x14ac:dyDescent="0.3">
      <c r="A15" s="1">
        <v>46044</v>
      </c>
      <c r="B15" s="8">
        <v>19.600000000000001</v>
      </c>
      <c r="C15" s="8">
        <v>31.94</v>
      </c>
      <c r="D15" s="9">
        <v>3.5778213478839002E-3</v>
      </c>
      <c r="E15" s="9">
        <v>2.8217607686941001E-3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19.600000000000001</v>
      </c>
      <c r="M15" s="8">
        <v>31.94</v>
      </c>
      <c r="N15" s="10">
        <v>1.62959183673469</v>
      </c>
      <c r="O15" s="10">
        <v>1.64495540501874</v>
      </c>
      <c r="P15" s="10">
        <v>1.6302345818436199</v>
      </c>
      <c r="R15" s="8">
        <v>32.241125938367297</v>
      </c>
      <c r="S15" s="8">
        <v>31.955046402265801</v>
      </c>
      <c r="U15" s="9">
        <v>9.38369788837334E-3</v>
      </c>
      <c r="V15" s="9">
        <v>4.70972427166251E-4</v>
      </c>
      <c r="X15" s="10">
        <v>1.62959183673469</v>
      </c>
      <c r="Y15" s="10">
        <v>1.6378015347179899</v>
      </c>
      <c r="Z15" s="10">
        <v>1.6302345818436199</v>
      </c>
      <c r="AB15" s="8">
        <v>32.100910080472701</v>
      </c>
      <c r="AC15" s="8">
        <v>31.955046402265801</v>
      </c>
      <c r="AE15" s="9">
        <v>5.0252383638074802E-3</v>
      </c>
      <c r="AF15" s="9">
        <v>4.70972427166251E-4</v>
      </c>
      <c r="CL15" s="17">
        <v>0</v>
      </c>
      <c r="CM15" s="22">
        <f t="dataTable" ref="CM15:CT22" dt2D="1" dtr="1" r1="BM20" r2="BM21"/>
        <v>0.75223462885820902</v>
      </c>
      <c r="CN15" s="22">
        <v>0.18106154087903811</v>
      </c>
      <c r="CO15" s="22">
        <v>-0.15370016817669388</v>
      </c>
      <c r="CP15" s="22">
        <v>-4.8404316395391819E-2</v>
      </c>
      <c r="CQ15" s="22">
        <v>0.25459154027819753</v>
      </c>
      <c r="CR15" s="22">
        <v>-0.60798429276843691</v>
      </c>
      <c r="CS15" s="22">
        <v>-0.60798429276843691</v>
      </c>
      <c r="CT15" s="22">
        <v>-0.89095359899192228</v>
      </c>
      <c r="CV15" t="s">
        <v>48</v>
      </c>
      <c r="CW15" t="s">
        <v>44</v>
      </c>
    </row>
    <row r="16" spans="1:101" ht="15" thickBot="1" x14ac:dyDescent="0.35">
      <c r="A16" s="1">
        <v>46045</v>
      </c>
      <c r="B16" s="8">
        <v>19.57</v>
      </c>
      <c r="C16" s="8">
        <v>31.91</v>
      </c>
      <c r="D16" s="9">
        <v>-1.5317848284867499E-3</v>
      </c>
      <c r="E16" s="9">
        <v>-9.3970249671423999E-4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19.57</v>
      </c>
      <c r="M16" s="8">
        <v>31.91</v>
      </c>
      <c r="N16" s="10">
        <v>1.63055697496167</v>
      </c>
      <c r="O16" s="10">
        <v>1.64495540501874</v>
      </c>
      <c r="P16" s="10">
        <v>1.63061531822003</v>
      </c>
      <c r="R16" s="8">
        <v>32.191777276216698</v>
      </c>
      <c r="S16" s="8">
        <v>31.903690766679698</v>
      </c>
      <c r="U16" s="9">
        <v>8.7916155566008704E-3</v>
      </c>
      <c r="V16" s="9">
        <v>-1.9773917681455001E-4</v>
      </c>
      <c r="X16" s="10">
        <v>1.63055697496167</v>
      </c>
      <c r="Y16" s="10">
        <v>1.6378015347179899</v>
      </c>
      <c r="Z16" s="10">
        <v>1.63061531822003</v>
      </c>
      <c r="AB16" s="8">
        <v>32.051776034431199</v>
      </c>
      <c r="AC16" s="8">
        <v>31.903690766679698</v>
      </c>
      <c r="AE16" s="9">
        <v>4.4331560320348797E-3</v>
      </c>
      <c r="AF16" s="9">
        <v>-1.9773917681455001E-4</v>
      </c>
      <c r="CL16" s="17">
        <f>CL15+0.001</f>
        <v>1E-3</v>
      </c>
      <c r="CM16" s="22">
        <v>0.75223462885820902</v>
      </c>
      <c r="CN16" s="22">
        <v>0.13751278696373509</v>
      </c>
      <c r="CO16" s="22">
        <v>-0.10842389579276691</v>
      </c>
      <c r="CP16" s="22">
        <v>0.12025587843113178</v>
      </c>
      <c r="CQ16" s="22">
        <v>0.66973811051715315</v>
      </c>
      <c r="CR16" s="22">
        <v>-7.3311187362360669E-2</v>
      </c>
      <c r="CS16" s="22">
        <v>0.18040053834576805</v>
      </c>
      <c r="CT16" s="22">
        <v>-0.89095359899192228</v>
      </c>
      <c r="CV16" t="s">
        <v>49</v>
      </c>
      <c r="CW16" t="s">
        <v>45</v>
      </c>
    </row>
    <row r="17" spans="1:98" ht="15" thickBot="1" x14ac:dyDescent="0.35">
      <c r="A17" s="1">
        <v>46048</v>
      </c>
      <c r="B17" s="8">
        <v>19.579999999999998</v>
      </c>
      <c r="C17" s="8">
        <v>31.88</v>
      </c>
      <c r="D17" s="9">
        <v>5.1085569437926204E-4</v>
      </c>
      <c r="E17" s="9">
        <v>-9.4058636813787802E-4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19.579999999999998</v>
      </c>
      <c r="M17" s="8">
        <v>31.88</v>
      </c>
      <c r="N17" s="10">
        <v>1.6281920326864101</v>
      </c>
      <c r="O17" s="10">
        <v>1.64495540501874</v>
      </c>
      <c r="P17" s="10">
        <v>1.6301977065972599</v>
      </c>
      <c r="R17" s="8">
        <v>32.208226830266902</v>
      </c>
      <c r="S17" s="8">
        <v>31.927447930748301</v>
      </c>
      <c r="U17" s="9">
        <v>1.0243057619118199E-2</v>
      </c>
      <c r="V17" s="9">
        <v>1.4872226059076199E-3</v>
      </c>
      <c r="X17" s="10">
        <v>1.6281920326864101</v>
      </c>
      <c r="Y17" s="10">
        <v>1.6378015347179899</v>
      </c>
      <c r="Z17" s="10">
        <v>1.6301977065972599</v>
      </c>
      <c r="AB17" s="8">
        <v>32.0681540497784</v>
      </c>
      <c r="AC17" s="8">
        <v>31.927447930748301</v>
      </c>
      <c r="AE17" s="9">
        <v>5.8845980945522701E-3</v>
      </c>
      <c r="AF17" s="9">
        <v>1.4872226059076199E-3</v>
      </c>
      <c r="CL17" s="17">
        <f t="shared" ref="CL17:CL22" si="3">CL16+0.001</f>
        <v>2E-3</v>
      </c>
      <c r="CM17" s="22">
        <v>0.75223462885820902</v>
      </c>
      <c r="CN17" s="22">
        <v>0.13751278696373509</v>
      </c>
      <c r="CO17" s="22">
        <v>0.85693459701747166</v>
      </c>
      <c r="CP17" s="24">
        <v>1.1179230773812285</v>
      </c>
      <c r="CQ17" s="23">
        <v>1.1191528733526945</v>
      </c>
      <c r="CR17" s="22">
        <v>0.3652740267113514</v>
      </c>
      <c r="CS17" s="22">
        <v>0.18040053834576805</v>
      </c>
      <c r="CT17" s="22">
        <v>-0.89095359899192228</v>
      </c>
    </row>
    <row r="18" spans="1:98" x14ac:dyDescent="0.3">
      <c r="A18" s="1">
        <v>46049</v>
      </c>
      <c r="B18" s="8">
        <v>19.559999999999999</v>
      </c>
      <c r="C18" s="8">
        <v>31.84</v>
      </c>
      <c r="D18" s="9">
        <v>-1.02197249569308E-3</v>
      </c>
      <c r="E18" s="9">
        <v>-1.25549294583197E-3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19.559999999999999</v>
      </c>
      <c r="M18" s="8">
        <v>31.84</v>
      </c>
      <c r="N18" s="10">
        <v>1.62781186094069</v>
      </c>
      <c r="O18" s="10">
        <v>1.64495540501874</v>
      </c>
      <c r="P18" s="10">
        <v>1.62956803997815</v>
      </c>
      <c r="R18" s="8">
        <v>32.1753277221665</v>
      </c>
      <c r="S18" s="8">
        <v>31.886667141042398</v>
      </c>
      <c r="U18" s="9">
        <v>1.0476578069257E-2</v>
      </c>
      <c r="V18" s="9">
        <v>1.4646034847925701E-3</v>
      </c>
      <c r="X18" s="10">
        <v>1.62781186094069</v>
      </c>
      <c r="Y18" s="10">
        <v>1.6378015347179899</v>
      </c>
      <c r="Z18" s="10">
        <v>1.62956803997815</v>
      </c>
      <c r="AB18" s="8">
        <v>32.035398019083999</v>
      </c>
      <c r="AC18" s="8">
        <v>31.886667141042398</v>
      </c>
      <c r="AE18" s="9">
        <v>6.1181185446912301E-3</v>
      </c>
      <c r="AF18" s="9">
        <v>1.4646034847925701E-3</v>
      </c>
      <c r="CL18" s="17">
        <f t="shared" si="3"/>
        <v>3.0000000000000001E-3</v>
      </c>
      <c r="CM18" s="22">
        <v>0.75223462885820902</v>
      </c>
      <c r="CN18" s="22">
        <v>0.13751278696373509</v>
      </c>
      <c r="CO18" s="22">
        <v>0.85693459701747166</v>
      </c>
      <c r="CP18" s="22">
        <v>1.1439738664268675</v>
      </c>
      <c r="CQ18" s="22">
        <v>1.1479225486151285</v>
      </c>
      <c r="CR18" s="22">
        <v>0.24631333260458277</v>
      </c>
      <c r="CS18" s="22">
        <v>4.1541725243962713E-2</v>
      </c>
      <c r="CT18" s="22">
        <v>-0.89095359899192228</v>
      </c>
    </row>
    <row r="19" spans="1:98" x14ac:dyDescent="0.3">
      <c r="A19" s="1">
        <v>46050</v>
      </c>
      <c r="B19" s="8">
        <v>19.510000000000002</v>
      </c>
      <c r="C19" s="8">
        <v>31.81</v>
      </c>
      <c r="D19" s="9">
        <v>-2.5595099716512301E-3</v>
      </c>
      <c r="E19" s="9">
        <v>-9.4265521512950702E-4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19.510000000000002</v>
      </c>
      <c r="M19" s="8">
        <v>31.81</v>
      </c>
      <c r="N19" s="10">
        <v>1.6304459251665799</v>
      </c>
      <c r="O19" s="10">
        <v>1.64495540501874</v>
      </c>
      <c r="P19" s="10">
        <v>1.6299391106439101</v>
      </c>
      <c r="R19" s="8">
        <v>32.093079951915598</v>
      </c>
      <c r="S19" s="8">
        <v>31.7928724599738</v>
      </c>
      <c r="U19" s="9">
        <v>8.8597233127353601E-3</v>
      </c>
      <c r="V19" s="9">
        <v>-5.3857757606656895E-4</v>
      </c>
      <c r="X19" s="10">
        <v>1.6304459251665799</v>
      </c>
      <c r="Y19" s="10">
        <v>1.6378015347179899</v>
      </c>
      <c r="Z19" s="10">
        <v>1.6299391106439101</v>
      </c>
      <c r="AB19" s="8">
        <v>31.9535079423481</v>
      </c>
      <c r="AC19" s="8">
        <v>31.7928724599738</v>
      </c>
      <c r="AE19" s="9">
        <v>4.5012637881695402E-3</v>
      </c>
      <c r="AF19" s="9">
        <v>-5.3857757606656895E-4</v>
      </c>
      <c r="BX19" s="6" t="s">
        <v>33</v>
      </c>
      <c r="BY19" s="6" t="s">
        <v>33</v>
      </c>
      <c r="CL19" s="17">
        <f t="shared" si="3"/>
        <v>4.0000000000000001E-3</v>
      </c>
      <c r="CM19" s="22">
        <v>0.75223462885820902</v>
      </c>
      <c r="CN19" s="22">
        <v>0.13751278696373509</v>
      </c>
      <c r="CO19" s="22">
        <v>0.85693459701747166</v>
      </c>
      <c r="CP19" s="22">
        <v>1.1439738664268675</v>
      </c>
      <c r="CQ19" s="22">
        <v>0.58701417367587616</v>
      </c>
      <c r="CR19" s="22">
        <v>5.4677695678988801E-2</v>
      </c>
      <c r="CS19" s="22">
        <v>4.1541725243962713E-2</v>
      </c>
      <c r="CT19" s="22">
        <v>-0.89095359899192228</v>
      </c>
    </row>
    <row r="20" spans="1:98" x14ac:dyDescent="0.3">
      <c r="A20" s="1">
        <v>46051</v>
      </c>
      <c r="B20" s="8">
        <v>19.440000000000001</v>
      </c>
      <c r="C20" s="8">
        <v>31.69</v>
      </c>
      <c r="D20" s="9">
        <v>-3.5943556027268099E-3</v>
      </c>
      <c r="E20" s="9">
        <v>-3.7795320582233202E-3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19.440000000000001</v>
      </c>
      <c r="M20" s="8">
        <v>31.69</v>
      </c>
      <c r="N20" s="10">
        <v>1.63014403292181</v>
      </c>
      <c r="O20" s="10">
        <v>1.64495540501874</v>
      </c>
      <c r="P20" s="10">
        <v>1.63010076893866</v>
      </c>
      <c r="R20" s="8">
        <v>31.977933073564301</v>
      </c>
      <c r="S20" s="8">
        <v>31.686016310917601</v>
      </c>
      <c r="U20" s="9">
        <v>9.0448997682318708E-3</v>
      </c>
      <c r="V20" s="9">
        <v>-1.2571598277835101E-4</v>
      </c>
      <c r="X20" s="10">
        <v>1.63014403292181</v>
      </c>
      <c r="Y20" s="10">
        <v>1.6378015347179899</v>
      </c>
      <c r="Z20" s="10">
        <v>1.63010076893866</v>
      </c>
      <c r="AB20" s="8">
        <v>31.8388618349179</v>
      </c>
      <c r="AC20" s="8">
        <v>31.686016310917601</v>
      </c>
      <c r="AE20" s="9">
        <v>4.6864402436659998E-3</v>
      </c>
      <c r="AF20" s="9">
        <v>-1.2571598277835101E-4</v>
      </c>
      <c r="AZ20" s="14" t="s">
        <v>34</v>
      </c>
      <c r="BA20" s="15">
        <v>-5.0000000000000001E-3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PFFD log rtn</v>
      </c>
      <c r="BH20" s="6" t="str">
        <f>E1</f>
        <v>PFF log rtn</v>
      </c>
      <c r="BI20" s="6" t="s">
        <v>40</v>
      </c>
      <c r="BJ20" s="6" t="s">
        <v>41</v>
      </c>
      <c r="BL20" s="14" t="s">
        <v>34</v>
      </c>
      <c r="BM20" s="15">
        <v>4.0000000000000001E-3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PFFD log rtn</v>
      </c>
      <c r="BT20" s="7" t="str">
        <f>E1</f>
        <v>PFF log rtn</v>
      </c>
      <c r="BU20" s="6" t="s">
        <v>40</v>
      </c>
      <c r="BV20" s="6" t="s">
        <v>41</v>
      </c>
      <c r="BX20" s="6" t="s">
        <v>40</v>
      </c>
      <c r="BY20" s="6" t="s">
        <v>41</v>
      </c>
      <c r="CL20" s="17">
        <f t="shared" si="3"/>
        <v>5.0000000000000001E-3</v>
      </c>
      <c r="CM20" s="22">
        <v>0.75223462885820902</v>
      </c>
      <c r="CN20" s="22">
        <v>0.13751278696373509</v>
      </c>
      <c r="CO20" s="22">
        <v>0.85693459701747166</v>
      </c>
      <c r="CP20" s="22">
        <v>1.1439738664268675</v>
      </c>
      <c r="CQ20" s="22">
        <v>0.58701417367587616</v>
      </c>
      <c r="CR20" s="22">
        <v>0.35297881448617296</v>
      </c>
      <c r="CS20" s="22">
        <v>0.34815527440127148</v>
      </c>
      <c r="CT20" s="22">
        <v>-0.89095359899192228</v>
      </c>
    </row>
    <row r="21" spans="1:98" x14ac:dyDescent="0.3">
      <c r="A21" s="1">
        <v>46052</v>
      </c>
      <c r="B21" s="8">
        <v>19.420000000000002</v>
      </c>
      <c r="C21" s="8">
        <v>31.69</v>
      </c>
      <c r="D21" s="9">
        <v>-1.0293361691141301E-3</v>
      </c>
      <c r="E21" s="9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19.420000000000002</v>
      </c>
      <c r="M21" s="8">
        <v>31.69</v>
      </c>
      <c r="N21" s="10">
        <v>1.6318228630278</v>
      </c>
      <c r="O21" s="10">
        <v>1.64495540501874</v>
      </c>
      <c r="P21" s="10">
        <v>1.6302707601594699</v>
      </c>
      <c r="Q21" s="10">
        <v>1.63057255286739</v>
      </c>
      <c r="R21" s="8">
        <v>31.9450339654639</v>
      </c>
      <c r="S21" s="8">
        <v>31.6565569327887</v>
      </c>
      <c r="U21" s="9">
        <v>8.0155635991176998E-3</v>
      </c>
      <c r="V21" s="9">
        <v>-1.05587649708441E-3</v>
      </c>
      <c r="X21" s="10">
        <v>1.6318228630278</v>
      </c>
      <c r="Y21" s="10">
        <v>1.6378015347179899</v>
      </c>
      <c r="Z21" s="10">
        <v>1.6302707601594699</v>
      </c>
      <c r="AA21" s="10">
        <v>1.63057255286739</v>
      </c>
      <c r="AB21" s="8">
        <v>31.806105804223499</v>
      </c>
      <c r="AC21" s="8">
        <v>31.6565569327887</v>
      </c>
      <c r="AE21" s="9">
        <v>3.6571040745517298E-3</v>
      </c>
      <c r="AF21" s="9">
        <v>-1.05587649708441E-3</v>
      </c>
      <c r="BA21" s="15">
        <v>-3.0000000000000001E-3</v>
      </c>
      <c r="BE21">
        <f>IF(F22+H22&gt;0,0,1)</f>
        <v>0</v>
      </c>
      <c r="BF21" s="16">
        <v>0</v>
      </c>
      <c r="BM21" s="15">
        <v>2E-3</v>
      </c>
      <c r="BQ21">
        <f>IF(F22+H22&gt;0,0,1)</f>
        <v>0</v>
      </c>
      <c r="BR21" s="16">
        <v>0</v>
      </c>
      <c r="CL21" s="17">
        <f t="shared" si="3"/>
        <v>6.0000000000000001E-3</v>
      </c>
      <c r="CM21" s="22">
        <v>0.75223462885820902</v>
      </c>
      <c r="CN21" s="22">
        <v>0.13751278696373509</v>
      </c>
      <c r="CO21" s="22">
        <v>0.85693459701747166</v>
      </c>
      <c r="CP21" s="22">
        <v>1.1439738664268675</v>
      </c>
      <c r="CQ21" s="22">
        <v>0.58701417367587616</v>
      </c>
      <c r="CR21" s="22">
        <v>0.35297881448617296</v>
      </c>
      <c r="CS21" s="22">
        <v>2.977687040114024E-2</v>
      </c>
      <c r="CT21" s="22">
        <v>-0.89095359899192228</v>
      </c>
    </row>
    <row r="22" spans="1:98" x14ac:dyDescent="0.3">
      <c r="A22" s="1">
        <v>46055</v>
      </c>
      <c r="B22" s="8">
        <v>19.29</v>
      </c>
      <c r="C22" s="8">
        <v>31.46</v>
      </c>
      <c r="D22" s="9">
        <v>-6.7166359455412298E-3</v>
      </c>
      <c r="E22" s="9">
        <v>-7.2842760726976102E-3</v>
      </c>
      <c r="F22" s="8">
        <v>0.1</v>
      </c>
      <c r="G22" s="8">
        <v>0.1</v>
      </c>
      <c r="H22" s="8">
        <v>0.1772</v>
      </c>
      <c r="I22" s="8">
        <v>0.1772</v>
      </c>
      <c r="J22" s="8">
        <v>0.1</v>
      </c>
      <c r="K22" s="8">
        <v>0.1772</v>
      </c>
      <c r="L22" s="8">
        <v>19.39</v>
      </c>
      <c r="M22" s="8">
        <v>31.6372</v>
      </c>
      <c r="N22" s="10">
        <v>1.6308968377397599</v>
      </c>
      <c r="O22" s="10">
        <v>1.64495540501874</v>
      </c>
      <c r="P22" s="10">
        <v>1.63013496884356</v>
      </c>
      <c r="Q22" s="10">
        <v>1.6304298294461199</v>
      </c>
      <c r="R22" s="8">
        <v>31.7311897628114</v>
      </c>
      <c r="S22" s="8">
        <v>31.447922963476199</v>
      </c>
      <c r="T22" s="8">
        <v>31.453744544811901</v>
      </c>
      <c r="U22" s="9">
        <v>8.5832037262739795E-3</v>
      </c>
      <c r="V22" s="9">
        <v>-3.8395916136431299E-4</v>
      </c>
      <c r="W22" s="9">
        <v>-1.98858143125601E-4</v>
      </c>
      <c r="X22" s="10">
        <v>1.63162454873646</v>
      </c>
      <c r="Y22" s="10">
        <v>1.6378015347179899</v>
      </c>
      <c r="Z22" s="10">
        <v>1.63020773994323</v>
      </c>
      <c r="AA22" s="10">
        <v>1.6304662149959599</v>
      </c>
      <c r="AB22" s="8">
        <v>31.756971758181901</v>
      </c>
      <c r="AC22" s="8">
        <v>31.610950039492199</v>
      </c>
      <c r="AD22" s="8">
        <v>31.616801800098699</v>
      </c>
      <c r="AE22" s="9">
        <v>3.7786407604951302E-3</v>
      </c>
      <c r="AF22" s="9">
        <v>-8.3006260257707397E-4</v>
      </c>
      <c r="AG22" s="9">
        <v>-6.4496158433836198E-4</v>
      </c>
      <c r="AZ22" s="9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4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5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  <c r="CL22" s="17">
        <f t="shared" si="3"/>
        <v>7.0000000000000001E-3</v>
      </c>
      <c r="CM22" s="22">
        <v>0.75223462885820902</v>
      </c>
      <c r="CN22" s="22">
        <v>0.13751278696373509</v>
      </c>
      <c r="CO22" s="22">
        <v>0.85693459701747166</v>
      </c>
      <c r="CP22" s="22">
        <v>1.1439738664268675</v>
      </c>
      <c r="CQ22" s="22">
        <v>0.58701417367587616</v>
      </c>
      <c r="CR22" s="22">
        <v>0.35297881448617296</v>
      </c>
      <c r="CS22" s="22">
        <v>2.977687040114024E-2</v>
      </c>
      <c r="CT22" s="22">
        <v>0.80066906850309694</v>
      </c>
    </row>
    <row r="23" spans="1:98" x14ac:dyDescent="0.3">
      <c r="A23" s="1">
        <v>46056</v>
      </c>
      <c r="B23" s="8">
        <v>19.239999999999998</v>
      </c>
      <c r="C23" s="8">
        <v>31.34</v>
      </c>
      <c r="D23" s="9">
        <v>-2.59538168007728E-3</v>
      </c>
      <c r="E23" s="9">
        <v>-3.82166070225706E-3</v>
      </c>
      <c r="F23" s="8">
        <v>0</v>
      </c>
      <c r="G23" s="8">
        <v>0.1</v>
      </c>
      <c r="H23" s="8">
        <v>0</v>
      </c>
      <c r="I23" s="8">
        <v>0.1772</v>
      </c>
      <c r="J23" s="8">
        <v>0.1</v>
      </c>
      <c r="K23" s="8">
        <v>0.1772</v>
      </c>
      <c r="L23" s="8">
        <v>19.34</v>
      </c>
      <c r="M23" s="8">
        <v>31.517199999999999</v>
      </c>
      <c r="N23" s="10">
        <v>1.6288981288981199</v>
      </c>
      <c r="O23" s="10">
        <v>1.64495540501874</v>
      </c>
      <c r="P23" s="10">
        <v>1.6299184865837399</v>
      </c>
      <c r="Q23" s="10">
        <v>1.6302436780484</v>
      </c>
      <c r="R23" s="8">
        <v>31.648941992560498</v>
      </c>
      <c r="S23" s="8">
        <v>31.363796800550201</v>
      </c>
      <c r="T23" s="8">
        <v>31.369469918543398</v>
      </c>
      <c r="U23" s="9">
        <v>9.8094827484537309E-3</v>
      </c>
      <c r="V23" s="9">
        <v>7.5902267189419202E-4</v>
      </c>
      <c r="W23" s="9">
        <v>9.3988741257657103E-4</v>
      </c>
      <c r="X23" s="10">
        <v>1.6296380558428101</v>
      </c>
      <c r="Y23" s="10">
        <v>1.6378015347179899</v>
      </c>
      <c r="Z23" s="10">
        <v>1.6300652503778801</v>
      </c>
      <c r="AA23" s="10">
        <v>1.6303170599454699</v>
      </c>
      <c r="AB23" s="8">
        <v>31.675081681446098</v>
      </c>
      <c r="AC23" s="8">
        <v>31.528217690502199</v>
      </c>
      <c r="AD23" s="8">
        <v>31.533216598021799</v>
      </c>
      <c r="AE23" s="9">
        <v>4.9968763828208401E-3</v>
      </c>
      <c r="AF23" s="9">
        <v>3.49515984444025E-4</v>
      </c>
      <c r="AG23" s="9">
        <v>5.0805686086110799E-4</v>
      </c>
      <c r="AZ23" s="9"/>
      <c r="BB23">
        <f t="shared" ref="BB23:BB86" si="6">IF($AG23&lt;BA$20,1,0)</f>
        <v>0</v>
      </c>
      <c r="BC23">
        <f t="shared" ref="BC23:BC86" si="7">IF($AG23&gt;BA$21,1,0)</f>
        <v>1</v>
      </c>
      <c r="BD23">
        <f t="shared" ref="BD23:BD86" si="8">BF23</f>
        <v>0</v>
      </c>
      <c r="BE23">
        <f t="shared" si="4"/>
        <v>1</v>
      </c>
      <c r="BF23">
        <f t="shared" ref="BF23:BF86" si="9">IF(BB22,1,IF(BC22,0,BD22))*BE22</f>
        <v>0</v>
      </c>
      <c r="BG23" s="9">
        <f t="shared" ref="BG23:BG86" si="10">BF23*D23</f>
        <v>0</v>
      </c>
      <c r="BH23" s="9">
        <f t="shared" ref="BH23:BH86" si="11">-BF23*$E23</f>
        <v>0</v>
      </c>
      <c r="BI23" s="9">
        <f t="shared" ref="BI23:BI86" si="12">BG23+BH23</f>
        <v>0</v>
      </c>
      <c r="BJ23" s="12">
        <f t="shared" ref="BJ23:BJ86" si="13">BJ22+BI23</f>
        <v>0</v>
      </c>
      <c r="BL23" s="9"/>
      <c r="BN23">
        <f t="shared" ref="BN23:BN86" si="14">IF($AG23&gt;BM$20,1,0)</f>
        <v>0</v>
      </c>
      <c r="BO23">
        <f t="shared" ref="BO23:BO86" si="15">IF($AG23&lt;BM$21,1,0)</f>
        <v>1</v>
      </c>
      <c r="BP23">
        <f t="shared" ref="BP23:BP86" si="16">BR23</f>
        <v>0</v>
      </c>
      <c r="BQ23">
        <f t="shared" si="5"/>
        <v>1</v>
      </c>
      <c r="BR23">
        <f t="shared" ref="BR23:BR86" si="17">IF(BN22,1,IF(BO22,0,BP22))*BQ22</f>
        <v>0</v>
      </c>
      <c r="BS23" s="9">
        <f t="shared" ref="BS23:BS86" si="18">-BR23*D23</f>
        <v>0</v>
      </c>
      <c r="BT23" s="9">
        <f t="shared" ref="BT23:BT86" si="19">BR23*$E23</f>
        <v>0</v>
      </c>
      <c r="BU23" s="9">
        <f t="shared" ref="BU23:BU86" si="20">BS23+BT23</f>
        <v>0</v>
      </c>
      <c r="BV23" s="12">
        <f t="shared" ref="BV23:BV86" si="21">BV22+BU23</f>
        <v>0</v>
      </c>
      <c r="BX23" s="12">
        <f t="shared" ref="BX23:BX86" si="22">BI23+BU23</f>
        <v>0</v>
      </c>
      <c r="BY23" s="12">
        <f t="shared" ref="BY23:BY86" si="23">BY22+BX23</f>
        <v>0</v>
      </c>
      <c r="CL23" t="s">
        <v>47</v>
      </c>
    </row>
    <row r="24" spans="1:98" x14ac:dyDescent="0.3">
      <c r="A24" s="1">
        <v>46057</v>
      </c>
      <c r="B24" s="8">
        <v>19.260000000000002</v>
      </c>
      <c r="C24" s="8">
        <v>31.44</v>
      </c>
      <c r="D24" s="9">
        <v>1.0389611324192599E-3</v>
      </c>
      <c r="E24" s="9">
        <v>3.1857306331311399E-3</v>
      </c>
      <c r="F24" s="8">
        <v>0</v>
      </c>
      <c r="G24" s="8">
        <v>0.1</v>
      </c>
      <c r="H24" s="8">
        <v>0</v>
      </c>
      <c r="I24" s="8">
        <v>0.1772</v>
      </c>
      <c r="J24" s="8">
        <v>0.1</v>
      </c>
      <c r="K24" s="8">
        <v>0.1772</v>
      </c>
      <c r="L24" s="8">
        <v>19.36</v>
      </c>
      <c r="M24" s="8">
        <v>31.6172</v>
      </c>
      <c r="N24" s="10">
        <v>1.6323987538940801</v>
      </c>
      <c r="O24" s="10">
        <v>1.64495540501874</v>
      </c>
      <c r="P24" s="10">
        <v>1.6300759246971599</v>
      </c>
      <c r="Q24" s="10">
        <v>1.63021771750842</v>
      </c>
      <c r="R24" s="8">
        <v>31.6818411006609</v>
      </c>
      <c r="S24" s="8">
        <v>31.392230051602802</v>
      </c>
      <c r="T24" s="8">
        <v>31.3984932392122</v>
      </c>
      <c r="U24" s="9">
        <v>7.6627132477419899E-3</v>
      </c>
      <c r="V24" s="9">
        <v>-1.5205558536412001E-3</v>
      </c>
      <c r="W24" s="9">
        <v>-1.32106181051126E-3</v>
      </c>
      <c r="X24" s="10">
        <v>1.6331198347107401</v>
      </c>
      <c r="Y24" s="10">
        <v>1.6378015347179899</v>
      </c>
      <c r="Z24" s="10">
        <v>1.6302947965729599</v>
      </c>
      <c r="AA24" s="10">
        <v>1.63032715344632</v>
      </c>
      <c r="AB24" s="8">
        <v>31.7078377121404</v>
      </c>
      <c r="AC24" s="8">
        <v>31.558063247315701</v>
      </c>
      <c r="AD24" s="8">
        <v>31.562938280544302</v>
      </c>
      <c r="AE24" s="9">
        <v>2.8626204518794598E-3</v>
      </c>
      <c r="AF24" s="9">
        <v>-1.87214953819179E-3</v>
      </c>
      <c r="AG24" s="9">
        <v>-1.71768325532856E-3</v>
      </c>
      <c r="AZ24" s="9"/>
      <c r="BB24">
        <f t="shared" si="6"/>
        <v>0</v>
      </c>
      <c r="BC24">
        <f t="shared" si="7"/>
        <v>1</v>
      </c>
      <c r="BD24">
        <f t="shared" si="8"/>
        <v>0</v>
      </c>
      <c r="BE24">
        <f t="shared" si="4"/>
        <v>1</v>
      </c>
      <c r="BF24">
        <f t="shared" si="9"/>
        <v>0</v>
      </c>
      <c r="BG24" s="9">
        <f t="shared" si="10"/>
        <v>0</v>
      </c>
      <c r="BH24" s="9">
        <f t="shared" si="11"/>
        <v>0</v>
      </c>
      <c r="BI24" s="9">
        <f t="shared" si="12"/>
        <v>0</v>
      </c>
      <c r="BJ24" s="12">
        <f t="shared" si="13"/>
        <v>0</v>
      </c>
      <c r="BL24" s="9"/>
      <c r="BN24">
        <f t="shared" si="14"/>
        <v>0</v>
      </c>
      <c r="BO24">
        <f t="shared" si="15"/>
        <v>1</v>
      </c>
      <c r="BP24">
        <f t="shared" si="16"/>
        <v>0</v>
      </c>
      <c r="BQ24">
        <f t="shared" si="5"/>
        <v>1</v>
      </c>
      <c r="BR24">
        <f t="shared" si="17"/>
        <v>0</v>
      </c>
      <c r="BS24" s="9">
        <f t="shared" si="18"/>
        <v>0</v>
      </c>
      <c r="BT24" s="9">
        <f t="shared" si="19"/>
        <v>0</v>
      </c>
      <c r="BU24" s="9">
        <f t="shared" si="20"/>
        <v>0</v>
      </c>
      <c r="BV24" s="12">
        <f t="shared" si="21"/>
        <v>0</v>
      </c>
      <c r="BX24" s="12">
        <f t="shared" si="22"/>
        <v>0</v>
      </c>
      <c r="BY24" s="12">
        <f t="shared" si="23"/>
        <v>0</v>
      </c>
    </row>
    <row r="25" spans="1:98" x14ac:dyDescent="0.3">
      <c r="A25" s="1">
        <v>46058</v>
      </c>
      <c r="B25" s="8">
        <v>19.12</v>
      </c>
      <c r="C25" s="8">
        <v>31.16</v>
      </c>
      <c r="D25" s="9">
        <v>-7.2954987467243396E-3</v>
      </c>
      <c r="E25" s="9">
        <v>-8.9457465584582702E-3</v>
      </c>
      <c r="F25" s="8">
        <v>0</v>
      </c>
      <c r="G25" s="8">
        <v>0.1</v>
      </c>
      <c r="H25" s="8">
        <v>0</v>
      </c>
      <c r="I25" s="8">
        <v>0.1772</v>
      </c>
      <c r="J25" s="8">
        <v>0.1</v>
      </c>
      <c r="K25" s="8">
        <v>0.1772</v>
      </c>
      <c r="L25" s="8">
        <v>19.22</v>
      </c>
      <c r="M25" s="8">
        <v>31.337199999999999</v>
      </c>
      <c r="N25" s="10">
        <v>1.6297071129707099</v>
      </c>
      <c r="O25" s="10">
        <v>1.64495540501874</v>
      </c>
      <c r="P25" s="10">
        <v>1.63008745232076</v>
      </c>
      <c r="Q25" s="10">
        <v>1.6301610170821901</v>
      </c>
      <c r="R25" s="8">
        <v>31.4515473439583</v>
      </c>
      <c r="S25" s="8">
        <v>31.167051680209699</v>
      </c>
      <c r="T25" s="8">
        <v>31.169762758761099</v>
      </c>
      <c r="U25" s="9">
        <v>9.3129610594759396E-3</v>
      </c>
      <c r="V25" s="9">
        <v>2.26279923397059E-4</v>
      </c>
      <c r="W25" s="9">
        <v>3.13261543405004E-4</v>
      </c>
      <c r="X25" s="10">
        <v>1.6304474505723201</v>
      </c>
      <c r="Y25" s="10">
        <v>1.6378015347179899</v>
      </c>
      <c r="Z25" s="10">
        <v>1.63038035795673</v>
      </c>
      <c r="AA25" s="10">
        <v>1.6303074699001701</v>
      </c>
      <c r="AB25" s="8">
        <v>31.478545497279899</v>
      </c>
      <c r="AC25" s="8">
        <v>31.334265990132401</v>
      </c>
      <c r="AD25" s="8">
        <v>31.334887889238399</v>
      </c>
      <c r="AE25" s="9">
        <v>4.5003282128141401E-3</v>
      </c>
      <c r="AF25" s="9">
        <v>-9.3631442102329096E-5</v>
      </c>
      <c r="AG25" s="9">
        <v>-7.3784386015811503E-5</v>
      </c>
      <c r="AZ25" s="9"/>
      <c r="BB25">
        <f t="shared" si="6"/>
        <v>0</v>
      </c>
      <c r="BC25">
        <f t="shared" si="7"/>
        <v>1</v>
      </c>
      <c r="BD25">
        <f t="shared" si="8"/>
        <v>0</v>
      </c>
      <c r="BE25">
        <f t="shared" si="4"/>
        <v>1</v>
      </c>
      <c r="BF25">
        <f t="shared" si="9"/>
        <v>0</v>
      </c>
      <c r="BG25" s="9">
        <f t="shared" si="10"/>
        <v>0</v>
      </c>
      <c r="BH25" s="9">
        <f t="shared" si="11"/>
        <v>0</v>
      </c>
      <c r="BI25" s="9">
        <f t="shared" si="12"/>
        <v>0</v>
      </c>
      <c r="BJ25" s="12">
        <f t="shared" si="13"/>
        <v>0</v>
      </c>
      <c r="BL25" s="9"/>
      <c r="BN25">
        <f t="shared" si="14"/>
        <v>0</v>
      </c>
      <c r="BO25">
        <f t="shared" si="15"/>
        <v>1</v>
      </c>
      <c r="BP25">
        <f t="shared" si="16"/>
        <v>0</v>
      </c>
      <c r="BQ25">
        <f t="shared" si="5"/>
        <v>1</v>
      </c>
      <c r="BR25">
        <f t="shared" si="17"/>
        <v>0</v>
      </c>
      <c r="BS25" s="9">
        <f t="shared" si="18"/>
        <v>0</v>
      </c>
      <c r="BT25" s="9">
        <f t="shared" si="19"/>
        <v>0</v>
      </c>
      <c r="BU25" s="9">
        <f t="shared" si="20"/>
        <v>0</v>
      </c>
      <c r="BV25" s="12">
        <f t="shared" si="21"/>
        <v>0</v>
      </c>
      <c r="BX25" s="12">
        <f t="shared" si="22"/>
        <v>0</v>
      </c>
      <c r="BY25" s="12">
        <f t="shared" si="23"/>
        <v>0</v>
      </c>
      <c r="CL25" s="17"/>
      <c r="CM25" s="17"/>
      <c r="CN25" s="17"/>
      <c r="CO25" s="17"/>
      <c r="CP25" s="17"/>
      <c r="CQ25" s="17"/>
      <c r="CR25" s="17"/>
      <c r="CS25" s="17"/>
      <c r="CT25" s="17"/>
    </row>
    <row r="26" spans="1:98" x14ac:dyDescent="0.3">
      <c r="A26" s="1">
        <v>46059</v>
      </c>
      <c r="B26" s="8">
        <v>19.27</v>
      </c>
      <c r="C26" s="8">
        <v>31.47</v>
      </c>
      <c r="D26" s="9">
        <v>7.8145748030197092E-3</v>
      </c>
      <c r="E26" s="9">
        <v>9.8994900737678793E-3</v>
      </c>
      <c r="F26" s="8">
        <v>0</v>
      </c>
      <c r="G26" s="8">
        <v>0.1</v>
      </c>
      <c r="H26" s="8">
        <v>0</v>
      </c>
      <c r="I26" s="8">
        <v>0.1772</v>
      </c>
      <c r="J26" s="8">
        <v>0.1</v>
      </c>
      <c r="K26" s="8">
        <v>0.1772</v>
      </c>
      <c r="L26" s="8">
        <v>19.37</v>
      </c>
      <c r="M26" s="8">
        <v>31.647199999999899</v>
      </c>
      <c r="N26" s="10">
        <v>1.63310845874416</v>
      </c>
      <c r="O26" s="10">
        <v>1.64495540501874</v>
      </c>
      <c r="P26" s="10">
        <v>1.63034260069901</v>
      </c>
      <c r="Q26" s="10">
        <v>1.6304789594595199</v>
      </c>
      <c r="R26" s="8">
        <v>31.698290654711101</v>
      </c>
      <c r="S26" s="8">
        <v>31.411785206221101</v>
      </c>
      <c r="T26" s="8">
        <v>31.413202799173899</v>
      </c>
      <c r="U26" s="9">
        <v>7.2280457887276203E-3</v>
      </c>
      <c r="V26" s="9">
        <v>-1.85156354004044E-3</v>
      </c>
      <c r="W26" s="9">
        <v>-1.8064352241274301E-3</v>
      </c>
      <c r="X26" s="10">
        <v>1.6338255033557001</v>
      </c>
      <c r="Y26" s="10">
        <v>1.6378015347179899</v>
      </c>
      <c r="Z26" s="10">
        <v>1.63070721079613</v>
      </c>
      <c r="AA26" s="10">
        <v>1.63066126450808</v>
      </c>
      <c r="AB26" s="8">
        <v>31.7242157274876</v>
      </c>
      <c r="AC26" s="8">
        <v>31.580467533621899</v>
      </c>
      <c r="AD26" s="8">
        <v>31.579055691966399</v>
      </c>
      <c r="AE26" s="9">
        <v>2.4306152709457898E-3</v>
      </c>
      <c r="AF26" s="9">
        <v>-2.1108636063849801E-3</v>
      </c>
      <c r="AG26" s="9">
        <v>-2.15557077273414E-3</v>
      </c>
      <c r="AZ26" s="9"/>
      <c r="BB26">
        <f t="shared" si="6"/>
        <v>0</v>
      </c>
      <c r="BC26">
        <f t="shared" si="7"/>
        <v>1</v>
      </c>
      <c r="BD26">
        <f t="shared" si="8"/>
        <v>0</v>
      </c>
      <c r="BE26">
        <f t="shared" si="4"/>
        <v>1</v>
      </c>
      <c r="BF26">
        <f t="shared" si="9"/>
        <v>0</v>
      </c>
      <c r="BG26" s="9">
        <f t="shared" si="10"/>
        <v>0</v>
      </c>
      <c r="BH26" s="9">
        <f t="shared" si="11"/>
        <v>0</v>
      </c>
      <c r="BI26" s="9">
        <f t="shared" si="12"/>
        <v>0</v>
      </c>
      <c r="BJ26" s="12">
        <f t="shared" si="13"/>
        <v>0</v>
      </c>
      <c r="BL26" s="9"/>
      <c r="BN26">
        <f t="shared" si="14"/>
        <v>0</v>
      </c>
      <c r="BO26">
        <f t="shared" si="15"/>
        <v>1</v>
      </c>
      <c r="BP26">
        <f t="shared" si="16"/>
        <v>0</v>
      </c>
      <c r="BQ26">
        <f t="shared" si="5"/>
        <v>1</v>
      </c>
      <c r="BR26">
        <f t="shared" si="17"/>
        <v>0</v>
      </c>
      <c r="BS26" s="9">
        <f t="shared" si="18"/>
        <v>0</v>
      </c>
      <c r="BT26" s="9">
        <f t="shared" si="19"/>
        <v>0</v>
      </c>
      <c r="BU26" s="9">
        <f t="shared" si="20"/>
        <v>0</v>
      </c>
      <c r="BV26" s="12">
        <f t="shared" si="21"/>
        <v>0</v>
      </c>
      <c r="BX26" s="12">
        <f t="shared" si="22"/>
        <v>0</v>
      </c>
      <c r="BY26" s="12">
        <f t="shared" si="23"/>
        <v>0</v>
      </c>
      <c r="CL26" s="17"/>
      <c r="CM26" s="9"/>
      <c r="CN26" s="9"/>
      <c r="CO26" s="9"/>
      <c r="CP26" s="9"/>
      <c r="CQ26" s="9"/>
      <c r="CR26" s="9"/>
      <c r="CS26" s="9"/>
      <c r="CT26" s="9"/>
    </row>
    <row r="27" spans="1:98" x14ac:dyDescent="0.3">
      <c r="A27" s="1">
        <v>46062</v>
      </c>
      <c r="B27" s="8">
        <v>19.3</v>
      </c>
      <c r="C27" s="8">
        <v>31.51</v>
      </c>
      <c r="D27" s="9">
        <v>1.5556134845650001E-3</v>
      </c>
      <c r="E27" s="9">
        <v>1.2702446928677599E-3</v>
      </c>
      <c r="F27" s="8">
        <v>0</v>
      </c>
      <c r="G27" s="8">
        <v>0.1</v>
      </c>
      <c r="H27" s="8">
        <v>0</v>
      </c>
      <c r="I27" s="8">
        <v>0.1772</v>
      </c>
      <c r="J27" s="8">
        <v>0.1</v>
      </c>
      <c r="K27" s="8">
        <v>0.1772</v>
      </c>
      <c r="L27" s="8">
        <v>19.399999999999999</v>
      </c>
      <c r="M27" s="8">
        <v>31.687200000000001</v>
      </c>
      <c r="N27" s="10">
        <v>1.6326424870466301</v>
      </c>
      <c r="O27" s="10">
        <v>1.64495540501874</v>
      </c>
      <c r="P27" s="10">
        <v>1.6307876461350299</v>
      </c>
      <c r="Q27" s="10">
        <v>1.63049267636615</v>
      </c>
      <c r="R27" s="8">
        <v>31.747639316861601</v>
      </c>
      <c r="S27" s="8">
        <v>31.465612193490902</v>
      </c>
      <c r="T27" s="8">
        <v>31.468243917568799</v>
      </c>
      <c r="U27" s="9">
        <v>7.5134145804248102E-3</v>
      </c>
      <c r="V27" s="9">
        <v>-1.4096826474117401E-3</v>
      </c>
      <c r="W27" s="9">
        <v>-1.3260480430175E-3</v>
      </c>
      <c r="X27" s="10">
        <v>1.63336082474226</v>
      </c>
      <c r="Y27" s="10">
        <v>1.6378015347179899</v>
      </c>
      <c r="Z27" s="10">
        <v>1.6312240900017201</v>
      </c>
      <c r="AA27" s="10">
        <v>1.63071089829949</v>
      </c>
      <c r="AB27" s="8">
        <v>31.773349773529102</v>
      </c>
      <c r="AC27" s="8">
        <v>31.635719889444999</v>
      </c>
      <c r="AD27" s="8">
        <v>31.6348285314569</v>
      </c>
      <c r="AE27" s="9">
        <v>2.7150671325207498E-3</v>
      </c>
      <c r="AF27" s="9">
        <v>-1.6259554040302499E-3</v>
      </c>
      <c r="AG27" s="9">
        <v>-1.65413148311992E-3</v>
      </c>
      <c r="AZ27" s="9"/>
      <c r="BB27">
        <f t="shared" si="6"/>
        <v>0</v>
      </c>
      <c r="BC27">
        <f t="shared" si="7"/>
        <v>1</v>
      </c>
      <c r="BD27">
        <f t="shared" si="8"/>
        <v>0</v>
      </c>
      <c r="BE27">
        <f t="shared" si="4"/>
        <v>1</v>
      </c>
      <c r="BF27">
        <f t="shared" si="9"/>
        <v>0</v>
      </c>
      <c r="BG27" s="9">
        <f t="shared" si="10"/>
        <v>0</v>
      </c>
      <c r="BH27" s="9">
        <f t="shared" si="11"/>
        <v>0</v>
      </c>
      <c r="BI27" s="9">
        <f t="shared" si="12"/>
        <v>0</v>
      </c>
      <c r="BJ27" s="12">
        <f t="shared" si="13"/>
        <v>0</v>
      </c>
      <c r="BL27" s="9"/>
      <c r="BN27">
        <f t="shared" si="14"/>
        <v>0</v>
      </c>
      <c r="BO27">
        <f t="shared" si="15"/>
        <v>1</v>
      </c>
      <c r="BP27">
        <f t="shared" si="16"/>
        <v>0</v>
      </c>
      <c r="BQ27">
        <f t="shared" si="5"/>
        <v>1</v>
      </c>
      <c r="BR27">
        <f t="shared" si="17"/>
        <v>0</v>
      </c>
      <c r="BS27" s="9">
        <f t="shared" si="18"/>
        <v>0</v>
      </c>
      <c r="BT27" s="9">
        <f t="shared" si="19"/>
        <v>0</v>
      </c>
      <c r="BU27" s="9">
        <f t="shared" si="20"/>
        <v>0</v>
      </c>
      <c r="BV27" s="12">
        <f t="shared" si="21"/>
        <v>0</v>
      </c>
      <c r="BX27" s="12">
        <f t="shared" si="22"/>
        <v>0</v>
      </c>
      <c r="BY27" s="12">
        <f t="shared" si="23"/>
        <v>0</v>
      </c>
      <c r="CL27" s="17"/>
      <c r="CM27" s="9"/>
      <c r="CN27" s="9"/>
      <c r="CO27" s="9"/>
      <c r="CP27" s="9"/>
      <c r="CQ27" s="9"/>
      <c r="CR27" s="9"/>
      <c r="CS27" s="9"/>
      <c r="CT27" s="9"/>
    </row>
    <row r="28" spans="1:98" ht="15" thickBot="1" x14ac:dyDescent="0.35">
      <c r="A28" s="1">
        <v>46063</v>
      </c>
      <c r="B28" s="8">
        <v>19.309999999999999</v>
      </c>
      <c r="C28" s="8">
        <v>31.52</v>
      </c>
      <c r="D28" s="9">
        <v>5.1800052958311804E-4</v>
      </c>
      <c r="E28" s="9">
        <v>3.1730922049511299E-4</v>
      </c>
      <c r="F28" s="8">
        <v>0</v>
      </c>
      <c r="G28" s="8">
        <v>0.1</v>
      </c>
      <c r="H28" s="8">
        <v>0</v>
      </c>
      <c r="I28" s="8">
        <v>0.1772</v>
      </c>
      <c r="J28" s="8">
        <v>0.1</v>
      </c>
      <c r="K28" s="8">
        <v>0.1772</v>
      </c>
      <c r="L28" s="8">
        <v>19.41</v>
      </c>
      <c r="M28" s="8">
        <v>31.697199999999999</v>
      </c>
      <c r="N28" s="10">
        <v>1.6323148627654001</v>
      </c>
      <c r="O28" s="10">
        <v>1.64495540501874</v>
      </c>
      <c r="P28" s="10">
        <v>1.6312379463175</v>
      </c>
      <c r="Q28" s="10">
        <v>1.6304029931478301</v>
      </c>
      <c r="R28" s="8">
        <v>31.764088870911799</v>
      </c>
      <c r="S28" s="8">
        <v>31.490509446867499</v>
      </c>
      <c r="T28" s="8">
        <v>31.484813580630298</v>
      </c>
      <c r="U28" s="9">
        <v>7.7141058895128798E-3</v>
      </c>
      <c r="V28" s="9">
        <v>-9.3605195528801896E-4</v>
      </c>
      <c r="W28" s="9">
        <v>-1.1169439612008301E-3</v>
      </c>
      <c r="X28" s="10">
        <v>1.63303451828954</v>
      </c>
      <c r="Y28" s="10">
        <v>1.6378015347179899</v>
      </c>
      <c r="Z28" s="10">
        <v>1.6317463557366001</v>
      </c>
      <c r="AA28" s="10">
        <v>1.6306571978573801</v>
      </c>
      <c r="AB28" s="8">
        <v>31.789727788876299</v>
      </c>
      <c r="AC28" s="8">
        <v>31.662059586933299</v>
      </c>
      <c r="AD28" s="8">
        <v>31.652098535993101</v>
      </c>
      <c r="AE28" s="9">
        <v>2.9148631887501702E-3</v>
      </c>
      <c r="AF28" s="9">
        <v>-1.1092432865794899E-3</v>
      </c>
      <c r="AG28" s="9">
        <v>-1.42389805946894E-3</v>
      </c>
      <c r="AZ28" s="9"/>
      <c r="BB28">
        <f t="shared" si="6"/>
        <v>0</v>
      </c>
      <c r="BC28">
        <f t="shared" si="7"/>
        <v>1</v>
      </c>
      <c r="BD28">
        <f t="shared" si="8"/>
        <v>0</v>
      </c>
      <c r="BE28">
        <f t="shared" si="4"/>
        <v>1</v>
      </c>
      <c r="BF28">
        <f t="shared" si="9"/>
        <v>0</v>
      </c>
      <c r="BG28" s="9">
        <f t="shared" si="10"/>
        <v>0</v>
      </c>
      <c r="BH28" s="9">
        <f t="shared" si="11"/>
        <v>0</v>
      </c>
      <c r="BI28" s="9">
        <f t="shared" si="12"/>
        <v>0</v>
      </c>
      <c r="BJ28" s="12">
        <f t="shared" si="13"/>
        <v>0</v>
      </c>
      <c r="BL28" s="9"/>
      <c r="BN28">
        <f t="shared" si="14"/>
        <v>0</v>
      </c>
      <c r="BO28">
        <f t="shared" si="15"/>
        <v>1</v>
      </c>
      <c r="BP28">
        <f t="shared" si="16"/>
        <v>0</v>
      </c>
      <c r="BQ28">
        <f t="shared" si="5"/>
        <v>1</v>
      </c>
      <c r="BR28">
        <f t="shared" si="17"/>
        <v>0</v>
      </c>
      <c r="BS28" s="9">
        <f t="shared" si="18"/>
        <v>0</v>
      </c>
      <c r="BT28" s="9">
        <f t="shared" si="19"/>
        <v>0</v>
      </c>
      <c r="BU28" s="9">
        <f t="shared" si="20"/>
        <v>0</v>
      </c>
      <c r="BV28" s="12">
        <f t="shared" si="21"/>
        <v>0</v>
      </c>
      <c r="BX28" s="12">
        <f t="shared" si="22"/>
        <v>0</v>
      </c>
      <c r="BY28" s="12">
        <f t="shared" si="23"/>
        <v>0</v>
      </c>
      <c r="CL28" s="17"/>
      <c r="CM28" s="9"/>
      <c r="CN28" s="9"/>
      <c r="CO28" s="9"/>
      <c r="CP28" s="20"/>
      <c r="CQ28" s="9"/>
      <c r="CR28" s="9"/>
      <c r="CS28" s="9"/>
      <c r="CT28" s="9"/>
    </row>
    <row r="29" spans="1:98" ht="15" thickBot="1" x14ac:dyDescent="0.35">
      <c r="A29" s="1">
        <v>46064</v>
      </c>
      <c r="B29" s="8">
        <v>19.38</v>
      </c>
      <c r="C29" s="8">
        <v>31.58</v>
      </c>
      <c r="D29" s="9">
        <v>3.6185100221972199E-3</v>
      </c>
      <c r="E29" s="9">
        <v>1.9017438378177E-3</v>
      </c>
      <c r="F29" s="8">
        <v>0</v>
      </c>
      <c r="G29" s="8">
        <v>0.1</v>
      </c>
      <c r="H29" s="8">
        <v>0</v>
      </c>
      <c r="I29" s="8">
        <v>0.1772</v>
      </c>
      <c r="J29" s="8">
        <v>0.1</v>
      </c>
      <c r="K29" s="8">
        <v>0.1772</v>
      </c>
      <c r="L29" s="8">
        <v>19.48</v>
      </c>
      <c r="M29" s="8">
        <v>31.757199999999902</v>
      </c>
      <c r="N29" s="10">
        <v>1.6295149638802799</v>
      </c>
      <c r="O29" s="10">
        <v>1.64495540501874</v>
      </c>
      <c r="P29" s="10">
        <v>1.6311448501888699</v>
      </c>
      <c r="Q29" s="10">
        <v>1.6305419804163901</v>
      </c>
      <c r="R29" s="8">
        <v>31.879235749263099</v>
      </c>
      <c r="S29" s="8">
        <v>31.613391399633301</v>
      </c>
      <c r="T29" s="8">
        <v>31.5972100072049</v>
      </c>
      <c r="U29" s="9">
        <v>9.4308720738922498E-3</v>
      </c>
      <c r="V29" s="9">
        <v>1.05680046604382E-3</v>
      </c>
      <c r="W29" s="9">
        <v>5.4481695626396401E-4</v>
      </c>
      <c r="X29" s="10">
        <v>1.63024640657084</v>
      </c>
      <c r="Y29" s="10">
        <v>1.6378015347179899</v>
      </c>
      <c r="Z29" s="10">
        <v>1.6317264038770301</v>
      </c>
      <c r="AA29" s="10">
        <v>1.6308327572604699</v>
      </c>
      <c r="AB29" s="8">
        <v>31.904373896306598</v>
      </c>
      <c r="AC29" s="8">
        <v>31.786419009749</v>
      </c>
      <c r="AD29" s="8">
        <v>31.765202214261699</v>
      </c>
      <c r="AE29" s="9">
        <v>4.6236418451522402E-3</v>
      </c>
      <c r="AF29" s="9">
        <v>9.1965211499645796E-4</v>
      </c>
      <c r="AG29" s="9">
        <v>2.5194936038846799E-4</v>
      </c>
      <c r="AZ29" s="9"/>
      <c r="BB29">
        <f t="shared" si="6"/>
        <v>0</v>
      </c>
      <c r="BC29">
        <f t="shared" si="7"/>
        <v>1</v>
      </c>
      <c r="BD29">
        <f t="shared" si="8"/>
        <v>0</v>
      </c>
      <c r="BE29">
        <f t="shared" si="4"/>
        <v>1</v>
      </c>
      <c r="BF29">
        <f t="shared" si="9"/>
        <v>0</v>
      </c>
      <c r="BG29" s="9">
        <f t="shared" si="10"/>
        <v>0</v>
      </c>
      <c r="BH29" s="9">
        <f t="shared" si="11"/>
        <v>0</v>
      </c>
      <c r="BI29" s="9">
        <f t="shared" si="12"/>
        <v>0</v>
      </c>
      <c r="BJ29" s="12">
        <f t="shared" si="13"/>
        <v>0</v>
      </c>
      <c r="BL29" s="9"/>
      <c r="BN29">
        <f t="shared" si="14"/>
        <v>0</v>
      </c>
      <c r="BO29">
        <f t="shared" si="15"/>
        <v>1</v>
      </c>
      <c r="BP29">
        <f t="shared" si="16"/>
        <v>0</v>
      </c>
      <c r="BQ29">
        <f t="shared" si="5"/>
        <v>1</v>
      </c>
      <c r="BR29">
        <f t="shared" si="17"/>
        <v>0</v>
      </c>
      <c r="BS29" s="9">
        <f t="shared" si="18"/>
        <v>0</v>
      </c>
      <c r="BT29" s="9">
        <f t="shared" si="19"/>
        <v>0</v>
      </c>
      <c r="BU29" s="9">
        <f t="shared" si="20"/>
        <v>0</v>
      </c>
      <c r="BV29" s="12">
        <f t="shared" si="21"/>
        <v>0</v>
      </c>
      <c r="BX29" s="12">
        <f t="shared" si="22"/>
        <v>0</v>
      </c>
      <c r="BY29" s="12">
        <f t="shared" si="23"/>
        <v>0</v>
      </c>
      <c r="CL29" s="17"/>
      <c r="CM29" s="9"/>
      <c r="CN29" s="9"/>
      <c r="CO29" s="9"/>
      <c r="CP29" s="9"/>
      <c r="CQ29" s="19"/>
      <c r="CR29" s="9"/>
      <c r="CS29" s="9"/>
      <c r="CT29" s="9"/>
    </row>
    <row r="30" spans="1:98" x14ac:dyDescent="0.3">
      <c r="A30" s="1">
        <v>46065</v>
      </c>
      <c r="B30" s="8">
        <v>19.23</v>
      </c>
      <c r="C30" s="8">
        <v>31.48</v>
      </c>
      <c r="D30" s="9">
        <v>-7.7700468619317804E-3</v>
      </c>
      <c r="E30" s="9">
        <v>-3.1715852782934701E-3</v>
      </c>
      <c r="F30" s="8">
        <v>0</v>
      </c>
      <c r="G30" s="8">
        <v>0.1</v>
      </c>
      <c r="H30" s="8">
        <v>0</v>
      </c>
      <c r="I30" s="8">
        <v>0.1772</v>
      </c>
      <c r="J30" s="8">
        <v>0.1</v>
      </c>
      <c r="K30" s="8">
        <v>0.1772</v>
      </c>
      <c r="L30" s="8">
        <v>19.329999999999998</v>
      </c>
      <c r="M30" s="8">
        <v>31.6572</v>
      </c>
      <c r="N30" s="10">
        <v>1.6370254810192399</v>
      </c>
      <c r="O30" s="10">
        <v>1.64495540501874</v>
      </c>
      <c r="P30" s="10">
        <v>1.6318329949986199</v>
      </c>
      <c r="Q30" s="10">
        <v>1.63096688196864</v>
      </c>
      <c r="R30" s="8">
        <v>31.632492438510301</v>
      </c>
      <c r="S30" s="8">
        <v>31.366915469132099</v>
      </c>
      <c r="T30" s="8">
        <v>31.3553222834073</v>
      </c>
      <c r="U30" s="9">
        <v>4.8324104902541503E-3</v>
      </c>
      <c r="V30" s="9">
        <v>-3.5987335915874299E-3</v>
      </c>
      <c r="W30" s="9">
        <v>-3.9684010738795204E-3</v>
      </c>
      <c r="X30" s="10">
        <v>1.63772374547335</v>
      </c>
      <c r="Y30" s="10">
        <v>1.6378015347179899</v>
      </c>
      <c r="Z30" s="10">
        <v>1.63248437513218</v>
      </c>
      <c r="AA30" s="10">
        <v>1.6312925720354201</v>
      </c>
      <c r="AB30" s="8">
        <v>31.658703666098901</v>
      </c>
      <c r="AC30" s="8">
        <v>31.541271386942999</v>
      </c>
      <c r="AD30" s="8">
        <v>31.523997197844899</v>
      </c>
      <c r="AE30" s="9">
        <v>4.74972641039103E-5</v>
      </c>
      <c r="AF30" s="9">
        <v>-3.6687198453153199E-3</v>
      </c>
      <c r="AG30" s="9">
        <v>-4.2165392685168503E-3</v>
      </c>
      <c r="AZ30" s="9"/>
      <c r="BB30">
        <f t="shared" si="6"/>
        <v>0</v>
      </c>
      <c r="BC30">
        <f t="shared" si="7"/>
        <v>0</v>
      </c>
      <c r="BD30">
        <f t="shared" si="8"/>
        <v>0</v>
      </c>
      <c r="BE30">
        <f t="shared" si="4"/>
        <v>1</v>
      </c>
      <c r="BF30">
        <f t="shared" si="9"/>
        <v>0</v>
      </c>
      <c r="BG30" s="9">
        <f t="shared" si="10"/>
        <v>0</v>
      </c>
      <c r="BH30" s="9">
        <f t="shared" si="11"/>
        <v>0</v>
      </c>
      <c r="BI30" s="9">
        <f t="shared" si="12"/>
        <v>0</v>
      </c>
      <c r="BJ30" s="12">
        <f t="shared" si="13"/>
        <v>0</v>
      </c>
      <c r="BL30" s="9"/>
      <c r="BN30">
        <f t="shared" si="14"/>
        <v>0</v>
      </c>
      <c r="BO30">
        <f t="shared" si="15"/>
        <v>1</v>
      </c>
      <c r="BP30">
        <f t="shared" si="16"/>
        <v>0</v>
      </c>
      <c r="BQ30">
        <f t="shared" si="5"/>
        <v>1</v>
      </c>
      <c r="BR30">
        <f t="shared" si="17"/>
        <v>0</v>
      </c>
      <c r="BS30" s="9">
        <f t="shared" si="18"/>
        <v>0</v>
      </c>
      <c r="BT30" s="9">
        <f t="shared" si="19"/>
        <v>0</v>
      </c>
      <c r="BU30" s="9">
        <f t="shared" si="20"/>
        <v>0</v>
      </c>
      <c r="BV30" s="12">
        <f t="shared" si="21"/>
        <v>0</v>
      </c>
      <c r="BX30" s="12">
        <f t="shared" si="22"/>
        <v>0</v>
      </c>
      <c r="BY30" s="12">
        <f t="shared" si="23"/>
        <v>0</v>
      </c>
      <c r="CL30" s="17"/>
      <c r="CM30" s="9"/>
      <c r="CN30" s="9"/>
      <c r="CO30" s="9"/>
      <c r="CP30" s="9"/>
      <c r="CQ30" s="9"/>
      <c r="CR30" s="9"/>
      <c r="CS30" s="9"/>
      <c r="CT30" s="9"/>
    </row>
    <row r="31" spans="1:98" x14ac:dyDescent="0.3">
      <c r="A31" s="1">
        <v>46066</v>
      </c>
      <c r="B31" s="8">
        <v>19.420000000000002</v>
      </c>
      <c r="C31" s="8">
        <v>31.69</v>
      </c>
      <c r="D31" s="9">
        <v>9.8319032624904906E-3</v>
      </c>
      <c r="E31" s="9">
        <v>6.6487501536269299E-3</v>
      </c>
      <c r="F31" s="8">
        <v>0</v>
      </c>
      <c r="G31" s="8">
        <v>0.1</v>
      </c>
      <c r="H31" s="8">
        <v>0</v>
      </c>
      <c r="I31" s="8">
        <v>0.1772</v>
      </c>
      <c r="J31" s="8">
        <v>0.1</v>
      </c>
      <c r="K31" s="8">
        <v>0.1772</v>
      </c>
      <c r="L31" s="8">
        <v>19.52</v>
      </c>
      <c r="M31" s="8">
        <v>31.8672</v>
      </c>
      <c r="N31" s="10">
        <v>1.6318228630278</v>
      </c>
      <c r="O31" s="10">
        <v>1.64495540501874</v>
      </c>
      <c r="P31" s="10">
        <v>1.6318329949986199</v>
      </c>
      <c r="Q31" s="10">
        <v>1.6310518775790399</v>
      </c>
      <c r="R31" s="8">
        <v>31.9450339654639</v>
      </c>
      <c r="S31" s="8">
        <v>31.6901967628732</v>
      </c>
      <c r="T31" s="8">
        <v>31.673376847831001</v>
      </c>
      <c r="U31" s="9">
        <v>8.0155635991176998E-3</v>
      </c>
      <c r="V31" s="9">
        <v>6.2089700976183099E-6</v>
      </c>
      <c r="W31" s="9">
        <v>-5.2469276030741099E-4</v>
      </c>
      <c r="X31" s="10">
        <v>1.6325409836065501</v>
      </c>
      <c r="Y31" s="10">
        <v>1.6378015347179899</v>
      </c>
      <c r="Z31" s="10">
        <v>1.63255618719006</v>
      </c>
      <c r="AA31" s="10">
        <v>1.6314134736747601</v>
      </c>
      <c r="AB31" s="8">
        <v>31.969885957695301</v>
      </c>
      <c r="AC31" s="8">
        <v>31.866095002580199</v>
      </c>
      <c r="AD31" s="8">
        <v>31.842831006131401</v>
      </c>
      <c r="AE31" s="9">
        <v>3.2171282482812099E-3</v>
      </c>
      <c r="AF31" s="9">
        <v>-3.4675672104874701E-5</v>
      </c>
      <c r="AG31" s="9">
        <v>-7.6499711810301305E-4</v>
      </c>
      <c r="AZ31" s="9"/>
      <c r="BB31">
        <f t="shared" si="6"/>
        <v>0</v>
      </c>
      <c r="BC31">
        <f t="shared" si="7"/>
        <v>1</v>
      </c>
      <c r="BD31">
        <f t="shared" si="8"/>
        <v>0</v>
      </c>
      <c r="BE31">
        <f t="shared" si="4"/>
        <v>1</v>
      </c>
      <c r="BF31">
        <f t="shared" si="9"/>
        <v>0</v>
      </c>
      <c r="BG31" s="9">
        <f t="shared" si="10"/>
        <v>0</v>
      </c>
      <c r="BH31" s="9">
        <f t="shared" si="11"/>
        <v>0</v>
      </c>
      <c r="BI31" s="9">
        <f t="shared" si="12"/>
        <v>0</v>
      </c>
      <c r="BJ31" s="12">
        <f t="shared" si="13"/>
        <v>0</v>
      </c>
      <c r="BL31" s="9"/>
      <c r="BN31">
        <f t="shared" si="14"/>
        <v>0</v>
      </c>
      <c r="BO31">
        <f t="shared" si="15"/>
        <v>1</v>
      </c>
      <c r="BP31">
        <f t="shared" si="16"/>
        <v>0</v>
      </c>
      <c r="BQ31">
        <f t="shared" si="5"/>
        <v>1</v>
      </c>
      <c r="BR31">
        <f t="shared" si="17"/>
        <v>0</v>
      </c>
      <c r="BS31" s="9">
        <f t="shared" si="18"/>
        <v>0</v>
      </c>
      <c r="BT31" s="9">
        <f t="shared" si="19"/>
        <v>0</v>
      </c>
      <c r="BU31" s="9">
        <f t="shared" si="20"/>
        <v>0</v>
      </c>
      <c r="BV31" s="12">
        <f t="shared" si="21"/>
        <v>0</v>
      </c>
      <c r="BX31" s="12">
        <f t="shared" si="22"/>
        <v>0</v>
      </c>
      <c r="BY31" s="12">
        <f t="shared" si="23"/>
        <v>0</v>
      </c>
      <c r="CL31" s="17"/>
      <c r="CM31" s="9"/>
      <c r="CN31" s="9"/>
      <c r="CO31" s="9"/>
      <c r="CP31" s="9"/>
      <c r="CQ31" s="9"/>
      <c r="CR31" s="9"/>
      <c r="CS31" s="9"/>
      <c r="CT31" s="9"/>
    </row>
    <row r="32" spans="1:98" x14ac:dyDescent="0.3">
      <c r="A32" s="1">
        <v>46070</v>
      </c>
      <c r="B32" s="8">
        <v>19.47</v>
      </c>
      <c r="C32" s="8">
        <v>31.83</v>
      </c>
      <c r="D32" s="9">
        <v>2.57135652092931E-3</v>
      </c>
      <c r="E32" s="9">
        <v>4.4080675911720001E-3</v>
      </c>
      <c r="F32" s="8">
        <v>0</v>
      </c>
      <c r="G32" s="8">
        <v>0.1</v>
      </c>
      <c r="H32" s="8">
        <v>0</v>
      </c>
      <c r="I32" s="8">
        <v>0.1772</v>
      </c>
      <c r="J32" s="8">
        <v>0.1</v>
      </c>
      <c r="K32" s="8">
        <v>0.1772</v>
      </c>
      <c r="L32" s="8">
        <v>19.57</v>
      </c>
      <c r="M32" s="8">
        <v>32.007199999999997</v>
      </c>
      <c r="N32" s="10">
        <v>1.63482280431432</v>
      </c>
      <c r="O32" s="10">
        <v>1.64495540501874</v>
      </c>
      <c r="P32" s="10">
        <v>1.63222559165607</v>
      </c>
      <c r="Q32" s="10">
        <v>1.6311802802498201</v>
      </c>
      <c r="R32" s="8">
        <v>32.027281735714801</v>
      </c>
      <c r="S32" s="8">
        <v>31.771788412623099</v>
      </c>
      <c r="T32" s="8">
        <v>31.756580056463999</v>
      </c>
      <c r="U32" s="9">
        <v>6.17885252887505E-3</v>
      </c>
      <c r="V32" s="9">
        <v>-1.83050210014493E-3</v>
      </c>
      <c r="W32" s="9">
        <v>-2.30929155487598E-3</v>
      </c>
      <c r="X32" s="10">
        <v>1.6355237608584501</v>
      </c>
      <c r="Y32" s="10">
        <v>1.6378015347179899</v>
      </c>
      <c r="Z32" s="10">
        <v>1.6329461084022601</v>
      </c>
      <c r="AA32" s="10">
        <v>1.63157692417274</v>
      </c>
      <c r="AB32" s="8">
        <v>32.051776034431199</v>
      </c>
      <c r="AC32" s="8">
        <v>31.949124583309398</v>
      </c>
      <c r="AD32" s="8">
        <v>31.926761679815201</v>
      </c>
      <c r="AE32" s="9">
        <v>1.3917188311643399E-3</v>
      </c>
      <c r="AF32" s="9">
        <v>-1.8160966262815901E-3</v>
      </c>
      <c r="AG32" s="9">
        <v>-2.5162952682493901E-3</v>
      </c>
      <c r="AZ32" s="9"/>
      <c r="BB32">
        <f t="shared" si="6"/>
        <v>0</v>
      </c>
      <c r="BC32">
        <f t="shared" si="7"/>
        <v>1</v>
      </c>
      <c r="BD32">
        <f t="shared" si="8"/>
        <v>0</v>
      </c>
      <c r="BE32">
        <f t="shared" si="4"/>
        <v>1</v>
      </c>
      <c r="BF32">
        <f t="shared" si="9"/>
        <v>0</v>
      </c>
      <c r="BG32" s="9">
        <f t="shared" si="10"/>
        <v>0</v>
      </c>
      <c r="BH32" s="9">
        <f t="shared" si="11"/>
        <v>0</v>
      </c>
      <c r="BI32" s="9">
        <f t="shared" si="12"/>
        <v>0</v>
      </c>
      <c r="BJ32" s="12">
        <f t="shared" si="13"/>
        <v>0</v>
      </c>
      <c r="BL32" s="9"/>
      <c r="BN32">
        <f t="shared" si="14"/>
        <v>0</v>
      </c>
      <c r="BO32">
        <f t="shared" si="15"/>
        <v>1</v>
      </c>
      <c r="BP32">
        <f t="shared" si="16"/>
        <v>0</v>
      </c>
      <c r="BQ32">
        <f t="shared" si="5"/>
        <v>1</v>
      </c>
      <c r="BR32">
        <f t="shared" si="17"/>
        <v>0</v>
      </c>
      <c r="BS32" s="9">
        <f t="shared" si="18"/>
        <v>0</v>
      </c>
      <c r="BT32" s="9">
        <f t="shared" si="19"/>
        <v>0</v>
      </c>
      <c r="BU32" s="9">
        <f t="shared" si="20"/>
        <v>0</v>
      </c>
      <c r="BV32" s="12">
        <f t="shared" si="21"/>
        <v>0</v>
      </c>
      <c r="BX32" s="12">
        <f t="shared" si="22"/>
        <v>0</v>
      </c>
      <c r="BY32" s="12">
        <f t="shared" si="23"/>
        <v>0</v>
      </c>
      <c r="CL32" s="17"/>
      <c r="CM32" s="9"/>
      <c r="CN32" s="9"/>
      <c r="CO32" s="9"/>
      <c r="CP32" s="9"/>
      <c r="CQ32" s="9"/>
      <c r="CR32" s="9"/>
      <c r="CS32" s="9"/>
      <c r="CT32" s="9"/>
    </row>
    <row r="33" spans="1:98" x14ac:dyDescent="0.3">
      <c r="A33" s="1">
        <v>46071</v>
      </c>
      <c r="B33" s="8">
        <v>19.48</v>
      </c>
      <c r="C33" s="8">
        <v>31.78</v>
      </c>
      <c r="D33" s="9">
        <v>5.13478830280809E-4</v>
      </c>
      <c r="E33" s="9">
        <v>-1.57208018543149E-3</v>
      </c>
      <c r="F33" s="8">
        <v>0</v>
      </c>
      <c r="G33" s="8">
        <v>0.1</v>
      </c>
      <c r="H33" s="8">
        <v>0</v>
      </c>
      <c r="I33" s="8">
        <v>0.1772</v>
      </c>
      <c r="J33" s="8">
        <v>0.1</v>
      </c>
      <c r="K33" s="8">
        <v>0.1772</v>
      </c>
      <c r="L33" s="8">
        <v>19.579999999999998</v>
      </c>
      <c r="M33" s="8">
        <v>31.9572</v>
      </c>
      <c r="N33" s="10">
        <v>1.6314168377823399</v>
      </c>
      <c r="O33" s="10">
        <v>1.64495540501874</v>
      </c>
      <c r="P33" s="10">
        <v>1.63247746254449</v>
      </c>
      <c r="Q33" s="10">
        <v>1.6311979745641201</v>
      </c>
      <c r="R33" s="8">
        <v>32.043731289764999</v>
      </c>
      <c r="S33" s="8">
        <v>31.795754525460399</v>
      </c>
      <c r="T33" s="8">
        <v>31.775391859266499</v>
      </c>
      <c r="U33" s="9">
        <v>8.2644115445873502E-3</v>
      </c>
      <c r="V33" s="9">
        <v>4.9561427624403602E-4</v>
      </c>
      <c r="W33" s="9">
        <v>-1.45011795434091E-4</v>
      </c>
      <c r="X33" s="10">
        <v>1.6321348314606701</v>
      </c>
      <c r="Y33" s="10">
        <v>1.6378015347179899</v>
      </c>
      <c r="Z33" s="10">
        <v>1.63319578596404</v>
      </c>
      <c r="AA33" s="10">
        <v>1.6316305181709601</v>
      </c>
      <c r="AB33" s="8">
        <v>32.0681540497784</v>
      </c>
      <c r="AC33" s="8">
        <v>31.973084802516201</v>
      </c>
      <c r="AD33" s="8">
        <v>31.946276175302401</v>
      </c>
      <c r="AE33" s="9">
        <v>3.4659444683200801E-3</v>
      </c>
      <c r="AF33" s="9">
        <v>4.96941407104059E-4</v>
      </c>
      <c r="AG33" s="9">
        <v>-3.4188515109885299E-4</v>
      </c>
      <c r="AZ33" s="9"/>
      <c r="BB33">
        <f t="shared" si="6"/>
        <v>0</v>
      </c>
      <c r="BC33">
        <f t="shared" si="7"/>
        <v>1</v>
      </c>
      <c r="BD33">
        <f t="shared" si="8"/>
        <v>0</v>
      </c>
      <c r="BE33">
        <f t="shared" si="4"/>
        <v>1</v>
      </c>
      <c r="BF33">
        <f t="shared" si="9"/>
        <v>0</v>
      </c>
      <c r="BG33" s="9">
        <f t="shared" si="10"/>
        <v>0</v>
      </c>
      <c r="BH33" s="9">
        <f t="shared" si="11"/>
        <v>0</v>
      </c>
      <c r="BI33" s="9">
        <f t="shared" si="12"/>
        <v>0</v>
      </c>
      <c r="BJ33" s="12">
        <f t="shared" si="13"/>
        <v>0</v>
      </c>
      <c r="BL33" s="9"/>
      <c r="BN33">
        <f t="shared" si="14"/>
        <v>0</v>
      </c>
      <c r="BO33">
        <f t="shared" si="15"/>
        <v>1</v>
      </c>
      <c r="BP33">
        <f t="shared" si="16"/>
        <v>0</v>
      </c>
      <c r="BQ33">
        <f t="shared" si="5"/>
        <v>1</v>
      </c>
      <c r="BR33">
        <f t="shared" si="17"/>
        <v>0</v>
      </c>
      <c r="BS33" s="9">
        <f t="shared" si="18"/>
        <v>0</v>
      </c>
      <c r="BT33" s="9">
        <f t="shared" si="19"/>
        <v>0</v>
      </c>
      <c r="BU33" s="9">
        <f t="shared" si="20"/>
        <v>0</v>
      </c>
      <c r="BV33" s="12">
        <f t="shared" si="21"/>
        <v>0</v>
      </c>
      <c r="BX33" s="12">
        <f t="shared" si="22"/>
        <v>0</v>
      </c>
      <c r="BY33" s="12">
        <f t="shared" si="23"/>
        <v>0</v>
      </c>
      <c r="CL33" s="17"/>
      <c r="CM33" s="9"/>
      <c r="CN33" s="9"/>
      <c r="CO33" s="9"/>
      <c r="CP33" s="9"/>
      <c r="CQ33" s="9"/>
      <c r="CR33" s="9"/>
      <c r="CS33" s="9"/>
      <c r="CT33" s="9"/>
    </row>
    <row r="34" spans="1:98" x14ac:dyDescent="0.3">
      <c r="A34" s="1">
        <v>46072</v>
      </c>
      <c r="B34" s="8">
        <v>19.39</v>
      </c>
      <c r="C34" s="8">
        <v>31.71</v>
      </c>
      <c r="D34" s="9">
        <v>-4.6308289598286003E-3</v>
      </c>
      <c r="E34" s="9">
        <v>-2.2050725583139799E-3</v>
      </c>
      <c r="F34" s="8">
        <v>0</v>
      </c>
      <c r="G34" s="8">
        <v>0.1</v>
      </c>
      <c r="H34" s="8">
        <v>0</v>
      </c>
      <c r="I34" s="8">
        <v>0.1772</v>
      </c>
      <c r="J34" s="8">
        <v>0.1</v>
      </c>
      <c r="K34" s="8">
        <v>0.1772</v>
      </c>
      <c r="L34" s="8">
        <v>19.489999999999998</v>
      </c>
      <c r="M34" s="8">
        <v>31.8872</v>
      </c>
      <c r="N34" s="10">
        <v>1.63537906137184</v>
      </c>
      <c r="O34" s="10">
        <v>1.64495540501874</v>
      </c>
      <c r="P34" s="10">
        <v>1.63277549329227</v>
      </c>
      <c r="Q34" s="10">
        <v>1.6314257089947199</v>
      </c>
      <c r="R34" s="8">
        <v>31.8956853033133</v>
      </c>
      <c r="S34" s="8">
        <v>31.6537379987378</v>
      </c>
      <c r="T34" s="8">
        <v>31.6289287267983</v>
      </c>
      <c r="U34" s="9">
        <v>5.8386551430727801E-3</v>
      </c>
      <c r="V34" s="9">
        <v>-1.7758427083012199E-3</v>
      </c>
      <c r="W34" s="9">
        <v>-2.5599207029331902E-3</v>
      </c>
      <c r="X34" s="10">
        <v>1.63608004104669</v>
      </c>
      <c r="Y34" s="10">
        <v>1.6378015347179899</v>
      </c>
      <c r="Z34" s="10">
        <v>1.63349180659764</v>
      </c>
      <c r="AA34" s="10">
        <v>1.6318933015853001</v>
      </c>
      <c r="AB34" s="8">
        <v>31.920751911653799</v>
      </c>
      <c r="AC34" s="8">
        <v>31.8309858684392</v>
      </c>
      <c r="AD34" s="8">
        <v>31.800478799152</v>
      </c>
      <c r="AE34" s="9">
        <v>1.05165308526284E-3</v>
      </c>
      <c r="AF34" s="9">
        <v>-1.7644616016282799E-3</v>
      </c>
      <c r="AG34" s="9">
        <v>-2.72332909851722E-3</v>
      </c>
      <c r="AZ34" s="9"/>
      <c r="BB34">
        <f t="shared" si="6"/>
        <v>0</v>
      </c>
      <c r="BC34">
        <f t="shared" si="7"/>
        <v>1</v>
      </c>
      <c r="BD34">
        <f t="shared" si="8"/>
        <v>0</v>
      </c>
      <c r="BE34">
        <f t="shared" si="4"/>
        <v>1</v>
      </c>
      <c r="BF34">
        <f t="shared" si="9"/>
        <v>0</v>
      </c>
      <c r="BG34" s="9">
        <f t="shared" si="10"/>
        <v>0</v>
      </c>
      <c r="BH34" s="9">
        <f t="shared" si="11"/>
        <v>0</v>
      </c>
      <c r="BI34" s="9">
        <f t="shared" si="12"/>
        <v>0</v>
      </c>
      <c r="BJ34" s="12">
        <f t="shared" si="13"/>
        <v>0</v>
      </c>
      <c r="BL34" s="9"/>
      <c r="BN34">
        <f t="shared" si="14"/>
        <v>0</v>
      </c>
      <c r="BO34">
        <f t="shared" si="15"/>
        <v>1</v>
      </c>
      <c r="BP34">
        <f t="shared" si="16"/>
        <v>0</v>
      </c>
      <c r="BQ34">
        <f t="shared" si="5"/>
        <v>1</v>
      </c>
      <c r="BR34">
        <f t="shared" si="17"/>
        <v>0</v>
      </c>
      <c r="BS34" s="9">
        <f t="shared" si="18"/>
        <v>0</v>
      </c>
      <c r="BT34" s="9">
        <f t="shared" si="19"/>
        <v>0</v>
      </c>
      <c r="BU34" s="9">
        <f t="shared" si="20"/>
        <v>0</v>
      </c>
      <c r="BV34" s="12">
        <f t="shared" si="21"/>
        <v>0</v>
      </c>
      <c r="BX34" s="12">
        <f t="shared" si="22"/>
        <v>0</v>
      </c>
      <c r="BY34" s="12">
        <f t="shared" si="23"/>
        <v>0</v>
      </c>
    </row>
    <row r="35" spans="1:98" x14ac:dyDescent="0.3">
      <c r="A35" s="1">
        <v>46073</v>
      </c>
      <c r="B35" s="8">
        <v>19.399999999999999</v>
      </c>
      <c r="C35" s="8">
        <v>31.7</v>
      </c>
      <c r="D35" s="9">
        <v>5.15596814721827E-4</v>
      </c>
      <c r="E35" s="9">
        <v>-3.1540766702109198E-4</v>
      </c>
      <c r="F35" s="8">
        <v>0</v>
      </c>
      <c r="G35" s="8">
        <v>0.1</v>
      </c>
      <c r="H35" s="8">
        <v>0</v>
      </c>
      <c r="I35" s="8">
        <v>0.1772</v>
      </c>
      <c r="J35" s="8">
        <v>0.1</v>
      </c>
      <c r="K35" s="8">
        <v>0.1772</v>
      </c>
      <c r="L35" s="8">
        <v>19.5</v>
      </c>
      <c r="M35" s="8">
        <v>31.877199999999998</v>
      </c>
      <c r="N35" s="10">
        <v>1.6340206185567001</v>
      </c>
      <c r="O35" s="10">
        <v>1.64495540501874</v>
      </c>
      <c r="P35" s="10">
        <v>1.63320684385087</v>
      </c>
      <c r="Q35" s="10">
        <v>1.6316471480858199</v>
      </c>
      <c r="R35" s="8">
        <v>31.912134857363501</v>
      </c>
      <c r="S35" s="8">
        <v>31.675844569870101</v>
      </c>
      <c r="T35" s="8">
        <v>31.649658754497501</v>
      </c>
      <c r="U35" s="9">
        <v>6.6696596248155904E-3</v>
      </c>
      <c r="V35" s="9">
        <v>-7.6229142076124595E-4</v>
      </c>
      <c r="W35" s="9">
        <v>-1.5893141995921799E-3</v>
      </c>
      <c r="X35" s="10">
        <v>1.6347282051281999</v>
      </c>
      <c r="Y35" s="10">
        <v>1.6378015347179899</v>
      </c>
      <c r="Z35" s="10">
        <v>1.6339198820532199</v>
      </c>
      <c r="AA35" s="10">
        <v>1.6321501200049799</v>
      </c>
      <c r="AB35" s="8">
        <v>31.9371299270009</v>
      </c>
      <c r="AC35" s="8">
        <v>31.853090228654001</v>
      </c>
      <c r="AD35" s="8">
        <v>31.8219193809134</v>
      </c>
      <c r="AE35" s="9">
        <v>1.87825977921355E-3</v>
      </c>
      <c r="AF35" s="9">
        <v>-7.5661894554916904E-4</v>
      </c>
      <c r="AG35" s="9">
        <v>-1.73567966094143E-3</v>
      </c>
      <c r="AZ35" s="9"/>
      <c r="BB35">
        <f t="shared" si="6"/>
        <v>0</v>
      </c>
      <c r="BC35">
        <f t="shared" si="7"/>
        <v>1</v>
      </c>
      <c r="BD35">
        <f t="shared" si="8"/>
        <v>0</v>
      </c>
      <c r="BE35">
        <f t="shared" si="4"/>
        <v>1</v>
      </c>
      <c r="BF35">
        <f t="shared" si="9"/>
        <v>0</v>
      </c>
      <c r="BG35" s="9">
        <f t="shared" si="10"/>
        <v>0</v>
      </c>
      <c r="BH35" s="9">
        <f t="shared" si="11"/>
        <v>0</v>
      </c>
      <c r="BI35" s="9">
        <f t="shared" si="12"/>
        <v>0</v>
      </c>
      <c r="BJ35" s="12">
        <f t="shared" si="13"/>
        <v>0</v>
      </c>
      <c r="BL35" s="9"/>
      <c r="BN35">
        <f t="shared" si="14"/>
        <v>0</v>
      </c>
      <c r="BO35">
        <f t="shared" si="15"/>
        <v>1</v>
      </c>
      <c r="BP35">
        <f t="shared" si="16"/>
        <v>0</v>
      </c>
      <c r="BQ35">
        <f t="shared" si="5"/>
        <v>1</v>
      </c>
      <c r="BR35">
        <f t="shared" si="17"/>
        <v>0</v>
      </c>
      <c r="BS35" s="9">
        <f t="shared" si="18"/>
        <v>0</v>
      </c>
      <c r="BT35" s="9">
        <f t="shared" si="19"/>
        <v>0</v>
      </c>
      <c r="BU35" s="9">
        <f t="shared" si="20"/>
        <v>0</v>
      </c>
      <c r="BV35" s="12">
        <f t="shared" si="21"/>
        <v>0</v>
      </c>
      <c r="BX35" s="12">
        <f t="shared" si="22"/>
        <v>0</v>
      </c>
      <c r="BY35" s="12">
        <f t="shared" si="23"/>
        <v>0</v>
      </c>
    </row>
    <row r="36" spans="1:98" x14ac:dyDescent="0.3">
      <c r="A36" s="1">
        <v>46076</v>
      </c>
      <c r="B36" s="8">
        <v>19.309999999999999</v>
      </c>
      <c r="C36" s="8">
        <v>31.5</v>
      </c>
      <c r="D36" s="9">
        <v>-4.6499696288593503E-3</v>
      </c>
      <c r="E36" s="9">
        <v>-6.3291350516475097E-3</v>
      </c>
      <c r="F36" s="8">
        <v>0</v>
      </c>
      <c r="G36" s="8">
        <v>0.1</v>
      </c>
      <c r="H36" s="8">
        <v>0</v>
      </c>
      <c r="I36" s="8">
        <v>0.1772</v>
      </c>
      <c r="J36" s="8">
        <v>0.1</v>
      </c>
      <c r="K36" s="8">
        <v>0.1772</v>
      </c>
      <c r="L36" s="8">
        <v>19.41</v>
      </c>
      <c r="M36" s="8">
        <v>31.677199999999999</v>
      </c>
      <c r="N36" s="10">
        <v>1.63127912998446</v>
      </c>
      <c r="O36" s="10">
        <v>1.64495540501874</v>
      </c>
      <c r="P36" s="10">
        <v>1.6330239109749001</v>
      </c>
      <c r="Q36" s="10">
        <v>1.6316832558369601</v>
      </c>
      <c r="R36" s="8">
        <v>31.764088870911799</v>
      </c>
      <c r="S36" s="8">
        <v>31.537224154760299</v>
      </c>
      <c r="T36" s="8">
        <v>31.507106429537199</v>
      </c>
      <c r="U36" s="9">
        <v>8.3488250476038504E-3</v>
      </c>
      <c r="V36" s="9">
        <v>1.18102151819789E-3</v>
      </c>
      <c r="W36" s="9">
        <v>2.25575493624051E-4</v>
      </c>
      <c r="X36" s="10">
        <v>1.63200412158681</v>
      </c>
      <c r="Y36" s="10">
        <v>1.6378015347179899</v>
      </c>
      <c r="Z36" s="10">
        <v>1.6337377438763401</v>
      </c>
      <c r="AA36" s="10">
        <v>1.6322224773362299</v>
      </c>
      <c r="AB36" s="8">
        <v>31.789727788876299</v>
      </c>
      <c r="AC36" s="8">
        <v>31.714384910653099</v>
      </c>
      <c r="AD36" s="8">
        <v>31.680033829296601</v>
      </c>
      <c r="AE36" s="9">
        <v>3.54603289336148E-3</v>
      </c>
      <c r="AF36" s="9">
        <v>1.1731814237037901E-3</v>
      </c>
      <c r="AG36" s="9">
        <v>8.9455587856128796E-5</v>
      </c>
      <c r="AZ36" s="9"/>
      <c r="BB36">
        <f t="shared" si="6"/>
        <v>0</v>
      </c>
      <c r="BC36">
        <f t="shared" si="7"/>
        <v>1</v>
      </c>
      <c r="BD36">
        <f t="shared" si="8"/>
        <v>0</v>
      </c>
      <c r="BE36">
        <f t="shared" si="4"/>
        <v>1</v>
      </c>
      <c r="BF36">
        <f t="shared" si="9"/>
        <v>0</v>
      </c>
      <c r="BG36" s="9">
        <f t="shared" si="10"/>
        <v>0</v>
      </c>
      <c r="BH36" s="9">
        <f t="shared" si="11"/>
        <v>0</v>
      </c>
      <c r="BI36" s="9">
        <f t="shared" si="12"/>
        <v>0</v>
      </c>
      <c r="BJ36" s="12">
        <f t="shared" si="13"/>
        <v>0</v>
      </c>
      <c r="BL36" s="9"/>
      <c r="BN36">
        <f t="shared" si="14"/>
        <v>0</v>
      </c>
      <c r="BO36">
        <f t="shared" si="15"/>
        <v>1</v>
      </c>
      <c r="BP36">
        <f t="shared" si="16"/>
        <v>0</v>
      </c>
      <c r="BQ36">
        <f t="shared" si="5"/>
        <v>1</v>
      </c>
      <c r="BR36">
        <f t="shared" si="17"/>
        <v>0</v>
      </c>
      <c r="BS36" s="9">
        <f t="shared" si="18"/>
        <v>0</v>
      </c>
      <c r="BT36" s="9">
        <f t="shared" si="19"/>
        <v>0</v>
      </c>
      <c r="BU36" s="9">
        <f t="shared" si="20"/>
        <v>0</v>
      </c>
      <c r="BV36" s="12">
        <f t="shared" si="21"/>
        <v>0</v>
      </c>
      <c r="BX36" s="12">
        <f t="shared" si="22"/>
        <v>0</v>
      </c>
      <c r="BY36" s="12">
        <f t="shared" si="23"/>
        <v>0</v>
      </c>
    </row>
    <row r="37" spans="1:98" x14ac:dyDescent="0.3">
      <c r="A37" s="1">
        <v>46077</v>
      </c>
      <c r="B37" s="8">
        <v>19.46</v>
      </c>
      <c r="C37" s="8">
        <v>31.69</v>
      </c>
      <c r="D37" s="9">
        <v>7.7379803174359397E-3</v>
      </c>
      <c r="E37" s="9">
        <v>6.0136278712420201E-3</v>
      </c>
      <c r="F37" s="8">
        <v>0</v>
      </c>
      <c r="G37" s="8">
        <v>0.1</v>
      </c>
      <c r="H37" s="8">
        <v>0</v>
      </c>
      <c r="I37" s="8">
        <v>0.1772</v>
      </c>
      <c r="J37" s="8">
        <v>0.1</v>
      </c>
      <c r="K37" s="8">
        <v>0.1772</v>
      </c>
      <c r="L37" s="8">
        <v>19.559999999999999</v>
      </c>
      <c r="M37" s="8">
        <v>31.8672</v>
      </c>
      <c r="N37" s="10">
        <v>1.6284686536485</v>
      </c>
      <c r="O37" s="10">
        <v>1.64495540501874</v>
      </c>
      <c r="P37" s="10">
        <v>1.6326065276350901</v>
      </c>
      <c r="Q37" s="10">
        <v>1.63169708688506</v>
      </c>
      <c r="R37" s="8">
        <v>32.010832181664597</v>
      </c>
      <c r="S37" s="8">
        <v>31.778645307571601</v>
      </c>
      <c r="T37" s="8">
        <v>31.7525561585872</v>
      </c>
      <c r="U37" s="9">
        <v>1.00731774937978E-2</v>
      </c>
      <c r="V37" s="9">
        <v>2.7933592967873001E-3</v>
      </c>
      <c r="W37" s="9">
        <v>1.97205732708271E-3</v>
      </c>
      <c r="X37" s="10">
        <v>1.6292024539877299</v>
      </c>
      <c r="Y37" s="10">
        <v>1.6378015347179899</v>
      </c>
      <c r="Z37" s="10">
        <v>1.63332190680088</v>
      </c>
      <c r="AA37" s="10">
        <v>1.6322729984013</v>
      </c>
      <c r="AB37" s="8">
        <v>32.035398019083999</v>
      </c>
      <c r="AC37" s="8">
        <v>31.955910270221199</v>
      </c>
      <c r="AD37" s="8">
        <v>31.926271656696802</v>
      </c>
      <c r="AE37" s="9">
        <v>5.2642118700061699E-3</v>
      </c>
      <c r="AF37" s="9">
        <v>2.7798810485136802E-3</v>
      </c>
      <c r="AG37" s="9">
        <v>1.8519661039379999E-3</v>
      </c>
      <c r="AZ37" s="9"/>
      <c r="BB37">
        <f t="shared" si="6"/>
        <v>0</v>
      </c>
      <c r="BC37">
        <f t="shared" si="7"/>
        <v>1</v>
      </c>
      <c r="BD37">
        <f t="shared" si="8"/>
        <v>0</v>
      </c>
      <c r="BE37">
        <f t="shared" si="4"/>
        <v>1</v>
      </c>
      <c r="BF37">
        <f t="shared" si="9"/>
        <v>0</v>
      </c>
      <c r="BG37" s="9">
        <f t="shared" si="10"/>
        <v>0</v>
      </c>
      <c r="BH37" s="9">
        <f t="shared" si="11"/>
        <v>0</v>
      </c>
      <c r="BI37" s="9">
        <f t="shared" si="12"/>
        <v>0</v>
      </c>
      <c r="BJ37" s="12">
        <f t="shared" si="13"/>
        <v>0</v>
      </c>
      <c r="BL37" s="9"/>
      <c r="BN37">
        <f t="shared" si="14"/>
        <v>0</v>
      </c>
      <c r="BO37">
        <f t="shared" si="15"/>
        <v>1</v>
      </c>
      <c r="BP37">
        <f t="shared" si="16"/>
        <v>0</v>
      </c>
      <c r="BQ37">
        <f t="shared" si="5"/>
        <v>1</v>
      </c>
      <c r="BR37">
        <f t="shared" si="17"/>
        <v>0</v>
      </c>
      <c r="BS37" s="9">
        <f t="shared" si="18"/>
        <v>0</v>
      </c>
      <c r="BT37" s="9">
        <f t="shared" si="19"/>
        <v>0</v>
      </c>
      <c r="BU37" s="9">
        <f t="shared" si="20"/>
        <v>0</v>
      </c>
      <c r="BV37" s="12">
        <f t="shared" si="21"/>
        <v>0</v>
      </c>
      <c r="BX37" s="12">
        <f t="shared" si="22"/>
        <v>0</v>
      </c>
      <c r="BY37" s="12">
        <f t="shared" si="23"/>
        <v>0</v>
      </c>
    </row>
    <row r="38" spans="1:98" x14ac:dyDescent="0.3">
      <c r="A38" s="1">
        <v>46078</v>
      </c>
      <c r="B38" s="8">
        <v>19.420000000000002</v>
      </c>
      <c r="C38" s="8">
        <v>31.71</v>
      </c>
      <c r="D38" s="9">
        <v>-2.0576138946801501E-3</v>
      </c>
      <c r="E38" s="9">
        <v>6.3091484742647296E-4</v>
      </c>
      <c r="F38" s="8">
        <v>0</v>
      </c>
      <c r="G38" s="8">
        <v>0.1</v>
      </c>
      <c r="H38" s="8">
        <v>0</v>
      </c>
      <c r="I38" s="8">
        <v>0.1772</v>
      </c>
      <c r="J38" s="8">
        <v>0.1</v>
      </c>
      <c r="K38" s="8">
        <v>0.1772</v>
      </c>
      <c r="L38" s="8">
        <v>19.52</v>
      </c>
      <c r="M38" s="8">
        <v>31.8872</v>
      </c>
      <c r="N38" s="10">
        <v>1.63285272914521</v>
      </c>
      <c r="O38" s="10">
        <v>1.64495540501874</v>
      </c>
      <c r="P38" s="10">
        <v>1.63266031427307</v>
      </c>
      <c r="Q38" s="10">
        <v>1.63194913029529</v>
      </c>
      <c r="R38" s="8">
        <v>31.9450339654639</v>
      </c>
      <c r="S38" s="8">
        <v>31.7052187666735</v>
      </c>
      <c r="T38" s="8">
        <v>31.687557427307901</v>
      </c>
      <c r="U38" s="9">
        <v>7.3846487516912099E-3</v>
      </c>
      <c r="V38" s="9">
        <v>-1.50791353512236E-4</v>
      </c>
      <c r="W38" s="9">
        <v>-7.0799489886440498E-4</v>
      </c>
      <c r="X38" s="10">
        <v>1.6335655737704899</v>
      </c>
      <c r="Y38" s="10">
        <v>1.6378015347179899</v>
      </c>
      <c r="Z38" s="10">
        <v>1.6333750123489801</v>
      </c>
      <c r="AA38" s="10">
        <v>1.63256068404279</v>
      </c>
      <c r="AB38" s="8">
        <v>31.969885957695301</v>
      </c>
      <c r="AC38" s="8">
        <v>31.8824436207533</v>
      </c>
      <c r="AD38" s="8">
        <v>31.861968928793399</v>
      </c>
      <c r="AE38" s="9">
        <v>2.5897205507398801E-3</v>
      </c>
      <c r="AF38" s="9">
        <v>-1.4917377565401899E-4</v>
      </c>
      <c r="AG38" s="9">
        <v>-7.9157337885287502E-4</v>
      </c>
      <c r="AZ38" s="9"/>
      <c r="BB38">
        <f t="shared" si="6"/>
        <v>0</v>
      </c>
      <c r="BC38">
        <f t="shared" si="7"/>
        <v>1</v>
      </c>
      <c r="BD38">
        <f t="shared" si="8"/>
        <v>0</v>
      </c>
      <c r="BE38">
        <f t="shared" si="4"/>
        <v>1</v>
      </c>
      <c r="BF38">
        <f t="shared" si="9"/>
        <v>0</v>
      </c>
      <c r="BG38" s="9">
        <f t="shared" si="10"/>
        <v>0</v>
      </c>
      <c r="BH38" s="9">
        <f t="shared" si="11"/>
        <v>0</v>
      </c>
      <c r="BI38" s="9">
        <f t="shared" si="12"/>
        <v>0</v>
      </c>
      <c r="BJ38" s="12">
        <f t="shared" si="13"/>
        <v>0</v>
      </c>
      <c r="BL38" s="9"/>
      <c r="BN38">
        <f t="shared" si="14"/>
        <v>0</v>
      </c>
      <c r="BO38">
        <f t="shared" si="15"/>
        <v>1</v>
      </c>
      <c r="BP38">
        <f t="shared" si="16"/>
        <v>0</v>
      </c>
      <c r="BQ38">
        <f t="shared" si="5"/>
        <v>1</v>
      </c>
      <c r="BR38">
        <f t="shared" si="17"/>
        <v>0</v>
      </c>
      <c r="BS38" s="9">
        <f t="shared" si="18"/>
        <v>0</v>
      </c>
      <c r="BT38" s="9">
        <f t="shared" si="19"/>
        <v>0</v>
      </c>
      <c r="BU38" s="9">
        <f t="shared" si="20"/>
        <v>0</v>
      </c>
      <c r="BV38" s="12">
        <f t="shared" si="21"/>
        <v>0</v>
      </c>
      <c r="BX38" s="12">
        <f t="shared" si="22"/>
        <v>0</v>
      </c>
      <c r="BY38" s="12">
        <f t="shared" si="23"/>
        <v>0</v>
      </c>
    </row>
    <row r="39" spans="1:98" x14ac:dyDescent="0.3">
      <c r="A39" s="1">
        <v>46079</v>
      </c>
      <c r="B39" s="8">
        <v>19.36</v>
      </c>
      <c r="C39" s="8">
        <v>31.63</v>
      </c>
      <c r="D39" s="9">
        <v>-3.0943810147480199E-3</v>
      </c>
      <c r="E39" s="9">
        <v>-2.5260512326985602E-3</v>
      </c>
      <c r="F39" s="8">
        <v>0</v>
      </c>
      <c r="G39" s="8">
        <v>0.1</v>
      </c>
      <c r="H39" s="8">
        <v>0</v>
      </c>
      <c r="I39" s="8">
        <v>0.1772</v>
      </c>
      <c r="J39" s="8">
        <v>0.1</v>
      </c>
      <c r="K39" s="8">
        <v>0.1772</v>
      </c>
      <c r="L39" s="8">
        <v>19.46</v>
      </c>
      <c r="M39" s="8">
        <v>31.807199999999899</v>
      </c>
      <c r="N39" s="10">
        <v>1.6337809917355299</v>
      </c>
      <c r="O39" s="10">
        <v>1.64495540501874</v>
      </c>
      <c r="P39" s="10">
        <v>1.63308691705859</v>
      </c>
      <c r="Q39" s="10">
        <v>1.6321158836237299</v>
      </c>
      <c r="R39" s="8">
        <v>31.8463366411628</v>
      </c>
      <c r="S39" s="8">
        <v>31.6083036843267</v>
      </c>
      <c r="T39" s="8">
        <v>31.594535162516799</v>
      </c>
      <c r="U39" s="9">
        <v>6.8163189696417202E-3</v>
      </c>
      <c r="V39" s="9">
        <v>-6.86176423481881E-4</v>
      </c>
      <c r="W39" s="9">
        <v>-1.1218695752101E-3</v>
      </c>
      <c r="X39" s="10">
        <v>1.6344912641315501</v>
      </c>
      <c r="Y39" s="10">
        <v>1.6378015347179899</v>
      </c>
      <c r="Z39" s="10">
        <v>1.6337994981050501</v>
      </c>
      <c r="AA39" s="10">
        <v>1.63276295099104</v>
      </c>
      <c r="AB39" s="8">
        <v>31.871617865612201</v>
      </c>
      <c r="AC39" s="8">
        <v>31.785477740311102</v>
      </c>
      <c r="AD39" s="8">
        <v>31.769630911472699</v>
      </c>
      <c r="AE39" s="9">
        <v>2.0232124196197599E-3</v>
      </c>
      <c r="AF39" s="9">
        <v>-6.8316860700135505E-4</v>
      </c>
      <c r="AG39" s="9">
        <v>-1.18184855588313E-3</v>
      </c>
      <c r="AZ39" s="9"/>
      <c r="BB39">
        <f t="shared" si="6"/>
        <v>0</v>
      </c>
      <c r="BC39">
        <f t="shared" si="7"/>
        <v>1</v>
      </c>
      <c r="BD39">
        <f t="shared" si="8"/>
        <v>0</v>
      </c>
      <c r="BE39">
        <f t="shared" si="4"/>
        <v>1</v>
      </c>
      <c r="BF39">
        <f t="shared" si="9"/>
        <v>0</v>
      </c>
      <c r="BG39" s="9">
        <f t="shared" si="10"/>
        <v>0</v>
      </c>
      <c r="BH39" s="9">
        <f t="shared" si="11"/>
        <v>0</v>
      </c>
      <c r="BI39" s="9">
        <f t="shared" si="12"/>
        <v>0</v>
      </c>
      <c r="BJ39" s="12">
        <f t="shared" si="13"/>
        <v>0</v>
      </c>
      <c r="BL39" s="9"/>
      <c r="BN39">
        <f t="shared" si="14"/>
        <v>0</v>
      </c>
      <c r="BO39">
        <f t="shared" si="15"/>
        <v>1</v>
      </c>
      <c r="BP39">
        <f t="shared" si="16"/>
        <v>0</v>
      </c>
      <c r="BQ39">
        <f t="shared" si="5"/>
        <v>1</v>
      </c>
      <c r="BR39">
        <f t="shared" si="17"/>
        <v>0</v>
      </c>
      <c r="BS39" s="9">
        <f t="shared" si="18"/>
        <v>0</v>
      </c>
      <c r="BT39" s="9">
        <f t="shared" si="19"/>
        <v>0</v>
      </c>
      <c r="BU39" s="9">
        <f t="shared" si="20"/>
        <v>0</v>
      </c>
      <c r="BV39" s="12">
        <f t="shared" si="21"/>
        <v>0</v>
      </c>
      <c r="BX39" s="12">
        <f t="shared" si="22"/>
        <v>0</v>
      </c>
      <c r="BY39" s="12">
        <f t="shared" si="23"/>
        <v>0</v>
      </c>
    </row>
    <row r="40" spans="1:98" x14ac:dyDescent="0.3">
      <c r="A40" s="1">
        <v>46080</v>
      </c>
      <c r="B40" s="8">
        <v>19.25</v>
      </c>
      <c r="C40" s="8">
        <v>31.41</v>
      </c>
      <c r="D40" s="9">
        <v>-5.6980211146376598E-3</v>
      </c>
      <c r="E40" s="9">
        <v>-6.9797237670021998E-3</v>
      </c>
      <c r="F40" s="8">
        <v>0</v>
      </c>
      <c r="G40" s="8">
        <v>0.1</v>
      </c>
      <c r="H40" s="8">
        <v>0</v>
      </c>
      <c r="I40" s="8">
        <v>0.1772</v>
      </c>
      <c r="J40" s="8">
        <v>0.1</v>
      </c>
      <c r="K40" s="8">
        <v>0.1772</v>
      </c>
      <c r="L40" s="8">
        <v>19.350000000000001</v>
      </c>
      <c r="M40" s="8">
        <v>31.587199999999999</v>
      </c>
      <c r="N40" s="10">
        <v>1.6316883116883101</v>
      </c>
      <c r="O40" s="10">
        <v>1.64495540501874</v>
      </c>
      <c r="P40" s="10">
        <v>1.6325532001255001</v>
      </c>
      <c r="Q40" s="10">
        <v>1.63219309756206</v>
      </c>
      <c r="R40" s="8">
        <v>31.665391546610699</v>
      </c>
      <c r="S40" s="8">
        <v>31.436923153378</v>
      </c>
      <c r="T40" s="8">
        <v>31.418230759756899</v>
      </c>
      <c r="U40" s="9">
        <v>8.0980216220061692E-3</v>
      </c>
      <c r="V40" s="9">
        <v>8.5678514314188505E-4</v>
      </c>
      <c r="W40" s="9">
        <v>2.6200832665600302E-4</v>
      </c>
      <c r="X40" s="10">
        <v>1.6324134366925001</v>
      </c>
      <c r="Y40" s="10">
        <v>1.6378015347179899</v>
      </c>
      <c r="Z40" s="10">
        <v>1.63326846722696</v>
      </c>
      <c r="AA40" s="10">
        <v>1.6328764211795701</v>
      </c>
      <c r="AB40" s="8">
        <v>31.691459696793199</v>
      </c>
      <c r="AC40" s="8">
        <v>31.6140202883327</v>
      </c>
      <c r="AD40" s="8">
        <v>31.5939631016766</v>
      </c>
      <c r="AE40" s="9">
        <v>3.2952591485614401E-3</v>
      </c>
      <c r="AF40" s="9">
        <v>8.4872696509283101E-4</v>
      </c>
      <c r="AG40" s="9">
        <v>2.1408601458036499E-4</v>
      </c>
      <c r="AZ40" s="9"/>
      <c r="BB40">
        <f t="shared" si="6"/>
        <v>0</v>
      </c>
      <c r="BC40">
        <f t="shared" si="7"/>
        <v>1</v>
      </c>
      <c r="BD40">
        <f t="shared" si="8"/>
        <v>0</v>
      </c>
      <c r="BE40">
        <f t="shared" si="4"/>
        <v>0</v>
      </c>
      <c r="BF40">
        <f t="shared" si="9"/>
        <v>0</v>
      </c>
      <c r="BG40" s="9">
        <f t="shared" si="10"/>
        <v>0</v>
      </c>
      <c r="BH40" s="9">
        <f t="shared" si="11"/>
        <v>0</v>
      </c>
      <c r="BI40" s="9">
        <f t="shared" si="12"/>
        <v>0</v>
      </c>
      <c r="BJ40" s="12">
        <f t="shared" si="13"/>
        <v>0</v>
      </c>
      <c r="BL40" s="9"/>
      <c r="BN40">
        <f t="shared" si="14"/>
        <v>0</v>
      </c>
      <c r="BO40">
        <f t="shared" si="15"/>
        <v>1</v>
      </c>
      <c r="BP40">
        <f t="shared" si="16"/>
        <v>0</v>
      </c>
      <c r="BQ40">
        <f t="shared" si="5"/>
        <v>0</v>
      </c>
      <c r="BR40">
        <f t="shared" si="17"/>
        <v>0</v>
      </c>
      <c r="BS40" s="9">
        <f t="shared" si="18"/>
        <v>0</v>
      </c>
      <c r="BT40" s="9">
        <f t="shared" si="19"/>
        <v>0</v>
      </c>
      <c r="BU40" s="9">
        <f t="shared" si="20"/>
        <v>0</v>
      </c>
      <c r="BV40" s="12">
        <f t="shared" si="21"/>
        <v>0</v>
      </c>
      <c r="BX40" s="12">
        <f t="shared" si="22"/>
        <v>0</v>
      </c>
      <c r="BY40" s="12">
        <f t="shared" si="23"/>
        <v>0</v>
      </c>
    </row>
    <row r="41" spans="1:98" x14ac:dyDescent="0.3">
      <c r="A41" s="1">
        <v>46083</v>
      </c>
      <c r="B41" s="8">
        <v>19.190000000000001</v>
      </c>
      <c r="C41" s="8">
        <v>31.46</v>
      </c>
      <c r="D41" s="9">
        <v>-3.1217507141846402E-3</v>
      </c>
      <c r="E41" s="9">
        <v>1.59058407957668E-3</v>
      </c>
      <c r="F41" s="8">
        <v>0.1</v>
      </c>
      <c r="G41" s="8">
        <v>0.2</v>
      </c>
      <c r="H41" s="8">
        <v>3.1199999999999999E-2</v>
      </c>
      <c r="I41" s="8">
        <v>0.2084</v>
      </c>
      <c r="J41" s="8">
        <v>0.2</v>
      </c>
      <c r="K41" s="8">
        <v>0.2084</v>
      </c>
      <c r="L41" s="8">
        <v>19.39</v>
      </c>
      <c r="M41" s="8">
        <v>31.668399999999998</v>
      </c>
      <c r="N41" s="10">
        <v>1.6393955184992099</v>
      </c>
      <c r="O41" s="10">
        <v>1.64495540501874</v>
      </c>
      <c r="P41" s="10">
        <v>1.63331046567264</v>
      </c>
      <c r="Q41" s="10">
        <v>1.63257173033563</v>
      </c>
      <c r="R41" s="8">
        <v>31.5666942223096</v>
      </c>
      <c r="S41" s="8">
        <v>31.328695910408399</v>
      </c>
      <c r="T41" s="8">
        <v>31.321785542215999</v>
      </c>
      <c r="U41" s="9">
        <v>3.3856868282449602E-3</v>
      </c>
      <c r="V41" s="9">
        <v>-4.1824178410464997E-3</v>
      </c>
      <c r="W41" s="9">
        <v>-4.40301848322014E-3</v>
      </c>
      <c r="X41" s="10">
        <v>1.63323362558019</v>
      </c>
      <c r="Y41" s="10">
        <v>1.6378015347179899</v>
      </c>
      <c r="Z41" s="10">
        <v>1.63333773142433</v>
      </c>
      <c r="AA41" s="10">
        <v>1.6329469593071899</v>
      </c>
      <c r="AB41" s="8">
        <v>31.756971758181901</v>
      </c>
      <c r="AC41" s="8">
        <v>31.669075579530801</v>
      </c>
      <c r="AD41" s="8">
        <v>31.6614738066719</v>
      </c>
      <c r="AE41" s="9">
        <v>2.79294589223248E-3</v>
      </c>
      <c r="AF41" s="9">
        <v>2.13326952087435E-5</v>
      </c>
      <c r="AG41" s="9">
        <v>-2.1873384358132099E-4</v>
      </c>
      <c r="AZ41" s="9"/>
      <c r="BB41">
        <f t="shared" si="6"/>
        <v>0</v>
      </c>
      <c r="BC41">
        <f t="shared" si="7"/>
        <v>1</v>
      </c>
      <c r="BD41">
        <f t="shared" si="8"/>
        <v>0</v>
      </c>
      <c r="BE41">
        <f t="shared" si="4"/>
        <v>1</v>
      </c>
      <c r="BF41">
        <f t="shared" si="9"/>
        <v>0</v>
      </c>
      <c r="BG41" s="9">
        <f t="shared" si="10"/>
        <v>0</v>
      </c>
      <c r="BH41" s="9">
        <f t="shared" si="11"/>
        <v>0</v>
      </c>
      <c r="BI41" s="9">
        <f t="shared" si="12"/>
        <v>0</v>
      </c>
      <c r="BJ41" s="12">
        <f t="shared" si="13"/>
        <v>0</v>
      </c>
      <c r="BL41" s="9"/>
      <c r="BN41">
        <f t="shared" si="14"/>
        <v>0</v>
      </c>
      <c r="BO41">
        <f t="shared" si="15"/>
        <v>1</v>
      </c>
      <c r="BP41">
        <f t="shared" si="16"/>
        <v>0</v>
      </c>
      <c r="BQ41">
        <f t="shared" si="5"/>
        <v>1</v>
      </c>
      <c r="BR41">
        <f t="shared" si="17"/>
        <v>0</v>
      </c>
      <c r="BS41" s="9">
        <f t="shared" si="18"/>
        <v>0</v>
      </c>
      <c r="BT41" s="9">
        <f t="shared" si="19"/>
        <v>0</v>
      </c>
      <c r="BU41" s="9">
        <f t="shared" si="20"/>
        <v>0</v>
      </c>
      <c r="BV41" s="12">
        <f t="shared" si="21"/>
        <v>0</v>
      </c>
      <c r="BX41" s="12">
        <f t="shared" si="22"/>
        <v>0</v>
      </c>
      <c r="BY41" s="12">
        <f t="shared" si="23"/>
        <v>0</v>
      </c>
    </row>
    <row r="42" spans="1:98" x14ac:dyDescent="0.3">
      <c r="A42" s="1">
        <v>46084</v>
      </c>
      <c r="B42" s="8">
        <v>19.04</v>
      </c>
      <c r="C42" s="8">
        <v>31.28</v>
      </c>
      <c r="D42" s="9">
        <v>-7.8472806563893594E-3</v>
      </c>
      <c r="E42" s="9">
        <v>-5.7379819530214296E-3</v>
      </c>
      <c r="F42" s="8">
        <v>0</v>
      </c>
      <c r="G42" s="8">
        <v>0.2</v>
      </c>
      <c r="H42" s="8">
        <v>0</v>
      </c>
      <c r="I42" s="8">
        <v>0.2084</v>
      </c>
      <c r="J42" s="8">
        <v>0.2</v>
      </c>
      <c r="K42" s="8">
        <v>0.2084</v>
      </c>
      <c r="L42" s="8">
        <v>19.239999999999998</v>
      </c>
      <c r="M42" s="8">
        <v>31.488399999999999</v>
      </c>
      <c r="N42" s="10">
        <v>1.6428571428571399</v>
      </c>
      <c r="O42" s="10">
        <v>1.64495540501874</v>
      </c>
      <c r="P42" s="10">
        <v>1.63411389952692</v>
      </c>
      <c r="Q42" s="10">
        <v>1.6331697455915</v>
      </c>
      <c r="R42" s="8">
        <v>31.319950911556798</v>
      </c>
      <c r="S42" s="8">
        <v>31.098231266407101</v>
      </c>
      <c r="T42" s="8">
        <v>31.084165745590401</v>
      </c>
      <c r="U42" s="9">
        <v>1.2763881248769901E-3</v>
      </c>
      <c r="V42" s="9">
        <v>-5.82797057201314E-3</v>
      </c>
      <c r="W42" s="9">
        <v>-6.2803661608769297E-3</v>
      </c>
      <c r="X42" s="10">
        <v>1.63661122661122</v>
      </c>
      <c r="Y42" s="10">
        <v>1.6378015347179899</v>
      </c>
      <c r="Z42" s="10">
        <v>1.6334464779996001</v>
      </c>
      <c r="AA42" s="10">
        <v>1.6331962932009301</v>
      </c>
      <c r="AB42" s="8">
        <v>31.511301527974201</v>
      </c>
      <c r="AC42" s="8">
        <v>31.4254179526041</v>
      </c>
      <c r="AD42" s="8">
        <v>31.417899497070401</v>
      </c>
      <c r="AE42" s="9">
        <v>7.27036110572615E-4</v>
      </c>
      <c r="AF42" s="9">
        <v>-2.0021696500095E-3</v>
      </c>
      <c r="AG42" s="9">
        <v>-2.2414458650366099E-3</v>
      </c>
      <c r="AZ42" s="9"/>
      <c r="BB42">
        <f t="shared" si="6"/>
        <v>0</v>
      </c>
      <c r="BC42">
        <f t="shared" si="7"/>
        <v>1</v>
      </c>
      <c r="BD42">
        <f t="shared" si="8"/>
        <v>0</v>
      </c>
      <c r="BE42">
        <f t="shared" si="4"/>
        <v>1</v>
      </c>
      <c r="BF42">
        <f t="shared" si="9"/>
        <v>0</v>
      </c>
      <c r="BG42" s="9">
        <f t="shared" si="10"/>
        <v>0</v>
      </c>
      <c r="BH42" s="9">
        <f t="shared" si="11"/>
        <v>0</v>
      </c>
      <c r="BI42" s="9">
        <f t="shared" si="12"/>
        <v>0</v>
      </c>
      <c r="BJ42" s="12">
        <f t="shared" si="13"/>
        <v>0</v>
      </c>
      <c r="BL42" s="9"/>
      <c r="BN42">
        <f t="shared" si="14"/>
        <v>0</v>
      </c>
      <c r="BO42">
        <f t="shared" si="15"/>
        <v>1</v>
      </c>
      <c r="BP42">
        <f t="shared" si="16"/>
        <v>0</v>
      </c>
      <c r="BQ42">
        <f t="shared" si="5"/>
        <v>1</v>
      </c>
      <c r="BR42">
        <f t="shared" si="17"/>
        <v>0</v>
      </c>
      <c r="BS42" s="9">
        <f t="shared" si="18"/>
        <v>0</v>
      </c>
      <c r="BT42" s="9">
        <f t="shared" si="19"/>
        <v>0</v>
      </c>
      <c r="BU42" s="9">
        <f t="shared" si="20"/>
        <v>0</v>
      </c>
      <c r="BV42" s="12">
        <f t="shared" si="21"/>
        <v>0</v>
      </c>
      <c r="BX42" s="12">
        <f t="shared" si="22"/>
        <v>0</v>
      </c>
      <c r="BY42" s="12">
        <f t="shared" si="23"/>
        <v>0</v>
      </c>
    </row>
    <row r="43" spans="1:98" x14ac:dyDescent="0.3">
      <c r="A43" s="1">
        <v>46085</v>
      </c>
      <c r="B43" s="8">
        <v>19.12</v>
      </c>
      <c r="C43" s="8">
        <v>31.42</v>
      </c>
      <c r="D43" s="9">
        <v>4.1928782600361703E-3</v>
      </c>
      <c r="E43" s="9">
        <v>4.4657171503647598E-3</v>
      </c>
      <c r="F43" s="8">
        <v>0</v>
      </c>
      <c r="G43" s="8">
        <v>0.2</v>
      </c>
      <c r="H43" s="8">
        <v>0</v>
      </c>
      <c r="I43" s="8">
        <v>0.2084</v>
      </c>
      <c r="J43" s="8">
        <v>0.2</v>
      </c>
      <c r="K43" s="8">
        <v>0.2084</v>
      </c>
      <c r="L43" s="8">
        <v>19.32</v>
      </c>
      <c r="M43" s="8">
        <v>31.628399999999999</v>
      </c>
      <c r="N43" s="10">
        <v>1.64330543933054</v>
      </c>
      <c r="O43" s="10">
        <v>1.64495540501874</v>
      </c>
      <c r="P43" s="10">
        <v>1.63530275968174</v>
      </c>
      <c r="Q43" s="10">
        <v>1.6338901111131201</v>
      </c>
      <c r="R43" s="8">
        <v>31.4515473439583</v>
      </c>
      <c r="S43" s="8">
        <v>31.244257758954799</v>
      </c>
      <c r="T43" s="8">
        <v>31.2262055357095</v>
      </c>
      <c r="U43" s="9">
        <v>1.0035492345483699E-3</v>
      </c>
      <c r="V43" s="9">
        <v>-5.6090252429234003E-3</v>
      </c>
      <c r="W43" s="9">
        <v>-6.1869695319757296E-3</v>
      </c>
      <c r="X43" s="10">
        <v>1.6370807453416101</v>
      </c>
      <c r="Y43" s="10">
        <v>1.6378015347179899</v>
      </c>
      <c r="Z43" s="10">
        <v>1.6339410693876999</v>
      </c>
      <c r="AA43" s="10">
        <v>1.63356842767587</v>
      </c>
      <c r="AB43" s="8">
        <v>31.642325650751701</v>
      </c>
      <c r="AC43" s="8">
        <v>31.5581859549524</v>
      </c>
      <c r="AD43" s="8">
        <v>31.553352384642</v>
      </c>
      <c r="AE43" s="9">
        <v>4.40192548240009E-4</v>
      </c>
      <c r="AF43" s="9">
        <v>-2.2224360720440898E-3</v>
      </c>
      <c r="AG43" s="9">
        <v>-2.3756115593478802E-3</v>
      </c>
      <c r="AZ43" s="9"/>
      <c r="BB43">
        <f t="shared" si="6"/>
        <v>0</v>
      </c>
      <c r="BC43">
        <f t="shared" si="7"/>
        <v>1</v>
      </c>
      <c r="BD43">
        <f t="shared" si="8"/>
        <v>0</v>
      </c>
      <c r="BE43">
        <f t="shared" si="4"/>
        <v>1</v>
      </c>
      <c r="BF43">
        <f t="shared" si="9"/>
        <v>0</v>
      </c>
      <c r="BG43" s="9">
        <f t="shared" si="10"/>
        <v>0</v>
      </c>
      <c r="BH43" s="9">
        <f t="shared" si="11"/>
        <v>0</v>
      </c>
      <c r="BI43" s="9">
        <f t="shared" si="12"/>
        <v>0</v>
      </c>
      <c r="BJ43" s="12">
        <f t="shared" si="13"/>
        <v>0</v>
      </c>
      <c r="BL43" s="9"/>
      <c r="BN43">
        <f t="shared" si="14"/>
        <v>0</v>
      </c>
      <c r="BO43">
        <f t="shared" si="15"/>
        <v>1</v>
      </c>
      <c r="BP43">
        <f t="shared" si="16"/>
        <v>0</v>
      </c>
      <c r="BQ43">
        <f t="shared" si="5"/>
        <v>1</v>
      </c>
      <c r="BR43">
        <f t="shared" si="17"/>
        <v>0</v>
      </c>
      <c r="BS43" s="9">
        <f t="shared" si="18"/>
        <v>0</v>
      </c>
      <c r="BT43" s="9">
        <f t="shared" si="19"/>
        <v>0</v>
      </c>
      <c r="BU43" s="9">
        <f t="shared" si="20"/>
        <v>0</v>
      </c>
      <c r="BV43" s="12">
        <f t="shared" si="21"/>
        <v>0</v>
      </c>
      <c r="BX43" s="12">
        <f t="shared" si="22"/>
        <v>0</v>
      </c>
      <c r="BY43" s="12">
        <f t="shared" si="23"/>
        <v>0</v>
      </c>
    </row>
    <row r="44" spans="1:98" x14ac:dyDescent="0.3">
      <c r="A44" s="1">
        <v>46086</v>
      </c>
      <c r="B44" s="8">
        <v>19.02</v>
      </c>
      <c r="C44" s="8">
        <v>31.29</v>
      </c>
      <c r="D44" s="9">
        <v>-5.2438505060110304E-3</v>
      </c>
      <c r="E44" s="9">
        <v>-4.1460751466844102E-3</v>
      </c>
      <c r="F44" s="8">
        <v>0</v>
      </c>
      <c r="G44" s="8">
        <v>0.2</v>
      </c>
      <c r="H44" s="8">
        <v>0</v>
      </c>
      <c r="I44" s="8">
        <v>0.2084</v>
      </c>
      <c r="J44" s="8">
        <v>0.2</v>
      </c>
      <c r="K44" s="8">
        <v>0.2084</v>
      </c>
      <c r="L44" s="8">
        <v>19.22</v>
      </c>
      <c r="M44" s="8">
        <v>31.4984</v>
      </c>
      <c r="N44" s="10">
        <v>1.6451104100946301</v>
      </c>
      <c r="O44" s="10">
        <v>1.64495540501874</v>
      </c>
      <c r="P44" s="10">
        <v>1.6362758945540199</v>
      </c>
      <c r="Q44" s="10">
        <v>1.6345256939231501</v>
      </c>
      <c r="R44" s="8">
        <v>31.2870518034564</v>
      </c>
      <c r="S44" s="8">
        <v>31.103458489146799</v>
      </c>
      <c r="T44" s="8">
        <v>31.076589913371599</v>
      </c>
      <c r="U44" s="9">
        <v>-9.4226124778308497E-5</v>
      </c>
      <c r="V44" s="9">
        <v>-5.9795392396634001E-3</v>
      </c>
      <c r="W44" s="9">
        <v>-6.84375784797273E-3</v>
      </c>
      <c r="X44" s="10">
        <v>1.63883454734651</v>
      </c>
      <c r="Y44" s="10">
        <v>1.6378015347179899</v>
      </c>
      <c r="Z44" s="10">
        <v>1.6342165200176799</v>
      </c>
      <c r="AA44" s="10">
        <v>1.63385416330766</v>
      </c>
      <c r="AB44" s="8">
        <v>31.478545497279899</v>
      </c>
      <c r="AC44" s="8">
        <v>31.4043473536316</v>
      </c>
      <c r="AD44" s="8">
        <v>31.3971851799303</v>
      </c>
      <c r="AE44" s="9">
        <v>-6.3053243440403201E-4</v>
      </c>
      <c r="AF44" s="9">
        <v>-2.9904168073659801E-3</v>
      </c>
      <c r="AG44" s="9">
        <v>-3.2185059460682602E-3</v>
      </c>
      <c r="AZ44" s="9"/>
      <c r="BB44">
        <f t="shared" si="6"/>
        <v>0</v>
      </c>
      <c r="BC44">
        <f t="shared" si="7"/>
        <v>0</v>
      </c>
      <c r="BD44">
        <f t="shared" si="8"/>
        <v>0</v>
      </c>
      <c r="BE44">
        <f t="shared" si="4"/>
        <v>1</v>
      </c>
      <c r="BF44">
        <f t="shared" si="9"/>
        <v>0</v>
      </c>
      <c r="BG44" s="9">
        <f t="shared" si="10"/>
        <v>0</v>
      </c>
      <c r="BH44" s="9">
        <f t="shared" si="11"/>
        <v>0</v>
      </c>
      <c r="BI44" s="9">
        <f t="shared" si="12"/>
        <v>0</v>
      </c>
      <c r="BJ44" s="12">
        <f t="shared" si="13"/>
        <v>0</v>
      </c>
      <c r="BL44" s="9"/>
      <c r="BN44">
        <f t="shared" si="14"/>
        <v>0</v>
      </c>
      <c r="BO44">
        <f t="shared" si="15"/>
        <v>1</v>
      </c>
      <c r="BP44">
        <f t="shared" si="16"/>
        <v>0</v>
      </c>
      <c r="BQ44">
        <f t="shared" si="5"/>
        <v>1</v>
      </c>
      <c r="BR44">
        <f t="shared" si="17"/>
        <v>0</v>
      </c>
      <c r="BS44" s="9">
        <f t="shared" si="18"/>
        <v>0</v>
      </c>
      <c r="BT44" s="9">
        <f t="shared" si="19"/>
        <v>0</v>
      </c>
      <c r="BU44" s="9">
        <f t="shared" si="20"/>
        <v>0</v>
      </c>
      <c r="BV44" s="12">
        <f t="shared" si="21"/>
        <v>0</v>
      </c>
      <c r="BX44" s="12">
        <f t="shared" si="22"/>
        <v>0</v>
      </c>
      <c r="BY44" s="12">
        <f t="shared" si="23"/>
        <v>0</v>
      </c>
    </row>
    <row r="45" spans="1:98" x14ac:dyDescent="0.3">
      <c r="A45" s="1">
        <v>46087</v>
      </c>
      <c r="B45" s="8">
        <v>18.899999999999999</v>
      </c>
      <c r="C45" s="8">
        <v>31.12</v>
      </c>
      <c r="D45" s="9">
        <v>-6.3291350516476198E-3</v>
      </c>
      <c r="E45" s="9">
        <v>-5.4478583705998796E-3</v>
      </c>
      <c r="F45" s="8">
        <v>0</v>
      </c>
      <c r="G45" s="8">
        <v>0.2</v>
      </c>
      <c r="H45" s="8">
        <v>0</v>
      </c>
      <c r="I45" s="8">
        <v>0.2084</v>
      </c>
      <c r="J45" s="8">
        <v>0.2</v>
      </c>
      <c r="K45" s="8">
        <v>0.2084</v>
      </c>
      <c r="L45" s="8">
        <v>19.099999999999898</v>
      </c>
      <c r="M45" s="8">
        <v>31.328399999999998</v>
      </c>
      <c r="N45" s="10">
        <v>1.6465608465608399</v>
      </c>
      <c r="O45" s="10">
        <v>1.64495540501874</v>
      </c>
      <c r="P45" s="10">
        <v>1.63752991735444</v>
      </c>
      <c r="Q45" s="10">
        <v>1.63536838060265</v>
      </c>
      <c r="R45" s="8">
        <v>31.089657154854098</v>
      </c>
      <c r="S45" s="8">
        <v>30.925614407071102</v>
      </c>
      <c r="T45" s="8">
        <v>30.892535615147501</v>
      </c>
      <c r="U45" s="9">
        <v>-9.7550280582610696E-4</v>
      </c>
      <c r="V45" s="9">
        <v>-6.2659135791640402E-3</v>
      </c>
      <c r="W45" s="9">
        <v>-7.3361104410508901E-3</v>
      </c>
      <c r="X45" s="10">
        <v>1.64023036649214</v>
      </c>
      <c r="Y45" s="10">
        <v>1.6378015347179899</v>
      </c>
      <c r="Z45" s="10">
        <v>1.6347667361540701</v>
      </c>
      <c r="AA45" s="10">
        <v>1.6343433091036501</v>
      </c>
      <c r="AB45" s="8">
        <v>31.282009313113701</v>
      </c>
      <c r="AC45" s="8">
        <v>31.213535532337701</v>
      </c>
      <c r="AD45" s="8">
        <v>31.206614519176298</v>
      </c>
      <c r="AE45" s="9">
        <v>-1.4818844305473299E-3</v>
      </c>
      <c r="AF45" s="9">
        <v>-3.6732024947562698E-3</v>
      </c>
      <c r="AG45" s="9">
        <v>-3.89495823177594E-3</v>
      </c>
      <c r="AZ45" s="9"/>
      <c r="BB45">
        <f t="shared" si="6"/>
        <v>0</v>
      </c>
      <c r="BC45">
        <f t="shared" si="7"/>
        <v>0</v>
      </c>
      <c r="BD45">
        <f t="shared" si="8"/>
        <v>0</v>
      </c>
      <c r="BE45">
        <f t="shared" si="4"/>
        <v>1</v>
      </c>
      <c r="BF45">
        <f t="shared" si="9"/>
        <v>0</v>
      </c>
      <c r="BG45" s="9">
        <f t="shared" si="10"/>
        <v>0</v>
      </c>
      <c r="BH45" s="9">
        <f t="shared" si="11"/>
        <v>0</v>
      </c>
      <c r="BI45" s="9">
        <f t="shared" si="12"/>
        <v>0</v>
      </c>
      <c r="BJ45" s="12">
        <f t="shared" si="13"/>
        <v>0</v>
      </c>
      <c r="BL45" s="9"/>
      <c r="BN45">
        <f t="shared" si="14"/>
        <v>0</v>
      </c>
      <c r="BO45">
        <f t="shared" si="15"/>
        <v>1</v>
      </c>
      <c r="BP45">
        <f t="shared" si="16"/>
        <v>0</v>
      </c>
      <c r="BQ45">
        <f t="shared" si="5"/>
        <v>1</v>
      </c>
      <c r="BR45">
        <f t="shared" si="17"/>
        <v>0</v>
      </c>
      <c r="BS45" s="9">
        <f t="shared" si="18"/>
        <v>0</v>
      </c>
      <c r="BT45" s="9">
        <f t="shared" si="19"/>
        <v>0</v>
      </c>
      <c r="BU45" s="9">
        <f t="shared" si="20"/>
        <v>0</v>
      </c>
      <c r="BV45" s="12">
        <f t="shared" si="21"/>
        <v>0</v>
      </c>
      <c r="BX45" s="12">
        <f t="shared" si="22"/>
        <v>0</v>
      </c>
      <c r="BY45" s="12">
        <f t="shared" si="23"/>
        <v>0</v>
      </c>
    </row>
    <row r="46" spans="1:98" x14ac:dyDescent="0.3">
      <c r="A46" s="1">
        <v>46090</v>
      </c>
      <c r="B46" s="8">
        <v>18.91</v>
      </c>
      <c r="C46" s="8">
        <v>31.17</v>
      </c>
      <c r="D46" s="9">
        <v>5.2896060476950301E-4</v>
      </c>
      <c r="E46" s="9">
        <v>1.60539446905497E-3</v>
      </c>
      <c r="F46" s="8">
        <v>0</v>
      </c>
      <c r="G46" s="8">
        <v>0.2</v>
      </c>
      <c r="H46" s="8">
        <v>0</v>
      </c>
      <c r="I46" s="8">
        <v>0.2084</v>
      </c>
      <c r="J46" s="8">
        <v>0.2</v>
      </c>
      <c r="K46" s="8">
        <v>0.2084</v>
      </c>
      <c r="L46" s="8">
        <v>19.11</v>
      </c>
      <c r="M46" s="8">
        <v>31.378399999999999</v>
      </c>
      <c r="N46" s="10">
        <v>1.6483342147012101</v>
      </c>
      <c r="O46" s="10">
        <v>1.64495540501874</v>
      </c>
      <c r="P46" s="10">
        <v>1.6392354258261099</v>
      </c>
      <c r="Q46" s="10">
        <v>1.63612966840051</v>
      </c>
      <c r="R46" s="8">
        <v>31.106106708904299</v>
      </c>
      <c r="S46" s="8">
        <v>30.965690737172501</v>
      </c>
      <c r="T46" s="8">
        <v>30.924816077196201</v>
      </c>
      <c r="U46" s="9">
        <v>-2.0519366701114501E-3</v>
      </c>
      <c r="V46" s="9">
        <v>-6.5762526083892499E-3</v>
      </c>
      <c r="W46" s="9">
        <v>-7.8971229008769003E-3</v>
      </c>
      <c r="X46" s="10">
        <v>1.6419884877027699</v>
      </c>
      <c r="Y46" s="10">
        <v>1.6378015347179899</v>
      </c>
      <c r="Z46" s="10">
        <v>1.6357651727656699</v>
      </c>
      <c r="AA46" s="10">
        <v>1.6347514583210001</v>
      </c>
      <c r="AB46" s="8">
        <v>31.298387328460901</v>
      </c>
      <c r="AC46" s="8">
        <v>31.240392327904399</v>
      </c>
      <c r="AD46" s="8">
        <v>31.232300636970798</v>
      </c>
      <c r="AE46" s="9">
        <v>-2.5531849481999999E-3</v>
      </c>
      <c r="AF46" s="9">
        <v>-4.4078747102900204E-3</v>
      </c>
      <c r="AG46" s="9">
        <v>-4.6669220026298299E-3</v>
      </c>
      <c r="AZ46" s="9"/>
      <c r="BB46">
        <f t="shared" si="6"/>
        <v>0</v>
      </c>
      <c r="BC46">
        <f t="shared" si="7"/>
        <v>0</v>
      </c>
      <c r="BD46">
        <f t="shared" si="8"/>
        <v>0</v>
      </c>
      <c r="BE46">
        <f t="shared" si="4"/>
        <v>1</v>
      </c>
      <c r="BF46">
        <f t="shared" si="9"/>
        <v>0</v>
      </c>
      <c r="BG46" s="9">
        <f t="shared" si="10"/>
        <v>0</v>
      </c>
      <c r="BH46" s="9">
        <f t="shared" si="11"/>
        <v>0</v>
      </c>
      <c r="BI46" s="9">
        <f t="shared" si="12"/>
        <v>0</v>
      </c>
      <c r="BJ46" s="12">
        <f t="shared" si="13"/>
        <v>0</v>
      </c>
      <c r="BL46" s="9"/>
      <c r="BN46">
        <f t="shared" si="14"/>
        <v>0</v>
      </c>
      <c r="BO46">
        <f t="shared" si="15"/>
        <v>1</v>
      </c>
      <c r="BP46">
        <f t="shared" si="16"/>
        <v>0</v>
      </c>
      <c r="BQ46">
        <f t="shared" si="5"/>
        <v>1</v>
      </c>
      <c r="BR46">
        <f t="shared" si="17"/>
        <v>0</v>
      </c>
      <c r="BS46" s="9">
        <f t="shared" si="18"/>
        <v>0</v>
      </c>
      <c r="BT46" s="9">
        <f t="shared" si="19"/>
        <v>0</v>
      </c>
      <c r="BU46" s="9">
        <f t="shared" si="20"/>
        <v>0</v>
      </c>
      <c r="BV46" s="12">
        <f t="shared" si="21"/>
        <v>0</v>
      </c>
      <c r="BX46" s="12">
        <f t="shared" si="22"/>
        <v>0</v>
      </c>
      <c r="BY46" s="12">
        <f t="shared" si="23"/>
        <v>0</v>
      </c>
    </row>
    <row r="47" spans="1:98" x14ac:dyDescent="0.3">
      <c r="A47" s="1">
        <v>46091</v>
      </c>
      <c r="B47" s="8">
        <v>18.920000000000002</v>
      </c>
      <c r="C47" s="8">
        <v>31.15</v>
      </c>
      <c r="D47" s="9">
        <v>5.28680953366156E-4</v>
      </c>
      <c r="E47" s="9">
        <v>-6.4184854578363702E-4</v>
      </c>
      <c r="F47" s="8">
        <v>0</v>
      </c>
      <c r="G47" s="8">
        <v>0.2</v>
      </c>
      <c r="H47" s="8">
        <v>0</v>
      </c>
      <c r="I47" s="8">
        <v>0.2084</v>
      </c>
      <c r="J47" s="8">
        <v>0.2</v>
      </c>
      <c r="K47" s="8">
        <v>0.2084</v>
      </c>
      <c r="L47" s="8">
        <v>19.12</v>
      </c>
      <c r="M47" s="8">
        <v>31.3584</v>
      </c>
      <c r="N47" s="10">
        <v>1.64640591966173</v>
      </c>
      <c r="O47" s="10">
        <v>1.64495540501874</v>
      </c>
      <c r="P47" s="10">
        <v>1.6410291524274301</v>
      </c>
      <c r="Q47" s="10">
        <v>1.6368178400312601</v>
      </c>
      <c r="R47" s="8">
        <v>31.1225562629545</v>
      </c>
      <c r="S47" s="8">
        <v>31.0143342566301</v>
      </c>
      <c r="T47" s="8">
        <v>30.9555733261376</v>
      </c>
      <c r="U47" s="9">
        <v>-8.8140717096156496E-4</v>
      </c>
      <c r="V47" s="9">
        <v>-4.3647522449479703E-3</v>
      </c>
      <c r="W47" s="9">
        <v>-6.2611871565202201E-3</v>
      </c>
      <c r="X47" s="10">
        <v>1.64008368200836</v>
      </c>
      <c r="Y47" s="10">
        <v>1.6378015347179899</v>
      </c>
      <c r="Z47" s="10">
        <v>1.63685329556773</v>
      </c>
      <c r="AA47" s="10">
        <v>1.6350876011843101</v>
      </c>
      <c r="AB47" s="8">
        <v>31.314765343808102</v>
      </c>
      <c r="AC47" s="8">
        <v>31.275830103279699</v>
      </c>
      <c r="AD47" s="8">
        <v>31.2564478830976</v>
      </c>
      <c r="AE47" s="9">
        <v>-1.3924512350010001E-3</v>
      </c>
      <c r="AF47" s="9">
        <v>-2.6365757004244801E-3</v>
      </c>
      <c r="AG47" s="9">
        <v>-3.2564866144955398E-3</v>
      </c>
      <c r="AZ47" s="9"/>
      <c r="BB47">
        <f t="shared" si="6"/>
        <v>0</v>
      </c>
      <c r="BC47">
        <f t="shared" si="7"/>
        <v>0</v>
      </c>
      <c r="BD47">
        <f t="shared" si="8"/>
        <v>0</v>
      </c>
      <c r="BE47">
        <f t="shared" si="4"/>
        <v>1</v>
      </c>
      <c r="BF47">
        <f t="shared" si="9"/>
        <v>0</v>
      </c>
      <c r="BG47" s="9">
        <f t="shared" si="10"/>
        <v>0</v>
      </c>
      <c r="BH47" s="9">
        <f t="shared" si="11"/>
        <v>0</v>
      </c>
      <c r="BI47" s="9">
        <f t="shared" si="12"/>
        <v>0</v>
      </c>
      <c r="BJ47" s="12">
        <f t="shared" si="13"/>
        <v>0</v>
      </c>
      <c r="BL47" s="9"/>
      <c r="BN47">
        <f t="shared" si="14"/>
        <v>0</v>
      </c>
      <c r="BO47">
        <f t="shared" si="15"/>
        <v>1</v>
      </c>
      <c r="BP47">
        <f t="shared" si="16"/>
        <v>0</v>
      </c>
      <c r="BQ47">
        <f t="shared" si="5"/>
        <v>1</v>
      </c>
      <c r="BR47">
        <f t="shared" si="17"/>
        <v>0</v>
      </c>
      <c r="BS47" s="9">
        <f t="shared" si="18"/>
        <v>0</v>
      </c>
      <c r="BT47" s="9">
        <f t="shared" si="19"/>
        <v>0</v>
      </c>
      <c r="BU47" s="9">
        <f t="shared" si="20"/>
        <v>0</v>
      </c>
      <c r="BV47" s="12">
        <f t="shared" si="21"/>
        <v>0</v>
      </c>
      <c r="BX47" s="12">
        <f t="shared" si="22"/>
        <v>0</v>
      </c>
      <c r="BY47" s="12">
        <f t="shared" si="23"/>
        <v>0</v>
      </c>
    </row>
    <row r="48" spans="1:98" x14ac:dyDescent="0.3">
      <c r="A48" s="1">
        <v>46092</v>
      </c>
      <c r="B48" s="8">
        <v>18.829999999999998</v>
      </c>
      <c r="C48" s="8">
        <v>31.04</v>
      </c>
      <c r="D48" s="9">
        <v>-4.7682209546713898E-3</v>
      </c>
      <c r="E48" s="9">
        <v>-3.5375499184441199E-3</v>
      </c>
      <c r="F48" s="8">
        <v>0</v>
      </c>
      <c r="G48" s="8">
        <v>0.2</v>
      </c>
      <c r="H48" s="8">
        <v>0</v>
      </c>
      <c r="I48" s="8">
        <v>0.2084</v>
      </c>
      <c r="J48" s="8">
        <v>0.2</v>
      </c>
      <c r="K48" s="8">
        <v>0.2084</v>
      </c>
      <c r="L48" s="8">
        <v>19.029999999999902</v>
      </c>
      <c r="M48" s="8">
        <v>31.2484</v>
      </c>
      <c r="N48" s="10">
        <v>1.64843335103558</v>
      </c>
      <c r="O48" s="10">
        <v>1.64495540501874</v>
      </c>
      <c r="P48" s="10">
        <v>1.6425872146164699</v>
      </c>
      <c r="Q48" s="10">
        <v>1.63762376444477</v>
      </c>
      <c r="R48" s="8">
        <v>30.974510276502802</v>
      </c>
      <c r="S48" s="8">
        <v>30.9005789402086</v>
      </c>
      <c r="T48" s="8">
        <v>30.821279927788702</v>
      </c>
      <c r="U48" s="9">
        <v>-2.1120782071888501E-3</v>
      </c>
      <c r="V48" s="9">
        <v>-4.5017756577496798E-3</v>
      </c>
      <c r="W48" s="9">
        <v>-7.0713371552892099E-3</v>
      </c>
      <c r="X48" s="10">
        <v>1.6420599054125</v>
      </c>
      <c r="Y48" s="10">
        <v>1.6378015347179899</v>
      </c>
      <c r="Z48" s="10">
        <v>1.6377027287319399</v>
      </c>
      <c r="AA48" s="10">
        <v>1.6355388705404601</v>
      </c>
      <c r="AB48" s="8">
        <v>31.1673632056835</v>
      </c>
      <c r="AC48" s="8">
        <v>31.149318214653999</v>
      </c>
      <c r="AD48" s="8">
        <v>31.115717050537398</v>
      </c>
      <c r="AE48" s="9">
        <v>-2.5966786493855499E-3</v>
      </c>
      <c r="AF48" s="9">
        <v>-3.1758170477250401E-3</v>
      </c>
      <c r="AG48" s="9">
        <v>-4.2551119436570698E-3</v>
      </c>
      <c r="AZ48" s="9"/>
      <c r="BB48">
        <f t="shared" si="6"/>
        <v>0</v>
      </c>
      <c r="BC48">
        <f t="shared" si="7"/>
        <v>0</v>
      </c>
      <c r="BD48">
        <f t="shared" si="8"/>
        <v>0</v>
      </c>
      <c r="BE48">
        <f t="shared" si="4"/>
        <v>1</v>
      </c>
      <c r="BF48">
        <f t="shared" si="9"/>
        <v>0</v>
      </c>
      <c r="BG48" s="9">
        <f t="shared" si="10"/>
        <v>0</v>
      </c>
      <c r="BH48" s="9">
        <f t="shared" si="11"/>
        <v>0</v>
      </c>
      <c r="BI48" s="9">
        <f t="shared" si="12"/>
        <v>0</v>
      </c>
      <c r="BJ48" s="12">
        <f t="shared" si="13"/>
        <v>0</v>
      </c>
      <c r="BL48" s="9"/>
      <c r="BN48">
        <f t="shared" si="14"/>
        <v>0</v>
      </c>
      <c r="BO48">
        <f t="shared" si="15"/>
        <v>1</v>
      </c>
      <c r="BP48">
        <f t="shared" si="16"/>
        <v>0</v>
      </c>
      <c r="BQ48">
        <f t="shared" si="5"/>
        <v>1</v>
      </c>
      <c r="BR48">
        <f t="shared" si="17"/>
        <v>0</v>
      </c>
      <c r="BS48" s="9">
        <f t="shared" si="18"/>
        <v>0</v>
      </c>
      <c r="BT48" s="9">
        <f t="shared" si="19"/>
        <v>0</v>
      </c>
      <c r="BU48" s="9">
        <f t="shared" si="20"/>
        <v>0</v>
      </c>
      <c r="BV48" s="12">
        <f t="shared" si="21"/>
        <v>0</v>
      </c>
      <c r="BX48" s="12">
        <f t="shared" si="22"/>
        <v>0</v>
      </c>
      <c r="BY48" s="12">
        <f t="shared" si="23"/>
        <v>0</v>
      </c>
    </row>
    <row r="49" spans="1:77" x14ac:dyDescent="0.3">
      <c r="A49" s="1">
        <v>46093</v>
      </c>
      <c r="B49" s="8">
        <v>18.670000000000002</v>
      </c>
      <c r="C49" s="8">
        <v>30.85</v>
      </c>
      <c r="D49" s="9">
        <v>-8.5333851154295801E-3</v>
      </c>
      <c r="E49" s="9">
        <v>-6.1399449636211504E-3</v>
      </c>
      <c r="F49" s="8">
        <v>0</v>
      </c>
      <c r="G49" s="8">
        <v>0.2</v>
      </c>
      <c r="H49" s="8">
        <v>0</v>
      </c>
      <c r="I49" s="8">
        <v>0.2084</v>
      </c>
      <c r="J49" s="8">
        <v>0.2</v>
      </c>
      <c r="K49" s="8">
        <v>0.2084</v>
      </c>
      <c r="L49" s="8">
        <v>18.87</v>
      </c>
      <c r="M49" s="8">
        <v>31.058399999999999</v>
      </c>
      <c r="N49" s="10">
        <v>1.6523835029459</v>
      </c>
      <c r="O49" s="10">
        <v>1.64495540501874</v>
      </c>
      <c r="P49" s="10">
        <v>1.6444474657375101</v>
      </c>
      <c r="Q49" s="10">
        <v>1.6387671913980499</v>
      </c>
      <c r="R49" s="8">
        <v>30.711317411699799</v>
      </c>
      <c r="S49" s="8">
        <v>30.6671032968896</v>
      </c>
      <c r="T49" s="8">
        <v>30.5744356821839</v>
      </c>
      <c r="U49" s="9">
        <v>-4.5055183589973197E-3</v>
      </c>
      <c r="V49" s="9">
        <v>-5.94622412977165E-3</v>
      </c>
      <c r="W49" s="9">
        <v>-8.9725257863005406E-3</v>
      </c>
      <c r="X49" s="10">
        <v>1.6459141494435601</v>
      </c>
      <c r="Y49" s="10">
        <v>1.6378015347179899</v>
      </c>
      <c r="Z49" s="10">
        <v>1.6388450172631399</v>
      </c>
      <c r="AA49" s="10">
        <v>1.6363222576840899</v>
      </c>
      <c r="AB49" s="8">
        <v>30.905314960128599</v>
      </c>
      <c r="AC49" s="8">
        <v>30.9034504911717</v>
      </c>
      <c r="AD49" s="8">
        <v>30.862618487098501</v>
      </c>
      <c r="AE49" s="9">
        <v>-4.9411288987718897E-3</v>
      </c>
      <c r="AF49" s="9">
        <v>-5.0014591429975198E-3</v>
      </c>
      <c r="AG49" s="9">
        <v>-6.3236093363578097E-3</v>
      </c>
      <c r="AZ49" s="9"/>
      <c r="BB49">
        <f t="shared" si="6"/>
        <v>1</v>
      </c>
      <c r="BC49">
        <f t="shared" si="7"/>
        <v>0</v>
      </c>
      <c r="BD49">
        <f t="shared" si="8"/>
        <v>0</v>
      </c>
      <c r="BE49">
        <f t="shared" si="4"/>
        <v>1</v>
      </c>
      <c r="BF49">
        <f t="shared" si="9"/>
        <v>0</v>
      </c>
      <c r="BG49" s="9">
        <f t="shared" si="10"/>
        <v>0</v>
      </c>
      <c r="BH49" s="9">
        <f t="shared" si="11"/>
        <v>0</v>
      </c>
      <c r="BI49" s="9">
        <f t="shared" si="12"/>
        <v>0</v>
      </c>
      <c r="BJ49" s="12">
        <f t="shared" si="13"/>
        <v>0</v>
      </c>
      <c r="BL49" s="9"/>
      <c r="BN49">
        <f t="shared" si="14"/>
        <v>0</v>
      </c>
      <c r="BO49">
        <f t="shared" si="15"/>
        <v>1</v>
      </c>
      <c r="BP49">
        <f t="shared" si="16"/>
        <v>0</v>
      </c>
      <c r="BQ49">
        <f t="shared" si="5"/>
        <v>1</v>
      </c>
      <c r="BR49">
        <f t="shared" si="17"/>
        <v>0</v>
      </c>
      <c r="BS49" s="9">
        <f t="shared" si="18"/>
        <v>0</v>
      </c>
      <c r="BT49" s="9">
        <f t="shared" si="19"/>
        <v>0</v>
      </c>
      <c r="BU49" s="9">
        <f t="shared" si="20"/>
        <v>0</v>
      </c>
      <c r="BV49" s="12">
        <f t="shared" si="21"/>
        <v>0</v>
      </c>
      <c r="BX49" s="12">
        <f t="shared" si="22"/>
        <v>0</v>
      </c>
      <c r="BY49" s="12">
        <f t="shared" si="23"/>
        <v>0</v>
      </c>
    </row>
    <row r="50" spans="1:77" x14ac:dyDescent="0.3">
      <c r="A50" s="1">
        <v>46094</v>
      </c>
      <c r="B50" s="8">
        <v>18.57</v>
      </c>
      <c r="C50" s="8">
        <v>30.67</v>
      </c>
      <c r="D50" s="9">
        <v>-5.3705821890169397E-3</v>
      </c>
      <c r="E50" s="9">
        <v>-5.8517722252366903E-3</v>
      </c>
      <c r="F50" s="8">
        <v>0</v>
      </c>
      <c r="G50" s="8">
        <v>0.2</v>
      </c>
      <c r="H50" s="8">
        <v>0</v>
      </c>
      <c r="I50" s="8">
        <v>0.2084</v>
      </c>
      <c r="J50" s="8">
        <v>0.2</v>
      </c>
      <c r="K50" s="8">
        <v>0.2084</v>
      </c>
      <c r="L50" s="8">
        <v>18.77</v>
      </c>
      <c r="M50" s="8">
        <v>30.878399999999999</v>
      </c>
      <c r="N50" s="10">
        <v>1.65158858373721</v>
      </c>
      <c r="O50" s="10">
        <v>1.64495540501874</v>
      </c>
      <c r="P50" s="10">
        <v>1.6464374929423999</v>
      </c>
      <c r="Q50" s="10">
        <v>1.6394953465339499</v>
      </c>
      <c r="R50" s="8">
        <v>30.546821871197999</v>
      </c>
      <c r="S50" s="8">
        <v>30.537389438745599</v>
      </c>
      <c r="T50" s="8">
        <v>30.431906744261799</v>
      </c>
      <c r="U50" s="9">
        <v>-4.02432832277761E-3</v>
      </c>
      <c r="V50" s="9">
        <v>-4.3331620565714201E-3</v>
      </c>
      <c r="W50" s="9">
        <v>-7.7933561651582902E-3</v>
      </c>
      <c r="X50" s="10">
        <v>1.64509323388385</v>
      </c>
      <c r="Y50" s="10">
        <v>1.6378015347179899</v>
      </c>
      <c r="Z50" s="10">
        <v>1.6401129969822701</v>
      </c>
      <c r="AA50" s="10">
        <v>1.63669073210462</v>
      </c>
      <c r="AB50" s="8">
        <v>30.741534806656801</v>
      </c>
      <c r="AC50" s="8">
        <v>30.761120974029101</v>
      </c>
      <c r="AD50" s="8">
        <v>30.7137687767305</v>
      </c>
      <c r="AE50" s="9">
        <v>-4.4422448300889799E-3</v>
      </c>
      <c r="AF50" s="9">
        <v>-3.80532378055593E-3</v>
      </c>
      <c r="AG50" s="9">
        <v>-5.3458619370474296E-3</v>
      </c>
      <c r="AZ50" s="9"/>
      <c r="BB50">
        <f t="shared" si="6"/>
        <v>1</v>
      </c>
      <c r="BC50">
        <f t="shared" si="7"/>
        <v>0</v>
      </c>
      <c r="BD50">
        <f t="shared" si="8"/>
        <v>1</v>
      </c>
      <c r="BE50">
        <f t="shared" si="4"/>
        <v>1</v>
      </c>
      <c r="BF50">
        <f t="shared" si="9"/>
        <v>1</v>
      </c>
      <c r="BG50" s="9">
        <f t="shared" si="10"/>
        <v>-5.3705821890169397E-3</v>
      </c>
      <c r="BH50" s="9">
        <f t="shared" si="11"/>
        <v>5.8517722252366903E-3</v>
      </c>
      <c r="BI50" s="9">
        <f t="shared" si="12"/>
        <v>4.8119003621975055E-4</v>
      </c>
      <c r="BJ50" s="12">
        <f t="shared" si="13"/>
        <v>4.8119003621975055E-4</v>
      </c>
      <c r="BL50" s="9"/>
      <c r="BN50">
        <f t="shared" si="14"/>
        <v>0</v>
      </c>
      <c r="BO50">
        <f t="shared" si="15"/>
        <v>1</v>
      </c>
      <c r="BP50">
        <f t="shared" si="16"/>
        <v>0</v>
      </c>
      <c r="BQ50">
        <f t="shared" si="5"/>
        <v>1</v>
      </c>
      <c r="BR50">
        <f t="shared" si="17"/>
        <v>0</v>
      </c>
      <c r="BS50" s="9">
        <f t="shared" si="18"/>
        <v>0</v>
      </c>
      <c r="BT50" s="9">
        <f t="shared" si="19"/>
        <v>0</v>
      </c>
      <c r="BU50" s="9">
        <f t="shared" si="20"/>
        <v>0</v>
      </c>
      <c r="BV50" s="12">
        <f t="shared" si="21"/>
        <v>0</v>
      </c>
      <c r="BX50" s="12">
        <f t="shared" si="22"/>
        <v>4.8119003621975055E-4</v>
      </c>
      <c r="BY50" s="12">
        <f t="shared" si="23"/>
        <v>4.8119003621975055E-4</v>
      </c>
    </row>
    <row r="51" spans="1:77" x14ac:dyDescent="0.3">
      <c r="A51" s="1">
        <v>46097</v>
      </c>
      <c r="B51" s="8">
        <v>18.64</v>
      </c>
      <c r="C51" s="8">
        <v>30.75</v>
      </c>
      <c r="D51" s="9">
        <v>3.7624338928306999E-3</v>
      </c>
      <c r="E51" s="9">
        <v>2.6050161263666402E-3</v>
      </c>
      <c r="F51" s="8">
        <v>0</v>
      </c>
      <c r="G51" s="8">
        <v>0.2</v>
      </c>
      <c r="H51" s="8">
        <v>0</v>
      </c>
      <c r="I51" s="8">
        <v>0.2084</v>
      </c>
      <c r="J51" s="8">
        <v>0.2</v>
      </c>
      <c r="K51" s="8">
        <v>0.2084</v>
      </c>
      <c r="L51" s="8">
        <v>18.84</v>
      </c>
      <c r="M51" s="8">
        <v>30.958400000000001</v>
      </c>
      <c r="N51" s="10">
        <v>1.6496781115879799</v>
      </c>
      <c r="O51" s="10">
        <v>1.64495540501874</v>
      </c>
      <c r="P51" s="10">
        <v>1.6474657522512699</v>
      </c>
      <c r="Q51" s="10">
        <v>1.6403881089619601</v>
      </c>
      <c r="R51" s="8">
        <v>30.661968749549299</v>
      </c>
      <c r="S51" s="8">
        <v>30.689594868446399</v>
      </c>
      <c r="T51" s="8">
        <v>30.5601932593929</v>
      </c>
      <c r="U51" s="9">
        <v>-2.8669105563134999E-3</v>
      </c>
      <c r="V51" s="9">
        <v>-1.9663264754812199E-3</v>
      </c>
      <c r="W51" s="9">
        <v>-6.1917060411889801E-3</v>
      </c>
      <c r="X51" s="10">
        <v>1.6432271762207999</v>
      </c>
      <c r="Y51" s="10">
        <v>1.6378015347179899</v>
      </c>
      <c r="Z51" s="10">
        <v>1.64111235204633</v>
      </c>
      <c r="AA51" s="10">
        <v>1.63722504173533</v>
      </c>
      <c r="AB51" s="8">
        <v>30.856180914086998</v>
      </c>
      <c r="AC51" s="8">
        <v>30.899728863145999</v>
      </c>
      <c r="AD51" s="8">
        <v>30.835253392851001</v>
      </c>
      <c r="AE51" s="9">
        <v>-3.3072837371080502E-3</v>
      </c>
      <c r="AF51" s="9">
        <v>-1.89695858979123E-3</v>
      </c>
      <c r="AG51" s="9">
        <v>-3.9857416875149097E-3</v>
      </c>
      <c r="AZ51" s="9"/>
      <c r="BB51">
        <f t="shared" si="6"/>
        <v>0</v>
      </c>
      <c r="BC51">
        <f t="shared" si="7"/>
        <v>0</v>
      </c>
      <c r="BD51">
        <f t="shared" si="8"/>
        <v>1</v>
      </c>
      <c r="BE51">
        <f t="shared" si="4"/>
        <v>1</v>
      </c>
      <c r="BF51">
        <f t="shared" si="9"/>
        <v>1</v>
      </c>
      <c r="BG51" s="9">
        <f t="shared" si="10"/>
        <v>3.7624338928306999E-3</v>
      </c>
      <c r="BH51" s="9">
        <f t="shared" si="11"/>
        <v>-2.6050161263666402E-3</v>
      </c>
      <c r="BI51" s="9">
        <f t="shared" si="12"/>
        <v>1.1574177664640597E-3</v>
      </c>
      <c r="BJ51" s="12">
        <f t="shared" si="13"/>
        <v>1.6386078026838103E-3</v>
      </c>
      <c r="BL51" s="9"/>
      <c r="BN51">
        <f t="shared" si="14"/>
        <v>0</v>
      </c>
      <c r="BO51">
        <f t="shared" si="15"/>
        <v>1</v>
      </c>
      <c r="BP51">
        <f t="shared" si="16"/>
        <v>0</v>
      </c>
      <c r="BQ51">
        <f t="shared" si="5"/>
        <v>1</v>
      </c>
      <c r="BR51">
        <f t="shared" si="17"/>
        <v>0</v>
      </c>
      <c r="BS51" s="9">
        <f t="shared" si="18"/>
        <v>0</v>
      </c>
      <c r="BT51" s="9">
        <f t="shared" si="19"/>
        <v>0</v>
      </c>
      <c r="BU51" s="9">
        <f t="shared" si="20"/>
        <v>0</v>
      </c>
      <c r="BV51" s="12">
        <f t="shared" si="21"/>
        <v>0</v>
      </c>
      <c r="BX51" s="12">
        <f t="shared" si="22"/>
        <v>1.1574177664640597E-3</v>
      </c>
      <c r="BY51" s="12">
        <f t="shared" si="23"/>
        <v>1.6386078026838103E-3</v>
      </c>
    </row>
    <row r="52" spans="1:77" x14ac:dyDescent="0.3">
      <c r="A52" s="1">
        <v>46098</v>
      </c>
      <c r="B52" s="8">
        <v>18.72</v>
      </c>
      <c r="C52" s="8">
        <v>30.9</v>
      </c>
      <c r="D52" s="9">
        <v>4.2826617920007203E-3</v>
      </c>
      <c r="E52" s="9">
        <v>4.8661896511729003E-3</v>
      </c>
      <c r="F52" s="8">
        <v>0</v>
      </c>
      <c r="G52" s="8">
        <v>0.2</v>
      </c>
      <c r="H52" s="8">
        <v>0</v>
      </c>
      <c r="I52" s="8">
        <v>0.2084</v>
      </c>
      <c r="J52" s="8">
        <v>0.2</v>
      </c>
      <c r="K52" s="8">
        <v>0.2084</v>
      </c>
      <c r="L52" s="8">
        <v>18.919999999999899</v>
      </c>
      <c r="M52" s="8">
        <v>31.1084</v>
      </c>
      <c r="N52" s="10">
        <v>1.65064102564102</v>
      </c>
      <c r="O52" s="10">
        <v>1.64495540501874</v>
      </c>
      <c r="P52" s="10">
        <v>1.64824414052966</v>
      </c>
      <c r="Q52" s="10">
        <v>1.6411790200282901</v>
      </c>
      <c r="R52" s="8">
        <v>30.7935651819508</v>
      </c>
      <c r="S52" s="8">
        <v>30.840558882143899</v>
      </c>
      <c r="T52" s="8">
        <v>30.7080653997679</v>
      </c>
      <c r="U52" s="9">
        <v>-3.4504384154856E-3</v>
      </c>
      <c r="V52" s="9">
        <v>-1.9255133836687201E-3</v>
      </c>
      <c r="W52" s="9">
        <v>-6.23084720969327E-3</v>
      </c>
      <c r="X52" s="10">
        <v>1.6442071881606699</v>
      </c>
      <c r="Y52" s="10">
        <v>1.6378015347179899</v>
      </c>
      <c r="Z52" s="10">
        <v>1.64187194820128</v>
      </c>
      <c r="AA52" s="10">
        <v>1.6376592131004399</v>
      </c>
      <c r="AB52" s="8">
        <v>30.987205036864498</v>
      </c>
      <c r="AC52" s="8">
        <v>31.049845700716698</v>
      </c>
      <c r="AD52" s="8">
        <v>30.9762977896325</v>
      </c>
      <c r="AE52" s="9">
        <v>-3.9035006407935999E-3</v>
      </c>
      <c r="AF52" s="9">
        <v>-1.8840401926920099E-3</v>
      </c>
      <c r="AG52" s="9">
        <v>-4.25555457083698E-3</v>
      </c>
      <c r="AZ52" s="9"/>
      <c r="BB52">
        <f t="shared" si="6"/>
        <v>0</v>
      </c>
      <c r="BC52">
        <f t="shared" si="7"/>
        <v>0</v>
      </c>
      <c r="BD52">
        <f t="shared" si="8"/>
        <v>1</v>
      </c>
      <c r="BE52">
        <f t="shared" si="4"/>
        <v>1</v>
      </c>
      <c r="BF52">
        <f t="shared" si="9"/>
        <v>1</v>
      </c>
      <c r="BG52" s="9">
        <f t="shared" si="10"/>
        <v>4.2826617920007203E-3</v>
      </c>
      <c r="BH52" s="9">
        <f t="shared" si="11"/>
        <v>-4.8661896511729003E-3</v>
      </c>
      <c r="BI52" s="9">
        <f t="shared" si="12"/>
        <v>-5.8352785917217993E-4</v>
      </c>
      <c r="BJ52" s="12">
        <f t="shared" si="13"/>
        <v>1.0550799435116304E-3</v>
      </c>
      <c r="BL52" s="9"/>
      <c r="BN52">
        <f t="shared" si="14"/>
        <v>0</v>
      </c>
      <c r="BO52">
        <f t="shared" si="15"/>
        <v>1</v>
      </c>
      <c r="BP52">
        <f t="shared" si="16"/>
        <v>0</v>
      </c>
      <c r="BQ52">
        <f t="shared" si="5"/>
        <v>1</v>
      </c>
      <c r="BR52">
        <f t="shared" si="17"/>
        <v>0</v>
      </c>
      <c r="BS52" s="9">
        <f t="shared" si="18"/>
        <v>0</v>
      </c>
      <c r="BT52" s="9">
        <f t="shared" si="19"/>
        <v>0</v>
      </c>
      <c r="BU52" s="9">
        <f t="shared" si="20"/>
        <v>0</v>
      </c>
      <c r="BV52" s="12">
        <f t="shared" si="21"/>
        <v>0</v>
      </c>
      <c r="BX52" s="12">
        <f t="shared" si="22"/>
        <v>-5.8352785917217993E-4</v>
      </c>
      <c r="BY52" s="12">
        <f t="shared" si="23"/>
        <v>1.0550799435116304E-3</v>
      </c>
    </row>
    <row r="53" spans="1:77" x14ac:dyDescent="0.3">
      <c r="A53" s="1">
        <v>46099</v>
      </c>
      <c r="B53" s="8">
        <v>18.600000000000001</v>
      </c>
      <c r="C53" s="8">
        <v>30.67</v>
      </c>
      <c r="D53" s="9">
        <v>-6.4308903302902898E-3</v>
      </c>
      <c r="E53" s="9">
        <v>-7.4712057775394598E-3</v>
      </c>
      <c r="F53" s="8">
        <v>0</v>
      </c>
      <c r="G53" s="8">
        <v>0.2</v>
      </c>
      <c r="H53" s="8">
        <v>0</v>
      </c>
      <c r="I53" s="8">
        <v>0.2084</v>
      </c>
      <c r="J53" s="8">
        <v>0.2</v>
      </c>
      <c r="K53" s="8">
        <v>0.2084</v>
      </c>
      <c r="L53" s="8">
        <v>18.8</v>
      </c>
      <c r="M53" s="8">
        <v>30.878399999999999</v>
      </c>
      <c r="N53" s="10">
        <v>1.6489247311827899</v>
      </c>
      <c r="O53" s="10">
        <v>1.64495540501874</v>
      </c>
      <c r="P53" s="10">
        <v>1.6488060697148901</v>
      </c>
      <c r="Q53" s="10">
        <v>1.64205441469832</v>
      </c>
      <c r="R53" s="8">
        <v>30.596170533348499</v>
      </c>
      <c r="S53" s="8">
        <v>30.657341013851799</v>
      </c>
      <c r="T53" s="8">
        <v>30.5259297725263</v>
      </c>
      <c r="U53" s="9">
        <v>-2.4101229682363702E-3</v>
      </c>
      <c r="V53" s="9">
        <v>-4.1283336660879501E-4</v>
      </c>
      <c r="W53" s="9">
        <v>-4.7084992148468899E-3</v>
      </c>
      <c r="X53" s="10">
        <v>1.64246808510638</v>
      </c>
      <c r="Y53" s="10">
        <v>1.6378015347179899</v>
      </c>
      <c r="Z53" s="10">
        <v>1.64241068217775</v>
      </c>
      <c r="AA53" s="10">
        <v>1.6381758757827301</v>
      </c>
      <c r="AB53" s="8">
        <v>30.7906688526983</v>
      </c>
      <c r="AC53" s="8">
        <v>30.867192626184099</v>
      </c>
      <c r="AD53" s="8">
        <v>30.787993206288299</v>
      </c>
      <c r="AE53" s="9">
        <v>-2.8452255926028399E-3</v>
      </c>
      <c r="AF53" s="9">
        <v>-3.6301777867192098E-4</v>
      </c>
      <c r="AG53" s="9">
        <v>-2.9321273316865399E-3</v>
      </c>
      <c r="AZ53" s="9"/>
      <c r="BB53">
        <f t="shared" si="6"/>
        <v>0</v>
      </c>
      <c r="BC53">
        <f t="shared" si="7"/>
        <v>1</v>
      </c>
      <c r="BD53">
        <f t="shared" si="8"/>
        <v>1</v>
      </c>
      <c r="BE53">
        <f t="shared" si="4"/>
        <v>1</v>
      </c>
      <c r="BF53">
        <f t="shared" si="9"/>
        <v>1</v>
      </c>
      <c r="BG53" s="9">
        <f t="shared" si="10"/>
        <v>-6.4308903302902898E-3</v>
      </c>
      <c r="BH53" s="9">
        <f t="shared" si="11"/>
        <v>7.4712057775394598E-3</v>
      </c>
      <c r="BI53" s="9">
        <f t="shared" si="12"/>
        <v>1.04031544724917E-3</v>
      </c>
      <c r="BJ53" s="12">
        <f t="shared" si="13"/>
        <v>2.0953953907608003E-3</v>
      </c>
      <c r="BL53" s="9"/>
      <c r="BN53">
        <f t="shared" si="14"/>
        <v>0</v>
      </c>
      <c r="BO53">
        <f t="shared" si="15"/>
        <v>1</v>
      </c>
      <c r="BP53">
        <f t="shared" si="16"/>
        <v>0</v>
      </c>
      <c r="BQ53">
        <f t="shared" si="5"/>
        <v>1</v>
      </c>
      <c r="BR53">
        <f t="shared" si="17"/>
        <v>0</v>
      </c>
      <c r="BS53" s="9">
        <f t="shared" si="18"/>
        <v>0</v>
      </c>
      <c r="BT53" s="9">
        <f t="shared" si="19"/>
        <v>0</v>
      </c>
      <c r="BU53" s="9">
        <f t="shared" si="20"/>
        <v>0</v>
      </c>
      <c r="BV53" s="12">
        <f t="shared" si="21"/>
        <v>0</v>
      </c>
      <c r="BX53" s="12">
        <f t="shared" si="22"/>
        <v>1.04031544724917E-3</v>
      </c>
      <c r="BY53" s="12">
        <f t="shared" si="23"/>
        <v>2.0953953907608003E-3</v>
      </c>
    </row>
    <row r="54" spans="1:77" x14ac:dyDescent="0.3">
      <c r="A54" s="1">
        <v>46100</v>
      </c>
      <c r="B54" s="8">
        <v>18.59</v>
      </c>
      <c r="C54" s="8">
        <v>30.71</v>
      </c>
      <c r="D54" s="9">
        <v>-5.3777898580297998E-4</v>
      </c>
      <c r="E54" s="9">
        <v>1.3033563265709099E-3</v>
      </c>
      <c r="F54" s="8">
        <v>0</v>
      </c>
      <c r="G54" s="8">
        <v>0.2</v>
      </c>
      <c r="H54" s="8">
        <v>0</v>
      </c>
      <c r="I54" s="8">
        <v>0.2084</v>
      </c>
      <c r="J54" s="8">
        <v>0.2</v>
      </c>
      <c r="K54" s="8">
        <v>0.2084</v>
      </c>
      <c r="L54" s="8">
        <v>18.79</v>
      </c>
      <c r="M54" s="8">
        <v>30.918399999999998</v>
      </c>
      <c r="N54" s="10">
        <v>1.65196342119419</v>
      </c>
      <c r="O54" s="10">
        <v>1.64495540501874</v>
      </c>
      <c r="P54" s="10">
        <v>1.64949137082484</v>
      </c>
      <c r="Q54" s="10">
        <v>1.6428836326894301</v>
      </c>
      <c r="R54" s="8">
        <v>30.579720979298301</v>
      </c>
      <c r="S54" s="8">
        <v>30.651304835999799</v>
      </c>
      <c r="T54" s="8">
        <v>30.525791569241701</v>
      </c>
      <c r="U54" s="9">
        <v>-4.2512582806102399E-3</v>
      </c>
      <c r="V54" s="9">
        <v>-1.91310083965185E-3</v>
      </c>
      <c r="W54" s="9">
        <v>-6.0163829578942299E-3</v>
      </c>
      <c r="X54" s="10">
        <v>1.64547099521021</v>
      </c>
      <c r="Y54" s="10">
        <v>1.6378015347179899</v>
      </c>
      <c r="Z54" s="10">
        <v>1.6430743269641299</v>
      </c>
      <c r="AA54" s="10">
        <v>1.6386454234909</v>
      </c>
      <c r="AB54" s="8">
        <v>30.774290837351099</v>
      </c>
      <c r="AC54" s="8">
        <v>30.860896718120099</v>
      </c>
      <c r="AD54" s="8">
        <v>30.781324705957498</v>
      </c>
      <c r="AE54" s="9">
        <v>-4.6718475983197599E-3</v>
      </c>
      <c r="AF54" s="9">
        <v>-1.8615718061181299E-3</v>
      </c>
      <c r="AG54" s="9">
        <v>-4.4433105729046402E-3</v>
      </c>
      <c r="AZ54" s="9"/>
      <c r="BB54">
        <f t="shared" si="6"/>
        <v>0</v>
      </c>
      <c r="BC54">
        <f t="shared" si="7"/>
        <v>0</v>
      </c>
      <c r="BD54">
        <f t="shared" si="8"/>
        <v>0</v>
      </c>
      <c r="BE54">
        <f t="shared" si="4"/>
        <v>1</v>
      </c>
      <c r="BF54">
        <f t="shared" si="9"/>
        <v>0</v>
      </c>
      <c r="BG54" s="9">
        <f t="shared" si="10"/>
        <v>0</v>
      </c>
      <c r="BH54" s="9">
        <f t="shared" si="11"/>
        <v>0</v>
      </c>
      <c r="BI54" s="9">
        <f t="shared" si="12"/>
        <v>0</v>
      </c>
      <c r="BJ54" s="12">
        <f t="shared" si="13"/>
        <v>2.0953953907608003E-3</v>
      </c>
      <c r="BL54" s="9"/>
      <c r="BN54">
        <f t="shared" si="14"/>
        <v>0</v>
      </c>
      <c r="BO54">
        <f t="shared" si="15"/>
        <v>1</v>
      </c>
      <c r="BP54">
        <f t="shared" si="16"/>
        <v>0</v>
      </c>
      <c r="BQ54">
        <f t="shared" si="5"/>
        <v>1</v>
      </c>
      <c r="BR54">
        <f t="shared" si="17"/>
        <v>0</v>
      </c>
      <c r="BS54" s="9">
        <f t="shared" si="18"/>
        <v>0</v>
      </c>
      <c r="BT54" s="9">
        <f t="shared" si="19"/>
        <v>0</v>
      </c>
      <c r="BU54" s="9">
        <f t="shared" si="20"/>
        <v>0</v>
      </c>
      <c r="BV54" s="12">
        <f t="shared" si="21"/>
        <v>0</v>
      </c>
      <c r="BX54" s="12">
        <f t="shared" si="22"/>
        <v>0</v>
      </c>
      <c r="BY54" s="12">
        <f t="shared" si="23"/>
        <v>2.0953953907608003E-3</v>
      </c>
    </row>
    <row r="55" spans="1:77" x14ac:dyDescent="0.3">
      <c r="A55" s="1">
        <v>46101</v>
      </c>
      <c r="B55" s="8">
        <v>18.3</v>
      </c>
      <c r="C55" s="8">
        <v>30.27</v>
      </c>
      <c r="D55" s="9">
        <v>-1.57227418859773E-2</v>
      </c>
      <c r="E55" s="9">
        <v>-1.4431211419103701E-2</v>
      </c>
      <c r="F55" s="8">
        <v>0</v>
      </c>
      <c r="G55" s="8">
        <v>0.2</v>
      </c>
      <c r="H55" s="8">
        <v>0</v>
      </c>
      <c r="I55" s="8">
        <v>0.2084</v>
      </c>
      <c r="J55" s="8">
        <v>0.2</v>
      </c>
      <c r="K55" s="8">
        <v>0.2084</v>
      </c>
      <c r="L55" s="8">
        <v>18.5</v>
      </c>
      <c r="M55" s="8">
        <v>30.478400000000001</v>
      </c>
      <c r="N55" s="10">
        <v>1.65409836065573</v>
      </c>
      <c r="O55" s="10">
        <v>1.64495540501874</v>
      </c>
      <c r="P55" s="10">
        <v>1.65024512223433</v>
      </c>
      <c r="Q55" s="10">
        <v>1.6438875197943901</v>
      </c>
      <c r="R55" s="8">
        <v>30.102683911842899</v>
      </c>
      <c r="S55" s="8">
        <v>30.185692086094701</v>
      </c>
      <c r="T55" s="8">
        <v>30.064770478216701</v>
      </c>
      <c r="U55" s="9">
        <v>-5.5427887474837102E-3</v>
      </c>
      <c r="V55" s="9">
        <v>-2.7890829018278598E-3</v>
      </c>
      <c r="W55" s="9">
        <v>-6.8030527566099704E-3</v>
      </c>
      <c r="X55" s="10">
        <v>1.64748108108108</v>
      </c>
      <c r="Y55" s="10">
        <v>1.6378015347179899</v>
      </c>
      <c r="Z55" s="10">
        <v>1.6437993984230199</v>
      </c>
      <c r="AA55" s="10">
        <v>1.6392830672885501</v>
      </c>
      <c r="AB55" s="8">
        <v>30.299328392282899</v>
      </c>
      <c r="AC55" s="8">
        <v>30.396875048836399</v>
      </c>
      <c r="AD55" s="8">
        <v>30.314940334581699</v>
      </c>
      <c r="AE55" s="9">
        <v>-5.8926890038153096E-3</v>
      </c>
      <c r="AF55" s="9">
        <v>-2.6784273200026001E-3</v>
      </c>
      <c r="AG55" s="9">
        <v>-5.3775646619089196E-3</v>
      </c>
      <c r="AZ55" s="9"/>
      <c r="BB55">
        <f t="shared" si="6"/>
        <v>1</v>
      </c>
      <c r="BC55">
        <f t="shared" si="7"/>
        <v>0</v>
      </c>
      <c r="BD55">
        <f t="shared" si="8"/>
        <v>0</v>
      </c>
      <c r="BE55">
        <f t="shared" si="4"/>
        <v>1</v>
      </c>
      <c r="BF55">
        <f t="shared" si="9"/>
        <v>0</v>
      </c>
      <c r="BG55" s="9">
        <f t="shared" si="10"/>
        <v>0</v>
      </c>
      <c r="BH55" s="9">
        <f t="shared" si="11"/>
        <v>0</v>
      </c>
      <c r="BI55" s="9">
        <f t="shared" si="12"/>
        <v>0</v>
      </c>
      <c r="BJ55" s="12">
        <f t="shared" si="13"/>
        <v>2.0953953907608003E-3</v>
      </c>
      <c r="BL55" s="9"/>
      <c r="BN55">
        <f t="shared" si="14"/>
        <v>0</v>
      </c>
      <c r="BO55">
        <f t="shared" si="15"/>
        <v>1</v>
      </c>
      <c r="BP55">
        <f t="shared" si="16"/>
        <v>0</v>
      </c>
      <c r="BQ55">
        <f t="shared" si="5"/>
        <v>1</v>
      </c>
      <c r="BR55">
        <f t="shared" si="17"/>
        <v>0</v>
      </c>
      <c r="BS55" s="9">
        <f t="shared" si="18"/>
        <v>0</v>
      </c>
      <c r="BT55" s="9">
        <f t="shared" si="19"/>
        <v>0</v>
      </c>
      <c r="BU55" s="9">
        <f t="shared" si="20"/>
        <v>0</v>
      </c>
      <c r="BV55" s="12">
        <f t="shared" si="21"/>
        <v>0</v>
      </c>
      <c r="BX55" s="12">
        <f t="shared" si="22"/>
        <v>0</v>
      </c>
      <c r="BY55" s="12">
        <f t="shared" si="23"/>
        <v>2.0953953907608003E-3</v>
      </c>
    </row>
    <row r="56" spans="1:77" x14ac:dyDescent="0.3">
      <c r="A56" s="1">
        <v>46104</v>
      </c>
      <c r="B56" s="8">
        <v>18.46</v>
      </c>
      <c r="C56" s="8">
        <v>30.45</v>
      </c>
      <c r="D56" s="9">
        <v>8.7051692273308005E-3</v>
      </c>
      <c r="E56" s="9">
        <v>5.9288711222786504E-3</v>
      </c>
      <c r="F56" s="8">
        <v>0</v>
      </c>
      <c r="G56" s="8">
        <v>0.2</v>
      </c>
      <c r="H56" s="8">
        <v>0</v>
      </c>
      <c r="I56" s="8">
        <v>0.2084</v>
      </c>
      <c r="J56" s="8">
        <v>0.2</v>
      </c>
      <c r="K56" s="8">
        <v>0.2084</v>
      </c>
      <c r="L56" s="8">
        <v>18.66</v>
      </c>
      <c r="M56" s="8">
        <v>30.6584</v>
      </c>
      <c r="N56" s="10">
        <v>1.64951245937161</v>
      </c>
      <c r="O56" s="10">
        <v>1.64495540501874</v>
      </c>
      <c r="P56" s="10">
        <v>1.6503629467013701</v>
      </c>
      <c r="Q56" s="10">
        <v>1.6447991862637401</v>
      </c>
      <c r="R56" s="8">
        <v>30.365876776645901</v>
      </c>
      <c r="S56" s="8">
        <v>30.463524956445799</v>
      </c>
      <c r="T56" s="8">
        <v>30.3461636154044</v>
      </c>
      <c r="U56" s="9">
        <v>-2.76649064243162E-3</v>
      </c>
      <c r="V56" s="9">
        <v>4.4407072740599099E-4</v>
      </c>
      <c r="W56" s="9">
        <v>-3.4158894044230802E-3</v>
      </c>
      <c r="X56" s="10">
        <v>1.6430010718113599</v>
      </c>
      <c r="Y56" s="10">
        <v>1.6378015347179899</v>
      </c>
      <c r="Z56" s="10">
        <v>1.6439006568338801</v>
      </c>
      <c r="AA56" s="10">
        <v>1.6398329147997699</v>
      </c>
      <c r="AB56" s="8">
        <v>30.5613766378378</v>
      </c>
      <c r="AC56" s="8">
        <v>30.6732967745736</v>
      </c>
      <c r="AD56" s="8">
        <v>30.589022035604302</v>
      </c>
      <c r="AE56" s="9">
        <v>-3.16967649090533E-3</v>
      </c>
      <c r="AF56" s="9">
        <v>4.8577735983118E-4</v>
      </c>
      <c r="AG56" s="9">
        <v>-2.26549924105413E-3</v>
      </c>
      <c r="AZ56" s="9"/>
      <c r="BB56">
        <f t="shared" si="6"/>
        <v>0</v>
      </c>
      <c r="BC56">
        <f t="shared" si="7"/>
        <v>1</v>
      </c>
      <c r="BD56">
        <f t="shared" si="8"/>
        <v>1</v>
      </c>
      <c r="BE56">
        <f t="shared" si="4"/>
        <v>1</v>
      </c>
      <c r="BF56">
        <f t="shared" si="9"/>
        <v>1</v>
      </c>
      <c r="BG56" s="9">
        <f t="shared" si="10"/>
        <v>8.7051692273308005E-3</v>
      </c>
      <c r="BH56" s="9">
        <f t="shared" si="11"/>
        <v>-5.9288711222786504E-3</v>
      </c>
      <c r="BI56" s="9">
        <f t="shared" si="12"/>
        <v>2.7762981050521501E-3</v>
      </c>
      <c r="BJ56" s="12">
        <f t="shared" si="13"/>
        <v>4.8716934958129504E-3</v>
      </c>
      <c r="BL56" s="9"/>
      <c r="BN56">
        <f t="shared" si="14"/>
        <v>0</v>
      </c>
      <c r="BO56">
        <f t="shared" si="15"/>
        <v>1</v>
      </c>
      <c r="BP56">
        <f t="shared" si="16"/>
        <v>0</v>
      </c>
      <c r="BQ56">
        <f t="shared" si="5"/>
        <v>1</v>
      </c>
      <c r="BR56">
        <f t="shared" si="17"/>
        <v>0</v>
      </c>
      <c r="BS56" s="9">
        <f t="shared" si="18"/>
        <v>0</v>
      </c>
      <c r="BT56" s="9">
        <f t="shared" si="19"/>
        <v>0</v>
      </c>
      <c r="BU56" s="9">
        <f t="shared" si="20"/>
        <v>0</v>
      </c>
      <c r="BV56" s="12">
        <f t="shared" si="21"/>
        <v>0</v>
      </c>
      <c r="BX56" s="12">
        <f t="shared" si="22"/>
        <v>2.7762981050521501E-3</v>
      </c>
      <c r="BY56" s="12">
        <f t="shared" si="23"/>
        <v>4.8716934958129504E-3</v>
      </c>
    </row>
    <row r="57" spans="1:77" x14ac:dyDescent="0.3">
      <c r="A57" s="1">
        <v>46105</v>
      </c>
      <c r="B57" s="8">
        <v>18.5</v>
      </c>
      <c r="C57" s="8">
        <v>30.44</v>
      </c>
      <c r="D57" s="9">
        <v>2.1645030095730502E-3</v>
      </c>
      <c r="E57" s="9">
        <v>-3.2846116242085302E-4</v>
      </c>
      <c r="F57" s="8">
        <v>0</v>
      </c>
      <c r="G57" s="8">
        <v>0.2</v>
      </c>
      <c r="H57" s="8">
        <v>0</v>
      </c>
      <c r="I57" s="8">
        <v>0.2084</v>
      </c>
      <c r="J57" s="8">
        <v>0.2</v>
      </c>
      <c r="K57" s="8">
        <v>0.2084</v>
      </c>
      <c r="L57" s="8">
        <v>18.7</v>
      </c>
      <c r="M57" s="8">
        <v>30.648399999999999</v>
      </c>
      <c r="N57" s="10">
        <v>1.6454054054053999</v>
      </c>
      <c r="O57" s="10">
        <v>1.64495540501874</v>
      </c>
      <c r="P57" s="10">
        <v>1.6502628952757401</v>
      </c>
      <c r="Q57" s="10">
        <v>1.64564602385159</v>
      </c>
      <c r="R57" s="8">
        <v>30.431674992846599</v>
      </c>
      <c r="S57" s="8">
        <v>30.531714513975398</v>
      </c>
      <c r="T57" s="8">
        <v>30.4287849458793</v>
      </c>
      <c r="U57" s="9">
        <v>-2.7352647043782298E-4</v>
      </c>
      <c r="V57" s="9">
        <v>3.0084305117408301E-3</v>
      </c>
      <c r="W57" s="9">
        <v>-3.6849936326346098E-4</v>
      </c>
      <c r="X57" s="10">
        <v>1.63895187165775</v>
      </c>
      <c r="Y57" s="10">
        <v>1.6378015347179899</v>
      </c>
      <c r="Z57" s="10">
        <v>1.64378747579882</v>
      </c>
      <c r="AA57" s="10">
        <v>1.64032038568327</v>
      </c>
      <c r="AB57" s="8">
        <v>30.626888699226502</v>
      </c>
      <c r="AC57" s="8">
        <v>30.740942282793501</v>
      </c>
      <c r="AD57" s="8">
        <v>30.664875506755799</v>
      </c>
      <c r="AE57" s="9">
        <v>-7.0211996104084799E-4</v>
      </c>
      <c r="AF57" s="9">
        <v>3.01493221630024E-3</v>
      </c>
      <c r="AG57" s="9">
        <v>5.3742055097282101E-4</v>
      </c>
      <c r="AZ57" s="9"/>
      <c r="BB57">
        <f t="shared" si="6"/>
        <v>0</v>
      </c>
      <c r="BC57">
        <f t="shared" si="7"/>
        <v>1</v>
      </c>
      <c r="BD57">
        <f t="shared" si="8"/>
        <v>0</v>
      </c>
      <c r="BE57">
        <f t="shared" si="4"/>
        <v>1</v>
      </c>
      <c r="BF57">
        <f t="shared" si="9"/>
        <v>0</v>
      </c>
      <c r="BG57" s="9">
        <f t="shared" si="10"/>
        <v>0</v>
      </c>
      <c r="BH57" s="9">
        <f t="shared" si="11"/>
        <v>0</v>
      </c>
      <c r="BI57" s="9">
        <f t="shared" si="12"/>
        <v>0</v>
      </c>
      <c r="BJ57" s="12">
        <f t="shared" si="13"/>
        <v>4.8716934958129504E-3</v>
      </c>
      <c r="BL57" s="9"/>
      <c r="BN57">
        <f t="shared" si="14"/>
        <v>0</v>
      </c>
      <c r="BO57">
        <f t="shared" si="15"/>
        <v>1</v>
      </c>
      <c r="BP57">
        <f t="shared" si="16"/>
        <v>0</v>
      </c>
      <c r="BQ57">
        <f t="shared" si="5"/>
        <v>1</v>
      </c>
      <c r="BR57">
        <f t="shared" si="17"/>
        <v>0</v>
      </c>
      <c r="BS57" s="9">
        <f t="shared" si="18"/>
        <v>0</v>
      </c>
      <c r="BT57" s="9">
        <f t="shared" si="19"/>
        <v>0</v>
      </c>
      <c r="BU57" s="9">
        <f t="shared" si="20"/>
        <v>0</v>
      </c>
      <c r="BV57" s="12">
        <f t="shared" si="21"/>
        <v>0</v>
      </c>
      <c r="BX57" s="12">
        <f t="shared" si="22"/>
        <v>0</v>
      </c>
      <c r="BY57" s="12">
        <f t="shared" si="23"/>
        <v>4.8716934958129504E-3</v>
      </c>
    </row>
    <row r="58" spans="1:77" x14ac:dyDescent="0.3">
      <c r="A58" s="1">
        <v>46106</v>
      </c>
      <c r="B58" s="8">
        <v>18.59</v>
      </c>
      <c r="C58" s="8">
        <v>30.61</v>
      </c>
      <c r="D58" s="9">
        <v>4.8530696490734597E-3</v>
      </c>
      <c r="E58" s="9">
        <v>5.5692199638359098E-3</v>
      </c>
      <c r="F58" s="8">
        <v>0</v>
      </c>
      <c r="G58" s="8">
        <v>0.2</v>
      </c>
      <c r="H58" s="8">
        <v>0</v>
      </c>
      <c r="I58" s="8">
        <v>0.2084</v>
      </c>
      <c r="J58" s="8">
        <v>0.2</v>
      </c>
      <c r="K58" s="8">
        <v>0.2084</v>
      </c>
      <c r="L58" s="8">
        <v>18.79</v>
      </c>
      <c r="M58" s="8">
        <v>30.8184</v>
      </c>
      <c r="N58" s="10">
        <v>1.6465841850457199</v>
      </c>
      <c r="O58" s="10">
        <v>1.64495540501874</v>
      </c>
      <c r="P58" s="10">
        <v>1.6500779786767501</v>
      </c>
      <c r="Q58" s="10">
        <v>1.64633259664661</v>
      </c>
      <c r="R58" s="8">
        <v>30.579720979298301</v>
      </c>
      <c r="S58" s="8">
        <v>30.678387223175999</v>
      </c>
      <c r="T58" s="8">
        <v>30.592559583401101</v>
      </c>
      <c r="U58" s="9">
        <v>-9.8967678520036489E-4</v>
      </c>
      <c r="V58" s="9">
        <v>2.2316544669179501E-3</v>
      </c>
      <c r="W58" s="9">
        <v>-5.6992443419650305E-4</v>
      </c>
      <c r="X58" s="10">
        <v>1.6401490154337399</v>
      </c>
      <c r="Y58" s="10">
        <v>1.6378015347179899</v>
      </c>
      <c r="Z58" s="10">
        <v>1.64359638680094</v>
      </c>
      <c r="AA58" s="10">
        <v>1.6406495577664399</v>
      </c>
      <c r="AB58" s="8">
        <v>30.774290837351099</v>
      </c>
      <c r="AC58" s="8">
        <v>30.886766670259799</v>
      </c>
      <c r="AD58" s="8">
        <v>30.821620046988802</v>
      </c>
      <c r="AE58" s="9">
        <v>-1.43228586346081E-3</v>
      </c>
      <c r="AF58" s="9">
        <v>2.2159148714439901E-3</v>
      </c>
      <c r="AG58" s="9">
        <v>1.0447910267693699E-4</v>
      </c>
      <c r="AZ58" s="9"/>
      <c r="BB58">
        <f t="shared" si="6"/>
        <v>0</v>
      </c>
      <c r="BC58">
        <f t="shared" si="7"/>
        <v>1</v>
      </c>
      <c r="BD58">
        <f t="shared" si="8"/>
        <v>0</v>
      </c>
      <c r="BE58">
        <f t="shared" si="4"/>
        <v>1</v>
      </c>
      <c r="BF58">
        <f t="shared" si="9"/>
        <v>0</v>
      </c>
      <c r="BG58" s="9">
        <f t="shared" si="10"/>
        <v>0</v>
      </c>
      <c r="BH58" s="9">
        <f t="shared" si="11"/>
        <v>0</v>
      </c>
      <c r="BI58" s="9">
        <f t="shared" si="12"/>
        <v>0</v>
      </c>
      <c r="BJ58" s="12">
        <f t="shared" si="13"/>
        <v>4.8716934958129504E-3</v>
      </c>
      <c r="BL58" s="9"/>
      <c r="BN58">
        <f t="shared" si="14"/>
        <v>0</v>
      </c>
      <c r="BO58">
        <f t="shared" si="15"/>
        <v>1</v>
      </c>
      <c r="BP58">
        <f t="shared" si="16"/>
        <v>0</v>
      </c>
      <c r="BQ58">
        <f t="shared" si="5"/>
        <v>1</v>
      </c>
      <c r="BR58">
        <f t="shared" si="17"/>
        <v>0</v>
      </c>
      <c r="BS58" s="9">
        <f t="shared" si="18"/>
        <v>0</v>
      </c>
      <c r="BT58" s="9">
        <f t="shared" si="19"/>
        <v>0</v>
      </c>
      <c r="BU58" s="9">
        <f t="shared" si="20"/>
        <v>0</v>
      </c>
      <c r="BV58" s="12">
        <f t="shared" si="21"/>
        <v>0</v>
      </c>
      <c r="BX58" s="12">
        <f t="shared" si="22"/>
        <v>0</v>
      </c>
      <c r="BY58" s="12">
        <f t="shared" si="23"/>
        <v>4.8716934958129504E-3</v>
      </c>
    </row>
    <row r="59" spans="1:77" x14ac:dyDescent="0.3">
      <c r="A59" s="1">
        <v>46107</v>
      </c>
      <c r="B59" s="8">
        <v>18.43</v>
      </c>
      <c r="C59" s="8">
        <v>30.38</v>
      </c>
      <c r="D59" s="9">
        <v>-8.6440300516206995E-3</v>
      </c>
      <c r="E59" s="9">
        <v>-7.5422557896943397E-3</v>
      </c>
      <c r="F59" s="8">
        <v>0</v>
      </c>
      <c r="G59" s="8">
        <v>0.2</v>
      </c>
      <c r="H59" s="8">
        <v>0</v>
      </c>
      <c r="I59" s="8">
        <v>0.2084</v>
      </c>
      <c r="J59" s="8">
        <v>0.2</v>
      </c>
      <c r="K59" s="8">
        <v>0.2084</v>
      </c>
      <c r="L59" s="8">
        <v>18.63</v>
      </c>
      <c r="M59" s="8">
        <v>30.5884</v>
      </c>
      <c r="N59" s="10">
        <v>1.64839934888768</v>
      </c>
      <c r="O59" s="10">
        <v>1.64495540501874</v>
      </c>
      <c r="P59" s="10">
        <v>1.64967956327093</v>
      </c>
      <c r="Q59" s="10">
        <v>1.6470635145042201</v>
      </c>
      <c r="R59" s="8">
        <v>30.316528114495298</v>
      </c>
      <c r="S59" s="8">
        <v>30.4109371470126</v>
      </c>
      <c r="T59" s="8">
        <v>30.341909756197101</v>
      </c>
      <c r="U59" s="9">
        <v>-2.0914510471266501E-3</v>
      </c>
      <c r="V59" s="9">
        <v>1.0178211139812599E-3</v>
      </c>
      <c r="W59" s="9">
        <v>-1.2545800667945199E-3</v>
      </c>
      <c r="X59" s="10">
        <v>1.64188942565754</v>
      </c>
      <c r="Y59" s="10">
        <v>1.6378015347179899</v>
      </c>
      <c r="Z59" s="10">
        <v>1.64319391442234</v>
      </c>
      <c r="AA59" s="10">
        <v>1.6410194658427399</v>
      </c>
      <c r="AB59" s="8">
        <v>30.512242591796301</v>
      </c>
      <c r="AC59" s="8">
        <v>30.620200686101501</v>
      </c>
      <c r="AD59" s="8">
        <v>30.5653012611888</v>
      </c>
      <c r="AE59" s="9">
        <v>-2.4928525924453999E-3</v>
      </c>
      <c r="AF59" s="9">
        <v>1.03909217353206E-3</v>
      </c>
      <c r="AG59" s="9">
        <v>-7.5543227746836003E-4</v>
      </c>
      <c r="AZ59" s="9"/>
      <c r="BB59">
        <f t="shared" si="6"/>
        <v>0</v>
      </c>
      <c r="BC59">
        <f t="shared" si="7"/>
        <v>1</v>
      </c>
      <c r="BD59">
        <f t="shared" si="8"/>
        <v>0</v>
      </c>
      <c r="BE59">
        <f t="shared" si="4"/>
        <v>1</v>
      </c>
      <c r="BF59">
        <f t="shared" si="9"/>
        <v>0</v>
      </c>
      <c r="BG59" s="9">
        <f t="shared" si="10"/>
        <v>0</v>
      </c>
      <c r="BH59" s="9">
        <f t="shared" si="11"/>
        <v>0</v>
      </c>
      <c r="BI59" s="9">
        <f t="shared" si="12"/>
        <v>0</v>
      </c>
      <c r="BJ59" s="12">
        <f t="shared" si="13"/>
        <v>4.8716934958129504E-3</v>
      </c>
      <c r="BL59" s="9"/>
      <c r="BN59">
        <f t="shared" si="14"/>
        <v>0</v>
      </c>
      <c r="BO59">
        <f t="shared" si="15"/>
        <v>1</v>
      </c>
      <c r="BP59">
        <f t="shared" si="16"/>
        <v>0</v>
      </c>
      <c r="BQ59">
        <f t="shared" si="5"/>
        <v>1</v>
      </c>
      <c r="BR59">
        <f t="shared" si="17"/>
        <v>0</v>
      </c>
      <c r="BS59" s="9">
        <f t="shared" si="18"/>
        <v>0</v>
      </c>
      <c r="BT59" s="9">
        <f t="shared" si="19"/>
        <v>0</v>
      </c>
      <c r="BU59" s="9">
        <f t="shared" si="20"/>
        <v>0</v>
      </c>
      <c r="BV59" s="12">
        <f t="shared" si="21"/>
        <v>0</v>
      </c>
      <c r="BX59" s="12">
        <f t="shared" si="22"/>
        <v>0</v>
      </c>
      <c r="BY59" s="12">
        <f t="shared" si="23"/>
        <v>4.8716934958129504E-3</v>
      </c>
    </row>
    <row r="60" spans="1:77" x14ac:dyDescent="0.3">
      <c r="A60" s="1">
        <v>46108</v>
      </c>
      <c r="B60" s="8">
        <v>18.309999999999999</v>
      </c>
      <c r="C60" s="8">
        <v>30.16</v>
      </c>
      <c r="D60" s="9">
        <v>-6.5324129953126496E-3</v>
      </c>
      <c r="E60" s="9">
        <v>-7.2679540278714396E-3</v>
      </c>
      <c r="F60" s="8">
        <v>0</v>
      </c>
      <c r="G60" s="8">
        <v>0.2</v>
      </c>
      <c r="H60" s="8">
        <v>0</v>
      </c>
      <c r="I60" s="8">
        <v>0.2084</v>
      </c>
      <c r="J60" s="8">
        <v>0.2</v>
      </c>
      <c r="K60" s="8">
        <v>0.2084</v>
      </c>
      <c r="L60" s="8">
        <v>18.509999999999899</v>
      </c>
      <c r="M60" s="8">
        <v>30.368400000000001</v>
      </c>
      <c r="N60" s="10">
        <v>1.64718732932823</v>
      </c>
      <c r="O60" s="10">
        <v>1.64495540501874</v>
      </c>
      <c r="P60" s="10">
        <v>1.6492394378300299</v>
      </c>
      <c r="Q60" s="10">
        <v>1.6478384653862199</v>
      </c>
      <c r="R60" s="8">
        <v>30.1191334658931</v>
      </c>
      <c r="S60" s="8">
        <v>30.205632803490801</v>
      </c>
      <c r="T60" s="8">
        <v>30.157732950572299</v>
      </c>
      <c r="U60" s="9">
        <v>-1.35591001456778E-3</v>
      </c>
      <c r="V60" s="9">
        <v>1.51188052087936E-3</v>
      </c>
      <c r="W60" s="9">
        <v>-7.5170246553030501E-5</v>
      </c>
      <c r="X60" s="10">
        <v>1.6406482982171799</v>
      </c>
      <c r="Y60" s="10">
        <v>1.6378015347179899</v>
      </c>
      <c r="Z60" s="10">
        <v>1.6427494208556701</v>
      </c>
      <c r="AA60" s="10">
        <v>1.64143120891897</v>
      </c>
      <c r="AB60" s="8">
        <v>30.315706407630099</v>
      </c>
      <c r="AC60" s="8">
        <v>30.4155193559575</v>
      </c>
      <c r="AD60" s="8">
        <v>30.375270312749102</v>
      </c>
      <c r="AE60" s="9">
        <v>-1.7366526009093E-3</v>
      </c>
      <c r="AF60" s="9">
        <v>1.5503891784287001E-3</v>
      </c>
      <c r="AG60" s="9">
        <v>2.2620670575434999E-4</v>
      </c>
      <c r="AZ60" s="9"/>
      <c r="BB60">
        <f t="shared" si="6"/>
        <v>0</v>
      </c>
      <c r="BC60">
        <f t="shared" si="7"/>
        <v>1</v>
      </c>
      <c r="BD60">
        <f t="shared" si="8"/>
        <v>0</v>
      </c>
      <c r="BE60">
        <f t="shared" si="4"/>
        <v>1</v>
      </c>
      <c r="BF60">
        <f t="shared" si="9"/>
        <v>0</v>
      </c>
      <c r="BG60" s="9">
        <f t="shared" si="10"/>
        <v>0</v>
      </c>
      <c r="BH60" s="9">
        <f t="shared" si="11"/>
        <v>0</v>
      </c>
      <c r="BI60" s="9">
        <f t="shared" si="12"/>
        <v>0</v>
      </c>
      <c r="BJ60" s="12">
        <f t="shared" si="13"/>
        <v>4.8716934958129504E-3</v>
      </c>
      <c r="BL60" s="9"/>
      <c r="BN60">
        <f t="shared" si="14"/>
        <v>0</v>
      </c>
      <c r="BO60">
        <f t="shared" si="15"/>
        <v>1</v>
      </c>
      <c r="BP60">
        <f t="shared" si="16"/>
        <v>0</v>
      </c>
      <c r="BQ60">
        <f t="shared" si="5"/>
        <v>1</v>
      </c>
      <c r="BR60">
        <f t="shared" si="17"/>
        <v>0</v>
      </c>
      <c r="BS60" s="9">
        <f t="shared" si="18"/>
        <v>0</v>
      </c>
      <c r="BT60" s="9">
        <f t="shared" si="19"/>
        <v>0</v>
      </c>
      <c r="BU60" s="9">
        <f t="shared" si="20"/>
        <v>0</v>
      </c>
      <c r="BV60" s="12">
        <f t="shared" si="21"/>
        <v>0</v>
      </c>
      <c r="BX60" s="12">
        <f t="shared" si="22"/>
        <v>0</v>
      </c>
      <c r="BY60" s="12">
        <f t="shared" si="23"/>
        <v>4.8716934958129504E-3</v>
      </c>
    </row>
    <row r="61" spans="1:77" x14ac:dyDescent="0.3">
      <c r="A61" s="1">
        <v>46111</v>
      </c>
      <c r="B61" s="8">
        <v>18.239999999999998</v>
      </c>
      <c r="C61" s="8">
        <v>30.12</v>
      </c>
      <c r="D61" s="9">
        <v>-3.8303740402340601E-3</v>
      </c>
      <c r="E61" s="9">
        <v>-1.3271402080624599E-3</v>
      </c>
      <c r="F61" s="8">
        <v>0</v>
      </c>
      <c r="G61" s="8">
        <v>0.2</v>
      </c>
      <c r="H61" s="8">
        <v>0</v>
      </c>
      <c r="I61" s="8">
        <v>0.2084</v>
      </c>
      <c r="J61" s="8">
        <v>0.2</v>
      </c>
      <c r="K61" s="8">
        <v>0.2084</v>
      </c>
      <c r="L61" s="8">
        <v>18.439999999999898</v>
      </c>
      <c r="M61" s="8">
        <v>30.328399999999998</v>
      </c>
      <c r="N61" s="10">
        <v>1.6513157894736801</v>
      </c>
      <c r="O61" s="10">
        <v>1.64495540501874</v>
      </c>
      <c r="P61" s="10">
        <v>1.6494032056186001</v>
      </c>
      <c r="Q61" s="10">
        <v>1.6484344789349401</v>
      </c>
      <c r="R61" s="8">
        <v>30.003986587541799</v>
      </c>
      <c r="S61" s="8">
        <v>30.082127346019899</v>
      </c>
      <c r="T61" s="8">
        <v>30.056573608644602</v>
      </c>
      <c r="U61" s="9">
        <v>-3.8591438467393199E-3</v>
      </c>
      <c r="V61" s="9">
        <v>-1.25818341131089E-3</v>
      </c>
      <c r="W61" s="9">
        <v>-2.1080101786841599E-3</v>
      </c>
      <c r="X61" s="10">
        <v>1.6447071583514099</v>
      </c>
      <c r="Y61" s="10">
        <v>1.6378015347179899</v>
      </c>
      <c r="Z61" s="10">
        <v>1.64289741906873</v>
      </c>
      <c r="AA61" s="10">
        <v>1.64200488555753</v>
      </c>
      <c r="AB61" s="8">
        <v>30.201060300199799</v>
      </c>
      <c r="AC61" s="8">
        <v>30.2922993205786</v>
      </c>
      <c r="AD61" s="8">
        <v>30.267991492465899</v>
      </c>
      <c r="AE61" s="9">
        <v>-4.2075342165631899E-3</v>
      </c>
      <c r="AF61" s="9">
        <v>-1.1910348806123E-3</v>
      </c>
      <c r="AG61" s="9">
        <v>-1.9937995005236799E-3</v>
      </c>
      <c r="AZ61" s="9"/>
      <c r="BB61">
        <f t="shared" si="6"/>
        <v>0</v>
      </c>
      <c r="BC61">
        <f t="shared" si="7"/>
        <v>1</v>
      </c>
      <c r="BD61">
        <f t="shared" si="8"/>
        <v>0</v>
      </c>
      <c r="BE61">
        <f t="shared" si="4"/>
        <v>1</v>
      </c>
      <c r="BF61">
        <f t="shared" si="9"/>
        <v>0</v>
      </c>
      <c r="BG61" s="9">
        <f t="shared" si="10"/>
        <v>0</v>
      </c>
      <c r="BH61" s="9">
        <f t="shared" si="11"/>
        <v>0</v>
      </c>
      <c r="BI61" s="9">
        <f t="shared" si="12"/>
        <v>0</v>
      </c>
      <c r="BJ61" s="12">
        <f t="shared" si="13"/>
        <v>4.8716934958129504E-3</v>
      </c>
      <c r="BL61" s="9"/>
      <c r="BN61">
        <f t="shared" si="14"/>
        <v>0</v>
      </c>
      <c r="BO61">
        <f t="shared" si="15"/>
        <v>1</v>
      </c>
      <c r="BP61">
        <f t="shared" si="16"/>
        <v>0</v>
      </c>
      <c r="BQ61">
        <f t="shared" si="5"/>
        <v>1</v>
      </c>
      <c r="BR61">
        <f t="shared" si="17"/>
        <v>0</v>
      </c>
      <c r="BS61" s="9">
        <f t="shared" si="18"/>
        <v>0</v>
      </c>
      <c r="BT61" s="9">
        <f t="shared" si="19"/>
        <v>0</v>
      </c>
      <c r="BU61" s="9">
        <f t="shared" si="20"/>
        <v>0</v>
      </c>
      <c r="BV61" s="12">
        <f t="shared" si="21"/>
        <v>0</v>
      </c>
      <c r="BX61" s="12">
        <f t="shared" si="22"/>
        <v>0</v>
      </c>
      <c r="BY61" s="12">
        <f t="shared" si="23"/>
        <v>4.8716934958129504E-3</v>
      </c>
    </row>
    <row r="62" spans="1:77" x14ac:dyDescent="0.3">
      <c r="A62" s="1">
        <v>46112</v>
      </c>
      <c r="B62" s="8">
        <v>18.399999999999999</v>
      </c>
      <c r="C62" s="8">
        <v>30.32</v>
      </c>
      <c r="D62" s="9">
        <v>8.7336799687546297E-3</v>
      </c>
      <c r="E62" s="9">
        <v>6.6181578424780703E-3</v>
      </c>
      <c r="F62" s="8">
        <v>0</v>
      </c>
      <c r="G62" s="8">
        <v>0.2</v>
      </c>
      <c r="H62" s="8">
        <v>0</v>
      </c>
      <c r="I62" s="8">
        <v>0.2084</v>
      </c>
      <c r="J62" s="8">
        <v>0.2</v>
      </c>
      <c r="K62" s="8">
        <v>0.2084</v>
      </c>
      <c r="L62" s="8">
        <v>18.599999999999898</v>
      </c>
      <c r="M62" s="8">
        <v>30.528400000000001</v>
      </c>
      <c r="N62" s="10">
        <v>1.64782608695652</v>
      </c>
      <c r="O62" s="10">
        <v>1.64495540501874</v>
      </c>
      <c r="P62" s="10">
        <v>1.64912171175015</v>
      </c>
      <c r="Q62" s="10">
        <v>1.6486829261399101</v>
      </c>
      <c r="R62" s="8">
        <v>30.267179452344799</v>
      </c>
      <c r="S62" s="8">
        <v>30.3490189833824</v>
      </c>
      <c r="T62" s="8">
        <v>30.331194412402901</v>
      </c>
      <c r="U62" s="9">
        <v>-1.7436217204629199E-3</v>
      </c>
      <c r="V62" s="9">
        <v>9.5663276188511295E-4</v>
      </c>
      <c r="W62" s="9">
        <v>3.69140711524107E-4</v>
      </c>
      <c r="X62" s="10">
        <v>1.6413118279569801</v>
      </c>
      <c r="Y62" s="10">
        <v>1.6378015347179899</v>
      </c>
      <c r="Z62" s="10">
        <v>1.6426078830483599</v>
      </c>
      <c r="AA62" s="10">
        <v>1.64223991562482</v>
      </c>
      <c r="AB62" s="8">
        <v>30.4631085457547</v>
      </c>
      <c r="AC62" s="8">
        <v>30.5578919946784</v>
      </c>
      <c r="AD62" s="8">
        <v>30.541290871370101</v>
      </c>
      <c r="AE62" s="9">
        <v>-2.1410022720453402E-3</v>
      </c>
      <c r="AF62" s="9">
        <v>9.6558478201444399E-4</v>
      </c>
      <c r="AG62" s="9">
        <v>4.2216920956028499E-4</v>
      </c>
      <c r="AZ62" s="9"/>
      <c r="BB62">
        <f t="shared" si="6"/>
        <v>0</v>
      </c>
      <c r="BC62">
        <f t="shared" si="7"/>
        <v>1</v>
      </c>
      <c r="BD62">
        <f t="shared" si="8"/>
        <v>0</v>
      </c>
      <c r="BE62">
        <f t="shared" si="4"/>
        <v>0</v>
      </c>
      <c r="BF62">
        <f t="shared" si="9"/>
        <v>0</v>
      </c>
      <c r="BG62" s="9">
        <f t="shared" si="10"/>
        <v>0</v>
      </c>
      <c r="BH62" s="9">
        <f t="shared" si="11"/>
        <v>0</v>
      </c>
      <c r="BI62" s="9">
        <f t="shared" si="12"/>
        <v>0</v>
      </c>
      <c r="BJ62" s="12">
        <f t="shared" si="13"/>
        <v>4.8716934958129504E-3</v>
      </c>
      <c r="BL62" s="9"/>
      <c r="BN62">
        <f t="shared" si="14"/>
        <v>0</v>
      </c>
      <c r="BO62">
        <f t="shared" si="15"/>
        <v>1</v>
      </c>
      <c r="BP62">
        <f t="shared" si="16"/>
        <v>0</v>
      </c>
      <c r="BQ62">
        <f t="shared" si="5"/>
        <v>0</v>
      </c>
      <c r="BR62">
        <f t="shared" si="17"/>
        <v>0</v>
      </c>
      <c r="BS62" s="9">
        <f t="shared" si="18"/>
        <v>0</v>
      </c>
      <c r="BT62" s="9">
        <f t="shared" si="19"/>
        <v>0</v>
      </c>
      <c r="BU62" s="9">
        <f t="shared" si="20"/>
        <v>0</v>
      </c>
      <c r="BV62" s="12">
        <f t="shared" si="21"/>
        <v>0</v>
      </c>
      <c r="BX62" s="12">
        <f t="shared" si="22"/>
        <v>0</v>
      </c>
      <c r="BY62" s="12">
        <f t="shared" si="23"/>
        <v>4.8716934958129504E-3</v>
      </c>
    </row>
    <row r="63" spans="1:77" x14ac:dyDescent="0.3">
      <c r="A63" s="1">
        <v>46113</v>
      </c>
      <c r="B63" s="8">
        <v>18.39</v>
      </c>
      <c r="C63" s="8">
        <v>30.38</v>
      </c>
      <c r="D63" s="9">
        <v>-5.4362599871006999E-4</v>
      </c>
      <c r="E63" s="9">
        <v>1.97693639345594E-3</v>
      </c>
      <c r="F63" s="8">
        <v>0.1</v>
      </c>
      <c r="G63" s="8">
        <v>0.3</v>
      </c>
      <c r="H63" s="8">
        <v>0.14199999999999999</v>
      </c>
      <c r="I63" s="8">
        <v>0.35039999999999999</v>
      </c>
      <c r="J63" s="8">
        <v>0.3</v>
      </c>
      <c r="K63" s="8">
        <v>0.35039999999999999</v>
      </c>
      <c r="L63" s="8">
        <v>18.690000000000001</v>
      </c>
      <c r="M63" s="8">
        <v>30.730399999999999</v>
      </c>
      <c r="N63" s="10">
        <v>1.65198477433387</v>
      </c>
      <c r="O63" s="10">
        <v>1.64495540501874</v>
      </c>
      <c r="P63" s="10">
        <v>1.64942771606526</v>
      </c>
      <c r="Q63" s="10">
        <v>1.6491168928900799</v>
      </c>
      <c r="R63" s="8">
        <v>30.250729898294601</v>
      </c>
      <c r="S63" s="8">
        <v>30.327348279085399</v>
      </c>
      <c r="T63" s="8">
        <v>30.319279011713</v>
      </c>
      <c r="U63" s="9">
        <v>-4.2641841126288497E-3</v>
      </c>
      <c r="V63" s="9">
        <v>-1.7346082676630999E-3</v>
      </c>
      <c r="W63" s="9">
        <v>-2.00071597325214E-3</v>
      </c>
      <c r="X63" s="10">
        <v>1.64421615837346</v>
      </c>
      <c r="Y63" s="10">
        <v>1.6378015347179899</v>
      </c>
      <c r="Z63" s="10">
        <v>1.64278269037507</v>
      </c>
      <c r="AA63" s="10">
        <v>1.6425966862764101</v>
      </c>
      <c r="AB63" s="8">
        <v>30.610510683879401</v>
      </c>
      <c r="AC63" s="8">
        <v>30.700341334173899</v>
      </c>
      <c r="AD63" s="8">
        <v>30.6934640230279</v>
      </c>
      <c r="AE63" s="9">
        <v>-3.9089562721643899E-3</v>
      </c>
      <c r="AF63" s="9">
        <v>-9.786197454932379E-4</v>
      </c>
      <c r="AG63" s="9">
        <v>-1.20265899944568E-3</v>
      </c>
      <c r="AZ63" s="9"/>
      <c r="BB63">
        <f t="shared" si="6"/>
        <v>0</v>
      </c>
      <c r="BC63">
        <f t="shared" si="7"/>
        <v>1</v>
      </c>
      <c r="BD63">
        <f t="shared" si="8"/>
        <v>0</v>
      </c>
      <c r="BE63">
        <f t="shared" si="4"/>
        <v>1</v>
      </c>
      <c r="BF63">
        <f t="shared" si="9"/>
        <v>0</v>
      </c>
      <c r="BG63" s="9">
        <f t="shared" si="10"/>
        <v>0</v>
      </c>
      <c r="BH63" s="9">
        <f t="shared" si="11"/>
        <v>0</v>
      </c>
      <c r="BI63" s="9">
        <f t="shared" si="12"/>
        <v>0</v>
      </c>
      <c r="BJ63" s="12">
        <f t="shared" si="13"/>
        <v>4.8716934958129504E-3</v>
      </c>
      <c r="BL63" s="9"/>
      <c r="BN63">
        <f t="shared" si="14"/>
        <v>0</v>
      </c>
      <c r="BO63">
        <f t="shared" si="15"/>
        <v>1</v>
      </c>
      <c r="BP63">
        <f t="shared" si="16"/>
        <v>0</v>
      </c>
      <c r="BQ63">
        <f t="shared" si="5"/>
        <v>1</v>
      </c>
      <c r="BR63">
        <f t="shared" si="17"/>
        <v>0</v>
      </c>
      <c r="BS63" s="9">
        <f t="shared" si="18"/>
        <v>0</v>
      </c>
      <c r="BT63" s="9">
        <f t="shared" si="19"/>
        <v>0</v>
      </c>
      <c r="BU63" s="9">
        <f t="shared" si="20"/>
        <v>0</v>
      </c>
      <c r="BV63" s="12">
        <f t="shared" si="21"/>
        <v>0</v>
      </c>
      <c r="BX63" s="12">
        <f t="shared" si="22"/>
        <v>0</v>
      </c>
      <c r="BY63" s="12">
        <f t="shared" si="23"/>
        <v>4.8716934958129504E-3</v>
      </c>
    </row>
    <row r="64" spans="1:77" x14ac:dyDescent="0.3">
      <c r="A64" s="1">
        <v>46114</v>
      </c>
      <c r="B64" s="8">
        <v>18.420000000000002</v>
      </c>
      <c r="C64" s="8">
        <v>30.43</v>
      </c>
      <c r="D64" s="9">
        <v>1.6299922109311901E-3</v>
      </c>
      <c r="E64" s="9">
        <v>1.6444667412529501E-3</v>
      </c>
      <c r="F64" s="8">
        <v>0</v>
      </c>
      <c r="G64" s="8">
        <v>0.3</v>
      </c>
      <c r="H64" s="8">
        <v>0</v>
      </c>
      <c r="I64" s="8">
        <v>0.35039999999999999</v>
      </c>
      <c r="J64" s="8">
        <v>0.3</v>
      </c>
      <c r="K64" s="8">
        <v>0.35039999999999999</v>
      </c>
      <c r="L64" s="8">
        <v>18.72</v>
      </c>
      <c r="M64" s="8">
        <v>30.7804</v>
      </c>
      <c r="N64" s="10">
        <v>1.65200868621064</v>
      </c>
      <c r="O64" s="10">
        <v>1.64495540501874</v>
      </c>
      <c r="P64" s="10">
        <v>1.6494322425669099</v>
      </c>
      <c r="Q64" s="10">
        <v>1.6494618066958799</v>
      </c>
      <c r="R64" s="8">
        <v>30.300078560445101</v>
      </c>
      <c r="S64" s="8">
        <v>30.3824585299222</v>
      </c>
      <c r="T64" s="8">
        <v>30.376733167035201</v>
      </c>
      <c r="U64" s="9">
        <v>-4.27865864295066E-3</v>
      </c>
      <c r="V64" s="9">
        <v>-1.56354408002255E-3</v>
      </c>
      <c r="W64" s="9">
        <v>-1.75200487892338E-3</v>
      </c>
      <c r="X64" s="10">
        <v>1.6442521367521299</v>
      </c>
      <c r="Y64" s="10">
        <v>1.6378015347179899</v>
      </c>
      <c r="Z64" s="10">
        <v>1.6426608045292601</v>
      </c>
      <c r="AA64" s="10">
        <v>1.64286756574669</v>
      </c>
      <c r="AB64" s="8">
        <v>30.659644729920899</v>
      </c>
      <c r="AC64" s="8">
        <v>30.752891963821298</v>
      </c>
      <c r="AD64" s="8">
        <v>30.7494099670945</v>
      </c>
      <c r="AE64" s="9">
        <v>-3.9308378142366204E-3</v>
      </c>
      <c r="AF64" s="9">
        <v>-8.9408634360931395E-4</v>
      </c>
      <c r="AG64" s="9">
        <v>-1.00731777141791E-3</v>
      </c>
      <c r="AZ64" s="9"/>
      <c r="BB64">
        <f t="shared" si="6"/>
        <v>0</v>
      </c>
      <c r="BC64">
        <f t="shared" si="7"/>
        <v>1</v>
      </c>
      <c r="BD64">
        <f t="shared" si="8"/>
        <v>0</v>
      </c>
      <c r="BE64">
        <f t="shared" si="4"/>
        <v>1</v>
      </c>
      <c r="BF64">
        <f t="shared" si="9"/>
        <v>0</v>
      </c>
      <c r="BG64" s="9">
        <f t="shared" si="10"/>
        <v>0</v>
      </c>
      <c r="BH64" s="9">
        <f t="shared" si="11"/>
        <v>0</v>
      </c>
      <c r="BI64" s="9">
        <f t="shared" si="12"/>
        <v>0</v>
      </c>
      <c r="BJ64" s="12">
        <f t="shared" si="13"/>
        <v>4.8716934958129504E-3</v>
      </c>
      <c r="BL64" s="9"/>
      <c r="BN64">
        <f t="shared" si="14"/>
        <v>0</v>
      </c>
      <c r="BO64">
        <f t="shared" si="15"/>
        <v>1</v>
      </c>
      <c r="BP64">
        <f t="shared" si="16"/>
        <v>0</v>
      </c>
      <c r="BQ64">
        <f t="shared" si="5"/>
        <v>1</v>
      </c>
      <c r="BR64">
        <f t="shared" si="17"/>
        <v>0</v>
      </c>
      <c r="BS64" s="9">
        <f t="shared" si="18"/>
        <v>0</v>
      </c>
      <c r="BT64" s="9">
        <f t="shared" si="19"/>
        <v>0</v>
      </c>
      <c r="BU64" s="9">
        <f t="shared" si="20"/>
        <v>0</v>
      </c>
      <c r="BV64" s="12">
        <f t="shared" si="21"/>
        <v>0</v>
      </c>
      <c r="BX64" s="12">
        <f t="shared" si="22"/>
        <v>0</v>
      </c>
      <c r="BY64" s="12">
        <f t="shared" si="23"/>
        <v>4.8716934958129504E-3</v>
      </c>
    </row>
    <row r="65" spans="1:77" x14ac:dyDescent="0.3">
      <c r="A65" s="1">
        <v>46118</v>
      </c>
      <c r="B65" s="8">
        <v>18.47</v>
      </c>
      <c r="C65" s="8">
        <v>30.5</v>
      </c>
      <c r="D65" s="9">
        <v>2.7107633839875802E-3</v>
      </c>
      <c r="E65" s="9">
        <v>2.2977197044862199E-3</v>
      </c>
      <c r="F65" s="8">
        <v>0</v>
      </c>
      <c r="G65" s="8">
        <v>0.3</v>
      </c>
      <c r="H65" s="8">
        <v>0</v>
      </c>
      <c r="I65" s="8">
        <v>0.35039999999999999</v>
      </c>
      <c r="J65" s="8">
        <v>0.3</v>
      </c>
      <c r="K65" s="8">
        <v>0.35039999999999999</v>
      </c>
      <c r="L65" s="8">
        <v>18.77</v>
      </c>
      <c r="M65" s="8">
        <v>30.8504</v>
      </c>
      <c r="N65" s="10">
        <v>1.65132647536545</v>
      </c>
      <c r="O65" s="10">
        <v>1.64495540501874</v>
      </c>
      <c r="P65" s="10">
        <v>1.6491550540378801</v>
      </c>
      <c r="Q65" s="10">
        <v>1.6497000881361099</v>
      </c>
      <c r="R65" s="8">
        <v>30.382326330696099</v>
      </c>
      <c r="S65" s="8">
        <v>30.4650135202108</v>
      </c>
      <c r="T65" s="8">
        <v>30.465559569672902</v>
      </c>
      <c r="U65" s="9">
        <v>-3.8656149634491901E-3</v>
      </c>
      <c r="V65" s="9">
        <v>-1.14775611813149E-3</v>
      </c>
      <c r="W65" s="9">
        <v>-1.12983245733663E-3</v>
      </c>
      <c r="X65" s="10">
        <v>1.64360149174214</v>
      </c>
      <c r="Y65" s="10">
        <v>1.6378015347179899</v>
      </c>
      <c r="Z65" s="10">
        <v>1.6422728455953699</v>
      </c>
      <c r="AA65" s="10">
        <v>1.64303612200919</v>
      </c>
      <c r="AB65" s="8">
        <v>30.741534806656801</v>
      </c>
      <c r="AC65" s="8">
        <v>30.8327433010143</v>
      </c>
      <c r="AD65" s="8">
        <v>30.836624209065501</v>
      </c>
      <c r="AE65" s="9">
        <v>-3.5350507190633502E-3</v>
      </c>
      <c r="AF65" s="9">
        <v>-5.7249674783183002E-4</v>
      </c>
      <c r="AG65" s="9">
        <v>-4.4663497194480497E-4</v>
      </c>
      <c r="AZ65" s="9"/>
      <c r="BB65">
        <f t="shared" si="6"/>
        <v>0</v>
      </c>
      <c r="BC65">
        <f t="shared" si="7"/>
        <v>1</v>
      </c>
      <c r="BD65">
        <f t="shared" si="8"/>
        <v>0</v>
      </c>
      <c r="BE65">
        <f t="shared" si="4"/>
        <v>1</v>
      </c>
      <c r="BF65">
        <f t="shared" si="9"/>
        <v>0</v>
      </c>
      <c r="BG65" s="9">
        <f t="shared" si="10"/>
        <v>0</v>
      </c>
      <c r="BH65" s="9">
        <f t="shared" si="11"/>
        <v>0</v>
      </c>
      <c r="BI65" s="9">
        <f t="shared" si="12"/>
        <v>0</v>
      </c>
      <c r="BJ65" s="12">
        <f t="shared" si="13"/>
        <v>4.8716934958129504E-3</v>
      </c>
      <c r="BL65" s="9"/>
      <c r="BN65">
        <f t="shared" si="14"/>
        <v>0</v>
      </c>
      <c r="BO65">
        <f t="shared" si="15"/>
        <v>1</v>
      </c>
      <c r="BP65">
        <f t="shared" si="16"/>
        <v>0</v>
      </c>
      <c r="BQ65">
        <f t="shared" si="5"/>
        <v>1</v>
      </c>
      <c r="BR65">
        <f t="shared" si="17"/>
        <v>0</v>
      </c>
      <c r="BS65" s="9">
        <f t="shared" si="18"/>
        <v>0</v>
      </c>
      <c r="BT65" s="9">
        <f t="shared" si="19"/>
        <v>0</v>
      </c>
      <c r="BU65" s="9">
        <f t="shared" si="20"/>
        <v>0</v>
      </c>
      <c r="BV65" s="12">
        <f t="shared" si="21"/>
        <v>0</v>
      </c>
      <c r="BX65" s="12">
        <f t="shared" si="22"/>
        <v>0</v>
      </c>
      <c r="BY65" s="12">
        <f t="shared" si="23"/>
        <v>4.8716934958129504E-3</v>
      </c>
    </row>
    <row r="66" spans="1:77" x14ac:dyDescent="0.3">
      <c r="A66" s="1">
        <v>46119</v>
      </c>
      <c r="B66" s="8">
        <v>18.53</v>
      </c>
      <c r="C66" s="8">
        <v>30.47</v>
      </c>
      <c r="D66" s="9">
        <v>3.2432460861198699E-3</v>
      </c>
      <c r="E66" s="9">
        <v>-9.8409061574827308E-4</v>
      </c>
      <c r="F66" s="8">
        <v>0</v>
      </c>
      <c r="G66" s="8">
        <v>0.3</v>
      </c>
      <c r="H66" s="8">
        <v>0</v>
      </c>
      <c r="I66" s="8">
        <v>0.35039999999999999</v>
      </c>
      <c r="J66" s="8">
        <v>0.3</v>
      </c>
      <c r="K66" s="8">
        <v>0.35039999999999999</v>
      </c>
      <c r="L66" s="8">
        <v>18.829999999999998</v>
      </c>
      <c r="M66" s="8">
        <v>30.820399999999999</v>
      </c>
      <c r="N66" s="10">
        <v>1.6443604964921701</v>
      </c>
      <c r="O66" s="10">
        <v>1.64495540501874</v>
      </c>
      <c r="P66" s="10">
        <v>1.6486398577499399</v>
      </c>
      <c r="Q66" s="10">
        <v>1.64950140222565</v>
      </c>
      <c r="R66" s="8">
        <v>30.481023654997198</v>
      </c>
      <c r="S66" s="8">
        <v>30.558843151321899</v>
      </c>
      <c r="T66" s="8">
        <v>30.568942633162099</v>
      </c>
      <c r="U66" s="9">
        <v>3.6172173841897301E-4</v>
      </c>
      <c r="V66" s="9">
        <v>2.9115155881756899E-3</v>
      </c>
      <c r="W66" s="9">
        <v>3.2419539249295198E-3</v>
      </c>
      <c r="X66" s="10">
        <v>1.6367711099309601</v>
      </c>
      <c r="Y66" s="10">
        <v>1.6378015347179899</v>
      </c>
      <c r="Z66" s="10">
        <v>1.6416498494073299</v>
      </c>
      <c r="AA66" s="10">
        <v>1.6427752531205999</v>
      </c>
      <c r="AB66" s="8">
        <v>30.839802898739901</v>
      </c>
      <c r="AC66" s="8">
        <v>30.923997682560799</v>
      </c>
      <c r="AD66" s="8">
        <v>30.9383701774331</v>
      </c>
      <c r="AE66" s="9">
        <v>6.2934919018059704E-4</v>
      </c>
      <c r="AF66" s="9">
        <v>3.3556981253178601E-3</v>
      </c>
      <c r="AG66" s="9">
        <v>3.82035848760655E-3</v>
      </c>
      <c r="AZ66" s="9"/>
      <c r="BB66">
        <f t="shared" si="6"/>
        <v>0</v>
      </c>
      <c r="BC66">
        <f t="shared" si="7"/>
        <v>1</v>
      </c>
      <c r="BD66">
        <f t="shared" si="8"/>
        <v>0</v>
      </c>
      <c r="BE66">
        <f t="shared" si="4"/>
        <v>1</v>
      </c>
      <c r="BF66">
        <f t="shared" si="9"/>
        <v>0</v>
      </c>
      <c r="BG66" s="9">
        <f t="shared" si="10"/>
        <v>0</v>
      </c>
      <c r="BH66" s="9">
        <f t="shared" si="11"/>
        <v>0</v>
      </c>
      <c r="BI66" s="9">
        <f t="shared" si="12"/>
        <v>0</v>
      </c>
      <c r="BJ66" s="12">
        <f t="shared" si="13"/>
        <v>4.8716934958129504E-3</v>
      </c>
      <c r="BL66" s="9"/>
      <c r="BN66">
        <f t="shared" si="14"/>
        <v>0</v>
      </c>
      <c r="BO66">
        <f t="shared" si="15"/>
        <v>0</v>
      </c>
      <c r="BP66">
        <f t="shared" si="16"/>
        <v>0</v>
      </c>
      <c r="BQ66">
        <f t="shared" si="5"/>
        <v>1</v>
      </c>
      <c r="BR66">
        <f t="shared" si="17"/>
        <v>0</v>
      </c>
      <c r="BS66" s="9">
        <f t="shared" si="18"/>
        <v>0</v>
      </c>
      <c r="BT66" s="9">
        <f t="shared" si="19"/>
        <v>0</v>
      </c>
      <c r="BU66" s="9">
        <f t="shared" si="20"/>
        <v>0</v>
      </c>
      <c r="BV66" s="12">
        <f t="shared" si="21"/>
        <v>0</v>
      </c>
      <c r="BX66" s="12">
        <f t="shared" si="22"/>
        <v>0</v>
      </c>
      <c r="BY66" s="12">
        <f t="shared" si="23"/>
        <v>4.8716934958129504E-3</v>
      </c>
    </row>
    <row r="67" spans="1:77" x14ac:dyDescent="0.3">
      <c r="A67" s="1">
        <v>46120</v>
      </c>
      <c r="B67" s="8">
        <v>18.66</v>
      </c>
      <c r="C67" s="8">
        <v>30.74</v>
      </c>
      <c r="D67" s="9">
        <v>6.9911551219293197E-3</v>
      </c>
      <c r="E67" s="9">
        <v>8.8221451128321499E-3</v>
      </c>
      <c r="F67" s="8">
        <v>0</v>
      </c>
      <c r="G67" s="8">
        <v>0.3</v>
      </c>
      <c r="H67" s="8">
        <v>0</v>
      </c>
      <c r="I67" s="8">
        <v>0.35039999999999999</v>
      </c>
      <c r="J67" s="8">
        <v>0.3</v>
      </c>
      <c r="K67" s="8">
        <v>0.35039999999999999</v>
      </c>
      <c r="L67" s="8">
        <v>18.96</v>
      </c>
      <c r="M67" s="8">
        <v>31.090399999999999</v>
      </c>
      <c r="N67" s="10">
        <v>1.6473740621650499</v>
      </c>
      <c r="O67" s="10">
        <v>1.64495540501874</v>
      </c>
      <c r="P67" s="10">
        <v>1.6488367234259</v>
      </c>
      <c r="Q67" s="10">
        <v>1.6495498093508201</v>
      </c>
      <c r="R67" s="8">
        <v>30.694867857649601</v>
      </c>
      <c r="S67" s="8">
        <v>30.763619745613799</v>
      </c>
      <c r="T67" s="8">
        <v>30.779696165530702</v>
      </c>
      <c r="U67" s="9">
        <v>-1.4692682524837001E-3</v>
      </c>
      <c r="V67" s="9">
        <v>7.6807663915627101E-4</v>
      </c>
      <c r="W67" s="9">
        <v>1.2905190862216201E-3</v>
      </c>
      <c r="X67" s="10">
        <v>1.6397890295358599</v>
      </c>
      <c r="Y67" s="10">
        <v>1.6378015347179899</v>
      </c>
      <c r="Z67" s="10">
        <v>1.6417335651951399</v>
      </c>
      <c r="AA67" s="10">
        <v>1.64276052049698</v>
      </c>
      <c r="AB67" s="8">
        <v>31.052717098253201</v>
      </c>
      <c r="AC67" s="8">
        <v>31.125681144763</v>
      </c>
      <c r="AD67" s="8">
        <v>31.147018799166698</v>
      </c>
      <c r="AE67" s="9">
        <v>-1.2127781200908601E-3</v>
      </c>
      <c r="AF67" s="9">
        <v>1.1341488533406401E-3</v>
      </c>
      <c r="AG67" s="9">
        <v>1.81944611066129E-3</v>
      </c>
      <c r="AZ67" s="9"/>
      <c r="BB67">
        <f t="shared" si="6"/>
        <v>0</v>
      </c>
      <c r="BC67">
        <f t="shared" si="7"/>
        <v>1</v>
      </c>
      <c r="BD67">
        <f t="shared" si="8"/>
        <v>0</v>
      </c>
      <c r="BE67">
        <f t="shared" si="4"/>
        <v>1</v>
      </c>
      <c r="BF67">
        <f t="shared" si="9"/>
        <v>0</v>
      </c>
      <c r="BG67" s="9">
        <f t="shared" si="10"/>
        <v>0</v>
      </c>
      <c r="BH67" s="9">
        <f t="shared" si="11"/>
        <v>0</v>
      </c>
      <c r="BI67" s="9">
        <f t="shared" si="12"/>
        <v>0</v>
      </c>
      <c r="BJ67" s="12">
        <f t="shared" si="13"/>
        <v>4.8716934958129504E-3</v>
      </c>
      <c r="BL67" s="9"/>
      <c r="BN67">
        <f t="shared" si="14"/>
        <v>0</v>
      </c>
      <c r="BO67">
        <f t="shared" si="15"/>
        <v>1</v>
      </c>
      <c r="BP67">
        <f t="shared" si="16"/>
        <v>0</v>
      </c>
      <c r="BQ67">
        <f t="shared" si="5"/>
        <v>1</v>
      </c>
      <c r="BR67">
        <f t="shared" si="17"/>
        <v>0</v>
      </c>
      <c r="BS67" s="9">
        <f t="shared" si="18"/>
        <v>0</v>
      </c>
      <c r="BT67" s="9">
        <f t="shared" si="19"/>
        <v>0</v>
      </c>
      <c r="BU67" s="9">
        <f t="shared" si="20"/>
        <v>0</v>
      </c>
      <c r="BV67" s="12">
        <f t="shared" si="21"/>
        <v>0</v>
      </c>
      <c r="BX67" s="12">
        <f t="shared" si="22"/>
        <v>0</v>
      </c>
      <c r="BY67" s="12">
        <f t="shared" si="23"/>
        <v>4.8716934958129504E-3</v>
      </c>
    </row>
    <row r="68" spans="1:77" x14ac:dyDescent="0.3">
      <c r="A68" s="1">
        <v>46121</v>
      </c>
      <c r="B68" s="8">
        <v>18.77</v>
      </c>
      <c r="C68" s="8">
        <v>30.84</v>
      </c>
      <c r="D68" s="9">
        <v>5.87765517921958E-3</v>
      </c>
      <c r="E68" s="9">
        <v>3.2478105846790802E-3</v>
      </c>
      <c r="F68" s="8">
        <v>0</v>
      </c>
      <c r="G68" s="8">
        <v>0.3</v>
      </c>
      <c r="H68" s="8">
        <v>0</v>
      </c>
      <c r="I68" s="8">
        <v>0.35039999999999999</v>
      </c>
      <c r="J68" s="8">
        <v>0.3</v>
      </c>
      <c r="K68" s="8">
        <v>0.35039999999999999</v>
      </c>
      <c r="L68" s="8">
        <v>19.07</v>
      </c>
      <c r="M68" s="8">
        <v>31.1904</v>
      </c>
      <c r="N68" s="10">
        <v>1.6430474160894999</v>
      </c>
      <c r="O68" s="10">
        <v>1.64495540501874</v>
      </c>
      <c r="P68" s="10">
        <v>1.64848304653028</v>
      </c>
      <c r="Q68" s="10">
        <v>1.6492805126035199</v>
      </c>
      <c r="R68" s="8">
        <v>30.875812952201699</v>
      </c>
      <c r="S68" s="8">
        <v>30.948665298704199</v>
      </c>
      <c r="T68" s="8">
        <v>30.9620499215149</v>
      </c>
      <c r="U68" s="9">
        <v>1.1605763420568999E-3</v>
      </c>
      <c r="V68" s="9">
        <v>3.51732506954122E-3</v>
      </c>
      <c r="W68" s="9">
        <v>3.9497097697229902E-3</v>
      </c>
      <c r="X68" s="10">
        <v>1.6355742003146301</v>
      </c>
      <c r="Y68" s="10">
        <v>1.6378015347179899</v>
      </c>
      <c r="Z68" s="10">
        <v>1.6412760836832301</v>
      </c>
      <c r="AA68" s="10">
        <v>1.64243623524208</v>
      </c>
      <c r="AB68" s="8">
        <v>31.232875267072199</v>
      </c>
      <c r="AC68" s="8">
        <v>31.3078590882713</v>
      </c>
      <c r="AD68" s="8">
        <v>31.327443125877402</v>
      </c>
      <c r="AE68" s="9">
        <v>1.36087936577624E-3</v>
      </c>
      <c r="AF68" s="9">
        <v>3.7587999499184201E-3</v>
      </c>
      <c r="AG68" s="9">
        <v>4.3841354253440802E-3</v>
      </c>
      <c r="AZ68" s="9"/>
      <c r="BB68">
        <f t="shared" si="6"/>
        <v>0</v>
      </c>
      <c r="BC68">
        <f t="shared" si="7"/>
        <v>1</v>
      </c>
      <c r="BD68">
        <f t="shared" si="8"/>
        <v>0</v>
      </c>
      <c r="BE68">
        <f t="shared" si="4"/>
        <v>1</v>
      </c>
      <c r="BF68">
        <f t="shared" si="9"/>
        <v>0</v>
      </c>
      <c r="BG68" s="9">
        <f t="shared" si="10"/>
        <v>0</v>
      </c>
      <c r="BH68" s="9">
        <f t="shared" si="11"/>
        <v>0</v>
      </c>
      <c r="BI68" s="9">
        <f t="shared" si="12"/>
        <v>0</v>
      </c>
      <c r="BJ68" s="12">
        <f t="shared" si="13"/>
        <v>4.8716934958129504E-3</v>
      </c>
      <c r="BL68" s="9"/>
      <c r="BN68">
        <f t="shared" si="14"/>
        <v>1</v>
      </c>
      <c r="BO68">
        <f t="shared" si="15"/>
        <v>0</v>
      </c>
      <c r="BP68">
        <f t="shared" si="16"/>
        <v>0</v>
      </c>
      <c r="BQ68">
        <f t="shared" si="5"/>
        <v>1</v>
      </c>
      <c r="BR68">
        <f t="shared" si="17"/>
        <v>0</v>
      </c>
      <c r="BS68" s="9">
        <f t="shared" si="18"/>
        <v>0</v>
      </c>
      <c r="BT68" s="9">
        <f t="shared" si="19"/>
        <v>0</v>
      </c>
      <c r="BU68" s="9">
        <f t="shared" si="20"/>
        <v>0</v>
      </c>
      <c r="BV68" s="12">
        <f t="shared" si="21"/>
        <v>0</v>
      </c>
      <c r="BX68" s="12">
        <f t="shared" si="22"/>
        <v>0</v>
      </c>
      <c r="BY68" s="12">
        <f t="shared" si="23"/>
        <v>4.8716934958129504E-3</v>
      </c>
    </row>
    <row r="69" spans="1:77" x14ac:dyDescent="0.3">
      <c r="A69" s="1">
        <v>46122</v>
      </c>
      <c r="B69" s="8">
        <v>18.73</v>
      </c>
      <c r="C69" s="8">
        <v>30.79</v>
      </c>
      <c r="D69" s="9">
        <v>-2.1333341424202702E-3</v>
      </c>
      <c r="E69" s="9">
        <v>-1.6225867587197199E-3</v>
      </c>
      <c r="F69" s="8">
        <v>0</v>
      </c>
      <c r="G69" s="8">
        <v>0.3</v>
      </c>
      <c r="H69" s="8">
        <v>0</v>
      </c>
      <c r="I69" s="8">
        <v>0.35039999999999999</v>
      </c>
      <c r="J69" s="8">
        <v>0.3</v>
      </c>
      <c r="K69" s="8">
        <v>0.35039999999999999</v>
      </c>
      <c r="L69" s="8">
        <v>19.03</v>
      </c>
      <c r="M69" s="8">
        <v>31.1404</v>
      </c>
      <c r="N69" s="10">
        <v>1.6438868126001001</v>
      </c>
      <c r="O69" s="10">
        <v>1.64495540501874</v>
      </c>
      <c r="P69" s="10">
        <v>1.64803179290152</v>
      </c>
      <c r="Q69" s="10">
        <v>1.64885567808623</v>
      </c>
      <c r="R69" s="8">
        <v>30.810014736001001</v>
      </c>
      <c r="S69" s="8">
        <v>30.876087461512199</v>
      </c>
      <c r="T69" s="8">
        <v>30.891024001063901</v>
      </c>
      <c r="U69" s="9">
        <v>6.4982895835642501E-4</v>
      </c>
      <c r="V69" s="9">
        <v>2.7920538169693599E-3</v>
      </c>
      <c r="W69" s="9">
        <v>3.27569436577298E-3</v>
      </c>
      <c r="X69" s="10">
        <v>1.63638465580662</v>
      </c>
      <c r="Y69" s="10">
        <v>1.6378015347179899</v>
      </c>
      <c r="Z69" s="10">
        <v>1.6407256066981299</v>
      </c>
      <c r="AA69" s="10">
        <v>1.6419597605602401</v>
      </c>
      <c r="AB69" s="8">
        <v>31.1673632056835</v>
      </c>
      <c r="AC69" s="8">
        <v>31.233483872491899</v>
      </c>
      <c r="AD69" s="8">
        <v>31.2555615566569</v>
      </c>
      <c r="AE69" s="9">
        <v>8.6548468374972299E-4</v>
      </c>
      <c r="AF69" s="9">
        <v>2.9847088497878698E-3</v>
      </c>
      <c r="AG69" s="9">
        <v>3.6913186221734298E-3</v>
      </c>
      <c r="AZ69" s="9"/>
      <c r="BB69">
        <f t="shared" si="6"/>
        <v>0</v>
      </c>
      <c r="BC69">
        <f t="shared" si="7"/>
        <v>1</v>
      </c>
      <c r="BD69">
        <f t="shared" si="8"/>
        <v>0</v>
      </c>
      <c r="BE69">
        <f t="shared" si="4"/>
        <v>1</v>
      </c>
      <c r="BF69">
        <f t="shared" si="9"/>
        <v>0</v>
      </c>
      <c r="BG69" s="9">
        <f t="shared" si="10"/>
        <v>0</v>
      </c>
      <c r="BH69" s="9">
        <f t="shared" si="11"/>
        <v>0</v>
      </c>
      <c r="BI69" s="9">
        <f t="shared" si="12"/>
        <v>0</v>
      </c>
      <c r="BJ69" s="12">
        <f t="shared" si="13"/>
        <v>4.8716934958129504E-3</v>
      </c>
      <c r="BL69" s="9"/>
      <c r="BN69">
        <f t="shared" si="14"/>
        <v>0</v>
      </c>
      <c r="BO69">
        <f t="shared" si="15"/>
        <v>0</v>
      </c>
      <c r="BP69">
        <f t="shared" si="16"/>
        <v>1</v>
      </c>
      <c r="BQ69">
        <f t="shared" si="5"/>
        <v>1</v>
      </c>
      <c r="BR69">
        <f t="shared" si="17"/>
        <v>1</v>
      </c>
      <c r="BS69" s="9">
        <f t="shared" si="18"/>
        <v>2.1333341424202702E-3</v>
      </c>
      <c r="BT69" s="9">
        <f t="shared" si="19"/>
        <v>-1.6225867587197199E-3</v>
      </c>
      <c r="BU69" s="9">
        <f t="shared" si="20"/>
        <v>5.1074738370055026E-4</v>
      </c>
      <c r="BV69" s="12">
        <f t="shared" si="21"/>
        <v>5.1074738370055026E-4</v>
      </c>
      <c r="BX69" s="12">
        <f t="shared" si="22"/>
        <v>5.1074738370055026E-4</v>
      </c>
      <c r="BY69" s="12">
        <f t="shared" si="23"/>
        <v>5.3824408795135007E-3</v>
      </c>
    </row>
    <row r="70" spans="1:77" x14ac:dyDescent="0.3">
      <c r="A70" s="1">
        <v>46125</v>
      </c>
      <c r="B70" s="8">
        <v>18.829999999999998</v>
      </c>
      <c r="C70" s="8">
        <v>30.99</v>
      </c>
      <c r="D70" s="9">
        <v>5.3248262130638803E-3</v>
      </c>
      <c r="E70" s="9">
        <v>6.47460986324785E-3</v>
      </c>
      <c r="F70" s="8">
        <v>0</v>
      </c>
      <c r="G70" s="8">
        <v>0.3</v>
      </c>
      <c r="H70" s="8">
        <v>0</v>
      </c>
      <c r="I70" s="8">
        <v>0.35039999999999999</v>
      </c>
      <c r="J70" s="8">
        <v>0.3</v>
      </c>
      <c r="K70" s="8">
        <v>0.35039999999999999</v>
      </c>
      <c r="L70" s="8">
        <v>19.13</v>
      </c>
      <c r="M70" s="8">
        <v>31.340399999999999</v>
      </c>
      <c r="N70" s="10">
        <v>1.64577801380775</v>
      </c>
      <c r="O70" s="10">
        <v>1.64495540501874</v>
      </c>
      <c r="P70" s="10">
        <v>1.64789086134947</v>
      </c>
      <c r="Q70" s="10">
        <v>1.64856514958975</v>
      </c>
      <c r="R70" s="8">
        <v>30.974510276502802</v>
      </c>
      <c r="S70" s="8">
        <v>31.0324386603357</v>
      </c>
      <c r="T70" s="8">
        <v>31.0479524183637</v>
      </c>
      <c r="U70" s="9">
        <v>-4.9995469182769598E-4</v>
      </c>
      <c r="V70" s="9">
        <v>1.36849397977807E-3</v>
      </c>
      <c r="W70" s="9">
        <v>1.86828974721393E-3</v>
      </c>
      <c r="X70" s="10">
        <v>1.6382854155776201</v>
      </c>
      <c r="Y70" s="10">
        <v>1.6378015347179899</v>
      </c>
      <c r="Z70" s="10">
        <v>1.64048931843418</v>
      </c>
      <c r="AA70" s="10">
        <v>1.6416193696449199</v>
      </c>
      <c r="AB70" s="8">
        <v>31.331143359155298</v>
      </c>
      <c r="AC70" s="8">
        <v>31.387080856135402</v>
      </c>
      <c r="AD70" s="8">
        <v>31.410690219517399</v>
      </c>
      <c r="AE70" s="9">
        <v>-2.9540172192500099E-4</v>
      </c>
      <c r="AF70" s="9">
        <v>1.4883704595101601E-3</v>
      </c>
      <c r="AG70" s="9">
        <v>2.2402877358703699E-3</v>
      </c>
      <c r="AZ70" s="9"/>
      <c r="BB70">
        <f t="shared" si="6"/>
        <v>0</v>
      </c>
      <c r="BC70">
        <f t="shared" si="7"/>
        <v>1</v>
      </c>
      <c r="BD70">
        <f t="shared" si="8"/>
        <v>0</v>
      </c>
      <c r="BE70">
        <f t="shared" si="4"/>
        <v>1</v>
      </c>
      <c r="BF70">
        <f t="shared" si="9"/>
        <v>0</v>
      </c>
      <c r="BG70" s="9">
        <f t="shared" si="10"/>
        <v>0</v>
      </c>
      <c r="BH70" s="9">
        <f t="shared" si="11"/>
        <v>0</v>
      </c>
      <c r="BI70" s="9">
        <f t="shared" si="12"/>
        <v>0</v>
      </c>
      <c r="BJ70" s="12">
        <f t="shared" si="13"/>
        <v>4.8716934958129504E-3</v>
      </c>
      <c r="BL70" s="9"/>
      <c r="BN70">
        <f t="shared" si="14"/>
        <v>0</v>
      </c>
      <c r="BO70">
        <f t="shared" si="15"/>
        <v>0</v>
      </c>
      <c r="BP70">
        <f t="shared" si="16"/>
        <v>1</v>
      </c>
      <c r="BQ70">
        <f t="shared" si="5"/>
        <v>1</v>
      </c>
      <c r="BR70">
        <f t="shared" si="17"/>
        <v>1</v>
      </c>
      <c r="BS70" s="9">
        <f t="shared" si="18"/>
        <v>-5.3248262130638803E-3</v>
      </c>
      <c r="BT70" s="9">
        <f t="shared" si="19"/>
        <v>6.47460986324785E-3</v>
      </c>
      <c r="BU70" s="9">
        <f t="shared" si="20"/>
        <v>1.1497836501839697E-3</v>
      </c>
      <c r="BV70" s="12">
        <f t="shared" si="21"/>
        <v>1.66053103388452E-3</v>
      </c>
      <c r="BX70" s="12">
        <f t="shared" si="22"/>
        <v>1.1497836501839697E-3</v>
      </c>
      <c r="BY70" s="12">
        <f t="shared" si="23"/>
        <v>6.5322245296974705E-3</v>
      </c>
    </row>
    <row r="71" spans="1:77" x14ac:dyDescent="0.3">
      <c r="A71" s="1">
        <v>46126</v>
      </c>
      <c r="B71" s="8">
        <v>18.93</v>
      </c>
      <c r="C71" s="8">
        <v>31.25</v>
      </c>
      <c r="D71" s="9">
        <v>5.2966225521704803E-3</v>
      </c>
      <c r="E71" s="9">
        <v>8.3548043827536295E-3</v>
      </c>
      <c r="F71" s="8">
        <v>0</v>
      </c>
      <c r="G71" s="8">
        <v>0.3</v>
      </c>
      <c r="H71" s="8">
        <v>0</v>
      </c>
      <c r="I71" s="8">
        <v>0.35039999999999999</v>
      </c>
      <c r="J71" s="8">
        <v>0.3</v>
      </c>
      <c r="K71" s="8">
        <v>0.35039999999999999</v>
      </c>
      <c r="L71" s="8">
        <v>19.23</v>
      </c>
      <c r="M71" s="8">
        <v>31.6004</v>
      </c>
      <c r="N71" s="10">
        <v>1.6508188061278299</v>
      </c>
      <c r="O71" s="10">
        <v>1.64495540501874</v>
      </c>
      <c r="P71" s="10">
        <v>1.6478411630148899</v>
      </c>
      <c r="Q71" s="10">
        <v>1.6486221843167499</v>
      </c>
      <c r="R71" s="8">
        <v>31.139005817004701</v>
      </c>
      <c r="S71" s="8">
        <v>31.194574005345601</v>
      </c>
      <c r="T71" s="8">
        <v>31.207338281734099</v>
      </c>
      <c r="U71" s="9">
        <v>-3.55813652241091E-3</v>
      </c>
      <c r="V71" s="9">
        <v>-1.7752065761625E-3</v>
      </c>
      <c r="W71" s="9">
        <v>-1.36610768483963E-3</v>
      </c>
      <c r="X71" s="10">
        <v>1.6432865314612499</v>
      </c>
      <c r="Y71" s="10">
        <v>1.6378015347179899</v>
      </c>
      <c r="Z71" s="10">
        <v>1.6403472557451599</v>
      </c>
      <c r="AA71" s="10">
        <v>1.6416223374069501</v>
      </c>
      <c r="AB71" s="8">
        <v>31.4949235126271</v>
      </c>
      <c r="AC71" s="8">
        <v>31.5466095934893</v>
      </c>
      <c r="AD71" s="8">
        <v>31.568340478271899</v>
      </c>
      <c r="AE71" s="9">
        <v>-3.3434042257092099E-3</v>
      </c>
      <c r="AF71" s="9">
        <v>-1.70365690686619E-3</v>
      </c>
      <c r="AG71" s="9">
        <v>-1.0150439675664499E-3</v>
      </c>
      <c r="AZ71" s="9"/>
      <c r="BB71">
        <f t="shared" si="6"/>
        <v>0</v>
      </c>
      <c r="BC71">
        <f t="shared" si="7"/>
        <v>1</v>
      </c>
      <c r="BD71">
        <f t="shared" si="8"/>
        <v>0</v>
      </c>
      <c r="BE71">
        <f t="shared" si="4"/>
        <v>1</v>
      </c>
      <c r="BF71">
        <f t="shared" si="9"/>
        <v>0</v>
      </c>
      <c r="BG71" s="9">
        <f t="shared" si="10"/>
        <v>0</v>
      </c>
      <c r="BH71" s="9">
        <f t="shared" si="11"/>
        <v>0</v>
      </c>
      <c r="BI71" s="9">
        <f t="shared" si="12"/>
        <v>0</v>
      </c>
      <c r="BJ71" s="12">
        <f t="shared" si="13"/>
        <v>4.8716934958129504E-3</v>
      </c>
      <c r="BL71" s="9"/>
      <c r="BN71">
        <f t="shared" si="14"/>
        <v>0</v>
      </c>
      <c r="BO71">
        <f t="shared" si="15"/>
        <v>1</v>
      </c>
      <c r="BP71">
        <f t="shared" si="16"/>
        <v>1</v>
      </c>
      <c r="BQ71">
        <f t="shared" si="5"/>
        <v>1</v>
      </c>
      <c r="BR71">
        <f t="shared" si="17"/>
        <v>1</v>
      </c>
      <c r="BS71" s="9">
        <f t="shared" si="18"/>
        <v>-5.2966225521704803E-3</v>
      </c>
      <c r="BT71" s="9">
        <f t="shared" si="19"/>
        <v>8.3548043827536295E-3</v>
      </c>
      <c r="BU71" s="9">
        <f t="shared" si="20"/>
        <v>3.0581818305831492E-3</v>
      </c>
      <c r="BV71" s="12">
        <f t="shared" si="21"/>
        <v>4.7187128644676692E-3</v>
      </c>
      <c r="BX71" s="12">
        <f t="shared" si="22"/>
        <v>3.0581818305831492E-3</v>
      </c>
      <c r="BY71" s="12">
        <f t="shared" si="23"/>
        <v>9.5904063602806205E-3</v>
      </c>
    </row>
    <row r="72" spans="1:77" x14ac:dyDescent="0.3">
      <c r="A72" s="1">
        <v>46127</v>
      </c>
      <c r="B72" s="8">
        <v>19</v>
      </c>
      <c r="C72" s="8">
        <v>31.36</v>
      </c>
      <c r="D72" s="9">
        <v>3.6910139452089401E-3</v>
      </c>
      <c r="E72" s="9">
        <v>3.51381929979656E-3</v>
      </c>
      <c r="F72" s="8">
        <v>0</v>
      </c>
      <c r="G72" s="8">
        <v>0.3</v>
      </c>
      <c r="H72" s="8">
        <v>0</v>
      </c>
      <c r="I72" s="8">
        <v>0.35039999999999999</v>
      </c>
      <c r="J72" s="8">
        <v>0.3</v>
      </c>
      <c r="K72" s="8">
        <v>0.35039999999999999</v>
      </c>
      <c r="L72" s="8">
        <v>19.3</v>
      </c>
      <c r="M72" s="8">
        <v>31.7104</v>
      </c>
      <c r="N72" s="10">
        <v>1.6505263157894701</v>
      </c>
      <c r="O72" s="10">
        <v>1.64495540501874</v>
      </c>
      <c r="P72" s="10">
        <v>1.6481111858981801</v>
      </c>
      <c r="Q72" s="10">
        <v>1.6486164488241699</v>
      </c>
      <c r="R72" s="8">
        <v>31.254152695356002</v>
      </c>
      <c r="S72" s="8">
        <v>31.3089820972829</v>
      </c>
      <c r="T72" s="8">
        <v>31.323821502018198</v>
      </c>
      <c r="U72" s="9">
        <v>-3.3809418769983998E-3</v>
      </c>
      <c r="V72" s="9">
        <v>-1.6281711392179699E-3</v>
      </c>
      <c r="W72" s="9">
        <v>-1.15431705125748E-3</v>
      </c>
      <c r="X72" s="10">
        <v>1.64302590673575</v>
      </c>
      <c r="Y72" s="10">
        <v>1.6378015347179899</v>
      </c>
      <c r="Z72" s="10">
        <v>1.64051866362304</v>
      </c>
      <c r="AA72" s="10">
        <v>1.6415632733357</v>
      </c>
      <c r="AB72" s="8">
        <v>31.6095696200573</v>
      </c>
      <c r="AC72" s="8">
        <v>31.658702035881699</v>
      </c>
      <c r="AD72" s="8">
        <v>31.683311111954101</v>
      </c>
      <c r="AE72" s="9">
        <v>-3.1847919629040501E-3</v>
      </c>
      <c r="AF72" s="9">
        <v>-1.63164614699602E-3</v>
      </c>
      <c r="AG72" s="9">
        <v>-8.5462388049043598E-4</v>
      </c>
      <c r="AZ72" s="9"/>
      <c r="BB72">
        <f t="shared" si="6"/>
        <v>0</v>
      </c>
      <c r="BC72">
        <f t="shared" si="7"/>
        <v>1</v>
      </c>
      <c r="BD72">
        <f t="shared" si="8"/>
        <v>0</v>
      </c>
      <c r="BE72">
        <f t="shared" si="4"/>
        <v>1</v>
      </c>
      <c r="BF72">
        <f t="shared" si="9"/>
        <v>0</v>
      </c>
      <c r="BG72" s="9">
        <f t="shared" si="10"/>
        <v>0</v>
      </c>
      <c r="BH72" s="9">
        <f t="shared" si="11"/>
        <v>0</v>
      </c>
      <c r="BI72" s="9">
        <f t="shared" si="12"/>
        <v>0</v>
      </c>
      <c r="BJ72" s="12">
        <f t="shared" si="13"/>
        <v>4.8716934958129504E-3</v>
      </c>
      <c r="BL72" s="9"/>
      <c r="BN72">
        <f t="shared" si="14"/>
        <v>0</v>
      </c>
      <c r="BO72">
        <f t="shared" si="15"/>
        <v>1</v>
      </c>
      <c r="BP72">
        <f t="shared" si="16"/>
        <v>0</v>
      </c>
      <c r="BQ72">
        <f t="shared" si="5"/>
        <v>1</v>
      </c>
      <c r="BR72">
        <f t="shared" si="17"/>
        <v>0</v>
      </c>
      <c r="BS72" s="9">
        <f t="shared" si="18"/>
        <v>0</v>
      </c>
      <c r="BT72" s="9">
        <f t="shared" si="19"/>
        <v>0</v>
      </c>
      <c r="BU72" s="9">
        <f t="shared" si="20"/>
        <v>0</v>
      </c>
      <c r="BV72" s="12">
        <f t="shared" si="21"/>
        <v>4.7187128644676692E-3</v>
      </c>
      <c r="BX72" s="12">
        <f t="shared" si="22"/>
        <v>0</v>
      </c>
      <c r="BY72" s="12">
        <f t="shared" si="23"/>
        <v>9.5904063602806205E-3</v>
      </c>
    </row>
    <row r="73" spans="1:77" x14ac:dyDescent="0.3">
      <c r="A73" s="1">
        <v>46128</v>
      </c>
      <c r="B73" s="8">
        <v>18.91</v>
      </c>
      <c r="C73" s="8">
        <v>31.33</v>
      </c>
      <c r="D73" s="9">
        <v>-4.7480964960743199E-3</v>
      </c>
      <c r="E73" s="9">
        <v>-9.57090518106739E-4</v>
      </c>
      <c r="F73" s="8">
        <v>0</v>
      </c>
      <c r="G73" s="8">
        <v>0.3</v>
      </c>
      <c r="H73" s="8">
        <v>0</v>
      </c>
      <c r="I73" s="8">
        <v>0.35039999999999999</v>
      </c>
      <c r="J73" s="8">
        <v>0.3</v>
      </c>
      <c r="K73" s="8">
        <v>0.35039999999999999</v>
      </c>
      <c r="L73" s="8">
        <v>19.21</v>
      </c>
      <c r="M73" s="8">
        <v>31.680399999999999</v>
      </c>
      <c r="N73" s="10">
        <v>1.65679534637757</v>
      </c>
      <c r="O73" s="10">
        <v>1.64495540501874</v>
      </c>
      <c r="P73" s="10">
        <v>1.6485922431025499</v>
      </c>
      <c r="Q73" s="10">
        <v>1.6490099795839099</v>
      </c>
      <c r="R73" s="8">
        <v>31.106106708904299</v>
      </c>
      <c r="S73" s="8">
        <v>31.165782525334699</v>
      </c>
      <c r="T73" s="8">
        <v>31.175337047265099</v>
      </c>
      <c r="U73" s="9">
        <v>-7.17194785496603E-3</v>
      </c>
      <c r="V73" s="9">
        <v>-5.2553259110304498E-3</v>
      </c>
      <c r="W73" s="9">
        <v>-4.9488019964556203E-3</v>
      </c>
      <c r="X73" s="10">
        <v>1.6491618948464299</v>
      </c>
      <c r="Y73" s="10">
        <v>1.6378015347179899</v>
      </c>
      <c r="Z73" s="10">
        <v>1.6410132372703401</v>
      </c>
      <c r="AA73" s="10">
        <v>1.6418979638227</v>
      </c>
      <c r="AB73" s="8">
        <v>31.462167481932699</v>
      </c>
      <c r="AC73" s="8">
        <v>31.5143635281987</v>
      </c>
      <c r="AD73" s="8">
        <v>31.534430480778902</v>
      </c>
      <c r="AE73" s="9">
        <v>-6.9124014344731904E-3</v>
      </c>
      <c r="AF73" s="9">
        <v>-5.25476620495011E-3</v>
      </c>
      <c r="AG73" s="9">
        <v>-4.61821308531578E-3</v>
      </c>
      <c r="AZ73" s="9"/>
      <c r="BB73">
        <f t="shared" si="6"/>
        <v>0</v>
      </c>
      <c r="BC73">
        <f t="shared" si="7"/>
        <v>0</v>
      </c>
      <c r="BD73">
        <f t="shared" si="8"/>
        <v>0</v>
      </c>
      <c r="BE73">
        <f t="shared" si="4"/>
        <v>1</v>
      </c>
      <c r="BF73">
        <f t="shared" si="9"/>
        <v>0</v>
      </c>
      <c r="BG73" s="9">
        <f t="shared" si="10"/>
        <v>0</v>
      </c>
      <c r="BH73" s="9">
        <f t="shared" si="11"/>
        <v>0</v>
      </c>
      <c r="BI73" s="9">
        <f t="shared" si="12"/>
        <v>0</v>
      </c>
      <c r="BJ73" s="12">
        <f t="shared" si="13"/>
        <v>4.8716934958129504E-3</v>
      </c>
      <c r="BL73" s="9"/>
      <c r="BN73">
        <f t="shared" si="14"/>
        <v>0</v>
      </c>
      <c r="BO73">
        <f t="shared" si="15"/>
        <v>1</v>
      </c>
      <c r="BP73">
        <f t="shared" si="16"/>
        <v>0</v>
      </c>
      <c r="BQ73">
        <f t="shared" si="5"/>
        <v>1</v>
      </c>
      <c r="BR73">
        <f t="shared" si="17"/>
        <v>0</v>
      </c>
      <c r="BS73" s="9">
        <f t="shared" si="18"/>
        <v>0</v>
      </c>
      <c r="BT73" s="9">
        <f t="shared" si="19"/>
        <v>0</v>
      </c>
      <c r="BU73" s="9">
        <f t="shared" si="20"/>
        <v>0</v>
      </c>
      <c r="BV73" s="12">
        <f t="shared" si="21"/>
        <v>4.7187128644676692E-3</v>
      </c>
      <c r="BX73" s="12">
        <f t="shared" si="22"/>
        <v>0</v>
      </c>
      <c r="BY73" s="12">
        <f t="shared" si="23"/>
        <v>9.5904063602806205E-3</v>
      </c>
    </row>
    <row r="74" spans="1:77" x14ac:dyDescent="0.3">
      <c r="A74" s="1">
        <v>46129</v>
      </c>
      <c r="B74" s="8">
        <v>18.96</v>
      </c>
      <c r="C74" s="8">
        <v>31.46</v>
      </c>
      <c r="D74" s="9">
        <v>2.64061415650972E-3</v>
      </c>
      <c r="E74" s="9">
        <v>4.1407926660313801E-3</v>
      </c>
      <c r="F74" s="8">
        <v>0</v>
      </c>
      <c r="G74" s="8">
        <v>0.3</v>
      </c>
      <c r="H74" s="8">
        <v>0</v>
      </c>
      <c r="I74" s="8">
        <v>0.35039999999999999</v>
      </c>
      <c r="J74" s="8">
        <v>0.3</v>
      </c>
      <c r="K74" s="8">
        <v>0.35039999999999999</v>
      </c>
      <c r="L74" s="8">
        <v>19.260000000000002</v>
      </c>
      <c r="M74" s="8">
        <v>31.810400000000001</v>
      </c>
      <c r="N74" s="10">
        <v>1.6592827004219399</v>
      </c>
      <c r="O74" s="10">
        <v>1.64495540501874</v>
      </c>
      <c r="P74" s="10">
        <v>1.64931964452368</v>
      </c>
      <c r="Q74" s="10">
        <v>1.6493759435452999</v>
      </c>
      <c r="R74" s="8">
        <v>31.188354479155301</v>
      </c>
      <c r="S74" s="8">
        <v>31.2573089292245</v>
      </c>
      <c r="T74" s="8">
        <v>31.265229212910899</v>
      </c>
      <c r="U74" s="9">
        <v>-8.6721263644877894E-3</v>
      </c>
      <c r="V74" s="9">
        <v>-6.46366305954129E-3</v>
      </c>
      <c r="W74" s="9">
        <v>-6.21030534361395E-3</v>
      </c>
      <c r="X74" s="10">
        <v>1.65163032191069</v>
      </c>
      <c r="Y74" s="10">
        <v>1.6378015347179899</v>
      </c>
      <c r="Z74" s="10">
        <v>1.6417510557861901</v>
      </c>
      <c r="AA74" s="10">
        <v>1.6422059301577301</v>
      </c>
      <c r="AB74" s="8">
        <v>31.544057558668602</v>
      </c>
      <c r="AC74" s="8">
        <v>31.605914949826801</v>
      </c>
      <c r="AD74" s="8">
        <v>31.6229547832253</v>
      </c>
      <c r="AE74" s="9">
        <v>-8.4080590598665395E-3</v>
      </c>
      <c r="AF74" s="9">
        <v>-6.4489953109942702E-3</v>
      </c>
      <c r="AG74" s="9">
        <v>-5.9100062737704401E-3</v>
      </c>
      <c r="AZ74" s="9"/>
      <c r="BB74">
        <f t="shared" si="6"/>
        <v>1</v>
      </c>
      <c r="BC74">
        <f t="shared" si="7"/>
        <v>0</v>
      </c>
      <c r="BD74">
        <f t="shared" si="8"/>
        <v>0</v>
      </c>
      <c r="BE74">
        <f t="shared" si="4"/>
        <v>1</v>
      </c>
      <c r="BF74">
        <f t="shared" si="9"/>
        <v>0</v>
      </c>
      <c r="BG74" s="9">
        <f t="shared" si="10"/>
        <v>0</v>
      </c>
      <c r="BH74" s="9">
        <f t="shared" si="11"/>
        <v>0</v>
      </c>
      <c r="BI74" s="9">
        <f t="shared" si="12"/>
        <v>0</v>
      </c>
      <c r="BJ74" s="12">
        <f t="shared" si="13"/>
        <v>4.8716934958129504E-3</v>
      </c>
      <c r="BL74" s="9"/>
      <c r="BN74">
        <f t="shared" si="14"/>
        <v>0</v>
      </c>
      <c r="BO74">
        <f t="shared" si="15"/>
        <v>1</v>
      </c>
      <c r="BP74">
        <f t="shared" si="16"/>
        <v>0</v>
      </c>
      <c r="BQ74">
        <f t="shared" si="5"/>
        <v>1</v>
      </c>
      <c r="BR74">
        <f t="shared" si="17"/>
        <v>0</v>
      </c>
      <c r="BS74" s="9">
        <f t="shared" si="18"/>
        <v>0</v>
      </c>
      <c r="BT74" s="9">
        <f t="shared" si="19"/>
        <v>0</v>
      </c>
      <c r="BU74" s="9">
        <f t="shared" si="20"/>
        <v>0</v>
      </c>
      <c r="BV74" s="12">
        <f t="shared" si="21"/>
        <v>4.7187128644676692E-3</v>
      </c>
      <c r="BX74" s="12">
        <f t="shared" si="22"/>
        <v>0</v>
      </c>
      <c r="BY74" s="12">
        <f t="shared" si="23"/>
        <v>9.5904063602806205E-3</v>
      </c>
    </row>
    <row r="75" spans="1:77" x14ac:dyDescent="0.3">
      <c r="A75" s="1">
        <v>46132</v>
      </c>
      <c r="B75" s="8">
        <v>19.010000000000002</v>
      </c>
      <c r="C75" s="8">
        <v>31.44</v>
      </c>
      <c r="D75" s="9">
        <v>2.6336596734619802E-3</v>
      </c>
      <c r="E75" s="9">
        <v>-6.3593006912590698E-4</v>
      </c>
      <c r="F75" s="8">
        <v>0</v>
      </c>
      <c r="G75" s="8">
        <v>0.3</v>
      </c>
      <c r="H75" s="8">
        <v>0</v>
      </c>
      <c r="I75" s="8">
        <v>0.35039999999999999</v>
      </c>
      <c r="J75" s="8">
        <v>0.3</v>
      </c>
      <c r="K75" s="8">
        <v>0.35039999999999999</v>
      </c>
      <c r="L75" s="8">
        <v>19.309999999999999</v>
      </c>
      <c r="M75" s="8">
        <v>31.790400000000002</v>
      </c>
      <c r="N75" s="10">
        <v>1.65386638611257</v>
      </c>
      <c r="O75" s="10">
        <v>1.64495540501874</v>
      </c>
      <c r="P75" s="10">
        <v>1.6495736355984001</v>
      </c>
      <c r="Q75" s="10">
        <v>1.6493643448181401</v>
      </c>
      <c r="R75" s="8">
        <v>31.270602249406199</v>
      </c>
      <c r="S75" s="8">
        <v>31.353566442395302</v>
      </c>
      <c r="T75" s="8">
        <v>31.354636686796098</v>
      </c>
      <c r="U75" s="9">
        <v>-5.4025366218997404E-3</v>
      </c>
      <c r="V75" s="9">
        <v>-2.7529448346219599E-3</v>
      </c>
      <c r="W75" s="9">
        <v>-2.71881072305326E-3</v>
      </c>
      <c r="X75" s="10">
        <v>1.64631796996374</v>
      </c>
      <c r="Y75" s="10">
        <v>1.6378015347179899</v>
      </c>
      <c r="Z75" s="10">
        <v>1.6420227036083499</v>
      </c>
      <c r="AA75" s="10">
        <v>1.64214777460186</v>
      </c>
      <c r="AB75" s="8">
        <v>31.625947635404501</v>
      </c>
      <c r="AC75" s="8">
        <v>31.702212887231401</v>
      </c>
      <c r="AD75" s="8">
        <v>31.710996511345801</v>
      </c>
      <c r="AE75" s="9">
        <v>-5.1864460620623101E-3</v>
      </c>
      <c r="AF75" s="9">
        <v>-2.7778718016737199E-3</v>
      </c>
      <c r="AG75" s="9">
        <v>-2.5008435845626301E-3</v>
      </c>
      <c r="AZ75" s="9"/>
      <c r="BB75">
        <f t="shared" si="6"/>
        <v>0</v>
      </c>
      <c r="BC75">
        <f t="shared" si="7"/>
        <v>1</v>
      </c>
      <c r="BD75">
        <f t="shared" si="8"/>
        <v>1</v>
      </c>
      <c r="BE75">
        <f t="shared" si="4"/>
        <v>1</v>
      </c>
      <c r="BF75">
        <f t="shared" si="9"/>
        <v>1</v>
      </c>
      <c r="BG75" s="9">
        <f t="shared" si="10"/>
        <v>2.6336596734619802E-3</v>
      </c>
      <c r="BH75" s="9">
        <f t="shared" si="11"/>
        <v>6.3593006912590698E-4</v>
      </c>
      <c r="BI75" s="9">
        <f t="shared" si="12"/>
        <v>3.2695897425878873E-3</v>
      </c>
      <c r="BJ75" s="12">
        <f t="shared" si="13"/>
        <v>8.1412832384008382E-3</v>
      </c>
      <c r="BL75" s="9"/>
      <c r="BN75">
        <f t="shared" si="14"/>
        <v>0</v>
      </c>
      <c r="BO75">
        <f t="shared" si="15"/>
        <v>1</v>
      </c>
      <c r="BP75">
        <f t="shared" si="16"/>
        <v>0</v>
      </c>
      <c r="BQ75">
        <f t="shared" si="5"/>
        <v>1</v>
      </c>
      <c r="BR75">
        <f t="shared" si="17"/>
        <v>0</v>
      </c>
      <c r="BS75" s="9">
        <f t="shared" si="18"/>
        <v>0</v>
      </c>
      <c r="BT75" s="9">
        <f t="shared" si="19"/>
        <v>0</v>
      </c>
      <c r="BU75" s="9">
        <f t="shared" si="20"/>
        <v>0</v>
      </c>
      <c r="BV75" s="12">
        <f t="shared" si="21"/>
        <v>4.7187128644676692E-3</v>
      </c>
      <c r="BX75" s="12">
        <f t="shared" si="22"/>
        <v>3.2695897425878873E-3</v>
      </c>
      <c r="BY75" s="12">
        <f t="shared" si="23"/>
        <v>1.2859996102868507E-2</v>
      </c>
    </row>
    <row r="76" spans="1:77" x14ac:dyDescent="0.3">
      <c r="A76" s="1">
        <v>46133</v>
      </c>
      <c r="B76" s="8">
        <v>18.89</v>
      </c>
      <c r="C76" s="8">
        <v>31.24</v>
      </c>
      <c r="D76" s="9">
        <v>-6.3324749869196999E-3</v>
      </c>
      <c r="E76" s="9">
        <v>-6.3816425895207203E-3</v>
      </c>
      <c r="F76" s="8">
        <v>0</v>
      </c>
      <c r="G76" s="8">
        <v>0.3</v>
      </c>
      <c r="H76" s="8">
        <v>0</v>
      </c>
      <c r="I76" s="8">
        <v>0.35039999999999999</v>
      </c>
      <c r="J76" s="8">
        <v>0.3</v>
      </c>
      <c r="K76" s="8">
        <v>0.35039999999999999</v>
      </c>
      <c r="L76" s="8">
        <v>19.190000000000001</v>
      </c>
      <c r="M76" s="8">
        <v>31.590399999999999</v>
      </c>
      <c r="N76" s="10">
        <v>1.65378507146638</v>
      </c>
      <c r="O76" s="10">
        <v>1.64495540501874</v>
      </c>
      <c r="P76" s="10">
        <v>1.65051609309582</v>
      </c>
      <c r="Q76" s="10">
        <v>1.6495779754228801</v>
      </c>
      <c r="R76" s="8">
        <v>31.073207600804</v>
      </c>
      <c r="S76" s="8">
        <v>31.160445976453701</v>
      </c>
      <c r="T76" s="8">
        <v>31.156492473614701</v>
      </c>
      <c r="U76" s="9">
        <v>-5.3533690192987798E-3</v>
      </c>
      <c r="V76" s="9">
        <v>-2.5497916049357998E-3</v>
      </c>
      <c r="W76" s="9">
        <v>-2.67667533647674E-3</v>
      </c>
      <c r="X76" s="10">
        <v>1.64619072433559</v>
      </c>
      <c r="Y76" s="10">
        <v>1.6378015347179899</v>
      </c>
      <c r="Z76" s="10">
        <v>1.6429646650488201</v>
      </c>
      <c r="AA76" s="10">
        <v>1.6423072572280699</v>
      </c>
      <c r="AB76" s="8">
        <v>31.429411451238401</v>
      </c>
      <c r="AC76" s="8">
        <v>31.5104156822444</v>
      </c>
      <c r="AD76" s="8">
        <v>31.5128157946098</v>
      </c>
      <c r="AE76" s="9">
        <v>-5.10915203490191E-3</v>
      </c>
      <c r="AF76" s="9">
        <v>-2.5351292127766701E-3</v>
      </c>
      <c r="AG76" s="9">
        <v>-2.4589632558650099E-3</v>
      </c>
      <c r="AZ76" s="9"/>
      <c r="BB76">
        <f t="shared" si="6"/>
        <v>0</v>
      </c>
      <c r="BC76">
        <f t="shared" si="7"/>
        <v>1</v>
      </c>
      <c r="BD76">
        <f t="shared" si="8"/>
        <v>0</v>
      </c>
      <c r="BE76">
        <f t="shared" si="4"/>
        <v>1</v>
      </c>
      <c r="BF76">
        <f t="shared" si="9"/>
        <v>0</v>
      </c>
      <c r="BG76" s="9">
        <f t="shared" si="10"/>
        <v>0</v>
      </c>
      <c r="BH76" s="9">
        <f t="shared" si="11"/>
        <v>0</v>
      </c>
      <c r="BI76" s="9">
        <f t="shared" si="12"/>
        <v>0</v>
      </c>
      <c r="BJ76" s="12">
        <f t="shared" si="13"/>
        <v>8.1412832384008382E-3</v>
      </c>
      <c r="BL76" s="9"/>
      <c r="BN76">
        <f t="shared" si="14"/>
        <v>0</v>
      </c>
      <c r="BO76">
        <f t="shared" si="15"/>
        <v>1</v>
      </c>
      <c r="BP76">
        <f t="shared" si="16"/>
        <v>0</v>
      </c>
      <c r="BQ76">
        <f t="shared" si="5"/>
        <v>1</v>
      </c>
      <c r="BR76">
        <f t="shared" si="17"/>
        <v>0</v>
      </c>
      <c r="BS76" s="9">
        <f t="shared" si="18"/>
        <v>0</v>
      </c>
      <c r="BT76" s="9">
        <f t="shared" si="19"/>
        <v>0</v>
      </c>
      <c r="BU76" s="9">
        <f t="shared" si="20"/>
        <v>0</v>
      </c>
      <c r="BV76" s="12">
        <f t="shared" si="21"/>
        <v>4.7187128644676692E-3</v>
      </c>
      <c r="BX76" s="12">
        <f t="shared" si="22"/>
        <v>0</v>
      </c>
      <c r="BY76" s="12">
        <f t="shared" si="23"/>
        <v>1.2859996102868507E-2</v>
      </c>
    </row>
    <row r="77" spans="1:77" x14ac:dyDescent="0.3">
      <c r="A77" s="1">
        <v>46134</v>
      </c>
      <c r="B77" s="8">
        <v>19.04</v>
      </c>
      <c r="C77" s="8">
        <v>31.51</v>
      </c>
      <c r="D77" s="9">
        <v>7.9093478498009993E-3</v>
      </c>
      <c r="E77" s="9">
        <v>8.60563079769802E-3</v>
      </c>
      <c r="F77" s="8">
        <v>0</v>
      </c>
      <c r="G77" s="8">
        <v>0.3</v>
      </c>
      <c r="H77" s="8">
        <v>0</v>
      </c>
      <c r="I77" s="8">
        <v>0.35039999999999999</v>
      </c>
      <c r="J77" s="8">
        <v>0.3</v>
      </c>
      <c r="K77" s="8">
        <v>0.35039999999999999</v>
      </c>
      <c r="L77" s="8">
        <v>19.34</v>
      </c>
      <c r="M77" s="8">
        <v>31.860399999999998</v>
      </c>
      <c r="N77" s="10">
        <v>1.6549369747899101</v>
      </c>
      <c r="O77" s="10">
        <v>1.64495540501874</v>
      </c>
      <c r="P77" s="10">
        <v>1.6512723843582999</v>
      </c>
      <c r="Q77" s="10">
        <v>1.6500545538921001</v>
      </c>
      <c r="R77" s="8">
        <v>31.319950911556798</v>
      </c>
      <c r="S77" s="8">
        <v>31.425826412544399</v>
      </c>
      <c r="T77" s="8">
        <v>31.4079646520516</v>
      </c>
      <c r="U77" s="9">
        <v>-6.0496519671958604E-3</v>
      </c>
      <c r="V77" s="9">
        <v>-2.6749037056595501E-3</v>
      </c>
      <c r="W77" s="9">
        <v>-3.2434436798134498E-3</v>
      </c>
      <c r="X77" s="10">
        <v>1.6473836608066099</v>
      </c>
      <c r="Y77" s="10">
        <v>1.6378015347179899</v>
      </c>
      <c r="Z77" s="10">
        <v>1.6437241281758901</v>
      </c>
      <c r="AA77" s="10">
        <v>1.6427288466855201</v>
      </c>
      <c r="AB77" s="8">
        <v>31.675081681446098</v>
      </c>
      <c r="AC77" s="8">
        <v>31.774936622044201</v>
      </c>
      <c r="AD77" s="8">
        <v>31.762222354791</v>
      </c>
      <c r="AE77" s="9">
        <v>-5.8335543915487599E-3</v>
      </c>
      <c r="AF77" s="9">
        <v>-2.6860368429184002E-3</v>
      </c>
      <c r="AG77" s="9">
        <v>-3.0862520123612399E-3</v>
      </c>
      <c r="AZ77" s="9"/>
      <c r="BB77">
        <f t="shared" si="6"/>
        <v>0</v>
      </c>
      <c r="BC77">
        <f t="shared" si="7"/>
        <v>0</v>
      </c>
      <c r="BD77">
        <f t="shared" si="8"/>
        <v>0</v>
      </c>
      <c r="BE77">
        <f t="shared" si="4"/>
        <v>1</v>
      </c>
      <c r="BF77">
        <f t="shared" si="9"/>
        <v>0</v>
      </c>
      <c r="BG77" s="9">
        <f t="shared" si="10"/>
        <v>0</v>
      </c>
      <c r="BH77" s="9">
        <f t="shared" si="11"/>
        <v>0</v>
      </c>
      <c r="BI77" s="9">
        <f t="shared" si="12"/>
        <v>0</v>
      </c>
      <c r="BJ77" s="12">
        <f t="shared" si="13"/>
        <v>8.1412832384008382E-3</v>
      </c>
      <c r="BL77" s="9"/>
      <c r="BN77">
        <f t="shared" si="14"/>
        <v>0</v>
      </c>
      <c r="BO77">
        <f t="shared" si="15"/>
        <v>1</v>
      </c>
      <c r="BP77">
        <f t="shared" si="16"/>
        <v>0</v>
      </c>
      <c r="BQ77">
        <f t="shared" si="5"/>
        <v>1</v>
      </c>
      <c r="BR77">
        <f t="shared" si="17"/>
        <v>0</v>
      </c>
      <c r="BS77" s="9">
        <f t="shared" si="18"/>
        <v>0</v>
      </c>
      <c r="BT77" s="9">
        <f t="shared" si="19"/>
        <v>0</v>
      </c>
      <c r="BU77" s="9">
        <f t="shared" si="20"/>
        <v>0</v>
      </c>
      <c r="BV77" s="12">
        <f t="shared" si="21"/>
        <v>4.7187128644676692E-3</v>
      </c>
      <c r="BX77" s="12">
        <f t="shared" si="22"/>
        <v>0</v>
      </c>
      <c r="BY77" s="12">
        <f t="shared" si="23"/>
        <v>1.2859996102868507E-2</v>
      </c>
    </row>
    <row r="78" spans="1:77" x14ac:dyDescent="0.3">
      <c r="A78" s="1">
        <v>46135</v>
      </c>
      <c r="B78" s="8">
        <v>19.07</v>
      </c>
      <c r="C78" s="8">
        <v>31.49</v>
      </c>
      <c r="D78" s="9">
        <v>1.57439024910843E-3</v>
      </c>
      <c r="E78" s="9">
        <v>-6.3492065625002099E-4</v>
      </c>
      <c r="F78" s="8">
        <v>0</v>
      </c>
      <c r="G78" s="8">
        <v>0.3</v>
      </c>
      <c r="H78" s="8">
        <v>0</v>
      </c>
      <c r="I78" s="8">
        <v>0.35039999999999999</v>
      </c>
      <c r="J78" s="8">
        <v>0.3</v>
      </c>
      <c r="K78" s="8">
        <v>0.35039999999999999</v>
      </c>
      <c r="L78" s="8">
        <v>19.37</v>
      </c>
      <c r="M78" s="8">
        <v>31.840399999999999</v>
      </c>
      <c r="N78" s="10">
        <v>1.65128474042999</v>
      </c>
      <c r="O78" s="10">
        <v>1.64495540501874</v>
      </c>
      <c r="P78" s="10">
        <v>1.65209611679235</v>
      </c>
      <c r="Q78" s="10">
        <v>1.6502895816613099</v>
      </c>
      <c r="R78" s="8">
        <v>31.369299573707298</v>
      </c>
      <c r="S78" s="8">
        <v>31.489764369712901</v>
      </c>
      <c r="T78" s="8">
        <v>31.4665403427224</v>
      </c>
      <c r="U78" s="9">
        <v>-3.8403410618372599E-3</v>
      </c>
      <c r="V78" s="9">
        <v>-7.4827300305433202E-6</v>
      </c>
      <c r="W78" s="9">
        <v>-7.4526516977119304E-4</v>
      </c>
      <c r="X78" s="10">
        <v>1.6437996902426399</v>
      </c>
      <c r="Y78" s="10">
        <v>1.6378015347179899</v>
      </c>
      <c r="Z78" s="10">
        <v>1.6445466771686901</v>
      </c>
      <c r="AA78" s="10">
        <v>1.6429113804259601</v>
      </c>
      <c r="AB78" s="8">
        <v>31.7242157274876</v>
      </c>
      <c r="AC78" s="8">
        <v>31.8389363627671</v>
      </c>
      <c r="AD78" s="8">
        <v>31.819657760298501</v>
      </c>
      <c r="AE78" s="9">
        <v>-3.6556313782343101E-3</v>
      </c>
      <c r="AF78" s="9">
        <v>-4.5968985128196497E-5</v>
      </c>
      <c r="AG78" s="9">
        <v>-6.51656349844946E-4</v>
      </c>
      <c r="AZ78" s="9"/>
      <c r="BB78">
        <f t="shared" si="6"/>
        <v>0</v>
      </c>
      <c r="BC78">
        <f t="shared" si="7"/>
        <v>1</v>
      </c>
      <c r="BD78">
        <f t="shared" si="8"/>
        <v>0</v>
      </c>
      <c r="BE78">
        <f t="shared" si="4"/>
        <v>1</v>
      </c>
      <c r="BF78">
        <f t="shared" si="9"/>
        <v>0</v>
      </c>
      <c r="BG78" s="9">
        <f t="shared" si="10"/>
        <v>0</v>
      </c>
      <c r="BH78" s="9">
        <f t="shared" si="11"/>
        <v>0</v>
      </c>
      <c r="BI78" s="9">
        <f t="shared" si="12"/>
        <v>0</v>
      </c>
      <c r="BJ78" s="12">
        <f t="shared" si="13"/>
        <v>8.1412832384008382E-3</v>
      </c>
      <c r="BL78" s="9"/>
      <c r="BN78">
        <f t="shared" si="14"/>
        <v>0</v>
      </c>
      <c r="BO78">
        <f t="shared" si="15"/>
        <v>1</v>
      </c>
      <c r="BP78">
        <f t="shared" si="16"/>
        <v>0</v>
      </c>
      <c r="BQ78">
        <f t="shared" si="5"/>
        <v>1</v>
      </c>
      <c r="BR78">
        <f t="shared" si="17"/>
        <v>0</v>
      </c>
      <c r="BS78" s="9">
        <f t="shared" si="18"/>
        <v>0</v>
      </c>
      <c r="BT78" s="9">
        <f t="shared" si="19"/>
        <v>0</v>
      </c>
      <c r="BU78" s="9">
        <f t="shared" si="20"/>
        <v>0</v>
      </c>
      <c r="BV78" s="12">
        <f t="shared" si="21"/>
        <v>4.7187128644676692E-3</v>
      </c>
      <c r="BX78" s="12">
        <f t="shared" si="22"/>
        <v>0</v>
      </c>
      <c r="BY78" s="12">
        <f t="shared" si="23"/>
        <v>1.2859996102868507E-2</v>
      </c>
    </row>
    <row r="79" spans="1:77" x14ac:dyDescent="0.3">
      <c r="A79" s="1">
        <v>46136</v>
      </c>
      <c r="B79" s="8">
        <v>19.12</v>
      </c>
      <c r="C79" s="8">
        <v>31.52</v>
      </c>
      <c r="D79" s="9">
        <v>2.61848801092757E-3</v>
      </c>
      <c r="E79" s="9">
        <v>9.5222987674518998E-4</v>
      </c>
      <c r="F79" s="8">
        <v>0</v>
      </c>
      <c r="G79" s="8">
        <v>0.3</v>
      </c>
      <c r="H79" s="8">
        <v>0</v>
      </c>
      <c r="I79" s="8">
        <v>0.35039999999999999</v>
      </c>
      <c r="J79" s="8">
        <v>0.3</v>
      </c>
      <c r="K79" s="8">
        <v>0.35039999999999999</v>
      </c>
      <c r="L79" s="8">
        <v>19.420000000000002</v>
      </c>
      <c r="M79" s="8">
        <v>31.8704</v>
      </c>
      <c r="N79" s="10">
        <v>1.64853556485355</v>
      </c>
      <c r="O79" s="10">
        <v>1.64495540501874</v>
      </c>
      <c r="P79" s="10">
        <v>1.6525609920177</v>
      </c>
      <c r="Q79" s="10">
        <v>1.6502963924596099</v>
      </c>
      <c r="R79" s="8">
        <v>31.4515473439583</v>
      </c>
      <c r="S79" s="8">
        <v>31.5880777530698</v>
      </c>
      <c r="T79" s="8">
        <v>31.553536801364402</v>
      </c>
      <c r="U79" s="9">
        <v>-2.17408292765485E-3</v>
      </c>
      <c r="V79" s="9">
        <v>2.1574981175491899E-3</v>
      </c>
      <c r="W79" s="9">
        <v>1.0634191841977501E-3</v>
      </c>
      <c r="X79" s="10">
        <v>1.6411122554067901</v>
      </c>
      <c r="Y79" s="10">
        <v>1.6378015347179899</v>
      </c>
      <c r="Z79" s="10">
        <v>1.6450194371287099</v>
      </c>
      <c r="AA79" s="10">
        <v>1.6428725219134199</v>
      </c>
      <c r="AB79" s="8">
        <v>31.806105804223499</v>
      </c>
      <c r="AC79" s="8">
        <v>31.937096470616101</v>
      </c>
      <c r="AD79" s="8">
        <v>31.9053390078722</v>
      </c>
      <c r="AE79" s="9">
        <v>-2.01940156149119E-3</v>
      </c>
      <c r="AF79" s="9">
        <v>2.0905535743056102E-3</v>
      </c>
      <c r="AG79" s="9">
        <v>1.0956834655686601E-3</v>
      </c>
      <c r="AZ79" s="9"/>
      <c r="BB79">
        <f t="shared" si="6"/>
        <v>0</v>
      </c>
      <c r="BC79">
        <f t="shared" si="7"/>
        <v>1</v>
      </c>
      <c r="BD79">
        <f t="shared" si="8"/>
        <v>0</v>
      </c>
      <c r="BE79">
        <f t="shared" si="4"/>
        <v>1</v>
      </c>
      <c r="BF79">
        <f t="shared" si="9"/>
        <v>0</v>
      </c>
      <c r="BG79" s="9">
        <f t="shared" si="10"/>
        <v>0</v>
      </c>
      <c r="BH79" s="9">
        <f t="shared" si="11"/>
        <v>0</v>
      </c>
      <c r="BI79" s="9">
        <f t="shared" si="12"/>
        <v>0</v>
      </c>
      <c r="BJ79" s="12">
        <f t="shared" si="13"/>
        <v>8.1412832384008382E-3</v>
      </c>
      <c r="BL79" s="9"/>
      <c r="BN79">
        <f t="shared" si="14"/>
        <v>0</v>
      </c>
      <c r="BO79">
        <f t="shared" si="15"/>
        <v>1</v>
      </c>
      <c r="BP79">
        <f t="shared" si="16"/>
        <v>0</v>
      </c>
      <c r="BQ79">
        <f t="shared" si="5"/>
        <v>1</v>
      </c>
      <c r="BR79">
        <f t="shared" si="17"/>
        <v>0</v>
      </c>
      <c r="BS79" s="9">
        <f t="shared" si="18"/>
        <v>0</v>
      </c>
      <c r="BT79" s="9">
        <f t="shared" si="19"/>
        <v>0</v>
      </c>
      <c r="BU79" s="9">
        <f t="shared" si="20"/>
        <v>0</v>
      </c>
      <c r="BV79" s="12">
        <f t="shared" si="21"/>
        <v>4.7187128644676692E-3</v>
      </c>
      <c r="BX79" s="12">
        <f t="shared" si="22"/>
        <v>0</v>
      </c>
      <c r="BY79" s="12">
        <f t="shared" si="23"/>
        <v>1.2859996102868507E-2</v>
      </c>
    </row>
    <row r="80" spans="1:77" x14ac:dyDescent="0.3">
      <c r="A80" s="1">
        <v>46139</v>
      </c>
      <c r="B80" s="8">
        <v>19.07</v>
      </c>
      <c r="C80" s="8">
        <v>31.49</v>
      </c>
      <c r="D80" s="9">
        <v>-2.6184880109276099E-3</v>
      </c>
      <c r="E80" s="9">
        <v>-9.5222987674512102E-4</v>
      </c>
      <c r="F80" s="8">
        <v>0</v>
      </c>
      <c r="G80" s="8">
        <v>0.3</v>
      </c>
      <c r="H80" s="8">
        <v>0</v>
      </c>
      <c r="I80" s="8">
        <v>0.35039999999999999</v>
      </c>
      <c r="J80" s="8">
        <v>0.3</v>
      </c>
      <c r="K80" s="8">
        <v>0.35039999999999999</v>
      </c>
      <c r="L80" s="8">
        <v>19.37</v>
      </c>
      <c r="M80" s="8">
        <v>31.840399999999999</v>
      </c>
      <c r="N80" s="10">
        <v>1.65128474042999</v>
      </c>
      <c r="O80" s="10">
        <v>1.64495540501874</v>
      </c>
      <c r="P80" s="10">
        <v>1.65311166467992</v>
      </c>
      <c r="Q80" s="10">
        <v>1.6505012630147</v>
      </c>
      <c r="R80" s="8">
        <v>31.369299573707298</v>
      </c>
      <c r="S80" s="8">
        <v>31.514338117777498</v>
      </c>
      <c r="T80" s="8">
        <v>31.471152204204799</v>
      </c>
      <c r="U80" s="9">
        <v>-3.8403410618372599E-3</v>
      </c>
      <c r="V80" s="9">
        <v>7.7258549856204202E-4</v>
      </c>
      <c r="W80" s="9">
        <v>-5.9871192626990098E-4</v>
      </c>
      <c r="X80" s="10">
        <v>1.6437996902426399</v>
      </c>
      <c r="Y80" s="10">
        <v>1.6378015347179899</v>
      </c>
      <c r="Z80" s="10">
        <v>1.6455708645952101</v>
      </c>
      <c r="AA80" s="10">
        <v>1.6430300915147</v>
      </c>
      <c r="AB80" s="8">
        <v>31.7242157274876</v>
      </c>
      <c r="AC80" s="8">
        <v>31.8640264971832</v>
      </c>
      <c r="AD80" s="8">
        <v>31.822440749463102</v>
      </c>
      <c r="AE80" s="9">
        <v>-3.6556313782343101E-3</v>
      </c>
      <c r="AF80" s="9">
        <v>7.4175373880971702E-4</v>
      </c>
      <c r="AG80" s="9">
        <v>-5.6419885766564003E-4</v>
      </c>
      <c r="AZ80" s="9"/>
      <c r="BB80">
        <f t="shared" si="6"/>
        <v>0</v>
      </c>
      <c r="BC80">
        <f t="shared" si="7"/>
        <v>1</v>
      </c>
      <c r="BD80">
        <f t="shared" si="8"/>
        <v>0</v>
      </c>
      <c r="BE80">
        <f t="shared" si="4"/>
        <v>1</v>
      </c>
      <c r="BF80">
        <f t="shared" si="9"/>
        <v>0</v>
      </c>
      <c r="BG80" s="9">
        <f t="shared" si="10"/>
        <v>0</v>
      </c>
      <c r="BH80" s="9">
        <f t="shared" si="11"/>
        <v>0</v>
      </c>
      <c r="BI80" s="9">
        <f t="shared" si="12"/>
        <v>0</v>
      </c>
      <c r="BJ80" s="12">
        <f t="shared" si="13"/>
        <v>8.1412832384008382E-3</v>
      </c>
      <c r="BL80" s="9"/>
      <c r="BN80">
        <f t="shared" si="14"/>
        <v>0</v>
      </c>
      <c r="BO80">
        <f t="shared" si="15"/>
        <v>1</v>
      </c>
      <c r="BP80">
        <f t="shared" si="16"/>
        <v>0</v>
      </c>
      <c r="BQ80">
        <f t="shared" si="5"/>
        <v>1</v>
      </c>
      <c r="BR80">
        <f t="shared" si="17"/>
        <v>0</v>
      </c>
      <c r="BS80" s="9">
        <f t="shared" si="18"/>
        <v>0</v>
      </c>
      <c r="BT80" s="9">
        <f t="shared" si="19"/>
        <v>0</v>
      </c>
      <c r="BU80" s="9">
        <f t="shared" si="20"/>
        <v>0</v>
      </c>
      <c r="BV80" s="12">
        <f t="shared" si="21"/>
        <v>4.7187128644676692E-3</v>
      </c>
      <c r="BX80" s="12">
        <f t="shared" si="22"/>
        <v>0</v>
      </c>
      <c r="BY80" s="12">
        <f t="shared" si="23"/>
        <v>1.2859996102868507E-2</v>
      </c>
    </row>
    <row r="81" spans="1:77" x14ac:dyDescent="0.3">
      <c r="A81" s="1">
        <v>46140</v>
      </c>
      <c r="B81" s="8">
        <v>19</v>
      </c>
      <c r="C81" s="8">
        <v>31.29</v>
      </c>
      <c r="D81" s="9">
        <v>-3.6774404458872999E-3</v>
      </c>
      <c r="E81" s="9">
        <v>-6.3714774321424897E-3</v>
      </c>
      <c r="F81" s="8">
        <v>0</v>
      </c>
      <c r="G81" s="8">
        <v>0.3</v>
      </c>
      <c r="H81" s="8">
        <v>0</v>
      </c>
      <c r="I81" s="8">
        <v>0.35039999999999999</v>
      </c>
      <c r="J81" s="8">
        <v>0.3</v>
      </c>
      <c r="K81" s="8">
        <v>0.35039999999999999</v>
      </c>
      <c r="L81" s="8">
        <v>19.3</v>
      </c>
      <c r="M81" s="8">
        <v>31.6404</v>
      </c>
      <c r="N81" s="10">
        <v>1.6468421052631499</v>
      </c>
      <c r="O81" s="10">
        <v>1.64495540501874</v>
      </c>
      <c r="P81" s="10">
        <v>1.6527139945934499</v>
      </c>
      <c r="Q81" s="10">
        <v>1.6502775788041699</v>
      </c>
      <c r="R81" s="8">
        <v>31.254152695356002</v>
      </c>
      <c r="S81" s="8">
        <v>31.409121628918498</v>
      </c>
      <c r="T81" s="8">
        <v>31.3595239972793</v>
      </c>
      <c r="U81" s="9">
        <v>-1.14630407558199E-3</v>
      </c>
      <c r="V81" s="9">
        <v>3.7997907833797299E-3</v>
      </c>
      <c r="W81" s="9">
        <v>2.2194590280346402E-3</v>
      </c>
      <c r="X81" s="10">
        <v>1.6393989637305699</v>
      </c>
      <c r="Y81" s="10">
        <v>1.6378015347179899</v>
      </c>
      <c r="Z81" s="10">
        <v>1.64518210782214</v>
      </c>
      <c r="AA81" s="10">
        <v>1.6427646817836501</v>
      </c>
      <c r="AB81" s="8">
        <v>31.6095696200573</v>
      </c>
      <c r="AC81" s="8">
        <v>31.759517686687701</v>
      </c>
      <c r="AD81" s="8">
        <v>31.710480766233701</v>
      </c>
      <c r="AE81" s="9">
        <v>-9.7487421953031605E-4</v>
      </c>
      <c r="AF81" s="9">
        <v>3.7576650316367001E-3</v>
      </c>
      <c r="AG81" s="9">
        <v>2.21246473523994E-3</v>
      </c>
      <c r="AZ81" s="9"/>
      <c r="BB81">
        <f t="shared" si="6"/>
        <v>0</v>
      </c>
      <c r="BC81">
        <f t="shared" si="7"/>
        <v>1</v>
      </c>
      <c r="BD81">
        <f t="shared" si="8"/>
        <v>0</v>
      </c>
      <c r="BE81">
        <f t="shared" si="4"/>
        <v>1</v>
      </c>
      <c r="BF81">
        <f t="shared" si="9"/>
        <v>0</v>
      </c>
      <c r="BG81" s="9">
        <f t="shared" si="10"/>
        <v>0</v>
      </c>
      <c r="BH81" s="9">
        <f t="shared" si="11"/>
        <v>0</v>
      </c>
      <c r="BI81" s="9">
        <f t="shared" si="12"/>
        <v>0</v>
      </c>
      <c r="BJ81" s="12">
        <f t="shared" si="13"/>
        <v>8.1412832384008382E-3</v>
      </c>
      <c r="BL81" s="9"/>
      <c r="BN81">
        <f t="shared" si="14"/>
        <v>0</v>
      </c>
      <c r="BO81">
        <f t="shared" si="15"/>
        <v>0</v>
      </c>
      <c r="BP81">
        <f t="shared" si="16"/>
        <v>0</v>
      </c>
      <c r="BQ81">
        <f t="shared" si="5"/>
        <v>1</v>
      </c>
      <c r="BR81">
        <f t="shared" si="17"/>
        <v>0</v>
      </c>
      <c r="BS81" s="9">
        <f t="shared" si="18"/>
        <v>0</v>
      </c>
      <c r="BT81" s="9">
        <f t="shared" si="19"/>
        <v>0</v>
      </c>
      <c r="BU81" s="9">
        <f t="shared" si="20"/>
        <v>0</v>
      </c>
      <c r="BV81" s="12">
        <f t="shared" si="21"/>
        <v>4.7187128644676692E-3</v>
      </c>
      <c r="BX81" s="12">
        <f t="shared" si="22"/>
        <v>0</v>
      </c>
      <c r="BY81" s="12">
        <f t="shared" si="23"/>
        <v>1.2859996102868507E-2</v>
      </c>
    </row>
    <row r="82" spans="1:77" x14ac:dyDescent="0.3">
      <c r="A82" s="1">
        <v>46141</v>
      </c>
      <c r="B82" s="8">
        <v>18.920000000000002</v>
      </c>
      <c r="C82" s="8">
        <v>31.17</v>
      </c>
      <c r="D82" s="9">
        <v>-4.2194155427080901E-3</v>
      </c>
      <c r="E82" s="9">
        <v>-3.8424639015450001E-3</v>
      </c>
      <c r="F82" s="8">
        <v>0</v>
      </c>
      <c r="G82" s="8">
        <v>0.3</v>
      </c>
      <c r="H82" s="8">
        <v>0</v>
      </c>
      <c r="I82" s="8">
        <v>0.35039999999999999</v>
      </c>
      <c r="J82" s="8">
        <v>0.3</v>
      </c>
      <c r="K82" s="8">
        <v>0.35039999999999999</v>
      </c>
      <c r="L82" s="8">
        <v>19.22</v>
      </c>
      <c r="M82" s="8">
        <v>31.520399999999999</v>
      </c>
      <c r="N82" s="10">
        <v>1.6474630021141601</v>
      </c>
      <c r="O82" s="10">
        <v>1.64495540501874</v>
      </c>
      <c r="P82" s="10">
        <v>1.6524076632259199</v>
      </c>
      <c r="Q82" s="10">
        <v>1.6502594245620501</v>
      </c>
      <c r="R82" s="8">
        <v>31.1225562629545</v>
      </c>
      <c r="S82" s="8">
        <v>31.269348777708199</v>
      </c>
      <c r="T82" s="8">
        <v>31.223251790974999</v>
      </c>
      <c r="U82" s="9">
        <v>-1.5232557167453001E-3</v>
      </c>
      <c r="V82" s="9">
        <v>3.1822516888092801E-3</v>
      </c>
      <c r="W82" s="9">
        <v>1.7069731862550299E-3</v>
      </c>
      <c r="X82" s="10">
        <v>1.63997918834547</v>
      </c>
      <c r="Y82" s="10">
        <v>1.6378015347179899</v>
      </c>
      <c r="Z82" s="10">
        <v>1.64487743598312</v>
      </c>
      <c r="AA82" s="10">
        <v>1.6426980498030801</v>
      </c>
      <c r="AB82" s="8">
        <v>31.478545497279899</v>
      </c>
      <c r="AC82" s="8">
        <v>31.620400112341699</v>
      </c>
      <c r="AD82" s="8">
        <v>31.573937183881899</v>
      </c>
      <c r="AE82" s="9">
        <v>-1.32873680813773E-3</v>
      </c>
      <c r="AF82" s="9">
        <v>3.16753021102877E-3</v>
      </c>
      <c r="AG82" s="9">
        <v>1.6970523543108E-3</v>
      </c>
      <c r="AZ82" s="9"/>
      <c r="BB82">
        <f t="shared" si="6"/>
        <v>0</v>
      </c>
      <c r="BC82">
        <f t="shared" si="7"/>
        <v>1</v>
      </c>
      <c r="BD82">
        <f t="shared" si="8"/>
        <v>0</v>
      </c>
      <c r="BE82">
        <f t="shared" si="4"/>
        <v>1</v>
      </c>
      <c r="BF82">
        <f t="shared" si="9"/>
        <v>0</v>
      </c>
      <c r="BG82" s="9">
        <f t="shared" si="10"/>
        <v>0</v>
      </c>
      <c r="BH82" s="9">
        <f t="shared" si="11"/>
        <v>0</v>
      </c>
      <c r="BI82" s="9">
        <f t="shared" si="12"/>
        <v>0</v>
      </c>
      <c r="BJ82" s="12">
        <f t="shared" si="13"/>
        <v>8.1412832384008382E-3</v>
      </c>
      <c r="BL82" s="9"/>
      <c r="BN82">
        <f t="shared" si="14"/>
        <v>0</v>
      </c>
      <c r="BO82">
        <f t="shared" si="15"/>
        <v>1</v>
      </c>
      <c r="BP82">
        <f t="shared" si="16"/>
        <v>0</v>
      </c>
      <c r="BQ82">
        <f t="shared" si="5"/>
        <v>1</v>
      </c>
      <c r="BR82">
        <f t="shared" si="17"/>
        <v>0</v>
      </c>
      <c r="BS82" s="9">
        <f t="shared" si="18"/>
        <v>0</v>
      </c>
      <c r="BT82" s="9">
        <f t="shared" si="19"/>
        <v>0</v>
      </c>
      <c r="BU82" s="9">
        <f t="shared" si="20"/>
        <v>0</v>
      </c>
      <c r="BV82" s="12">
        <f t="shared" si="21"/>
        <v>4.7187128644676692E-3</v>
      </c>
      <c r="BX82" s="12">
        <f t="shared" si="22"/>
        <v>0</v>
      </c>
      <c r="BY82" s="12">
        <f t="shared" si="23"/>
        <v>1.2859996102868507E-2</v>
      </c>
    </row>
    <row r="83" spans="1:77" x14ac:dyDescent="0.3">
      <c r="A83" s="1">
        <v>46142</v>
      </c>
      <c r="B83" s="8">
        <v>19.09</v>
      </c>
      <c r="C83" s="8">
        <v>31.45</v>
      </c>
      <c r="D83" s="9">
        <v>8.9450741139239596E-3</v>
      </c>
      <c r="E83" s="9">
        <v>8.9428893672037092E-3</v>
      </c>
      <c r="F83" s="8">
        <v>0</v>
      </c>
      <c r="G83" s="8">
        <v>0.3</v>
      </c>
      <c r="H83" s="8">
        <v>0</v>
      </c>
      <c r="I83" s="8">
        <v>0.35039999999999999</v>
      </c>
      <c r="J83" s="8">
        <v>0.3</v>
      </c>
      <c r="K83" s="8">
        <v>0.35039999999999999</v>
      </c>
      <c r="L83" s="8">
        <v>19.39</v>
      </c>
      <c r="M83" s="8">
        <v>31.8004</v>
      </c>
      <c r="N83" s="10">
        <v>1.6474594028287</v>
      </c>
      <c r="O83" s="10">
        <v>1.64495540501874</v>
      </c>
      <c r="P83" s="10">
        <v>1.6514740688710301</v>
      </c>
      <c r="Q83" s="10">
        <v>1.65003315598679</v>
      </c>
      <c r="R83" s="8">
        <v>31.4021986818077</v>
      </c>
      <c r="S83" s="8">
        <v>31.544462290982899</v>
      </c>
      <c r="T83" s="8">
        <v>31.503452414889601</v>
      </c>
      <c r="U83" s="9">
        <v>-1.5210709700251E-3</v>
      </c>
      <c r="V83" s="9">
        <v>2.9990687546252301E-3</v>
      </c>
      <c r="W83" s="9">
        <v>1.6981571521329599E-3</v>
      </c>
      <c r="X83" s="10">
        <v>1.6400412583806001</v>
      </c>
      <c r="Y83" s="10">
        <v>1.6378015347179899</v>
      </c>
      <c r="Z83" s="10">
        <v>1.64396537233653</v>
      </c>
      <c r="AA83" s="10">
        <v>1.6424893048034399</v>
      </c>
      <c r="AB83" s="8">
        <v>31.756971758181901</v>
      </c>
      <c r="AC83" s="8">
        <v>31.894173483712699</v>
      </c>
      <c r="AD83" s="8">
        <v>31.851915185681701</v>
      </c>
      <c r="AE83" s="9">
        <v>-1.36658415461053E-3</v>
      </c>
      <c r="AF83" s="9">
        <v>2.9444753715960402E-3</v>
      </c>
      <c r="AG83" s="9">
        <v>1.6186433055582301E-3</v>
      </c>
      <c r="AZ83" s="9"/>
      <c r="BB83">
        <f t="shared" si="6"/>
        <v>0</v>
      </c>
      <c r="BC83">
        <f t="shared" si="7"/>
        <v>1</v>
      </c>
      <c r="BD83">
        <f t="shared" si="8"/>
        <v>0</v>
      </c>
      <c r="BE83">
        <f t="shared" si="4"/>
        <v>0</v>
      </c>
      <c r="BF83">
        <f t="shared" si="9"/>
        <v>0</v>
      </c>
      <c r="BG83" s="9">
        <f t="shared" si="10"/>
        <v>0</v>
      </c>
      <c r="BH83" s="9">
        <f t="shared" si="11"/>
        <v>0</v>
      </c>
      <c r="BI83" s="9">
        <f t="shared" si="12"/>
        <v>0</v>
      </c>
      <c r="BJ83" s="12">
        <f t="shared" si="13"/>
        <v>8.1412832384008382E-3</v>
      </c>
      <c r="BL83" s="9"/>
      <c r="BN83">
        <f t="shared" si="14"/>
        <v>0</v>
      </c>
      <c r="BO83">
        <f t="shared" si="15"/>
        <v>1</v>
      </c>
      <c r="BP83">
        <f t="shared" si="16"/>
        <v>0</v>
      </c>
      <c r="BQ83">
        <f t="shared" si="5"/>
        <v>0</v>
      </c>
      <c r="BR83">
        <f t="shared" si="17"/>
        <v>0</v>
      </c>
      <c r="BS83" s="9">
        <f t="shared" si="18"/>
        <v>0</v>
      </c>
      <c r="BT83" s="9">
        <f t="shared" si="19"/>
        <v>0</v>
      </c>
      <c r="BU83" s="9">
        <f t="shared" si="20"/>
        <v>0</v>
      </c>
      <c r="BV83" s="12">
        <f t="shared" si="21"/>
        <v>4.7187128644676692E-3</v>
      </c>
      <c r="BX83" s="12">
        <f t="shared" si="22"/>
        <v>0</v>
      </c>
      <c r="BY83" s="12">
        <f t="shared" si="23"/>
        <v>1.2859996102868507E-2</v>
      </c>
    </row>
    <row r="84" spans="1:77" x14ac:dyDescent="0.3">
      <c r="A84" s="1">
        <v>46143</v>
      </c>
      <c r="B84" s="8">
        <v>19</v>
      </c>
      <c r="C84" s="8">
        <v>31.41</v>
      </c>
      <c r="D84" s="9">
        <v>-4.7256585712157403E-3</v>
      </c>
      <c r="E84" s="9">
        <v>-1.2726695958943299E-3</v>
      </c>
      <c r="F84" s="8">
        <v>0.1</v>
      </c>
      <c r="G84" s="8">
        <v>0.4</v>
      </c>
      <c r="H84" s="8">
        <v>0.14030000000000001</v>
      </c>
      <c r="I84" s="8">
        <v>0.49070000000000003</v>
      </c>
      <c r="J84" s="8">
        <v>0.4</v>
      </c>
      <c r="K84" s="8">
        <v>0.49070000000000003</v>
      </c>
      <c r="L84" s="8">
        <v>19.399999999999999</v>
      </c>
      <c r="M84" s="8">
        <v>31.900700000000001</v>
      </c>
      <c r="N84" s="10">
        <v>1.6531578947368399</v>
      </c>
      <c r="O84" s="10">
        <v>1.64495540501874</v>
      </c>
      <c r="P84" s="10">
        <v>1.6508615883025199</v>
      </c>
      <c r="Q84" s="10">
        <v>1.6500906164131</v>
      </c>
      <c r="R84" s="8">
        <v>31.254152695356002</v>
      </c>
      <c r="S84" s="8">
        <v>31.378007308549702</v>
      </c>
      <c r="T84" s="8">
        <v>31.3506299637491</v>
      </c>
      <c r="U84" s="9">
        <v>-4.9740599453465002E-3</v>
      </c>
      <c r="V84" s="9">
        <v>-1.01907022026525E-3</v>
      </c>
      <c r="W84" s="9">
        <v>-1.8919521360642199E-3</v>
      </c>
      <c r="X84" s="10">
        <v>1.64436597938144</v>
      </c>
      <c r="Y84" s="10">
        <v>1.6378015347179899</v>
      </c>
      <c r="Z84" s="10">
        <v>1.6432389380836101</v>
      </c>
      <c r="AA84" s="10">
        <v>1.6424949969349001</v>
      </c>
      <c r="AB84" s="8">
        <v>31.773349773529102</v>
      </c>
      <c r="AC84" s="8">
        <v>31.892928223328799</v>
      </c>
      <c r="AD84" s="8">
        <v>31.864292513186701</v>
      </c>
      <c r="AE84" s="9">
        <v>-4.0000721402252797E-3</v>
      </c>
      <c r="AF84" s="9">
        <v>-2.4365369790193701E-4</v>
      </c>
      <c r="AG84" s="9">
        <v>-1.1419272341948699E-3</v>
      </c>
      <c r="AZ84" s="9"/>
      <c r="BB84">
        <f t="shared" si="6"/>
        <v>0</v>
      </c>
      <c r="BC84">
        <f t="shared" si="7"/>
        <v>1</v>
      </c>
      <c r="BD84">
        <f t="shared" si="8"/>
        <v>0</v>
      </c>
      <c r="BE84">
        <f t="shared" si="4"/>
        <v>1</v>
      </c>
      <c r="BF84">
        <f t="shared" si="9"/>
        <v>0</v>
      </c>
      <c r="BG84" s="9">
        <f t="shared" si="10"/>
        <v>0</v>
      </c>
      <c r="BH84" s="9">
        <f t="shared" si="11"/>
        <v>0</v>
      </c>
      <c r="BI84" s="9">
        <f t="shared" si="12"/>
        <v>0</v>
      </c>
      <c r="BJ84" s="12">
        <f t="shared" si="13"/>
        <v>8.1412832384008382E-3</v>
      </c>
      <c r="BL84" s="9"/>
      <c r="BN84">
        <f t="shared" si="14"/>
        <v>0</v>
      </c>
      <c r="BO84">
        <f t="shared" si="15"/>
        <v>1</v>
      </c>
      <c r="BP84">
        <f t="shared" si="16"/>
        <v>0</v>
      </c>
      <c r="BQ84">
        <f t="shared" si="5"/>
        <v>1</v>
      </c>
      <c r="BR84">
        <f t="shared" si="17"/>
        <v>0</v>
      </c>
      <c r="BS84" s="9">
        <f t="shared" si="18"/>
        <v>0</v>
      </c>
      <c r="BT84" s="9">
        <f t="shared" si="19"/>
        <v>0</v>
      </c>
      <c r="BU84" s="9">
        <f t="shared" si="20"/>
        <v>0</v>
      </c>
      <c r="BV84" s="12">
        <f t="shared" si="21"/>
        <v>4.7187128644676692E-3</v>
      </c>
      <c r="BX84" s="12">
        <f t="shared" si="22"/>
        <v>0</v>
      </c>
      <c r="BY84" s="12">
        <f t="shared" si="23"/>
        <v>1.2859996102868507E-2</v>
      </c>
    </row>
    <row r="85" spans="1:77" x14ac:dyDescent="0.3">
      <c r="A85" s="1">
        <v>46146</v>
      </c>
      <c r="B85" s="8">
        <v>18.91</v>
      </c>
      <c r="C85" s="8">
        <v>31.26</v>
      </c>
      <c r="D85" s="9">
        <v>-4.7480964960743199E-3</v>
      </c>
      <c r="E85" s="9">
        <v>-4.7869885572245797E-3</v>
      </c>
      <c r="F85" s="8">
        <v>0</v>
      </c>
      <c r="G85" s="8">
        <v>0.4</v>
      </c>
      <c r="H85" s="8">
        <v>0</v>
      </c>
      <c r="I85" s="8">
        <v>0.49070000000000003</v>
      </c>
      <c r="J85" s="8">
        <v>0.4</v>
      </c>
      <c r="K85" s="8">
        <v>0.49070000000000003</v>
      </c>
      <c r="L85" s="8">
        <v>19.309999999999999</v>
      </c>
      <c r="M85" s="8">
        <v>31.750699999999998</v>
      </c>
      <c r="N85" s="10">
        <v>1.6530936012691699</v>
      </c>
      <c r="O85" s="10">
        <v>1.64495540501874</v>
      </c>
      <c r="P85" s="10">
        <v>1.65078430981818</v>
      </c>
      <c r="Q85" s="10">
        <v>1.6501789727082901</v>
      </c>
      <c r="R85" s="8">
        <v>31.106106708904299</v>
      </c>
      <c r="S85" s="8">
        <v>31.217792634800801</v>
      </c>
      <c r="T85" s="8">
        <v>31.2032135563718</v>
      </c>
      <c r="U85" s="9">
        <v>-4.93516788419623E-3</v>
      </c>
      <c r="V85" s="9">
        <v>-1.3511159674523699E-3</v>
      </c>
      <c r="W85" s="9">
        <v>-1.81823688022255E-3</v>
      </c>
      <c r="X85" s="10">
        <v>1.6442620403935699</v>
      </c>
      <c r="Y85" s="10">
        <v>1.6378015347179899</v>
      </c>
      <c r="Z85" s="10">
        <v>1.6430333451265899</v>
      </c>
      <c r="AA85" s="10">
        <v>1.64252802436747</v>
      </c>
      <c r="AB85" s="8">
        <v>31.625947635404501</v>
      </c>
      <c r="AC85" s="8">
        <v>31.7309438943945</v>
      </c>
      <c r="AD85" s="8">
        <v>31.716578390813002</v>
      </c>
      <c r="AE85" s="9">
        <v>-3.9368609851330996E-3</v>
      </c>
      <c r="AF85" s="9">
        <v>-6.2241949109217802E-4</v>
      </c>
      <c r="AG85" s="9">
        <v>-1.0752505334913299E-3</v>
      </c>
      <c r="AZ85" s="9"/>
      <c r="BB85">
        <f t="shared" si="6"/>
        <v>0</v>
      </c>
      <c r="BC85">
        <f t="shared" si="7"/>
        <v>1</v>
      </c>
      <c r="BD85">
        <f t="shared" si="8"/>
        <v>0</v>
      </c>
      <c r="BE85">
        <f t="shared" si="4"/>
        <v>1</v>
      </c>
      <c r="BF85">
        <f t="shared" si="9"/>
        <v>0</v>
      </c>
      <c r="BG85" s="9">
        <f t="shared" si="10"/>
        <v>0</v>
      </c>
      <c r="BH85" s="9">
        <f t="shared" si="11"/>
        <v>0</v>
      </c>
      <c r="BI85" s="9">
        <f t="shared" si="12"/>
        <v>0</v>
      </c>
      <c r="BJ85" s="12">
        <f t="shared" si="13"/>
        <v>8.1412832384008382E-3</v>
      </c>
      <c r="BL85" s="9"/>
      <c r="BN85">
        <f t="shared" si="14"/>
        <v>0</v>
      </c>
      <c r="BO85">
        <f t="shared" si="15"/>
        <v>1</v>
      </c>
      <c r="BP85">
        <f t="shared" si="16"/>
        <v>0</v>
      </c>
      <c r="BQ85">
        <f t="shared" si="5"/>
        <v>1</v>
      </c>
      <c r="BR85">
        <f t="shared" si="17"/>
        <v>0</v>
      </c>
      <c r="BS85" s="9">
        <f t="shared" si="18"/>
        <v>0</v>
      </c>
      <c r="BT85" s="9">
        <f t="shared" si="19"/>
        <v>0</v>
      </c>
      <c r="BU85" s="9">
        <f t="shared" si="20"/>
        <v>0</v>
      </c>
      <c r="BV85" s="12">
        <f t="shared" si="21"/>
        <v>4.7187128644676692E-3</v>
      </c>
      <c r="BX85" s="12">
        <f t="shared" si="22"/>
        <v>0</v>
      </c>
      <c r="BY85" s="12">
        <f t="shared" si="23"/>
        <v>1.2859996102868507E-2</v>
      </c>
    </row>
    <row r="86" spans="1:77" x14ac:dyDescent="0.3">
      <c r="A86" s="1">
        <v>46147</v>
      </c>
      <c r="B86" s="8">
        <v>18.95</v>
      </c>
      <c r="C86" s="8">
        <v>31.45</v>
      </c>
      <c r="D86" s="9">
        <v>2.1130488580692599E-3</v>
      </c>
      <c r="E86" s="9">
        <v>6.0596581531188101E-3</v>
      </c>
      <c r="F86" s="8">
        <v>0</v>
      </c>
      <c r="G86" s="8">
        <v>0.4</v>
      </c>
      <c r="H86" s="8">
        <v>0</v>
      </c>
      <c r="I86" s="8">
        <v>0.49070000000000003</v>
      </c>
      <c r="J86" s="8">
        <v>0.4</v>
      </c>
      <c r="K86" s="8">
        <v>0.49070000000000003</v>
      </c>
      <c r="L86" s="8">
        <v>19.349999999999898</v>
      </c>
      <c r="M86" s="8">
        <v>31.9407</v>
      </c>
      <c r="N86" s="10">
        <v>1.6596306068601501</v>
      </c>
      <c r="O86" s="10">
        <v>1.64495540501874</v>
      </c>
      <c r="P86" s="10">
        <v>1.6513688633575601</v>
      </c>
      <c r="Q86" s="10">
        <v>1.6509424782266899</v>
      </c>
      <c r="R86" s="8">
        <v>31.1719049251051</v>
      </c>
      <c r="S86" s="8">
        <v>31.282362671054599</v>
      </c>
      <c r="T86" s="8">
        <v>31.270891532822102</v>
      </c>
      <c r="U86" s="9">
        <v>-8.8817771792460195E-3</v>
      </c>
      <c r="V86" s="9">
        <v>-5.3445373597037597E-3</v>
      </c>
      <c r="W86" s="9">
        <v>-5.7113012797293302E-3</v>
      </c>
      <c r="X86" s="10">
        <v>1.65068217054263</v>
      </c>
      <c r="Y86" s="10">
        <v>1.6378015347179899</v>
      </c>
      <c r="Z86" s="10">
        <v>1.6434824897472999</v>
      </c>
      <c r="AA86" s="10">
        <v>1.6432235773980599</v>
      </c>
      <c r="AB86" s="8">
        <v>31.691459696793199</v>
      </c>
      <c r="AC86" s="8">
        <v>31.792695228199602</v>
      </c>
      <c r="AD86" s="8">
        <v>31.782917271510598</v>
      </c>
      <c r="AE86" s="9">
        <v>-7.8338242493931395E-3</v>
      </c>
      <c r="AF86" s="9">
        <v>-4.6445050456359101E-3</v>
      </c>
      <c r="AG86" s="9">
        <v>-4.95210591274786E-3</v>
      </c>
      <c r="AZ86" s="9"/>
      <c r="BB86">
        <f t="shared" si="6"/>
        <v>0</v>
      </c>
      <c r="BC86">
        <f t="shared" si="7"/>
        <v>0</v>
      </c>
      <c r="BD86">
        <f t="shared" si="8"/>
        <v>0</v>
      </c>
      <c r="BE86">
        <f t="shared" ref="BE86:BE149" si="24">IF(F87+H87&gt;0,0,1)</f>
        <v>1</v>
      </c>
      <c r="BF86">
        <f t="shared" si="9"/>
        <v>0</v>
      </c>
      <c r="BG86" s="9">
        <f t="shared" si="10"/>
        <v>0</v>
      </c>
      <c r="BH86" s="9">
        <f t="shared" si="11"/>
        <v>0</v>
      </c>
      <c r="BI86" s="9">
        <f t="shared" si="12"/>
        <v>0</v>
      </c>
      <c r="BJ86" s="12">
        <f t="shared" si="13"/>
        <v>8.1412832384008382E-3</v>
      </c>
      <c r="BL86" s="9"/>
      <c r="BN86">
        <f t="shared" si="14"/>
        <v>0</v>
      </c>
      <c r="BO86">
        <f t="shared" si="15"/>
        <v>1</v>
      </c>
      <c r="BP86">
        <f t="shared" si="16"/>
        <v>0</v>
      </c>
      <c r="BQ86">
        <f t="shared" ref="BQ86:BQ149" si="25">IF(F87+H87&gt;0,0,1)</f>
        <v>1</v>
      </c>
      <c r="BR86">
        <f t="shared" si="17"/>
        <v>0</v>
      </c>
      <c r="BS86" s="9">
        <f t="shared" si="18"/>
        <v>0</v>
      </c>
      <c r="BT86" s="9">
        <f t="shared" si="19"/>
        <v>0</v>
      </c>
      <c r="BU86" s="9">
        <f t="shared" si="20"/>
        <v>0</v>
      </c>
      <c r="BV86" s="12">
        <f t="shared" si="21"/>
        <v>4.7187128644676692E-3</v>
      </c>
      <c r="BX86" s="12">
        <f t="shared" si="22"/>
        <v>0</v>
      </c>
      <c r="BY86" s="12">
        <f t="shared" si="23"/>
        <v>1.2859996102868507E-2</v>
      </c>
    </row>
    <row r="87" spans="1:77" x14ac:dyDescent="0.3">
      <c r="A87" s="1">
        <v>46148</v>
      </c>
      <c r="B87" s="8">
        <v>19.079999999999998</v>
      </c>
      <c r="C87" s="8">
        <v>31.61</v>
      </c>
      <c r="D87" s="9">
        <v>6.8367344917051398E-3</v>
      </c>
      <c r="E87" s="9">
        <v>5.0745430810767503E-3</v>
      </c>
      <c r="F87" s="8">
        <v>0</v>
      </c>
      <c r="G87" s="8">
        <v>0.4</v>
      </c>
      <c r="H87" s="8">
        <v>0</v>
      </c>
      <c r="I87" s="8">
        <v>0.49070000000000003</v>
      </c>
      <c r="J87" s="8">
        <v>0.4</v>
      </c>
      <c r="K87" s="8">
        <v>0.49070000000000003</v>
      </c>
      <c r="L87" s="8">
        <v>19.479999999999901</v>
      </c>
      <c r="M87" s="8">
        <v>32.100699999999897</v>
      </c>
      <c r="N87" s="10">
        <v>1.65670859538784</v>
      </c>
      <c r="O87" s="10">
        <v>1.64495540501874</v>
      </c>
      <c r="P87" s="10">
        <v>1.65154602541735</v>
      </c>
      <c r="Q87" s="10">
        <v>1.6514092048878299</v>
      </c>
      <c r="R87" s="8">
        <v>31.385749127757499</v>
      </c>
      <c r="S87" s="8">
        <v>31.5081179128623</v>
      </c>
      <c r="T87" s="8">
        <v>31.499982484565301</v>
      </c>
      <c r="U87" s="9">
        <v>-7.1195857686177999E-3</v>
      </c>
      <c r="V87" s="9">
        <v>-3.2283020784084899E-3</v>
      </c>
      <c r="W87" s="9">
        <v>-3.48653644163926E-3</v>
      </c>
      <c r="X87" s="10">
        <v>1.64787987679671</v>
      </c>
      <c r="Y87" s="10">
        <v>1.6378015347179899</v>
      </c>
      <c r="Z87" s="10">
        <v>1.6435321113463099</v>
      </c>
      <c r="AA87" s="10">
        <v>1.6436281197611</v>
      </c>
      <c r="AB87" s="8">
        <v>31.904373896306598</v>
      </c>
      <c r="AC87" s="8">
        <v>32.015038900277403</v>
      </c>
      <c r="AD87" s="8">
        <v>32.009995287714197</v>
      </c>
      <c r="AE87" s="9">
        <v>-6.13472362319547E-3</v>
      </c>
      <c r="AF87" s="9">
        <v>-2.67207871765127E-3</v>
      </c>
      <c r="AG87" s="9">
        <v>-2.8296299829518E-3</v>
      </c>
      <c r="AZ87" s="9"/>
      <c r="BB87">
        <f t="shared" ref="BB87:BB150" si="26">IF($AG87&lt;BA$20,1,0)</f>
        <v>0</v>
      </c>
      <c r="BC87">
        <f t="shared" ref="BC87:BC150" si="27">IF($AG87&gt;BA$21,1,0)</f>
        <v>1</v>
      </c>
      <c r="BD87">
        <f t="shared" ref="BD87:BD150" si="28">BF87</f>
        <v>0</v>
      </c>
      <c r="BE87">
        <f t="shared" si="24"/>
        <v>1</v>
      </c>
      <c r="BF87">
        <f t="shared" ref="BF87:BF150" si="29">IF(BB86,1,IF(BC86,0,BD86))*BE86</f>
        <v>0</v>
      </c>
      <c r="BG87" s="9">
        <f t="shared" ref="BG87:BG150" si="30">BF87*D87</f>
        <v>0</v>
      </c>
      <c r="BH87" s="9">
        <f t="shared" ref="BH87:BH150" si="31">-BF87*$E87</f>
        <v>0</v>
      </c>
      <c r="BI87" s="9">
        <f t="shared" ref="BI87:BI150" si="32">BG87+BH87</f>
        <v>0</v>
      </c>
      <c r="BJ87" s="12">
        <f t="shared" ref="BJ87:BJ150" si="33">BJ86+BI87</f>
        <v>8.1412832384008382E-3</v>
      </c>
      <c r="BL87" s="9"/>
      <c r="BN87">
        <f t="shared" ref="BN87:BN150" si="34">IF($AG87&gt;BM$20,1,0)</f>
        <v>0</v>
      </c>
      <c r="BO87">
        <f t="shared" ref="BO87:BO150" si="35">IF($AG87&lt;BM$21,1,0)</f>
        <v>1</v>
      </c>
      <c r="BP87">
        <f t="shared" ref="BP87:BP150" si="36">BR87</f>
        <v>0</v>
      </c>
      <c r="BQ87">
        <f t="shared" si="25"/>
        <v>1</v>
      </c>
      <c r="BR87">
        <f t="shared" ref="BR87:BR150" si="37">IF(BN86,1,IF(BO86,0,BP86))*BQ86</f>
        <v>0</v>
      </c>
      <c r="BS87" s="9">
        <f t="shared" ref="BS87:BS150" si="38">-BR87*D87</f>
        <v>0</v>
      </c>
      <c r="BT87" s="9">
        <f t="shared" ref="BT87:BT150" si="39">BR87*$E87</f>
        <v>0</v>
      </c>
      <c r="BU87" s="9">
        <f t="shared" ref="BU87:BU150" si="40">BS87+BT87</f>
        <v>0</v>
      </c>
      <c r="BV87" s="12">
        <f t="shared" ref="BV87:BV150" si="41">BV86+BU87</f>
        <v>4.7187128644676692E-3</v>
      </c>
      <c r="BX87" s="12">
        <f t="shared" ref="BX87:BX150" si="42">BI87+BU87</f>
        <v>0</v>
      </c>
      <c r="BY87" s="12">
        <f t="shared" ref="BY87:BY150" si="43">BY86+BX87</f>
        <v>1.2859996102868507E-2</v>
      </c>
    </row>
    <row r="88" spans="1:77" x14ac:dyDescent="0.3">
      <c r="A88" s="1">
        <v>46149</v>
      </c>
      <c r="B88" s="8">
        <v>19</v>
      </c>
      <c r="C88" s="8">
        <v>31.52</v>
      </c>
      <c r="D88" s="9">
        <v>-4.2016868536999697E-3</v>
      </c>
      <c r="E88" s="9">
        <v>-2.8512612378479999E-3</v>
      </c>
      <c r="F88" s="8">
        <v>0</v>
      </c>
      <c r="G88" s="8">
        <v>0.4</v>
      </c>
      <c r="H88" s="8">
        <v>0</v>
      </c>
      <c r="I88" s="8">
        <v>0.49070000000000003</v>
      </c>
      <c r="J88" s="8">
        <v>0.4</v>
      </c>
      <c r="K88" s="8">
        <v>0.49070000000000003</v>
      </c>
      <c r="L88" s="8">
        <v>19.399999999999999</v>
      </c>
      <c r="M88" s="8">
        <v>32.0107</v>
      </c>
      <c r="N88" s="10">
        <v>1.6589473684210501</v>
      </c>
      <c r="O88" s="10">
        <v>1.64495540501874</v>
      </c>
      <c r="P88" s="10">
        <v>1.65231228821646</v>
      </c>
      <c r="Q88" s="10">
        <v>1.6522042025044099</v>
      </c>
      <c r="R88" s="8">
        <v>31.254152695356002</v>
      </c>
      <c r="S88" s="8">
        <v>31.379374482929801</v>
      </c>
      <c r="T88" s="8">
        <v>31.376774892868799</v>
      </c>
      <c r="U88" s="9">
        <v>-8.4700113844696605E-3</v>
      </c>
      <c r="V88" s="9">
        <v>-4.4714515058460599E-3</v>
      </c>
      <c r="W88" s="9">
        <v>-4.55429884712926E-3</v>
      </c>
      <c r="X88" s="10">
        <v>1.65003608247422</v>
      </c>
      <c r="Y88" s="10">
        <v>1.6378015347179899</v>
      </c>
      <c r="Z88" s="10">
        <v>1.64415575056946</v>
      </c>
      <c r="AA88" s="10">
        <v>1.6443512138690799</v>
      </c>
      <c r="AB88" s="8">
        <v>31.773349773529102</v>
      </c>
      <c r="AC88" s="8">
        <v>31.884522960118399</v>
      </c>
      <c r="AD88" s="8">
        <v>31.886385523365401</v>
      </c>
      <c r="AE88" s="9">
        <v>-7.4423409253802798E-3</v>
      </c>
      <c r="AF88" s="9">
        <v>-3.94950351689003E-3</v>
      </c>
      <c r="AG88" s="9">
        <v>-3.8910893185725502E-3</v>
      </c>
      <c r="AZ88" s="9"/>
      <c r="BB88">
        <f t="shared" si="26"/>
        <v>0</v>
      </c>
      <c r="BC88">
        <f t="shared" si="27"/>
        <v>0</v>
      </c>
      <c r="BD88">
        <f t="shared" si="28"/>
        <v>0</v>
      </c>
      <c r="BE88">
        <f t="shared" si="24"/>
        <v>1</v>
      </c>
      <c r="BF88">
        <f t="shared" si="29"/>
        <v>0</v>
      </c>
      <c r="BG88" s="9">
        <f t="shared" si="30"/>
        <v>0</v>
      </c>
      <c r="BH88" s="9">
        <f t="shared" si="31"/>
        <v>0</v>
      </c>
      <c r="BI88" s="9">
        <f t="shared" si="32"/>
        <v>0</v>
      </c>
      <c r="BJ88" s="12">
        <f t="shared" si="33"/>
        <v>8.1412832384008382E-3</v>
      </c>
      <c r="BL88" s="9"/>
      <c r="BN88">
        <f t="shared" si="34"/>
        <v>0</v>
      </c>
      <c r="BO88">
        <f t="shared" si="35"/>
        <v>1</v>
      </c>
      <c r="BP88">
        <f t="shared" si="36"/>
        <v>0</v>
      </c>
      <c r="BQ88">
        <f t="shared" si="25"/>
        <v>1</v>
      </c>
      <c r="BR88">
        <f t="shared" si="37"/>
        <v>0</v>
      </c>
      <c r="BS88" s="9">
        <f t="shared" si="38"/>
        <v>0</v>
      </c>
      <c r="BT88" s="9">
        <f t="shared" si="39"/>
        <v>0</v>
      </c>
      <c r="BU88" s="9">
        <f t="shared" si="40"/>
        <v>0</v>
      </c>
      <c r="BV88" s="12">
        <f t="shared" si="41"/>
        <v>4.7187128644676692E-3</v>
      </c>
      <c r="BX88" s="12">
        <f t="shared" si="42"/>
        <v>0</v>
      </c>
      <c r="BY88" s="12">
        <f t="shared" si="43"/>
        <v>1.2859996102868507E-2</v>
      </c>
    </row>
    <row r="89" spans="1:77" x14ac:dyDescent="0.3">
      <c r="A89" s="1">
        <v>46150</v>
      </c>
      <c r="B89" s="8">
        <v>19.14</v>
      </c>
      <c r="C89" s="8">
        <v>31.72</v>
      </c>
      <c r="D89" s="9">
        <v>7.3414068583678499E-3</v>
      </c>
      <c r="E89" s="9">
        <v>6.32513177696879E-3</v>
      </c>
      <c r="F89" s="8">
        <v>0</v>
      </c>
      <c r="G89" s="8">
        <v>0.4</v>
      </c>
      <c r="H89" s="8">
        <v>0</v>
      </c>
      <c r="I89" s="8">
        <v>0.49070000000000003</v>
      </c>
      <c r="J89" s="8">
        <v>0.4</v>
      </c>
      <c r="K89" s="8">
        <v>0.49070000000000003</v>
      </c>
      <c r="L89" s="8">
        <v>19.54</v>
      </c>
      <c r="M89" s="8">
        <v>32.210699999999903</v>
      </c>
      <c r="N89" s="10">
        <v>1.6572622779519299</v>
      </c>
      <c r="O89" s="10">
        <v>1.64495540501874</v>
      </c>
      <c r="P89" s="10">
        <v>1.6531849595263</v>
      </c>
      <c r="Q89" s="10">
        <v>1.652872975772</v>
      </c>
      <c r="R89" s="8">
        <v>31.484446452058599</v>
      </c>
      <c r="S89" s="8">
        <v>31.6252571964631</v>
      </c>
      <c r="T89" s="8">
        <v>31.623188435934399</v>
      </c>
      <c r="U89" s="9">
        <v>-7.45373630307084E-3</v>
      </c>
      <c r="V89" s="9">
        <v>-2.9913170575468599E-3</v>
      </c>
      <c r="W89" s="9">
        <v>-3.0567340178774601E-3</v>
      </c>
      <c r="X89" s="10">
        <v>1.64844933469805</v>
      </c>
      <c r="Y89" s="10">
        <v>1.6378015347179899</v>
      </c>
      <c r="Z89" s="10">
        <v>1.64488945849859</v>
      </c>
      <c r="AA89" s="10">
        <v>1.64495444781365</v>
      </c>
      <c r="AB89" s="8">
        <v>32.002641988389698</v>
      </c>
      <c r="AC89" s="8">
        <v>32.126803366127398</v>
      </c>
      <c r="AD89" s="8">
        <v>32.130622719001899</v>
      </c>
      <c r="AE89" s="9">
        <v>-6.4802339593717203E-3</v>
      </c>
      <c r="AF89" s="9">
        <v>-2.6080179378066E-3</v>
      </c>
      <c r="AG89" s="9">
        <v>-2.4891413157050301E-3</v>
      </c>
      <c r="AZ89" s="9"/>
      <c r="BB89">
        <f t="shared" si="26"/>
        <v>0</v>
      </c>
      <c r="BC89">
        <f t="shared" si="27"/>
        <v>1</v>
      </c>
      <c r="BD89">
        <f t="shared" si="28"/>
        <v>0</v>
      </c>
      <c r="BE89">
        <f t="shared" si="24"/>
        <v>1</v>
      </c>
      <c r="BF89">
        <f t="shared" si="29"/>
        <v>0</v>
      </c>
      <c r="BG89" s="9">
        <f t="shared" si="30"/>
        <v>0</v>
      </c>
      <c r="BH89" s="9">
        <f t="shared" si="31"/>
        <v>0</v>
      </c>
      <c r="BI89" s="9">
        <f t="shared" si="32"/>
        <v>0</v>
      </c>
      <c r="BJ89" s="12">
        <f t="shared" si="33"/>
        <v>8.1412832384008382E-3</v>
      </c>
      <c r="BL89" s="9"/>
      <c r="BN89">
        <f t="shared" si="34"/>
        <v>0</v>
      </c>
      <c r="BO89">
        <f t="shared" si="35"/>
        <v>1</v>
      </c>
      <c r="BP89">
        <f t="shared" si="36"/>
        <v>0</v>
      </c>
      <c r="BQ89">
        <f t="shared" si="25"/>
        <v>1</v>
      </c>
      <c r="BR89">
        <f t="shared" si="37"/>
        <v>0</v>
      </c>
      <c r="BS89" s="9">
        <f t="shared" si="38"/>
        <v>0</v>
      </c>
      <c r="BT89" s="9">
        <f t="shared" si="39"/>
        <v>0</v>
      </c>
      <c r="BU89" s="9">
        <f t="shared" si="40"/>
        <v>0</v>
      </c>
      <c r="BV89" s="12">
        <f t="shared" si="41"/>
        <v>4.7187128644676692E-3</v>
      </c>
      <c r="BX89" s="12">
        <f t="shared" si="42"/>
        <v>0</v>
      </c>
      <c r="BY89" s="12">
        <f t="shared" si="43"/>
        <v>1.2859996102868507E-2</v>
      </c>
    </row>
    <row r="90" spans="1:77" x14ac:dyDescent="0.3">
      <c r="A90" s="1">
        <v>46153</v>
      </c>
      <c r="B90" s="8">
        <v>19.059999999999999</v>
      </c>
      <c r="C90" s="8">
        <v>31.68</v>
      </c>
      <c r="D90" s="9">
        <v>-4.18848779875224E-3</v>
      </c>
      <c r="E90" s="9">
        <v>-1.2618298204220501E-3</v>
      </c>
      <c r="F90" s="8">
        <v>0</v>
      </c>
      <c r="G90" s="8">
        <v>0.4</v>
      </c>
      <c r="H90" s="8">
        <v>0</v>
      </c>
      <c r="I90" s="8">
        <v>0.49070000000000003</v>
      </c>
      <c r="J90" s="8">
        <v>0.4</v>
      </c>
      <c r="K90" s="8">
        <v>0.49070000000000003</v>
      </c>
      <c r="L90" s="8">
        <v>19.459999999999901</v>
      </c>
      <c r="M90" s="8">
        <v>32.170699999999997</v>
      </c>
      <c r="N90" s="10">
        <v>1.6621196222455401</v>
      </c>
      <c r="O90" s="10">
        <v>1.64495540501874</v>
      </c>
      <c r="P90" s="10">
        <v>1.65426844770785</v>
      </c>
      <c r="Q90" s="10">
        <v>1.6536900561938901</v>
      </c>
      <c r="R90" s="8">
        <v>31.352850019657101</v>
      </c>
      <c r="S90" s="8">
        <v>31.5097053285713</v>
      </c>
      <c r="T90" s="8">
        <v>31.503758918214299</v>
      </c>
      <c r="U90" s="9">
        <v>-1.03803942814009E-2</v>
      </c>
      <c r="V90" s="9">
        <v>-5.3899629005115498E-3</v>
      </c>
      <c r="W90" s="9">
        <v>-5.5786974970203299E-3</v>
      </c>
      <c r="X90" s="10">
        <v>1.6531706063720399</v>
      </c>
      <c r="Y90" s="10">
        <v>1.6378015347179899</v>
      </c>
      <c r="Z90" s="10">
        <v>1.6458265501115299</v>
      </c>
      <c r="AA90" s="10">
        <v>1.64569870735337</v>
      </c>
      <c r="AB90" s="8">
        <v>31.871617865612201</v>
      </c>
      <c r="AC90" s="8">
        <v>32.009548862382601</v>
      </c>
      <c r="AD90" s="8">
        <v>32.010813554453698</v>
      </c>
      <c r="AE90" s="9">
        <v>-9.3402087453119797E-3</v>
      </c>
      <c r="AF90" s="9">
        <v>-5.0218401811952598E-3</v>
      </c>
      <c r="AG90" s="9">
        <v>-4.9823311242798004E-3</v>
      </c>
      <c r="AZ90" s="9"/>
      <c r="BB90">
        <f t="shared" si="26"/>
        <v>0</v>
      </c>
      <c r="BC90">
        <f t="shared" si="27"/>
        <v>0</v>
      </c>
      <c r="BD90">
        <f t="shared" si="28"/>
        <v>0</v>
      </c>
      <c r="BE90">
        <f t="shared" si="24"/>
        <v>1</v>
      </c>
      <c r="BF90">
        <f t="shared" si="29"/>
        <v>0</v>
      </c>
      <c r="BG90" s="9">
        <f t="shared" si="30"/>
        <v>0</v>
      </c>
      <c r="BH90" s="9">
        <f t="shared" si="31"/>
        <v>0</v>
      </c>
      <c r="BI90" s="9">
        <f t="shared" si="32"/>
        <v>0</v>
      </c>
      <c r="BJ90" s="12">
        <f t="shared" si="33"/>
        <v>8.1412832384008382E-3</v>
      </c>
      <c r="BL90" s="9"/>
      <c r="BN90">
        <f t="shared" si="34"/>
        <v>0</v>
      </c>
      <c r="BO90">
        <f t="shared" si="35"/>
        <v>1</v>
      </c>
      <c r="BP90">
        <f t="shared" si="36"/>
        <v>0</v>
      </c>
      <c r="BQ90">
        <f t="shared" si="25"/>
        <v>1</v>
      </c>
      <c r="BR90">
        <f t="shared" si="37"/>
        <v>0</v>
      </c>
      <c r="BS90" s="9">
        <f t="shared" si="38"/>
        <v>0</v>
      </c>
      <c r="BT90" s="9">
        <f t="shared" si="39"/>
        <v>0</v>
      </c>
      <c r="BU90" s="9">
        <f t="shared" si="40"/>
        <v>0</v>
      </c>
      <c r="BV90" s="12">
        <f t="shared" si="41"/>
        <v>4.7187128644676692E-3</v>
      </c>
      <c r="BX90" s="12">
        <f t="shared" si="42"/>
        <v>0</v>
      </c>
      <c r="BY90" s="12">
        <f t="shared" si="43"/>
        <v>1.2859996102868507E-2</v>
      </c>
    </row>
    <row r="91" spans="1:77" x14ac:dyDescent="0.3">
      <c r="A91" s="1">
        <v>46154</v>
      </c>
      <c r="B91" s="8">
        <v>19.079999999999998</v>
      </c>
      <c r="C91" s="8">
        <v>31.57</v>
      </c>
      <c r="D91" s="9">
        <v>1.0487677940844301E-3</v>
      </c>
      <c r="E91" s="9">
        <v>-3.4782643763247999E-3</v>
      </c>
      <c r="F91" s="8">
        <v>0</v>
      </c>
      <c r="G91" s="8">
        <v>0.4</v>
      </c>
      <c r="H91" s="8">
        <v>0</v>
      </c>
      <c r="I91" s="8">
        <v>0.49070000000000003</v>
      </c>
      <c r="J91" s="8">
        <v>0.4</v>
      </c>
      <c r="K91" s="8">
        <v>0.49070000000000003</v>
      </c>
      <c r="L91" s="8">
        <v>19.479999999999901</v>
      </c>
      <c r="M91" s="8">
        <v>32.060699999999997</v>
      </c>
      <c r="N91" s="10">
        <v>1.6546121593291401</v>
      </c>
      <c r="O91" s="10">
        <v>1.64495540501874</v>
      </c>
      <c r="P91" s="10">
        <v>1.6550454531144501</v>
      </c>
      <c r="Q91" s="10">
        <v>1.65387972385395</v>
      </c>
      <c r="R91" s="8">
        <v>31.385749127757499</v>
      </c>
      <c r="S91" s="8">
        <v>31.5634419822659</v>
      </c>
      <c r="T91" s="8">
        <v>31.5524062721794</v>
      </c>
      <c r="U91" s="9">
        <v>-5.85336211099178E-3</v>
      </c>
      <c r="V91" s="9">
        <v>-2.0775099699221801E-4</v>
      </c>
      <c r="W91" s="9">
        <v>-5.5744795913852704E-4</v>
      </c>
      <c r="X91" s="10">
        <v>1.6458264887063601</v>
      </c>
      <c r="Y91" s="10">
        <v>1.6378015347179899</v>
      </c>
      <c r="Z91" s="10">
        <v>1.64646930260911</v>
      </c>
      <c r="AA91" s="10">
        <v>1.64582570521563</v>
      </c>
      <c r="AB91" s="8">
        <v>31.904373896306598</v>
      </c>
      <c r="AC91" s="8">
        <v>32.060701196172701</v>
      </c>
      <c r="AD91" s="8">
        <v>32.058210819243698</v>
      </c>
      <c r="AE91" s="9">
        <v>-4.8878678755913396E-3</v>
      </c>
      <c r="AF91" s="9">
        <v>3.7309624693166197E-8</v>
      </c>
      <c r="AG91" s="9">
        <v>-7.7642640078400899E-5</v>
      </c>
      <c r="AZ91" s="9"/>
      <c r="BB91">
        <f t="shared" si="26"/>
        <v>0</v>
      </c>
      <c r="BC91">
        <f t="shared" si="27"/>
        <v>1</v>
      </c>
      <c r="BD91">
        <f t="shared" si="28"/>
        <v>0</v>
      </c>
      <c r="BE91">
        <f t="shared" si="24"/>
        <v>1</v>
      </c>
      <c r="BF91">
        <f t="shared" si="29"/>
        <v>0</v>
      </c>
      <c r="BG91" s="9">
        <f t="shared" si="30"/>
        <v>0</v>
      </c>
      <c r="BH91" s="9">
        <f t="shared" si="31"/>
        <v>0</v>
      </c>
      <c r="BI91" s="9">
        <f t="shared" si="32"/>
        <v>0</v>
      </c>
      <c r="BJ91" s="12">
        <f t="shared" si="33"/>
        <v>8.1412832384008382E-3</v>
      </c>
      <c r="BL91" s="9"/>
      <c r="BN91">
        <f t="shared" si="34"/>
        <v>0</v>
      </c>
      <c r="BO91">
        <f t="shared" si="35"/>
        <v>1</v>
      </c>
      <c r="BP91">
        <f t="shared" si="36"/>
        <v>0</v>
      </c>
      <c r="BQ91">
        <f t="shared" si="25"/>
        <v>1</v>
      </c>
      <c r="BR91">
        <f t="shared" si="37"/>
        <v>0</v>
      </c>
      <c r="BS91" s="9">
        <f t="shared" si="38"/>
        <v>0</v>
      </c>
      <c r="BT91" s="9">
        <f t="shared" si="39"/>
        <v>0</v>
      </c>
      <c r="BU91" s="9">
        <f t="shared" si="40"/>
        <v>0</v>
      </c>
      <c r="BV91" s="12">
        <f t="shared" si="41"/>
        <v>4.7187128644676692E-3</v>
      </c>
      <c r="BX91" s="12">
        <f t="shared" si="42"/>
        <v>0</v>
      </c>
      <c r="BY91" s="12">
        <f t="shared" si="43"/>
        <v>1.2859996102868507E-2</v>
      </c>
    </row>
    <row r="92" spans="1:77" x14ac:dyDescent="0.3">
      <c r="A92" s="1">
        <v>46155</v>
      </c>
      <c r="B92" s="8">
        <v>19.03</v>
      </c>
      <c r="C92" s="8">
        <v>31.58</v>
      </c>
      <c r="D92" s="9">
        <v>-2.62398471208214E-3</v>
      </c>
      <c r="E92" s="9">
        <v>3.1670625759574398E-4</v>
      </c>
      <c r="F92" s="8">
        <v>0</v>
      </c>
      <c r="G92" s="8">
        <v>0.4</v>
      </c>
      <c r="H92" s="8">
        <v>0</v>
      </c>
      <c r="I92" s="8">
        <v>0.49070000000000003</v>
      </c>
      <c r="J92" s="8">
        <v>0.4</v>
      </c>
      <c r="K92" s="8">
        <v>0.49070000000000003</v>
      </c>
      <c r="L92" s="8">
        <v>19.43</v>
      </c>
      <c r="M92" s="8">
        <v>32.070699999999903</v>
      </c>
      <c r="N92" s="10">
        <v>1.6594850236468699</v>
      </c>
      <c r="O92" s="10">
        <v>1.64495540501874</v>
      </c>
      <c r="P92" s="10">
        <v>1.6562476552677201</v>
      </c>
      <c r="Q92" s="10">
        <v>1.6543276592468199</v>
      </c>
      <c r="R92" s="8">
        <v>31.303501357506601</v>
      </c>
      <c r="S92" s="8">
        <v>31.495514972767999</v>
      </c>
      <c r="T92" s="8">
        <v>31.473331144940701</v>
      </c>
      <c r="U92" s="9">
        <v>-8.7940530806695297E-3</v>
      </c>
      <c r="V92" s="9">
        <v>-2.6788549500480099E-3</v>
      </c>
      <c r="W92" s="9">
        <v>-3.3834519091096699E-3</v>
      </c>
      <c r="X92" s="10">
        <v>1.6505764282038</v>
      </c>
      <c r="Y92" s="10">
        <v>1.6378015347179899</v>
      </c>
      <c r="Z92" s="10">
        <v>1.64752902659494</v>
      </c>
      <c r="AA92" s="10">
        <v>1.64620323128903</v>
      </c>
      <c r="AB92" s="8">
        <v>31.822483819570699</v>
      </c>
      <c r="AC92" s="8">
        <v>31.9908985496951</v>
      </c>
      <c r="AD92" s="8">
        <v>31.978393452339699</v>
      </c>
      <c r="AE92" s="9">
        <v>-7.7697624161857798E-3</v>
      </c>
      <c r="AF92" s="9">
        <v>-2.4913986971691199E-3</v>
      </c>
      <c r="AG92" s="9">
        <v>-2.8823705876900598E-3</v>
      </c>
      <c r="AZ92" s="9"/>
      <c r="BB92">
        <f t="shared" si="26"/>
        <v>0</v>
      </c>
      <c r="BC92">
        <f t="shared" si="27"/>
        <v>1</v>
      </c>
      <c r="BD92">
        <f t="shared" si="28"/>
        <v>0</v>
      </c>
      <c r="BE92">
        <f t="shared" si="24"/>
        <v>1</v>
      </c>
      <c r="BF92">
        <f t="shared" si="29"/>
        <v>0</v>
      </c>
      <c r="BG92" s="9">
        <f t="shared" si="30"/>
        <v>0</v>
      </c>
      <c r="BH92" s="9">
        <f t="shared" si="31"/>
        <v>0</v>
      </c>
      <c r="BI92" s="9">
        <f t="shared" si="32"/>
        <v>0</v>
      </c>
      <c r="BJ92" s="12">
        <f t="shared" si="33"/>
        <v>8.1412832384008382E-3</v>
      </c>
      <c r="BL92" s="9"/>
      <c r="BN92">
        <f t="shared" si="34"/>
        <v>0</v>
      </c>
      <c r="BO92">
        <f t="shared" si="35"/>
        <v>1</v>
      </c>
      <c r="BP92">
        <f t="shared" si="36"/>
        <v>0</v>
      </c>
      <c r="BQ92">
        <f t="shared" si="25"/>
        <v>1</v>
      </c>
      <c r="BR92">
        <f t="shared" si="37"/>
        <v>0</v>
      </c>
      <c r="BS92" s="9">
        <f t="shared" si="38"/>
        <v>0</v>
      </c>
      <c r="BT92" s="9">
        <f t="shared" si="39"/>
        <v>0</v>
      </c>
      <c r="BU92" s="9">
        <f t="shared" si="40"/>
        <v>0</v>
      </c>
      <c r="BV92" s="12">
        <f t="shared" si="41"/>
        <v>4.7187128644676692E-3</v>
      </c>
      <c r="BX92" s="12">
        <f t="shared" si="42"/>
        <v>0</v>
      </c>
      <c r="BY92" s="12">
        <f t="shared" si="43"/>
        <v>1.2859996102868507E-2</v>
      </c>
    </row>
    <row r="93" spans="1:77" x14ac:dyDescent="0.3">
      <c r="A93" s="1">
        <v>46156</v>
      </c>
      <c r="B93" s="8">
        <v>19.05</v>
      </c>
      <c r="C93" s="8">
        <v>31.6</v>
      </c>
      <c r="D93" s="9">
        <v>1.0504202646517899E-3</v>
      </c>
      <c r="E93" s="9">
        <v>6.3311176537055795E-4</v>
      </c>
      <c r="F93" s="8">
        <v>0</v>
      </c>
      <c r="G93" s="8">
        <v>0.4</v>
      </c>
      <c r="H93" s="8">
        <v>0</v>
      </c>
      <c r="I93" s="8">
        <v>0.49070000000000003</v>
      </c>
      <c r="J93" s="8">
        <v>0.4</v>
      </c>
      <c r="K93" s="8">
        <v>0.49070000000000003</v>
      </c>
      <c r="L93" s="8">
        <v>19.45</v>
      </c>
      <c r="M93" s="8">
        <v>32.090699999999998</v>
      </c>
      <c r="N93" s="10">
        <v>1.6587926509186299</v>
      </c>
      <c r="O93" s="10">
        <v>1.64495540501874</v>
      </c>
      <c r="P93" s="10">
        <v>1.6573809800767101</v>
      </c>
      <c r="Q93" s="10">
        <v>1.65442752447387</v>
      </c>
      <c r="R93" s="8">
        <v>31.336400465606999</v>
      </c>
      <c r="S93" s="8">
        <v>31.551517832850099</v>
      </c>
      <c r="T93" s="8">
        <v>31.514941908651998</v>
      </c>
      <c r="U93" s="9">
        <v>-8.3767445813882693E-3</v>
      </c>
      <c r="V93" s="9">
        <v>-1.5354239561742799E-3</v>
      </c>
      <c r="W93" s="9">
        <v>-2.6953409215106001E-3</v>
      </c>
      <c r="X93" s="10">
        <v>1.6499074550128501</v>
      </c>
      <c r="Y93" s="10">
        <v>1.6378015347179899</v>
      </c>
      <c r="Z93" s="10">
        <v>1.64851564625817</v>
      </c>
      <c r="AA93" s="10">
        <v>1.64624050929735</v>
      </c>
      <c r="AB93" s="8">
        <v>31.855239850265001</v>
      </c>
      <c r="AC93" s="8">
        <v>32.044439567271702</v>
      </c>
      <c r="AD93" s="8">
        <v>32.018652848571698</v>
      </c>
      <c r="AE93" s="9">
        <v>-7.3643835543056703E-3</v>
      </c>
      <c r="AF93" s="9">
        <v>-1.4425926586577101E-3</v>
      </c>
      <c r="AG93" s="9">
        <v>-2.2476340364704999E-3</v>
      </c>
      <c r="AZ93" s="9"/>
      <c r="BB93">
        <f t="shared" si="26"/>
        <v>0</v>
      </c>
      <c r="BC93">
        <f t="shared" si="27"/>
        <v>1</v>
      </c>
      <c r="BD93">
        <f t="shared" si="28"/>
        <v>0</v>
      </c>
      <c r="BE93">
        <f t="shared" si="24"/>
        <v>1</v>
      </c>
      <c r="BF93">
        <f t="shared" si="29"/>
        <v>0</v>
      </c>
      <c r="BG93" s="9">
        <f t="shared" si="30"/>
        <v>0</v>
      </c>
      <c r="BH93" s="9">
        <f t="shared" si="31"/>
        <v>0</v>
      </c>
      <c r="BI93" s="9">
        <f t="shared" si="32"/>
        <v>0</v>
      </c>
      <c r="BJ93" s="12">
        <f t="shared" si="33"/>
        <v>8.1412832384008382E-3</v>
      </c>
      <c r="BL93" s="9"/>
      <c r="BN93">
        <f t="shared" si="34"/>
        <v>0</v>
      </c>
      <c r="BO93">
        <f t="shared" si="35"/>
        <v>1</v>
      </c>
      <c r="BP93">
        <f t="shared" si="36"/>
        <v>0</v>
      </c>
      <c r="BQ93">
        <f t="shared" si="25"/>
        <v>1</v>
      </c>
      <c r="BR93">
        <f t="shared" si="37"/>
        <v>0</v>
      </c>
      <c r="BS93" s="9">
        <f t="shared" si="38"/>
        <v>0</v>
      </c>
      <c r="BT93" s="9">
        <f t="shared" si="39"/>
        <v>0</v>
      </c>
      <c r="BU93" s="9">
        <f t="shared" si="40"/>
        <v>0</v>
      </c>
      <c r="BV93" s="12">
        <f t="shared" si="41"/>
        <v>4.7187128644676692E-3</v>
      </c>
      <c r="BX93" s="12">
        <f t="shared" si="42"/>
        <v>0</v>
      </c>
      <c r="BY93" s="12">
        <f t="shared" si="43"/>
        <v>1.2859996102868507E-2</v>
      </c>
    </row>
    <row r="94" spans="1:77" x14ac:dyDescent="0.3">
      <c r="A94" s="1">
        <v>46157</v>
      </c>
      <c r="B94" s="8">
        <v>18.84</v>
      </c>
      <c r="C94" s="8">
        <v>31.23</v>
      </c>
      <c r="D94" s="9">
        <v>-1.1084832424493001E-2</v>
      </c>
      <c r="E94" s="9">
        <v>-1.17779492978792E-2</v>
      </c>
      <c r="F94" s="8">
        <v>0</v>
      </c>
      <c r="G94" s="8">
        <v>0.4</v>
      </c>
      <c r="H94" s="8">
        <v>0</v>
      </c>
      <c r="I94" s="8">
        <v>0.49070000000000003</v>
      </c>
      <c r="J94" s="8">
        <v>0.4</v>
      </c>
      <c r="K94" s="8">
        <v>0.49070000000000003</v>
      </c>
      <c r="L94" s="8">
        <v>19.239999999999998</v>
      </c>
      <c r="M94" s="8">
        <v>31.720700000000001</v>
      </c>
      <c r="N94" s="10">
        <v>1.6576433121019101</v>
      </c>
      <c r="O94" s="10">
        <v>1.64495540501874</v>
      </c>
      <c r="P94" s="10">
        <v>1.65782952181322</v>
      </c>
      <c r="Q94" s="10">
        <v>1.6543455550578701</v>
      </c>
      <c r="R94" s="8">
        <v>30.990959830552999</v>
      </c>
      <c r="S94" s="8">
        <v>31.225057664645298</v>
      </c>
      <c r="T94" s="8">
        <v>31.169414561087802</v>
      </c>
      <c r="U94" s="9">
        <v>-7.6836277080019897E-3</v>
      </c>
      <c r="V94" s="9">
        <v>-1.5826853900208999E-4</v>
      </c>
      <c r="W94" s="9">
        <v>-1.94185981956228E-3</v>
      </c>
      <c r="X94" s="10">
        <v>1.6486850311850301</v>
      </c>
      <c r="Y94" s="10">
        <v>1.6378015347179899</v>
      </c>
      <c r="Z94" s="10">
        <v>1.6489475514385299</v>
      </c>
      <c r="AA94" s="10">
        <v>1.6460932447610701</v>
      </c>
      <c r="AB94" s="8">
        <v>31.511301527974201</v>
      </c>
      <c r="AC94" s="8">
        <v>31.717441034007201</v>
      </c>
      <c r="AD94" s="8">
        <v>31.673667398881101</v>
      </c>
      <c r="AE94" s="9">
        <v>-6.6232044672264803E-3</v>
      </c>
      <c r="AF94" s="9">
        <v>-1.02744687738524E-4</v>
      </c>
      <c r="AG94" s="9">
        <v>-1.4838103660606099E-3</v>
      </c>
      <c r="AZ94" s="9"/>
      <c r="BB94">
        <f t="shared" si="26"/>
        <v>0</v>
      </c>
      <c r="BC94">
        <f t="shared" si="27"/>
        <v>1</v>
      </c>
      <c r="BD94">
        <f t="shared" si="28"/>
        <v>0</v>
      </c>
      <c r="BE94">
        <f t="shared" si="24"/>
        <v>1</v>
      </c>
      <c r="BF94">
        <f t="shared" si="29"/>
        <v>0</v>
      </c>
      <c r="BG94" s="9">
        <f t="shared" si="30"/>
        <v>0</v>
      </c>
      <c r="BH94" s="9">
        <f t="shared" si="31"/>
        <v>0</v>
      </c>
      <c r="BI94" s="9">
        <f t="shared" si="32"/>
        <v>0</v>
      </c>
      <c r="BJ94" s="12">
        <f t="shared" si="33"/>
        <v>8.1412832384008382E-3</v>
      </c>
      <c r="BL94" s="9"/>
      <c r="BN94">
        <f t="shared" si="34"/>
        <v>0</v>
      </c>
      <c r="BO94">
        <f t="shared" si="35"/>
        <v>1</v>
      </c>
      <c r="BP94">
        <f t="shared" si="36"/>
        <v>0</v>
      </c>
      <c r="BQ94">
        <f t="shared" si="25"/>
        <v>1</v>
      </c>
      <c r="BR94">
        <f t="shared" si="37"/>
        <v>0</v>
      </c>
      <c r="BS94" s="9">
        <f t="shared" si="38"/>
        <v>0</v>
      </c>
      <c r="BT94" s="9">
        <f t="shared" si="39"/>
        <v>0</v>
      </c>
      <c r="BU94" s="9">
        <f t="shared" si="40"/>
        <v>0</v>
      </c>
      <c r="BV94" s="12">
        <f t="shared" si="41"/>
        <v>4.7187128644676692E-3</v>
      </c>
      <c r="BX94" s="12">
        <f t="shared" si="42"/>
        <v>0</v>
      </c>
      <c r="BY94" s="12">
        <f t="shared" si="43"/>
        <v>1.2859996102868507E-2</v>
      </c>
    </row>
    <row r="95" spans="1:77" x14ac:dyDescent="0.3">
      <c r="A95" s="1">
        <v>46160</v>
      </c>
      <c r="B95" s="8">
        <v>18.82</v>
      </c>
      <c r="C95" s="8">
        <v>31.16</v>
      </c>
      <c r="D95" s="9">
        <v>-1.0621349909834201E-3</v>
      </c>
      <c r="E95" s="9">
        <v>-2.2439502924396699E-3</v>
      </c>
      <c r="F95" s="8">
        <v>0</v>
      </c>
      <c r="G95" s="8">
        <v>0.4</v>
      </c>
      <c r="H95" s="8">
        <v>0</v>
      </c>
      <c r="I95" s="8">
        <v>0.49070000000000003</v>
      </c>
      <c r="J95" s="8">
        <v>0.4</v>
      </c>
      <c r="K95" s="8">
        <v>0.49070000000000003</v>
      </c>
      <c r="L95" s="8">
        <v>19.22</v>
      </c>
      <c r="M95" s="8">
        <v>31.650700000000001</v>
      </c>
      <c r="N95" s="10">
        <v>1.65568544102019</v>
      </c>
      <c r="O95" s="10">
        <v>1.64495540501874</v>
      </c>
      <c r="P95" s="10">
        <v>1.65808870578832</v>
      </c>
      <c r="Q95" s="10">
        <v>1.6544365078032499</v>
      </c>
      <c r="R95" s="8">
        <v>30.958060722452601</v>
      </c>
      <c r="S95" s="8">
        <v>31.2003516005249</v>
      </c>
      <c r="T95" s="8">
        <v>31.134783346189199</v>
      </c>
      <c r="U95" s="9">
        <v>-6.5018124065457199E-3</v>
      </c>
      <c r="V95" s="9">
        <v>1.2941429969847899E-3</v>
      </c>
      <c r="W95" s="9">
        <v>-8.09591231674734E-4</v>
      </c>
      <c r="X95" s="10">
        <v>1.6467585848074899</v>
      </c>
      <c r="Y95" s="10">
        <v>1.6378015347179899</v>
      </c>
      <c r="Z95" s="10">
        <v>1.64919720587992</v>
      </c>
      <c r="AA95" s="10">
        <v>1.64611527550326</v>
      </c>
      <c r="AB95" s="8">
        <v>31.478545497279899</v>
      </c>
      <c r="AC95" s="8">
        <v>31.692771938648502</v>
      </c>
      <c r="AD95" s="8">
        <v>31.637912164307799</v>
      </c>
      <c r="AE95" s="9">
        <v>-5.4540467928950002E-3</v>
      </c>
      <c r="AF95" s="9">
        <v>1.32837508104801E-3</v>
      </c>
      <c r="AG95" s="9">
        <v>-4.0411174866694899E-4</v>
      </c>
      <c r="AZ95" s="9"/>
      <c r="BB95">
        <f t="shared" si="26"/>
        <v>0</v>
      </c>
      <c r="BC95">
        <f t="shared" si="27"/>
        <v>1</v>
      </c>
      <c r="BD95">
        <f t="shared" si="28"/>
        <v>0</v>
      </c>
      <c r="BE95">
        <f t="shared" si="24"/>
        <v>1</v>
      </c>
      <c r="BF95">
        <f t="shared" si="29"/>
        <v>0</v>
      </c>
      <c r="BG95" s="9">
        <f t="shared" si="30"/>
        <v>0</v>
      </c>
      <c r="BH95" s="9">
        <f t="shared" si="31"/>
        <v>0</v>
      </c>
      <c r="BI95" s="9">
        <f t="shared" si="32"/>
        <v>0</v>
      </c>
      <c r="BJ95" s="12">
        <f t="shared" si="33"/>
        <v>8.1412832384008382E-3</v>
      </c>
      <c r="BL95" s="9"/>
      <c r="BN95">
        <f t="shared" si="34"/>
        <v>0</v>
      </c>
      <c r="BO95">
        <f t="shared" si="35"/>
        <v>1</v>
      </c>
      <c r="BP95">
        <f t="shared" si="36"/>
        <v>0</v>
      </c>
      <c r="BQ95">
        <f t="shared" si="25"/>
        <v>1</v>
      </c>
      <c r="BR95">
        <f t="shared" si="37"/>
        <v>0</v>
      </c>
      <c r="BS95" s="9">
        <f t="shared" si="38"/>
        <v>0</v>
      </c>
      <c r="BT95" s="9">
        <f t="shared" si="39"/>
        <v>0</v>
      </c>
      <c r="BU95" s="9">
        <f t="shared" si="40"/>
        <v>0</v>
      </c>
      <c r="BV95" s="12">
        <f t="shared" si="41"/>
        <v>4.7187128644676692E-3</v>
      </c>
      <c r="BX95" s="12">
        <f t="shared" si="42"/>
        <v>0</v>
      </c>
      <c r="BY95" s="12">
        <f t="shared" si="43"/>
        <v>1.2859996102868507E-2</v>
      </c>
    </row>
    <row r="96" spans="1:77" x14ac:dyDescent="0.3">
      <c r="A96" s="1">
        <v>46161</v>
      </c>
      <c r="B96" s="8">
        <v>18.7</v>
      </c>
      <c r="C96" s="8">
        <v>30.97</v>
      </c>
      <c r="D96" s="9">
        <v>-6.3966102966926397E-3</v>
      </c>
      <c r="E96" s="9">
        <v>-6.11622701743609E-3</v>
      </c>
      <c r="F96" s="8">
        <v>0</v>
      </c>
      <c r="G96" s="8">
        <v>0.4</v>
      </c>
      <c r="H96" s="8">
        <v>0</v>
      </c>
      <c r="I96" s="8">
        <v>0.49070000000000003</v>
      </c>
      <c r="J96" s="8">
        <v>0.4</v>
      </c>
      <c r="K96" s="8">
        <v>0.49070000000000003</v>
      </c>
      <c r="L96" s="8">
        <v>19.099999999999898</v>
      </c>
      <c r="M96" s="8">
        <v>31.460699999999999</v>
      </c>
      <c r="N96" s="10">
        <v>1.6561497326203201</v>
      </c>
      <c r="O96" s="10">
        <v>1.64495540501874</v>
      </c>
      <c r="P96" s="10">
        <v>1.6577406183643399</v>
      </c>
      <c r="Q96" s="10">
        <v>1.65455474086095</v>
      </c>
      <c r="R96" s="8">
        <v>30.760666073850398</v>
      </c>
      <c r="S96" s="8">
        <v>31.006258798241699</v>
      </c>
      <c r="T96" s="8">
        <v>30.937962695920898</v>
      </c>
      <c r="U96" s="9">
        <v>-6.7821956858022297E-3</v>
      </c>
      <c r="V96" s="9">
        <v>1.1700868391105201E-3</v>
      </c>
      <c r="W96" s="9">
        <v>-1.03499794029245E-3</v>
      </c>
      <c r="X96" s="10">
        <v>1.64715706806282</v>
      </c>
      <c r="Y96" s="10">
        <v>1.6378015347179899</v>
      </c>
      <c r="Z96" s="10">
        <v>1.64884469563194</v>
      </c>
      <c r="AA96" s="10">
        <v>1.6461635926896201</v>
      </c>
      <c r="AB96" s="8">
        <v>31.282009313113701</v>
      </c>
      <c r="AC96" s="8">
        <v>31.4996666323065</v>
      </c>
      <c r="AD96" s="8">
        <v>31.440801762112201</v>
      </c>
      <c r="AE96" s="9">
        <v>-5.6959978926031003E-3</v>
      </c>
      <c r="AF96" s="9">
        <v>1.2378148148162399E-3</v>
      </c>
      <c r="AG96" s="9">
        <v>-6.3267928408875201E-4</v>
      </c>
      <c r="AZ96" s="9"/>
      <c r="BB96">
        <f t="shared" si="26"/>
        <v>0</v>
      </c>
      <c r="BC96">
        <f t="shared" si="27"/>
        <v>1</v>
      </c>
      <c r="BD96">
        <f t="shared" si="28"/>
        <v>0</v>
      </c>
      <c r="BE96">
        <f t="shared" si="24"/>
        <v>1</v>
      </c>
      <c r="BF96">
        <f t="shared" si="29"/>
        <v>0</v>
      </c>
      <c r="BG96" s="9">
        <f t="shared" si="30"/>
        <v>0</v>
      </c>
      <c r="BH96" s="9">
        <f t="shared" si="31"/>
        <v>0</v>
      </c>
      <c r="BI96" s="9">
        <f t="shared" si="32"/>
        <v>0</v>
      </c>
      <c r="BJ96" s="12">
        <f t="shared" si="33"/>
        <v>8.1412832384008382E-3</v>
      </c>
      <c r="BL96" s="9"/>
      <c r="BN96">
        <f t="shared" si="34"/>
        <v>0</v>
      </c>
      <c r="BO96">
        <f t="shared" si="35"/>
        <v>1</v>
      </c>
      <c r="BP96">
        <f t="shared" si="36"/>
        <v>0</v>
      </c>
      <c r="BQ96">
        <f t="shared" si="25"/>
        <v>1</v>
      </c>
      <c r="BR96">
        <f t="shared" si="37"/>
        <v>0</v>
      </c>
      <c r="BS96" s="9">
        <f t="shared" si="38"/>
        <v>0</v>
      </c>
      <c r="BT96" s="9">
        <f t="shared" si="39"/>
        <v>0</v>
      </c>
      <c r="BU96" s="9">
        <f t="shared" si="40"/>
        <v>0</v>
      </c>
      <c r="BV96" s="12">
        <f t="shared" si="41"/>
        <v>4.7187128644676692E-3</v>
      </c>
      <c r="BX96" s="12">
        <f t="shared" si="42"/>
        <v>0</v>
      </c>
      <c r="BY96" s="12">
        <f t="shared" si="43"/>
        <v>1.2859996102868507E-2</v>
      </c>
    </row>
    <row r="97" spans="1:77" x14ac:dyDescent="0.3">
      <c r="A97" s="1">
        <v>46162</v>
      </c>
      <c r="B97" s="8">
        <v>18.809999999999999</v>
      </c>
      <c r="C97" s="8">
        <v>31.11</v>
      </c>
      <c r="D97" s="9">
        <v>5.8651194523980498E-3</v>
      </c>
      <c r="E97" s="9">
        <v>4.5103169244342699E-3</v>
      </c>
      <c r="F97" s="8">
        <v>0</v>
      </c>
      <c r="G97" s="8">
        <v>0.4</v>
      </c>
      <c r="H97" s="8">
        <v>0</v>
      </c>
      <c r="I97" s="8">
        <v>0.49070000000000003</v>
      </c>
      <c r="J97" s="8">
        <v>0.4</v>
      </c>
      <c r="K97" s="8">
        <v>0.49070000000000003</v>
      </c>
      <c r="L97" s="8">
        <v>19.209999999999901</v>
      </c>
      <c r="M97" s="8">
        <v>31.6007</v>
      </c>
      <c r="N97" s="10">
        <v>1.65390749601275</v>
      </c>
      <c r="O97" s="10">
        <v>1.64495540501874</v>
      </c>
      <c r="P97" s="10">
        <v>1.6574605084268299</v>
      </c>
      <c r="Q97" s="10">
        <v>1.65450326692209</v>
      </c>
      <c r="R97" s="8">
        <v>30.941611168402499</v>
      </c>
      <c r="S97" s="8">
        <v>31.182101031433302</v>
      </c>
      <c r="T97" s="8">
        <v>31.122174675594501</v>
      </c>
      <c r="U97" s="9">
        <v>-5.4273931578384203E-3</v>
      </c>
      <c r="V97" s="9">
        <v>2.3149343957933198E-3</v>
      </c>
      <c r="W97" s="9">
        <v>3.91266280291341E-4</v>
      </c>
      <c r="X97" s="10">
        <v>1.64501301405517</v>
      </c>
      <c r="Y97" s="10">
        <v>1.6378015347179899</v>
      </c>
      <c r="Z97" s="10">
        <v>1.6485580093577801</v>
      </c>
      <c r="AA97" s="10">
        <v>1.64604506035204</v>
      </c>
      <c r="AB97" s="8">
        <v>31.462167481932699</v>
      </c>
      <c r="AC97" s="8">
        <v>31.674306603089601</v>
      </c>
      <c r="AD97" s="8">
        <v>31.622802615567601</v>
      </c>
      <c r="AE97" s="9">
        <v>-4.3934805515835401E-3</v>
      </c>
      <c r="AF97" s="9">
        <v>2.32656273758721E-3</v>
      </c>
      <c r="AG97" s="9">
        <v>6.9918987571614198E-4</v>
      </c>
      <c r="AZ97" s="9"/>
      <c r="BB97">
        <f t="shared" si="26"/>
        <v>0</v>
      </c>
      <c r="BC97">
        <f t="shared" si="27"/>
        <v>1</v>
      </c>
      <c r="BD97">
        <f t="shared" si="28"/>
        <v>0</v>
      </c>
      <c r="BE97">
        <f t="shared" si="24"/>
        <v>1</v>
      </c>
      <c r="BF97">
        <f t="shared" si="29"/>
        <v>0</v>
      </c>
      <c r="BG97" s="9">
        <f t="shared" si="30"/>
        <v>0</v>
      </c>
      <c r="BH97" s="9">
        <f t="shared" si="31"/>
        <v>0</v>
      </c>
      <c r="BI97" s="9">
        <f t="shared" si="32"/>
        <v>0</v>
      </c>
      <c r="BJ97" s="12">
        <f t="shared" si="33"/>
        <v>8.1412832384008382E-3</v>
      </c>
      <c r="BL97" s="9"/>
      <c r="BN97">
        <f t="shared" si="34"/>
        <v>0</v>
      </c>
      <c r="BO97">
        <f t="shared" si="35"/>
        <v>1</v>
      </c>
      <c r="BP97">
        <f t="shared" si="36"/>
        <v>0</v>
      </c>
      <c r="BQ97">
        <f t="shared" si="25"/>
        <v>1</v>
      </c>
      <c r="BR97">
        <f t="shared" si="37"/>
        <v>0</v>
      </c>
      <c r="BS97" s="9">
        <f t="shared" si="38"/>
        <v>0</v>
      </c>
      <c r="BT97" s="9">
        <f t="shared" si="39"/>
        <v>0</v>
      </c>
      <c r="BU97" s="9">
        <f t="shared" si="40"/>
        <v>0</v>
      </c>
      <c r="BV97" s="12">
        <f t="shared" si="41"/>
        <v>4.7187128644676692E-3</v>
      </c>
      <c r="BX97" s="12">
        <f t="shared" si="42"/>
        <v>0</v>
      </c>
      <c r="BY97" s="12">
        <f t="shared" si="43"/>
        <v>1.2859996102868507E-2</v>
      </c>
    </row>
    <row r="98" spans="1:77" x14ac:dyDescent="0.3">
      <c r="A98" s="1">
        <v>46163</v>
      </c>
      <c r="B98" s="8">
        <v>18.809999999999999</v>
      </c>
      <c r="C98" s="8">
        <v>31.13</v>
      </c>
      <c r="D98" s="9">
        <v>0</v>
      </c>
      <c r="E98" s="9">
        <v>6.4267354397117503E-4</v>
      </c>
      <c r="F98" s="8">
        <v>0</v>
      </c>
      <c r="G98" s="8">
        <v>0.4</v>
      </c>
      <c r="H98" s="8">
        <v>0</v>
      </c>
      <c r="I98" s="8">
        <v>0.49070000000000003</v>
      </c>
      <c r="J98" s="8">
        <v>0.4</v>
      </c>
      <c r="K98" s="8">
        <v>0.49070000000000003</v>
      </c>
      <c r="L98" s="8">
        <v>19.209999999999901</v>
      </c>
      <c r="M98" s="8">
        <v>31.620699999999999</v>
      </c>
      <c r="N98" s="10">
        <v>1.6549707602339101</v>
      </c>
      <c r="O98" s="10">
        <v>1.64495540501874</v>
      </c>
      <c r="P98" s="10">
        <v>1.6570628476081199</v>
      </c>
      <c r="Q98" s="10">
        <v>1.6546875679122901</v>
      </c>
      <c r="R98" s="8">
        <v>30.941611168402499</v>
      </c>
      <c r="S98" s="8">
        <v>31.176832163508699</v>
      </c>
      <c r="T98" s="8">
        <v>31.1212064508046</v>
      </c>
      <c r="U98" s="9">
        <v>-6.0700667018096103E-3</v>
      </c>
      <c r="V98" s="9">
        <v>1.5032756666333001E-3</v>
      </c>
      <c r="W98" s="9">
        <v>-2.8251819539559201E-4</v>
      </c>
      <c r="X98" s="10">
        <v>1.64605413846954</v>
      </c>
      <c r="Y98" s="10">
        <v>1.6378015347179899</v>
      </c>
      <c r="Z98" s="10">
        <v>1.64815981495732</v>
      </c>
      <c r="AA98" s="10">
        <v>1.64615778276339</v>
      </c>
      <c r="AB98" s="8">
        <v>31.462167481932699</v>
      </c>
      <c r="AC98" s="8">
        <v>31.668799359763099</v>
      </c>
      <c r="AD98" s="8">
        <v>31.620525609362801</v>
      </c>
      <c r="AE98" s="9">
        <v>-5.0261777290322501E-3</v>
      </c>
      <c r="AF98" s="9">
        <v>1.5199794439889E-3</v>
      </c>
      <c r="AG98" s="9">
        <v>-5.51509353123761E-6</v>
      </c>
      <c r="AZ98" s="9"/>
      <c r="BB98">
        <f t="shared" si="26"/>
        <v>0</v>
      </c>
      <c r="BC98">
        <f t="shared" si="27"/>
        <v>1</v>
      </c>
      <c r="BD98">
        <f t="shared" si="28"/>
        <v>0</v>
      </c>
      <c r="BE98">
        <f t="shared" si="24"/>
        <v>1</v>
      </c>
      <c r="BF98">
        <f t="shared" si="29"/>
        <v>0</v>
      </c>
      <c r="BG98" s="9">
        <f t="shared" si="30"/>
        <v>0</v>
      </c>
      <c r="BH98" s="9">
        <f t="shared" si="31"/>
        <v>0</v>
      </c>
      <c r="BI98" s="9">
        <f t="shared" si="32"/>
        <v>0</v>
      </c>
      <c r="BJ98" s="12">
        <f t="shared" si="33"/>
        <v>8.1412832384008382E-3</v>
      </c>
      <c r="BL98" s="9"/>
      <c r="BN98">
        <f t="shared" si="34"/>
        <v>0</v>
      </c>
      <c r="BO98">
        <f t="shared" si="35"/>
        <v>1</v>
      </c>
      <c r="BP98">
        <f t="shared" si="36"/>
        <v>0</v>
      </c>
      <c r="BQ98">
        <f t="shared" si="25"/>
        <v>1</v>
      </c>
      <c r="BR98">
        <f t="shared" si="37"/>
        <v>0</v>
      </c>
      <c r="BS98" s="9">
        <f t="shared" si="38"/>
        <v>0</v>
      </c>
      <c r="BT98" s="9">
        <f t="shared" si="39"/>
        <v>0</v>
      </c>
      <c r="BU98" s="9">
        <f t="shared" si="40"/>
        <v>0</v>
      </c>
      <c r="BV98" s="12">
        <f t="shared" si="41"/>
        <v>4.7187128644676692E-3</v>
      </c>
      <c r="BX98" s="12">
        <f t="shared" si="42"/>
        <v>0</v>
      </c>
      <c r="BY98" s="12">
        <f t="shared" si="43"/>
        <v>1.2859996102868507E-2</v>
      </c>
    </row>
    <row r="99" spans="1:77" x14ac:dyDescent="0.3">
      <c r="A99" s="1">
        <v>46164</v>
      </c>
      <c r="B99" s="8">
        <v>18.82</v>
      </c>
      <c r="C99" s="8">
        <v>31.24</v>
      </c>
      <c r="D99" s="9">
        <v>5.3149084429457199E-4</v>
      </c>
      <c r="E99" s="9">
        <v>3.5273405179684402E-3</v>
      </c>
      <c r="F99" s="8">
        <v>0</v>
      </c>
      <c r="G99" s="8">
        <v>0.4</v>
      </c>
      <c r="H99" s="8">
        <v>0</v>
      </c>
      <c r="I99" s="8">
        <v>0.49070000000000003</v>
      </c>
      <c r="J99" s="8">
        <v>0.4</v>
      </c>
      <c r="K99" s="8">
        <v>0.49070000000000003</v>
      </c>
      <c r="L99" s="8">
        <v>19.22</v>
      </c>
      <c r="M99" s="8">
        <v>31.730699999999999</v>
      </c>
      <c r="N99" s="10">
        <v>1.6599362380446301</v>
      </c>
      <c r="O99" s="10">
        <v>1.64495540501874</v>
      </c>
      <c r="P99" s="10">
        <v>1.65733024361739</v>
      </c>
      <c r="Q99" s="10">
        <v>1.6552576015718401</v>
      </c>
      <c r="R99" s="8">
        <v>30.958060722452601</v>
      </c>
      <c r="S99" s="8">
        <v>31.185922791984801</v>
      </c>
      <c r="T99" s="8">
        <v>31.141220028109299</v>
      </c>
      <c r="U99" s="9">
        <v>-9.0659163754832801E-3</v>
      </c>
      <c r="V99" s="9">
        <v>-1.7325245386289299E-3</v>
      </c>
      <c r="W99" s="9">
        <v>-3.16698052419539E-3</v>
      </c>
      <c r="X99" s="10">
        <v>1.65092091571279</v>
      </c>
      <c r="Y99" s="10">
        <v>1.6378015347179899</v>
      </c>
      <c r="Z99" s="10">
        <v>1.64840697305879</v>
      </c>
      <c r="AA99" s="10">
        <v>1.6466482157786899</v>
      </c>
      <c r="AB99" s="8">
        <v>31.478545497279899</v>
      </c>
      <c r="AC99" s="8">
        <v>31.6776316434796</v>
      </c>
      <c r="AD99" s="8">
        <v>31.639152584712399</v>
      </c>
      <c r="AE99" s="9">
        <v>-7.9784480362883499E-3</v>
      </c>
      <c r="AF99" s="9">
        <v>-1.6738610695297401E-3</v>
      </c>
      <c r="AG99" s="9">
        <v>-2.8893069887568601E-3</v>
      </c>
      <c r="AZ99" s="9"/>
      <c r="BB99">
        <f t="shared" si="26"/>
        <v>0</v>
      </c>
      <c r="BC99">
        <f t="shared" si="27"/>
        <v>1</v>
      </c>
      <c r="BD99">
        <f t="shared" si="28"/>
        <v>0</v>
      </c>
      <c r="BE99">
        <f t="shared" si="24"/>
        <v>1</v>
      </c>
      <c r="BF99">
        <f t="shared" si="29"/>
        <v>0</v>
      </c>
      <c r="BG99" s="9">
        <f t="shared" si="30"/>
        <v>0</v>
      </c>
      <c r="BH99" s="9">
        <f t="shared" si="31"/>
        <v>0</v>
      </c>
      <c r="BI99" s="9">
        <f t="shared" si="32"/>
        <v>0</v>
      </c>
      <c r="BJ99" s="12">
        <f t="shared" si="33"/>
        <v>8.1412832384008382E-3</v>
      </c>
      <c r="BL99" s="9"/>
      <c r="BN99">
        <f t="shared" si="34"/>
        <v>0</v>
      </c>
      <c r="BO99">
        <f t="shared" si="35"/>
        <v>1</v>
      </c>
      <c r="BP99">
        <f t="shared" si="36"/>
        <v>0</v>
      </c>
      <c r="BQ99">
        <f t="shared" si="25"/>
        <v>1</v>
      </c>
      <c r="BR99">
        <f t="shared" si="37"/>
        <v>0</v>
      </c>
      <c r="BS99" s="9">
        <f t="shared" si="38"/>
        <v>0</v>
      </c>
      <c r="BT99" s="9">
        <f t="shared" si="39"/>
        <v>0</v>
      </c>
      <c r="BU99" s="9">
        <f t="shared" si="40"/>
        <v>0</v>
      </c>
      <c r="BV99" s="12">
        <f t="shared" si="41"/>
        <v>4.7187128644676692E-3</v>
      </c>
      <c r="BX99" s="12">
        <f t="shared" si="42"/>
        <v>0</v>
      </c>
      <c r="BY99" s="12">
        <f t="shared" si="43"/>
        <v>1.2859996102868507E-2</v>
      </c>
    </row>
    <row r="100" spans="1:77" x14ac:dyDescent="0.3">
      <c r="A100" s="1">
        <v>46168</v>
      </c>
      <c r="B100" s="8">
        <v>18.899999999999999</v>
      </c>
      <c r="C100" s="8">
        <v>31.34</v>
      </c>
      <c r="D100" s="9">
        <v>4.2417879083631203E-3</v>
      </c>
      <c r="E100" s="9">
        <v>3.1959119563895601E-3</v>
      </c>
      <c r="F100" s="8">
        <v>0</v>
      </c>
      <c r="G100" s="8">
        <v>0.4</v>
      </c>
      <c r="H100" s="8">
        <v>0</v>
      </c>
      <c r="I100" s="8">
        <v>0.49070000000000003</v>
      </c>
      <c r="J100" s="8">
        <v>0.4</v>
      </c>
      <c r="K100" s="8">
        <v>0.49070000000000003</v>
      </c>
      <c r="L100" s="8">
        <v>19.299999999999901</v>
      </c>
      <c r="M100" s="8">
        <v>31.8307</v>
      </c>
      <c r="N100" s="10">
        <v>1.65820105820105</v>
      </c>
      <c r="O100" s="10">
        <v>1.64495540501874</v>
      </c>
      <c r="P100" s="10">
        <v>1.65693838721294</v>
      </c>
      <c r="Q100" s="10">
        <v>1.6556034174604</v>
      </c>
      <c r="R100" s="8">
        <v>31.089657154854098</v>
      </c>
      <c r="S100" s="8">
        <v>31.3235416043687</v>
      </c>
      <c r="T100" s="8">
        <v>31.284368669707899</v>
      </c>
      <c r="U100" s="9">
        <v>-8.0200404235099294E-3</v>
      </c>
      <c r="V100" s="9">
        <v>-5.2529415313465203E-4</v>
      </c>
      <c r="W100" s="9">
        <v>-1.77666764894925E-3</v>
      </c>
      <c r="X100" s="10">
        <v>1.64925906735751</v>
      </c>
      <c r="Y100" s="10">
        <v>1.6378015347179899</v>
      </c>
      <c r="Z100" s="10">
        <v>1.64801581915734</v>
      </c>
      <c r="AA100" s="10">
        <v>1.64692118463443</v>
      </c>
      <c r="AB100" s="8">
        <v>31.6095696200573</v>
      </c>
      <c r="AC100" s="8">
        <v>31.814254580034699</v>
      </c>
      <c r="AD100" s="8">
        <v>31.780310564528801</v>
      </c>
      <c r="AE100" s="9">
        <v>-6.9713220587482097E-3</v>
      </c>
      <c r="AF100" s="9">
        <v>-5.1678630112247004E-4</v>
      </c>
      <c r="AG100" s="9">
        <v>-1.58429949670079E-3</v>
      </c>
      <c r="AZ100" s="9"/>
      <c r="BB100">
        <f t="shared" si="26"/>
        <v>0</v>
      </c>
      <c r="BC100">
        <f t="shared" si="27"/>
        <v>1</v>
      </c>
      <c r="BD100">
        <f t="shared" si="28"/>
        <v>0</v>
      </c>
      <c r="BE100">
        <f t="shared" si="24"/>
        <v>1</v>
      </c>
      <c r="BF100">
        <f t="shared" si="29"/>
        <v>0</v>
      </c>
      <c r="BG100" s="9">
        <f t="shared" si="30"/>
        <v>0</v>
      </c>
      <c r="BH100" s="9">
        <f t="shared" si="31"/>
        <v>0</v>
      </c>
      <c r="BI100" s="9">
        <f t="shared" si="32"/>
        <v>0</v>
      </c>
      <c r="BJ100" s="12">
        <f t="shared" si="33"/>
        <v>8.1412832384008382E-3</v>
      </c>
      <c r="BL100" s="9"/>
      <c r="BN100">
        <f t="shared" si="34"/>
        <v>0</v>
      </c>
      <c r="BO100">
        <f t="shared" si="35"/>
        <v>1</v>
      </c>
      <c r="BP100">
        <f t="shared" si="36"/>
        <v>0</v>
      </c>
      <c r="BQ100">
        <f t="shared" si="25"/>
        <v>1</v>
      </c>
      <c r="BR100">
        <f t="shared" si="37"/>
        <v>0</v>
      </c>
      <c r="BS100" s="9">
        <f t="shared" si="38"/>
        <v>0</v>
      </c>
      <c r="BT100" s="9">
        <f t="shared" si="39"/>
        <v>0</v>
      </c>
      <c r="BU100" s="9">
        <f t="shared" si="40"/>
        <v>0</v>
      </c>
      <c r="BV100" s="12">
        <f t="shared" si="41"/>
        <v>4.7187128644676692E-3</v>
      </c>
      <c r="BX100" s="12">
        <f t="shared" si="42"/>
        <v>0</v>
      </c>
      <c r="BY100" s="12">
        <f t="shared" si="43"/>
        <v>1.2859996102868507E-2</v>
      </c>
    </row>
    <row r="101" spans="1:77" x14ac:dyDescent="0.3">
      <c r="A101" s="1">
        <v>46169</v>
      </c>
      <c r="B101" s="8">
        <v>18.95</v>
      </c>
      <c r="C101" s="8">
        <v>31.39</v>
      </c>
      <c r="D101" s="9">
        <v>2.6420094628387901E-3</v>
      </c>
      <c r="E101" s="9">
        <v>1.59413392598747E-3</v>
      </c>
      <c r="F101" s="8">
        <v>0</v>
      </c>
      <c r="G101" s="8">
        <v>0.4</v>
      </c>
      <c r="H101" s="8">
        <v>0</v>
      </c>
      <c r="I101" s="8">
        <v>0.49070000000000003</v>
      </c>
      <c r="J101" s="8">
        <v>0.4</v>
      </c>
      <c r="K101" s="8">
        <v>0.49070000000000003</v>
      </c>
      <c r="L101" s="8">
        <v>19.349999999999898</v>
      </c>
      <c r="M101" s="8">
        <v>31.880700000000001</v>
      </c>
      <c r="N101" s="10">
        <v>1.6564643799472201</v>
      </c>
      <c r="O101" s="10">
        <v>1.64495540501874</v>
      </c>
      <c r="P101" s="10">
        <v>1.6571236092747501</v>
      </c>
      <c r="Q101" s="10">
        <v>1.6560845311946</v>
      </c>
      <c r="R101" s="8">
        <v>31.1719049251051</v>
      </c>
      <c r="S101" s="8">
        <v>31.398982437685198</v>
      </c>
      <c r="T101" s="8">
        <v>31.3736847608745</v>
      </c>
      <c r="U101" s="9">
        <v>-6.9721648866587702E-3</v>
      </c>
      <c r="V101" s="9">
        <v>2.86115092101823E-4</v>
      </c>
      <c r="W101" s="9">
        <v>-5.1989425270558098E-4</v>
      </c>
      <c r="X101" s="10">
        <v>1.6475813953488301</v>
      </c>
      <c r="Y101" s="10">
        <v>1.6378015347179899</v>
      </c>
      <c r="Z101" s="10">
        <v>1.6481913098215799</v>
      </c>
      <c r="AA101" s="10">
        <v>1.6473303062153499</v>
      </c>
      <c r="AB101" s="8">
        <v>31.691459696793199</v>
      </c>
      <c r="AC101" s="8">
        <v>31.889106100694502</v>
      </c>
      <c r="AD101" s="8">
        <v>31.867924922676298</v>
      </c>
      <c r="AE101" s="9">
        <v>-5.9535766309875898E-3</v>
      </c>
      <c r="AF101" s="9">
        <v>2.6363889926144999E-4</v>
      </c>
      <c r="AG101" s="9">
        <v>-4.0079539002199399E-4</v>
      </c>
      <c r="AZ101" s="9"/>
      <c r="BB101">
        <f t="shared" si="26"/>
        <v>0</v>
      </c>
      <c r="BC101">
        <f t="shared" si="27"/>
        <v>1</v>
      </c>
      <c r="BD101">
        <f t="shared" si="28"/>
        <v>0</v>
      </c>
      <c r="BE101">
        <f t="shared" si="24"/>
        <v>1</v>
      </c>
      <c r="BF101">
        <f t="shared" si="29"/>
        <v>0</v>
      </c>
      <c r="BG101" s="9">
        <f t="shared" si="30"/>
        <v>0</v>
      </c>
      <c r="BH101" s="9">
        <f t="shared" si="31"/>
        <v>0</v>
      </c>
      <c r="BI101" s="9">
        <f t="shared" si="32"/>
        <v>0</v>
      </c>
      <c r="BJ101" s="12">
        <f t="shared" si="33"/>
        <v>8.1412832384008382E-3</v>
      </c>
      <c r="BL101" s="9"/>
      <c r="BN101">
        <f t="shared" si="34"/>
        <v>0</v>
      </c>
      <c r="BO101">
        <f t="shared" si="35"/>
        <v>1</v>
      </c>
      <c r="BP101">
        <f t="shared" si="36"/>
        <v>0</v>
      </c>
      <c r="BQ101">
        <f t="shared" si="25"/>
        <v>1</v>
      </c>
      <c r="BR101">
        <f t="shared" si="37"/>
        <v>0</v>
      </c>
      <c r="BS101" s="9">
        <f t="shared" si="38"/>
        <v>0</v>
      </c>
      <c r="BT101" s="9">
        <f t="shared" si="39"/>
        <v>0</v>
      </c>
      <c r="BU101" s="9">
        <f t="shared" si="40"/>
        <v>0</v>
      </c>
      <c r="BV101" s="12">
        <f t="shared" si="41"/>
        <v>4.7187128644676692E-3</v>
      </c>
      <c r="BX101" s="12">
        <f t="shared" si="42"/>
        <v>0</v>
      </c>
      <c r="BY101" s="12">
        <f t="shared" si="43"/>
        <v>1.2859996102868507E-2</v>
      </c>
    </row>
    <row r="102" spans="1:77" x14ac:dyDescent="0.3">
      <c r="A102" s="1">
        <v>46170</v>
      </c>
      <c r="B102" s="8">
        <v>19</v>
      </c>
      <c r="C102" s="8">
        <v>31.5</v>
      </c>
      <c r="D102" s="9">
        <v>2.6350476380052499E-3</v>
      </c>
      <c r="E102" s="9">
        <v>3.4981749777251098E-3</v>
      </c>
      <c r="F102" s="8">
        <v>0</v>
      </c>
      <c r="G102" s="8">
        <v>0.4</v>
      </c>
      <c r="H102" s="8">
        <v>0</v>
      </c>
      <c r="I102" s="8">
        <v>0.49070000000000003</v>
      </c>
      <c r="J102" s="8">
        <v>0.4</v>
      </c>
      <c r="K102" s="8">
        <v>0.49070000000000003</v>
      </c>
      <c r="L102" s="8">
        <v>19.399999999999999</v>
      </c>
      <c r="M102" s="8">
        <v>31.9907</v>
      </c>
      <c r="N102" s="10">
        <v>1.6578947368421</v>
      </c>
      <c r="O102" s="10">
        <v>1.64495540501874</v>
      </c>
      <c r="P102" s="10">
        <v>1.6569645805942701</v>
      </c>
      <c r="Q102" s="10">
        <v>1.6566061179310001</v>
      </c>
      <c r="R102" s="8">
        <v>31.254152695356002</v>
      </c>
      <c r="S102" s="8">
        <v>31.4853485762203</v>
      </c>
      <c r="T102" s="8">
        <v>31.465606092697399</v>
      </c>
      <c r="U102" s="9">
        <v>-7.8352922263786994E-3</v>
      </c>
      <c r="V102" s="9">
        <v>-4.65232768418446E-4</v>
      </c>
      <c r="W102" s="9">
        <v>-1.09246659748195E-3</v>
      </c>
      <c r="X102" s="10">
        <v>1.64900515463917</v>
      </c>
      <c r="Y102" s="10">
        <v>1.6378015347179899</v>
      </c>
      <c r="Z102" s="10">
        <v>1.6480341824651199</v>
      </c>
      <c r="AA102" s="10">
        <v>1.64778160453003</v>
      </c>
      <c r="AB102" s="8">
        <v>31.773349773529102</v>
      </c>
      <c r="AC102" s="8">
        <v>31.974911410538802</v>
      </c>
      <c r="AD102" s="8">
        <v>31.9582079405778</v>
      </c>
      <c r="AE102" s="9">
        <v>-6.8173545766124803E-3</v>
      </c>
      <c r="AF102" s="9">
        <v>-4.9365868421028197E-4</v>
      </c>
      <c r="AG102" s="9">
        <v>-1.01618818099018E-3</v>
      </c>
      <c r="AZ102" s="9"/>
      <c r="BB102">
        <f t="shared" si="26"/>
        <v>0</v>
      </c>
      <c r="BC102">
        <f t="shared" si="27"/>
        <v>1</v>
      </c>
      <c r="BD102">
        <f t="shared" si="28"/>
        <v>0</v>
      </c>
      <c r="BE102">
        <f t="shared" si="24"/>
        <v>1</v>
      </c>
      <c r="BF102">
        <f t="shared" si="29"/>
        <v>0</v>
      </c>
      <c r="BG102" s="9">
        <f t="shared" si="30"/>
        <v>0</v>
      </c>
      <c r="BH102" s="9">
        <f t="shared" si="31"/>
        <v>0</v>
      </c>
      <c r="BI102" s="9">
        <f t="shared" si="32"/>
        <v>0</v>
      </c>
      <c r="BJ102" s="12">
        <f t="shared" si="33"/>
        <v>8.1412832384008382E-3</v>
      </c>
      <c r="BL102" s="9"/>
      <c r="BN102">
        <f t="shared" si="34"/>
        <v>0</v>
      </c>
      <c r="BO102">
        <f t="shared" si="35"/>
        <v>1</v>
      </c>
      <c r="BP102">
        <f t="shared" si="36"/>
        <v>0</v>
      </c>
      <c r="BQ102">
        <f t="shared" si="25"/>
        <v>1</v>
      </c>
      <c r="BR102">
        <f t="shared" si="37"/>
        <v>0</v>
      </c>
      <c r="BS102" s="9">
        <f t="shared" si="38"/>
        <v>0</v>
      </c>
      <c r="BT102" s="9">
        <f t="shared" si="39"/>
        <v>0</v>
      </c>
      <c r="BU102" s="9">
        <f t="shared" si="40"/>
        <v>0</v>
      </c>
      <c r="BV102" s="12">
        <f t="shared" si="41"/>
        <v>4.7187128644676692E-3</v>
      </c>
      <c r="BX102" s="12">
        <f t="shared" si="42"/>
        <v>0</v>
      </c>
      <c r="BY102" s="12">
        <f t="shared" si="43"/>
        <v>1.2859996102868507E-2</v>
      </c>
    </row>
    <row r="103" spans="1:77" x14ac:dyDescent="0.3">
      <c r="A103" s="1">
        <v>46171</v>
      </c>
      <c r="B103" s="8">
        <v>19.02</v>
      </c>
      <c r="C103" s="8">
        <v>31.56</v>
      </c>
      <c r="D103" s="9">
        <v>1.05207795080383E-3</v>
      </c>
      <c r="E103" s="9">
        <v>1.90295014608606E-3</v>
      </c>
      <c r="F103" s="8">
        <v>0</v>
      </c>
      <c r="G103" s="8">
        <v>0.4</v>
      </c>
      <c r="H103" s="8">
        <v>0</v>
      </c>
      <c r="I103" s="8">
        <v>0.49070000000000003</v>
      </c>
      <c r="J103" s="8">
        <v>0.4</v>
      </c>
      <c r="K103" s="8">
        <v>0.49070000000000003</v>
      </c>
      <c r="L103" s="8">
        <v>19.419999999999899</v>
      </c>
      <c r="M103" s="8">
        <v>32.050699999999999</v>
      </c>
      <c r="N103" s="10">
        <v>1.6593059936908501</v>
      </c>
      <c r="O103" s="10">
        <v>1.64495540501874</v>
      </c>
      <c r="P103" s="10">
        <v>1.65701591487149</v>
      </c>
      <c r="Q103" s="10">
        <v>1.6571984474740999</v>
      </c>
      <c r="R103" s="8">
        <v>31.2870518034564</v>
      </c>
      <c r="S103" s="8">
        <v>31.515466322903102</v>
      </c>
      <c r="T103" s="8">
        <v>31.508648363047602</v>
      </c>
      <c r="U103" s="9">
        <v>-8.6861644216610304E-3</v>
      </c>
      <c r="V103" s="9">
        <v>-1.4120762665072899E-3</v>
      </c>
      <c r="W103" s="9">
        <v>-1.6284366205105601E-3</v>
      </c>
      <c r="X103" s="10">
        <v>1.6503964984552</v>
      </c>
      <c r="Y103" s="10">
        <v>1.6378015347179899</v>
      </c>
      <c r="Z103" s="10">
        <v>1.6480830868093601</v>
      </c>
      <c r="AA103" s="10">
        <v>1.64829936653376</v>
      </c>
      <c r="AB103" s="8">
        <v>31.806105804223499</v>
      </c>
      <c r="AC103" s="8">
        <v>32.004823823472698</v>
      </c>
      <c r="AD103" s="8">
        <v>31.999918759973301</v>
      </c>
      <c r="AE103" s="9">
        <v>-7.6607462244245497E-3</v>
      </c>
      <c r="AF103" s="9">
        <v>-1.43238807936406E-3</v>
      </c>
      <c r="AG103" s="9">
        <v>-1.58565995613563E-3</v>
      </c>
      <c r="AZ103" s="9"/>
      <c r="BB103">
        <f t="shared" si="26"/>
        <v>0</v>
      </c>
      <c r="BC103">
        <f t="shared" si="27"/>
        <v>1</v>
      </c>
      <c r="BD103">
        <f t="shared" si="28"/>
        <v>0</v>
      </c>
      <c r="BE103">
        <f t="shared" si="24"/>
        <v>0</v>
      </c>
      <c r="BF103">
        <f t="shared" si="29"/>
        <v>0</v>
      </c>
      <c r="BG103" s="9">
        <f t="shared" si="30"/>
        <v>0</v>
      </c>
      <c r="BH103" s="9">
        <f t="shared" si="31"/>
        <v>0</v>
      </c>
      <c r="BI103" s="9">
        <f t="shared" si="32"/>
        <v>0</v>
      </c>
      <c r="BJ103" s="12">
        <f t="shared" si="33"/>
        <v>8.1412832384008382E-3</v>
      </c>
      <c r="BL103" s="9"/>
      <c r="BN103">
        <f t="shared" si="34"/>
        <v>0</v>
      </c>
      <c r="BO103">
        <f t="shared" si="35"/>
        <v>1</v>
      </c>
      <c r="BP103">
        <f t="shared" si="36"/>
        <v>0</v>
      </c>
      <c r="BQ103">
        <f t="shared" si="25"/>
        <v>0</v>
      </c>
      <c r="BR103">
        <f t="shared" si="37"/>
        <v>0</v>
      </c>
      <c r="BS103" s="9">
        <f t="shared" si="38"/>
        <v>0</v>
      </c>
      <c r="BT103" s="9">
        <f t="shared" si="39"/>
        <v>0</v>
      </c>
      <c r="BU103" s="9">
        <f t="shared" si="40"/>
        <v>0</v>
      </c>
      <c r="BV103" s="12">
        <f t="shared" si="41"/>
        <v>4.7187128644676692E-3</v>
      </c>
      <c r="BX103" s="12">
        <f t="shared" si="42"/>
        <v>0</v>
      </c>
      <c r="BY103" s="12">
        <f t="shared" si="43"/>
        <v>1.2859996102868507E-2</v>
      </c>
    </row>
    <row r="104" spans="1:77" x14ac:dyDescent="0.3">
      <c r="A104" s="1">
        <v>46174</v>
      </c>
      <c r="B104" s="8">
        <v>18.940000000000001</v>
      </c>
      <c r="C104" s="8">
        <v>31.4</v>
      </c>
      <c r="D104" s="9">
        <v>-4.2149693593119203E-3</v>
      </c>
      <c r="E104" s="9">
        <v>-5.0826030634657697E-3</v>
      </c>
      <c r="F104" s="8">
        <v>0.1</v>
      </c>
      <c r="G104" s="8">
        <v>0.5</v>
      </c>
      <c r="H104" s="8">
        <v>0.1384</v>
      </c>
      <c r="I104" s="8">
        <v>0.62909999999999999</v>
      </c>
      <c r="J104" s="8">
        <v>0.5</v>
      </c>
      <c r="K104" s="8">
        <v>0.62909999999999999</v>
      </c>
      <c r="L104" s="8">
        <v>19.440000000000001</v>
      </c>
      <c r="M104" s="8">
        <v>32.0291</v>
      </c>
      <c r="N104" s="10">
        <v>1.65786694825765</v>
      </c>
      <c r="O104" s="10">
        <v>1.64495540501874</v>
      </c>
      <c r="P104" s="10">
        <v>1.6570382784870701</v>
      </c>
      <c r="Q104" s="10">
        <v>1.6574339001501399</v>
      </c>
      <c r="R104" s="8">
        <v>31.155455371054899</v>
      </c>
      <c r="S104" s="8">
        <v>31.3838814276661</v>
      </c>
      <c r="T104" s="8">
        <v>31.387338595159601</v>
      </c>
      <c r="U104" s="9">
        <v>-7.8185307175071394E-3</v>
      </c>
      <c r="V104" s="9">
        <v>-5.1346212822236503E-4</v>
      </c>
      <c r="W104" s="9">
        <v>-4.03310772372383E-4</v>
      </c>
      <c r="X104" s="10">
        <v>1.64758744855967</v>
      </c>
      <c r="Y104" s="10">
        <v>1.6378015347179899</v>
      </c>
      <c r="Z104" s="10">
        <v>1.6479733285468201</v>
      </c>
      <c r="AA104" s="10">
        <v>1.6484604399926699</v>
      </c>
      <c r="AB104" s="8">
        <v>31.8388618349179</v>
      </c>
      <c r="AC104" s="8">
        <v>32.0387352075739</v>
      </c>
      <c r="AD104" s="8">
        <v>32.0429396854164</v>
      </c>
      <c r="AE104" s="9">
        <v>-5.9572506222882E-3</v>
      </c>
      <c r="AF104" s="9">
        <v>3.007814331605E-4</v>
      </c>
      <c r="AG104" s="9">
        <v>4.3200390371887201E-4</v>
      </c>
      <c r="AZ104" s="9"/>
      <c r="BB104">
        <f t="shared" si="26"/>
        <v>0</v>
      </c>
      <c r="BC104">
        <f t="shared" si="27"/>
        <v>1</v>
      </c>
      <c r="BD104">
        <f t="shared" si="28"/>
        <v>0</v>
      </c>
      <c r="BE104">
        <f t="shared" si="24"/>
        <v>1</v>
      </c>
      <c r="BF104">
        <f t="shared" si="29"/>
        <v>0</v>
      </c>
      <c r="BG104" s="9">
        <f t="shared" si="30"/>
        <v>0</v>
      </c>
      <c r="BH104" s="9">
        <f t="shared" si="31"/>
        <v>0</v>
      </c>
      <c r="BI104" s="9">
        <f t="shared" si="32"/>
        <v>0</v>
      </c>
      <c r="BJ104" s="12">
        <f t="shared" si="33"/>
        <v>8.1412832384008382E-3</v>
      </c>
      <c r="BL104" s="9"/>
      <c r="BN104">
        <f t="shared" si="34"/>
        <v>0</v>
      </c>
      <c r="BO104">
        <f t="shared" si="35"/>
        <v>1</v>
      </c>
      <c r="BP104">
        <f t="shared" si="36"/>
        <v>0</v>
      </c>
      <c r="BQ104">
        <f t="shared" si="25"/>
        <v>1</v>
      </c>
      <c r="BR104">
        <f t="shared" si="37"/>
        <v>0</v>
      </c>
      <c r="BS104" s="9">
        <f t="shared" si="38"/>
        <v>0</v>
      </c>
      <c r="BT104" s="9">
        <f t="shared" si="39"/>
        <v>0</v>
      </c>
      <c r="BU104" s="9">
        <f t="shared" si="40"/>
        <v>0</v>
      </c>
      <c r="BV104" s="12">
        <f t="shared" si="41"/>
        <v>4.7187128644676692E-3</v>
      </c>
      <c r="BX104" s="12">
        <f t="shared" si="42"/>
        <v>0</v>
      </c>
      <c r="BY104" s="12">
        <f t="shared" si="43"/>
        <v>1.2859996102868507E-2</v>
      </c>
    </row>
    <row r="105" spans="1:77" x14ac:dyDescent="0.3">
      <c r="A105" s="1">
        <v>46175</v>
      </c>
      <c r="B105" s="8">
        <v>18.95</v>
      </c>
      <c r="C105" s="8">
        <v>31.44</v>
      </c>
      <c r="D105" s="9">
        <v>5.2784377050312198E-4</v>
      </c>
      <c r="E105" s="9">
        <v>1.27307464679811E-3</v>
      </c>
      <c r="F105" s="8">
        <v>0</v>
      </c>
      <c r="G105" s="8">
        <v>0.5</v>
      </c>
      <c r="H105" s="8">
        <v>0</v>
      </c>
      <c r="I105" s="8">
        <v>0.62909999999999999</v>
      </c>
      <c r="J105" s="8">
        <v>0.5</v>
      </c>
      <c r="K105" s="8">
        <v>0.62909999999999999</v>
      </c>
      <c r="L105" s="8">
        <v>19.45</v>
      </c>
      <c r="M105" s="8">
        <v>32.069099999999999</v>
      </c>
      <c r="N105" s="10">
        <v>1.65910290237467</v>
      </c>
      <c r="O105" s="10">
        <v>1.64495540501874</v>
      </c>
      <c r="P105" s="10">
        <v>1.6573800246225201</v>
      </c>
      <c r="Q105" s="10">
        <v>1.6577343652054199</v>
      </c>
      <c r="R105" s="8">
        <v>31.1719049251051</v>
      </c>
      <c r="S105" s="8">
        <v>31.400875377329999</v>
      </c>
      <c r="T105" s="8">
        <v>31.408372407845299</v>
      </c>
      <c r="U105" s="9">
        <v>-8.5637615938023697E-3</v>
      </c>
      <c r="V105" s="9">
        <v>-1.2451967764717099E-3</v>
      </c>
      <c r="W105" s="9">
        <v>-1.00647299565066E-3</v>
      </c>
      <c r="X105" s="10">
        <v>1.64879691516709</v>
      </c>
      <c r="Y105" s="10">
        <v>1.6378015347179899</v>
      </c>
      <c r="Z105" s="10">
        <v>1.64817716158278</v>
      </c>
      <c r="AA105" s="10">
        <v>1.6486871837313499</v>
      </c>
      <c r="AB105" s="8">
        <v>31.855239850265001</v>
      </c>
      <c r="AC105" s="8">
        <v>32.053081240235699</v>
      </c>
      <c r="AD105" s="8">
        <v>32.0625555578575</v>
      </c>
      <c r="AE105" s="9">
        <v>-6.69106472176425E-3</v>
      </c>
      <c r="AF105" s="9">
        <v>-4.9963241385947595E-4</v>
      </c>
      <c r="AG105" s="9">
        <v>-2.04093972257656E-4</v>
      </c>
      <c r="AZ105" s="9"/>
      <c r="BB105">
        <f t="shared" si="26"/>
        <v>0</v>
      </c>
      <c r="BC105">
        <f t="shared" si="27"/>
        <v>1</v>
      </c>
      <c r="BD105">
        <f t="shared" si="28"/>
        <v>0</v>
      </c>
      <c r="BE105">
        <f t="shared" si="24"/>
        <v>1</v>
      </c>
      <c r="BF105">
        <f t="shared" si="29"/>
        <v>0</v>
      </c>
      <c r="BG105" s="9">
        <f t="shared" si="30"/>
        <v>0</v>
      </c>
      <c r="BH105" s="9">
        <f t="shared" si="31"/>
        <v>0</v>
      </c>
      <c r="BI105" s="9">
        <f t="shared" si="32"/>
        <v>0</v>
      </c>
      <c r="BJ105" s="12">
        <f t="shared" si="33"/>
        <v>8.1412832384008382E-3</v>
      </c>
      <c r="BL105" s="9"/>
      <c r="BN105">
        <f t="shared" si="34"/>
        <v>0</v>
      </c>
      <c r="BO105">
        <f t="shared" si="35"/>
        <v>1</v>
      </c>
      <c r="BP105">
        <f t="shared" si="36"/>
        <v>0</v>
      </c>
      <c r="BQ105">
        <f t="shared" si="25"/>
        <v>1</v>
      </c>
      <c r="BR105">
        <f t="shared" si="37"/>
        <v>0</v>
      </c>
      <c r="BS105" s="9">
        <f t="shared" si="38"/>
        <v>0</v>
      </c>
      <c r="BT105" s="9">
        <f t="shared" si="39"/>
        <v>0</v>
      </c>
      <c r="BU105" s="9">
        <f t="shared" si="40"/>
        <v>0</v>
      </c>
      <c r="BV105" s="12">
        <f t="shared" si="41"/>
        <v>4.7187128644676692E-3</v>
      </c>
      <c r="BX105" s="12">
        <f t="shared" si="42"/>
        <v>0</v>
      </c>
      <c r="BY105" s="12">
        <f t="shared" si="43"/>
        <v>1.2859996102868507E-2</v>
      </c>
    </row>
    <row r="106" spans="1:77" x14ac:dyDescent="0.3">
      <c r="A106" s="1">
        <v>46176</v>
      </c>
      <c r="B106" s="8">
        <v>18.84</v>
      </c>
      <c r="C106" s="8">
        <v>31.23</v>
      </c>
      <c r="D106" s="9">
        <v>-5.8216623802182996E-3</v>
      </c>
      <c r="E106" s="9">
        <v>-6.7017962660186701E-3</v>
      </c>
      <c r="F106" s="8">
        <v>0</v>
      </c>
      <c r="G106" s="8">
        <v>0.5</v>
      </c>
      <c r="H106" s="8">
        <v>0</v>
      </c>
      <c r="I106" s="8">
        <v>0.62909999999999999</v>
      </c>
      <c r="J106" s="8">
        <v>0.5</v>
      </c>
      <c r="K106" s="8">
        <v>0.62909999999999999</v>
      </c>
      <c r="L106" s="8">
        <v>19.34</v>
      </c>
      <c r="M106" s="8">
        <v>31.859100000000002</v>
      </c>
      <c r="N106" s="10">
        <v>1.6576433121019101</v>
      </c>
      <c r="O106" s="10">
        <v>1.64495540501874</v>
      </c>
      <c r="P106" s="10">
        <v>1.6575293825706701</v>
      </c>
      <c r="Q106" s="10">
        <v>1.65763500046751</v>
      </c>
      <c r="R106" s="8">
        <v>30.990959830552999</v>
      </c>
      <c r="S106" s="8">
        <v>31.2250396638882</v>
      </c>
      <c r="T106" s="8">
        <v>31.231715440470101</v>
      </c>
      <c r="U106" s="9">
        <v>-7.6836277080019897E-3</v>
      </c>
      <c r="V106" s="9">
        <v>-1.5884502351905201E-4</v>
      </c>
      <c r="W106" s="9">
        <v>5.4927741209802802E-5</v>
      </c>
      <c r="X106" s="10">
        <v>1.6473164426059901</v>
      </c>
      <c r="Y106" s="10">
        <v>1.6378015347179899</v>
      </c>
      <c r="Z106" s="10">
        <v>1.6481930990371001</v>
      </c>
      <c r="AA106" s="10">
        <v>1.64851889733452</v>
      </c>
      <c r="AB106" s="8">
        <v>31.675081681446098</v>
      </c>
      <c r="AC106" s="8">
        <v>31.875746305010999</v>
      </c>
      <c r="AD106" s="8">
        <v>31.885610133364299</v>
      </c>
      <c r="AE106" s="9">
        <v>-5.7927505559824503E-3</v>
      </c>
      <c r="AF106" s="9">
        <v>5.2236119970858804E-4</v>
      </c>
      <c r="AG106" s="9">
        <v>8.31759524430462E-4</v>
      </c>
      <c r="AZ106" s="9"/>
      <c r="BB106">
        <f t="shared" si="26"/>
        <v>0</v>
      </c>
      <c r="BC106">
        <f t="shared" si="27"/>
        <v>1</v>
      </c>
      <c r="BD106">
        <f t="shared" si="28"/>
        <v>0</v>
      </c>
      <c r="BE106">
        <f t="shared" si="24"/>
        <v>1</v>
      </c>
      <c r="BF106">
        <f t="shared" si="29"/>
        <v>0</v>
      </c>
      <c r="BG106" s="9">
        <f t="shared" si="30"/>
        <v>0</v>
      </c>
      <c r="BH106" s="9">
        <f t="shared" si="31"/>
        <v>0</v>
      </c>
      <c r="BI106" s="9">
        <f t="shared" si="32"/>
        <v>0</v>
      </c>
      <c r="BJ106" s="12">
        <f t="shared" si="33"/>
        <v>8.1412832384008382E-3</v>
      </c>
      <c r="BL106" s="9"/>
      <c r="BN106">
        <f t="shared" si="34"/>
        <v>0</v>
      </c>
      <c r="BO106">
        <f t="shared" si="35"/>
        <v>1</v>
      </c>
      <c r="BP106">
        <f t="shared" si="36"/>
        <v>0</v>
      </c>
      <c r="BQ106">
        <f t="shared" si="25"/>
        <v>1</v>
      </c>
      <c r="BR106">
        <f t="shared" si="37"/>
        <v>0</v>
      </c>
      <c r="BS106" s="9">
        <f t="shared" si="38"/>
        <v>0</v>
      </c>
      <c r="BT106" s="9">
        <f t="shared" si="39"/>
        <v>0</v>
      </c>
      <c r="BU106" s="9">
        <f t="shared" si="40"/>
        <v>0</v>
      </c>
      <c r="BV106" s="12">
        <f t="shared" si="41"/>
        <v>4.7187128644676692E-3</v>
      </c>
      <c r="BX106" s="12">
        <f t="shared" si="42"/>
        <v>0</v>
      </c>
      <c r="BY106" s="12">
        <f t="shared" si="43"/>
        <v>1.2859996102868507E-2</v>
      </c>
    </row>
    <row r="107" spans="1:77" x14ac:dyDescent="0.3">
      <c r="A107" s="1">
        <v>46177</v>
      </c>
      <c r="B107" s="8">
        <v>18.899999999999999</v>
      </c>
      <c r="C107" s="8">
        <v>31.25</v>
      </c>
      <c r="D107" s="9">
        <v>3.1796529173795801E-3</v>
      </c>
      <c r="E107" s="9">
        <v>6.4020488742325902E-4</v>
      </c>
      <c r="F107" s="8">
        <v>0</v>
      </c>
      <c r="G107" s="8">
        <v>0.5</v>
      </c>
      <c r="H107" s="8">
        <v>0</v>
      </c>
      <c r="I107" s="8">
        <v>0.62909999999999999</v>
      </c>
      <c r="J107" s="8">
        <v>0.5</v>
      </c>
      <c r="K107" s="8">
        <v>0.62909999999999999</v>
      </c>
      <c r="L107" s="8">
        <v>19.399999999999999</v>
      </c>
      <c r="M107" s="8">
        <v>31.879100000000001</v>
      </c>
      <c r="N107" s="10">
        <v>1.6534391534391499</v>
      </c>
      <c r="O107" s="10">
        <v>1.64495540501874</v>
      </c>
      <c r="P107" s="10">
        <v>1.65748254831331</v>
      </c>
      <c r="Q107" s="10">
        <v>1.6574715283700701</v>
      </c>
      <c r="R107" s="8">
        <v>31.089657154854098</v>
      </c>
      <c r="S107" s="8">
        <v>31.327305330585801</v>
      </c>
      <c r="T107" s="8">
        <v>31.329301508835901</v>
      </c>
      <c r="U107" s="9">
        <v>-5.14417967804566E-3</v>
      </c>
      <c r="V107" s="9">
        <v>2.4707158450782999E-3</v>
      </c>
      <c r="W107" s="9">
        <v>2.53443389019764E-3</v>
      </c>
      <c r="X107" s="10">
        <v>1.6432525773195801</v>
      </c>
      <c r="Y107" s="10">
        <v>1.6378015347179899</v>
      </c>
      <c r="Z107" s="10">
        <v>1.64801705536354</v>
      </c>
      <c r="AA107" s="10">
        <v>1.6482875323606601</v>
      </c>
      <c r="AB107" s="8">
        <v>31.773349773529102</v>
      </c>
      <c r="AC107" s="8">
        <v>31.9749461213197</v>
      </c>
      <c r="AD107" s="8">
        <v>31.981266608289701</v>
      </c>
      <c r="AE107" s="9">
        <v>-3.3227416742846799E-3</v>
      </c>
      <c r="AF107" s="9">
        <v>3.00203978053436E-3</v>
      </c>
      <c r="AG107" s="9">
        <v>3.1996902266996198E-3</v>
      </c>
      <c r="AZ107" s="9"/>
      <c r="BB107">
        <f t="shared" si="26"/>
        <v>0</v>
      </c>
      <c r="BC107">
        <f t="shared" si="27"/>
        <v>1</v>
      </c>
      <c r="BD107">
        <f t="shared" si="28"/>
        <v>0</v>
      </c>
      <c r="BE107">
        <f t="shared" si="24"/>
        <v>1</v>
      </c>
      <c r="BF107">
        <f t="shared" si="29"/>
        <v>0</v>
      </c>
      <c r="BG107" s="9">
        <f t="shared" si="30"/>
        <v>0</v>
      </c>
      <c r="BH107" s="9">
        <f t="shared" si="31"/>
        <v>0</v>
      </c>
      <c r="BI107" s="9">
        <f t="shared" si="32"/>
        <v>0</v>
      </c>
      <c r="BJ107" s="12">
        <f t="shared" si="33"/>
        <v>8.1412832384008382E-3</v>
      </c>
      <c r="BL107" s="9"/>
      <c r="BN107">
        <f t="shared" si="34"/>
        <v>0</v>
      </c>
      <c r="BO107">
        <f t="shared" si="35"/>
        <v>0</v>
      </c>
      <c r="BP107">
        <f t="shared" si="36"/>
        <v>0</v>
      </c>
      <c r="BQ107">
        <f t="shared" si="25"/>
        <v>1</v>
      </c>
      <c r="BR107">
        <f t="shared" si="37"/>
        <v>0</v>
      </c>
      <c r="BS107" s="9">
        <f t="shared" si="38"/>
        <v>0</v>
      </c>
      <c r="BT107" s="9">
        <f t="shared" si="39"/>
        <v>0</v>
      </c>
      <c r="BU107" s="9">
        <f t="shared" si="40"/>
        <v>0</v>
      </c>
      <c r="BV107" s="12">
        <f t="shared" si="41"/>
        <v>4.7187128644676692E-3</v>
      </c>
      <c r="BX107" s="12">
        <f t="shared" si="42"/>
        <v>0</v>
      </c>
      <c r="BY107" s="12">
        <f t="shared" si="43"/>
        <v>1.2859996102868507E-2</v>
      </c>
    </row>
    <row r="108" spans="1:77" x14ac:dyDescent="0.3">
      <c r="A108" s="1">
        <v>46178</v>
      </c>
      <c r="B108" s="8">
        <v>18.75</v>
      </c>
      <c r="C108" s="8">
        <v>30.91</v>
      </c>
      <c r="D108" s="9">
        <v>-7.9681696491768397E-3</v>
      </c>
      <c r="E108" s="9">
        <v>-1.09396200383855E-2</v>
      </c>
      <c r="F108" s="8">
        <v>0</v>
      </c>
      <c r="G108" s="8">
        <v>0.5</v>
      </c>
      <c r="H108" s="8">
        <v>0</v>
      </c>
      <c r="I108" s="8">
        <v>0.62909999999999999</v>
      </c>
      <c r="J108" s="8">
        <v>0.5</v>
      </c>
      <c r="K108" s="8">
        <v>0.62909999999999999</v>
      </c>
      <c r="L108" s="8">
        <v>19.25</v>
      </c>
      <c r="M108" s="8">
        <v>31.539100000000001</v>
      </c>
      <c r="N108" s="10">
        <v>1.6485333333333301</v>
      </c>
      <c r="O108" s="10">
        <v>1.64495540501874</v>
      </c>
      <c r="P108" s="10">
        <v>1.6568388056232599</v>
      </c>
      <c r="Q108" s="10">
        <v>1.65695082661569</v>
      </c>
      <c r="R108" s="8">
        <v>30.8429138441013</v>
      </c>
      <c r="S108" s="8">
        <v>31.0777977808747</v>
      </c>
      <c r="T108" s="8">
        <v>31.077591156938901</v>
      </c>
      <c r="U108" s="9">
        <v>-2.1727292888369101E-3</v>
      </c>
      <c r="V108" s="9">
        <v>5.4139103737712597E-3</v>
      </c>
      <c r="W108" s="9">
        <v>5.4072617487908696E-3</v>
      </c>
      <c r="X108" s="10">
        <v>1.6383948051948001</v>
      </c>
      <c r="Y108" s="10">
        <v>1.6378015347179899</v>
      </c>
      <c r="Z108" s="10">
        <v>1.6472511220360599</v>
      </c>
      <c r="AA108" s="10">
        <v>1.6477054684966901</v>
      </c>
      <c r="AB108" s="8">
        <v>31.527679543321401</v>
      </c>
      <c r="AC108" s="8">
        <v>31.7243283157481</v>
      </c>
      <c r="AD108" s="8">
        <v>31.7295349979428</v>
      </c>
      <c r="AE108" s="9">
        <v>-3.6217028635532198E-4</v>
      </c>
      <c r="AF108" s="9">
        <v>5.8557953615336203E-3</v>
      </c>
      <c r="AG108" s="9">
        <v>6.0199045878093502E-3</v>
      </c>
      <c r="AZ108" s="9"/>
      <c r="BB108">
        <f t="shared" si="26"/>
        <v>0</v>
      </c>
      <c r="BC108">
        <f t="shared" si="27"/>
        <v>1</v>
      </c>
      <c r="BD108">
        <f t="shared" si="28"/>
        <v>0</v>
      </c>
      <c r="BE108">
        <f t="shared" si="24"/>
        <v>1</v>
      </c>
      <c r="BF108">
        <f t="shared" si="29"/>
        <v>0</v>
      </c>
      <c r="BG108" s="9">
        <f t="shared" si="30"/>
        <v>0</v>
      </c>
      <c r="BH108" s="9">
        <f t="shared" si="31"/>
        <v>0</v>
      </c>
      <c r="BI108" s="9">
        <f t="shared" si="32"/>
        <v>0</v>
      </c>
      <c r="BJ108" s="12">
        <f t="shared" si="33"/>
        <v>8.1412832384008382E-3</v>
      </c>
      <c r="BL108" s="9"/>
      <c r="BN108">
        <f t="shared" si="34"/>
        <v>1</v>
      </c>
      <c r="BO108">
        <f t="shared" si="35"/>
        <v>0</v>
      </c>
      <c r="BP108">
        <f t="shared" si="36"/>
        <v>0</v>
      </c>
      <c r="BQ108">
        <f t="shared" si="25"/>
        <v>1</v>
      </c>
      <c r="BR108">
        <f t="shared" si="37"/>
        <v>0</v>
      </c>
      <c r="BS108" s="9">
        <f t="shared" si="38"/>
        <v>0</v>
      </c>
      <c r="BT108" s="9">
        <f t="shared" si="39"/>
        <v>0</v>
      </c>
      <c r="BU108" s="9">
        <f t="shared" si="40"/>
        <v>0</v>
      </c>
      <c r="BV108" s="12">
        <f t="shared" si="41"/>
        <v>4.7187128644676692E-3</v>
      </c>
      <c r="BX108" s="12">
        <f t="shared" si="42"/>
        <v>0</v>
      </c>
      <c r="BY108" s="12">
        <f t="shared" si="43"/>
        <v>1.2859996102868507E-2</v>
      </c>
    </row>
    <row r="109" spans="1:77" x14ac:dyDescent="0.3">
      <c r="A109" s="1">
        <v>46181</v>
      </c>
      <c r="B109" s="8">
        <v>18.690000000000001</v>
      </c>
      <c r="C109" s="8">
        <v>30.97</v>
      </c>
      <c r="D109" s="9">
        <v>-3.2051309489483301E-3</v>
      </c>
      <c r="E109" s="9">
        <v>1.93923784108635E-3</v>
      </c>
      <c r="F109" s="8">
        <v>0</v>
      </c>
      <c r="G109" s="8">
        <v>0.5</v>
      </c>
      <c r="H109" s="8">
        <v>0</v>
      </c>
      <c r="I109" s="8">
        <v>0.62909999999999999</v>
      </c>
      <c r="J109" s="8">
        <v>0.5</v>
      </c>
      <c r="K109" s="8">
        <v>0.62909999999999999</v>
      </c>
      <c r="L109" s="8">
        <v>19.190000000000001</v>
      </c>
      <c r="M109" s="8">
        <v>31.5991</v>
      </c>
      <c r="N109" s="10">
        <v>1.6570358480470799</v>
      </c>
      <c r="O109" s="10">
        <v>1.64495540501874</v>
      </c>
      <c r="P109" s="10">
        <v>1.6565487666234999</v>
      </c>
      <c r="Q109" s="10">
        <v>1.6569395051204401</v>
      </c>
      <c r="R109" s="8">
        <v>30.744216519800201</v>
      </c>
      <c r="S109" s="8">
        <v>30.9663172770987</v>
      </c>
      <c r="T109" s="8">
        <v>30.9684109494472</v>
      </c>
      <c r="U109" s="9">
        <v>-7.3170980788716498E-3</v>
      </c>
      <c r="V109" s="9">
        <v>-1.18919660306103E-4</v>
      </c>
      <c r="W109" s="9">
        <v>-5.1310665828105197E-5</v>
      </c>
      <c r="X109" s="10">
        <v>1.6466440854611699</v>
      </c>
      <c r="Y109" s="10">
        <v>1.6378015347179899</v>
      </c>
      <c r="Z109" s="10">
        <v>1.6468234390109</v>
      </c>
      <c r="AA109" s="10">
        <v>1.6476152060348499</v>
      </c>
      <c r="AB109" s="8">
        <v>31.429411451238401</v>
      </c>
      <c r="AC109" s="8">
        <v>31.6107490318721</v>
      </c>
      <c r="AD109" s="8">
        <v>31.6194679404515</v>
      </c>
      <c r="AE109" s="9">
        <v>-5.3845142408055699E-3</v>
      </c>
      <c r="AF109" s="9">
        <v>3.6858281367375397E-4</v>
      </c>
      <c r="AG109" s="9">
        <v>6.4436578745337197E-4</v>
      </c>
      <c r="AZ109" s="9"/>
      <c r="BB109">
        <f t="shared" si="26"/>
        <v>0</v>
      </c>
      <c r="BC109">
        <f t="shared" si="27"/>
        <v>1</v>
      </c>
      <c r="BD109">
        <f t="shared" si="28"/>
        <v>0</v>
      </c>
      <c r="BE109">
        <f t="shared" si="24"/>
        <v>1</v>
      </c>
      <c r="BF109">
        <f t="shared" si="29"/>
        <v>0</v>
      </c>
      <c r="BG109" s="9">
        <f t="shared" si="30"/>
        <v>0</v>
      </c>
      <c r="BH109" s="9">
        <f t="shared" si="31"/>
        <v>0</v>
      </c>
      <c r="BI109" s="9">
        <f t="shared" si="32"/>
        <v>0</v>
      </c>
      <c r="BJ109" s="12">
        <f t="shared" si="33"/>
        <v>8.1412832384008382E-3</v>
      </c>
      <c r="BL109" s="9"/>
      <c r="BN109">
        <f t="shared" si="34"/>
        <v>0</v>
      </c>
      <c r="BO109">
        <f t="shared" si="35"/>
        <v>1</v>
      </c>
      <c r="BP109">
        <f t="shared" si="36"/>
        <v>1</v>
      </c>
      <c r="BQ109">
        <f t="shared" si="25"/>
        <v>1</v>
      </c>
      <c r="BR109">
        <f t="shared" si="37"/>
        <v>1</v>
      </c>
      <c r="BS109" s="9">
        <f t="shared" si="38"/>
        <v>3.2051309489483301E-3</v>
      </c>
      <c r="BT109" s="9">
        <f t="shared" si="39"/>
        <v>1.93923784108635E-3</v>
      </c>
      <c r="BU109" s="9">
        <f t="shared" si="40"/>
        <v>5.1443687900346799E-3</v>
      </c>
      <c r="BV109" s="12">
        <f t="shared" si="41"/>
        <v>9.8630816545023491E-3</v>
      </c>
      <c r="BX109" s="12">
        <f t="shared" si="42"/>
        <v>5.1443687900346799E-3</v>
      </c>
      <c r="BY109" s="12">
        <f t="shared" si="43"/>
        <v>1.8004364892903187E-2</v>
      </c>
    </row>
    <row r="110" spans="1:77" x14ac:dyDescent="0.3">
      <c r="A110" s="1">
        <v>46182</v>
      </c>
      <c r="B110" s="8">
        <v>18.66</v>
      </c>
      <c r="C110" s="8">
        <v>30.89</v>
      </c>
      <c r="D110" s="9">
        <v>-1.6064260482737899E-3</v>
      </c>
      <c r="E110" s="9">
        <v>-2.5864870546210401E-3</v>
      </c>
      <c r="F110" s="8">
        <v>0</v>
      </c>
      <c r="G110" s="8">
        <v>0.5</v>
      </c>
      <c r="H110" s="8">
        <v>0</v>
      </c>
      <c r="I110" s="8">
        <v>0.62909999999999999</v>
      </c>
      <c r="J110" s="8">
        <v>0.5</v>
      </c>
      <c r="K110" s="8">
        <v>0.62909999999999999</v>
      </c>
      <c r="L110" s="8">
        <v>19.16</v>
      </c>
      <c r="M110" s="8">
        <v>31.519100000000002</v>
      </c>
      <c r="N110" s="10">
        <v>1.65541264737406</v>
      </c>
      <c r="O110" s="10">
        <v>1.64495540501874</v>
      </c>
      <c r="P110" s="10">
        <v>1.6562699255408</v>
      </c>
      <c r="Q110" s="10">
        <v>1.6566041563768701</v>
      </c>
      <c r="R110" s="8">
        <v>30.694867857649601</v>
      </c>
      <c r="S110" s="8">
        <v>30.9111999851946</v>
      </c>
      <c r="T110" s="8">
        <v>30.918491165547501</v>
      </c>
      <c r="U110" s="9">
        <v>-6.3370370725242898E-3</v>
      </c>
      <c r="V110" s="9">
        <v>6.8607036857686098E-4</v>
      </c>
      <c r="W110" s="9">
        <v>9.2191758861173202E-4</v>
      </c>
      <c r="X110" s="10">
        <v>1.64504697286012</v>
      </c>
      <c r="Y110" s="10">
        <v>1.6378015347179899</v>
      </c>
      <c r="Z110" s="10">
        <v>1.64640222956116</v>
      </c>
      <c r="AA110" s="10">
        <v>1.6472090243592501</v>
      </c>
      <c r="AB110" s="8">
        <v>31.3802774051968</v>
      </c>
      <c r="AC110" s="8">
        <v>31.5531370914489</v>
      </c>
      <c r="AD110" s="8">
        <v>31.568307347627702</v>
      </c>
      <c r="AE110" s="9">
        <v>-4.4141238256160901E-3</v>
      </c>
      <c r="AF110" s="9">
        <v>1.0793051371796099E-3</v>
      </c>
      <c r="AG110" s="9">
        <v>1.5599740003738899E-3</v>
      </c>
      <c r="AZ110" s="9"/>
      <c r="BB110">
        <f t="shared" si="26"/>
        <v>0</v>
      </c>
      <c r="BC110">
        <f t="shared" si="27"/>
        <v>1</v>
      </c>
      <c r="BD110">
        <f t="shared" si="28"/>
        <v>0</v>
      </c>
      <c r="BE110">
        <f t="shared" si="24"/>
        <v>1</v>
      </c>
      <c r="BF110">
        <f t="shared" si="29"/>
        <v>0</v>
      </c>
      <c r="BG110" s="9">
        <f t="shared" si="30"/>
        <v>0</v>
      </c>
      <c r="BH110" s="9">
        <f t="shared" si="31"/>
        <v>0</v>
      </c>
      <c r="BI110" s="9">
        <f t="shared" si="32"/>
        <v>0</v>
      </c>
      <c r="BJ110" s="12">
        <f t="shared" si="33"/>
        <v>8.1412832384008382E-3</v>
      </c>
      <c r="BL110" s="9"/>
      <c r="BN110">
        <f t="shared" si="34"/>
        <v>0</v>
      </c>
      <c r="BO110">
        <f t="shared" si="35"/>
        <v>1</v>
      </c>
      <c r="BP110">
        <f t="shared" si="36"/>
        <v>0</v>
      </c>
      <c r="BQ110">
        <f t="shared" si="25"/>
        <v>1</v>
      </c>
      <c r="BR110">
        <f t="shared" si="37"/>
        <v>0</v>
      </c>
      <c r="BS110" s="9">
        <f t="shared" si="38"/>
        <v>0</v>
      </c>
      <c r="BT110" s="9">
        <f t="shared" si="39"/>
        <v>0</v>
      </c>
      <c r="BU110" s="9">
        <f t="shared" si="40"/>
        <v>0</v>
      </c>
      <c r="BV110" s="12">
        <f t="shared" si="41"/>
        <v>9.8630816545023491E-3</v>
      </c>
      <c r="BX110" s="12">
        <f t="shared" si="42"/>
        <v>0</v>
      </c>
      <c r="BY110" s="12">
        <f t="shared" si="43"/>
        <v>1.8004364892903187E-2</v>
      </c>
    </row>
    <row r="111" spans="1:77" x14ac:dyDescent="0.3">
      <c r="A111" s="1">
        <v>46183</v>
      </c>
      <c r="B111" s="8">
        <v>18.61</v>
      </c>
      <c r="C111" s="8">
        <v>30.77</v>
      </c>
      <c r="D111" s="9">
        <v>-2.68312476503842E-3</v>
      </c>
      <c r="E111" s="9">
        <v>-3.8923175965398901E-3</v>
      </c>
      <c r="F111" s="8">
        <v>0</v>
      </c>
      <c r="G111" s="8">
        <v>0.5</v>
      </c>
      <c r="H111" s="8">
        <v>0</v>
      </c>
      <c r="I111" s="8">
        <v>0.62909999999999999</v>
      </c>
      <c r="J111" s="8">
        <v>0.5</v>
      </c>
      <c r="K111" s="8">
        <v>0.62909999999999999</v>
      </c>
      <c r="L111" s="8">
        <v>19.11</v>
      </c>
      <c r="M111" s="8">
        <v>31.399100000000001</v>
      </c>
      <c r="N111" s="10">
        <v>1.65341214400859</v>
      </c>
      <c r="O111" s="10">
        <v>1.64495540501874</v>
      </c>
      <c r="P111" s="10">
        <v>1.6559647019469399</v>
      </c>
      <c r="Q111" s="10">
        <v>1.65654415561084</v>
      </c>
      <c r="R111" s="8">
        <v>30.6126200873987</v>
      </c>
      <c r="S111" s="8">
        <v>30.823183314314299</v>
      </c>
      <c r="T111" s="8">
        <v>30.8294033501736</v>
      </c>
      <c r="U111" s="9">
        <v>-5.12784424102286E-3</v>
      </c>
      <c r="V111" s="9">
        <v>1.72692251544146E-3</v>
      </c>
      <c r="W111" s="9">
        <v>1.92869947945454E-3</v>
      </c>
      <c r="X111" s="10">
        <v>1.6430716902145399</v>
      </c>
      <c r="Y111" s="10">
        <v>1.6378015347179899</v>
      </c>
      <c r="Z111" s="10">
        <v>1.6459512590477301</v>
      </c>
      <c r="AA111" s="10">
        <v>1.64707128443466</v>
      </c>
      <c r="AB111" s="8">
        <v>31.298387328460901</v>
      </c>
      <c r="AC111" s="8">
        <v>31.4627466069139</v>
      </c>
      <c r="AD111" s="8">
        <v>31.478164455505301</v>
      </c>
      <c r="AE111" s="9">
        <v>-3.2126569166666301E-3</v>
      </c>
      <c r="AF111" s="9">
        <v>2.02496846968122E-3</v>
      </c>
      <c r="AG111" s="9">
        <v>2.51488349123332E-3</v>
      </c>
      <c r="AZ111" s="9"/>
      <c r="BB111">
        <f t="shared" si="26"/>
        <v>0</v>
      </c>
      <c r="BC111">
        <f t="shared" si="27"/>
        <v>1</v>
      </c>
      <c r="BD111">
        <f t="shared" si="28"/>
        <v>0</v>
      </c>
      <c r="BE111">
        <f t="shared" si="24"/>
        <v>1</v>
      </c>
      <c r="BF111">
        <f t="shared" si="29"/>
        <v>0</v>
      </c>
      <c r="BG111" s="9">
        <f t="shared" si="30"/>
        <v>0</v>
      </c>
      <c r="BH111" s="9">
        <f t="shared" si="31"/>
        <v>0</v>
      </c>
      <c r="BI111" s="9">
        <f t="shared" si="32"/>
        <v>0</v>
      </c>
      <c r="BJ111" s="12">
        <f t="shared" si="33"/>
        <v>8.1412832384008382E-3</v>
      </c>
      <c r="BL111" s="9"/>
      <c r="BN111">
        <f t="shared" si="34"/>
        <v>0</v>
      </c>
      <c r="BO111">
        <f t="shared" si="35"/>
        <v>0</v>
      </c>
      <c r="BP111">
        <f t="shared" si="36"/>
        <v>0</v>
      </c>
      <c r="BQ111">
        <f t="shared" si="25"/>
        <v>1</v>
      </c>
      <c r="BR111">
        <f t="shared" si="37"/>
        <v>0</v>
      </c>
      <c r="BS111" s="9">
        <f t="shared" si="38"/>
        <v>0</v>
      </c>
      <c r="BT111" s="9">
        <f t="shared" si="39"/>
        <v>0</v>
      </c>
      <c r="BU111" s="9">
        <f t="shared" si="40"/>
        <v>0</v>
      </c>
      <c r="BV111" s="12">
        <f t="shared" si="41"/>
        <v>9.8630816545023491E-3</v>
      </c>
      <c r="BX111" s="12">
        <f t="shared" si="42"/>
        <v>0</v>
      </c>
      <c r="BY111" s="12">
        <f t="shared" si="43"/>
        <v>1.8004364892903187E-2</v>
      </c>
    </row>
    <row r="112" spans="1:77" x14ac:dyDescent="0.3">
      <c r="A112" s="1">
        <v>46184</v>
      </c>
      <c r="B112" s="8">
        <v>18.77</v>
      </c>
      <c r="C112" s="8">
        <v>31.02</v>
      </c>
      <c r="D112" s="9">
        <v>8.5607799442580304E-3</v>
      </c>
      <c r="E112" s="9">
        <v>8.0919684144422493E-3</v>
      </c>
      <c r="F112" s="8">
        <v>0</v>
      </c>
      <c r="G112" s="8">
        <v>0.5</v>
      </c>
      <c r="H112" s="8">
        <v>0</v>
      </c>
      <c r="I112" s="8">
        <v>0.62909999999999999</v>
      </c>
      <c r="J112" s="8">
        <v>0.5</v>
      </c>
      <c r="K112" s="8">
        <v>0.62909999999999999</v>
      </c>
      <c r="L112" s="8">
        <v>19.27</v>
      </c>
      <c r="M112" s="8">
        <v>31.649100000000001</v>
      </c>
      <c r="N112" s="10">
        <v>1.6526371870005301</v>
      </c>
      <c r="O112" s="10">
        <v>1.64495540501874</v>
      </c>
      <c r="P112" s="10">
        <v>1.6554389469627799</v>
      </c>
      <c r="Q112" s="10">
        <v>1.65620176377853</v>
      </c>
      <c r="R112" s="8">
        <v>30.875812952201699</v>
      </c>
      <c r="S112" s="8">
        <v>31.082457455544102</v>
      </c>
      <c r="T112" s="8">
        <v>31.0933338008156</v>
      </c>
      <c r="U112" s="9">
        <v>-4.6590327112071596E-3</v>
      </c>
      <c r="V112" s="9">
        <v>2.01143333648842E-3</v>
      </c>
      <c r="W112" s="9">
        <v>2.3612912204870298E-3</v>
      </c>
      <c r="X112" s="10">
        <v>1.6424026984950699</v>
      </c>
      <c r="Y112" s="10">
        <v>1.6378015347179899</v>
      </c>
      <c r="Z112" s="10">
        <v>1.6452910134333201</v>
      </c>
      <c r="AA112" s="10">
        <v>1.64666259794922</v>
      </c>
      <c r="AB112" s="8">
        <v>31.560435574015798</v>
      </c>
      <c r="AC112" s="8">
        <v>31.717480761849899</v>
      </c>
      <c r="AD112" s="8">
        <v>31.739063651055901</v>
      </c>
      <c r="AE112" s="9">
        <v>-2.8054148264393601E-3</v>
      </c>
      <c r="AF112" s="9">
        <v>2.1582603186541299E-3</v>
      </c>
      <c r="AG112" s="9">
        <v>2.8385018993445999E-3</v>
      </c>
      <c r="AZ112" s="9"/>
      <c r="BB112">
        <f t="shared" si="26"/>
        <v>0</v>
      </c>
      <c r="BC112">
        <f t="shared" si="27"/>
        <v>1</v>
      </c>
      <c r="BD112">
        <f t="shared" si="28"/>
        <v>0</v>
      </c>
      <c r="BE112">
        <f t="shared" si="24"/>
        <v>1</v>
      </c>
      <c r="BF112">
        <f t="shared" si="29"/>
        <v>0</v>
      </c>
      <c r="BG112" s="9">
        <f t="shared" si="30"/>
        <v>0</v>
      </c>
      <c r="BH112" s="9">
        <f t="shared" si="31"/>
        <v>0</v>
      </c>
      <c r="BI112" s="9">
        <f t="shared" si="32"/>
        <v>0</v>
      </c>
      <c r="BJ112" s="12">
        <f t="shared" si="33"/>
        <v>8.1412832384008382E-3</v>
      </c>
      <c r="BL112" s="9"/>
      <c r="BN112">
        <f t="shared" si="34"/>
        <v>0</v>
      </c>
      <c r="BO112">
        <f t="shared" si="35"/>
        <v>0</v>
      </c>
      <c r="BP112">
        <f t="shared" si="36"/>
        <v>0</v>
      </c>
      <c r="BQ112">
        <f t="shared" si="25"/>
        <v>1</v>
      </c>
      <c r="BR112">
        <f t="shared" si="37"/>
        <v>0</v>
      </c>
      <c r="BS112" s="9">
        <f t="shared" si="38"/>
        <v>0</v>
      </c>
      <c r="BT112" s="9">
        <f t="shared" si="39"/>
        <v>0</v>
      </c>
      <c r="BU112" s="9">
        <f t="shared" si="40"/>
        <v>0</v>
      </c>
      <c r="BV112" s="12">
        <f t="shared" si="41"/>
        <v>9.8630816545023491E-3</v>
      </c>
      <c r="BX112" s="12">
        <f t="shared" si="42"/>
        <v>0</v>
      </c>
      <c r="BY112" s="12">
        <f t="shared" si="43"/>
        <v>1.8004364892903187E-2</v>
      </c>
    </row>
    <row r="113" spans="1:77" x14ac:dyDescent="0.3">
      <c r="A113" s="1">
        <v>46185</v>
      </c>
      <c r="B113" s="8">
        <v>18.82</v>
      </c>
      <c r="C113" s="8">
        <v>31.07</v>
      </c>
      <c r="D113" s="9">
        <v>2.6602835588162401E-3</v>
      </c>
      <c r="E113" s="9">
        <v>1.6105656565632801E-3</v>
      </c>
      <c r="F113" s="8">
        <v>0</v>
      </c>
      <c r="G113" s="8">
        <v>0.5</v>
      </c>
      <c r="H113" s="8">
        <v>0</v>
      </c>
      <c r="I113" s="8">
        <v>0.62909999999999999</v>
      </c>
      <c r="J113" s="8">
        <v>0.5</v>
      </c>
      <c r="K113" s="8">
        <v>0.62909999999999999</v>
      </c>
      <c r="L113" s="8">
        <v>19.32</v>
      </c>
      <c r="M113" s="8">
        <v>31.699100000000001</v>
      </c>
      <c r="N113" s="10">
        <v>1.65090329436769</v>
      </c>
      <c r="O113" s="10">
        <v>1.64495540501874</v>
      </c>
      <c r="P113" s="10">
        <v>1.6545986770304599</v>
      </c>
      <c r="Q113" s="10">
        <v>1.65580729595098</v>
      </c>
      <c r="R113" s="8">
        <v>30.958060722452601</v>
      </c>
      <c r="S113" s="8">
        <v>31.1553609818396</v>
      </c>
      <c r="T113" s="8">
        <v>31.1697171943119</v>
      </c>
      <c r="U113" s="9">
        <v>-3.6093148089541998E-3</v>
      </c>
      <c r="V113" s="9">
        <v>2.74360916636485E-3</v>
      </c>
      <c r="W113" s="9">
        <v>3.20429732420916E-3</v>
      </c>
      <c r="X113" s="10">
        <v>1.64074016563147</v>
      </c>
      <c r="Y113" s="10">
        <v>1.6378015347179899</v>
      </c>
      <c r="Z113" s="10">
        <v>1.6443253801509501</v>
      </c>
      <c r="AA113" s="10">
        <v>1.6462042334801501</v>
      </c>
      <c r="AB113" s="8">
        <v>31.642325650751701</v>
      </c>
      <c r="AC113" s="8">
        <v>31.787022379531798</v>
      </c>
      <c r="AD113" s="8">
        <v>31.813521392378998</v>
      </c>
      <c r="AE113" s="9">
        <v>-1.79264561443161E-3</v>
      </c>
      <c r="AF113" s="9">
        <v>2.76981590455606E-3</v>
      </c>
      <c r="AG113" s="9">
        <v>3.6031111189986299E-3</v>
      </c>
      <c r="AZ113" s="9"/>
      <c r="BB113">
        <f t="shared" si="26"/>
        <v>0</v>
      </c>
      <c r="BC113">
        <f t="shared" si="27"/>
        <v>1</v>
      </c>
      <c r="BD113">
        <f t="shared" si="28"/>
        <v>0</v>
      </c>
      <c r="BE113">
        <f t="shared" si="24"/>
        <v>1</v>
      </c>
      <c r="BF113">
        <f t="shared" si="29"/>
        <v>0</v>
      </c>
      <c r="BG113" s="9">
        <f t="shared" si="30"/>
        <v>0</v>
      </c>
      <c r="BH113" s="9">
        <f t="shared" si="31"/>
        <v>0</v>
      </c>
      <c r="BI113" s="9">
        <f t="shared" si="32"/>
        <v>0</v>
      </c>
      <c r="BJ113" s="12">
        <f t="shared" si="33"/>
        <v>8.1412832384008382E-3</v>
      </c>
      <c r="BL113" s="9"/>
      <c r="BN113">
        <f t="shared" si="34"/>
        <v>0</v>
      </c>
      <c r="BO113">
        <f t="shared" si="35"/>
        <v>0</v>
      </c>
      <c r="BP113">
        <f t="shared" si="36"/>
        <v>0</v>
      </c>
      <c r="BQ113">
        <f t="shared" si="25"/>
        <v>1</v>
      </c>
      <c r="BR113">
        <f t="shared" si="37"/>
        <v>0</v>
      </c>
      <c r="BS113" s="9">
        <f t="shared" si="38"/>
        <v>0</v>
      </c>
      <c r="BT113" s="9">
        <f t="shared" si="39"/>
        <v>0</v>
      </c>
      <c r="BU113" s="9">
        <f t="shared" si="40"/>
        <v>0</v>
      </c>
      <c r="BV113" s="12">
        <f t="shared" si="41"/>
        <v>9.8630816545023491E-3</v>
      </c>
      <c r="BX113" s="12">
        <f t="shared" si="42"/>
        <v>0</v>
      </c>
      <c r="BY113" s="12">
        <f t="shared" si="43"/>
        <v>1.8004364892903187E-2</v>
      </c>
    </row>
    <row r="114" spans="1:77" x14ac:dyDescent="0.3">
      <c r="A114" s="1">
        <v>46188</v>
      </c>
      <c r="B114" s="8">
        <v>18.93</v>
      </c>
      <c r="C114" s="8">
        <v>31.3</v>
      </c>
      <c r="D114" s="9">
        <v>5.8278310639978204E-3</v>
      </c>
      <c r="E114" s="9">
        <v>7.3753741411514001E-3</v>
      </c>
      <c r="F114" s="8">
        <v>0</v>
      </c>
      <c r="G114" s="8">
        <v>0.5</v>
      </c>
      <c r="H114" s="8">
        <v>0</v>
      </c>
      <c r="I114" s="8">
        <v>0.62909999999999999</v>
      </c>
      <c r="J114" s="8">
        <v>0.5</v>
      </c>
      <c r="K114" s="8">
        <v>0.62909999999999999</v>
      </c>
      <c r="L114" s="8">
        <v>19.43</v>
      </c>
      <c r="M114" s="8">
        <v>31.929099999999998</v>
      </c>
      <c r="N114" s="10">
        <v>1.6534601162176401</v>
      </c>
      <c r="O114" s="10">
        <v>1.64495540501874</v>
      </c>
      <c r="P114" s="10">
        <v>1.6541579938264599</v>
      </c>
      <c r="Q114" s="10">
        <v>1.65559813615677</v>
      </c>
      <c r="R114" s="8">
        <v>31.139005817004701</v>
      </c>
      <c r="S114" s="8">
        <v>31.3215529561867</v>
      </c>
      <c r="T114" s="8">
        <v>31.344432112352099</v>
      </c>
      <c r="U114" s="9">
        <v>-5.1568578861079604E-3</v>
      </c>
      <c r="V114" s="9">
        <v>6.8835587814013296E-4</v>
      </c>
      <c r="W114" s="9">
        <v>1.41854968764842E-3</v>
      </c>
      <c r="X114" s="10">
        <v>1.64328872876994</v>
      </c>
      <c r="Y114" s="10">
        <v>1.6378015347179899</v>
      </c>
      <c r="Z114" s="10">
        <v>1.6438955081719799</v>
      </c>
      <c r="AA114" s="10">
        <v>1.6459344183594</v>
      </c>
      <c r="AB114" s="8">
        <v>31.822483819570699</v>
      </c>
      <c r="AC114" s="8">
        <v>31.949242136333002</v>
      </c>
      <c r="AD114" s="8">
        <v>31.9857482565194</v>
      </c>
      <c r="AE114" s="9">
        <v>-3.3447413675734001E-3</v>
      </c>
      <c r="AF114" s="9">
        <v>6.3064056852380303E-4</v>
      </c>
      <c r="AG114" s="9">
        <v>1.7726169395040599E-3</v>
      </c>
      <c r="AZ114" s="9"/>
      <c r="BB114">
        <f t="shared" si="26"/>
        <v>0</v>
      </c>
      <c r="BC114">
        <f t="shared" si="27"/>
        <v>1</v>
      </c>
      <c r="BD114">
        <f t="shared" si="28"/>
        <v>0</v>
      </c>
      <c r="BE114">
        <f t="shared" si="24"/>
        <v>1</v>
      </c>
      <c r="BF114">
        <f t="shared" si="29"/>
        <v>0</v>
      </c>
      <c r="BG114" s="9">
        <f t="shared" si="30"/>
        <v>0</v>
      </c>
      <c r="BH114" s="9">
        <f t="shared" si="31"/>
        <v>0</v>
      </c>
      <c r="BI114" s="9">
        <f t="shared" si="32"/>
        <v>0</v>
      </c>
      <c r="BJ114" s="12">
        <f t="shared" si="33"/>
        <v>8.1412832384008382E-3</v>
      </c>
      <c r="BL114" s="9"/>
      <c r="BN114">
        <f t="shared" si="34"/>
        <v>0</v>
      </c>
      <c r="BO114">
        <f t="shared" si="35"/>
        <v>1</v>
      </c>
      <c r="BP114">
        <f t="shared" si="36"/>
        <v>0</v>
      </c>
      <c r="BQ114">
        <f t="shared" si="25"/>
        <v>1</v>
      </c>
      <c r="BR114">
        <f t="shared" si="37"/>
        <v>0</v>
      </c>
      <c r="BS114" s="9">
        <f t="shared" si="38"/>
        <v>0</v>
      </c>
      <c r="BT114" s="9">
        <f t="shared" si="39"/>
        <v>0</v>
      </c>
      <c r="BU114" s="9">
        <f t="shared" si="40"/>
        <v>0</v>
      </c>
      <c r="BV114" s="12">
        <f t="shared" si="41"/>
        <v>9.8630816545023491E-3</v>
      </c>
      <c r="BX114" s="12">
        <f t="shared" si="42"/>
        <v>0</v>
      </c>
      <c r="BY114" s="12">
        <f t="shared" si="43"/>
        <v>1.8004364892903187E-2</v>
      </c>
    </row>
    <row r="115" spans="1:77" x14ac:dyDescent="0.3">
      <c r="A115" s="1">
        <v>46189</v>
      </c>
      <c r="B115" s="8">
        <v>18.940000000000001</v>
      </c>
      <c r="C115" s="8">
        <v>31.19</v>
      </c>
      <c r="D115" s="9">
        <v>5.2812253670076305E-4</v>
      </c>
      <c r="E115" s="9">
        <v>-3.52056692639565E-3</v>
      </c>
      <c r="F115" s="8">
        <v>0</v>
      </c>
      <c r="G115" s="8">
        <v>0.5</v>
      </c>
      <c r="H115" s="8">
        <v>0</v>
      </c>
      <c r="I115" s="8">
        <v>0.62909999999999999</v>
      </c>
      <c r="J115" s="8">
        <v>0.5</v>
      </c>
      <c r="K115" s="8">
        <v>0.62909999999999999</v>
      </c>
      <c r="L115" s="8">
        <v>19.440000000000001</v>
      </c>
      <c r="M115" s="8">
        <v>31.819099999999999</v>
      </c>
      <c r="N115" s="10">
        <v>1.6467793030622999</v>
      </c>
      <c r="O115" s="10">
        <v>1.64495540501874</v>
      </c>
      <c r="P115" s="10">
        <v>1.6529256338952301</v>
      </c>
      <c r="Q115" s="10">
        <v>1.65515282925887</v>
      </c>
      <c r="R115" s="8">
        <v>31.155455371054899</v>
      </c>
      <c r="S115" s="8">
        <v>31.3297524030733</v>
      </c>
      <c r="T115" s="8">
        <v>31.357028698809199</v>
      </c>
      <c r="U115" s="9">
        <v>-1.10816842301145E-3</v>
      </c>
      <c r="V115" s="9">
        <v>4.4706714428545602E-3</v>
      </c>
      <c r="W115" s="9">
        <v>5.3409122489023299E-3</v>
      </c>
      <c r="X115" s="10">
        <v>1.63678497942386</v>
      </c>
      <c r="Y115" s="10">
        <v>1.6378015347179899</v>
      </c>
      <c r="Z115" s="10">
        <v>1.64269431459765</v>
      </c>
      <c r="AA115" s="10">
        <v>1.64543573809022</v>
      </c>
      <c r="AB115" s="8">
        <v>31.8388618349179</v>
      </c>
      <c r="AC115" s="8">
        <v>31.957328678863298</v>
      </c>
      <c r="AD115" s="8">
        <v>31.996965092906802</v>
      </c>
      <c r="AE115" s="9">
        <v>6.2087553490870295E-4</v>
      </c>
      <c r="AF115" s="9">
        <v>4.3347957286100297E-3</v>
      </c>
      <c r="AG115" s="9">
        <v>5.5743190437998903E-3</v>
      </c>
      <c r="AZ115" s="9"/>
      <c r="BB115">
        <f t="shared" si="26"/>
        <v>0</v>
      </c>
      <c r="BC115">
        <f t="shared" si="27"/>
        <v>1</v>
      </c>
      <c r="BD115">
        <f t="shared" si="28"/>
        <v>0</v>
      </c>
      <c r="BE115">
        <f t="shared" si="24"/>
        <v>1</v>
      </c>
      <c r="BF115">
        <f t="shared" si="29"/>
        <v>0</v>
      </c>
      <c r="BG115" s="9">
        <f t="shared" si="30"/>
        <v>0</v>
      </c>
      <c r="BH115" s="9">
        <f t="shared" si="31"/>
        <v>0</v>
      </c>
      <c r="BI115" s="9">
        <f t="shared" si="32"/>
        <v>0</v>
      </c>
      <c r="BJ115" s="12">
        <f t="shared" si="33"/>
        <v>8.1412832384008382E-3</v>
      </c>
      <c r="BL115" s="9"/>
      <c r="BN115">
        <f t="shared" si="34"/>
        <v>1</v>
      </c>
      <c r="BO115">
        <f t="shared" si="35"/>
        <v>0</v>
      </c>
      <c r="BP115">
        <f t="shared" si="36"/>
        <v>0</v>
      </c>
      <c r="BQ115">
        <f t="shared" si="25"/>
        <v>1</v>
      </c>
      <c r="BR115">
        <f t="shared" si="37"/>
        <v>0</v>
      </c>
      <c r="BS115" s="9">
        <f t="shared" si="38"/>
        <v>0</v>
      </c>
      <c r="BT115" s="9">
        <f t="shared" si="39"/>
        <v>0</v>
      </c>
      <c r="BU115" s="9">
        <f t="shared" si="40"/>
        <v>0</v>
      </c>
      <c r="BV115" s="12">
        <f t="shared" si="41"/>
        <v>9.8630816545023491E-3</v>
      </c>
      <c r="BX115" s="12">
        <f t="shared" si="42"/>
        <v>0</v>
      </c>
      <c r="BY115" s="12">
        <f t="shared" si="43"/>
        <v>1.8004364892903187E-2</v>
      </c>
    </row>
    <row r="116" spans="1:77" x14ac:dyDescent="0.3">
      <c r="A116" s="1">
        <v>46190</v>
      </c>
      <c r="B116" s="8">
        <v>18.84</v>
      </c>
      <c r="C116" s="8">
        <v>31.09</v>
      </c>
      <c r="D116" s="9">
        <v>-5.2938186097152701E-3</v>
      </c>
      <c r="E116" s="9">
        <v>-3.2113065490494601E-3</v>
      </c>
      <c r="F116" s="8">
        <v>0</v>
      </c>
      <c r="G116" s="8">
        <v>0.5</v>
      </c>
      <c r="H116" s="8">
        <v>0</v>
      </c>
      <c r="I116" s="8">
        <v>0.62909999999999999</v>
      </c>
      <c r="J116" s="8">
        <v>0.5</v>
      </c>
      <c r="K116" s="8">
        <v>0.62909999999999999</v>
      </c>
      <c r="L116" s="8">
        <v>19.34</v>
      </c>
      <c r="M116" s="8">
        <v>31.719100000000001</v>
      </c>
      <c r="N116" s="10">
        <v>1.65021231422505</v>
      </c>
      <c r="O116" s="10">
        <v>1.64495540501874</v>
      </c>
      <c r="P116" s="10">
        <v>1.65218253410754</v>
      </c>
      <c r="Q116" s="10">
        <v>1.65485595833911</v>
      </c>
      <c r="R116" s="8">
        <v>30.990959830552999</v>
      </c>
      <c r="S116" s="8">
        <v>31.1411189425861</v>
      </c>
      <c r="T116" s="8">
        <v>31.1830793032372</v>
      </c>
      <c r="U116" s="9">
        <v>-3.1906804836772302E-3</v>
      </c>
      <c r="V116" s="9">
        <v>1.64287433529783E-3</v>
      </c>
      <c r="W116" s="9">
        <v>2.9893936062061499E-3</v>
      </c>
      <c r="X116" s="10">
        <v>1.6400775594622501</v>
      </c>
      <c r="Y116" s="10">
        <v>1.6378015347179899</v>
      </c>
      <c r="Z116" s="10">
        <v>1.6419704262832799</v>
      </c>
      <c r="AA116" s="10">
        <v>1.6450817626601899</v>
      </c>
      <c r="AB116" s="8">
        <v>31.675081681446098</v>
      </c>
      <c r="AC116" s="8">
        <v>31.769708044318701</v>
      </c>
      <c r="AD116" s="8">
        <v>31.822727174664799</v>
      </c>
      <c r="AE116" s="9">
        <v>-1.38871815868978E-3</v>
      </c>
      <c r="AF116" s="9">
        <v>1.59423547539691E-3</v>
      </c>
      <c r="AG116" s="9">
        <v>3.2617024452754198E-3</v>
      </c>
      <c r="AZ116" s="9"/>
      <c r="BB116">
        <f t="shared" si="26"/>
        <v>0</v>
      </c>
      <c r="BC116">
        <f t="shared" si="27"/>
        <v>1</v>
      </c>
      <c r="BD116">
        <f t="shared" si="28"/>
        <v>0</v>
      </c>
      <c r="BE116">
        <f t="shared" si="24"/>
        <v>1</v>
      </c>
      <c r="BF116">
        <f t="shared" si="29"/>
        <v>0</v>
      </c>
      <c r="BG116" s="9">
        <f t="shared" si="30"/>
        <v>0</v>
      </c>
      <c r="BH116" s="9">
        <f t="shared" si="31"/>
        <v>0</v>
      </c>
      <c r="BI116" s="9">
        <f t="shared" si="32"/>
        <v>0</v>
      </c>
      <c r="BJ116" s="12">
        <f t="shared" si="33"/>
        <v>8.1412832384008382E-3</v>
      </c>
      <c r="BL116" s="9"/>
      <c r="BN116">
        <f t="shared" si="34"/>
        <v>0</v>
      </c>
      <c r="BO116">
        <f t="shared" si="35"/>
        <v>0</v>
      </c>
      <c r="BP116">
        <f t="shared" si="36"/>
        <v>1</v>
      </c>
      <c r="BQ116">
        <f t="shared" si="25"/>
        <v>1</v>
      </c>
      <c r="BR116">
        <f t="shared" si="37"/>
        <v>1</v>
      </c>
      <c r="BS116" s="9">
        <f t="shared" si="38"/>
        <v>5.2938186097152701E-3</v>
      </c>
      <c r="BT116" s="9">
        <f t="shared" si="39"/>
        <v>-3.2113065490494601E-3</v>
      </c>
      <c r="BU116" s="9">
        <f t="shared" si="40"/>
        <v>2.08251206066581E-3</v>
      </c>
      <c r="BV116" s="12">
        <f t="shared" si="41"/>
        <v>1.1945593715168158E-2</v>
      </c>
      <c r="BX116" s="12">
        <f t="shared" si="42"/>
        <v>2.08251206066581E-3</v>
      </c>
      <c r="BY116" s="12">
        <f t="shared" si="43"/>
        <v>2.0086876953568998E-2</v>
      </c>
    </row>
    <row r="117" spans="1:77" x14ac:dyDescent="0.3">
      <c r="A117" s="1">
        <v>46191</v>
      </c>
      <c r="B117" s="8">
        <v>18.89</v>
      </c>
      <c r="C117" s="8">
        <v>31.23</v>
      </c>
      <c r="D117" s="9">
        <v>2.6504123652011202E-3</v>
      </c>
      <c r="E117" s="9">
        <v>4.4929472243247998E-3</v>
      </c>
      <c r="F117" s="8">
        <v>0</v>
      </c>
      <c r="G117" s="8">
        <v>0.5</v>
      </c>
      <c r="H117" s="8">
        <v>0</v>
      </c>
      <c r="I117" s="8">
        <v>0.62909999999999999</v>
      </c>
      <c r="J117" s="8">
        <v>0.5</v>
      </c>
      <c r="K117" s="8">
        <v>0.62909999999999999</v>
      </c>
      <c r="L117" s="8">
        <v>19.39</v>
      </c>
      <c r="M117" s="8">
        <v>31.859100000000002</v>
      </c>
      <c r="N117" s="10">
        <v>1.65325569084171</v>
      </c>
      <c r="O117" s="10">
        <v>1.64495540501874</v>
      </c>
      <c r="P117" s="10">
        <v>1.6521641878477999</v>
      </c>
      <c r="Q117" s="10">
        <v>1.65482336808056</v>
      </c>
      <c r="R117" s="8">
        <v>31.073207600804</v>
      </c>
      <c r="S117" s="8">
        <v>31.209728069291501</v>
      </c>
      <c r="T117" s="8">
        <v>31.2602290530258</v>
      </c>
      <c r="U117" s="9">
        <v>-5.0332153428007996E-3</v>
      </c>
      <c r="V117" s="9">
        <v>-6.4932798548498702E-4</v>
      </c>
      <c r="W117" s="9">
        <v>9.6748102357246198E-4</v>
      </c>
      <c r="X117" s="10">
        <v>1.6430685920577599</v>
      </c>
      <c r="Y117" s="10">
        <v>1.6378015347179899</v>
      </c>
      <c r="Z117" s="10">
        <v>1.6419520277571</v>
      </c>
      <c r="AA117" s="10">
        <v>1.6449845415603199</v>
      </c>
      <c r="AB117" s="8">
        <v>31.756971758181901</v>
      </c>
      <c r="AC117" s="8">
        <v>31.837806565632899</v>
      </c>
      <c r="AD117" s="8">
        <v>31.898135377981099</v>
      </c>
      <c r="AE117" s="9">
        <v>-3.21077132657035E-3</v>
      </c>
      <c r="AF117" s="9">
        <v>-6.6858616244890696E-4</v>
      </c>
      <c r="AG117" s="9">
        <v>1.2245004861707301E-3</v>
      </c>
      <c r="AZ117" s="9"/>
      <c r="BB117">
        <f t="shared" si="26"/>
        <v>0</v>
      </c>
      <c r="BC117">
        <f t="shared" si="27"/>
        <v>1</v>
      </c>
      <c r="BD117">
        <f t="shared" si="28"/>
        <v>0</v>
      </c>
      <c r="BE117">
        <f t="shared" si="24"/>
        <v>1</v>
      </c>
      <c r="BF117">
        <f t="shared" si="29"/>
        <v>0</v>
      </c>
      <c r="BG117" s="9">
        <f t="shared" si="30"/>
        <v>0</v>
      </c>
      <c r="BH117" s="9">
        <f t="shared" si="31"/>
        <v>0</v>
      </c>
      <c r="BI117" s="9">
        <f t="shared" si="32"/>
        <v>0</v>
      </c>
      <c r="BJ117" s="12">
        <f t="shared" si="33"/>
        <v>8.1412832384008382E-3</v>
      </c>
      <c r="BL117" s="9"/>
      <c r="BN117">
        <f t="shared" si="34"/>
        <v>0</v>
      </c>
      <c r="BO117">
        <f t="shared" si="35"/>
        <v>1</v>
      </c>
      <c r="BP117">
        <f t="shared" si="36"/>
        <v>1</v>
      </c>
      <c r="BQ117">
        <f t="shared" si="25"/>
        <v>1</v>
      </c>
      <c r="BR117">
        <f t="shared" si="37"/>
        <v>1</v>
      </c>
      <c r="BS117" s="9">
        <f t="shared" si="38"/>
        <v>-2.6504123652011202E-3</v>
      </c>
      <c r="BT117" s="9">
        <f t="shared" si="39"/>
        <v>4.4929472243247998E-3</v>
      </c>
      <c r="BU117" s="9">
        <f t="shared" si="40"/>
        <v>1.8425348591236796E-3</v>
      </c>
      <c r="BV117" s="12">
        <f t="shared" si="41"/>
        <v>1.3788128574291838E-2</v>
      </c>
      <c r="BX117" s="12">
        <f t="shared" si="42"/>
        <v>1.8425348591236796E-3</v>
      </c>
      <c r="BY117" s="12">
        <f t="shared" si="43"/>
        <v>2.1929411812692676E-2</v>
      </c>
    </row>
    <row r="118" spans="1:77" x14ac:dyDescent="0.3">
      <c r="A118" s="1">
        <v>46195</v>
      </c>
      <c r="B118" s="8">
        <v>18.739999999999998</v>
      </c>
      <c r="C118" s="8">
        <v>30.84</v>
      </c>
      <c r="D118" s="9">
        <v>-7.97240470314221E-3</v>
      </c>
      <c r="E118" s="9">
        <v>-1.2566622599858499E-2</v>
      </c>
      <c r="F118" s="8">
        <v>0</v>
      </c>
      <c r="G118" s="8">
        <v>0.5</v>
      </c>
      <c r="H118" s="8">
        <v>0</v>
      </c>
      <c r="I118" s="8">
        <v>0.62909999999999999</v>
      </c>
      <c r="J118" s="8">
        <v>0.5</v>
      </c>
      <c r="K118" s="8">
        <v>0.62909999999999999</v>
      </c>
      <c r="L118" s="8">
        <v>19.239999999999998</v>
      </c>
      <c r="M118" s="8">
        <v>31.469100000000001</v>
      </c>
      <c r="N118" s="10">
        <v>1.64567769477054</v>
      </c>
      <c r="O118" s="10">
        <v>1.64495540501874</v>
      </c>
      <c r="P118" s="10">
        <v>1.65187862399152</v>
      </c>
      <c r="Q118" s="10">
        <v>1.6543587148073899</v>
      </c>
      <c r="R118" s="8">
        <v>30.826464290051099</v>
      </c>
      <c r="S118" s="8">
        <v>30.9615568802678</v>
      </c>
      <c r="T118" s="8">
        <v>31.0113899178296</v>
      </c>
      <c r="U118" s="9">
        <v>-4.3899744608456398E-4</v>
      </c>
      <c r="V118" s="9">
        <v>3.9337855924127399E-3</v>
      </c>
      <c r="W118" s="9">
        <v>5.5420050132124797E-3</v>
      </c>
      <c r="X118" s="10">
        <v>1.6356081081081</v>
      </c>
      <c r="Y118" s="10">
        <v>1.6378015347179899</v>
      </c>
      <c r="Z118" s="10">
        <v>1.64167335804843</v>
      </c>
      <c r="AA118" s="10">
        <v>1.6444622400422499</v>
      </c>
      <c r="AB118" s="8">
        <v>31.511301527974201</v>
      </c>
      <c r="AC118" s="8">
        <v>31.591157014046601</v>
      </c>
      <c r="AD118" s="8">
        <v>31.649502579620599</v>
      </c>
      <c r="AE118" s="9">
        <v>1.34014814979216E-3</v>
      </c>
      <c r="AF118" s="9">
        <v>3.8711281003677E-3</v>
      </c>
      <c r="AG118" s="9">
        <v>5.7163201810034401E-3</v>
      </c>
      <c r="AZ118" s="9"/>
      <c r="BB118">
        <f t="shared" si="26"/>
        <v>0</v>
      </c>
      <c r="BC118">
        <f t="shared" si="27"/>
        <v>1</v>
      </c>
      <c r="BD118">
        <f t="shared" si="28"/>
        <v>0</v>
      </c>
      <c r="BE118">
        <f t="shared" si="24"/>
        <v>1</v>
      </c>
      <c r="BF118">
        <f t="shared" si="29"/>
        <v>0</v>
      </c>
      <c r="BG118" s="9">
        <f t="shared" si="30"/>
        <v>0</v>
      </c>
      <c r="BH118" s="9">
        <f t="shared" si="31"/>
        <v>0</v>
      </c>
      <c r="BI118" s="9">
        <f t="shared" si="32"/>
        <v>0</v>
      </c>
      <c r="BJ118" s="12">
        <f t="shared" si="33"/>
        <v>8.1412832384008382E-3</v>
      </c>
      <c r="BL118" s="9"/>
      <c r="BN118">
        <f t="shared" si="34"/>
        <v>1</v>
      </c>
      <c r="BO118">
        <f t="shared" si="35"/>
        <v>0</v>
      </c>
      <c r="BP118">
        <f t="shared" si="36"/>
        <v>0</v>
      </c>
      <c r="BQ118">
        <f t="shared" si="25"/>
        <v>1</v>
      </c>
      <c r="BR118">
        <f t="shared" si="37"/>
        <v>0</v>
      </c>
      <c r="BS118" s="9">
        <f t="shared" si="38"/>
        <v>0</v>
      </c>
      <c r="BT118" s="9">
        <f t="shared" si="39"/>
        <v>0</v>
      </c>
      <c r="BU118" s="9">
        <f t="shared" si="40"/>
        <v>0</v>
      </c>
      <c r="BV118" s="12">
        <f t="shared" si="41"/>
        <v>1.3788128574291838E-2</v>
      </c>
      <c r="BX118" s="12">
        <f t="shared" si="42"/>
        <v>0</v>
      </c>
      <c r="BY118" s="12">
        <f t="shared" si="43"/>
        <v>2.1929411812692676E-2</v>
      </c>
    </row>
    <row r="119" spans="1:77" x14ac:dyDescent="0.3">
      <c r="A119" s="1">
        <v>46196</v>
      </c>
      <c r="B119" s="8">
        <v>18.739999999999998</v>
      </c>
      <c r="C119" s="8">
        <v>30.78</v>
      </c>
      <c r="D119" s="9">
        <v>0</v>
      </c>
      <c r="E119" s="9">
        <v>-1.9474202843955601E-3</v>
      </c>
      <c r="F119" s="8">
        <v>0</v>
      </c>
      <c r="G119" s="8">
        <v>0.5</v>
      </c>
      <c r="H119" s="8">
        <v>0</v>
      </c>
      <c r="I119" s="8">
        <v>0.62909999999999999</v>
      </c>
      <c r="J119" s="8">
        <v>0.5</v>
      </c>
      <c r="K119" s="8">
        <v>0.62909999999999999</v>
      </c>
      <c r="L119" s="8">
        <v>19.239999999999998</v>
      </c>
      <c r="M119" s="8">
        <v>31.409099999999999</v>
      </c>
      <c r="N119" s="10">
        <v>1.64247598719316</v>
      </c>
      <c r="O119" s="10">
        <v>1.64495540501874</v>
      </c>
      <c r="P119" s="10">
        <v>1.65042263790613</v>
      </c>
      <c r="Q119" s="10">
        <v>1.65348570226481</v>
      </c>
      <c r="R119" s="8">
        <v>30.826464290051099</v>
      </c>
      <c r="S119" s="8">
        <v>30.956205413601101</v>
      </c>
      <c r="T119" s="8">
        <v>31.0026823154905</v>
      </c>
      <c r="U119" s="9">
        <v>1.5084228383109701E-3</v>
      </c>
      <c r="V119" s="9">
        <v>5.7083486390226102E-3</v>
      </c>
      <c r="W119" s="9">
        <v>7.2085986373737598E-3</v>
      </c>
      <c r="X119" s="10">
        <v>1.6324896049896001</v>
      </c>
      <c r="Y119" s="10">
        <v>1.6378015347179899</v>
      </c>
      <c r="Z119" s="10">
        <v>1.64025791000127</v>
      </c>
      <c r="AA119" s="10">
        <v>1.6435406745060901</v>
      </c>
      <c r="AB119" s="8">
        <v>31.511301527974201</v>
      </c>
      <c r="AC119" s="8">
        <v>31.585795408851801</v>
      </c>
      <c r="AD119" s="8">
        <v>31.639453498412799</v>
      </c>
      <c r="AE119" s="9">
        <v>3.2486003068496502E-3</v>
      </c>
      <c r="AF119" s="9">
        <v>5.60984730887161E-3</v>
      </c>
      <c r="AG119" s="9">
        <v>7.3072104152583804E-3</v>
      </c>
      <c r="AZ119" s="9"/>
      <c r="BB119">
        <f t="shared" si="26"/>
        <v>0</v>
      </c>
      <c r="BC119">
        <f t="shared" si="27"/>
        <v>1</v>
      </c>
      <c r="BD119">
        <f t="shared" si="28"/>
        <v>0</v>
      </c>
      <c r="BE119">
        <f t="shared" si="24"/>
        <v>1</v>
      </c>
      <c r="BF119">
        <f t="shared" si="29"/>
        <v>0</v>
      </c>
      <c r="BG119" s="9">
        <f t="shared" si="30"/>
        <v>0</v>
      </c>
      <c r="BH119" s="9">
        <f t="shared" si="31"/>
        <v>0</v>
      </c>
      <c r="BI119" s="9">
        <f t="shared" si="32"/>
        <v>0</v>
      </c>
      <c r="BJ119" s="12">
        <f t="shared" si="33"/>
        <v>8.1412832384008382E-3</v>
      </c>
      <c r="BL119" s="9"/>
      <c r="BN119">
        <f t="shared" si="34"/>
        <v>1</v>
      </c>
      <c r="BO119">
        <f t="shared" si="35"/>
        <v>0</v>
      </c>
      <c r="BP119">
        <f t="shared" si="36"/>
        <v>1</v>
      </c>
      <c r="BQ119">
        <f t="shared" si="25"/>
        <v>1</v>
      </c>
      <c r="BR119">
        <f t="shared" si="37"/>
        <v>1</v>
      </c>
      <c r="BS119" s="9">
        <f t="shared" si="38"/>
        <v>0</v>
      </c>
      <c r="BT119" s="9">
        <f t="shared" si="39"/>
        <v>-1.9474202843955601E-3</v>
      </c>
      <c r="BU119" s="9">
        <f t="shared" si="40"/>
        <v>-1.9474202843955601E-3</v>
      </c>
      <c r="BV119" s="12">
        <f t="shared" si="41"/>
        <v>1.1840708289896279E-2</v>
      </c>
      <c r="BX119" s="12">
        <f t="shared" si="42"/>
        <v>-1.9474202843955601E-3</v>
      </c>
      <c r="BY119" s="12">
        <f t="shared" si="43"/>
        <v>1.9981991528297115E-2</v>
      </c>
    </row>
    <row r="120" spans="1:77" x14ac:dyDescent="0.3">
      <c r="A120" s="1">
        <v>46197</v>
      </c>
      <c r="B120" s="8">
        <v>18.68</v>
      </c>
      <c r="C120" s="8">
        <v>30.68</v>
      </c>
      <c r="D120" s="9">
        <v>-3.20684400957944E-3</v>
      </c>
      <c r="E120" s="9">
        <v>-3.25415191167778E-3</v>
      </c>
      <c r="F120" s="8">
        <v>0</v>
      </c>
      <c r="G120" s="8">
        <v>0.5</v>
      </c>
      <c r="H120" s="8">
        <v>0</v>
      </c>
      <c r="I120" s="8">
        <v>0.62909999999999999</v>
      </c>
      <c r="J120" s="8">
        <v>0.5</v>
      </c>
      <c r="K120" s="8">
        <v>0.62909999999999999</v>
      </c>
      <c r="L120" s="8">
        <v>19.18</v>
      </c>
      <c r="M120" s="8">
        <v>31.309100000000001</v>
      </c>
      <c r="N120" s="10">
        <v>1.6423982869378999</v>
      </c>
      <c r="O120" s="10">
        <v>1.64495540501874</v>
      </c>
      <c r="P120" s="10">
        <v>1.6491212018625101</v>
      </c>
      <c r="Q120" s="10">
        <v>1.65269556370166</v>
      </c>
      <c r="R120" s="8">
        <v>30.72776696575</v>
      </c>
      <c r="S120" s="8">
        <v>30.829894876086499</v>
      </c>
      <c r="T120" s="8">
        <v>30.887112918306801</v>
      </c>
      <c r="U120" s="9">
        <v>1.55573074040929E-3</v>
      </c>
      <c r="V120" s="9">
        <v>4.8738556003435803E-3</v>
      </c>
      <c r="W120" s="9">
        <v>6.7280627519361504E-3</v>
      </c>
      <c r="X120" s="10">
        <v>1.6323826903023899</v>
      </c>
      <c r="Y120" s="10">
        <v>1.6378015347179899</v>
      </c>
      <c r="Z120" s="10">
        <v>1.6389914817455</v>
      </c>
      <c r="AA120" s="10">
        <v>1.6426968556533299</v>
      </c>
      <c r="AB120" s="8">
        <v>31.413033435891201</v>
      </c>
      <c r="AC120" s="8">
        <v>31.4601467138244</v>
      </c>
      <c r="AD120" s="8">
        <v>31.523110137026801</v>
      </c>
      <c r="AE120" s="9">
        <v>3.3140942542849699E-3</v>
      </c>
      <c r="AF120" s="9">
        <v>4.8127710076865896E-3</v>
      </c>
      <c r="AG120" s="9">
        <v>6.8121418667092199E-3</v>
      </c>
      <c r="AZ120" s="9"/>
      <c r="BB120">
        <f t="shared" si="26"/>
        <v>0</v>
      </c>
      <c r="BC120">
        <f t="shared" si="27"/>
        <v>1</v>
      </c>
      <c r="BD120">
        <f t="shared" si="28"/>
        <v>0</v>
      </c>
      <c r="BE120">
        <f t="shared" si="24"/>
        <v>1</v>
      </c>
      <c r="BF120">
        <f t="shared" si="29"/>
        <v>0</v>
      </c>
      <c r="BG120" s="9">
        <f t="shared" si="30"/>
        <v>0</v>
      </c>
      <c r="BH120" s="9">
        <f t="shared" si="31"/>
        <v>0</v>
      </c>
      <c r="BI120" s="9">
        <f t="shared" si="32"/>
        <v>0</v>
      </c>
      <c r="BJ120" s="12">
        <f t="shared" si="33"/>
        <v>8.1412832384008382E-3</v>
      </c>
      <c r="BL120" s="9"/>
      <c r="BN120">
        <f t="shared" si="34"/>
        <v>1</v>
      </c>
      <c r="BO120">
        <f t="shared" si="35"/>
        <v>0</v>
      </c>
      <c r="BP120">
        <f t="shared" si="36"/>
        <v>1</v>
      </c>
      <c r="BQ120">
        <f t="shared" si="25"/>
        <v>1</v>
      </c>
      <c r="BR120">
        <f t="shared" si="37"/>
        <v>1</v>
      </c>
      <c r="BS120" s="9">
        <f t="shared" si="38"/>
        <v>3.20684400957944E-3</v>
      </c>
      <c r="BT120" s="9">
        <f t="shared" si="39"/>
        <v>-3.25415191167778E-3</v>
      </c>
      <c r="BU120" s="9">
        <f t="shared" si="40"/>
        <v>-4.7307902098339943E-5</v>
      </c>
      <c r="BV120" s="12">
        <f t="shared" si="41"/>
        <v>1.1793400387797939E-2</v>
      </c>
      <c r="BX120" s="12">
        <f t="shared" si="42"/>
        <v>-4.7307902098339943E-5</v>
      </c>
      <c r="BY120" s="12">
        <f t="shared" si="43"/>
        <v>1.9934683626198775E-2</v>
      </c>
    </row>
    <row r="121" spans="1:77" x14ac:dyDescent="0.3">
      <c r="A121" s="1">
        <v>46198</v>
      </c>
      <c r="B121" s="8">
        <v>18.649999999999999</v>
      </c>
      <c r="C121" s="8">
        <v>30.44</v>
      </c>
      <c r="D121" s="9">
        <v>-1.60728671087202E-3</v>
      </c>
      <c r="E121" s="9">
        <v>-7.85344350557028E-3</v>
      </c>
      <c r="F121" s="8">
        <v>0</v>
      </c>
      <c r="G121" s="8">
        <v>0.5</v>
      </c>
      <c r="H121" s="8">
        <v>0</v>
      </c>
      <c r="I121" s="8">
        <v>0.62909999999999999</v>
      </c>
      <c r="J121" s="8">
        <v>0.5</v>
      </c>
      <c r="K121" s="8">
        <v>0.62909999999999999</v>
      </c>
      <c r="L121" s="8">
        <v>19.149999999999999</v>
      </c>
      <c r="M121" s="8">
        <v>31.069099999999999</v>
      </c>
      <c r="N121" s="10">
        <v>1.63217158176943</v>
      </c>
      <c r="O121" s="10">
        <v>1.64495540501874</v>
      </c>
      <c r="P121" s="10">
        <v>1.6469971456385899</v>
      </c>
      <c r="Q121" s="10">
        <v>1.6514809237927699</v>
      </c>
      <c r="R121" s="8">
        <v>30.6784183035995</v>
      </c>
      <c r="S121" s="8">
        <v>30.7561104147359</v>
      </c>
      <c r="T121" s="8">
        <v>30.822772263035901</v>
      </c>
      <c r="U121" s="9">
        <v>7.8018875351075498E-3</v>
      </c>
      <c r="V121" s="9">
        <v>1.03311541926321E-2</v>
      </c>
      <c r="W121" s="9">
        <v>1.24962429841669E-2</v>
      </c>
      <c r="X121" s="10">
        <v>1.6224073107049599</v>
      </c>
      <c r="Y121" s="10">
        <v>1.6378015347179899</v>
      </c>
      <c r="Z121" s="10">
        <v>1.63692504379454</v>
      </c>
      <c r="AA121" s="10">
        <v>1.64143815142114</v>
      </c>
      <c r="AB121" s="8">
        <v>31.3638993898496</v>
      </c>
      <c r="AC121" s="8">
        <v>31.3866868754263</v>
      </c>
      <c r="AD121" s="8">
        <v>31.4576447857613</v>
      </c>
      <c r="AE121" s="9">
        <v>9.4437744044988999E-3</v>
      </c>
      <c r="AF121" s="9">
        <v>1.0170062011822601E-2</v>
      </c>
      <c r="AG121" s="9">
        <v>1.24282749202468E-2</v>
      </c>
      <c r="AZ121" s="9"/>
      <c r="BB121">
        <f t="shared" si="26"/>
        <v>0</v>
      </c>
      <c r="BC121">
        <f t="shared" si="27"/>
        <v>1</v>
      </c>
      <c r="BD121">
        <f t="shared" si="28"/>
        <v>0</v>
      </c>
      <c r="BE121">
        <f t="shared" si="24"/>
        <v>1</v>
      </c>
      <c r="BF121">
        <f t="shared" si="29"/>
        <v>0</v>
      </c>
      <c r="BG121" s="9">
        <f t="shared" si="30"/>
        <v>0</v>
      </c>
      <c r="BH121" s="9">
        <f t="shared" si="31"/>
        <v>0</v>
      </c>
      <c r="BI121" s="9">
        <f t="shared" si="32"/>
        <v>0</v>
      </c>
      <c r="BJ121" s="12">
        <f t="shared" si="33"/>
        <v>8.1412832384008382E-3</v>
      </c>
      <c r="BL121" s="9"/>
      <c r="BN121">
        <f t="shared" si="34"/>
        <v>1</v>
      </c>
      <c r="BO121">
        <f t="shared" si="35"/>
        <v>0</v>
      </c>
      <c r="BP121">
        <f t="shared" si="36"/>
        <v>1</v>
      </c>
      <c r="BQ121">
        <f t="shared" si="25"/>
        <v>1</v>
      </c>
      <c r="BR121">
        <f t="shared" si="37"/>
        <v>1</v>
      </c>
      <c r="BS121" s="9">
        <f t="shared" si="38"/>
        <v>1.60728671087202E-3</v>
      </c>
      <c r="BT121" s="9">
        <f t="shared" si="39"/>
        <v>-7.85344350557028E-3</v>
      </c>
      <c r="BU121" s="9">
        <f t="shared" si="40"/>
        <v>-6.2461567946982596E-3</v>
      </c>
      <c r="BV121" s="12">
        <f t="shared" si="41"/>
        <v>5.5472435930996791E-3</v>
      </c>
      <c r="BX121" s="12">
        <f t="shared" si="42"/>
        <v>-6.2461567946982596E-3</v>
      </c>
      <c r="BY121" s="12">
        <f t="shared" si="43"/>
        <v>1.3688526831500515E-2</v>
      </c>
    </row>
    <row r="122" spans="1:77" x14ac:dyDescent="0.3">
      <c r="A122" s="1">
        <v>46199</v>
      </c>
      <c r="B122" s="8">
        <v>18.64</v>
      </c>
      <c r="C122" s="8">
        <v>30.36</v>
      </c>
      <c r="D122" s="9">
        <v>-5.3633683237928897E-4</v>
      </c>
      <c r="E122" s="9">
        <v>-2.6315804660559301E-3</v>
      </c>
      <c r="F122" s="8">
        <v>0</v>
      </c>
      <c r="G122" s="8">
        <v>0.5</v>
      </c>
      <c r="H122" s="8">
        <v>0</v>
      </c>
      <c r="I122" s="8">
        <v>0.62909999999999999</v>
      </c>
      <c r="J122" s="8">
        <v>0.5</v>
      </c>
      <c r="K122" s="8">
        <v>0.62909999999999999</v>
      </c>
      <c r="L122" s="8">
        <v>19.14</v>
      </c>
      <c r="M122" s="8">
        <v>30.989100000000001</v>
      </c>
      <c r="N122" s="10">
        <v>1.62875536480686</v>
      </c>
      <c r="O122" s="10">
        <v>1.64495540501874</v>
      </c>
      <c r="P122" s="10">
        <v>1.64460896341923</v>
      </c>
      <c r="Q122" s="10">
        <v>1.6500239551910001</v>
      </c>
      <c r="R122" s="8">
        <v>30.661968749549299</v>
      </c>
      <c r="S122" s="8">
        <v>30.700026794703401</v>
      </c>
      <c r="T122" s="8">
        <v>30.783604419497198</v>
      </c>
      <c r="U122" s="9">
        <v>9.8971311687843008E-3</v>
      </c>
      <c r="V122" s="9">
        <v>1.1137574856986099E-2</v>
      </c>
      <c r="W122" s="9">
        <v>1.38562716750579E-2</v>
      </c>
      <c r="X122" s="10">
        <v>1.61907523510971</v>
      </c>
      <c r="Y122" s="10">
        <v>1.6378015347179899</v>
      </c>
      <c r="Z122" s="10">
        <v>1.6345922974560001</v>
      </c>
      <c r="AA122" s="10">
        <v>1.63994165544466</v>
      </c>
      <c r="AB122" s="8">
        <v>31.347521374502499</v>
      </c>
      <c r="AC122" s="8">
        <v>31.330745338227501</v>
      </c>
      <c r="AD122" s="8">
        <v>31.4171262182006</v>
      </c>
      <c r="AE122" s="9">
        <v>1.1499671187400799E-2</v>
      </c>
      <c r="AF122" s="9">
        <v>1.0964364850599401E-2</v>
      </c>
      <c r="AG122" s="9">
        <v>1.37176354364517E-2</v>
      </c>
      <c r="AZ122" s="9"/>
      <c r="BB122">
        <f t="shared" si="26"/>
        <v>0</v>
      </c>
      <c r="BC122">
        <f t="shared" si="27"/>
        <v>1</v>
      </c>
      <c r="BD122">
        <f t="shared" si="28"/>
        <v>0</v>
      </c>
      <c r="BE122">
        <f t="shared" si="24"/>
        <v>1</v>
      </c>
      <c r="BF122">
        <f t="shared" si="29"/>
        <v>0</v>
      </c>
      <c r="BG122" s="9">
        <f t="shared" si="30"/>
        <v>0</v>
      </c>
      <c r="BH122" s="9">
        <f t="shared" si="31"/>
        <v>0</v>
      </c>
      <c r="BI122" s="9">
        <f t="shared" si="32"/>
        <v>0</v>
      </c>
      <c r="BJ122" s="12">
        <f t="shared" si="33"/>
        <v>8.1412832384008382E-3</v>
      </c>
      <c r="BL122" s="9"/>
      <c r="BN122">
        <f t="shared" si="34"/>
        <v>1</v>
      </c>
      <c r="BO122">
        <f t="shared" si="35"/>
        <v>0</v>
      </c>
      <c r="BP122">
        <f t="shared" si="36"/>
        <v>1</v>
      </c>
      <c r="BQ122">
        <f t="shared" si="25"/>
        <v>1</v>
      </c>
      <c r="BR122">
        <f t="shared" si="37"/>
        <v>1</v>
      </c>
      <c r="BS122" s="9">
        <f t="shared" si="38"/>
        <v>5.3633683237928897E-4</v>
      </c>
      <c r="BT122" s="9">
        <f t="shared" si="39"/>
        <v>-2.6315804660559301E-3</v>
      </c>
      <c r="BU122" s="9">
        <f t="shared" si="40"/>
        <v>-2.0952436336766412E-3</v>
      </c>
      <c r="BV122" s="12">
        <f t="shared" si="41"/>
        <v>3.4519999594230378E-3</v>
      </c>
      <c r="BX122" s="12">
        <f t="shared" si="42"/>
        <v>-2.0952436336766412E-3</v>
      </c>
      <c r="BY122" s="12">
        <f t="shared" si="43"/>
        <v>1.1593283197823875E-2</v>
      </c>
    </row>
    <row r="123" spans="1:77" x14ac:dyDescent="0.3">
      <c r="A123" s="1">
        <v>46202</v>
      </c>
      <c r="B123" s="8">
        <v>18.68</v>
      </c>
      <c r="C123" s="8">
        <v>30.61</v>
      </c>
      <c r="D123" s="9">
        <v>2.14362354325136E-3</v>
      </c>
      <c r="E123" s="9">
        <v>8.2008004298918698E-3</v>
      </c>
      <c r="F123" s="8">
        <v>0</v>
      </c>
      <c r="G123" s="8">
        <v>0.5</v>
      </c>
      <c r="H123" s="8">
        <v>0</v>
      </c>
      <c r="I123" s="8">
        <v>0.62909999999999999</v>
      </c>
      <c r="J123" s="8">
        <v>0.5</v>
      </c>
      <c r="K123" s="8">
        <v>0.62909999999999999</v>
      </c>
      <c r="L123" s="8">
        <v>19.18</v>
      </c>
      <c r="M123" s="8">
        <v>31.239100000000001</v>
      </c>
      <c r="N123" s="10">
        <v>1.63865096359743</v>
      </c>
      <c r="O123" s="10">
        <v>1.64495540501874</v>
      </c>
      <c r="P123" s="10">
        <v>1.6433837303422001</v>
      </c>
      <c r="Q123" s="10">
        <v>1.6489912036863299</v>
      </c>
      <c r="R123" s="8">
        <v>30.72776696575</v>
      </c>
      <c r="S123" s="8">
        <v>30.721295436671198</v>
      </c>
      <c r="T123" s="8">
        <v>30.822447482967998</v>
      </c>
      <c r="U123" s="9">
        <v>3.8399542821436999E-3</v>
      </c>
      <c r="V123" s="9">
        <v>3.6293235955321898E-3</v>
      </c>
      <c r="W123" s="9">
        <v>6.9164859480562099E-3</v>
      </c>
      <c r="X123" s="10">
        <v>1.6287330552659001</v>
      </c>
      <c r="Y123" s="10">
        <v>1.6378015347179899</v>
      </c>
      <c r="Z123" s="10">
        <v>1.6333915864194499</v>
      </c>
      <c r="AA123" s="10">
        <v>1.6388584832852</v>
      </c>
      <c r="AB123" s="8">
        <v>31.413033435891201</v>
      </c>
      <c r="AC123" s="8">
        <v>31.351480265206199</v>
      </c>
      <c r="AD123" s="8">
        <v>31.454080951428701</v>
      </c>
      <c r="AE123" s="9">
        <v>5.5523690319528802E-3</v>
      </c>
      <c r="AF123" s="9">
        <v>3.5909680176312501E-3</v>
      </c>
      <c r="AG123" s="9">
        <v>6.8582193726455598E-3</v>
      </c>
      <c r="AZ123" s="9"/>
      <c r="BB123">
        <f t="shared" si="26"/>
        <v>0</v>
      </c>
      <c r="BC123">
        <f t="shared" si="27"/>
        <v>1</v>
      </c>
      <c r="BD123">
        <f t="shared" si="28"/>
        <v>0</v>
      </c>
      <c r="BE123">
        <f t="shared" si="24"/>
        <v>1</v>
      </c>
      <c r="BF123">
        <f t="shared" si="29"/>
        <v>0</v>
      </c>
      <c r="BG123" s="9">
        <f t="shared" si="30"/>
        <v>0</v>
      </c>
      <c r="BH123" s="9">
        <f t="shared" si="31"/>
        <v>0</v>
      </c>
      <c r="BI123" s="9">
        <f t="shared" si="32"/>
        <v>0</v>
      </c>
      <c r="BJ123" s="12">
        <f t="shared" si="33"/>
        <v>8.1412832384008382E-3</v>
      </c>
      <c r="BL123" s="9"/>
      <c r="BN123">
        <f t="shared" si="34"/>
        <v>1</v>
      </c>
      <c r="BO123">
        <f t="shared" si="35"/>
        <v>0</v>
      </c>
      <c r="BP123">
        <f t="shared" si="36"/>
        <v>1</v>
      </c>
      <c r="BQ123">
        <f t="shared" si="25"/>
        <v>1</v>
      </c>
      <c r="BR123">
        <f t="shared" si="37"/>
        <v>1</v>
      </c>
      <c r="BS123" s="9">
        <f t="shared" si="38"/>
        <v>-2.14362354325136E-3</v>
      </c>
      <c r="BT123" s="9">
        <f t="shared" si="39"/>
        <v>8.2008004298918698E-3</v>
      </c>
      <c r="BU123" s="9">
        <f t="shared" si="40"/>
        <v>6.0571768866405102E-3</v>
      </c>
      <c r="BV123" s="12">
        <f t="shared" si="41"/>
        <v>9.5091768460635485E-3</v>
      </c>
      <c r="BX123" s="12">
        <f t="shared" si="42"/>
        <v>6.0571768866405102E-3</v>
      </c>
      <c r="BY123" s="12">
        <f t="shared" si="43"/>
        <v>1.7650460084464387E-2</v>
      </c>
    </row>
    <row r="124" spans="1:77" x14ac:dyDescent="0.3">
      <c r="A124" s="1">
        <v>46203</v>
      </c>
      <c r="B124" s="8">
        <v>18.690000000000001</v>
      </c>
      <c r="C124" s="8">
        <v>30.49</v>
      </c>
      <c r="D124" s="9">
        <v>5.3518866677501901E-4</v>
      </c>
      <c r="E124" s="9">
        <v>-3.9279919571576999E-3</v>
      </c>
      <c r="F124" s="8">
        <v>0</v>
      </c>
      <c r="G124" s="8">
        <v>0.5</v>
      </c>
      <c r="H124" s="8">
        <v>0</v>
      </c>
      <c r="I124" s="8">
        <v>0.62909999999999999</v>
      </c>
      <c r="J124" s="8">
        <v>0.5</v>
      </c>
      <c r="K124" s="8">
        <v>0.62909999999999999</v>
      </c>
      <c r="L124" s="8">
        <v>19.190000000000001</v>
      </c>
      <c r="M124" s="8">
        <v>31.1191</v>
      </c>
      <c r="N124" s="10">
        <v>1.6313536650615299</v>
      </c>
      <c r="O124" s="10">
        <v>1.64495540501874</v>
      </c>
      <c r="P124" s="10">
        <v>1.64117308522659</v>
      </c>
      <c r="Q124" s="10">
        <v>1.6476655395265301</v>
      </c>
      <c r="R124" s="8">
        <v>30.744216519800201</v>
      </c>
      <c r="S124" s="8">
        <v>30.7148419200958</v>
      </c>
      <c r="T124" s="8">
        <v>30.819645596897601</v>
      </c>
      <c r="U124" s="9">
        <v>8.3031349060764901E-3</v>
      </c>
      <c r="V124" s="9">
        <v>7.3472269345961003E-3</v>
      </c>
      <c r="W124" s="9">
        <v>1.0753569698424699E-2</v>
      </c>
      <c r="X124" s="10">
        <v>1.6216310578426201</v>
      </c>
      <c r="Y124" s="10">
        <v>1.6378015347179899</v>
      </c>
      <c r="Z124" s="10">
        <v>1.63122581932672</v>
      </c>
      <c r="AA124" s="10">
        <v>1.6375606637493501</v>
      </c>
      <c r="AB124" s="8">
        <v>31.429411451238401</v>
      </c>
      <c r="AC124" s="8">
        <v>31.344784543389199</v>
      </c>
      <c r="AD124" s="8">
        <v>31.449694294242999</v>
      </c>
      <c r="AE124" s="9">
        <v>9.9223463503036093E-3</v>
      </c>
      <c r="AF124" s="9">
        <v>7.2261124033523401E-3</v>
      </c>
      <c r="AG124" s="9">
        <v>1.05674841418694E-2</v>
      </c>
      <c r="AZ124" s="9"/>
      <c r="BB124">
        <f t="shared" si="26"/>
        <v>0</v>
      </c>
      <c r="BC124">
        <f t="shared" si="27"/>
        <v>1</v>
      </c>
      <c r="BD124">
        <f t="shared" si="28"/>
        <v>0</v>
      </c>
      <c r="BE124">
        <f t="shared" si="24"/>
        <v>0</v>
      </c>
      <c r="BF124">
        <f t="shared" si="29"/>
        <v>0</v>
      </c>
      <c r="BG124" s="9">
        <f t="shared" si="30"/>
        <v>0</v>
      </c>
      <c r="BH124" s="9">
        <f t="shared" si="31"/>
        <v>0</v>
      </c>
      <c r="BI124" s="9">
        <f t="shared" si="32"/>
        <v>0</v>
      </c>
      <c r="BJ124" s="12">
        <f t="shared" si="33"/>
        <v>8.1412832384008382E-3</v>
      </c>
      <c r="BL124" s="9"/>
      <c r="BN124">
        <f t="shared" si="34"/>
        <v>1</v>
      </c>
      <c r="BO124">
        <f t="shared" si="35"/>
        <v>0</v>
      </c>
      <c r="BP124">
        <f t="shared" si="36"/>
        <v>1</v>
      </c>
      <c r="BQ124">
        <f t="shared" si="25"/>
        <v>0</v>
      </c>
      <c r="BR124">
        <f t="shared" si="37"/>
        <v>1</v>
      </c>
      <c r="BS124" s="9">
        <f t="shared" si="38"/>
        <v>-5.3518866677501901E-4</v>
      </c>
      <c r="BT124" s="9">
        <f t="shared" si="39"/>
        <v>-3.9279919571576999E-3</v>
      </c>
      <c r="BU124" s="9">
        <f t="shared" si="40"/>
        <v>-4.4631806239327186E-3</v>
      </c>
      <c r="BV124" s="12">
        <f t="shared" si="41"/>
        <v>5.0459962221308299E-3</v>
      </c>
      <c r="BX124" s="12">
        <f t="shared" si="42"/>
        <v>-4.4631806239327186E-3</v>
      </c>
      <c r="BY124" s="12">
        <f t="shared" si="43"/>
        <v>1.3187279460531668E-2</v>
      </c>
    </row>
    <row r="125" spans="1:77" x14ac:dyDescent="0.3">
      <c r="A125" s="1">
        <v>46204</v>
      </c>
      <c r="B125" s="8">
        <v>18.61</v>
      </c>
      <c r="C125" s="8">
        <v>30.47</v>
      </c>
      <c r="D125" s="9">
        <v>-4.2895508133122297E-3</v>
      </c>
      <c r="E125" s="9">
        <v>-6.5616800254568095E-4</v>
      </c>
      <c r="F125" s="8">
        <v>0.1</v>
      </c>
      <c r="G125" s="8">
        <v>0.6</v>
      </c>
      <c r="H125" s="8">
        <v>0.14169999999999999</v>
      </c>
      <c r="I125" s="8">
        <v>0.77079999999999904</v>
      </c>
      <c r="J125" s="8">
        <v>0.6</v>
      </c>
      <c r="K125" s="8">
        <v>0.77079999999999904</v>
      </c>
      <c r="L125" s="8">
        <v>19.21</v>
      </c>
      <c r="M125" s="8">
        <v>31.2408</v>
      </c>
      <c r="N125" s="10">
        <v>1.6372917786136401</v>
      </c>
      <c r="O125" s="10">
        <v>1.64495540501874</v>
      </c>
      <c r="P125" s="10">
        <v>1.6402243327817201</v>
      </c>
      <c r="Q125" s="10">
        <v>1.64657498333848</v>
      </c>
      <c r="R125" s="8">
        <v>30.6126200873987</v>
      </c>
      <c r="S125" s="8">
        <v>30.542231116066901</v>
      </c>
      <c r="T125" s="8">
        <v>30.663055690588699</v>
      </c>
      <c r="U125" s="9">
        <v>4.6697520953099701E-3</v>
      </c>
      <c r="V125" s="9">
        <v>2.3677596603610099E-3</v>
      </c>
      <c r="W125" s="9">
        <v>6.31593923039756E-3</v>
      </c>
      <c r="X125" s="10">
        <v>1.62627798021863</v>
      </c>
      <c r="Y125" s="10">
        <v>1.6378015347179899</v>
      </c>
      <c r="Z125" s="10">
        <v>1.63017511940619</v>
      </c>
      <c r="AA125" s="10">
        <v>1.63643471700192</v>
      </c>
      <c r="AB125" s="8">
        <v>31.462167481932699</v>
      </c>
      <c r="AC125" s="8">
        <v>31.335847989266298</v>
      </c>
      <c r="AD125" s="8">
        <v>31.457540350624999</v>
      </c>
      <c r="AE125" s="9">
        <v>7.0608588564443301E-3</v>
      </c>
      <c r="AF125" s="9">
        <v>3.0378125199964799E-3</v>
      </c>
      <c r="AG125" s="9">
        <v>6.9137783477942801E-3</v>
      </c>
      <c r="AZ125" s="9"/>
      <c r="BB125">
        <f t="shared" si="26"/>
        <v>0</v>
      </c>
      <c r="BC125">
        <f t="shared" si="27"/>
        <v>1</v>
      </c>
      <c r="BD125">
        <f t="shared" si="28"/>
        <v>0</v>
      </c>
      <c r="BE125">
        <f t="shared" si="24"/>
        <v>1</v>
      </c>
      <c r="BF125">
        <f t="shared" si="29"/>
        <v>0</v>
      </c>
      <c r="BG125" s="9">
        <f t="shared" si="30"/>
        <v>0</v>
      </c>
      <c r="BH125" s="9">
        <f t="shared" si="31"/>
        <v>0</v>
      </c>
      <c r="BI125" s="9">
        <f t="shared" si="32"/>
        <v>0</v>
      </c>
      <c r="BJ125" s="12">
        <f t="shared" si="33"/>
        <v>8.1412832384008382E-3</v>
      </c>
      <c r="BL125" s="9"/>
      <c r="BN125">
        <f t="shared" si="34"/>
        <v>1</v>
      </c>
      <c r="BO125">
        <f t="shared" si="35"/>
        <v>0</v>
      </c>
      <c r="BP125">
        <f t="shared" si="36"/>
        <v>0</v>
      </c>
      <c r="BQ125">
        <f t="shared" si="25"/>
        <v>1</v>
      </c>
      <c r="BR125">
        <f t="shared" si="37"/>
        <v>0</v>
      </c>
      <c r="BS125" s="9">
        <f t="shared" si="38"/>
        <v>0</v>
      </c>
      <c r="BT125" s="9">
        <f t="shared" si="39"/>
        <v>0</v>
      </c>
      <c r="BU125" s="9">
        <f t="shared" si="40"/>
        <v>0</v>
      </c>
      <c r="BV125" s="12">
        <f t="shared" si="41"/>
        <v>5.0459962221308299E-3</v>
      </c>
      <c r="BX125" s="12">
        <f t="shared" si="42"/>
        <v>0</v>
      </c>
      <c r="BY125" s="12">
        <f t="shared" si="43"/>
        <v>1.3187279460531668E-2</v>
      </c>
    </row>
    <row r="126" spans="1:77" x14ac:dyDescent="0.3">
      <c r="A126" s="1">
        <v>46205</v>
      </c>
      <c r="B126" s="8">
        <v>18.579999999999998</v>
      </c>
      <c r="C126" s="8">
        <v>30.48</v>
      </c>
      <c r="D126" s="9">
        <v>-1.6133372684669601E-3</v>
      </c>
      <c r="E126" s="9">
        <v>3.28137820827833E-4</v>
      </c>
      <c r="F126" s="8">
        <v>0</v>
      </c>
      <c r="G126" s="8">
        <v>0.6</v>
      </c>
      <c r="H126" s="8">
        <v>0</v>
      </c>
      <c r="I126" s="8">
        <v>0.77079999999999904</v>
      </c>
      <c r="J126" s="8">
        <v>0.6</v>
      </c>
      <c r="K126" s="8">
        <v>0.77079999999999904</v>
      </c>
      <c r="L126" s="8">
        <v>19.18</v>
      </c>
      <c r="M126" s="8">
        <v>31.250800000000002</v>
      </c>
      <c r="N126" s="10">
        <v>1.6404736275565099</v>
      </c>
      <c r="O126" s="10">
        <v>1.64495540501874</v>
      </c>
      <c r="P126" s="10">
        <v>1.63925046411487</v>
      </c>
      <c r="Q126" s="10">
        <v>1.6457164991112101</v>
      </c>
      <c r="R126" s="8">
        <v>30.5632714252481</v>
      </c>
      <c r="S126" s="8">
        <v>30.475368103084499</v>
      </c>
      <c r="T126" s="8">
        <v>30.593363190428899</v>
      </c>
      <c r="U126" s="9">
        <v>2.72827700601519E-3</v>
      </c>
      <c r="V126" s="9">
        <v>-1.5197666976759E-4</v>
      </c>
      <c r="W126" s="9">
        <v>3.7123654143574498E-3</v>
      </c>
      <c r="X126" s="10">
        <v>1.62934306569343</v>
      </c>
      <c r="Y126" s="10">
        <v>1.6378015347179899</v>
      </c>
      <c r="Z126" s="10">
        <v>1.6291016700293099</v>
      </c>
      <c r="AA126" s="10">
        <v>1.6355360481562999</v>
      </c>
      <c r="AB126" s="8">
        <v>31.413033435891201</v>
      </c>
      <c r="AC126" s="8">
        <v>31.266758790210801</v>
      </c>
      <c r="AD126" s="8">
        <v>31.386817872096898</v>
      </c>
      <c r="AE126" s="9">
        <v>5.1779085147583299E-3</v>
      </c>
      <c r="AF126" s="9">
        <v>5.1053786700292001E-4</v>
      </c>
      <c r="AG126" s="9">
        <v>4.3430159227852401E-3</v>
      </c>
      <c r="AZ126" s="9"/>
      <c r="BB126">
        <f t="shared" si="26"/>
        <v>0</v>
      </c>
      <c r="BC126">
        <f t="shared" si="27"/>
        <v>1</v>
      </c>
      <c r="BD126">
        <f t="shared" si="28"/>
        <v>0</v>
      </c>
      <c r="BE126">
        <f t="shared" si="24"/>
        <v>1</v>
      </c>
      <c r="BF126">
        <f t="shared" si="29"/>
        <v>0</v>
      </c>
      <c r="BG126" s="9">
        <f t="shared" si="30"/>
        <v>0</v>
      </c>
      <c r="BH126" s="9">
        <f t="shared" si="31"/>
        <v>0</v>
      </c>
      <c r="BI126" s="9">
        <f t="shared" si="32"/>
        <v>0</v>
      </c>
      <c r="BJ126" s="12">
        <f t="shared" si="33"/>
        <v>8.1412832384008382E-3</v>
      </c>
      <c r="BL126" s="9"/>
      <c r="BN126">
        <f t="shared" si="34"/>
        <v>1</v>
      </c>
      <c r="BO126">
        <f t="shared" si="35"/>
        <v>0</v>
      </c>
      <c r="BP126">
        <f t="shared" si="36"/>
        <v>1</v>
      </c>
      <c r="BQ126">
        <f t="shared" si="25"/>
        <v>1</v>
      </c>
      <c r="BR126">
        <f t="shared" si="37"/>
        <v>1</v>
      </c>
      <c r="BS126" s="9">
        <f t="shared" si="38"/>
        <v>1.6133372684669601E-3</v>
      </c>
      <c r="BT126" s="9">
        <f t="shared" si="39"/>
        <v>3.28137820827833E-4</v>
      </c>
      <c r="BU126" s="9">
        <f t="shared" si="40"/>
        <v>1.9414750892947931E-3</v>
      </c>
      <c r="BV126" s="12">
        <f t="shared" si="41"/>
        <v>6.9874713114256234E-3</v>
      </c>
      <c r="BX126" s="12">
        <f t="shared" si="42"/>
        <v>1.9414750892947931E-3</v>
      </c>
      <c r="BY126" s="12">
        <f t="shared" si="43"/>
        <v>1.5128754549826462E-2</v>
      </c>
    </row>
    <row r="127" spans="1:77" x14ac:dyDescent="0.3">
      <c r="A127" s="1">
        <v>46209</v>
      </c>
      <c r="B127" s="8">
        <v>18.79</v>
      </c>
      <c r="C127" s="8">
        <v>30.74</v>
      </c>
      <c r="D127" s="9">
        <v>1.1239080039681401E-2</v>
      </c>
      <c r="E127" s="9">
        <v>8.4940072920041097E-3</v>
      </c>
      <c r="F127" s="8">
        <v>0</v>
      </c>
      <c r="G127" s="8">
        <v>0.6</v>
      </c>
      <c r="H127" s="8">
        <v>0</v>
      </c>
      <c r="I127" s="8">
        <v>0.77079999999999904</v>
      </c>
      <c r="J127" s="8">
        <v>0.6</v>
      </c>
      <c r="K127" s="8">
        <v>0.77079999999999904</v>
      </c>
      <c r="L127" s="8">
        <v>19.39</v>
      </c>
      <c r="M127" s="8">
        <v>31.5108</v>
      </c>
      <c r="N127" s="10">
        <v>1.6359765832889801</v>
      </c>
      <c r="O127" s="10">
        <v>1.64495540501874</v>
      </c>
      <c r="P127" s="10">
        <v>1.6375225533596001</v>
      </c>
      <c r="Q127" s="10">
        <v>1.6448433706037</v>
      </c>
      <c r="R127" s="8">
        <v>30.908712060302101</v>
      </c>
      <c r="S127" s="8">
        <v>30.801516220718501</v>
      </c>
      <c r="T127" s="8">
        <v>30.923013018299599</v>
      </c>
      <c r="U127" s="9">
        <v>5.4733497536924303E-3</v>
      </c>
      <c r="V127" s="9">
        <v>1.9991786028297699E-3</v>
      </c>
      <c r="W127" s="9">
        <v>5.9359264724998797E-3</v>
      </c>
      <c r="X127" s="10">
        <v>1.6251057246003</v>
      </c>
      <c r="Y127" s="10">
        <v>1.6378015347179899</v>
      </c>
      <c r="Z127" s="10">
        <v>1.62730538328356</v>
      </c>
      <c r="AA127" s="10">
        <v>1.6346287055203299</v>
      </c>
      <c r="AB127" s="8">
        <v>31.756971758181901</v>
      </c>
      <c r="AC127" s="8">
        <v>31.588281381868399</v>
      </c>
      <c r="AD127" s="8">
        <v>31.713043973750601</v>
      </c>
      <c r="AE127" s="9">
        <v>7.7819399563974802E-3</v>
      </c>
      <c r="AF127" s="9">
        <v>2.4558652555375501E-3</v>
      </c>
      <c r="AG127" s="9">
        <v>6.39773385722854E-3</v>
      </c>
      <c r="AZ127" s="9"/>
      <c r="BB127">
        <f t="shared" si="26"/>
        <v>0</v>
      </c>
      <c r="BC127">
        <f t="shared" si="27"/>
        <v>1</v>
      </c>
      <c r="BD127">
        <f t="shared" si="28"/>
        <v>0</v>
      </c>
      <c r="BE127">
        <f t="shared" si="24"/>
        <v>1</v>
      </c>
      <c r="BF127">
        <f t="shared" si="29"/>
        <v>0</v>
      </c>
      <c r="BG127" s="9">
        <f t="shared" si="30"/>
        <v>0</v>
      </c>
      <c r="BH127" s="9">
        <f t="shared" si="31"/>
        <v>0</v>
      </c>
      <c r="BI127" s="9">
        <f t="shared" si="32"/>
        <v>0</v>
      </c>
      <c r="BJ127" s="12">
        <f t="shared" si="33"/>
        <v>8.1412832384008382E-3</v>
      </c>
      <c r="BL127" s="9"/>
      <c r="BN127">
        <f t="shared" si="34"/>
        <v>1</v>
      </c>
      <c r="BO127">
        <f t="shared" si="35"/>
        <v>0</v>
      </c>
      <c r="BP127">
        <f t="shared" si="36"/>
        <v>1</v>
      </c>
      <c r="BQ127">
        <f t="shared" si="25"/>
        <v>1</v>
      </c>
      <c r="BR127">
        <f t="shared" si="37"/>
        <v>1</v>
      </c>
      <c r="BS127" s="9">
        <f t="shared" si="38"/>
        <v>-1.1239080039681401E-2</v>
      </c>
      <c r="BT127" s="9">
        <f t="shared" si="39"/>
        <v>8.4940072920041097E-3</v>
      </c>
      <c r="BU127" s="9">
        <f t="shared" si="40"/>
        <v>-2.7450727476772911E-3</v>
      </c>
      <c r="BV127" s="12">
        <f t="shared" si="41"/>
        <v>4.2423985637483324E-3</v>
      </c>
      <c r="BX127" s="12">
        <f t="shared" si="42"/>
        <v>-2.7450727476772911E-3</v>
      </c>
      <c r="BY127" s="12">
        <f t="shared" si="43"/>
        <v>1.2383681802149171E-2</v>
      </c>
    </row>
    <row r="128" spans="1:77" x14ac:dyDescent="0.3">
      <c r="A128" s="1">
        <v>46210</v>
      </c>
      <c r="B128" s="8">
        <v>18.649999999999999</v>
      </c>
      <c r="C128" s="8">
        <v>30.51</v>
      </c>
      <c r="D128" s="9">
        <v>-7.4786673355494498E-3</v>
      </c>
      <c r="E128" s="9">
        <v>-7.51023938187146E-3</v>
      </c>
      <c r="F128" s="8">
        <v>0</v>
      </c>
      <c r="G128" s="8">
        <v>0.6</v>
      </c>
      <c r="H128" s="8">
        <v>0</v>
      </c>
      <c r="I128" s="8">
        <v>0.77079999999999904</v>
      </c>
      <c r="J128" s="8">
        <v>0.6</v>
      </c>
      <c r="K128" s="8">
        <v>0.77079999999999904</v>
      </c>
      <c r="L128" s="8">
        <v>19.25</v>
      </c>
      <c r="M128" s="8">
        <v>31.280799999999999</v>
      </c>
      <c r="N128" s="10">
        <v>1.63592493297587</v>
      </c>
      <c r="O128" s="10">
        <v>1.64495540501874</v>
      </c>
      <c r="P128" s="10">
        <v>1.6365472771801299</v>
      </c>
      <c r="Q128" s="10">
        <v>1.6442129505858201</v>
      </c>
      <c r="R128" s="8">
        <v>30.6784183035995</v>
      </c>
      <c r="S128" s="8">
        <v>30.5397956201565</v>
      </c>
      <c r="T128" s="8">
        <v>30.676328861759</v>
      </c>
      <c r="U128" s="9">
        <v>5.5049218000144196E-3</v>
      </c>
      <c r="V128" s="9">
        <v>9.7610883770075701E-4</v>
      </c>
      <c r="W128" s="9">
        <v>5.4368116068246901E-3</v>
      </c>
      <c r="X128" s="10">
        <v>1.6249766233766201</v>
      </c>
      <c r="Y128" s="10">
        <v>1.6378015347179899</v>
      </c>
      <c r="Z128" s="10">
        <v>1.62624223481042</v>
      </c>
      <c r="AA128" s="10">
        <v>1.6339577964294201</v>
      </c>
      <c r="AB128" s="8">
        <v>31.527679543321401</v>
      </c>
      <c r="AC128" s="8">
        <v>31.325628628208701</v>
      </c>
      <c r="AD128" s="8">
        <v>31.4666025812664</v>
      </c>
      <c r="AE128" s="9">
        <v>7.8613848503608606E-3</v>
      </c>
      <c r="AF128" s="9">
        <v>1.43207772276273E-3</v>
      </c>
      <c r="AG128" s="9">
        <v>5.9222570713424504E-3</v>
      </c>
      <c r="AZ128" s="9"/>
      <c r="BB128">
        <f t="shared" si="26"/>
        <v>0</v>
      </c>
      <c r="BC128">
        <f t="shared" si="27"/>
        <v>1</v>
      </c>
      <c r="BD128">
        <f t="shared" si="28"/>
        <v>0</v>
      </c>
      <c r="BE128">
        <f t="shared" si="24"/>
        <v>1</v>
      </c>
      <c r="BF128">
        <f t="shared" si="29"/>
        <v>0</v>
      </c>
      <c r="BG128" s="9">
        <f t="shared" si="30"/>
        <v>0</v>
      </c>
      <c r="BH128" s="9">
        <f t="shared" si="31"/>
        <v>0</v>
      </c>
      <c r="BI128" s="9">
        <f t="shared" si="32"/>
        <v>0</v>
      </c>
      <c r="BJ128" s="12">
        <f t="shared" si="33"/>
        <v>8.1412832384008382E-3</v>
      </c>
      <c r="BL128" s="9"/>
      <c r="BN128">
        <f t="shared" si="34"/>
        <v>1</v>
      </c>
      <c r="BO128">
        <f t="shared" si="35"/>
        <v>0</v>
      </c>
      <c r="BP128">
        <f t="shared" si="36"/>
        <v>1</v>
      </c>
      <c r="BQ128">
        <f t="shared" si="25"/>
        <v>1</v>
      </c>
      <c r="BR128">
        <f t="shared" si="37"/>
        <v>1</v>
      </c>
      <c r="BS128" s="9">
        <f t="shared" si="38"/>
        <v>7.4786673355494498E-3</v>
      </c>
      <c r="BT128" s="9">
        <f t="shared" si="39"/>
        <v>-7.51023938187146E-3</v>
      </c>
      <c r="BU128" s="9">
        <f t="shared" si="40"/>
        <v>-3.157204632201014E-5</v>
      </c>
      <c r="BV128" s="12">
        <f t="shared" si="41"/>
        <v>4.2108265174263223E-3</v>
      </c>
      <c r="BX128" s="12">
        <f t="shared" si="42"/>
        <v>-3.157204632201014E-5</v>
      </c>
      <c r="BY128" s="12">
        <f t="shared" si="43"/>
        <v>1.2352109755827161E-2</v>
      </c>
    </row>
    <row r="129" spans="1:77" x14ac:dyDescent="0.3">
      <c r="A129" s="1">
        <v>46211</v>
      </c>
      <c r="B129" s="8">
        <v>18.559999999999999</v>
      </c>
      <c r="C129" s="8">
        <v>30.45</v>
      </c>
      <c r="D129" s="9">
        <v>-4.8374187317700504E-3</v>
      </c>
      <c r="E129" s="9">
        <v>-1.9685045726723E-3</v>
      </c>
      <c r="F129" s="8">
        <v>0</v>
      </c>
      <c r="G129" s="8">
        <v>0.6</v>
      </c>
      <c r="H129" s="8">
        <v>0</v>
      </c>
      <c r="I129" s="8">
        <v>0.77079999999999904</v>
      </c>
      <c r="J129" s="8">
        <v>0.6</v>
      </c>
      <c r="K129" s="8">
        <v>0.77079999999999904</v>
      </c>
      <c r="L129" s="8">
        <v>19.16</v>
      </c>
      <c r="M129" s="8">
        <v>31.220800000000001</v>
      </c>
      <c r="N129" s="10">
        <v>1.640625</v>
      </c>
      <c r="O129" s="10">
        <v>1.64495540501874</v>
      </c>
      <c r="P129" s="10">
        <v>1.63636217846081</v>
      </c>
      <c r="Q129" s="10">
        <v>1.6433924081834701</v>
      </c>
      <c r="R129" s="8">
        <v>30.530372317147801</v>
      </c>
      <c r="S129" s="8">
        <v>30.374317464463299</v>
      </c>
      <c r="T129" s="8">
        <v>30.516592362872899</v>
      </c>
      <c r="U129" s="9">
        <v>2.6360076409166302E-3</v>
      </c>
      <c r="V129" s="9">
        <v>-2.4885630533891499E-3</v>
      </c>
      <c r="W129" s="9">
        <v>2.1845534341073201E-3</v>
      </c>
      <c r="X129" s="10">
        <v>1.6294780793319401</v>
      </c>
      <c r="Y129" s="10">
        <v>1.6378015347179899</v>
      </c>
      <c r="Z129" s="10">
        <v>1.6259410822446501</v>
      </c>
      <c r="AA129" s="10">
        <v>1.6330994961229599</v>
      </c>
      <c r="AB129" s="8">
        <v>31.3802774051968</v>
      </c>
      <c r="AC129" s="8">
        <v>31.1588012189676</v>
      </c>
      <c r="AD129" s="8">
        <v>31.306631379587799</v>
      </c>
      <c r="AE129" s="9">
        <v>5.0950480983193904E-3</v>
      </c>
      <c r="AF129" s="9">
        <v>-1.98779088790315E-3</v>
      </c>
      <c r="AG129" s="9">
        <v>2.7454009098062302E-3</v>
      </c>
      <c r="AZ129" s="9"/>
      <c r="BB129">
        <f t="shared" si="26"/>
        <v>0</v>
      </c>
      <c r="BC129">
        <f t="shared" si="27"/>
        <v>1</v>
      </c>
      <c r="BD129">
        <f t="shared" si="28"/>
        <v>0</v>
      </c>
      <c r="BE129">
        <f t="shared" si="24"/>
        <v>1</v>
      </c>
      <c r="BF129">
        <f t="shared" si="29"/>
        <v>0</v>
      </c>
      <c r="BG129" s="9">
        <f t="shared" si="30"/>
        <v>0</v>
      </c>
      <c r="BH129" s="9">
        <f t="shared" si="31"/>
        <v>0</v>
      </c>
      <c r="BI129" s="9">
        <f t="shared" si="32"/>
        <v>0</v>
      </c>
      <c r="BJ129" s="12">
        <f t="shared" si="33"/>
        <v>8.1412832384008382E-3</v>
      </c>
      <c r="BL129" s="9"/>
      <c r="BN129">
        <f t="shared" si="34"/>
        <v>0</v>
      </c>
      <c r="BO129">
        <f t="shared" si="35"/>
        <v>0</v>
      </c>
      <c r="BP129">
        <f t="shared" si="36"/>
        <v>1</v>
      </c>
      <c r="BQ129">
        <f t="shared" si="25"/>
        <v>1</v>
      </c>
      <c r="BR129">
        <f t="shared" si="37"/>
        <v>1</v>
      </c>
      <c r="BS129" s="9">
        <f t="shared" si="38"/>
        <v>4.8374187317700504E-3</v>
      </c>
      <c r="BT129" s="9">
        <f t="shared" si="39"/>
        <v>-1.9685045726723E-3</v>
      </c>
      <c r="BU129" s="9">
        <f t="shared" si="40"/>
        <v>2.8689141590977504E-3</v>
      </c>
      <c r="BV129" s="12">
        <f t="shared" si="41"/>
        <v>7.0797406765240722E-3</v>
      </c>
      <c r="BX129" s="12">
        <f t="shared" si="42"/>
        <v>2.8689141590977504E-3</v>
      </c>
      <c r="BY129" s="12">
        <f t="shared" si="43"/>
        <v>1.5221023914924912E-2</v>
      </c>
    </row>
    <row r="130" spans="1:77" x14ac:dyDescent="0.3">
      <c r="A130" s="1">
        <v>46212</v>
      </c>
      <c r="B130" s="8">
        <v>18.68</v>
      </c>
      <c r="C130" s="8">
        <v>30.56</v>
      </c>
      <c r="D130" s="9">
        <v>6.4447054426421801E-3</v>
      </c>
      <c r="E130" s="9">
        <v>3.6059701424137301E-3</v>
      </c>
      <c r="F130" s="8">
        <v>0</v>
      </c>
      <c r="G130" s="8">
        <v>0.6</v>
      </c>
      <c r="H130" s="8">
        <v>0</v>
      </c>
      <c r="I130" s="8">
        <v>0.77079999999999904</v>
      </c>
      <c r="J130" s="8">
        <v>0.6</v>
      </c>
      <c r="K130" s="8">
        <v>0.77079999999999904</v>
      </c>
      <c r="L130" s="8">
        <v>19.28</v>
      </c>
      <c r="M130" s="8">
        <v>31.3308</v>
      </c>
      <c r="N130" s="10">
        <v>1.63597430406852</v>
      </c>
      <c r="O130" s="10">
        <v>1.64495540501874</v>
      </c>
      <c r="P130" s="10">
        <v>1.6357197801738801</v>
      </c>
      <c r="Q130" s="10">
        <v>1.6424204910181901</v>
      </c>
      <c r="R130" s="8">
        <v>30.72776696575</v>
      </c>
      <c r="S130" s="8">
        <v>30.567245493647999</v>
      </c>
      <c r="T130" s="8">
        <v>30.6985701848673</v>
      </c>
      <c r="U130" s="9">
        <v>5.4747429411451396E-3</v>
      </c>
      <c r="V130" s="9">
        <v>2.37062659163106E-4</v>
      </c>
      <c r="W130" s="9">
        <v>4.5241154274156701E-3</v>
      </c>
      <c r="X130" s="10">
        <v>1.6250414937759301</v>
      </c>
      <c r="Y130" s="10">
        <v>1.6378015347179899</v>
      </c>
      <c r="Z130" s="10">
        <v>1.625206962592</v>
      </c>
      <c r="AA130" s="10">
        <v>1.63209922216875</v>
      </c>
      <c r="AB130" s="8">
        <v>31.576813589362999</v>
      </c>
      <c r="AC130" s="8">
        <v>31.348144065676902</v>
      </c>
      <c r="AD130" s="8">
        <v>31.486158285250699</v>
      </c>
      <c r="AE130" s="9">
        <v>7.8214648271609493E-3</v>
      </c>
      <c r="AF130" s="9">
        <v>5.5342560019665797E-4</v>
      </c>
      <c r="AG130" s="9">
        <v>4.9463904732505301E-3</v>
      </c>
      <c r="AZ130" s="9"/>
      <c r="BB130">
        <f t="shared" si="26"/>
        <v>0</v>
      </c>
      <c r="BC130">
        <f t="shared" si="27"/>
        <v>1</v>
      </c>
      <c r="BD130">
        <f t="shared" si="28"/>
        <v>0</v>
      </c>
      <c r="BE130">
        <f t="shared" si="24"/>
        <v>1</v>
      </c>
      <c r="BF130">
        <f t="shared" si="29"/>
        <v>0</v>
      </c>
      <c r="BG130" s="9">
        <f t="shared" si="30"/>
        <v>0</v>
      </c>
      <c r="BH130" s="9">
        <f t="shared" si="31"/>
        <v>0</v>
      </c>
      <c r="BI130" s="9">
        <f t="shared" si="32"/>
        <v>0</v>
      </c>
      <c r="BJ130" s="12">
        <f t="shared" si="33"/>
        <v>8.1412832384008382E-3</v>
      </c>
      <c r="BL130" s="9"/>
      <c r="BN130">
        <f t="shared" si="34"/>
        <v>1</v>
      </c>
      <c r="BO130">
        <f t="shared" si="35"/>
        <v>0</v>
      </c>
      <c r="BP130">
        <f t="shared" si="36"/>
        <v>1</v>
      </c>
      <c r="BQ130">
        <f t="shared" si="25"/>
        <v>1</v>
      </c>
      <c r="BR130">
        <f t="shared" si="37"/>
        <v>1</v>
      </c>
      <c r="BS130" s="9">
        <f t="shared" si="38"/>
        <v>-6.4447054426421801E-3</v>
      </c>
      <c r="BT130" s="9">
        <f t="shared" si="39"/>
        <v>3.6059701424137301E-3</v>
      </c>
      <c r="BU130" s="9">
        <f t="shared" si="40"/>
        <v>-2.83873530022845E-3</v>
      </c>
      <c r="BV130" s="12">
        <f t="shared" si="41"/>
        <v>4.2410053762956222E-3</v>
      </c>
      <c r="BX130" s="12">
        <f t="shared" si="42"/>
        <v>-2.83873530022845E-3</v>
      </c>
      <c r="BY130" s="12">
        <f t="shared" si="43"/>
        <v>1.2382288614696462E-2</v>
      </c>
    </row>
    <row r="131" spans="1:77" x14ac:dyDescent="0.3">
      <c r="A131" s="1">
        <v>46213</v>
      </c>
      <c r="B131" s="8">
        <v>18.649999999999999</v>
      </c>
      <c r="C131" s="8">
        <v>30.54</v>
      </c>
      <c r="D131" s="9">
        <v>-1.60728671087202E-3</v>
      </c>
      <c r="E131" s="9">
        <v>-6.5466450783338798E-4</v>
      </c>
      <c r="F131" s="8">
        <v>0</v>
      </c>
      <c r="G131" s="8">
        <v>0.6</v>
      </c>
      <c r="H131" s="8">
        <v>0</v>
      </c>
      <c r="I131" s="8">
        <v>0.77079999999999904</v>
      </c>
      <c r="J131" s="8">
        <v>0.6</v>
      </c>
      <c r="K131" s="8">
        <v>0.77079999999999904</v>
      </c>
      <c r="L131" s="8">
        <v>19.25</v>
      </c>
      <c r="M131" s="8">
        <v>31.3108</v>
      </c>
      <c r="N131" s="10">
        <v>1.6375335120643399</v>
      </c>
      <c r="O131" s="10">
        <v>1.64495540501874</v>
      </c>
      <c r="P131" s="10">
        <v>1.6362559732033699</v>
      </c>
      <c r="Q131" s="10">
        <v>1.64162655942098</v>
      </c>
      <c r="R131" s="8">
        <v>30.6784183035995</v>
      </c>
      <c r="S131" s="8">
        <v>30.5061739002428</v>
      </c>
      <c r="T131" s="8">
        <v>30.6311421574893</v>
      </c>
      <c r="U131" s="9">
        <v>4.5221207381063401E-3</v>
      </c>
      <c r="V131" s="9">
        <v>-1.1082137031007699E-3</v>
      </c>
      <c r="W131" s="9">
        <v>2.9799092094391099E-3</v>
      </c>
      <c r="X131" s="10">
        <v>1.6265350649350601</v>
      </c>
      <c r="Y131" s="10">
        <v>1.6378015347179899</v>
      </c>
      <c r="Z131" s="10">
        <v>1.6256197380150099</v>
      </c>
      <c r="AA131" s="10">
        <v>1.6312723909047799</v>
      </c>
      <c r="AB131" s="8">
        <v>31.527679543321401</v>
      </c>
      <c r="AC131" s="8">
        <v>31.285234029896099</v>
      </c>
      <c r="AD131" s="8">
        <v>31.417910026748501</v>
      </c>
      <c r="AE131" s="9">
        <v>6.9027896939099402E-3</v>
      </c>
      <c r="AF131" s="9">
        <v>-8.1685595330887597E-4</v>
      </c>
      <c r="AG131" s="9">
        <v>3.4150273710272399E-3</v>
      </c>
      <c r="AZ131" s="9"/>
      <c r="BB131">
        <f t="shared" si="26"/>
        <v>0</v>
      </c>
      <c r="BC131">
        <f t="shared" si="27"/>
        <v>1</v>
      </c>
      <c r="BD131">
        <f t="shared" si="28"/>
        <v>0</v>
      </c>
      <c r="BE131">
        <f t="shared" si="24"/>
        <v>1</v>
      </c>
      <c r="BF131">
        <f t="shared" si="29"/>
        <v>0</v>
      </c>
      <c r="BG131" s="9">
        <f t="shared" si="30"/>
        <v>0</v>
      </c>
      <c r="BH131" s="9">
        <f t="shared" si="31"/>
        <v>0</v>
      </c>
      <c r="BI131" s="9">
        <f t="shared" si="32"/>
        <v>0</v>
      </c>
      <c r="BJ131" s="12">
        <f t="shared" si="33"/>
        <v>8.1412832384008382E-3</v>
      </c>
      <c r="BL131" s="9"/>
      <c r="BN131">
        <f t="shared" si="34"/>
        <v>0</v>
      </c>
      <c r="BO131">
        <f t="shared" si="35"/>
        <v>0</v>
      </c>
      <c r="BP131">
        <f t="shared" si="36"/>
        <v>1</v>
      </c>
      <c r="BQ131">
        <f t="shared" si="25"/>
        <v>1</v>
      </c>
      <c r="BR131">
        <f t="shared" si="37"/>
        <v>1</v>
      </c>
      <c r="BS131" s="9">
        <f t="shared" si="38"/>
        <v>1.60728671087202E-3</v>
      </c>
      <c r="BT131" s="9">
        <f t="shared" si="39"/>
        <v>-6.5466450783338798E-4</v>
      </c>
      <c r="BU131" s="9">
        <f t="shared" si="40"/>
        <v>9.52622203038632E-4</v>
      </c>
      <c r="BV131" s="12">
        <f t="shared" si="41"/>
        <v>5.1936275793342543E-3</v>
      </c>
      <c r="BX131" s="12">
        <f t="shared" si="42"/>
        <v>9.52622203038632E-4</v>
      </c>
      <c r="BY131" s="12">
        <f t="shared" si="43"/>
        <v>1.3334910817735093E-2</v>
      </c>
    </row>
    <row r="132" spans="1:77" x14ac:dyDescent="0.3">
      <c r="A132" s="1">
        <v>46216</v>
      </c>
      <c r="B132" s="8">
        <v>18.55</v>
      </c>
      <c r="C132" s="8">
        <v>30.35</v>
      </c>
      <c r="D132" s="9">
        <v>-5.3763570363802903E-3</v>
      </c>
      <c r="E132" s="9">
        <v>-6.2407822849790302E-3</v>
      </c>
      <c r="F132" s="8">
        <v>0</v>
      </c>
      <c r="G132" s="8">
        <v>0.6</v>
      </c>
      <c r="H132" s="8">
        <v>0</v>
      </c>
      <c r="I132" s="8">
        <v>0.77079999999999904</v>
      </c>
      <c r="J132" s="8">
        <v>0.6</v>
      </c>
      <c r="K132" s="8">
        <v>0.77079999999999904</v>
      </c>
      <c r="L132" s="8">
        <v>19.149999999999999</v>
      </c>
      <c r="M132" s="8">
        <v>31.120799999999999</v>
      </c>
      <c r="N132" s="10">
        <v>1.63611859838274</v>
      </c>
      <c r="O132" s="10">
        <v>1.64495540501874</v>
      </c>
      <c r="P132" s="10">
        <v>1.63699229656095</v>
      </c>
      <c r="Q132" s="10">
        <v>1.6408006299900899</v>
      </c>
      <c r="R132" s="8">
        <v>30.5139227630976</v>
      </c>
      <c r="S132" s="8">
        <v>30.3525483029225</v>
      </c>
      <c r="T132" s="8">
        <v>30.452172677259199</v>
      </c>
      <c r="U132" s="9">
        <v>5.3865459867050098E-3</v>
      </c>
      <c r="V132" s="9">
        <v>8.3960327705152703E-5</v>
      </c>
      <c r="W132" s="9">
        <v>3.3608263958899401E-3</v>
      </c>
      <c r="X132" s="10">
        <v>1.62510704960835</v>
      </c>
      <c r="Y132" s="10">
        <v>1.6378015347179899</v>
      </c>
      <c r="Z132" s="10">
        <v>1.6262229194648801</v>
      </c>
      <c r="AA132" s="10">
        <v>1.63040760846044</v>
      </c>
      <c r="AB132" s="8">
        <v>31.3638993898496</v>
      </c>
      <c r="AC132" s="8">
        <v>31.130617982987602</v>
      </c>
      <c r="AD132" s="8">
        <v>31.2388662858265</v>
      </c>
      <c r="AE132" s="9">
        <v>7.7811246202100798E-3</v>
      </c>
      <c r="AF132" s="9">
        <v>3.1543002190564099E-4</v>
      </c>
      <c r="AG132" s="9">
        <v>3.78662792582393E-3</v>
      </c>
      <c r="AZ132" s="9"/>
      <c r="BB132">
        <f t="shared" si="26"/>
        <v>0</v>
      </c>
      <c r="BC132">
        <f t="shared" si="27"/>
        <v>1</v>
      </c>
      <c r="BD132">
        <f t="shared" si="28"/>
        <v>0</v>
      </c>
      <c r="BE132">
        <f t="shared" si="24"/>
        <v>1</v>
      </c>
      <c r="BF132">
        <f t="shared" si="29"/>
        <v>0</v>
      </c>
      <c r="BG132" s="9">
        <f t="shared" si="30"/>
        <v>0</v>
      </c>
      <c r="BH132" s="9">
        <f t="shared" si="31"/>
        <v>0</v>
      </c>
      <c r="BI132" s="9">
        <f t="shared" si="32"/>
        <v>0</v>
      </c>
      <c r="BJ132" s="12">
        <f t="shared" si="33"/>
        <v>8.1412832384008382E-3</v>
      </c>
      <c r="BL132" s="9"/>
      <c r="BN132">
        <f t="shared" si="34"/>
        <v>0</v>
      </c>
      <c r="BO132">
        <f t="shared" si="35"/>
        <v>0</v>
      </c>
      <c r="BP132">
        <f t="shared" si="36"/>
        <v>1</v>
      </c>
      <c r="BQ132">
        <f t="shared" si="25"/>
        <v>1</v>
      </c>
      <c r="BR132">
        <f t="shared" si="37"/>
        <v>1</v>
      </c>
      <c r="BS132" s="9">
        <f t="shared" si="38"/>
        <v>5.3763570363802903E-3</v>
      </c>
      <c r="BT132" s="9">
        <f t="shared" si="39"/>
        <v>-6.2407822849790302E-3</v>
      </c>
      <c r="BU132" s="9">
        <f t="shared" si="40"/>
        <v>-8.6442524859873995E-4</v>
      </c>
      <c r="BV132" s="12">
        <f t="shared" si="41"/>
        <v>4.3292023307355144E-3</v>
      </c>
      <c r="BX132" s="12">
        <f t="shared" si="42"/>
        <v>-8.6442524859873995E-4</v>
      </c>
      <c r="BY132" s="12">
        <f t="shared" si="43"/>
        <v>1.2470485569136353E-2</v>
      </c>
    </row>
    <row r="133" spans="1:77" x14ac:dyDescent="0.3">
      <c r="A133" s="1">
        <v>46217</v>
      </c>
      <c r="B133" s="8">
        <v>18.57</v>
      </c>
      <c r="C133" s="8">
        <v>30.51</v>
      </c>
      <c r="D133" s="9">
        <v>1.0775863111703401E-3</v>
      </c>
      <c r="E133" s="9">
        <v>5.2579812230710401E-3</v>
      </c>
      <c r="F133" s="8">
        <v>0</v>
      </c>
      <c r="G133" s="8">
        <v>0.6</v>
      </c>
      <c r="H133" s="8">
        <v>0</v>
      </c>
      <c r="I133" s="8">
        <v>0.77079999999999904</v>
      </c>
      <c r="J133" s="8">
        <v>0.6</v>
      </c>
      <c r="K133" s="8">
        <v>0.77079999999999904</v>
      </c>
      <c r="L133" s="8">
        <v>19.170000000000002</v>
      </c>
      <c r="M133" s="8">
        <v>31.280799999999999</v>
      </c>
      <c r="N133" s="10">
        <v>1.64297253634895</v>
      </c>
      <c r="O133" s="10">
        <v>1.64495540501874</v>
      </c>
      <c r="P133" s="10">
        <v>1.63742445383611</v>
      </c>
      <c r="Q133" s="10">
        <v>1.6404040920891501</v>
      </c>
      <c r="R133" s="8">
        <v>30.546821871197999</v>
      </c>
      <c r="S133" s="8">
        <v>30.398946947136999</v>
      </c>
      <c r="T133" s="8">
        <v>30.469667698915998</v>
      </c>
      <c r="U133" s="9">
        <v>1.2061510748043E-3</v>
      </c>
      <c r="V133" s="9">
        <v>-3.6465308131864399E-3</v>
      </c>
      <c r="W133" s="9">
        <v>-1.3228116349953401E-3</v>
      </c>
      <c r="X133" s="10">
        <v>1.63175795513823</v>
      </c>
      <c r="Y133" s="10">
        <v>1.6378015347179899</v>
      </c>
      <c r="Z133" s="10">
        <v>1.62652540945211</v>
      </c>
      <c r="AA133" s="10">
        <v>1.62995849793578</v>
      </c>
      <c r="AB133" s="8">
        <v>31.396655420544</v>
      </c>
      <c r="AC133" s="8">
        <v>31.174693366141799</v>
      </c>
      <c r="AD133" s="8">
        <v>31.2549138541867</v>
      </c>
      <c r="AE133" s="9">
        <v>3.6968811741207499E-3</v>
      </c>
      <c r="AF133" s="9">
        <v>-3.3978351695045099E-3</v>
      </c>
      <c r="AG133" s="9">
        <v>-8.2788364268544801E-4</v>
      </c>
      <c r="AZ133" s="9"/>
      <c r="BB133">
        <f t="shared" si="26"/>
        <v>0</v>
      </c>
      <c r="BC133">
        <f t="shared" si="27"/>
        <v>1</v>
      </c>
      <c r="BD133">
        <f t="shared" si="28"/>
        <v>0</v>
      </c>
      <c r="BE133">
        <f t="shared" si="24"/>
        <v>1</v>
      </c>
      <c r="BF133">
        <f t="shared" si="29"/>
        <v>0</v>
      </c>
      <c r="BG133" s="9">
        <f t="shared" si="30"/>
        <v>0</v>
      </c>
      <c r="BH133" s="9">
        <f t="shared" si="31"/>
        <v>0</v>
      </c>
      <c r="BI133" s="9">
        <f t="shared" si="32"/>
        <v>0</v>
      </c>
      <c r="BJ133" s="12">
        <f t="shared" si="33"/>
        <v>8.1412832384008382E-3</v>
      </c>
      <c r="BL133" s="9"/>
      <c r="BN133">
        <f t="shared" si="34"/>
        <v>0</v>
      </c>
      <c r="BO133">
        <f t="shared" si="35"/>
        <v>1</v>
      </c>
      <c r="BP133">
        <f t="shared" si="36"/>
        <v>1</v>
      </c>
      <c r="BQ133">
        <f t="shared" si="25"/>
        <v>1</v>
      </c>
      <c r="BR133">
        <f t="shared" si="37"/>
        <v>1</v>
      </c>
      <c r="BS133" s="9">
        <f t="shared" si="38"/>
        <v>-1.0775863111703401E-3</v>
      </c>
      <c r="BT133" s="9">
        <f t="shared" si="39"/>
        <v>5.2579812230710401E-3</v>
      </c>
      <c r="BU133" s="9">
        <f t="shared" si="40"/>
        <v>4.1803949119006995E-3</v>
      </c>
      <c r="BV133" s="12">
        <f t="shared" si="41"/>
        <v>8.5095972426362139E-3</v>
      </c>
      <c r="BX133" s="12">
        <f t="shared" si="42"/>
        <v>4.1803949119006995E-3</v>
      </c>
      <c r="BY133" s="12">
        <f t="shared" si="43"/>
        <v>1.665088048103705E-2</v>
      </c>
    </row>
    <row r="134" spans="1:77" x14ac:dyDescent="0.3">
      <c r="A134" s="1">
        <v>46218</v>
      </c>
      <c r="B134" s="8">
        <v>18.649999999999999</v>
      </c>
      <c r="C134" s="8">
        <v>30.62</v>
      </c>
      <c r="D134" s="9">
        <v>4.2987707252099897E-3</v>
      </c>
      <c r="E134" s="9">
        <v>3.59889150095948E-3</v>
      </c>
      <c r="F134" s="8">
        <v>0</v>
      </c>
      <c r="G134" s="8">
        <v>0.6</v>
      </c>
      <c r="H134" s="8">
        <v>0</v>
      </c>
      <c r="I134" s="8">
        <v>0.77079999999999904</v>
      </c>
      <c r="J134" s="8">
        <v>0.6</v>
      </c>
      <c r="K134" s="8">
        <v>0.77079999999999904</v>
      </c>
      <c r="L134" s="8">
        <v>19.25</v>
      </c>
      <c r="M134" s="8">
        <v>31.390799999999999</v>
      </c>
      <c r="N134" s="10">
        <v>1.64182305630026</v>
      </c>
      <c r="O134" s="10">
        <v>1.64495540501874</v>
      </c>
      <c r="P134" s="10">
        <v>1.6384713929599799</v>
      </c>
      <c r="Q134" s="10">
        <v>1.6398222390932899</v>
      </c>
      <c r="R134" s="8">
        <v>30.6784183035995</v>
      </c>
      <c r="S134" s="8">
        <v>30.537966064043399</v>
      </c>
      <c r="T134" s="8">
        <v>30.593536317462799</v>
      </c>
      <c r="U134" s="9">
        <v>1.90603029905489E-3</v>
      </c>
      <c r="V134" s="9">
        <v>-2.6826917386148599E-3</v>
      </c>
      <c r="W134" s="9">
        <v>-8.6463503917241899E-4</v>
      </c>
      <c r="X134" s="10">
        <v>1.6306909090909001</v>
      </c>
      <c r="Y134" s="10">
        <v>1.6378015347179899</v>
      </c>
      <c r="Z134" s="10">
        <v>1.6274313945769401</v>
      </c>
      <c r="AA134" s="10">
        <v>1.62932860695183</v>
      </c>
      <c r="AB134" s="8">
        <v>31.527679543321401</v>
      </c>
      <c r="AC134" s="8">
        <v>31.310614131953201</v>
      </c>
      <c r="AD134" s="8">
        <v>31.3767010852638</v>
      </c>
      <c r="AE134" s="9">
        <v>4.3510192953805796E-3</v>
      </c>
      <c r="AF134" s="9">
        <v>-2.55770664412026E-3</v>
      </c>
      <c r="AG134" s="9">
        <v>-4.4924251338684397E-4</v>
      </c>
      <c r="AZ134" s="9"/>
      <c r="BB134">
        <f t="shared" si="26"/>
        <v>0</v>
      </c>
      <c r="BC134">
        <f t="shared" si="27"/>
        <v>1</v>
      </c>
      <c r="BD134">
        <f t="shared" si="28"/>
        <v>0</v>
      </c>
      <c r="BE134">
        <f t="shared" si="24"/>
        <v>1</v>
      </c>
      <c r="BF134">
        <f t="shared" si="29"/>
        <v>0</v>
      </c>
      <c r="BG134" s="9">
        <f t="shared" si="30"/>
        <v>0</v>
      </c>
      <c r="BH134" s="9">
        <f t="shared" si="31"/>
        <v>0</v>
      </c>
      <c r="BI134" s="9">
        <f t="shared" si="32"/>
        <v>0</v>
      </c>
      <c r="BJ134" s="12">
        <f t="shared" si="33"/>
        <v>8.1412832384008382E-3</v>
      </c>
      <c r="BL134" s="9"/>
      <c r="BN134">
        <f t="shared" si="34"/>
        <v>0</v>
      </c>
      <c r="BO134">
        <f t="shared" si="35"/>
        <v>1</v>
      </c>
      <c r="BP134">
        <f t="shared" si="36"/>
        <v>0</v>
      </c>
      <c r="BQ134">
        <f t="shared" si="25"/>
        <v>1</v>
      </c>
      <c r="BR134">
        <f t="shared" si="37"/>
        <v>0</v>
      </c>
      <c r="BS134" s="9">
        <f t="shared" si="38"/>
        <v>0</v>
      </c>
      <c r="BT134" s="9">
        <f t="shared" si="39"/>
        <v>0</v>
      </c>
      <c r="BU134" s="9">
        <f t="shared" si="40"/>
        <v>0</v>
      </c>
      <c r="BV134" s="12">
        <f t="shared" si="41"/>
        <v>8.5095972426362139E-3</v>
      </c>
      <c r="BX134" s="12">
        <f t="shared" si="42"/>
        <v>0</v>
      </c>
      <c r="BY134" s="12">
        <f t="shared" si="43"/>
        <v>1.665088048103705E-2</v>
      </c>
    </row>
    <row r="135" spans="1:77" x14ac:dyDescent="0.3">
      <c r="A135" s="1">
        <v>46219</v>
      </c>
      <c r="B135" s="8">
        <v>18.57</v>
      </c>
      <c r="C135" s="8">
        <v>30.37</v>
      </c>
      <c r="D135" s="9">
        <v>-4.2987707252100504E-3</v>
      </c>
      <c r="E135" s="9">
        <v>-8.1981111718802593E-3</v>
      </c>
      <c r="F135" s="8">
        <v>0</v>
      </c>
      <c r="G135" s="8">
        <v>0.6</v>
      </c>
      <c r="H135" s="8">
        <v>0</v>
      </c>
      <c r="I135" s="8">
        <v>0.77079999999999904</v>
      </c>
      <c r="J135" s="8">
        <v>0.6</v>
      </c>
      <c r="K135" s="8">
        <v>0.77079999999999904</v>
      </c>
      <c r="L135" s="8">
        <v>19.170000000000002</v>
      </c>
      <c r="M135" s="8">
        <v>31.140799999999999</v>
      </c>
      <c r="N135" s="10">
        <v>1.63543349488422</v>
      </c>
      <c r="O135" s="10">
        <v>1.64495540501874</v>
      </c>
      <c r="P135" s="10">
        <v>1.63828556458704</v>
      </c>
      <c r="Q135" s="10">
        <v>1.6392549486843799</v>
      </c>
      <c r="R135" s="8">
        <v>30.546821871197999</v>
      </c>
      <c r="S135" s="8">
        <v>30.426413767266901</v>
      </c>
      <c r="T135" s="8">
        <v>30.451498979962398</v>
      </c>
      <c r="U135" s="9">
        <v>5.8053707457251602E-3</v>
      </c>
      <c r="V135" s="9">
        <v>1.8558260253327601E-3</v>
      </c>
      <c r="W135" s="9">
        <v>2.6799414715829302E-3</v>
      </c>
      <c r="X135" s="10">
        <v>1.62445487741262</v>
      </c>
      <c r="Y135" s="10">
        <v>1.6378015347179899</v>
      </c>
      <c r="Z135" s="10">
        <v>1.6272490842963401</v>
      </c>
      <c r="AA135" s="10">
        <v>1.62871210185127</v>
      </c>
      <c r="AB135" s="8">
        <v>31.396655420544</v>
      </c>
      <c r="AC135" s="8">
        <v>31.197859834039999</v>
      </c>
      <c r="AD135" s="8">
        <v>31.234229395266599</v>
      </c>
      <c r="AE135" s="9">
        <v>8.1825154655817706E-3</v>
      </c>
      <c r="AF135" s="9">
        <v>1.83064089369428E-3</v>
      </c>
      <c r="AG135" s="9">
        <v>2.9957329413800499E-3</v>
      </c>
      <c r="AZ135" s="9"/>
      <c r="BB135">
        <f t="shared" si="26"/>
        <v>0</v>
      </c>
      <c r="BC135">
        <f t="shared" si="27"/>
        <v>1</v>
      </c>
      <c r="BD135">
        <f t="shared" si="28"/>
        <v>0</v>
      </c>
      <c r="BE135">
        <f t="shared" si="24"/>
        <v>1</v>
      </c>
      <c r="BF135">
        <f t="shared" si="29"/>
        <v>0</v>
      </c>
      <c r="BG135" s="9">
        <f t="shared" si="30"/>
        <v>0</v>
      </c>
      <c r="BH135" s="9">
        <f t="shared" si="31"/>
        <v>0</v>
      </c>
      <c r="BI135" s="9">
        <f t="shared" si="32"/>
        <v>0</v>
      </c>
      <c r="BJ135" s="12">
        <f t="shared" si="33"/>
        <v>8.1412832384008382E-3</v>
      </c>
      <c r="BL135" s="9"/>
      <c r="BN135">
        <f t="shared" si="34"/>
        <v>0</v>
      </c>
      <c r="BO135">
        <f t="shared" si="35"/>
        <v>0</v>
      </c>
      <c r="BP135">
        <f t="shared" si="36"/>
        <v>0</v>
      </c>
      <c r="BQ135">
        <f t="shared" si="25"/>
        <v>1</v>
      </c>
      <c r="BR135">
        <f t="shared" si="37"/>
        <v>0</v>
      </c>
      <c r="BS135" s="9">
        <f t="shared" si="38"/>
        <v>0</v>
      </c>
      <c r="BT135" s="9">
        <f t="shared" si="39"/>
        <v>0</v>
      </c>
      <c r="BU135" s="9">
        <f t="shared" si="40"/>
        <v>0</v>
      </c>
      <c r="BV135" s="12">
        <f t="shared" si="41"/>
        <v>8.5095972426362139E-3</v>
      </c>
      <c r="BX135" s="12">
        <f t="shared" si="42"/>
        <v>0</v>
      </c>
      <c r="BY135" s="12">
        <f t="shared" si="43"/>
        <v>1.665088048103705E-2</v>
      </c>
    </row>
    <row r="136" spans="1:77" x14ac:dyDescent="0.3">
      <c r="A136" s="1">
        <v>46220</v>
      </c>
      <c r="B136" s="8">
        <v>18.59</v>
      </c>
      <c r="C136" s="8">
        <v>30.35</v>
      </c>
      <c r="D136" s="9">
        <v>1.0764263687381901E-3</v>
      </c>
      <c r="E136" s="9">
        <v>-6.5876155215006298E-4</v>
      </c>
      <c r="F136" s="8">
        <v>0</v>
      </c>
      <c r="G136" s="8">
        <v>0.6</v>
      </c>
      <c r="H136" s="8">
        <v>0</v>
      </c>
      <c r="I136" s="8">
        <v>0.77079999999999904</v>
      </c>
      <c r="J136" s="8">
        <v>0.6</v>
      </c>
      <c r="K136" s="8">
        <v>0.77079999999999904</v>
      </c>
      <c r="L136" s="8">
        <v>19.190000000000001</v>
      </c>
      <c r="M136" s="8">
        <v>31.120799999999999</v>
      </c>
      <c r="N136" s="10">
        <v>1.6325981710597</v>
      </c>
      <c r="O136" s="10">
        <v>1.64495540501874</v>
      </c>
      <c r="P136" s="10">
        <v>1.63749801893736</v>
      </c>
      <c r="Q136" s="10">
        <v>1.63837424152611</v>
      </c>
      <c r="R136" s="8">
        <v>30.579720979298301</v>
      </c>
      <c r="S136" s="8">
        <v>30.455728645673101</v>
      </c>
      <c r="T136" s="8">
        <v>30.4737494960427</v>
      </c>
      <c r="U136" s="9">
        <v>7.5405586666135701E-3</v>
      </c>
      <c r="V136" s="9">
        <v>3.4775918184590899E-3</v>
      </c>
      <c r="W136" s="9">
        <v>4.0691232559407304E-3</v>
      </c>
      <c r="X136" s="10">
        <v>1.6217196456487699</v>
      </c>
      <c r="Y136" s="10">
        <v>1.6378015347179899</v>
      </c>
      <c r="Z136" s="10">
        <v>1.6264867422918701</v>
      </c>
      <c r="AA136" s="10">
        <v>1.6277942061605899</v>
      </c>
      <c r="AB136" s="8">
        <v>31.429411451238401</v>
      </c>
      <c r="AC136" s="8">
        <v>31.226909927646801</v>
      </c>
      <c r="AD136" s="8">
        <v>31.254985234525801</v>
      </c>
      <c r="AE136" s="9">
        <v>9.8677190131636495E-3</v>
      </c>
      <c r="AF136" s="9">
        <v>3.40381483838554E-3</v>
      </c>
      <c r="AG136" s="9">
        <v>4.3024850434318501E-3</v>
      </c>
      <c r="AZ136" s="9"/>
      <c r="BB136">
        <f t="shared" si="26"/>
        <v>0</v>
      </c>
      <c r="BC136">
        <f t="shared" si="27"/>
        <v>1</v>
      </c>
      <c r="BD136">
        <f t="shared" si="28"/>
        <v>0</v>
      </c>
      <c r="BE136">
        <f t="shared" si="24"/>
        <v>1</v>
      </c>
      <c r="BF136">
        <f t="shared" si="29"/>
        <v>0</v>
      </c>
      <c r="BG136" s="9">
        <f t="shared" si="30"/>
        <v>0</v>
      </c>
      <c r="BH136" s="9">
        <f t="shared" si="31"/>
        <v>0</v>
      </c>
      <c r="BI136" s="9">
        <f t="shared" si="32"/>
        <v>0</v>
      </c>
      <c r="BJ136" s="12">
        <f t="shared" si="33"/>
        <v>8.1412832384008382E-3</v>
      </c>
      <c r="BL136" s="9"/>
      <c r="BN136">
        <f t="shared" si="34"/>
        <v>1</v>
      </c>
      <c r="BO136">
        <f t="shared" si="35"/>
        <v>0</v>
      </c>
      <c r="BP136">
        <f t="shared" si="36"/>
        <v>0</v>
      </c>
      <c r="BQ136">
        <f t="shared" si="25"/>
        <v>1</v>
      </c>
      <c r="BR136">
        <f t="shared" si="37"/>
        <v>0</v>
      </c>
      <c r="BS136" s="9">
        <f t="shared" si="38"/>
        <v>0</v>
      </c>
      <c r="BT136" s="9">
        <f t="shared" si="39"/>
        <v>0</v>
      </c>
      <c r="BU136" s="9">
        <f t="shared" si="40"/>
        <v>0</v>
      </c>
      <c r="BV136" s="12">
        <f t="shared" si="41"/>
        <v>8.5095972426362139E-3</v>
      </c>
      <c r="BX136" s="12">
        <f t="shared" si="42"/>
        <v>0</v>
      </c>
      <c r="BY136" s="12">
        <f t="shared" si="43"/>
        <v>1.665088048103705E-2</v>
      </c>
    </row>
    <row r="137" spans="1:77" x14ac:dyDescent="0.3">
      <c r="A137" s="1">
        <v>46223</v>
      </c>
      <c r="B137" s="8">
        <v>18.5</v>
      </c>
      <c r="C137" s="8">
        <v>30.32</v>
      </c>
      <c r="D137" s="9">
        <v>-4.8530696490734701E-3</v>
      </c>
      <c r="E137" s="9">
        <v>-9.8895673133641009E-4</v>
      </c>
      <c r="F137" s="8">
        <v>0</v>
      </c>
      <c r="G137" s="8">
        <v>0.6</v>
      </c>
      <c r="H137" s="8">
        <v>0</v>
      </c>
      <c r="I137" s="8">
        <v>0.77079999999999904</v>
      </c>
      <c r="J137" s="8">
        <v>0.6</v>
      </c>
      <c r="K137" s="8">
        <v>0.77079999999999904</v>
      </c>
      <c r="L137" s="8">
        <v>19.100000000000001</v>
      </c>
      <c r="M137" s="8">
        <v>31.090800000000002</v>
      </c>
      <c r="N137" s="10">
        <v>1.63891891891891</v>
      </c>
      <c r="O137" s="10">
        <v>1.64495540501874</v>
      </c>
      <c r="P137" s="10">
        <v>1.6377922525003501</v>
      </c>
      <c r="Q137" s="10">
        <v>1.63765740292997</v>
      </c>
      <c r="R137" s="8">
        <v>30.431674992846599</v>
      </c>
      <c r="S137" s="8">
        <v>30.2937133503411</v>
      </c>
      <c r="T137" s="8">
        <v>30.309923468233201</v>
      </c>
      <c r="U137" s="9">
        <v>3.6764457488763398E-3</v>
      </c>
      <c r="V137" s="9">
        <v>-8.6734997259831103E-4</v>
      </c>
      <c r="W137" s="9">
        <v>-3.3239467520869897E-4</v>
      </c>
      <c r="X137" s="10">
        <v>1.6277905759162301</v>
      </c>
      <c r="Y137" s="10">
        <v>1.6378015347179899</v>
      </c>
      <c r="Z137" s="10">
        <v>1.62675522742346</v>
      </c>
      <c r="AA137" s="10">
        <v>1.62703030535351</v>
      </c>
      <c r="AB137" s="8">
        <v>31.282009313113701</v>
      </c>
      <c r="AC137" s="8">
        <v>31.0658967777748</v>
      </c>
      <c r="AD137" s="8">
        <v>31.0908693376673</v>
      </c>
      <c r="AE137" s="9">
        <v>6.13119448063744E-3</v>
      </c>
      <c r="AF137" s="9">
        <v>-8.0130460106919298E-4</v>
      </c>
      <c r="AG137" s="9">
        <v>2.2301642307025299E-6</v>
      </c>
      <c r="AZ137" s="9"/>
      <c r="BB137">
        <f t="shared" si="26"/>
        <v>0</v>
      </c>
      <c r="BC137">
        <f t="shared" si="27"/>
        <v>1</v>
      </c>
      <c r="BD137">
        <f t="shared" si="28"/>
        <v>0</v>
      </c>
      <c r="BE137">
        <f t="shared" si="24"/>
        <v>1</v>
      </c>
      <c r="BF137">
        <f t="shared" si="29"/>
        <v>0</v>
      </c>
      <c r="BG137" s="9">
        <f t="shared" si="30"/>
        <v>0</v>
      </c>
      <c r="BH137" s="9">
        <f t="shared" si="31"/>
        <v>0</v>
      </c>
      <c r="BI137" s="9">
        <f t="shared" si="32"/>
        <v>0</v>
      </c>
      <c r="BJ137" s="12">
        <f t="shared" si="33"/>
        <v>8.1412832384008382E-3</v>
      </c>
      <c r="BL137" s="9"/>
      <c r="BN137">
        <f t="shared" si="34"/>
        <v>0</v>
      </c>
      <c r="BO137">
        <f t="shared" si="35"/>
        <v>1</v>
      </c>
      <c r="BP137">
        <f t="shared" si="36"/>
        <v>1</v>
      </c>
      <c r="BQ137">
        <f t="shared" si="25"/>
        <v>1</v>
      </c>
      <c r="BR137">
        <f t="shared" si="37"/>
        <v>1</v>
      </c>
      <c r="BS137" s="9">
        <f t="shared" si="38"/>
        <v>4.8530696490734701E-3</v>
      </c>
      <c r="BT137" s="9">
        <f t="shared" si="39"/>
        <v>-9.8895673133641009E-4</v>
      </c>
      <c r="BU137" s="9">
        <f t="shared" si="40"/>
        <v>3.8641129177370602E-3</v>
      </c>
      <c r="BV137" s="12">
        <f t="shared" si="41"/>
        <v>1.2373710160373273E-2</v>
      </c>
      <c r="BX137" s="12">
        <f t="shared" si="42"/>
        <v>3.8641129177370602E-3</v>
      </c>
      <c r="BY137" s="12">
        <f t="shared" si="43"/>
        <v>2.051499339877411E-2</v>
      </c>
    </row>
    <row r="138" spans="1:77" x14ac:dyDescent="0.3">
      <c r="A138" s="1">
        <v>46224</v>
      </c>
      <c r="B138" s="8">
        <v>18.52</v>
      </c>
      <c r="C138" s="8">
        <v>30.32</v>
      </c>
      <c r="D138" s="9">
        <v>1.08049713375417E-3</v>
      </c>
      <c r="E138" s="9">
        <v>0</v>
      </c>
      <c r="F138" s="8">
        <v>0</v>
      </c>
      <c r="G138" s="8">
        <v>0.6</v>
      </c>
      <c r="H138" s="8">
        <v>0</v>
      </c>
      <c r="I138" s="8">
        <v>0.77079999999999904</v>
      </c>
      <c r="J138" s="8">
        <v>0.6</v>
      </c>
      <c r="K138" s="8">
        <v>0.77079999999999904</v>
      </c>
      <c r="L138" s="8">
        <v>19.12</v>
      </c>
      <c r="M138" s="8">
        <v>31.090800000000002</v>
      </c>
      <c r="N138" s="10">
        <v>1.6371490280777501</v>
      </c>
      <c r="O138" s="10">
        <v>1.64495540501874</v>
      </c>
      <c r="P138" s="10">
        <v>1.63791466201054</v>
      </c>
      <c r="Q138" s="10">
        <v>1.63723096959533</v>
      </c>
      <c r="R138" s="8">
        <v>30.464574100947001</v>
      </c>
      <c r="S138" s="8">
        <v>30.331912516306499</v>
      </c>
      <c r="T138" s="8">
        <v>30.329415102263201</v>
      </c>
      <c r="U138" s="9">
        <v>4.7569428826305703E-3</v>
      </c>
      <c r="V138" s="9">
        <v>3.9281585577556703E-4</v>
      </c>
      <c r="W138" s="9">
        <v>3.1047627822831399E-4</v>
      </c>
      <c r="X138" s="10">
        <v>1.6260878661087801</v>
      </c>
      <c r="Y138" s="10">
        <v>1.6378015347179899</v>
      </c>
      <c r="Z138" s="10">
        <v>1.6268663516966799</v>
      </c>
      <c r="AA138" s="10">
        <v>1.6265542932535499</v>
      </c>
      <c r="AB138" s="8">
        <v>31.314765343808102</v>
      </c>
      <c r="AC138" s="8">
        <v>31.103559948336699</v>
      </c>
      <c r="AD138" s="8">
        <v>31.108819438359198</v>
      </c>
      <c r="AE138" s="9">
        <v>7.1777670513084799E-3</v>
      </c>
      <c r="AF138" s="9">
        <v>4.1032494027974198E-4</v>
      </c>
      <c r="AG138" s="9">
        <v>5.7940672390312698E-4</v>
      </c>
      <c r="AZ138" s="9"/>
      <c r="BB138">
        <f t="shared" si="26"/>
        <v>0</v>
      </c>
      <c r="BC138">
        <f t="shared" si="27"/>
        <v>1</v>
      </c>
      <c r="BD138">
        <f t="shared" si="28"/>
        <v>0</v>
      </c>
      <c r="BE138">
        <f t="shared" si="24"/>
        <v>1</v>
      </c>
      <c r="BF138">
        <f t="shared" si="29"/>
        <v>0</v>
      </c>
      <c r="BG138" s="9">
        <f t="shared" si="30"/>
        <v>0</v>
      </c>
      <c r="BH138" s="9">
        <f t="shared" si="31"/>
        <v>0</v>
      </c>
      <c r="BI138" s="9">
        <f t="shared" si="32"/>
        <v>0</v>
      </c>
      <c r="BJ138" s="12">
        <f t="shared" si="33"/>
        <v>8.1412832384008382E-3</v>
      </c>
      <c r="BL138" s="9"/>
      <c r="BN138">
        <f t="shared" si="34"/>
        <v>0</v>
      </c>
      <c r="BO138">
        <f t="shared" si="35"/>
        <v>1</v>
      </c>
      <c r="BP138">
        <f t="shared" si="36"/>
        <v>0</v>
      </c>
      <c r="BQ138">
        <f t="shared" si="25"/>
        <v>1</v>
      </c>
      <c r="BR138">
        <f t="shared" si="37"/>
        <v>0</v>
      </c>
      <c r="BS138" s="9">
        <f t="shared" si="38"/>
        <v>0</v>
      </c>
      <c r="BT138" s="9">
        <f t="shared" si="39"/>
        <v>0</v>
      </c>
      <c r="BU138" s="9">
        <f t="shared" si="40"/>
        <v>0</v>
      </c>
      <c r="BV138" s="12">
        <f t="shared" si="41"/>
        <v>1.2373710160373273E-2</v>
      </c>
      <c r="BX138" s="12">
        <f t="shared" si="42"/>
        <v>0</v>
      </c>
      <c r="BY138" s="12">
        <f t="shared" si="43"/>
        <v>2.051499339877411E-2</v>
      </c>
    </row>
    <row r="139" spans="1:77" x14ac:dyDescent="0.3">
      <c r="A139" s="1">
        <v>46225</v>
      </c>
      <c r="B139" s="8">
        <v>18.55</v>
      </c>
      <c r="C139" s="8">
        <v>30.45</v>
      </c>
      <c r="D139" s="9">
        <v>1.6185598354108001E-3</v>
      </c>
      <c r="E139" s="9">
        <v>4.2784333817350497E-3</v>
      </c>
      <c r="F139" s="8">
        <v>0</v>
      </c>
      <c r="G139" s="8">
        <v>0.6</v>
      </c>
      <c r="H139" s="8">
        <v>0</v>
      </c>
      <c r="I139" s="8">
        <v>0.77079999999999904</v>
      </c>
      <c r="J139" s="8">
        <v>0.6</v>
      </c>
      <c r="K139" s="8">
        <v>0.77079999999999904</v>
      </c>
      <c r="L139" s="8">
        <v>19.149999999999999</v>
      </c>
      <c r="M139" s="8">
        <v>31.220800000000001</v>
      </c>
      <c r="N139" s="10">
        <v>1.64150943396226</v>
      </c>
      <c r="O139" s="10">
        <v>1.64495540501874</v>
      </c>
      <c r="P139" s="10">
        <v>1.6380031054067701</v>
      </c>
      <c r="Q139" s="10">
        <v>1.63718264193379</v>
      </c>
      <c r="R139" s="8">
        <v>30.5139227630976</v>
      </c>
      <c r="S139" s="8">
        <v>30.383316980295501</v>
      </c>
      <c r="T139" s="8">
        <v>30.370634485993499</v>
      </c>
      <c r="U139" s="9">
        <v>2.09706933630634E-3</v>
      </c>
      <c r="V139" s="9">
        <v>-2.19231992344057E-3</v>
      </c>
      <c r="W139" s="9">
        <v>-2.60982344971923E-3</v>
      </c>
      <c r="X139" s="10">
        <v>1.63032898172323</v>
      </c>
      <c r="Y139" s="10">
        <v>1.6378015347179899</v>
      </c>
      <c r="Z139" s="10">
        <v>1.62695144193581</v>
      </c>
      <c r="AA139" s="10">
        <v>1.62644626209023</v>
      </c>
      <c r="AB139" s="8">
        <v>31.3638993898496</v>
      </c>
      <c r="AC139" s="8">
        <v>31.1544906349915</v>
      </c>
      <c r="AD139" s="8">
        <v>31.148514715805501</v>
      </c>
      <c r="AE139" s="9">
        <v>4.5729911822602496E-3</v>
      </c>
      <c r="AF139" s="9">
        <v>-2.12614287845784E-3</v>
      </c>
      <c r="AG139" s="9">
        <v>-2.3179769375264001E-3</v>
      </c>
      <c r="AZ139" s="9"/>
      <c r="BB139">
        <f t="shared" si="26"/>
        <v>0</v>
      </c>
      <c r="BC139">
        <f t="shared" si="27"/>
        <v>1</v>
      </c>
      <c r="BD139">
        <f t="shared" si="28"/>
        <v>0</v>
      </c>
      <c r="BE139">
        <f t="shared" si="24"/>
        <v>1</v>
      </c>
      <c r="BF139">
        <f t="shared" si="29"/>
        <v>0</v>
      </c>
      <c r="BG139" s="9">
        <f t="shared" si="30"/>
        <v>0</v>
      </c>
      <c r="BH139" s="9">
        <f t="shared" si="31"/>
        <v>0</v>
      </c>
      <c r="BI139" s="9">
        <f t="shared" si="32"/>
        <v>0</v>
      </c>
      <c r="BJ139" s="12">
        <f t="shared" si="33"/>
        <v>8.1412832384008382E-3</v>
      </c>
      <c r="BL139" s="9"/>
      <c r="BN139">
        <f t="shared" si="34"/>
        <v>0</v>
      </c>
      <c r="BO139">
        <f t="shared" si="35"/>
        <v>1</v>
      </c>
      <c r="BP139">
        <f t="shared" si="36"/>
        <v>0</v>
      </c>
      <c r="BQ139">
        <f t="shared" si="25"/>
        <v>1</v>
      </c>
      <c r="BR139">
        <f t="shared" si="37"/>
        <v>0</v>
      </c>
      <c r="BS139" s="9">
        <f t="shared" si="38"/>
        <v>0</v>
      </c>
      <c r="BT139" s="9">
        <f t="shared" si="39"/>
        <v>0</v>
      </c>
      <c r="BU139" s="9">
        <f t="shared" si="40"/>
        <v>0</v>
      </c>
      <c r="BV139" s="12">
        <f t="shared" si="41"/>
        <v>1.2373710160373273E-2</v>
      </c>
      <c r="BX139" s="12">
        <f t="shared" si="42"/>
        <v>0</v>
      </c>
      <c r="BY139" s="12">
        <f t="shared" si="43"/>
        <v>2.051499339877411E-2</v>
      </c>
    </row>
    <row r="140" spans="1:77" x14ac:dyDescent="0.3">
      <c r="A140" s="1">
        <v>46226</v>
      </c>
      <c r="B140" s="8">
        <v>18.39</v>
      </c>
      <c r="C140" s="8">
        <v>30.14</v>
      </c>
      <c r="D140" s="9">
        <v>-8.6627504372144802E-3</v>
      </c>
      <c r="E140" s="9">
        <v>-1.02328009575566E-2</v>
      </c>
      <c r="F140" s="8">
        <v>0</v>
      </c>
      <c r="G140" s="8">
        <v>0.6</v>
      </c>
      <c r="H140" s="8">
        <v>0</v>
      </c>
      <c r="I140" s="8">
        <v>0.77079999999999904</v>
      </c>
      <c r="J140" s="8">
        <v>0.6</v>
      </c>
      <c r="K140" s="8">
        <v>0.77079999999999904</v>
      </c>
      <c r="L140" s="8">
        <v>18.989999999999998</v>
      </c>
      <c r="M140" s="8">
        <v>30.910799999999998</v>
      </c>
      <c r="N140" s="10">
        <v>1.6389342033713901</v>
      </c>
      <c r="O140" s="10">
        <v>1.64495540501874</v>
      </c>
      <c r="P140" s="10">
        <v>1.63829909533705</v>
      </c>
      <c r="Q140" s="10">
        <v>1.63700943775546</v>
      </c>
      <c r="R140" s="8">
        <v>30.250729898294601</v>
      </c>
      <c r="S140" s="8">
        <v>30.122877108430501</v>
      </c>
      <c r="T140" s="8">
        <v>30.107788785162398</v>
      </c>
      <c r="U140" s="9">
        <v>3.6671198566486101E-3</v>
      </c>
      <c r="V140" s="9">
        <v>-5.6827330031013396E-4</v>
      </c>
      <c r="W140" s="9">
        <v>-1.0692912903918399E-3</v>
      </c>
      <c r="X140" s="10">
        <v>1.62774091627172</v>
      </c>
      <c r="Y140" s="10">
        <v>1.6378015347179899</v>
      </c>
      <c r="Z140" s="10">
        <v>1.62722138418539</v>
      </c>
      <c r="AA140" s="10">
        <v>1.6262141733886999</v>
      </c>
      <c r="AB140" s="8">
        <v>31.101851144294798</v>
      </c>
      <c r="AC140" s="8">
        <v>30.895807882361101</v>
      </c>
      <c r="AD140" s="8">
        <v>30.886214517093499</v>
      </c>
      <c r="AE140" s="9">
        <v>6.16170233757668E-3</v>
      </c>
      <c r="AF140" s="9">
        <v>-4.8512993825628901E-4</v>
      </c>
      <c r="AG140" s="9">
        <v>-7.9568517656329596E-4</v>
      </c>
      <c r="AZ140" s="9"/>
      <c r="BB140">
        <f t="shared" si="26"/>
        <v>0</v>
      </c>
      <c r="BC140">
        <f t="shared" si="27"/>
        <v>1</v>
      </c>
      <c r="BD140">
        <f t="shared" si="28"/>
        <v>0</v>
      </c>
      <c r="BE140">
        <f t="shared" si="24"/>
        <v>1</v>
      </c>
      <c r="BF140">
        <f t="shared" si="29"/>
        <v>0</v>
      </c>
      <c r="BG140" s="9">
        <f t="shared" si="30"/>
        <v>0</v>
      </c>
      <c r="BH140" s="9">
        <f t="shared" si="31"/>
        <v>0</v>
      </c>
      <c r="BI140" s="9">
        <f t="shared" si="32"/>
        <v>0</v>
      </c>
      <c r="BJ140" s="12">
        <f t="shared" si="33"/>
        <v>8.1412832384008382E-3</v>
      </c>
      <c r="BL140" s="9"/>
      <c r="BN140">
        <f t="shared" si="34"/>
        <v>0</v>
      </c>
      <c r="BO140">
        <f t="shared" si="35"/>
        <v>1</v>
      </c>
      <c r="BP140">
        <f t="shared" si="36"/>
        <v>0</v>
      </c>
      <c r="BQ140">
        <f t="shared" si="25"/>
        <v>1</v>
      </c>
      <c r="BR140">
        <f t="shared" si="37"/>
        <v>0</v>
      </c>
      <c r="BS140" s="9">
        <f t="shared" si="38"/>
        <v>0</v>
      </c>
      <c r="BT140" s="9">
        <f t="shared" si="39"/>
        <v>0</v>
      </c>
      <c r="BU140" s="9">
        <f t="shared" si="40"/>
        <v>0</v>
      </c>
      <c r="BV140" s="12">
        <f t="shared" si="41"/>
        <v>1.2373710160373273E-2</v>
      </c>
      <c r="BX140" s="12">
        <f t="shared" si="42"/>
        <v>0</v>
      </c>
      <c r="BY140" s="12">
        <f t="shared" si="43"/>
        <v>2.051499339877411E-2</v>
      </c>
    </row>
    <row r="141" spans="1:77" x14ac:dyDescent="0.3">
      <c r="A141" s="1">
        <v>46227</v>
      </c>
      <c r="B141" s="8">
        <v>18.36</v>
      </c>
      <c r="C141" s="8">
        <v>30.16</v>
      </c>
      <c r="D141" s="9">
        <v>-1.63265342388533E-3</v>
      </c>
      <c r="E141" s="9">
        <v>6.6334994140597198E-4</v>
      </c>
      <c r="F141" s="8">
        <v>0</v>
      </c>
      <c r="G141" s="8">
        <v>0.6</v>
      </c>
      <c r="H141" s="8">
        <v>0</v>
      </c>
      <c r="I141" s="8">
        <v>0.77079999999999904</v>
      </c>
      <c r="J141" s="8">
        <v>0.6</v>
      </c>
      <c r="K141" s="8">
        <v>0.77079999999999904</v>
      </c>
      <c r="L141" s="8">
        <v>18.96</v>
      </c>
      <c r="M141" s="8">
        <v>30.930800000000001</v>
      </c>
      <c r="N141" s="10">
        <v>1.6427015250544601</v>
      </c>
      <c r="O141" s="10">
        <v>1.64495540501874</v>
      </c>
      <c r="P141" s="10">
        <v>1.63881589663607</v>
      </c>
      <c r="Q141" s="10">
        <v>1.63753593491972</v>
      </c>
      <c r="R141" s="8">
        <v>30.201381236144002</v>
      </c>
      <c r="S141" s="8">
        <v>30.0791713903883</v>
      </c>
      <c r="T141" s="8">
        <v>30.055493277190401</v>
      </c>
      <c r="U141" s="9">
        <v>1.3711164913572701E-3</v>
      </c>
      <c r="V141" s="9">
        <v>-2.6835912996265401E-3</v>
      </c>
      <c r="W141" s="9">
        <v>-3.4710942998527599E-3</v>
      </c>
      <c r="X141" s="10">
        <v>1.6313713080168699</v>
      </c>
      <c r="Y141" s="10">
        <v>1.6378015347179899</v>
      </c>
      <c r="Z141" s="10">
        <v>1.62770500849357</v>
      </c>
      <c r="AA141" s="10">
        <v>1.62666237325429</v>
      </c>
      <c r="AB141" s="8">
        <v>31.052717098253201</v>
      </c>
      <c r="AC141" s="8">
        <v>30.852117444154999</v>
      </c>
      <c r="AD141" s="8">
        <v>30.8330207274497</v>
      </c>
      <c r="AE141" s="9">
        <v>3.9338605224625697E-3</v>
      </c>
      <c r="AF141" s="9">
        <v>-2.5470664590779299E-3</v>
      </c>
      <c r="AG141" s="9">
        <v>-3.1662339889376601E-3</v>
      </c>
      <c r="AZ141" s="9"/>
      <c r="BB141">
        <f t="shared" si="26"/>
        <v>0</v>
      </c>
      <c r="BC141">
        <f t="shared" si="27"/>
        <v>0</v>
      </c>
      <c r="BD141">
        <f t="shared" si="28"/>
        <v>0</v>
      </c>
      <c r="BE141">
        <f t="shared" si="24"/>
        <v>1</v>
      </c>
      <c r="BF141">
        <f t="shared" si="29"/>
        <v>0</v>
      </c>
      <c r="BG141" s="9">
        <f t="shared" si="30"/>
        <v>0</v>
      </c>
      <c r="BH141" s="9">
        <f t="shared" si="31"/>
        <v>0</v>
      </c>
      <c r="BI141" s="9">
        <f t="shared" si="32"/>
        <v>0</v>
      </c>
      <c r="BJ141" s="12">
        <f t="shared" si="33"/>
        <v>8.1412832384008382E-3</v>
      </c>
      <c r="BL141" s="9"/>
      <c r="BN141">
        <f t="shared" si="34"/>
        <v>0</v>
      </c>
      <c r="BO141">
        <f t="shared" si="35"/>
        <v>1</v>
      </c>
      <c r="BP141">
        <f t="shared" si="36"/>
        <v>0</v>
      </c>
      <c r="BQ141">
        <f t="shared" si="25"/>
        <v>1</v>
      </c>
      <c r="BR141">
        <f t="shared" si="37"/>
        <v>0</v>
      </c>
      <c r="BS141" s="9">
        <f t="shared" si="38"/>
        <v>0</v>
      </c>
      <c r="BT141" s="9">
        <f t="shared" si="39"/>
        <v>0</v>
      </c>
      <c r="BU141" s="9">
        <f t="shared" si="40"/>
        <v>0</v>
      </c>
      <c r="BV141" s="12">
        <f t="shared" si="41"/>
        <v>1.2373710160373273E-2</v>
      </c>
      <c r="BX141" s="12">
        <f t="shared" si="42"/>
        <v>0</v>
      </c>
      <c r="BY141" s="12">
        <f t="shared" si="43"/>
        <v>2.051499339877411E-2</v>
      </c>
    </row>
    <row r="142" spans="1:77" x14ac:dyDescent="0.3">
      <c r="A142" s="1">
        <v>46230</v>
      </c>
      <c r="B142" s="8">
        <v>18.45</v>
      </c>
      <c r="C142" s="8">
        <v>30.28</v>
      </c>
      <c r="D142" s="9">
        <v>4.8899852941917702E-3</v>
      </c>
      <c r="E142" s="9">
        <v>3.9708854294927204E-3</v>
      </c>
      <c r="F142" s="8">
        <v>0</v>
      </c>
      <c r="G142" s="8">
        <v>0.6</v>
      </c>
      <c r="H142" s="8">
        <v>0</v>
      </c>
      <c r="I142" s="8">
        <v>0.77079999999999904</v>
      </c>
      <c r="J142" s="8">
        <v>0.6</v>
      </c>
      <c r="K142" s="8">
        <v>0.77079999999999904</v>
      </c>
      <c r="L142" s="8">
        <v>19.05</v>
      </c>
      <c r="M142" s="8">
        <v>31.050799999999999</v>
      </c>
      <c r="N142" s="10">
        <v>1.6411924119241099</v>
      </c>
      <c r="O142" s="10">
        <v>1.64495540501874</v>
      </c>
      <c r="P142" s="10">
        <v>1.6393232779902001</v>
      </c>
      <c r="Q142" s="10">
        <v>1.6381577872755799</v>
      </c>
      <c r="R142" s="8">
        <v>30.3494272225957</v>
      </c>
      <c r="S142" s="8">
        <v>30.236153292935398</v>
      </c>
      <c r="T142" s="8">
        <v>30.2125379992688</v>
      </c>
      <c r="U142" s="9">
        <v>2.2902163560562399E-3</v>
      </c>
      <c r="V142" s="9">
        <v>-1.44909127072061E-3</v>
      </c>
      <c r="W142" s="9">
        <v>-2.2304248070874099E-3</v>
      </c>
      <c r="X142" s="10">
        <v>1.6299632545931699</v>
      </c>
      <c r="Y142" s="10">
        <v>1.6378015347179899</v>
      </c>
      <c r="Z142" s="10">
        <v>1.62819062899205</v>
      </c>
      <c r="AA142" s="10">
        <v>1.6272067742284599</v>
      </c>
      <c r="AB142" s="8">
        <v>31.200119236377802</v>
      </c>
      <c r="AC142" s="8">
        <v>31.007780411802599</v>
      </c>
      <c r="AD142" s="8">
        <v>30.9879182104943</v>
      </c>
      <c r="AE142" s="9">
        <v>4.7973435440034802E-3</v>
      </c>
      <c r="AF142" s="9">
        <v>-1.38641892234037E-3</v>
      </c>
      <c r="AG142" s="9">
        <v>-2.0271795695859401E-3</v>
      </c>
      <c r="AZ142" s="9"/>
      <c r="BB142">
        <f t="shared" si="26"/>
        <v>0</v>
      </c>
      <c r="BC142">
        <f t="shared" si="27"/>
        <v>1</v>
      </c>
      <c r="BD142">
        <f t="shared" si="28"/>
        <v>0</v>
      </c>
      <c r="BE142">
        <f t="shared" si="24"/>
        <v>1</v>
      </c>
      <c r="BF142">
        <f t="shared" si="29"/>
        <v>0</v>
      </c>
      <c r="BG142" s="9">
        <f t="shared" si="30"/>
        <v>0</v>
      </c>
      <c r="BH142" s="9">
        <f t="shared" si="31"/>
        <v>0</v>
      </c>
      <c r="BI142" s="9">
        <f t="shared" si="32"/>
        <v>0</v>
      </c>
      <c r="BJ142" s="12">
        <f t="shared" si="33"/>
        <v>8.1412832384008382E-3</v>
      </c>
      <c r="BL142" s="9"/>
      <c r="BN142">
        <f t="shared" si="34"/>
        <v>0</v>
      </c>
      <c r="BO142">
        <f t="shared" si="35"/>
        <v>1</v>
      </c>
      <c r="BP142">
        <f t="shared" si="36"/>
        <v>0</v>
      </c>
      <c r="BQ142">
        <f t="shared" si="25"/>
        <v>1</v>
      </c>
      <c r="BR142">
        <f t="shared" si="37"/>
        <v>0</v>
      </c>
      <c r="BS142" s="9">
        <f t="shared" si="38"/>
        <v>0</v>
      </c>
      <c r="BT142" s="9">
        <f t="shared" si="39"/>
        <v>0</v>
      </c>
      <c r="BU142" s="9">
        <f t="shared" si="40"/>
        <v>0</v>
      </c>
      <c r="BV142" s="12">
        <f t="shared" si="41"/>
        <v>1.2373710160373273E-2</v>
      </c>
      <c r="BX142" s="12">
        <f t="shared" si="42"/>
        <v>0</v>
      </c>
      <c r="BY142" s="12">
        <f t="shared" si="43"/>
        <v>2.051499339877411E-2</v>
      </c>
    </row>
    <row r="143" spans="1:77" x14ac:dyDescent="0.3">
      <c r="A143" s="1">
        <v>46231</v>
      </c>
      <c r="B143" s="8">
        <v>18.489999999999998</v>
      </c>
      <c r="C143" s="8">
        <v>30.36</v>
      </c>
      <c r="D143" s="9">
        <v>2.1656749124971601E-3</v>
      </c>
      <c r="E143" s="9">
        <v>2.63852395818102E-3</v>
      </c>
      <c r="F143" s="8">
        <v>0</v>
      </c>
      <c r="G143" s="8">
        <v>0.6</v>
      </c>
      <c r="H143" s="8">
        <v>0</v>
      </c>
      <c r="I143" s="8">
        <v>0.77079999999999904</v>
      </c>
      <c r="J143" s="8">
        <v>0.6</v>
      </c>
      <c r="K143" s="8">
        <v>0.77079999999999904</v>
      </c>
      <c r="L143" s="8">
        <v>19.09</v>
      </c>
      <c r="M143" s="8">
        <v>31.130800000000001</v>
      </c>
      <c r="N143" s="10">
        <v>1.6419686316927999</v>
      </c>
      <c r="O143" s="10">
        <v>1.64495540501874</v>
      </c>
      <c r="P143" s="10">
        <v>1.63922288752459</v>
      </c>
      <c r="Q143" s="10">
        <v>1.6383236706803499</v>
      </c>
      <c r="R143" s="8">
        <v>30.415225438796501</v>
      </c>
      <c r="S143" s="8">
        <v>30.311087410038901</v>
      </c>
      <c r="T143" s="8">
        <v>30.2895374867255</v>
      </c>
      <c r="U143" s="9">
        <v>1.81736731037238E-3</v>
      </c>
      <c r="V143" s="9">
        <v>-1.61238582151541E-3</v>
      </c>
      <c r="W143" s="9">
        <v>-2.3235971088075001E-3</v>
      </c>
      <c r="X143" s="10">
        <v>1.63073860660031</v>
      </c>
      <c r="Y143" s="10">
        <v>1.6378015347179899</v>
      </c>
      <c r="Z143" s="10">
        <v>1.62808869413826</v>
      </c>
      <c r="AA143" s="10">
        <v>1.62730705179519</v>
      </c>
      <c r="AB143" s="8">
        <v>31.2656312977665</v>
      </c>
      <c r="AC143" s="8">
        <v>31.082159107458299</v>
      </c>
      <c r="AD143" s="8">
        <v>31.063377320021399</v>
      </c>
      <c r="AE143" s="9">
        <v>4.32176984560471E-3</v>
      </c>
      <c r="AF143" s="9">
        <v>-1.56369036774825E-3</v>
      </c>
      <c r="AG143" s="9">
        <v>-2.16813564534721E-3</v>
      </c>
      <c r="AZ143" s="9"/>
      <c r="BB143">
        <f t="shared" si="26"/>
        <v>0</v>
      </c>
      <c r="BC143">
        <f t="shared" si="27"/>
        <v>1</v>
      </c>
      <c r="BD143">
        <f t="shared" si="28"/>
        <v>0</v>
      </c>
      <c r="BE143">
        <f t="shared" si="24"/>
        <v>1</v>
      </c>
      <c r="BF143">
        <f t="shared" si="29"/>
        <v>0</v>
      </c>
      <c r="BG143" s="9">
        <f t="shared" si="30"/>
        <v>0</v>
      </c>
      <c r="BH143" s="9">
        <f t="shared" si="31"/>
        <v>0</v>
      </c>
      <c r="BI143" s="9">
        <f t="shared" si="32"/>
        <v>0</v>
      </c>
      <c r="BJ143" s="12">
        <f t="shared" si="33"/>
        <v>8.1412832384008382E-3</v>
      </c>
      <c r="BL143" s="9"/>
      <c r="BN143">
        <f t="shared" si="34"/>
        <v>0</v>
      </c>
      <c r="BO143">
        <f t="shared" si="35"/>
        <v>1</v>
      </c>
      <c r="BP143">
        <f t="shared" si="36"/>
        <v>0</v>
      </c>
      <c r="BQ143">
        <f t="shared" si="25"/>
        <v>1</v>
      </c>
      <c r="BR143">
        <f t="shared" si="37"/>
        <v>0</v>
      </c>
      <c r="BS143" s="9">
        <f t="shared" si="38"/>
        <v>0</v>
      </c>
      <c r="BT143" s="9">
        <f t="shared" si="39"/>
        <v>0</v>
      </c>
      <c r="BU143" s="9">
        <f t="shared" si="40"/>
        <v>0</v>
      </c>
      <c r="BV143" s="12">
        <f t="shared" si="41"/>
        <v>1.2373710160373273E-2</v>
      </c>
      <c r="BX143" s="12">
        <f t="shared" si="42"/>
        <v>0</v>
      </c>
      <c r="BY143" s="12">
        <f t="shared" si="43"/>
        <v>2.051499339877411E-2</v>
      </c>
    </row>
    <row r="144" spans="1:77" x14ac:dyDescent="0.3">
      <c r="A144" s="1">
        <v>46232</v>
      </c>
      <c r="B144" s="8">
        <v>18.34</v>
      </c>
      <c r="C144" s="8">
        <v>30.1</v>
      </c>
      <c r="D144" s="9">
        <v>-8.1455785707145595E-3</v>
      </c>
      <c r="E144" s="9">
        <v>-8.6007807725991207E-3</v>
      </c>
      <c r="F144" s="8">
        <v>0</v>
      </c>
      <c r="G144" s="8">
        <v>0.6</v>
      </c>
      <c r="H144" s="8">
        <v>0</v>
      </c>
      <c r="I144" s="8">
        <v>0.77079999999999904</v>
      </c>
      <c r="J144" s="8">
        <v>0.6</v>
      </c>
      <c r="K144" s="8">
        <v>0.77079999999999904</v>
      </c>
      <c r="L144" s="8">
        <v>18.940000000000001</v>
      </c>
      <c r="M144" s="8">
        <v>30.870799999999999</v>
      </c>
      <c r="N144" s="10">
        <v>1.6412213740457999</v>
      </c>
      <c r="O144" s="10">
        <v>1.64495540501874</v>
      </c>
      <c r="P144" s="10">
        <v>1.63916271929914</v>
      </c>
      <c r="Q144" s="10">
        <v>1.6388170561295601</v>
      </c>
      <c r="R144" s="8">
        <v>30.1684821280436</v>
      </c>
      <c r="S144" s="8">
        <v>30.063347757201001</v>
      </c>
      <c r="T144" s="8">
        <v>30.046856120277599</v>
      </c>
      <c r="U144" s="9">
        <v>2.2725695122568302E-3</v>
      </c>
      <c r="V144" s="9">
        <v>-1.2184244627227901E-3</v>
      </c>
      <c r="W144" s="9">
        <v>-1.76713786821308E-3</v>
      </c>
      <c r="X144" s="10">
        <v>1.6299260823653601</v>
      </c>
      <c r="Y144" s="10">
        <v>1.6378015347179899</v>
      </c>
      <c r="Z144" s="10">
        <v>1.6280122114657101</v>
      </c>
      <c r="AA144" s="10">
        <v>1.6277218030213201</v>
      </c>
      <c r="AB144" s="8">
        <v>31.019961067558899</v>
      </c>
      <c r="AC144" s="8">
        <v>30.8359998669787</v>
      </c>
      <c r="AD144" s="8">
        <v>30.821195561000899</v>
      </c>
      <c r="AE144" s="9">
        <v>4.8201493659016104E-3</v>
      </c>
      <c r="AF144" s="9">
        <v>-1.1279190230467199E-3</v>
      </c>
      <c r="AG144" s="9">
        <v>-1.6081324404613E-3</v>
      </c>
      <c r="AZ144" s="9"/>
      <c r="BB144">
        <f t="shared" si="26"/>
        <v>0</v>
      </c>
      <c r="BC144">
        <f t="shared" si="27"/>
        <v>1</v>
      </c>
      <c r="BD144">
        <f t="shared" si="28"/>
        <v>0</v>
      </c>
      <c r="BE144">
        <f t="shared" si="24"/>
        <v>1</v>
      </c>
      <c r="BF144">
        <f t="shared" si="29"/>
        <v>0</v>
      </c>
      <c r="BG144" s="9">
        <f t="shared" si="30"/>
        <v>0</v>
      </c>
      <c r="BH144" s="9">
        <f t="shared" si="31"/>
        <v>0</v>
      </c>
      <c r="BI144" s="9">
        <f t="shared" si="32"/>
        <v>0</v>
      </c>
      <c r="BJ144" s="12">
        <f t="shared" si="33"/>
        <v>8.1412832384008382E-3</v>
      </c>
      <c r="BL144" s="9"/>
      <c r="BN144">
        <f t="shared" si="34"/>
        <v>0</v>
      </c>
      <c r="BO144">
        <f t="shared" si="35"/>
        <v>1</v>
      </c>
      <c r="BP144">
        <f t="shared" si="36"/>
        <v>0</v>
      </c>
      <c r="BQ144">
        <f t="shared" si="25"/>
        <v>1</v>
      </c>
      <c r="BR144">
        <f t="shared" si="37"/>
        <v>0</v>
      </c>
      <c r="BS144" s="9">
        <f t="shared" si="38"/>
        <v>0</v>
      </c>
      <c r="BT144" s="9">
        <f t="shared" si="39"/>
        <v>0</v>
      </c>
      <c r="BU144" s="9">
        <f t="shared" si="40"/>
        <v>0</v>
      </c>
      <c r="BV144" s="12">
        <f t="shared" si="41"/>
        <v>1.2373710160373273E-2</v>
      </c>
      <c r="BX144" s="12">
        <f t="shared" si="42"/>
        <v>0</v>
      </c>
      <c r="BY144" s="12">
        <f t="shared" si="43"/>
        <v>2.051499339877411E-2</v>
      </c>
    </row>
    <row r="145" spans="1:77" x14ac:dyDescent="0.3">
      <c r="A145" s="1">
        <v>46233</v>
      </c>
      <c r="B145" s="8">
        <v>18.52</v>
      </c>
      <c r="C145" s="8">
        <v>30.44</v>
      </c>
      <c r="D145" s="9">
        <v>9.7667623897143997E-3</v>
      </c>
      <c r="E145" s="9">
        <v>1.1232361238654899E-2</v>
      </c>
      <c r="F145" s="8">
        <v>0</v>
      </c>
      <c r="G145" s="8">
        <v>0.6</v>
      </c>
      <c r="H145" s="8">
        <v>0</v>
      </c>
      <c r="I145" s="8">
        <v>0.77079999999999904</v>
      </c>
      <c r="J145" s="8">
        <v>0.6</v>
      </c>
      <c r="K145" s="8">
        <v>0.77079999999999904</v>
      </c>
      <c r="L145" s="8">
        <v>19.12</v>
      </c>
      <c r="M145" s="8">
        <v>31.210799999999999</v>
      </c>
      <c r="N145" s="10">
        <v>1.64362850971922</v>
      </c>
      <c r="O145" s="10">
        <v>1.64495540501874</v>
      </c>
      <c r="P145" s="10">
        <v>1.63998222078264</v>
      </c>
      <c r="Q145" s="10">
        <v>1.63913389268484</v>
      </c>
      <c r="R145" s="8">
        <v>30.464574100947001</v>
      </c>
      <c r="S145" s="8">
        <v>30.3572935614201</v>
      </c>
      <c r="T145" s="8">
        <v>30.350891879519502</v>
      </c>
      <c r="U145" s="9">
        <v>8.0697066331631003E-4</v>
      </c>
      <c r="V145" s="9">
        <v>-2.72072932045501E-3</v>
      </c>
      <c r="W145" s="9">
        <v>-2.9316294446429698E-3</v>
      </c>
      <c r="X145" s="10">
        <v>1.6323640167364</v>
      </c>
      <c r="Y145" s="10">
        <v>1.6378015347179899</v>
      </c>
      <c r="Z145" s="10">
        <v>1.6288031253980799</v>
      </c>
      <c r="AA145" s="10">
        <v>1.62802610484721</v>
      </c>
      <c r="AB145" s="8">
        <v>31.314765343808102</v>
      </c>
      <c r="AC145" s="8">
        <v>31.127593483224299</v>
      </c>
      <c r="AD145" s="8">
        <v>31.122040873767698</v>
      </c>
      <c r="AE145" s="9">
        <v>3.3255337732875801E-3</v>
      </c>
      <c r="AF145" s="9">
        <v>-2.6695126883841498E-3</v>
      </c>
      <c r="AG145" s="9">
        <v>-2.8479108277046699E-3</v>
      </c>
      <c r="AZ145" s="9"/>
      <c r="BB145">
        <f t="shared" si="26"/>
        <v>0</v>
      </c>
      <c r="BC145">
        <f t="shared" si="27"/>
        <v>1</v>
      </c>
      <c r="BD145">
        <f t="shared" si="28"/>
        <v>0</v>
      </c>
      <c r="BE145">
        <f t="shared" si="24"/>
        <v>1</v>
      </c>
      <c r="BF145">
        <f t="shared" si="29"/>
        <v>0</v>
      </c>
      <c r="BG145" s="9">
        <f t="shared" si="30"/>
        <v>0</v>
      </c>
      <c r="BH145" s="9">
        <f t="shared" si="31"/>
        <v>0</v>
      </c>
      <c r="BI145" s="9">
        <f t="shared" si="32"/>
        <v>0</v>
      </c>
      <c r="BJ145" s="12">
        <f t="shared" si="33"/>
        <v>8.1412832384008382E-3</v>
      </c>
      <c r="BL145" s="9"/>
      <c r="BN145">
        <f t="shared" si="34"/>
        <v>0</v>
      </c>
      <c r="BO145">
        <f t="shared" si="35"/>
        <v>1</v>
      </c>
      <c r="BP145">
        <f t="shared" si="36"/>
        <v>0</v>
      </c>
      <c r="BQ145">
        <f t="shared" si="25"/>
        <v>1</v>
      </c>
      <c r="BR145">
        <f t="shared" si="37"/>
        <v>0</v>
      </c>
      <c r="BS145" s="9">
        <f t="shared" si="38"/>
        <v>0</v>
      </c>
      <c r="BT145" s="9">
        <f t="shared" si="39"/>
        <v>0</v>
      </c>
      <c r="BU145" s="9">
        <f t="shared" si="40"/>
        <v>0</v>
      </c>
      <c r="BV145" s="12">
        <f t="shared" si="41"/>
        <v>1.2373710160373273E-2</v>
      </c>
      <c r="BX145" s="12">
        <f t="shared" si="42"/>
        <v>0</v>
      </c>
      <c r="BY145" s="12">
        <f t="shared" si="43"/>
        <v>2.051499339877411E-2</v>
      </c>
    </row>
    <row r="146" spans="1:77" x14ac:dyDescent="0.3">
      <c r="A146" s="1">
        <v>46234</v>
      </c>
      <c r="B146" s="8">
        <v>18.52</v>
      </c>
      <c r="C146" s="8">
        <v>30.47</v>
      </c>
      <c r="D146" s="9">
        <v>0</v>
      </c>
      <c r="E146" s="9">
        <v>9.8506000413249909E-4</v>
      </c>
      <c r="F146" s="8">
        <v>0</v>
      </c>
      <c r="G146" s="8">
        <v>0.6</v>
      </c>
      <c r="H146" s="8">
        <v>0</v>
      </c>
      <c r="I146" s="8">
        <v>0.77079999999999904</v>
      </c>
      <c r="J146" s="8">
        <v>0.6</v>
      </c>
      <c r="K146" s="8">
        <v>0.77079999999999904</v>
      </c>
      <c r="L146" s="8">
        <v>19.12</v>
      </c>
      <c r="M146" s="8">
        <v>31.2408</v>
      </c>
      <c r="N146" s="10">
        <v>1.6452483801295801</v>
      </c>
      <c r="O146" s="10">
        <v>1.64495540501874</v>
      </c>
      <c r="P146" s="10">
        <v>1.64124724168963</v>
      </c>
      <c r="Q146" s="10">
        <v>1.6393726303134899</v>
      </c>
      <c r="R146" s="8">
        <v>30.464574100947001</v>
      </c>
      <c r="S146" s="8">
        <v>30.372470728894601</v>
      </c>
      <c r="T146" s="8">
        <v>30.356759692523301</v>
      </c>
      <c r="U146" s="9">
        <v>-1.7808934081611601E-4</v>
      </c>
      <c r="V146" s="9">
        <v>-3.2059629884326601E-3</v>
      </c>
      <c r="W146" s="9">
        <v>-3.72337566146589E-3</v>
      </c>
      <c r="X146" s="10">
        <v>1.6339330543932999</v>
      </c>
      <c r="Y146" s="10">
        <v>1.6378015347179899</v>
      </c>
      <c r="Z146" s="10">
        <v>1.6300244662725401</v>
      </c>
      <c r="AA146" s="10">
        <v>1.6282556042822001</v>
      </c>
      <c r="AB146" s="8">
        <v>31.314765343808102</v>
      </c>
      <c r="AC146" s="8">
        <v>31.142715757611398</v>
      </c>
      <c r="AD146" s="8">
        <v>31.1278591246787</v>
      </c>
      <c r="AE146" s="9">
        <v>2.3647896992343002E-3</v>
      </c>
      <c r="AF146" s="9">
        <v>-3.1445590079630199E-3</v>
      </c>
      <c r="AG146" s="9">
        <v>-3.6217228447402799E-3</v>
      </c>
      <c r="AZ146" s="9"/>
      <c r="BB146">
        <f t="shared" si="26"/>
        <v>0</v>
      </c>
      <c r="BC146">
        <f t="shared" si="27"/>
        <v>0</v>
      </c>
      <c r="BD146">
        <f t="shared" si="28"/>
        <v>0</v>
      </c>
      <c r="BE146">
        <f t="shared" si="24"/>
        <v>0</v>
      </c>
      <c r="BF146">
        <f t="shared" si="29"/>
        <v>0</v>
      </c>
      <c r="BG146" s="9">
        <f t="shared" si="30"/>
        <v>0</v>
      </c>
      <c r="BH146" s="9">
        <f t="shared" si="31"/>
        <v>0</v>
      </c>
      <c r="BI146" s="9">
        <f t="shared" si="32"/>
        <v>0</v>
      </c>
      <c r="BJ146" s="12">
        <f t="shared" si="33"/>
        <v>8.1412832384008382E-3</v>
      </c>
      <c r="BL146" s="9"/>
      <c r="BN146">
        <f t="shared" si="34"/>
        <v>0</v>
      </c>
      <c r="BO146">
        <f t="shared" si="35"/>
        <v>1</v>
      </c>
      <c r="BP146">
        <f t="shared" si="36"/>
        <v>0</v>
      </c>
      <c r="BQ146">
        <f t="shared" si="25"/>
        <v>0</v>
      </c>
      <c r="BR146">
        <f t="shared" si="37"/>
        <v>0</v>
      </c>
      <c r="BS146" s="9">
        <f t="shared" si="38"/>
        <v>0</v>
      </c>
      <c r="BT146" s="9">
        <f t="shared" si="39"/>
        <v>0</v>
      </c>
      <c r="BU146" s="9">
        <f t="shared" si="40"/>
        <v>0</v>
      </c>
      <c r="BV146" s="12">
        <f t="shared" si="41"/>
        <v>1.2373710160373273E-2</v>
      </c>
      <c r="BX146" s="12">
        <f t="shared" si="42"/>
        <v>0</v>
      </c>
      <c r="BY146" s="12">
        <f t="shared" si="43"/>
        <v>2.051499339877411E-2</v>
      </c>
    </row>
    <row r="147" spans="1:77" x14ac:dyDescent="0.3">
      <c r="A147" s="1">
        <v>46237</v>
      </c>
      <c r="B147" s="8">
        <v>18.61</v>
      </c>
      <c r="C147" s="8">
        <v>30.62</v>
      </c>
      <c r="D147" s="9">
        <v>4.8478414361260097E-3</v>
      </c>
      <c r="E147" s="9">
        <v>4.9107972319200003E-3</v>
      </c>
      <c r="F147" s="8">
        <v>0.1</v>
      </c>
      <c r="G147" s="8">
        <v>0.7</v>
      </c>
      <c r="H147" s="8">
        <v>0.14230000000000001</v>
      </c>
      <c r="I147" s="8">
        <v>0.91309999999999902</v>
      </c>
      <c r="J147" s="8">
        <v>0.7</v>
      </c>
      <c r="K147" s="8">
        <v>0.91309999999999902</v>
      </c>
      <c r="L147" s="8">
        <v>19.309999999999999</v>
      </c>
      <c r="M147" s="8">
        <v>31.533100000000001</v>
      </c>
      <c r="N147" s="10">
        <v>1.64535196131112</v>
      </c>
      <c r="O147" s="10">
        <v>1.64495540501874</v>
      </c>
      <c r="P147" s="10">
        <v>1.64189054592885</v>
      </c>
      <c r="Q147" s="10">
        <v>1.6398413992145999</v>
      </c>
      <c r="R147" s="8">
        <v>30.6126200873987</v>
      </c>
      <c r="S147" s="8">
        <v>30.543611167843999</v>
      </c>
      <c r="T147" s="8">
        <v>30.508724650134099</v>
      </c>
      <c r="U147" s="9">
        <v>-2.4104513661006601E-4</v>
      </c>
      <c r="V147" s="9">
        <v>-2.4978535575291999E-3</v>
      </c>
      <c r="W147" s="9">
        <v>-3.6406934190855202E-3</v>
      </c>
      <c r="X147" s="10">
        <v>1.6329932677369201</v>
      </c>
      <c r="Y147" s="10">
        <v>1.6378015347179899</v>
      </c>
      <c r="Z147" s="10">
        <v>1.6305447354546101</v>
      </c>
      <c r="AA147" s="10">
        <v>1.6286499814390401</v>
      </c>
      <c r="AB147" s="8">
        <v>31.625947635404501</v>
      </c>
      <c r="AC147" s="8">
        <v>31.4757724437227</v>
      </c>
      <c r="AD147" s="8">
        <v>31.441615718689398</v>
      </c>
      <c r="AE147" s="9">
        <v>2.9401235694462399E-3</v>
      </c>
      <c r="AF147" s="9">
        <v>-1.8196666555792399E-3</v>
      </c>
      <c r="AG147" s="9">
        <v>-2.9054310010638699E-3</v>
      </c>
      <c r="AZ147" s="9"/>
      <c r="BB147">
        <f t="shared" si="26"/>
        <v>0</v>
      </c>
      <c r="BC147">
        <f t="shared" si="27"/>
        <v>1</v>
      </c>
      <c r="BD147">
        <f t="shared" si="28"/>
        <v>0</v>
      </c>
      <c r="BE147">
        <f t="shared" si="24"/>
        <v>1</v>
      </c>
      <c r="BF147">
        <f t="shared" si="29"/>
        <v>0</v>
      </c>
      <c r="BG147" s="9">
        <f t="shared" si="30"/>
        <v>0</v>
      </c>
      <c r="BH147" s="9">
        <f t="shared" si="31"/>
        <v>0</v>
      </c>
      <c r="BI147" s="9">
        <f t="shared" si="32"/>
        <v>0</v>
      </c>
      <c r="BJ147" s="12">
        <f t="shared" si="33"/>
        <v>8.1412832384008382E-3</v>
      </c>
      <c r="BL147" s="9"/>
      <c r="BN147">
        <f t="shared" si="34"/>
        <v>0</v>
      </c>
      <c r="BO147">
        <f t="shared" si="35"/>
        <v>1</v>
      </c>
      <c r="BP147">
        <f t="shared" si="36"/>
        <v>0</v>
      </c>
      <c r="BQ147">
        <f t="shared" si="25"/>
        <v>1</v>
      </c>
      <c r="BR147">
        <f t="shared" si="37"/>
        <v>0</v>
      </c>
      <c r="BS147" s="9">
        <f t="shared" si="38"/>
        <v>0</v>
      </c>
      <c r="BT147" s="9">
        <f t="shared" si="39"/>
        <v>0</v>
      </c>
      <c r="BU147" s="9">
        <f t="shared" si="40"/>
        <v>0</v>
      </c>
      <c r="BV147" s="12">
        <f t="shared" si="41"/>
        <v>1.2373710160373273E-2</v>
      </c>
      <c r="BX147" s="12">
        <f t="shared" si="42"/>
        <v>0</v>
      </c>
      <c r="BY147" s="12">
        <f t="shared" si="43"/>
        <v>2.051499339877411E-2</v>
      </c>
    </row>
    <row r="148" spans="1:77" x14ac:dyDescent="0.3">
      <c r="A148" s="1">
        <v>46238</v>
      </c>
      <c r="B148" s="8">
        <v>18.670000000000002</v>
      </c>
      <c r="C148" s="8">
        <v>30.73</v>
      </c>
      <c r="D148" s="9">
        <v>3.2188868994719299E-3</v>
      </c>
      <c r="E148" s="9">
        <v>3.5859859128556E-3</v>
      </c>
      <c r="F148" s="8">
        <v>0</v>
      </c>
      <c r="G148" s="8">
        <v>0.7</v>
      </c>
      <c r="H148" s="8">
        <v>0</v>
      </c>
      <c r="I148" s="8">
        <v>0.91309999999999902</v>
      </c>
      <c r="J148" s="8">
        <v>0.7</v>
      </c>
      <c r="K148" s="8">
        <v>0.91309999999999902</v>
      </c>
      <c r="L148" s="8">
        <v>19.37</v>
      </c>
      <c r="M148" s="8">
        <v>31.6431</v>
      </c>
      <c r="N148" s="10">
        <v>1.64595607927155</v>
      </c>
      <c r="O148" s="10">
        <v>1.64495540501874</v>
      </c>
      <c r="P148" s="10">
        <v>1.64277125104823</v>
      </c>
      <c r="Q148" s="10">
        <v>1.6403429565293799</v>
      </c>
      <c r="R148" s="8">
        <v>30.711317411699799</v>
      </c>
      <c r="S148" s="8">
        <v>30.6540964924917</v>
      </c>
      <c r="T148" s="8">
        <v>30.6158389233366</v>
      </c>
      <c r="U148" s="9">
        <v>-6.0814414999366096E-4</v>
      </c>
      <c r="V148" s="9">
        <v>-2.47306877616056E-3</v>
      </c>
      <c r="W148" s="9">
        <v>-3.7218892251278399E-3</v>
      </c>
      <c r="X148" s="10">
        <v>1.6336138358286001</v>
      </c>
      <c r="Y148" s="10">
        <v>1.6378015347179899</v>
      </c>
      <c r="Z148" s="10">
        <v>1.63129733242659</v>
      </c>
      <c r="AA148" s="10">
        <v>1.62908184206163</v>
      </c>
      <c r="AB148" s="8">
        <v>31.7242157274876</v>
      </c>
      <c r="AC148" s="8">
        <v>31.583651525755801</v>
      </c>
      <c r="AD148" s="8">
        <v>31.546950140474198</v>
      </c>
      <c r="AE148" s="9">
        <v>2.5601769891154102E-3</v>
      </c>
      <c r="AF148" s="9">
        <v>-1.88048540619921E-3</v>
      </c>
      <c r="AG148" s="9">
        <v>-3.0431985262282602E-3</v>
      </c>
      <c r="AZ148" s="9"/>
      <c r="BB148">
        <f t="shared" si="26"/>
        <v>0</v>
      </c>
      <c r="BC148">
        <f t="shared" si="27"/>
        <v>0</v>
      </c>
      <c r="BD148">
        <f t="shared" si="28"/>
        <v>0</v>
      </c>
      <c r="BE148">
        <f t="shared" si="24"/>
        <v>1</v>
      </c>
      <c r="BF148">
        <f t="shared" si="29"/>
        <v>0</v>
      </c>
      <c r="BG148" s="9">
        <f t="shared" si="30"/>
        <v>0</v>
      </c>
      <c r="BH148" s="9">
        <f t="shared" si="31"/>
        <v>0</v>
      </c>
      <c r="BI148" s="9">
        <f t="shared" si="32"/>
        <v>0</v>
      </c>
      <c r="BJ148" s="12">
        <f t="shared" si="33"/>
        <v>8.1412832384008382E-3</v>
      </c>
      <c r="BL148" s="9"/>
      <c r="BN148">
        <f t="shared" si="34"/>
        <v>0</v>
      </c>
      <c r="BO148">
        <f t="shared" si="35"/>
        <v>1</v>
      </c>
      <c r="BP148">
        <f t="shared" si="36"/>
        <v>0</v>
      </c>
      <c r="BQ148">
        <f t="shared" si="25"/>
        <v>1</v>
      </c>
      <c r="BR148">
        <f t="shared" si="37"/>
        <v>0</v>
      </c>
      <c r="BS148" s="9">
        <f t="shared" si="38"/>
        <v>0</v>
      </c>
      <c r="BT148" s="9">
        <f t="shared" si="39"/>
        <v>0</v>
      </c>
      <c r="BU148" s="9">
        <f t="shared" si="40"/>
        <v>0</v>
      </c>
      <c r="BV148" s="12">
        <f t="shared" si="41"/>
        <v>1.2373710160373273E-2</v>
      </c>
      <c r="BX148" s="12">
        <f t="shared" si="42"/>
        <v>0</v>
      </c>
      <c r="BY148" s="12">
        <f t="shared" si="43"/>
        <v>2.051499339877411E-2</v>
      </c>
    </row>
    <row r="149" spans="1:77" x14ac:dyDescent="0.3">
      <c r="A149" s="1">
        <v>46239</v>
      </c>
      <c r="B149" s="8">
        <v>18.62</v>
      </c>
      <c r="C149" s="8">
        <v>30.74</v>
      </c>
      <c r="D149" s="9">
        <v>-2.6816857047102902E-3</v>
      </c>
      <c r="E149" s="9">
        <v>3.2536196805653102E-4</v>
      </c>
      <c r="F149" s="8">
        <v>0</v>
      </c>
      <c r="G149" s="8">
        <v>0.7</v>
      </c>
      <c r="H149" s="8">
        <v>0</v>
      </c>
      <c r="I149" s="8">
        <v>0.91309999999999902</v>
      </c>
      <c r="J149" s="8">
        <v>0.7</v>
      </c>
      <c r="K149" s="8">
        <v>0.91309999999999902</v>
      </c>
      <c r="L149" s="8">
        <v>19.32</v>
      </c>
      <c r="M149" s="8">
        <v>31.653099999999998</v>
      </c>
      <c r="N149" s="10">
        <v>1.6509129967776499</v>
      </c>
      <c r="O149" s="10">
        <v>1.64495540501874</v>
      </c>
      <c r="P149" s="10">
        <v>1.64371160732977</v>
      </c>
      <c r="Q149" s="10">
        <v>1.64085735636827</v>
      </c>
      <c r="R149" s="8">
        <v>30.629069641448901</v>
      </c>
      <c r="S149" s="8">
        <v>30.5884006945181</v>
      </c>
      <c r="T149" s="8">
        <v>30.543185850577199</v>
      </c>
      <c r="U149" s="9">
        <v>-3.6151918227604902E-3</v>
      </c>
      <c r="V149" s="9">
        <v>-4.9438632850270104E-3</v>
      </c>
      <c r="W149" s="9">
        <v>-6.4231264529328799E-3</v>
      </c>
      <c r="X149" s="10">
        <v>1.63835921325051</v>
      </c>
      <c r="Y149" s="10">
        <v>1.6378015347179899</v>
      </c>
      <c r="Z149" s="10">
        <v>1.6321003555793201</v>
      </c>
      <c r="AA149" s="10">
        <v>1.62952589875756</v>
      </c>
      <c r="AB149" s="8">
        <v>31.642325650751701</v>
      </c>
      <c r="AC149" s="8">
        <v>31.5166644624817</v>
      </c>
      <c r="AD149" s="8">
        <v>31.473861188630799</v>
      </c>
      <c r="AE149" s="9">
        <v>-3.4044638270627102E-4</v>
      </c>
      <c r="AF149" s="9">
        <v>-4.3196535820461696E-3</v>
      </c>
      <c r="AG149" s="9">
        <v>-5.6786922627539904E-3</v>
      </c>
      <c r="AZ149" s="9"/>
      <c r="BB149">
        <f t="shared" si="26"/>
        <v>1</v>
      </c>
      <c r="BC149">
        <f t="shared" si="27"/>
        <v>0</v>
      </c>
      <c r="BD149">
        <f t="shared" si="28"/>
        <v>0</v>
      </c>
      <c r="BE149">
        <f t="shared" si="24"/>
        <v>1</v>
      </c>
      <c r="BF149">
        <f t="shared" si="29"/>
        <v>0</v>
      </c>
      <c r="BG149" s="9">
        <f t="shared" si="30"/>
        <v>0</v>
      </c>
      <c r="BH149" s="9">
        <f t="shared" si="31"/>
        <v>0</v>
      </c>
      <c r="BI149" s="9">
        <f t="shared" si="32"/>
        <v>0</v>
      </c>
      <c r="BJ149" s="12">
        <f t="shared" si="33"/>
        <v>8.1412832384008382E-3</v>
      </c>
      <c r="BL149" s="9"/>
      <c r="BN149">
        <f t="shared" si="34"/>
        <v>0</v>
      </c>
      <c r="BO149">
        <f t="shared" si="35"/>
        <v>1</v>
      </c>
      <c r="BP149">
        <f t="shared" si="36"/>
        <v>0</v>
      </c>
      <c r="BQ149">
        <f t="shared" si="25"/>
        <v>1</v>
      </c>
      <c r="BR149">
        <f t="shared" si="37"/>
        <v>0</v>
      </c>
      <c r="BS149" s="9">
        <f t="shared" si="38"/>
        <v>0</v>
      </c>
      <c r="BT149" s="9">
        <f t="shared" si="39"/>
        <v>0</v>
      </c>
      <c r="BU149" s="9">
        <f t="shared" si="40"/>
        <v>0</v>
      </c>
      <c r="BV149" s="12">
        <f t="shared" si="41"/>
        <v>1.2373710160373273E-2</v>
      </c>
      <c r="BX149" s="12">
        <f t="shared" si="42"/>
        <v>0</v>
      </c>
      <c r="BY149" s="12">
        <f t="shared" si="43"/>
        <v>2.051499339877411E-2</v>
      </c>
    </row>
    <row r="150" spans="1:77" x14ac:dyDescent="0.3">
      <c r="A150" s="1">
        <v>46240</v>
      </c>
      <c r="B150" s="8">
        <v>18.510000000000002</v>
      </c>
      <c r="C150" s="8">
        <v>30.52</v>
      </c>
      <c r="D150" s="9">
        <v>-5.9251452635148199E-3</v>
      </c>
      <c r="E150" s="9">
        <v>-7.1825316941934803E-3</v>
      </c>
      <c r="F150" s="8">
        <v>0</v>
      </c>
      <c r="G150" s="8">
        <v>0.7</v>
      </c>
      <c r="H150" s="8">
        <v>0</v>
      </c>
      <c r="I150" s="8">
        <v>0.91309999999999902</v>
      </c>
      <c r="J150" s="8">
        <v>0.7</v>
      </c>
      <c r="K150" s="8">
        <v>0.91309999999999902</v>
      </c>
      <c r="L150" s="8">
        <v>19.21</v>
      </c>
      <c r="M150" s="8">
        <v>31.4331</v>
      </c>
      <c r="N150" s="10">
        <v>1.6488384656942101</v>
      </c>
      <c r="O150" s="10">
        <v>1.64495540501874</v>
      </c>
      <c r="P150" s="10">
        <v>1.6447020335620499</v>
      </c>
      <c r="Q150" s="10">
        <v>1.6415005644495499</v>
      </c>
      <c r="R150" s="8">
        <v>30.4481245468968</v>
      </c>
      <c r="S150" s="8">
        <v>30.4251018516741</v>
      </c>
      <c r="T150" s="8">
        <v>30.372269666376699</v>
      </c>
      <c r="U150" s="9">
        <v>-2.3578053920818198E-3</v>
      </c>
      <c r="V150" s="9">
        <v>-3.11421991723734E-3</v>
      </c>
      <c r="W150" s="9">
        <v>-4.8521963223619102E-3</v>
      </c>
      <c r="X150" s="10">
        <v>1.6362883914627699</v>
      </c>
      <c r="Y150" s="10">
        <v>1.6378015347179899</v>
      </c>
      <c r="Z150" s="10">
        <v>1.63295510309842</v>
      </c>
      <c r="AA150" s="10">
        <v>1.63008824364191</v>
      </c>
      <c r="AB150" s="8">
        <v>31.462167481932699</v>
      </c>
      <c r="AC150" s="8">
        <v>31.352647830678698</v>
      </c>
      <c r="AD150" s="8">
        <v>31.3031925151328</v>
      </c>
      <c r="AE150" s="9">
        <v>9.2431386862636296E-4</v>
      </c>
      <c r="AF150" s="9">
        <v>-2.5627540049504901E-3</v>
      </c>
      <c r="AG150" s="9">
        <v>-4.1413881927130696E-3</v>
      </c>
      <c r="AZ150" s="9"/>
      <c r="BB150">
        <f t="shared" si="26"/>
        <v>0</v>
      </c>
      <c r="BC150">
        <f t="shared" si="27"/>
        <v>0</v>
      </c>
      <c r="BD150">
        <f t="shared" si="28"/>
        <v>1</v>
      </c>
      <c r="BE150">
        <f t="shared" ref="BE150:BE167" si="44">IF(F151+H151&gt;0,0,1)</f>
        <v>1</v>
      </c>
      <c r="BF150">
        <f t="shared" si="29"/>
        <v>1</v>
      </c>
      <c r="BG150" s="9">
        <f t="shared" si="30"/>
        <v>-5.9251452635148199E-3</v>
      </c>
      <c r="BH150" s="9">
        <f t="shared" si="31"/>
        <v>7.1825316941934803E-3</v>
      </c>
      <c r="BI150" s="9">
        <f t="shared" si="32"/>
        <v>1.2573864306786604E-3</v>
      </c>
      <c r="BJ150" s="12">
        <f t="shared" si="33"/>
        <v>9.3986696690794985E-3</v>
      </c>
      <c r="BL150" s="9"/>
      <c r="BN150">
        <f t="shared" si="34"/>
        <v>0</v>
      </c>
      <c r="BO150">
        <f t="shared" si="35"/>
        <v>1</v>
      </c>
      <c r="BP150">
        <f t="shared" si="36"/>
        <v>0</v>
      </c>
      <c r="BQ150">
        <f t="shared" ref="BQ150:BQ167" si="45">IF(F151+H151&gt;0,0,1)</f>
        <v>1</v>
      </c>
      <c r="BR150">
        <f t="shared" si="37"/>
        <v>0</v>
      </c>
      <c r="BS150" s="9">
        <f t="shared" si="38"/>
        <v>0</v>
      </c>
      <c r="BT150" s="9">
        <f t="shared" si="39"/>
        <v>0</v>
      </c>
      <c r="BU150" s="9">
        <f t="shared" si="40"/>
        <v>0</v>
      </c>
      <c r="BV150" s="12">
        <f t="shared" si="41"/>
        <v>1.2373710160373273E-2</v>
      </c>
      <c r="BX150" s="12">
        <f t="shared" si="42"/>
        <v>1.2573864306786604E-3</v>
      </c>
      <c r="BY150" s="12">
        <f t="shared" si="43"/>
        <v>2.1772379829452772E-2</v>
      </c>
    </row>
    <row r="151" spans="1:77" x14ac:dyDescent="0.3">
      <c r="A151" s="1">
        <v>46241</v>
      </c>
      <c r="B151" s="8">
        <v>18.600000000000001</v>
      </c>
      <c r="C151" s="8">
        <v>30.64</v>
      </c>
      <c r="D151" s="9">
        <v>4.8504541337494799E-3</v>
      </c>
      <c r="E151" s="9">
        <v>3.9241384561343601E-3</v>
      </c>
      <c r="F151" s="8">
        <v>0</v>
      </c>
      <c r="G151" s="8">
        <v>0.7</v>
      </c>
      <c r="H151" s="8">
        <v>0</v>
      </c>
      <c r="I151" s="8">
        <v>0.91309999999999902</v>
      </c>
      <c r="J151" s="8">
        <v>0.7</v>
      </c>
      <c r="K151" s="8">
        <v>0.91309999999999902</v>
      </c>
      <c r="L151" s="8">
        <v>19.3</v>
      </c>
      <c r="M151" s="8">
        <v>31.553100000000001</v>
      </c>
      <c r="N151" s="10">
        <v>1.6473118279569801</v>
      </c>
      <c r="O151" s="10">
        <v>1.64495540501874</v>
      </c>
      <c r="P151" s="10">
        <v>1.6451630638523</v>
      </c>
      <c r="Q151" s="10">
        <v>1.6419894802441799</v>
      </c>
      <c r="R151" s="8">
        <v>30.596170533348499</v>
      </c>
      <c r="S151" s="8">
        <v>30.591457824254199</v>
      </c>
      <c r="T151" s="8">
        <v>30.5319104987617</v>
      </c>
      <c r="U151" s="9">
        <v>-1.4314897144667E-3</v>
      </c>
      <c r="V151" s="9">
        <v>-1.58553095548632E-3</v>
      </c>
      <c r="W151" s="9">
        <v>-3.53396233173243E-3</v>
      </c>
      <c r="X151" s="10">
        <v>1.6348756476683901</v>
      </c>
      <c r="Y151" s="10">
        <v>1.6378015347179899</v>
      </c>
      <c r="Z151" s="10">
        <v>1.6333055370635701</v>
      </c>
      <c r="AA151" s="10">
        <v>1.63050527277857</v>
      </c>
      <c r="AB151" s="8">
        <v>31.6095696200573</v>
      </c>
      <c r="AC151" s="8">
        <v>31.5160334897996</v>
      </c>
      <c r="AD151" s="8">
        <v>31.4607031022888</v>
      </c>
      <c r="AE151" s="9">
        <v>1.7880699293560301E-3</v>
      </c>
      <c r="AF151" s="9">
        <v>-1.1754248843148501E-3</v>
      </c>
      <c r="AG151" s="9">
        <v>-2.93259442791484E-3</v>
      </c>
      <c r="AZ151" s="9"/>
      <c r="BB151">
        <f t="shared" ref="BB151:BB167" si="46">IF($AG151&lt;BA$20,1,0)</f>
        <v>0</v>
      </c>
      <c r="BC151">
        <f t="shared" ref="BC151:BC167" si="47">IF($AG151&gt;BA$21,1,0)</f>
        <v>1</v>
      </c>
      <c r="BD151">
        <f t="shared" ref="BD151:BD167" si="48">BF151</f>
        <v>1</v>
      </c>
      <c r="BE151">
        <f t="shared" si="44"/>
        <v>1</v>
      </c>
      <c r="BF151">
        <f t="shared" ref="BF151:BF167" si="49">IF(BB150,1,IF(BC150,0,BD150))*BE150</f>
        <v>1</v>
      </c>
      <c r="BG151" s="9">
        <f t="shared" ref="BG151:BG167" si="50">BF151*D151</f>
        <v>4.8504541337494799E-3</v>
      </c>
      <c r="BH151" s="9">
        <f t="shared" ref="BH151:BH167" si="51">-BF151*$E151</f>
        <v>-3.9241384561343601E-3</v>
      </c>
      <c r="BI151" s="9">
        <f t="shared" ref="BI151:BI167" si="52">BG151+BH151</f>
        <v>9.2631567761511987E-4</v>
      </c>
      <c r="BJ151" s="12">
        <f t="shared" ref="BJ151:BJ167" si="53">BJ150+BI151</f>
        <v>1.0324985346694619E-2</v>
      </c>
      <c r="BL151" s="9"/>
      <c r="BN151">
        <f t="shared" ref="BN151:BN167" si="54">IF($AG151&gt;BM$20,1,0)</f>
        <v>0</v>
      </c>
      <c r="BO151">
        <f t="shared" ref="BO151:BO167" si="55">IF($AG151&lt;BM$21,1,0)</f>
        <v>1</v>
      </c>
      <c r="BP151">
        <f t="shared" ref="BP151:BP167" si="56">BR151</f>
        <v>0</v>
      </c>
      <c r="BQ151">
        <f t="shared" si="45"/>
        <v>1</v>
      </c>
      <c r="BR151">
        <f t="shared" ref="BR151:BR167" si="57">IF(BN150,1,IF(BO150,0,BP150))*BQ150</f>
        <v>0</v>
      </c>
      <c r="BS151" s="9">
        <f t="shared" ref="BS151:BS167" si="58">-BR151*D151</f>
        <v>0</v>
      </c>
      <c r="BT151" s="9">
        <f t="shared" ref="BT151:BT167" si="59">BR151*$E151</f>
        <v>0</v>
      </c>
      <c r="BU151" s="9">
        <f t="shared" ref="BU151:BU167" si="60">BS151+BT151</f>
        <v>0</v>
      </c>
      <c r="BV151" s="12">
        <f t="shared" ref="BV151:BV167" si="61">BV150+BU151</f>
        <v>1.2373710160373273E-2</v>
      </c>
      <c r="BX151" s="12">
        <f t="shared" ref="BX151:BX167" si="62">BI151+BU151</f>
        <v>9.2631567761511987E-4</v>
      </c>
      <c r="BY151" s="12">
        <f t="shared" ref="BY151:BY167" si="63">BY150+BX151</f>
        <v>2.2698695507067893E-2</v>
      </c>
    </row>
    <row r="152" spans="1:77" x14ac:dyDescent="0.3">
      <c r="A152" s="1">
        <v>46244</v>
      </c>
      <c r="B152" s="8">
        <v>18.559999999999999</v>
      </c>
      <c r="C152" s="8">
        <v>30.57</v>
      </c>
      <c r="D152" s="9">
        <v>-2.1528533611011999E-3</v>
      </c>
      <c r="E152" s="9">
        <v>-2.2872089696474602E-3</v>
      </c>
      <c r="F152" s="8">
        <v>0</v>
      </c>
      <c r="G152" s="8">
        <v>0.7</v>
      </c>
      <c r="H152" s="8">
        <v>0</v>
      </c>
      <c r="I152" s="8">
        <v>0.91309999999999902</v>
      </c>
      <c r="J152" s="8">
        <v>0.7</v>
      </c>
      <c r="K152" s="8">
        <v>0.91309999999999902</v>
      </c>
      <c r="L152" s="8">
        <v>19.259999999999899</v>
      </c>
      <c r="M152" s="8">
        <v>31.4831</v>
      </c>
      <c r="N152" s="10">
        <v>1.6470905172413699</v>
      </c>
      <c r="O152" s="10">
        <v>1.64495540501874</v>
      </c>
      <c r="P152" s="10">
        <v>1.64575287438403</v>
      </c>
      <c r="Q152" s="10">
        <v>1.64253807618712</v>
      </c>
      <c r="R152" s="8">
        <v>30.530372317147801</v>
      </c>
      <c r="S152" s="8">
        <v>30.534226465098801</v>
      </c>
      <c r="T152" s="8">
        <v>30.475324753332099</v>
      </c>
      <c r="U152" s="9">
        <v>-1.29713410592055E-3</v>
      </c>
      <c r="V152" s="9">
        <v>-1.17090227821627E-3</v>
      </c>
      <c r="W152" s="9">
        <v>-3.1018042072104598E-3</v>
      </c>
      <c r="X152" s="10">
        <v>1.6346365524402899</v>
      </c>
      <c r="Y152" s="10">
        <v>1.6378015347179899</v>
      </c>
      <c r="Z152" s="10">
        <v>1.63377286684828</v>
      </c>
      <c r="AA152" s="10">
        <v>1.63098174792017</v>
      </c>
      <c r="AB152" s="8">
        <v>31.544057558668602</v>
      </c>
      <c r="AC152" s="8">
        <v>31.457464643844499</v>
      </c>
      <c r="AD152" s="8">
        <v>31.4035315537153</v>
      </c>
      <c r="AE152" s="9">
        <v>1.93432736098224E-3</v>
      </c>
      <c r="AF152" s="9">
        <v>-8.1458937389893796E-4</v>
      </c>
      <c r="AG152" s="9">
        <v>-2.5305374697056401E-3</v>
      </c>
      <c r="AZ152" s="9"/>
      <c r="BB152">
        <f t="shared" si="46"/>
        <v>0</v>
      </c>
      <c r="BC152">
        <f t="shared" si="47"/>
        <v>1</v>
      </c>
      <c r="BD152">
        <f t="shared" si="48"/>
        <v>0</v>
      </c>
      <c r="BE152">
        <f t="shared" si="44"/>
        <v>1</v>
      </c>
      <c r="BF152">
        <f t="shared" si="49"/>
        <v>0</v>
      </c>
      <c r="BG152" s="9">
        <f t="shared" si="50"/>
        <v>0</v>
      </c>
      <c r="BH152" s="9">
        <f t="shared" si="51"/>
        <v>0</v>
      </c>
      <c r="BI152" s="9">
        <f t="shared" si="52"/>
        <v>0</v>
      </c>
      <c r="BJ152" s="12">
        <f t="shared" si="53"/>
        <v>1.0324985346694619E-2</v>
      </c>
      <c r="BL152" s="9"/>
      <c r="BN152">
        <f t="shared" si="54"/>
        <v>0</v>
      </c>
      <c r="BO152">
        <f t="shared" si="55"/>
        <v>1</v>
      </c>
      <c r="BP152">
        <f t="shared" si="56"/>
        <v>0</v>
      </c>
      <c r="BQ152">
        <f t="shared" si="45"/>
        <v>1</v>
      </c>
      <c r="BR152">
        <f t="shared" si="57"/>
        <v>0</v>
      </c>
      <c r="BS152" s="9">
        <f t="shared" si="58"/>
        <v>0</v>
      </c>
      <c r="BT152" s="9">
        <f t="shared" si="59"/>
        <v>0</v>
      </c>
      <c r="BU152" s="9">
        <f t="shared" si="60"/>
        <v>0</v>
      </c>
      <c r="BV152" s="12">
        <f t="shared" si="61"/>
        <v>1.2373710160373273E-2</v>
      </c>
      <c r="BX152" s="12">
        <f t="shared" si="62"/>
        <v>0</v>
      </c>
      <c r="BY152" s="12">
        <f t="shared" si="63"/>
        <v>2.2698695507067893E-2</v>
      </c>
    </row>
    <row r="153" spans="1:77" x14ac:dyDescent="0.3">
      <c r="A153" s="1">
        <v>46245</v>
      </c>
      <c r="B153" s="8">
        <v>18.57</v>
      </c>
      <c r="C153" s="8">
        <v>30.59</v>
      </c>
      <c r="D153" s="9">
        <v>5.38648006560032E-4</v>
      </c>
      <c r="E153" s="9">
        <v>6.5402226006898499E-4</v>
      </c>
      <c r="F153" s="8">
        <v>0</v>
      </c>
      <c r="G153" s="8">
        <v>0.7</v>
      </c>
      <c r="H153" s="8">
        <v>0</v>
      </c>
      <c r="I153" s="8">
        <v>0.91309999999999902</v>
      </c>
      <c r="J153" s="8">
        <v>0.7</v>
      </c>
      <c r="K153" s="8">
        <v>0.91309999999999902</v>
      </c>
      <c r="L153" s="8">
        <v>19.27</v>
      </c>
      <c r="M153" s="8">
        <v>31.5031</v>
      </c>
      <c r="N153" s="10">
        <v>1.64728056004308</v>
      </c>
      <c r="O153" s="10">
        <v>1.64495540501874</v>
      </c>
      <c r="P153" s="10">
        <v>1.64628406721906</v>
      </c>
      <c r="Q153" s="10">
        <v>1.64275347737182</v>
      </c>
      <c r="R153" s="8">
        <v>30.546821871197999</v>
      </c>
      <c r="S153" s="8">
        <v>30.561630877311501</v>
      </c>
      <c r="T153" s="8">
        <v>30.501932074794802</v>
      </c>
      <c r="U153" s="9">
        <v>-1.41250835942944E-3</v>
      </c>
      <c r="V153" s="9">
        <v>-9.2782888425524705E-4</v>
      </c>
      <c r="W153" s="9">
        <v>-2.8831298411795998E-3</v>
      </c>
      <c r="X153" s="10">
        <v>1.63482615464452</v>
      </c>
      <c r="Y153" s="10">
        <v>1.6378015347179899</v>
      </c>
      <c r="Z153" s="10">
        <v>1.6341816216527101</v>
      </c>
      <c r="AA153" s="10">
        <v>1.63113515789548</v>
      </c>
      <c r="AB153" s="8">
        <v>31.560435574015798</v>
      </c>
      <c r="AC153" s="8">
        <v>31.4828031441665</v>
      </c>
      <c r="AD153" s="8">
        <v>31.429018282421701</v>
      </c>
      <c r="AE153" s="9">
        <v>1.8183436526891599E-3</v>
      </c>
      <c r="AF153" s="9">
        <v>-6.4448886251783702E-4</v>
      </c>
      <c r="AG153" s="9">
        <v>-2.3543384147604101E-3</v>
      </c>
      <c r="AZ153" s="9"/>
      <c r="BB153">
        <f t="shared" si="46"/>
        <v>0</v>
      </c>
      <c r="BC153">
        <f t="shared" si="47"/>
        <v>1</v>
      </c>
      <c r="BD153">
        <f t="shared" si="48"/>
        <v>0</v>
      </c>
      <c r="BE153">
        <f t="shared" si="44"/>
        <v>1</v>
      </c>
      <c r="BF153">
        <f t="shared" si="49"/>
        <v>0</v>
      </c>
      <c r="BG153" s="9">
        <f t="shared" si="50"/>
        <v>0</v>
      </c>
      <c r="BH153" s="9">
        <f t="shared" si="51"/>
        <v>0</v>
      </c>
      <c r="BI153" s="9">
        <f t="shared" si="52"/>
        <v>0</v>
      </c>
      <c r="BJ153" s="12">
        <f t="shared" si="53"/>
        <v>1.0324985346694619E-2</v>
      </c>
      <c r="BL153" s="9"/>
      <c r="BN153">
        <f t="shared" si="54"/>
        <v>0</v>
      </c>
      <c r="BO153">
        <f t="shared" si="55"/>
        <v>1</v>
      </c>
      <c r="BP153">
        <f t="shared" si="56"/>
        <v>0</v>
      </c>
      <c r="BQ153">
        <f t="shared" si="45"/>
        <v>1</v>
      </c>
      <c r="BR153">
        <f t="shared" si="57"/>
        <v>0</v>
      </c>
      <c r="BS153" s="9">
        <f t="shared" si="58"/>
        <v>0</v>
      </c>
      <c r="BT153" s="9">
        <f t="shared" si="59"/>
        <v>0</v>
      </c>
      <c r="BU153" s="9">
        <f t="shared" si="60"/>
        <v>0</v>
      </c>
      <c r="BV153" s="12">
        <f t="shared" si="61"/>
        <v>1.2373710160373273E-2</v>
      </c>
      <c r="BX153" s="12">
        <f t="shared" si="62"/>
        <v>0</v>
      </c>
      <c r="BY153" s="12">
        <f t="shared" si="63"/>
        <v>2.2698695507067893E-2</v>
      </c>
    </row>
    <row r="154" spans="1:77" x14ac:dyDescent="0.3">
      <c r="A154" s="1">
        <v>46246</v>
      </c>
      <c r="B154" s="8">
        <v>18.649999999999999</v>
      </c>
      <c r="C154" s="8">
        <v>30.77</v>
      </c>
      <c r="D154" s="9">
        <v>4.2987707252099897E-3</v>
      </c>
      <c r="E154" s="9">
        <v>5.8670311711382797E-3</v>
      </c>
      <c r="F154" s="8">
        <v>0</v>
      </c>
      <c r="G154" s="8">
        <v>0.7</v>
      </c>
      <c r="H154" s="8">
        <v>0</v>
      </c>
      <c r="I154" s="8">
        <v>0.91309999999999902</v>
      </c>
      <c r="J154" s="8">
        <v>0.7</v>
      </c>
      <c r="K154" s="8">
        <v>0.91309999999999902</v>
      </c>
      <c r="L154" s="8">
        <v>19.349999999999898</v>
      </c>
      <c r="M154" s="8">
        <v>31.6831</v>
      </c>
      <c r="N154" s="10">
        <v>1.64986595174262</v>
      </c>
      <c r="O154" s="10">
        <v>1.64495540501874</v>
      </c>
      <c r="P154" s="10">
        <v>1.6471485249887401</v>
      </c>
      <c r="Q154" s="10">
        <v>1.6431556221439401</v>
      </c>
      <c r="R154" s="8">
        <v>30.6784183035995</v>
      </c>
      <c r="S154" s="8">
        <v>30.703197853635501</v>
      </c>
      <c r="T154" s="8">
        <v>30.6373523529845</v>
      </c>
      <c r="U154" s="9">
        <v>-2.9807688053577501E-3</v>
      </c>
      <c r="V154" s="9">
        <v>-2.17337555202103E-3</v>
      </c>
      <c r="W154" s="9">
        <v>-4.3202596513616598E-3</v>
      </c>
      <c r="X154" s="10">
        <v>1.63736950904392</v>
      </c>
      <c r="Y154" s="10">
        <v>1.6378015347179899</v>
      </c>
      <c r="Z154" s="10">
        <v>1.63492596432056</v>
      </c>
      <c r="AA154" s="10">
        <v>1.6314690878931299</v>
      </c>
      <c r="AB154" s="8">
        <v>31.691459696793199</v>
      </c>
      <c r="AC154" s="8">
        <v>31.6214143789799</v>
      </c>
      <c r="AD154" s="8">
        <v>31.562465305277598</v>
      </c>
      <c r="AE154" s="9">
        <v>2.63818695759216E-4</v>
      </c>
      <c r="AF154" s="9">
        <v>-1.94885439526281E-3</v>
      </c>
      <c r="AG154" s="9">
        <v>-3.8148078979860001E-3</v>
      </c>
      <c r="AZ154" s="9"/>
      <c r="BB154">
        <f t="shared" si="46"/>
        <v>0</v>
      </c>
      <c r="BC154">
        <f t="shared" si="47"/>
        <v>0</v>
      </c>
      <c r="BD154">
        <f t="shared" si="48"/>
        <v>0</v>
      </c>
      <c r="BE154">
        <f t="shared" si="44"/>
        <v>1</v>
      </c>
      <c r="BF154">
        <f t="shared" si="49"/>
        <v>0</v>
      </c>
      <c r="BG154" s="9">
        <f t="shared" si="50"/>
        <v>0</v>
      </c>
      <c r="BH154" s="9">
        <f t="shared" si="51"/>
        <v>0</v>
      </c>
      <c r="BI154" s="9">
        <f t="shared" si="52"/>
        <v>0</v>
      </c>
      <c r="BJ154" s="12">
        <f t="shared" si="53"/>
        <v>1.0324985346694619E-2</v>
      </c>
      <c r="BL154" s="9"/>
      <c r="BN154">
        <f t="shared" si="54"/>
        <v>0</v>
      </c>
      <c r="BO154">
        <f t="shared" si="55"/>
        <v>1</v>
      </c>
      <c r="BP154">
        <f t="shared" si="56"/>
        <v>0</v>
      </c>
      <c r="BQ154">
        <f t="shared" si="45"/>
        <v>1</v>
      </c>
      <c r="BR154">
        <f t="shared" si="57"/>
        <v>0</v>
      </c>
      <c r="BS154" s="9">
        <f t="shared" si="58"/>
        <v>0</v>
      </c>
      <c r="BT154" s="9">
        <f t="shared" si="59"/>
        <v>0</v>
      </c>
      <c r="BU154" s="9">
        <f t="shared" si="60"/>
        <v>0</v>
      </c>
      <c r="BV154" s="12">
        <f t="shared" si="61"/>
        <v>1.2373710160373273E-2</v>
      </c>
      <c r="BX154" s="12">
        <f t="shared" si="62"/>
        <v>0</v>
      </c>
      <c r="BY154" s="12">
        <f t="shared" si="63"/>
        <v>2.2698695507067893E-2</v>
      </c>
    </row>
    <row r="155" spans="1:77" x14ac:dyDescent="0.3">
      <c r="A155" s="1">
        <v>46247</v>
      </c>
      <c r="B155" s="8">
        <v>18.72</v>
      </c>
      <c r="C155" s="8">
        <v>30.89</v>
      </c>
      <c r="D155" s="9">
        <v>3.7463249596213898E-3</v>
      </c>
      <c r="E155" s="9">
        <v>3.8923175965399799E-3</v>
      </c>
      <c r="F155" s="8">
        <v>0</v>
      </c>
      <c r="G155" s="8">
        <v>0.7</v>
      </c>
      <c r="H155" s="8">
        <v>0</v>
      </c>
      <c r="I155" s="8">
        <v>0.91309999999999902</v>
      </c>
      <c r="J155" s="8">
        <v>0.7</v>
      </c>
      <c r="K155" s="8">
        <v>0.91309999999999902</v>
      </c>
      <c r="L155" s="8">
        <v>19.419999999999899</v>
      </c>
      <c r="M155" s="8">
        <v>31.803100000000001</v>
      </c>
      <c r="N155" s="10">
        <v>1.65010683760683</v>
      </c>
      <c r="O155" s="10">
        <v>1.64495540501874</v>
      </c>
      <c r="P155" s="10">
        <v>1.6477963577775001</v>
      </c>
      <c r="Q155" s="10">
        <v>1.6438892892800701</v>
      </c>
      <c r="R155" s="8">
        <v>30.7935651819508</v>
      </c>
      <c r="S155" s="8">
        <v>30.8346203877893</v>
      </c>
      <c r="T155" s="8">
        <v>30.7598732465346</v>
      </c>
      <c r="U155" s="9">
        <v>-3.12676144227621E-3</v>
      </c>
      <c r="V155" s="9">
        <v>-1.7944096447263199E-3</v>
      </c>
      <c r="W155" s="9">
        <v>-4.2214830253781699E-3</v>
      </c>
      <c r="X155" s="10">
        <v>1.63764675592173</v>
      </c>
      <c r="Y155" s="10">
        <v>1.6378015347179899</v>
      </c>
      <c r="Z155" s="10">
        <v>1.63545423823909</v>
      </c>
      <c r="AA155" s="10">
        <v>1.6321286818185901</v>
      </c>
      <c r="AB155" s="8">
        <v>31.806105804223499</v>
      </c>
      <c r="AC155" s="8">
        <v>31.750262227105399</v>
      </c>
      <c r="AD155" s="8">
        <v>31.683129686884701</v>
      </c>
      <c r="AE155" s="9">
        <v>9.4508465803492603E-5</v>
      </c>
      <c r="AF155" s="9">
        <v>-1.6627848855531001E-3</v>
      </c>
      <c r="AG155" s="9">
        <v>-3.7794166234623801E-3</v>
      </c>
      <c r="AZ155" s="9"/>
      <c r="BB155">
        <f t="shared" si="46"/>
        <v>0</v>
      </c>
      <c r="BC155">
        <f t="shared" si="47"/>
        <v>0</v>
      </c>
      <c r="BD155">
        <f t="shared" si="48"/>
        <v>0</v>
      </c>
      <c r="BE155">
        <f t="shared" si="44"/>
        <v>1</v>
      </c>
      <c r="BF155">
        <f t="shared" si="49"/>
        <v>0</v>
      </c>
      <c r="BG155" s="9">
        <f t="shared" si="50"/>
        <v>0</v>
      </c>
      <c r="BH155" s="9">
        <f t="shared" si="51"/>
        <v>0</v>
      </c>
      <c r="BI155" s="9">
        <f t="shared" si="52"/>
        <v>0</v>
      </c>
      <c r="BJ155" s="12">
        <f t="shared" si="53"/>
        <v>1.0324985346694619E-2</v>
      </c>
      <c r="BL155" s="9"/>
      <c r="BN155">
        <f t="shared" si="54"/>
        <v>0</v>
      </c>
      <c r="BO155">
        <f t="shared" si="55"/>
        <v>1</v>
      </c>
      <c r="BP155">
        <f t="shared" si="56"/>
        <v>0</v>
      </c>
      <c r="BQ155">
        <f t="shared" si="45"/>
        <v>1</v>
      </c>
      <c r="BR155">
        <f t="shared" si="57"/>
        <v>0</v>
      </c>
      <c r="BS155" s="9">
        <f t="shared" si="58"/>
        <v>0</v>
      </c>
      <c r="BT155" s="9">
        <f t="shared" si="59"/>
        <v>0</v>
      </c>
      <c r="BU155" s="9">
        <f t="shared" si="60"/>
        <v>0</v>
      </c>
      <c r="BV155" s="12">
        <f t="shared" si="61"/>
        <v>1.2373710160373273E-2</v>
      </c>
      <c r="BX155" s="12">
        <f t="shared" si="62"/>
        <v>0</v>
      </c>
      <c r="BY155" s="12">
        <f t="shared" si="63"/>
        <v>2.2698695507067893E-2</v>
      </c>
    </row>
    <row r="156" spans="1:77" x14ac:dyDescent="0.3">
      <c r="A156" s="1">
        <v>46248</v>
      </c>
      <c r="B156" s="8">
        <v>18.66</v>
      </c>
      <c r="C156" s="8">
        <v>30.84</v>
      </c>
      <c r="D156" s="9">
        <v>-3.2102756302480901E-3</v>
      </c>
      <c r="E156" s="9">
        <v>-1.6199582353615899E-3</v>
      </c>
      <c r="F156" s="8">
        <v>0</v>
      </c>
      <c r="G156" s="8">
        <v>0.7</v>
      </c>
      <c r="H156" s="8">
        <v>0</v>
      </c>
      <c r="I156" s="8">
        <v>0.91309999999999902</v>
      </c>
      <c r="J156" s="8">
        <v>0.7</v>
      </c>
      <c r="K156" s="8">
        <v>0.91309999999999902</v>
      </c>
      <c r="L156" s="8">
        <v>19.36</v>
      </c>
      <c r="M156" s="8">
        <v>31.7531</v>
      </c>
      <c r="N156" s="10">
        <v>1.6527331189710599</v>
      </c>
      <c r="O156" s="10">
        <v>1.64495540501874</v>
      </c>
      <c r="P156" s="10">
        <v>1.64854483166165</v>
      </c>
      <c r="Q156" s="10">
        <v>1.64489603667564</v>
      </c>
      <c r="R156" s="8">
        <v>30.694867857649601</v>
      </c>
      <c r="S156" s="8">
        <v>30.747880036128201</v>
      </c>
      <c r="T156" s="8">
        <v>30.674974137966199</v>
      </c>
      <c r="U156" s="9">
        <v>-4.7170788371626799E-3</v>
      </c>
      <c r="V156" s="9">
        <v>-2.9914987337327798E-3</v>
      </c>
      <c r="W156" s="9">
        <v>-5.3654011965945598E-3</v>
      </c>
      <c r="X156" s="10">
        <v>1.64013946280991</v>
      </c>
      <c r="Y156" s="10">
        <v>1.6378015347179899</v>
      </c>
      <c r="Z156" s="10">
        <v>1.63607487908076</v>
      </c>
      <c r="AA156" s="10">
        <v>1.6330496726766499</v>
      </c>
      <c r="AB156" s="8">
        <v>31.7078377121404</v>
      </c>
      <c r="AC156" s="8">
        <v>31.662394052308901</v>
      </c>
      <c r="AD156" s="8">
        <v>31.598011280007899</v>
      </c>
      <c r="AE156" s="9">
        <v>-1.4264616050837699E-3</v>
      </c>
      <c r="AF156" s="9">
        <v>-2.8606892023644902E-3</v>
      </c>
      <c r="AG156" s="9">
        <v>-4.8961739322516103E-3</v>
      </c>
      <c r="AZ156" s="9"/>
      <c r="BB156">
        <f t="shared" si="46"/>
        <v>0</v>
      </c>
      <c r="BC156">
        <f t="shared" si="47"/>
        <v>0</v>
      </c>
      <c r="BD156">
        <f t="shared" si="48"/>
        <v>0</v>
      </c>
      <c r="BE156">
        <f t="shared" si="44"/>
        <v>1</v>
      </c>
      <c r="BF156">
        <f t="shared" si="49"/>
        <v>0</v>
      </c>
      <c r="BG156" s="9">
        <f t="shared" si="50"/>
        <v>0</v>
      </c>
      <c r="BH156" s="9">
        <f t="shared" si="51"/>
        <v>0</v>
      </c>
      <c r="BI156" s="9">
        <f t="shared" si="52"/>
        <v>0</v>
      </c>
      <c r="BJ156" s="12">
        <f t="shared" si="53"/>
        <v>1.0324985346694619E-2</v>
      </c>
      <c r="BL156" s="9"/>
      <c r="BN156">
        <f t="shared" si="54"/>
        <v>0</v>
      </c>
      <c r="BO156">
        <f t="shared" si="55"/>
        <v>1</v>
      </c>
      <c r="BP156">
        <f t="shared" si="56"/>
        <v>0</v>
      </c>
      <c r="BQ156">
        <f t="shared" si="45"/>
        <v>1</v>
      </c>
      <c r="BR156">
        <f t="shared" si="57"/>
        <v>0</v>
      </c>
      <c r="BS156" s="9">
        <f t="shared" si="58"/>
        <v>0</v>
      </c>
      <c r="BT156" s="9">
        <f t="shared" si="59"/>
        <v>0</v>
      </c>
      <c r="BU156" s="9">
        <f t="shared" si="60"/>
        <v>0</v>
      </c>
      <c r="BV156" s="12">
        <f t="shared" si="61"/>
        <v>1.2373710160373273E-2</v>
      </c>
      <c r="BX156" s="12">
        <f t="shared" si="62"/>
        <v>0</v>
      </c>
      <c r="BY156" s="12">
        <f t="shared" si="63"/>
        <v>2.2698695507067893E-2</v>
      </c>
    </row>
    <row r="157" spans="1:77" x14ac:dyDescent="0.3">
      <c r="A157" s="1">
        <v>46251</v>
      </c>
      <c r="B157" s="8">
        <v>18.53</v>
      </c>
      <c r="C157" s="8">
        <v>30.63</v>
      </c>
      <c r="D157" s="9">
        <v>-6.9911551219293197E-3</v>
      </c>
      <c r="E157" s="9">
        <v>-6.83262785044483E-3</v>
      </c>
      <c r="F157" s="8">
        <v>0</v>
      </c>
      <c r="G157" s="8">
        <v>0.7</v>
      </c>
      <c r="H157" s="8">
        <v>0</v>
      </c>
      <c r="I157" s="8">
        <v>0.91309999999999902</v>
      </c>
      <c r="J157" s="8">
        <v>0.7</v>
      </c>
      <c r="K157" s="8">
        <v>0.91309999999999902</v>
      </c>
      <c r="L157" s="8">
        <v>19.23</v>
      </c>
      <c r="M157" s="8">
        <v>31.543099999999999</v>
      </c>
      <c r="N157" s="10">
        <v>1.6529951430113301</v>
      </c>
      <c r="O157" s="10">
        <v>1.64495540501874</v>
      </c>
      <c r="P157" s="10">
        <v>1.6493091498316701</v>
      </c>
      <c r="Q157" s="10">
        <v>1.64559984788026</v>
      </c>
      <c r="R157" s="8">
        <v>30.481023654997198</v>
      </c>
      <c r="S157" s="8">
        <v>30.547535730690399</v>
      </c>
      <c r="T157" s="8">
        <v>30.479923559599602</v>
      </c>
      <c r="U157" s="9">
        <v>-4.8756061086471401E-3</v>
      </c>
      <c r="V157" s="9">
        <v>-2.6959019604076801E-3</v>
      </c>
      <c r="W157" s="9">
        <v>-4.91169791653272E-3</v>
      </c>
      <c r="X157" s="10">
        <v>1.64030681227249</v>
      </c>
      <c r="Y157" s="10">
        <v>1.6378015347179899</v>
      </c>
      <c r="Z157" s="10">
        <v>1.6368062335343101</v>
      </c>
      <c r="AA157" s="10">
        <v>1.6336754844944601</v>
      </c>
      <c r="AB157" s="8">
        <v>31.4949235126271</v>
      </c>
      <c r="AC157" s="8">
        <v>31.461719924722999</v>
      </c>
      <c r="AD157" s="8">
        <v>31.403545205572001</v>
      </c>
      <c r="AE157" s="9">
        <v>-1.5284900784593E-3</v>
      </c>
      <c r="AF157" s="9">
        <v>-2.5832982502358198E-3</v>
      </c>
      <c r="AG157" s="9">
        <v>-4.4340734163398499E-3</v>
      </c>
      <c r="BB157">
        <f t="shared" si="46"/>
        <v>0</v>
      </c>
      <c r="BC157">
        <f t="shared" si="47"/>
        <v>0</v>
      </c>
      <c r="BD157">
        <f t="shared" si="48"/>
        <v>0</v>
      </c>
      <c r="BE157">
        <f t="shared" si="44"/>
        <v>1</v>
      </c>
      <c r="BF157">
        <f t="shared" si="49"/>
        <v>0</v>
      </c>
      <c r="BG157" s="9">
        <f t="shared" si="50"/>
        <v>0</v>
      </c>
      <c r="BH157" s="9">
        <f t="shared" si="51"/>
        <v>0</v>
      </c>
      <c r="BI157" s="9">
        <f t="shared" si="52"/>
        <v>0</v>
      </c>
      <c r="BJ157" s="12">
        <f t="shared" si="53"/>
        <v>1.0324985346694619E-2</v>
      </c>
      <c r="BL157" s="9"/>
      <c r="BN157">
        <f t="shared" si="54"/>
        <v>0</v>
      </c>
      <c r="BO157">
        <f t="shared" si="55"/>
        <v>1</v>
      </c>
      <c r="BP157">
        <f t="shared" si="56"/>
        <v>0</v>
      </c>
      <c r="BQ157">
        <f t="shared" si="45"/>
        <v>1</v>
      </c>
      <c r="BR157">
        <f t="shared" si="57"/>
        <v>0</v>
      </c>
      <c r="BS157" s="9">
        <f t="shared" si="58"/>
        <v>0</v>
      </c>
      <c r="BT157" s="9">
        <f t="shared" si="59"/>
        <v>0</v>
      </c>
      <c r="BU157" s="9">
        <f t="shared" si="60"/>
        <v>0</v>
      </c>
      <c r="BV157" s="12">
        <f t="shared" si="61"/>
        <v>1.2373710160373273E-2</v>
      </c>
      <c r="BX157" s="12">
        <f t="shared" si="62"/>
        <v>0</v>
      </c>
      <c r="BY157" s="12">
        <f t="shared" si="63"/>
        <v>2.2698695507067893E-2</v>
      </c>
    </row>
    <row r="158" spans="1:77" x14ac:dyDescent="0.3">
      <c r="A158" s="1">
        <v>46252</v>
      </c>
      <c r="B158" s="8">
        <v>18.41</v>
      </c>
      <c r="C158" s="8">
        <v>30.45</v>
      </c>
      <c r="D158" s="9">
        <v>-6.4970450522819504E-3</v>
      </c>
      <c r="E158" s="9">
        <v>-5.8939266887778003E-3</v>
      </c>
      <c r="F158" s="8">
        <v>0</v>
      </c>
      <c r="G158" s="8">
        <v>0.7</v>
      </c>
      <c r="H158" s="8">
        <v>0</v>
      </c>
      <c r="I158" s="8">
        <v>0.91309999999999902</v>
      </c>
      <c r="J158" s="8">
        <v>0.7</v>
      </c>
      <c r="K158" s="8">
        <v>0.91309999999999902</v>
      </c>
      <c r="L158" s="8">
        <v>19.11</v>
      </c>
      <c r="M158" s="8">
        <v>31.363099999999999</v>
      </c>
      <c r="N158" s="10">
        <v>1.65399239543726</v>
      </c>
      <c r="O158" s="10">
        <v>1.64495540501874</v>
      </c>
      <c r="P158" s="10">
        <v>1.6501127814482399</v>
      </c>
      <c r="Q158" s="10">
        <v>1.6464420162482301</v>
      </c>
      <c r="R158" s="8">
        <v>30.283629006395</v>
      </c>
      <c r="S158" s="8">
        <v>30.363781448401099</v>
      </c>
      <c r="T158" s="8">
        <v>30.295493199475601</v>
      </c>
      <c r="U158" s="9">
        <v>-5.4787244721513804E-3</v>
      </c>
      <c r="V158" s="9">
        <v>-2.8354957482362901E-3</v>
      </c>
      <c r="W158" s="9">
        <v>-5.0870319946000296E-3</v>
      </c>
      <c r="X158" s="10">
        <v>1.6411878597592799</v>
      </c>
      <c r="Y158" s="10">
        <v>1.6378015347179899</v>
      </c>
      <c r="Z158" s="10">
        <v>1.63756363592738</v>
      </c>
      <c r="AA158" s="10">
        <v>1.6344304841769799</v>
      </c>
      <c r="AB158" s="8">
        <v>31.298387328460901</v>
      </c>
      <c r="AC158" s="8">
        <v>31.279367122840799</v>
      </c>
      <c r="AD158" s="8">
        <v>31.219538508689201</v>
      </c>
      <c r="AE158" s="9">
        <v>-2.06546947109848E-3</v>
      </c>
      <c r="AF158" s="9">
        <v>-2.6733598108092701E-3</v>
      </c>
      <c r="AG158" s="9">
        <v>-4.5879095720313999E-3</v>
      </c>
      <c r="BB158">
        <f t="shared" si="46"/>
        <v>0</v>
      </c>
      <c r="BC158">
        <f t="shared" si="47"/>
        <v>0</v>
      </c>
      <c r="BD158">
        <f t="shared" si="48"/>
        <v>0</v>
      </c>
      <c r="BE158">
        <f t="shared" si="44"/>
        <v>1</v>
      </c>
      <c r="BF158">
        <f t="shared" si="49"/>
        <v>0</v>
      </c>
      <c r="BG158" s="9">
        <f t="shared" si="50"/>
        <v>0</v>
      </c>
      <c r="BH158" s="9">
        <f t="shared" si="51"/>
        <v>0</v>
      </c>
      <c r="BI158" s="9">
        <f t="shared" si="52"/>
        <v>0</v>
      </c>
      <c r="BJ158" s="12">
        <f t="shared" si="53"/>
        <v>1.0324985346694619E-2</v>
      </c>
      <c r="BL158" s="9"/>
      <c r="BN158">
        <f t="shared" si="54"/>
        <v>0</v>
      </c>
      <c r="BO158">
        <f t="shared" si="55"/>
        <v>1</v>
      </c>
      <c r="BP158">
        <f t="shared" si="56"/>
        <v>0</v>
      </c>
      <c r="BQ158">
        <f t="shared" si="45"/>
        <v>1</v>
      </c>
      <c r="BR158">
        <f t="shared" si="57"/>
        <v>0</v>
      </c>
      <c r="BS158" s="9">
        <f t="shared" si="58"/>
        <v>0</v>
      </c>
      <c r="BT158" s="9">
        <f t="shared" si="59"/>
        <v>0</v>
      </c>
      <c r="BU158" s="9">
        <f t="shared" si="60"/>
        <v>0</v>
      </c>
      <c r="BV158" s="12">
        <f t="shared" si="61"/>
        <v>1.2373710160373273E-2</v>
      </c>
      <c r="BX158" s="12">
        <f t="shared" si="62"/>
        <v>0</v>
      </c>
      <c r="BY158" s="12">
        <f t="shared" si="63"/>
        <v>2.2698695507067893E-2</v>
      </c>
    </row>
    <row r="159" spans="1:77" x14ac:dyDescent="0.3">
      <c r="A159" s="1">
        <v>46253</v>
      </c>
      <c r="B159" s="8">
        <v>18.48</v>
      </c>
      <c r="C159" s="8">
        <v>30.59</v>
      </c>
      <c r="D159" s="9">
        <v>3.79507096855153E-3</v>
      </c>
      <c r="E159" s="9">
        <v>4.5871640069061401E-3</v>
      </c>
      <c r="F159" s="8">
        <v>0</v>
      </c>
      <c r="G159" s="8">
        <v>0.7</v>
      </c>
      <c r="H159" s="8">
        <v>0</v>
      </c>
      <c r="I159" s="8">
        <v>0.91309999999999902</v>
      </c>
      <c r="J159" s="8">
        <v>0.7</v>
      </c>
      <c r="K159" s="8">
        <v>0.91309999999999902</v>
      </c>
      <c r="L159" s="8">
        <v>19.18</v>
      </c>
      <c r="M159" s="8">
        <v>31.5031</v>
      </c>
      <c r="N159" s="10">
        <v>1.6553030303030301</v>
      </c>
      <c r="O159" s="10">
        <v>1.64495540501874</v>
      </c>
      <c r="P159" s="10">
        <v>1.65055178480078</v>
      </c>
      <c r="Q159" s="10">
        <v>1.64713169606527</v>
      </c>
      <c r="R159" s="8">
        <v>30.3987758847463</v>
      </c>
      <c r="S159" s="8">
        <v>30.494084201163499</v>
      </c>
      <c r="T159" s="8">
        <v>30.426248460267399</v>
      </c>
      <c r="U159" s="9">
        <v>-6.2708175105056904E-3</v>
      </c>
      <c r="V159" s="9">
        <v>-3.14045397982753E-3</v>
      </c>
      <c r="W159" s="9">
        <v>-5.3674861042254298E-3</v>
      </c>
      <c r="X159" s="10">
        <v>1.6424973931178299</v>
      </c>
      <c r="Y159" s="10">
        <v>1.6378015347179899</v>
      </c>
      <c r="Z159" s="10">
        <v>1.6379774539141101</v>
      </c>
      <c r="AA159" s="10">
        <v>1.63503890474671</v>
      </c>
      <c r="AB159" s="8">
        <v>31.413033435891201</v>
      </c>
      <c r="AC159" s="8">
        <v>31.408470537087201</v>
      </c>
      <c r="AD159" s="8">
        <v>31.348376686514602</v>
      </c>
      <c r="AE159" s="9">
        <v>-2.8630693182937002E-3</v>
      </c>
      <c r="AF159" s="9">
        <v>-3.0083348252748299E-3</v>
      </c>
      <c r="AG159" s="9">
        <v>-4.9234682839672398E-3</v>
      </c>
      <c r="BB159">
        <f t="shared" si="46"/>
        <v>0</v>
      </c>
      <c r="BC159">
        <f t="shared" si="47"/>
        <v>0</v>
      </c>
      <c r="BD159">
        <f t="shared" si="48"/>
        <v>0</v>
      </c>
      <c r="BE159">
        <f t="shared" si="44"/>
        <v>1</v>
      </c>
      <c r="BF159">
        <f t="shared" si="49"/>
        <v>0</v>
      </c>
      <c r="BG159" s="9">
        <f t="shared" si="50"/>
        <v>0</v>
      </c>
      <c r="BH159" s="9">
        <f t="shared" si="51"/>
        <v>0</v>
      </c>
      <c r="BI159" s="9">
        <f t="shared" si="52"/>
        <v>0</v>
      </c>
      <c r="BJ159" s="12">
        <f t="shared" si="53"/>
        <v>1.0324985346694619E-2</v>
      </c>
      <c r="BL159" s="9"/>
      <c r="BN159">
        <f t="shared" si="54"/>
        <v>0</v>
      </c>
      <c r="BO159">
        <f t="shared" si="55"/>
        <v>1</v>
      </c>
      <c r="BP159">
        <f t="shared" si="56"/>
        <v>0</v>
      </c>
      <c r="BQ159">
        <f t="shared" si="45"/>
        <v>1</v>
      </c>
      <c r="BR159">
        <f t="shared" si="57"/>
        <v>0</v>
      </c>
      <c r="BS159" s="9">
        <f t="shared" si="58"/>
        <v>0</v>
      </c>
      <c r="BT159" s="9">
        <f t="shared" si="59"/>
        <v>0</v>
      </c>
      <c r="BU159" s="9">
        <f t="shared" si="60"/>
        <v>0</v>
      </c>
      <c r="BV159" s="12">
        <f t="shared" si="61"/>
        <v>1.2373710160373273E-2</v>
      </c>
      <c r="BX159" s="12">
        <f t="shared" si="62"/>
        <v>0</v>
      </c>
      <c r="BY159" s="12">
        <f t="shared" si="63"/>
        <v>2.2698695507067893E-2</v>
      </c>
    </row>
    <row r="160" spans="1:77" x14ac:dyDescent="0.3">
      <c r="A160" s="1">
        <v>46254</v>
      </c>
      <c r="B160" s="8">
        <v>18.420000000000002</v>
      </c>
      <c r="C160" s="8">
        <v>30.45</v>
      </c>
      <c r="D160" s="9">
        <v>-3.25203538637723E-3</v>
      </c>
      <c r="E160" s="9">
        <v>-4.5871640069060403E-3</v>
      </c>
      <c r="F160" s="8">
        <v>0</v>
      </c>
      <c r="G160" s="8">
        <v>0.7</v>
      </c>
      <c r="H160" s="8">
        <v>0</v>
      </c>
      <c r="I160" s="8">
        <v>0.91309999999999902</v>
      </c>
      <c r="J160" s="8">
        <v>0.7</v>
      </c>
      <c r="K160" s="8">
        <v>0.91309999999999902</v>
      </c>
      <c r="L160" s="8">
        <v>19.12</v>
      </c>
      <c r="M160" s="8">
        <v>31.363099999999999</v>
      </c>
      <c r="N160" s="10">
        <v>1.65309446254071</v>
      </c>
      <c r="O160" s="10">
        <v>1.64495540501874</v>
      </c>
      <c r="P160" s="10">
        <v>1.6509773844854301</v>
      </c>
      <c r="Q160" s="10">
        <v>1.64783970902374</v>
      </c>
      <c r="R160" s="8">
        <v>30.300078560445101</v>
      </c>
      <c r="S160" s="8">
        <v>30.403163876030401</v>
      </c>
      <c r="T160" s="8">
        <v>30.340165841522399</v>
      </c>
      <c r="U160" s="9">
        <v>-4.9356888899769399E-3</v>
      </c>
      <c r="V160" s="9">
        <v>-1.53931628972218E-3</v>
      </c>
      <c r="W160" s="9">
        <v>-3.6135541488627799E-3</v>
      </c>
      <c r="X160" s="10">
        <v>1.6403294979079399</v>
      </c>
      <c r="Y160" s="10">
        <v>1.6378015347179899</v>
      </c>
      <c r="Z160" s="10">
        <v>1.6383815645586299</v>
      </c>
      <c r="AA160" s="10">
        <v>1.6356683338285301</v>
      </c>
      <c r="AB160" s="8">
        <v>31.314765343808102</v>
      </c>
      <c r="AC160" s="8">
        <v>31.3181289188379</v>
      </c>
      <c r="AD160" s="8">
        <v>31.261943858757199</v>
      </c>
      <c r="AE160" s="9">
        <v>-1.5423201000248001E-3</v>
      </c>
      <c r="AF160" s="9">
        <v>-1.43491407727516E-3</v>
      </c>
      <c r="AG160" s="9">
        <v>-3.2305359959841299E-3</v>
      </c>
      <c r="BB160">
        <f t="shared" si="46"/>
        <v>0</v>
      </c>
      <c r="BC160">
        <f t="shared" si="47"/>
        <v>0</v>
      </c>
      <c r="BD160">
        <f t="shared" si="48"/>
        <v>0</v>
      </c>
      <c r="BE160">
        <f t="shared" si="44"/>
        <v>1</v>
      </c>
      <c r="BF160">
        <f t="shared" si="49"/>
        <v>0</v>
      </c>
      <c r="BG160" s="9">
        <f t="shared" si="50"/>
        <v>0</v>
      </c>
      <c r="BH160" s="9">
        <f t="shared" si="51"/>
        <v>0</v>
      </c>
      <c r="BI160" s="9">
        <f t="shared" si="52"/>
        <v>0</v>
      </c>
      <c r="BJ160" s="12">
        <f t="shared" si="53"/>
        <v>1.0324985346694619E-2</v>
      </c>
      <c r="BL160" s="9"/>
      <c r="BN160">
        <f t="shared" si="54"/>
        <v>0</v>
      </c>
      <c r="BO160">
        <f t="shared" si="55"/>
        <v>1</v>
      </c>
      <c r="BP160">
        <f t="shared" si="56"/>
        <v>0</v>
      </c>
      <c r="BQ160">
        <f t="shared" si="45"/>
        <v>1</v>
      </c>
      <c r="BR160">
        <f t="shared" si="57"/>
        <v>0</v>
      </c>
      <c r="BS160" s="9">
        <f t="shared" si="58"/>
        <v>0</v>
      </c>
      <c r="BT160" s="9">
        <f t="shared" si="59"/>
        <v>0</v>
      </c>
      <c r="BU160" s="9">
        <f t="shared" si="60"/>
        <v>0</v>
      </c>
      <c r="BV160" s="12">
        <f t="shared" si="61"/>
        <v>1.2373710160373273E-2</v>
      </c>
      <c r="BX160" s="12">
        <f t="shared" si="62"/>
        <v>0</v>
      </c>
      <c r="BY160" s="12">
        <f t="shared" si="63"/>
        <v>2.2698695507067893E-2</v>
      </c>
    </row>
    <row r="161" spans="1:77" x14ac:dyDescent="0.3">
      <c r="A161" s="1">
        <v>46255</v>
      </c>
      <c r="B161" s="8">
        <v>18.39</v>
      </c>
      <c r="C161" s="8">
        <v>30.46</v>
      </c>
      <c r="D161" s="9">
        <v>-1.6299922109311699E-3</v>
      </c>
      <c r="E161" s="9">
        <v>3.2835331110974298E-4</v>
      </c>
      <c r="F161" s="8">
        <v>0</v>
      </c>
      <c r="G161" s="8">
        <v>0.7</v>
      </c>
      <c r="H161" s="8">
        <v>0</v>
      </c>
      <c r="I161" s="8">
        <v>0.91309999999999902</v>
      </c>
      <c r="J161" s="8">
        <v>0.7</v>
      </c>
      <c r="K161" s="8">
        <v>0.91309999999999902</v>
      </c>
      <c r="L161" s="8">
        <v>19.09</v>
      </c>
      <c r="M161" s="8">
        <v>31.373100000000001</v>
      </c>
      <c r="N161" s="10">
        <v>1.6563349646547001</v>
      </c>
      <c r="O161" s="10">
        <v>1.64495540501874</v>
      </c>
      <c r="P161" s="10">
        <v>1.6518796981552</v>
      </c>
      <c r="Q161" s="10">
        <v>1.64852138100375</v>
      </c>
      <c r="R161" s="8">
        <v>30.250729898294601</v>
      </c>
      <c r="S161" s="8">
        <v>30.361474100687001</v>
      </c>
      <c r="T161" s="8">
        <v>30.303772248946601</v>
      </c>
      <c r="U161" s="9">
        <v>-6.8940344120178897E-3</v>
      </c>
      <c r="V161" s="9">
        <v>-3.23984207721917E-3</v>
      </c>
      <c r="W161" s="9">
        <v>-5.14214603585269E-3</v>
      </c>
      <c r="X161" s="10">
        <v>1.64343111576741</v>
      </c>
      <c r="Y161" s="10">
        <v>1.6378015347179899</v>
      </c>
      <c r="Z161" s="10">
        <v>1.63923711136853</v>
      </c>
      <c r="AA161" s="10">
        <v>1.63627132421605</v>
      </c>
      <c r="AB161" s="8">
        <v>31.2656312977665</v>
      </c>
      <c r="AC161" s="8">
        <v>31.276704067424301</v>
      </c>
      <c r="AD161" s="8">
        <v>31.2249084927866</v>
      </c>
      <c r="AE161" s="9">
        <v>-3.4313851974695402E-3</v>
      </c>
      <c r="AF161" s="9">
        <v>-3.07729641236825E-3</v>
      </c>
      <c r="AG161" s="9">
        <v>-4.7347124172682402E-3</v>
      </c>
      <c r="BB161">
        <f t="shared" si="46"/>
        <v>0</v>
      </c>
      <c r="BC161">
        <f t="shared" si="47"/>
        <v>0</v>
      </c>
      <c r="BD161">
        <f t="shared" si="48"/>
        <v>0</v>
      </c>
      <c r="BE161">
        <f t="shared" si="44"/>
        <v>1</v>
      </c>
      <c r="BF161">
        <f t="shared" si="49"/>
        <v>0</v>
      </c>
      <c r="BG161" s="9">
        <f t="shared" si="50"/>
        <v>0</v>
      </c>
      <c r="BH161" s="9">
        <f t="shared" si="51"/>
        <v>0</v>
      </c>
      <c r="BI161" s="9">
        <f t="shared" si="52"/>
        <v>0</v>
      </c>
      <c r="BJ161" s="12">
        <f t="shared" si="53"/>
        <v>1.0324985346694619E-2</v>
      </c>
      <c r="BL161" s="9"/>
      <c r="BN161">
        <f t="shared" si="54"/>
        <v>0</v>
      </c>
      <c r="BO161">
        <f t="shared" si="55"/>
        <v>1</v>
      </c>
      <c r="BP161">
        <f t="shared" si="56"/>
        <v>0</v>
      </c>
      <c r="BQ161">
        <f t="shared" si="45"/>
        <v>1</v>
      </c>
      <c r="BR161">
        <f t="shared" si="57"/>
        <v>0</v>
      </c>
      <c r="BS161" s="9">
        <f t="shared" si="58"/>
        <v>0</v>
      </c>
      <c r="BT161" s="9">
        <f t="shared" si="59"/>
        <v>0</v>
      </c>
      <c r="BU161" s="9">
        <f t="shared" si="60"/>
        <v>0</v>
      </c>
      <c r="BV161" s="12">
        <f t="shared" si="61"/>
        <v>1.2373710160373273E-2</v>
      </c>
      <c r="BX161" s="12">
        <f t="shared" si="62"/>
        <v>0</v>
      </c>
      <c r="BY161" s="12">
        <f t="shared" si="63"/>
        <v>2.2698695507067893E-2</v>
      </c>
    </row>
    <row r="162" spans="1:77" x14ac:dyDescent="0.3">
      <c r="A162" s="1">
        <v>46258</v>
      </c>
      <c r="B162" s="8">
        <v>18.399999999999999</v>
      </c>
      <c r="C162" s="8">
        <v>30.51</v>
      </c>
      <c r="D162" s="9">
        <v>5.4362599871018102E-4</v>
      </c>
      <c r="E162" s="9">
        <v>1.6401512615625601E-3</v>
      </c>
      <c r="F162" s="8">
        <v>0</v>
      </c>
      <c r="G162" s="8">
        <v>0.7</v>
      </c>
      <c r="H162" s="8">
        <v>0</v>
      </c>
      <c r="I162" s="8">
        <v>0.91309999999999902</v>
      </c>
      <c r="J162" s="8">
        <v>0.7</v>
      </c>
      <c r="K162" s="8">
        <v>0.91309999999999902</v>
      </c>
      <c r="L162" s="8">
        <v>19.099999999999898</v>
      </c>
      <c r="M162" s="8">
        <v>31.423100000000002</v>
      </c>
      <c r="N162" s="10">
        <v>1.65815217391304</v>
      </c>
      <c r="O162" s="10">
        <v>1.64495540501874</v>
      </c>
      <c r="P162" s="10">
        <v>1.65298586382236</v>
      </c>
      <c r="Q162" s="10">
        <v>1.6493693691032001</v>
      </c>
      <c r="R162" s="8">
        <v>30.267179452344799</v>
      </c>
      <c r="S162" s="8">
        <v>30.394586446055701</v>
      </c>
      <c r="T162" s="8">
        <v>30.332793410469101</v>
      </c>
      <c r="U162" s="9">
        <v>-7.9905596748703501E-3</v>
      </c>
      <c r="V162" s="9">
        <v>-3.7899836064482001E-3</v>
      </c>
      <c r="W162" s="9">
        <v>-5.8250806931182796E-3</v>
      </c>
      <c r="X162" s="10">
        <v>1.6451884816753899</v>
      </c>
      <c r="Y162" s="10">
        <v>1.6378015347179899</v>
      </c>
      <c r="Z162" s="10">
        <v>1.6402923042920401</v>
      </c>
      <c r="AA162" s="10">
        <v>1.63703258557016</v>
      </c>
      <c r="AB162" s="8">
        <v>31.282009313113701</v>
      </c>
      <c r="AC162" s="8">
        <v>31.309428827139001</v>
      </c>
      <c r="AD162" s="8">
        <v>31.2527822925266</v>
      </c>
      <c r="AE162" s="9">
        <v>-4.5001412655897499E-3</v>
      </c>
      <c r="AF162" s="9">
        <v>-3.6239985663970601E-3</v>
      </c>
      <c r="AG162" s="9">
        <v>-5.4348856523458097E-3</v>
      </c>
      <c r="BB162">
        <f t="shared" si="46"/>
        <v>1</v>
      </c>
      <c r="BC162">
        <f t="shared" si="47"/>
        <v>0</v>
      </c>
      <c r="BD162">
        <f t="shared" si="48"/>
        <v>0</v>
      </c>
      <c r="BE162">
        <f t="shared" si="44"/>
        <v>1</v>
      </c>
      <c r="BF162">
        <f t="shared" si="49"/>
        <v>0</v>
      </c>
      <c r="BG162" s="9">
        <f t="shared" si="50"/>
        <v>0</v>
      </c>
      <c r="BH162" s="9">
        <f t="shared" si="51"/>
        <v>0</v>
      </c>
      <c r="BI162" s="9">
        <f t="shared" si="52"/>
        <v>0</v>
      </c>
      <c r="BJ162" s="12">
        <f t="shared" si="53"/>
        <v>1.0324985346694619E-2</v>
      </c>
      <c r="BL162" s="9"/>
      <c r="BN162">
        <f t="shared" si="54"/>
        <v>0</v>
      </c>
      <c r="BO162">
        <f t="shared" si="55"/>
        <v>1</v>
      </c>
      <c r="BP162">
        <f t="shared" si="56"/>
        <v>0</v>
      </c>
      <c r="BQ162">
        <f t="shared" si="45"/>
        <v>1</v>
      </c>
      <c r="BR162">
        <f t="shared" si="57"/>
        <v>0</v>
      </c>
      <c r="BS162" s="9">
        <f t="shared" si="58"/>
        <v>0</v>
      </c>
      <c r="BT162" s="9">
        <f t="shared" si="59"/>
        <v>0</v>
      </c>
      <c r="BU162" s="9">
        <f t="shared" si="60"/>
        <v>0</v>
      </c>
      <c r="BV162" s="12">
        <f t="shared" si="61"/>
        <v>1.2373710160373273E-2</v>
      </c>
      <c r="BX162" s="12">
        <f t="shared" si="62"/>
        <v>0</v>
      </c>
      <c r="BY162" s="12">
        <f t="shared" si="63"/>
        <v>2.2698695507067893E-2</v>
      </c>
    </row>
    <row r="163" spans="1:77" x14ac:dyDescent="0.3">
      <c r="A163" s="1">
        <v>46259</v>
      </c>
      <c r="B163" s="8">
        <v>18.5</v>
      </c>
      <c r="C163" s="8">
        <v>30.68</v>
      </c>
      <c r="D163" s="9">
        <v>5.4200674693393302E-3</v>
      </c>
      <c r="E163" s="9">
        <v>5.5564777704771697E-3</v>
      </c>
      <c r="F163" s="8">
        <v>0</v>
      </c>
      <c r="G163" s="8">
        <v>0.7</v>
      </c>
      <c r="H163" s="8">
        <v>0</v>
      </c>
      <c r="I163" s="8">
        <v>0.91309999999999902</v>
      </c>
      <c r="J163" s="8">
        <v>0.7</v>
      </c>
      <c r="K163" s="8">
        <v>0.91309999999999902</v>
      </c>
      <c r="L163" s="8">
        <v>19.2</v>
      </c>
      <c r="M163" s="8">
        <v>31.5931</v>
      </c>
      <c r="N163" s="10">
        <v>1.6583783783783701</v>
      </c>
      <c r="O163" s="10">
        <v>1.64495540501874</v>
      </c>
      <c r="P163" s="10">
        <v>1.65409564565589</v>
      </c>
      <c r="Q163" s="10">
        <v>1.65018985643748</v>
      </c>
      <c r="R163" s="8">
        <v>30.431674992846599</v>
      </c>
      <c r="S163" s="8">
        <v>30.580238480713799</v>
      </c>
      <c r="T163" s="8">
        <v>30.5133333284092</v>
      </c>
      <c r="U163" s="9">
        <v>-8.1269699760081106E-3</v>
      </c>
      <c r="V163" s="9">
        <v>-3.2569774440537901E-3</v>
      </c>
      <c r="W163" s="9">
        <v>-5.4472301030442302E-3</v>
      </c>
      <c r="X163" s="10">
        <v>1.64547395833333</v>
      </c>
      <c r="Y163" s="10">
        <v>1.6378015347179899</v>
      </c>
      <c r="Z163" s="10">
        <v>1.64135708466092</v>
      </c>
      <c r="AA163" s="10">
        <v>1.63776935315681</v>
      </c>
      <c r="AB163" s="8">
        <v>31.445789466585499</v>
      </c>
      <c r="AC163" s="8">
        <v>31.493612242407298</v>
      </c>
      <c r="AD163" s="8">
        <v>31.431025642947201</v>
      </c>
      <c r="AE163" s="9">
        <v>-4.67364837174916E-3</v>
      </c>
      <c r="AF163" s="9">
        <v>-3.15400300727548E-3</v>
      </c>
      <c r="AG163" s="9">
        <v>-5.1432594321682299E-3</v>
      </c>
      <c r="BB163">
        <f t="shared" si="46"/>
        <v>1</v>
      </c>
      <c r="BC163">
        <f t="shared" si="47"/>
        <v>0</v>
      </c>
      <c r="BD163">
        <f t="shared" si="48"/>
        <v>1</v>
      </c>
      <c r="BE163">
        <f t="shared" si="44"/>
        <v>1</v>
      </c>
      <c r="BF163">
        <f t="shared" si="49"/>
        <v>1</v>
      </c>
      <c r="BG163" s="9">
        <f t="shared" si="50"/>
        <v>5.4200674693393302E-3</v>
      </c>
      <c r="BH163" s="9">
        <f t="shared" si="51"/>
        <v>-5.5564777704771697E-3</v>
      </c>
      <c r="BI163" s="9">
        <f t="shared" si="52"/>
        <v>-1.3641030113783949E-4</v>
      </c>
      <c r="BJ163" s="12">
        <f t="shared" si="53"/>
        <v>1.0188575045556779E-2</v>
      </c>
      <c r="BL163" s="9"/>
      <c r="BN163">
        <f t="shared" si="54"/>
        <v>0</v>
      </c>
      <c r="BO163">
        <f t="shared" si="55"/>
        <v>1</v>
      </c>
      <c r="BP163">
        <f t="shared" si="56"/>
        <v>0</v>
      </c>
      <c r="BQ163">
        <f t="shared" si="45"/>
        <v>1</v>
      </c>
      <c r="BR163">
        <f t="shared" si="57"/>
        <v>0</v>
      </c>
      <c r="BS163" s="9">
        <f t="shared" si="58"/>
        <v>0</v>
      </c>
      <c r="BT163" s="9">
        <f t="shared" si="59"/>
        <v>0</v>
      </c>
      <c r="BU163" s="9">
        <f t="shared" si="60"/>
        <v>0</v>
      </c>
      <c r="BV163" s="12">
        <f t="shared" si="61"/>
        <v>1.2373710160373273E-2</v>
      </c>
      <c r="BX163" s="12">
        <f t="shared" si="62"/>
        <v>-1.3641030113783949E-4</v>
      </c>
      <c r="BY163" s="12">
        <f t="shared" si="63"/>
        <v>2.2562285205930052E-2</v>
      </c>
    </row>
    <row r="164" spans="1:77" x14ac:dyDescent="0.3">
      <c r="A164" s="1">
        <v>46260</v>
      </c>
      <c r="B164" s="8">
        <v>18.510000000000002</v>
      </c>
      <c r="C164" s="8">
        <v>30.69</v>
      </c>
      <c r="D164" s="9">
        <v>5.4039450112699605E-4</v>
      </c>
      <c r="E164" s="9">
        <v>3.2589213258933203E-4</v>
      </c>
      <c r="F164" s="8">
        <v>0</v>
      </c>
      <c r="G164" s="8">
        <v>0.7</v>
      </c>
      <c r="H164" s="8">
        <v>0</v>
      </c>
      <c r="I164" s="8">
        <v>0.91309999999999902</v>
      </c>
      <c r="J164" s="8">
        <v>0.7</v>
      </c>
      <c r="K164" s="8">
        <v>0.91309999999999902</v>
      </c>
      <c r="L164" s="8">
        <v>19.21</v>
      </c>
      <c r="M164" s="8">
        <v>31.603100000000001</v>
      </c>
      <c r="N164" s="10">
        <v>1.6580226904376001</v>
      </c>
      <c r="O164" s="10">
        <v>1.64495540501874</v>
      </c>
      <c r="P164" s="10">
        <v>1.6549113195253899</v>
      </c>
      <c r="Q164" s="10">
        <v>1.6510299222570699</v>
      </c>
      <c r="R164" s="8">
        <v>30.4481245468968</v>
      </c>
      <c r="S164" s="8">
        <v>30.617310401090698</v>
      </c>
      <c r="T164" s="8">
        <v>30.5450142426577</v>
      </c>
      <c r="U164" s="9">
        <v>-7.9124676074704293E-3</v>
      </c>
      <c r="V164" s="9">
        <v>-2.37132023883743E-3</v>
      </c>
      <c r="W164" s="9">
        <v>-4.7353962455980404E-3</v>
      </c>
      <c r="X164" s="10">
        <v>1.6451379489849001</v>
      </c>
      <c r="Y164" s="10">
        <v>1.6378015347179899</v>
      </c>
      <c r="Z164" s="10">
        <v>1.6421339286550201</v>
      </c>
      <c r="AA164" s="10">
        <v>1.63852994648779</v>
      </c>
      <c r="AB164" s="8">
        <v>31.462167481932699</v>
      </c>
      <c r="AC164" s="8">
        <v>31.530469596336399</v>
      </c>
      <c r="AD164" s="8">
        <v>31.461549274142499</v>
      </c>
      <c r="AE164" s="9">
        <v>-4.4694253524072101E-3</v>
      </c>
      <c r="AF164" s="9">
        <v>-2.3008499652254601E-3</v>
      </c>
      <c r="AG164" s="9">
        <v>-4.4890747889678798E-3</v>
      </c>
      <c r="BB164">
        <f t="shared" si="46"/>
        <v>0</v>
      </c>
      <c r="BC164">
        <f t="shared" si="47"/>
        <v>0</v>
      </c>
      <c r="BD164">
        <f t="shared" si="48"/>
        <v>1</v>
      </c>
      <c r="BE164">
        <f t="shared" si="44"/>
        <v>1</v>
      </c>
      <c r="BF164">
        <f t="shared" si="49"/>
        <v>1</v>
      </c>
      <c r="BG164" s="9">
        <f t="shared" si="50"/>
        <v>5.4039450112699605E-4</v>
      </c>
      <c r="BH164" s="9">
        <f t="shared" si="51"/>
        <v>-3.2589213258933203E-4</v>
      </c>
      <c r="BI164" s="9">
        <f t="shared" si="52"/>
        <v>2.1450236853766402E-4</v>
      </c>
      <c r="BJ164" s="12">
        <f t="shared" si="53"/>
        <v>1.0403077414094443E-2</v>
      </c>
      <c r="BL164" s="9"/>
      <c r="BN164">
        <f t="shared" si="54"/>
        <v>0</v>
      </c>
      <c r="BO164">
        <f t="shared" si="55"/>
        <v>1</v>
      </c>
      <c r="BP164">
        <f t="shared" si="56"/>
        <v>0</v>
      </c>
      <c r="BQ164">
        <f t="shared" si="45"/>
        <v>1</v>
      </c>
      <c r="BR164">
        <f t="shared" si="57"/>
        <v>0</v>
      </c>
      <c r="BS164" s="9">
        <f t="shared" si="58"/>
        <v>0</v>
      </c>
      <c r="BT164" s="9">
        <f t="shared" si="59"/>
        <v>0</v>
      </c>
      <c r="BU164" s="9">
        <f t="shared" si="60"/>
        <v>0</v>
      </c>
      <c r="BV164" s="12">
        <f t="shared" si="61"/>
        <v>1.2373710160373273E-2</v>
      </c>
      <c r="BX164" s="12">
        <f t="shared" si="62"/>
        <v>2.1450236853766402E-4</v>
      </c>
      <c r="BY164" s="12">
        <f t="shared" si="63"/>
        <v>2.2776787574467716E-2</v>
      </c>
    </row>
    <row r="165" spans="1:77" x14ac:dyDescent="0.3">
      <c r="A165" s="1">
        <v>46261</v>
      </c>
      <c r="B165" s="8">
        <v>18.48</v>
      </c>
      <c r="C165" s="8">
        <v>30.64</v>
      </c>
      <c r="D165" s="9">
        <v>-1.6220603718680501E-3</v>
      </c>
      <c r="E165" s="9">
        <v>-1.6305237592542899E-3</v>
      </c>
      <c r="F165" s="8">
        <v>0</v>
      </c>
      <c r="G165" s="8">
        <v>0.7</v>
      </c>
      <c r="H165" s="8">
        <v>0</v>
      </c>
      <c r="I165" s="8">
        <v>0.91309999999999902</v>
      </c>
      <c r="J165" s="8">
        <v>0.7</v>
      </c>
      <c r="K165" s="8">
        <v>0.91309999999999902</v>
      </c>
      <c r="L165" s="8">
        <v>19.18</v>
      </c>
      <c r="M165" s="8">
        <v>31.553100000000001</v>
      </c>
      <c r="N165" s="10">
        <v>1.6580086580086499</v>
      </c>
      <c r="O165" s="10">
        <v>1.64495540501874</v>
      </c>
      <c r="P165" s="10">
        <v>1.6557015015655701</v>
      </c>
      <c r="Q165" s="10">
        <v>1.65174892967154</v>
      </c>
      <c r="R165" s="8">
        <v>30.3987758847463</v>
      </c>
      <c r="S165" s="8">
        <v>30.582761184829302</v>
      </c>
      <c r="T165" s="8">
        <v>30.511032963310601</v>
      </c>
      <c r="U165" s="9">
        <v>-7.90400422008424E-3</v>
      </c>
      <c r="V165" s="9">
        <v>-1.8698546338065799E-3</v>
      </c>
      <c r="W165" s="9">
        <v>-4.2179901679100899E-3</v>
      </c>
      <c r="X165" s="10">
        <v>1.64510427528675</v>
      </c>
      <c r="Y165" s="10">
        <v>1.6378015347179899</v>
      </c>
      <c r="Z165" s="10">
        <v>1.64287968059152</v>
      </c>
      <c r="AA165" s="10">
        <v>1.63916695941531</v>
      </c>
      <c r="AB165" s="8">
        <v>31.413033435891201</v>
      </c>
      <c r="AC165" s="8">
        <v>31.496128751603301</v>
      </c>
      <c r="AD165" s="8">
        <v>31.427004373635899</v>
      </c>
      <c r="AE165" s="9">
        <v>-4.4489565261916098E-3</v>
      </c>
      <c r="AF165" s="9">
        <v>-1.8071993910216901E-3</v>
      </c>
      <c r="AG165" s="9">
        <v>-4.0043056805876597E-3</v>
      </c>
      <c r="BB165">
        <f t="shared" si="46"/>
        <v>0</v>
      </c>
      <c r="BC165">
        <f t="shared" si="47"/>
        <v>0</v>
      </c>
      <c r="BD165">
        <f t="shared" si="48"/>
        <v>1</v>
      </c>
      <c r="BE165">
        <f t="shared" si="44"/>
        <v>1</v>
      </c>
      <c r="BF165">
        <f t="shared" si="49"/>
        <v>1</v>
      </c>
      <c r="BG165" s="9">
        <f t="shared" si="50"/>
        <v>-1.6220603718680501E-3</v>
      </c>
      <c r="BH165" s="9">
        <f t="shared" si="51"/>
        <v>1.6305237592542899E-3</v>
      </c>
      <c r="BI165" s="9">
        <f t="shared" si="52"/>
        <v>8.4633873862398432E-6</v>
      </c>
      <c r="BJ165" s="12">
        <f t="shared" si="53"/>
        <v>1.0411540801480683E-2</v>
      </c>
      <c r="BL165" s="9"/>
      <c r="BN165">
        <f t="shared" si="54"/>
        <v>0</v>
      </c>
      <c r="BO165">
        <f t="shared" si="55"/>
        <v>1</v>
      </c>
      <c r="BP165">
        <f t="shared" si="56"/>
        <v>0</v>
      </c>
      <c r="BQ165">
        <f t="shared" si="45"/>
        <v>1</v>
      </c>
      <c r="BR165">
        <f t="shared" si="57"/>
        <v>0</v>
      </c>
      <c r="BS165" s="9">
        <f t="shared" si="58"/>
        <v>0</v>
      </c>
      <c r="BT165" s="9">
        <f t="shared" si="59"/>
        <v>0</v>
      </c>
      <c r="BU165" s="9">
        <f t="shared" si="60"/>
        <v>0</v>
      </c>
      <c r="BV165" s="12">
        <f t="shared" si="61"/>
        <v>1.2373710160373273E-2</v>
      </c>
      <c r="BX165" s="12">
        <f t="shared" si="62"/>
        <v>8.4633873862398432E-6</v>
      </c>
      <c r="BY165" s="12">
        <f t="shared" si="63"/>
        <v>2.2785250961853958E-2</v>
      </c>
    </row>
    <row r="166" spans="1:77" x14ac:dyDescent="0.3">
      <c r="A166" s="1">
        <v>46262</v>
      </c>
      <c r="B166" s="8">
        <v>18.41</v>
      </c>
      <c r="C166" s="8">
        <v>30.54</v>
      </c>
      <c r="D166" s="9">
        <v>-3.7950709685515998E-3</v>
      </c>
      <c r="E166" s="9">
        <v>-3.2690450819042099E-3</v>
      </c>
      <c r="F166" s="8">
        <v>0</v>
      </c>
      <c r="G166" s="8">
        <v>0.7</v>
      </c>
      <c r="H166" s="8">
        <v>0</v>
      </c>
      <c r="I166" s="8">
        <v>0.91309999999999902</v>
      </c>
      <c r="J166" s="8">
        <v>0.7</v>
      </c>
      <c r="K166" s="8">
        <v>0.91309999999999902</v>
      </c>
      <c r="L166" s="8">
        <v>19.11</v>
      </c>
      <c r="M166" s="8">
        <v>31.453099999999999</v>
      </c>
      <c r="N166" s="10">
        <v>1.65888104291146</v>
      </c>
      <c r="O166" s="10">
        <v>1.64495540501874</v>
      </c>
      <c r="P166" s="10">
        <v>1.6563162939596101</v>
      </c>
      <c r="Q166" s="10">
        <v>1.6524305628106299</v>
      </c>
      <c r="R166" s="8">
        <v>30.283629006395</v>
      </c>
      <c r="S166" s="8">
        <v>30.481464643822299</v>
      </c>
      <c r="T166" s="8">
        <v>30.408697795253001</v>
      </c>
      <c r="U166" s="9">
        <v>-8.4300301067317292E-3</v>
      </c>
      <c r="V166" s="9">
        <v>-1.91851750768907E-3</v>
      </c>
      <c r="W166" s="9">
        <v>-4.3086206144962403E-3</v>
      </c>
      <c r="X166" s="10">
        <v>1.6458974358974301</v>
      </c>
      <c r="Y166" s="10">
        <v>1.6378015347179899</v>
      </c>
      <c r="Z166" s="10">
        <v>1.6434554779002799</v>
      </c>
      <c r="AA166" s="10">
        <v>1.6397651784905201</v>
      </c>
      <c r="AB166" s="8">
        <v>31.298387328460901</v>
      </c>
      <c r="AC166" s="8">
        <v>31.3954306961041</v>
      </c>
      <c r="AD166" s="8">
        <v>31.3244805944266</v>
      </c>
      <c r="AE166" s="9">
        <v>-4.9309742798380497E-3</v>
      </c>
      <c r="AF166" s="9">
        <v>-1.8351843533184801E-3</v>
      </c>
      <c r="AG166" s="9">
        <v>-4.0976279850661497E-3</v>
      </c>
      <c r="BB166">
        <f t="shared" si="46"/>
        <v>0</v>
      </c>
      <c r="BC166">
        <f t="shared" si="47"/>
        <v>0</v>
      </c>
      <c r="BD166">
        <f t="shared" si="48"/>
        <v>1</v>
      </c>
      <c r="BE166">
        <f t="shared" si="44"/>
        <v>1</v>
      </c>
      <c r="BF166">
        <f t="shared" si="49"/>
        <v>1</v>
      </c>
      <c r="BG166" s="9">
        <f t="shared" si="50"/>
        <v>-3.7950709685515998E-3</v>
      </c>
      <c r="BH166" s="9">
        <f t="shared" si="51"/>
        <v>3.2690450819042099E-3</v>
      </c>
      <c r="BI166" s="9">
        <f t="shared" si="52"/>
        <v>-5.260258866473899E-4</v>
      </c>
      <c r="BJ166" s="12">
        <f t="shared" si="53"/>
        <v>9.8855149148332922E-3</v>
      </c>
      <c r="BL166" s="9"/>
      <c r="BN166">
        <f t="shared" si="54"/>
        <v>0</v>
      </c>
      <c r="BO166">
        <f t="shared" si="55"/>
        <v>1</v>
      </c>
      <c r="BP166">
        <f t="shared" si="56"/>
        <v>0</v>
      </c>
      <c r="BQ166">
        <f t="shared" si="45"/>
        <v>1</v>
      </c>
      <c r="BR166">
        <f t="shared" si="57"/>
        <v>0</v>
      </c>
      <c r="BS166" s="9">
        <f t="shared" si="58"/>
        <v>0</v>
      </c>
      <c r="BT166" s="9">
        <f t="shared" si="59"/>
        <v>0</v>
      </c>
      <c r="BU166" s="9">
        <f t="shared" si="60"/>
        <v>0</v>
      </c>
      <c r="BV166" s="12">
        <f t="shared" si="61"/>
        <v>1.2373710160373273E-2</v>
      </c>
      <c r="BX166" s="12">
        <f t="shared" si="62"/>
        <v>-5.260258866473899E-4</v>
      </c>
      <c r="BY166" s="12">
        <f t="shared" si="63"/>
        <v>2.2259225075206567E-2</v>
      </c>
    </row>
    <row r="167" spans="1:77" x14ac:dyDescent="0.3">
      <c r="A167" s="1">
        <v>46265</v>
      </c>
      <c r="B167" s="8">
        <v>18.32</v>
      </c>
      <c r="C167" s="8">
        <v>30.44</v>
      </c>
      <c r="D167" s="9">
        <v>-4.9006359990022797E-3</v>
      </c>
      <c r="E167" s="9">
        <v>-3.2797667970012401E-3</v>
      </c>
      <c r="F167" s="8">
        <v>0</v>
      </c>
      <c r="G167" s="8">
        <v>0.7</v>
      </c>
      <c r="H167" s="8">
        <v>0</v>
      </c>
      <c r="I167" s="8">
        <v>0.91309999999999902</v>
      </c>
      <c r="J167" s="8">
        <v>0.7</v>
      </c>
      <c r="K167" s="8">
        <v>0.91309999999999902</v>
      </c>
      <c r="L167" s="8">
        <v>19.02</v>
      </c>
      <c r="M167" s="8">
        <v>31.353100000000001</v>
      </c>
      <c r="N167" s="10">
        <v>1.6615720524017401</v>
      </c>
      <c r="O167" s="10">
        <v>1.64495540501874</v>
      </c>
      <c r="P167" s="10">
        <v>1.65717398489866</v>
      </c>
      <c r="Q167" s="10">
        <v>1.6532415673651599</v>
      </c>
      <c r="R167" s="8">
        <v>30.135583019943301</v>
      </c>
      <c r="S167" s="8">
        <v>30.343714505340198</v>
      </c>
      <c r="T167" s="8">
        <v>30.272527910690801</v>
      </c>
      <c r="U167" s="9">
        <v>-1.0050899308732601E-2</v>
      </c>
      <c r="V167" s="9">
        <v>-3.1681372544895602E-3</v>
      </c>
      <c r="W167" s="9">
        <v>-5.51690136583114E-3</v>
      </c>
      <c r="X167" s="10">
        <v>1.6484279705572999</v>
      </c>
      <c r="Y167" s="10">
        <v>1.6378015347179899</v>
      </c>
      <c r="Z167" s="10">
        <v>1.6442675937287601</v>
      </c>
      <c r="AA167" s="10">
        <v>1.64053691363153</v>
      </c>
      <c r="AB167" s="8">
        <v>31.1509851903363</v>
      </c>
      <c r="AC167" s="8">
        <v>31.2585231896633</v>
      </c>
      <c r="AD167" s="8">
        <v>31.1883336948896</v>
      </c>
      <c r="AE167" s="9">
        <v>-6.4672737313928898E-3</v>
      </c>
      <c r="AF167" s="9">
        <v>-3.02106469855886E-3</v>
      </c>
      <c r="AG167" s="9">
        <v>-5.2690409085174601E-3</v>
      </c>
      <c r="BB167">
        <f t="shared" si="46"/>
        <v>1</v>
      </c>
      <c r="BC167">
        <f t="shared" si="47"/>
        <v>0</v>
      </c>
      <c r="BD167">
        <f t="shared" si="48"/>
        <v>1</v>
      </c>
      <c r="BE167">
        <f t="shared" si="44"/>
        <v>1</v>
      </c>
      <c r="BF167">
        <f t="shared" si="49"/>
        <v>1</v>
      </c>
      <c r="BG167" s="9">
        <f t="shared" si="50"/>
        <v>-4.9006359990022797E-3</v>
      </c>
      <c r="BH167" s="9">
        <f t="shared" si="51"/>
        <v>3.2797667970012401E-3</v>
      </c>
      <c r="BI167" s="9">
        <f t="shared" si="52"/>
        <v>-1.6208692020010396E-3</v>
      </c>
      <c r="BJ167" s="12">
        <f t="shared" si="53"/>
        <v>8.2646457128322526E-3</v>
      </c>
      <c r="BL167" s="9"/>
      <c r="BN167">
        <f t="shared" si="54"/>
        <v>0</v>
      </c>
      <c r="BO167">
        <f t="shared" si="55"/>
        <v>1</v>
      </c>
      <c r="BP167">
        <f t="shared" si="56"/>
        <v>0</v>
      </c>
      <c r="BQ167">
        <f t="shared" si="45"/>
        <v>1</v>
      </c>
      <c r="BR167">
        <f t="shared" si="57"/>
        <v>0</v>
      </c>
      <c r="BS167" s="9">
        <f t="shared" si="58"/>
        <v>0</v>
      </c>
      <c r="BT167" s="9">
        <f t="shared" si="59"/>
        <v>0</v>
      </c>
      <c r="BU167" s="9">
        <f t="shared" si="60"/>
        <v>0</v>
      </c>
      <c r="BV167" s="12">
        <f t="shared" si="61"/>
        <v>1.2373710160373273E-2</v>
      </c>
      <c r="BX167" s="12">
        <f t="shared" si="62"/>
        <v>-1.6208692020010396E-3</v>
      </c>
      <c r="BY167" s="12">
        <f t="shared" si="63"/>
        <v>2.0638355873205526E-2</v>
      </c>
    </row>
  </sheetData>
  <conditionalFormatting sqref="CM4:CT11">
    <cfRule type="top10" dxfId="2" priority="3" rank="3"/>
  </conditionalFormatting>
  <conditionalFormatting sqref="CM15:CT22">
    <cfRule type="top10" dxfId="1" priority="2" rank="3"/>
  </conditionalFormatting>
  <conditionalFormatting sqref="CM26:CT33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PFF_PFFD_2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2026-09-04T16:45:55Z</dcterms:modified>
</cp:coreProperties>
</file>