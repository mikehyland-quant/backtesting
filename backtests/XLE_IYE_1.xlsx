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My Trading Data/"/>
    </mc:Choice>
  </mc:AlternateContent>
  <xr:revisionPtr revIDLastSave="52" documentId="8_{669A3D24-72C3-4DB7-97FC-A4015EBCD49F}" xr6:coauthVersionLast="47" xr6:coauthVersionMax="47" xr10:uidLastSave="{146F7D62-AB2C-42E8-93D5-B1BC634A57EF}"/>
  <bookViews>
    <workbookView xWindow="-108" yWindow="-108" windowWidth="23256" windowHeight="12456" xr2:uid="{83C991D2-4E64-4E22-9DF3-97FFC8964440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U177" i="1" l="1"/>
  <c r="AV177" i="1"/>
  <c r="AX177" i="1"/>
  <c r="AU178" i="1"/>
  <c r="AV178" i="1"/>
  <c r="AX178" i="1"/>
  <c r="AU179" i="1"/>
  <c r="AV179" i="1"/>
  <c r="AX179" i="1"/>
  <c r="AU180" i="1"/>
  <c r="AV180" i="1"/>
  <c r="AX180" i="1"/>
  <c r="AU181" i="1"/>
  <c r="AV181" i="1"/>
  <c r="AX181" i="1"/>
  <c r="AU182" i="1"/>
  <c r="AV182" i="1"/>
  <c r="AX182" i="1"/>
  <c r="AU183" i="1"/>
  <c r="AV183" i="1"/>
  <c r="AX183" i="1"/>
  <c r="AU184" i="1"/>
  <c r="AV184" i="1"/>
  <c r="AX184" i="1"/>
  <c r="AU185" i="1"/>
  <c r="AV185" i="1"/>
  <c r="AX185" i="1"/>
  <c r="AU186" i="1"/>
  <c r="AV186" i="1"/>
  <c r="AX186" i="1"/>
  <c r="AJ177" i="1"/>
  <c r="AK177" i="1"/>
  <c r="AM177" i="1"/>
  <c r="AJ178" i="1"/>
  <c r="AK178" i="1"/>
  <c r="AM178" i="1"/>
  <c r="AJ179" i="1"/>
  <c r="AK179" i="1"/>
  <c r="AM179" i="1"/>
  <c r="AJ180" i="1"/>
  <c r="AK180" i="1"/>
  <c r="AM180" i="1"/>
  <c r="AJ181" i="1"/>
  <c r="AK181" i="1"/>
  <c r="AM181" i="1"/>
  <c r="AJ182" i="1"/>
  <c r="AK182" i="1"/>
  <c r="AM182" i="1"/>
  <c r="AJ183" i="1"/>
  <c r="AK183" i="1"/>
  <c r="AM183" i="1"/>
  <c r="AJ184" i="1"/>
  <c r="AK184" i="1"/>
  <c r="AM184" i="1"/>
  <c r="AJ185" i="1"/>
  <c r="AK185" i="1"/>
  <c r="AM185" i="1"/>
  <c r="AJ186" i="1"/>
  <c r="AK186" i="1"/>
  <c r="AM186" i="1"/>
  <c r="AX176" i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M172" i="1"/>
  <c r="AK172" i="1"/>
  <c r="AJ172" i="1"/>
  <c r="AX171" i="1"/>
  <c r="AV171" i="1"/>
  <c r="AU171" i="1"/>
  <c r="AM171" i="1"/>
  <c r="AK171" i="1"/>
  <c r="AJ171" i="1"/>
  <c r="AX170" i="1"/>
  <c r="AV170" i="1"/>
  <c r="AU170" i="1"/>
  <c r="AM170" i="1"/>
  <c r="AK170" i="1"/>
  <c r="AJ170" i="1"/>
  <c r="AX169" i="1"/>
  <c r="AV169" i="1"/>
  <c r="AU169" i="1"/>
  <c r="AM169" i="1"/>
  <c r="AK169" i="1"/>
  <c r="AJ169" i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X165" i="1"/>
  <c r="AV165" i="1"/>
  <c r="AU165" i="1"/>
  <c r="AM165" i="1"/>
  <c r="AK165" i="1"/>
  <c r="AJ165" i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M153" i="1"/>
  <c r="AK153" i="1"/>
  <c r="AJ153" i="1"/>
  <c r="AN154" i="1" s="1"/>
  <c r="AP154" i="1" s="1"/>
  <c r="AX152" i="1"/>
  <c r="AV152" i="1"/>
  <c r="AU152" i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M146" i="1"/>
  <c r="AK146" i="1"/>
  <c r="AJ146" i="1"/>
  <c r="AN147" i="1" s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N128" i="1" s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N125" i="1" s="1"/>
  <c r="AP125" i="1" s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N107" i="1" s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N104" i="1" s="1"/>
  <c r="AP104" i="1" s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N100" i="1" s="1"/>
  <c r="AP100" i="1" s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N71" i="1" s="1"/>
  <c r="AP71" i="1" s="1"/>
  <c r="AX69" i="1"/>
  <c r="AV69" i="1"/>
  <c r="AU69" i="1"/>
  <c r="AM69" i="1"/>
  <c r="AK69" i="1"/>
  <c r="AJ69" i="1"/>
  <c r="AN70" i="1" s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N59" i="1" s="1"/>
  <c r="AX57" i="1"/>
  <c r="AV57" i="1"/>
  <c r="AU57" i="1"/>
  <c r="AY58" i="1" s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P22" i="1"/>
  <c r="AO22" i="1"/>
  <c r="AQ22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51" i="1" l="1"/>
  <c r="AW151" i="1" s="1"/>
  <c r="AN177" i="1"/>
  <c r="AL177" i="1" s="1"/>
  <c r="AN52" i="1"/>
  <c r="AN94" i="1"/>
  <c r="AN169" i="1"/>
  <c r="AL169" i="1" s="1"/>
  <c r="AN109" i="1"/>
  <c r="AP109" i="1" s="1"/>
  <c r="AN137" i="1"/>
  <c r="AP137" i="1" s="1"/>
  <c r="AN166" i="1"/>
  <c r="AL166" i="1" s="1"/>
  <c r="AN34" i="1"/>
  <c r="AO34" i="1" s="1"/>
  <c r="AN175" i="1"/>
  <c r="AO175" i="1" s="1"/>
  <c r="AN96" i="1"/>
  <c r="AL96" i="1" s="1"/>
  <c r="AN134" i="1"/>
  <c r="AP134" i="1" s="1"/>
  <c r="AN179" i="1"/>
  <c r="AP179" i="1" s="1"/>
  <c r="AN93" i="1"/>
  <c r="AO93" i="1" s="1"/>
  <c r="AN28" i="1"/>
  <c r="AO28" i="1" s="1"/>
  <c r="AN35" i="1"/>
  <c r="AO35" i="1" s="1"/>
  <c r="AN170" i="1"/>
  <c r="AP170" i="1" s="1"/>
  <c r="AY88" i="1"/>
  <c r="AW88" i="1" s="1"/>
  <c r="AY60" i="1"/>
  <c r="BA60" i="1" s="1"/>
  <c r="AY105" i="1"/>
  <c r="AZ105" i="1" s="1"/>
  <c r="AN161" i="1"/>
  <c r="AL161" i="1" s="1"/>
  <c r="AN168" i="1"/>
  <c r="AO168" i="1" s="1"/>
  <c r="AN32" i="1"/>
  <c r="AO32" i="1" s="1"/>
  <c r="AY86" i="1"/>
  <c r="AW86" i="1" s="1"/>
  <c r="AY128" i="1"/>
  <c r="AZ128" i="1" s="1"/>
  <c r="AY115" i="1"/>
  <c r="BA115" i="1" s="1"/>
  <c r="AY122" i="1"/>
  <c r="AZ122" i="1" s="1"/>
  <c r="AY48" i="1"/>
  <c r="AZ48" i="1" s="1"/>
  <c r="AY55" i="1"/>
  <c r="BA55" i="1" s="1"/>
  <c r="AY62" i="1"/>
  <c r="AZ62" i="1" s="1"/>
  <c r="AY120" i="1"/>
  <c r="BA120" i="1" s="1"/>
  <c r="AY118" i="1"/>
  <c r="BA118" i="1" s="1"/>
  <c r="AY132" i="1"/>
  <c r="AY72" i="1"/>
  <c r="BA72" i="1" s="1"/>
  <c r="AY38" i="1"/>
  <c r="BA38" i="1" s="1"/>
  <c r="AY149" i="1"/>
  <c r="BA149" i="1" s="1"/>
  <c r="AN182" i="1"/>
  <c r="AL182" i="1" s="1"/>
  <c r="AN83" i="1"/>
  <c r="AP83" i="1" s="1"/>
  <c r="AN40" i="1"/>
  <c r="AL40" i="1" s="1"/>
  <c r="AN181" i="1"/>
  <c r="AP181" i="1" s="1"/>
  <c r="AN171" i="1"/>
  <c r="AL171" i="1" s="1"/>
  <c r="AN152" i="1"/>
  <c r="AO152" i="1" s="1"/>
  <c r="AN180" i="1"/>
  <c r="AO180" i="1" s="1"/>
  <c r="AN183" i="1"/>
  <c r="AL183" i="1" s="1"/>
  <c r="AN178" i="1"/>
  <c r="AO178" i="1" s="1"/>
  <c r="AN46" i="1"/>
  <c r="AP46" i="1" s="1"/>
  <c r="AN113" i="1"/>
  <c r="AP113" i="1" s="1"/>
  <c r="AN186" i="1"/>
  <c r="AP186" i="1" s="1"/>
  <c r="AN133" i="1"/>
  <c r="AP133" i="1" s="1"/>
  <c r="AN160" i="1"/>
  <c r="AL160" i="1" s="1"/>
  <c r="AN185" i="1"/>
  <c r="AO185" i="1" s="1"/>
  <c r="AN184" i="1"/>
  <c r="AP184" i="1" s="1"/>
  <c r="AP177" i="1"/>
  <c r="AO177" i="1"/>
  <c r="AY152" i="1"/>
  <c r="AZ152" i="1" s="1"/>
  <c r="AY123" i="1"/>
  <c r="AZ123" i="1" s="1"/>
  <c r="AY63" i="1"/>
  <c r="BA63" i="1" s="1"/>
  <c r="AY74" i="1"/>
  <c r="AZ74" i="1" s="1"/>
  <c r="AY81" i="1"/>
  <c r="AY101" i="1"/>
  <c r="BA101" i="1" s="1"/>
  <c r="AY108" i="1"/>
  <c r="BA108" i="1" s="1"/>
  <c r="AY75" i="1"/>
  <c r="BA75" i="1" s="1"/>
  <c r="AY117" i="1"/>
  <c r="AY23" i="1"/>
  <c r="BA23" i="1" s="1"/>
  <c r="AY54" i="1"/>
  <c r="AZ54" i="1" s="1"/>
  <c r="AY68" i="1"/>
  <c r="BA68" i="1" s="1"/>
  <c r="AN110" i="1"/>
  <c r="AL110" i="1" s="1"/>
  <c r="AN39" i="1"/>
  <c r="AP39" i="1" s="1"/>
  <c r="AN29" i="1"/>
  <c r="AO29" i="1" s="1"/>
  <c r="AN143" i="1"/>
  <c r="AP143" i="1" s="1"/>
  <c r="AN163" i="1"/>
  <c r="AP163" i="1" s="1"/>
  <c r="AN114" i="1"/>
  <c r="AO114" i="1" s="1"/>
  <c r="AN112" i="1"/>
  <c r="AO112" i="1" s="1"/>
  <c r="AN139" i="1"/>
  <c r="AO139" i="1" s="1"/>
  <c r="AN146" i="1"/>
  <c r="AL146" i="1" s="1"/>
  <c r="AN157" i="1"/>
  <c r="AP157" i="1" s="1"/>
  <c r="AZ58" i="1"/>
  <c r="AW58" i="1"/>
  <c r="AP59" i="1"/>
  <c r="AL59" i="1"/>
  <c r="AO68" i="1"/>
  <c r="AP68" i="1"/>
  <c r="AL68" i="1"/>
  <c r="AO128" i="1"/>
  <c r="AL128" i="1"/>
  <c r="AO140" i="1"/>
  <c r="AP140" i="1"/>
  <c r="AL140" i="1"/>
  <c r="AO109" i="1"/>
  <c r="AL109" i="1"/>
  <c r="AN138" i="1"/>
  <c r="AO138" i="1" s="1"/>
  <c r="AN23" i="1"/>
  <c r="AL23" i="1" s="1"/>
  <c r="AN41" i="1"/>
  <c r="AN51" i="1"/>
  <c r="AL51" i="1" s="1"/>
  <c r="AY69" i="1"/>
  <c r="AY102" i="1"/>
  <c r="BA102" i="1" s="1"/>
  <c r="AY106" i="1"/>
  <c r="BA106" i="1" s="1"/>
  <c r="AY127" i="1"/>
  <c r="AZ127" i="1" s="1"/>
  <c r="AY129" i="1"/>
  <c r="AW129" i="1" s="1"/>
  <c r="AN47" i="1"/>
  <c r="AL47" i="1" s="1"/>
  <c r="AN48" i="1" s="1"/>
  <c r="AY64" i="1"/>
  <c r="AW64" i="1" s="1"/>
  <c r="AY77" i="1"/>
  <c r="AW77" i="1" s="1"/>
  <c r="AN84" i="1"/>
  <c r="AP84" i="1" s="1"/>
  <c r="AN97" i="1"/>
  <c r="AP97" i="1" s="1"/>
  <c r="AL100" i="1"/>
  <c r="AN101" i="1" s="1"/>
  <c r="AN136" i="1"/>
  <c r="AL136" i="1" s="1"/>
  <c r="AN167" i="1"/>
  <c r="AP167" i="1" s="1"/>
  <c r="AN172" i="1"/>
  <c r="AL172" i="1" s="1"/>
  <c r="AY150" i="1"/>
  <c r="AW150" i="1" s="1"/>
  <c r="AY49" i="1"/>
  <c r="BA49" i="1" s="1"/>
  <c r="AO100" i="1"/>
  <c r="AQ100" i="1" s="1"/>
  <c r="AN159" i="1"/>
  <c r="AN27" i="1"/>
  <c r="AO27" i="1" s="1"/>
  <c r="AN31" i="1"/>
  <c r="AY70" i="1"/>
  <c r="BA70" i="1" s="1"/>
  <c r="AN91" i="1"/>
  <c r="AL91" i="1" s="1"/>
  <c r="AY124" i="1"/>
  <c r="BA124" i="1" s="1"/>
  <c r="AY61" i="1"/>
  <c r="AZ61" i="1" s="1"/>
  <c r="AN145" i="1"/>
  <c r="AY89" i="1"/>
  <c r="AW89" i="1" s="1"/>
  <c r="AN33" i="1"/>
  <c r="AP33" i="1" s="1"/>
  <c r="AY36" i="1"/>
  <c r="AZ36" i="1" s="1"/>
  <c r="AN44" i="1"/>
  <c r="AP44" i="1" s="1"/>
  <c r="AN60" i="1"/>
  <c r="AO60" i="1" s="1"/>
  <c r="AY67" i="1"/>
  <c r="AZ67" i="1" s="1"/>
  <c r="AY87" i="1"/>
  <c r="BA87" i="1" s="1"/>
  <c r="AY107" i="1"/>
  <c r="BA107" i="1" s="1"/>
  <c r="AY126" i="1"/>
  <c r="AW126" i="1" s="1"/>
  <c r="AY153" i="1"/>
  <c r="BA153" i="1" s="1"/>
  <c r="AN158" i="1"/>
  <c r="AP158" i="1" s="1"/>
  <c r="AY65" i="1"/>
  <c r="BA65" i="1" s="1"/>
  <c r="AY121" i="1"/>
  <c r="BA121" i="1" s="1"/>
  <c r="AN127" i="1"/>
  <c r="AP127" i="1" s="1"/>
  <c r="AN135" i="1"/>
  <c r="AP135" i="1" s="1"/>
  <c r="AN95" i="1"/>
  <c r="AO95" i="1" s="1"/>
  <c r="AN74" i="1"/>
  <c r="AN25" i="1"/>
  <c r="AP25" i="1" s="1"/>
  <c r="AN111" i="1"/>
  <c r="AO111" i="1" s="1"/>
  <c r="AY78" i="1"/>
  <c r="AW78" i="1" s="1"/>
  <c r="AY79" i="1" s="1"/>
  <c r="AN173" i="1"/>
  <c r="AP173" i="1" s="1"/>
  <c r="AN50" i="1"/>
  <c r="AO50" i="1" s="1"/>
  <c r="AN24" i="1"/>
  <c r="AP24" i="1" s="1"/>
  <c r="AN26" i="1"/>
  <c r="AL26" i="1" s="1"/>
  <c r="AN30" i="1"/>
  <c r="AO30" i="1" s="1"/>
  <c r="AN53" i="1"/>
  <c r="AY73" i="1"/>
  <c r="BA73" i="1" s="1"/>
  <c r="AN174" i="1"/>
  <c r="AL174" i="1" s="1"/>
  <c r="AL70" i="1"/>
  <c r="AP70" i="1"/>
  <c r="AO70" i="1"/>
  <c r="AO52" i="1"/>
  <c r="AL52" i="1"/>
  <c r="AP52" i="1"/>
  <c r="AL34" i="1"/>
  <c r="AO107" i="1"/>
  <c r="AL107" i="1"/>
  <c r="AN108" i="1" s="1"/>
  <c r="AO108" i="1" s="1"/>
  <c r="AP107" i="1"/>
  <c r="BA22" i="1"/>
  <c r="AZ22" i="1"/>
  <c r="AY45" i="1"/>
  <c r="AO71" i="1"/>
  <c r="AQ71" i="1" s="1"/>
  <c r="AN37" i="1"/>
  <c r="AL65" i="1"/>
  <c r="AN66" i="1" s="1"/>
  <c r="AP65" i="1"/>
  <c r="AO65" i="1"/>
  <c r="BA58" i="1"/>
  <c r="AO104" i="1"/>
  <c r="AQ104" i="1" s="1"/>
  <c r="AL104" i="1"/>
  <c r="AN105" i="1" s="1"/>
  <c r="AR22" i="1"/>
  <c r="AY56" i="1"/>
  <c r="AO119" i="1"/>
  <c r="AL119" i="1"/>
  <c r="AN120" i="1" s="1"/>
  <c r="AP119" i="1"/>
  <c r="AL71" i="1"/>
  <c r="AN72" i="1" s="1"/>
  <c r="AP94" i="1"/>
  <c r="AO94" i="1"/>
  <c r="AL94" i="1"/>
  <c r="AN43" i="1"/>
  <c r="AO59" i="1"/>
  <c r="AY104" i="1"/>
  <c r="AY42" i="1"/>
  <c r="AY59" i="1"/>
  <c r="AY66" i="1"/>
  <c r="AY80" i="1"/>
  <c r="AY125" i="1"/>
  <c r="AN144" i="1"/>
  <c r="AN92" i="1"/>
  <c r="AY119" i="1"/>
  <c r="AN58" i="1"/>
  <c r="AW97" i="1"/>
  <c r="AY98" i="1" s="1"/>
  <c r="AW98" i="1" s="1"/>
  <c r="AY99" i="1" s="1"/>
  <c r="BA97" i="1"/>
  <c r="AZ97" i="1"/>
  <c r="AY57" i="1"/>
  <c r="AY82" i="1"/>
  <c r="AN99" i="1"/>
  <c r="AZ159" i="1"/>
  <c r="AW159" i="1"/>
  <c r="AY160" i="1" s="1"/>
  <c r="AZ160" i="1" s="1"/>
  <c r="BA159" i="1"/>
  <c r="AY103" i="1"/>
  <c r="AO147" i="1"/>
  <c r="AL147" i="1"/>
  <c r="AP147" i="1"/>
  <c r="AO154" i="1"/>
  <c r="AQ154" i="1" s="1"/>
  <c r="AL154" i="1"/>
  <c r="AN69" i="1"/>
  <c r="AY85" i="1"/>
  <c r="AN116" i="1"/>
  <c r="AY71" i="1"/>
  <c r="AY90" i="1"/>
  <c r="AO125" i="1"/>
  <c r="AQ125" i="1" s="1"/>
  <c r="AL125" i="1"/>
  <c r="AN142" i="1"/>
  <c r="BA151" i="1"/>
  <c r="AZ151" i="1"/>
  <c r="AY76" i="1"/>
  <c r="AN79" i="1"/>
  <c r="AN98" i="1"/>
  <c r="AP128" i="1"/>
  <c r="AY131" i="1"/>
  <c r="AN156" i="1"/>
  <c r="AN165" i="1"/>
  <c r="AO169" i="1"/>
  <c r="AN129" i="1"/>
  <c r="AN176" i="1"/>
  <c r="AN126" i="1"/>
  <c r="AY130" i="1"/>
  <c r="AO137" i="1"/>
  <c r="AQ137" i="1" s="1"/>
  <c r="AN164" i="1"/>
  <c r="AP166" i="1"/>
  <c r="AY141" i="1"/>
  <c r="AN141" i="1"/>
  <c r="AN148" i="1"/>
  <c r="AN155" i="1"/>
  <c r="AN162" i="1"/>
  <c r="AO171" i="1" l="1"/>
  <c r="AP28" i="1"/>
  <c r="AP169" i="1"/>
  <c r="AP34" i="1"/>
  <c r="AP180" i="1"/>
  <c r="AZ118" i="1"/>
  <c r="BB118" i="1" s="1"/>
  <c r="BA88" i="1"/>
  <c r="AZ88" i="1"/>
  <c r="BB88" i="1" s="1"/>
  <c r="AW149" i="1"/>
  <c r="AW60" i="1"/>
  <c r="AZ107" i="1"/>
  <c r="BB107" i="1" s="1"/>
  <c r="BA105" i="1"/>
  <c r="BB105" i="1" s="1"/>
  <c r="AZ150" i="1"/>
  <c r="BA150" i="1"/>
  <c r="AZ60" i="1"/>
  <c r="AW124" i="1"/>
  <c r="AW160" i="1"/>
  <c r="AY161" i="1" s="1"/>
  <c r="AW161" i="1" s="1"/>
  <c r="AY162" i="1" s="1"/>
  <c r="AW105" i="1"/>
  <c r="AO166" i="1"/>
  <c r="AO134" i="1"/>
  <c r="AQ134" i="1" s="1"/>
  <c r="AL137" i="1"/>
  <c r="AP96" i="1"/>
  <c r="AP47" i="1"/>
  <c r="AL175" i="1"/>
  <c r="AO96" i="1"/>
  <c r="AP168" i="1"/>
  <c r="AQ168" i="1" s="1"/>
  <c r="AP105" i="1"/>
  <c r="AO105" i="1"/>
  <c r="AL105" i="1"/>
  <c r="AN106" i="1" s="1"/>
  <c r="AP72" i="1"/>
  <c r="AO72" i="1"/>
  <c r="AL72" i="1"/>
  <c r="AN73" i="1" s="1"/>
  <c r="AO120" i="1"/>
  <c r="AL120" i="1"/>
  <c r="AN121" i="1" s="1"/>
  <c r="AP121" i="1" s="1"/>
  <c r="AP120" i="1"/>
  <c r="AO170" i="1"/>
  <c r="AQ170" i="1" s="1"/>
  <c r="AL134" i="1"/>
  <c r="AL170" i="1"/>
  <c r="AL181" i="1"/>
  <c r="AO181" i="1"/>
  <c r="AQ181" i="1" s="1"/>
  <c r="AP175" i="1"/>
  <c r="AQ175" i="1" s="1"/>
  <c r="AL93" i="1"/>
  <c r="AP93" i="1"/>
  <c r="AO179" i="1"/>
  <c r="AQ179" i="1" s="1"/>
  <c r="AL179" i="1"/>
  <c r="AL180" i="1"/>
  <c r="AP171" i="1"/>
  <c r="AQ171" i="1" s="1"/>
  <c r="AL108" i="1"/>
  <c r="AP35" i="1"/>
  <c r="AQ35" i="1" s="1"/>
  <c r="AL83" i="1"/>
  <c r="AP152" i="1"/>
  <c r="AQ152" i="1" s="1"/>
  <c r="AL152" i="1"/>
  <c r="AN153" i="1" s="1"/>
  <c r="AO153" i="1" s="1"/>
  <c r="AL178" i="1"/>
  <c r="AO184" i="1"/>
  <c r="AQ184" i="1" s="1"/>
  <c r="AO136" i="1"/>
  <c r="AP182" i="1"/>
  <c r="AL184" i="1"/>
  <c r="AO83" i="1"/>
  <c r="AQ83" i="1" s="1"/>
  <c r="AL32" i="1"/>
  <c r="AP161" i="1"/>
  <c r="AP136" i="1"/>
  <c r="AO133" i="1"/>
  <c r="AQ133" i="1" s="1"/>
  <c r="AP32" i="1"/>
  <c r="AQ32" i="1" s="1"/>
  <c r="AO161" i="1"/>
  <c r="AP23" i="1"/>
  <c r="AO182" i="1"/>
  <c r="AL168" i="1"/>
  <c r="AP40" i="1"/>
  <c r="AL28" i="1"/>
  <c r="AL185" i="1"/>
  <c r="AO40" i="1"/>
  <c r="AL35" i="1"/>
  <c r="AN36" i="1" s="1"/>
  <c r="AO36" i="1" s="1"/>
  <c r="AP185" i="1"/>
  <c r="AQ185" i="1" s="1"/>
  <c r="AP139" i="1"/>
  <c r="AQ139" i="1" s="1"/>
  <c r="AQ70" i="1"/>
  <c r="AW48" i="1"/>
  <c r="AZ115" i="1"/>
  <c r="BB115" i="1" s="1"/>
  <c r="AW55" i="1"/>
  <c r="BA123" i="1"/>
  <c r="BB123" i="1" s="1"/>
  <c r="AW122" i="1"/>
  <c r="AZ55" i="1"/>
  <c r="BB55" i="1" s="1"/>
  <c r="BA48" i="1"/>
  <c r="BB48" i="1" s="1"/>
  <c r="BA122" i="1"/>
  <c r="BB122" i="1" s="1"/>
  <c r="AZ63" i="1"/>
  <c r="BB63" i="1" s="1"/>
  <c r="AW63" i="1"/>
  <c r="AW115" i="1"/>
  <c r="AY116" i="1" s="1"/>
  <c r="BA116" i="1" s="1"/>
  <c r="BA74" i="1"/>
  <c r="BB74" i="1" s="1"/>
  <c r="AZ78" i="1"/>
  <c r="BA62" i="1"/>
  <c r="BB62" i="1" s="1"/>
  <c r="BA128" i="1"/>
  <c r="BB128" i="1" s="1"/>
  <c r="AZ86" i="1"/>
  <c r="AW121" i="1"/>
  <c r="AW67" i="1"/>
  <c r="AW128" i="1"/>
  <c r="BA86" i="1"/>
  <c r="AW62" i="1"/>
  <c r="BB97" i="1"/>
  <c r="AL157" i="1"/>
  <c r="AL139" i="1"/>
  <c r="AO174" i="1"/>
  <c r="AL27" i="1"/>
  <c r="AQ166" i="1"/>
  <c r="AP174" i="1"/>
  <c r="AL133" i="1"/>
  <c r="AQ109" i="1"/>
  <c r="AP95" i="1"/>
  <c r="AQ95" i="1" s="1"/>
  <c r="AW132" i="1"/>
  <c r="AY133" i="1" s="1"/>
  <c r="BA133" i="1" s="1"/>
  <c r="BA132" i="1"/>
  <c r="AZ68" i="1"/>
  <c r="BB68" i="1" s="1"/>
  <c r="AZ126" i="1"/>
  <c r="AZ132" i="1"/>
  <c r="BA126" i="1"/>
  <c r="AW107" i="1"/>
  <c r="AZ102" i="1"/>
  <c r="BB102" i="1" s="1"/>
  <c r="AW102" i="1"/>
  <c r="AW120" i="1"/>
  <c r="BA61" i="1"/>
  <c r="BB61" i="1" s="1"/>
  <c r="AW152" i="1"/>
  <c r="AZ120" i="1"/>
  <c r="BB120" i="1" s="1"/>
  <c r="AW118" i="1"/>
  <c r="BA98" i="1"/>
  <c r="BA152" i="1"/>
  <c r="BB152" i="1" s="1"/>
  <c r="BA67" i="1"/>
  <c r="BB67" i="1" s="1"/>
  <c r="AW73" i="1"/>
  <c r="BB58" i="1"/>
  <c r="AZ73" i="1"/>
  <c r="BB73" i="1" s="1"/>
  <c r="BA160" i="1"/>
  <c r="BB160" i="1" s="1"/>
  <c r="AW87" i="1"/>
  <c r="AW68" i="1"/>
  <c r="AZ87" i="1"/>
  <c r="BB87" i="1" s="1"/>
  <c r="AZ72" i="1"/>
  <c r="BB72" i="1" s="1"/>
  <c r="AW74" i="1"/>
  <c r="AZ38" i="1"/>
  <c r="BB38" i="1" s="1"/>
  <c r="AW123" i="1"/>
  <c r="BA127" i="1"/>
  <c r="BB127" i="1" s="1"/>
  <c r="AW38" i="1"/>
  <c r="AY39" i="1" s="1"/>
  <c r="BB60" i="1"/>
  <c r="AZ106" i="1"/>
  <c r="BB106" i="1" s="1"/>
  <c r="AZ98" i="1"/>
  <c r="AW72" i="1"/>
  <c r="AZ149" i="1"/>
  <c r="BB149" i="1" s="1"/>
  <c r="AP178" i="1"/>
  <c r="AQ178" i="1" s="1"/>
  <c r="AO186" i="1"/>
  <c r="AQ186" i="1" s="1"/>
  <c r="AL84" i="1"/>
  <c r="AN85" i="1" s="1"/>
  <c r="AO85" i="1" s="1"/>
  <c r="AL186" i="1"/>
  <c r="AO127" i="1"/>
  <c r="AQ127" i="1" s="1"/>
  <c r="AO33" i="1"/>
  <c r="AQ33" i="1" s="1"/>
  <c r="AL113" i="1"/>
  <c r="AP50" i="1"/>
  <c r="AQ50" i="1" s="1"/>
  <c r="AP183" i="1"/>
  <c r="AO113" i="1"/>
  <c r="AQ113" i="1" s="1"/>
  <c r="AO46" i="1"/>
  <c r="AQ46" i="1" s="1"/>
  <c r="AP26" i="1"/>
  <c r="AO183" i="1"/>
  <c r="AL163" i="1"/>
  <c r="AO163" i="1"/>
  <c r="AQ163" i="1" s="1"/>
  <c r="AP160" i="1"/>
  <c r="AL60" i="1"/>
  <c r="AN61" i="1" s="1"/>
  <c r="AL46" i="1"/>
  <c r="AO160" i="1"/>
  <c r="AO26" i="1"/>
  <c r="AO157" i="1"/>
  <c r="AQ157" i="1" s="1"/>
  <c r="AL111" i="1"/>
  <c r="AP110" i="1"/>
  <c r="AQ68" i="1"/>
  <c r="AQ28" i="1"/>
  <c r="AO110" i="1"/>
  <c r="AO39" i="1"/>
  <c r="AQ39" i="1" s="1"/>
  <c r="AQ128" i="1"/>
  <c r="AP172" i="1"/>
  <c r="AO135" i="1"/>
  <c r="AQ135" i="1" s="1"/>
  <c r="AP114" i="1"/>
  <c r="AQ114" i="1" s="1"/>
  <c r="AQ180" i="1"/>
  <c r="AL135" i="1"/>
  <c r="AL127" i="1"/>
  <c r="AL29" i="1"/>
  <c r="AQ177" i="1"/>
  <c r="AW23" i="1"/>
  <c r="AY24" i="1" s="1"/>
  <c r="AW24" i="1" s="1"/>
  <c r="AY25" i="1" s="1"/>
  <c r="AW70" i="1"/>
  <c r="AZ23" i="1"/>
  <c r="BB23" i="1" s="1"/>
  <c r="AZ70" i="1"/>
  <c r="BB70" i="1" s="1"/>
  <c r="BA78" i="1"/>
  <c r="AZ77" i="1"/>
  <c r="AW75" i="1"/>
  <c r="AZ101" i="1"/>
  <c r="BB101" i="1" s="1"/>
  <c r="AZ64" i="1"/>
  <c r="AZ108" i="1"/>
  <c r="BB108" i="1" s="1"/>
  <c r="AW54" i="1"/>
  <c r="AW101" i="1"/>
  <c r="AZ75" i="1"/>
  <c r="BB75" i="1" s="1"/>
  <c r="BA117" i="1"/>
  <c r="AZ117" i="1"/>
  <c r="AW117" i="1"/>
  <c r="BA64" i="1"/>
  <c r="AW81" i="1"/>
  <c r="BA81" i="1"/>
  <c r="AZ81" i="1"/>
  <c r="AW108" i="1"/>
  <c r="AY109" i="1" s="1"/>
  <c r="AZ109" i="1" s="1"/>
  <c r="BA129" i="1"/>
  <c r="AW65" i="1"/>
  <c r="BA54" i="1"/>
  <c r="BB54" i="1" s="1"/>
  <c r="AZ65" i="1"/>
  <c r="BB65" i="1" s="1"/>
  <c r="AW61" i="1"/>
  <c r="AL97" i="1"/>
  <c r="AO97" i="1"/>
  <c r="AQ97" i="1" s="1"/>
  <c r="AP60" i="1"/>
  <c r="AQ60" i="1" s="1"/>
  <c r="AO91" i="1"/>
  <c r="AQ140" i="1"/>
  <c r="AP91" i="1"/>
  <c r="AO51" i="1"/>
  <c r="AP51" i="1"/>
  <c r="AL143" i="1"/>
  <c r="AO143" i="1"/>
  <c r="AQ143" i="1" s="1"/>
  <c r="AP29" i="1"/>
  <c r="AQ29" i="1" s="1"/>
  <c r="AL25" i="1"/>
  <c r="AO24" i="1"/>
  <c r="AQ24" i="1" s="1"/>
  <c r="AP146" i="1"/>
  <c r="AP112" i="1"/>
  <c r="AQ112" i="1" s="1"/>
  <c r="AQ107" i="1"/>
  <c r="AO25" i="1"/>
  <c r="AQ25" i="1" s="1"/>
  <c r="AL24" i="1"/>
  <c r="AL112" i="1"/>
  <c r="AL39" i="1"/>
  <c r="AO23" i="1"/>
  <c r="AP27" i="1"/>
  <c r="AQ27" i="1" s="1"/>
  <c r="AO47" i="1"/>
  <c r="AQ169" i="1"/>
  <c r="AO173" i="1"/>
  <c r="AQ173" i="1" s="1"/>
  <c r="AQ34" i="1"/>
  <c r="AO167" i="1"/>
  <c r="AQ167" i="1" s="1"/>
  <c r="AO121" i="1"/>
  <c r="AQ121" i="1" s="1"/>
  <c r="AL173" i="1"/>
  <c r="AL114" i="1"/>
  <c r="AN115" i="1" s="1"/>
  <c r="AO115" i="1" s="1"/>
  <c r="AL167" i="1"/>
  <c r="AO146" i="1"/>
  <c r="AP111" i="1"/>
  <c r="AQ111" i="1" s="1"/>
  <c r="AL33" i="1"/>
  <c r="AO84" i="1"/>
  <c r="AQ84" i="1" s="1"/>
  <c r="AL30" i="1"/>
  <c r="BA77" i="1"/>
  <c r="AW127" i="1"/>
  <c r="AW36" i="1"/>
  <c r="AY37" i="1" s="1"/>
  <c r="BA36" i="1"/>
  <c r="BB36" i="1" s="1"/>
  <c r="AP31" i="1"/>
  <c r="AO31" i="1"/>
  <c r="AL31" i="1"/>
  <c r="AW106" i="1"/>
  <c r="AZ129" i="1"/>
  <c r="AP108" i="1"/>
  <c r="AQ108" i="1" s="1"/>
  <c r="AL101" i="1"/>
  <c r="AN102" i="1" s="1"/>
  <c r="AO101" i="1"/>
  <c r="AP101" i="1"/>
  <c r="AP53" i="1"/>
  <c r="AO53" i="1"/>
  <c r="AL53" i="1"/>
  <c r="AN54" i="1" s="1"/>
  <c r="AP74" i="1"/>
  <c r="AL74" i="1"/>
  <c r="AN75" i="1" s="1"/>
  <c r="AP75" i="1" s="1"/>
  <c r="AO74" i="1"/>
  <c r="AO158" i="1"/>
  <c r="AQ158" i="1" s="1"/>
  <c r="AP30" i="1"/>
  <c r="AQ30" i="1" s="1"/>
  <c r="AP145" i="1"/>
  <c r="AO145" i="1"/>
  <c r="AL145" i="1"/>
  <c r="AL95" i="1"/>
  <c r="AZ153" i="1"/>
  <c r="BB153" i="1" s="1"/>
  <c r="AO172" i="1"/>
  <c r="BA89" i="1"/>
  <c r="AQ93" i="1"/>
  <c r="AL158" i="1"/>
  <c r="AZ121" i="1"/>
  <c r="BB121" i="1" s="1"/>
  <c r="AW153" i="1"/>
  <c r="AY154" i="1" s="1"/>
  <c r="AW154" i="1" s="1"/>
  <c r="AY155" i="1" s="1"/>
  <c r="AZ89" i="1"/>
  <c r="AL44" i="1"/>
  <c r="AN45" i="1" s="1"/>
  <c r="AL45" i="1" s="1"/>
  <c r="AQ59" i="1"/>
  <c r="AO44" i="1"/>
  <c r="AQ44" i="1" s="1"/>
  <c r="AW69" i="1"/>
  <c r="BA69" i="1"/>
  <c r="AZ69" i="1"/>
  <c r="AP138" i="1"/>
  <c r="AQ138" i="1" s="1"/>
  <c r="AZ124" i="1"/>
  <c r="BB124" i="1" s="1"/>
  <c r="AZ49" i="1"/>
  <c r="BB49" i="1" s="1"/>
  <c r="AL50" i="1"/>
  <c r="AO159" i="1"/>
  <c r="AL159" i="1"/>
  <c r="AP159" i="1"/>
  <c r="AL138" i="1"/>
  <c r="AQ65" i="1"/>
  <c r="AW49" i="1"/>
  <c r="AY50" i="1" s="1"/>
  <c r="BA50" i="1" s="1"/>
  <c r="AO41" i="1"/>
  <c r="AL41" i="1"/>
  <c r="AN42" i="1" s="1"/>
  <c r="AP41" i="1"/>
  <c r="BA79" i="1"/>
  <c r="AZ79" i="1"/>
  <c r="AW79" i="1"/>
  <c r="AP129" i="1"/>
  <c r="AO129" i="1"/>
  <c r="AL129" i="1"/>
  <c r="AN130" i="1" s="1"/>
  <c r="AO156" i="1"/>
  <c r="AP156" i="1"/>
  <c r="AL156" i="1"/>
  <c r="AO142" i="1"/>
  <c r="AP142" i="1"/>
  <c r="AL142" i="1"/>
  <c r="AO116" i="1"/>
  <c r="AL116" i="1"/>
  <c r="AN117" i="1" s="1"/>
  <c r="AP116" i="1"/>
  <c r="AZ57" i="1"/>
  <c r="AW57" i="1"/>
  <c r="BA57" i="1"/>
  <c r="BA80" i="1"/>
  <c r="AW80" i="1"/>
  <c r="AZ80" i="1"/>
  <c r="AP43" i="1"/>
  <c r="AO43" i="1"/>
  <c r="AQ43" i="1" s="1"/>
  <c r="AL43" i="1"/>
  <c r="AZ141" i="1"/>
  <c r="BA141" i="1"/>
  <c r="AW141" i="1"/>
  <c r="AY142" i="1" s="1"/>
  <c r="AO176" i="1"/>
  <c r="AL176" i="1"/>
  <c r="AP176" i="1"/>
  <c r="AW85" i="1"/>
  <c r="BA85" i="1"/>
  <c r="AZ85" i="1"/>
  <c r="AP48" i="1"/>
  <c r="AO48" i="1"/>
  <c r="AL48" i="1"/>
  <c r="AN49" i="1" s="1"/>
  <c r="AP165" i="1"/>
  <c r="AO165" i="1"/>
  <c r="AL165" i="1"/>
  <c r="AO92" i="1"/>
  <c r="AL92" i="1"/>
  <c r="AP92" i="1"/>
  <c r="AQ52" i="1"/>
  <c r="AZ90" i="1"/>
  <c r="AW90" i="1"/>
  <c r="AY91" i="1" s="1"/>
  <c r="BA90" i="1"/>
  <c r="AP69" i="1"/>
  <c r="AO69" i="1"/>
  <c r="AL69" i="1"/>
  <c r="AW71" i="1"/>
  <c r="AZ71" i="1"/>
  <c r="BA71" i="1"/>
  <c r="AW66" i="1"/>
  <c r="BA66" i="1"/>
  <c r="AZ66" i="1"/>
  <c r="AZ130" i="1"/>
  <c r="AW130" i="1"/>
  <c r="BA130" i="1"/>
  <c r="BA59" i="1"/>
  <c r="AW59" i="1"/>
  <c r="AZ59" i="1"/>
  <c r="AO155" i="1"/>
  <c r="AL155" i="1"/>
  <c r="AP155" i="1"/>
  <c r="AO126" i="1"/>
  <c r="AL126" i="1"/>
  <c r="AP126" i="1"/>
  <c r="AO98" i="1"/>
  <c r="AP98" i="1"/>
  <c r="AL98" i="1"/>
  <c r="AZ42" i="1"/>
  <c r="AW42" i="1"/>
  <c r="AY43" i="1" s="1"/>
  <c r="BA42" i="1"/>
  <c r="AO141" i="1"/>
  <c r="AP141" i="1"/>
  <c r="AL141" i="1"/>
  <c r="AW125" i="1"/>
  <c r="AZ125" i="1"/>
  <c r="BA125" i="1"/>
  <c r="AO66" i="1"/>
  <c r="AL66" i="1"/>
  <c r="AN67" i="1" s="1"/>
  <c r="AP66" i="1"/>
  <c r="BA131" i="1"/>
  <c r="AZ131" i="1"/>
  <c r="AW131" i="1"/>
  <c r="AP144" i="1"/>
  <c r="AL144" i="1"/>
  <c r="AO144" i="1"/>
  <c r="BA103" i="1"/>
  <c r="AZ103" i="1"/>
  <c r="AW103" i="1"/>
  <c r="AW56" i="1"/>
  <c r="BA56" i="1"/>
  <c r="AZ56" i="1"/>
  <c r="AP164" i="1"/>
  <c r="AO164" i="1"/>
  <c r="AL164" i="1"/>
  <c r="AL79" i="1"/>
  <c r="AN80" i="1" s="1"/>
  <c r="AP79" i="1"/>
  <c r="AO79" i="1"/>
  <c r="BB151" i="1"/>
  <c r="AL99" i="1"/>
  <c r="AP99" i="1"/>
  <c r="AO99" i="1"/>
  <c r="AL58" i="1"/>
  <c r="AP58" i="1"/>
  <c r="AO58" i="1"/>
  <c r="BA119" i="1"/>
  <c r="AZ119" i="1"/>
  <c r="AW119" i="1"/>
  <c r="AQ94" i="1"/>
  <c r="AL37" i="1"/>
  <c r="AN38" i="1" s="1"/>
  <c r="AP37" i="1"/>
  <c r="AO37" i="1"/>
  <c r="BB22" i="1"/>
  <c r="AO162" i="1"/>
  <c r="AL162" i="1"/>
  <c r="AP162" i="1"/>
  <c r="AO148" i="1"/>
  <c r="AL148" i="1"/>
  <c r="AN149" i="1" s="1"/>
  <c r="AP148" i="1"/>
  <c r="AZ76" i="1"/>
  <c r="BA76" i="1"/>
  <c r="AW76" i="1"/>
  <c r="AQ147" i="1"/>
  <c r="BB159" i="1"/>
  <c r="AW104" i="1"/>
  <c r="AZ104" i="1"/>
  <c r="BA104" i="1"/>
  <c r="BA99" i="1"/>
  <c r="AZ99" i="1"/>
  <c r="AW99" i="1"/>
  <c r="AY100" i="1" s="1"/>
  <c r="AQ119" i="1"/>
  <c r="BA45" i="1"/>
  <c r="AZ45" i="1"/>
  <c r="BB45" i="1" s="1"/>
  <c r="AW45" i="1"/>
  <c r="AY46" i="1" s="1"/>
  <c r="AZ82" i="1"/>
  <c r="AW82" i="1"/>
  <c r="AY83" i="1" s="1"/>
  <c r="BA82" i="1"/>
  <c r="BB150" i="1" l="1"/>
  <c r="AQ165" i="1"/>
  <c r="AQ105" i="1"/>
  <c r="BE105" i="1" s="1"/>
  <c r="AQ47" i="1"/>
  <c r="AQ96" i="1"/>
  <c r="AQ72" i="1"/>
  <c r="AP85" i="1"/>
  <c r="AQ85" i="1" s="1"/>
  <c r="BB99" i="1"/>
  <c r="BB81" i="1"/>
  <c r="AW109" i="1"/>
  <c r="AY110" i="1" s="1"/>
  <c r="AW110" i="1" s="1"/>
  <c r="AY111" i="1" s="1"/>
  <c r="BA109" i="1"/>
  <c r="BB109" i="1" s="1"/>
  <c r="BE109" i="1" s="1"/>
  <c r="AW162" i="1"/>
  <c r="AY163" i="1" s="1"/>
  <c r="AZ162" i="1"/>
  <c r="BB162" i="1" s="1"/>
  <c r="BA162" i="1"/>
  <c r="BA24" i="1"/>
  <c r="AW25" i="1"/>
  <c r="AY26" i="1" s="1"/>
  <c r="AZ25" i="1"/>
  <c r="BA25" i="1"/>
  <c r="BA142" i="1"/>
  <c r="AW142" i="1"/>
  <c r="AY143" i="1" s="1"/>
  <c r="AZ142" i="1"/>
  <c r="BB142" i="1" s="1"/>
  <c r="AZ24" i="1"/>
  <c r="AZ100" i="1"/>
  <c r="BA100" i="1"/>
  <c r="AW100" i="1"/>
  <c r="AZ110" i="1"/>
  <c r="AZ154" i="1"/>
  <c r="AZ161" i="1"/>
  <c r="BA39" i="1"/>
  <c r="AW39" i="1"/>
  <c r="AY40" i="1" s="1"/>
  <c r="AZ39" i="1"/>
  <c r="BB39" i="1" s="1"/>
  <c r="BE39" i="1" s="1"/>
  <c r="BA154" i="1"/>
  <c r="BA161" i="1"/>
  <c r="AQ37" i="1"/>
  <c r="AQ99" i="1"/>
  <c r="AQ120" i="1"/>
  <c r="BE120" i="1" s="1"/>
  <c r="AL85" i="1"/>
  <c r="AN86" i="1" s="1"/>
  <c r="AP86" i="1" s="1"/>
  <c r="AQ161" i="1"/>
  <c r="AL153" i="1"/>
  <c r="AP153" i="1"/>
  <c r="AQ153" i="1" s="1"/>
  <c r="BE153" i="1" s="1"/>
  <c r="AO149" i="1"/>
  <c r="AL149" i="1"/>
  <c r="AN150" i="1" s="1"/>
  <c r="AP149" i="1"/>
  <c r="AP67" i="1"/>
  <c r="AO67" i="1"/>
  <c r="AL67" i="1"/>
  <c r="AO61" i="1"/>
  <c r="AL61" i="1"/>
  <c r="AN62" i="1" s="1"/>
  <c r="AP61" i="1"/>
  <c r="AQ136" i="1"/>
  <c r="AP73" i="1"/>
  <c r="AO73" i="1"/>
  <c r="AQ73" i="1" s="1"/>
  <c r="BE73" i="1" s="1"/>
  <c r="AL73" i="1"/>
  <c r="AL36" i="1"/>
  <c r="AP36" i="1"/>
  <c r="AQ36" i="1" s="1"/>
  <c r="BE36" i="1" s="1"/>
  <c r="AL121" i="1"/>
  <c r="AN122" i="1" s="1"/>
  <c r="AO106" i="1"/>
  <c r="AP106" i="1"/>
  <c r="AL106" i="1"/>
  <c r="AQ53" i="1"/>
  <c r="AQ40" i="1"/>
  <c r="AQ144" i="1"/>
  <c r="AQ129" i="1"/>
  <c r="AQ182" i="1"/>
  <c r="AQ174" i="1"/>
  <c r="BE70" i="1"/>
  <c r="AQ183" i="1"/>
  <c r="AQ23" i="1"/>
  <c r="BE23" i="1" s="1"/>
  <c r="AQ26" i="1"/>
  <c r="AQ160" i="1"/>
  <c r="BE160" i="1" s="1"/>
  <c r="AQ110" i="1"/>
  <c r="AZ116" i="1"/>
  <c r="BB116" i="1" s="1"/>
  <c r="AZ133" i="1"/>
  <c r="BB133" i="1" s="1"/>
  <c r="BE133" i="1" s="1"/>
  <c r="AW116" i="1"/>
  <c r="AW133" i="1"/>
  <c r="AY134" i="1" s="1"/>
  <c r="BA134" i="1" s="1"/>
  <c r="BB86" i="1"/>
  <c r="BE68" i="1"/>
  <c r="BB126" i="1"/>
  <c r="BB85" i="1"/>
  <c r="BE85" i="1" s="1"/>
  <c r="BB132" i="1"/>
  <c r="BE97" i="1"/>
  <c r="BB78" i="1"/>
  <c r="BB77" i="1"/>
  <c r="BE128" i="1"/>
  <c r="BB66" i="1"/>
  <c r="BB57" i="1"/>
  <c r="BE72" i="1"/>
  <c r="BB98" i="1"/>
  <c r="BB117" i="1"/>
  <c r="BE60" i="1"/>
  <c r="BB80" i="1"/>
  <c r="BE108" i="1"/>
  <c r="BB89" i="1"/>
  <c r="BB56" i="1"/>
  <c r="BB79" i="1"/>
  <c r="BB69" i="1"/>
  <c r="BE127" i="1"/>
  <c r="AQ172" i="1"/>
  <c r="AP115" i="1"/>
  <c r="AQ115" i="1" s="1"/>
  <c r="BE115" i="1" s="1"/>
  <c r="AQ91" i="1"/>
  <c r="AQ164" i="1"/>
  <c r="AQ145" i="1"/>
  <c r="AQ31" i="1"/>
  <c r="AQ69" i="1"/>
  <c r="AQ146" i="1"/>
  <c r="AQ74" i="1"/>
  <c r="BE74" i="1" s="1"/>
  <c r="BB119" i="1"/>
  <c r="BE119" i="1" s="1"/>
  <c r="BB129" i="1"/>
  <c r="BE121" i="1"/>
  <c r="BE65" i="1"/>
  <c r="AW50" i="1"/>
  <c r="AY51" i="1" s="1"/>
  <c r="BA51" i="1" s="1"/>
  <c r="BE107" i="1"/>
  <c r="BB64" i="1"/>
  <c r="BB103" i="1"/>
  <c r="AZ50" i="1"/>
  <c r="BB50" i="1" s="1"/>
  <c r="BE50" i="1" s="1"/>
  <c r="AL86" i="1"/>
  <c r="AN87" i="1" s="1"/>
  <c r="AO87" i="1" s="1"/>
  <c r="AO86" i="1"/>
  <c r="AQ86" i="1" s="1"/>
  <c r="BE86" i="1" s="1"/>
  <c r="AQ51" i="1"/>
  <c r="AO75" i="1"/>
  <c r="AQ75" i="1" s="1"/>
  <c r="BE75" i="1" s="1"/>
  <c r="AL75" i="1"/>
  <c r="AN76" i="1" s="1"/>
  <c r="AL115" i="1"/>
  <c r="AL42" i="1"/>
  <c r="AP42" i="1"/>
  <c r="AO42" i="1"/>
  <c r="AQ101" i="1"/>
  <c r="BE101" i="1" s="1"/>
  <c r="BE152" i="1"/>
  <c r="AQ41" i="1"/>
  <c r="AP54" i="1"/>
  <c r="AO54" i="1"/>
  <c r="AL54" i="1"/>
  <c r="AN55" i="1" s="1"/>
  <c r="BA37" i="1"/>
  <c r="AW37" i="1"/>
  <c r="AZ37" i="1"/>
  <c r="AQ159" i="1"/>
  <c r="BE159" i="1" s="1"/>
  <c r="AP102" i="1"/>
  <c r="AO102" i="1"/>
  <c r="AL102" i="1"/>
  <c r="AN103" i="1" s="1"/>
  <c r="AP45" i="1"/>
  <c r="AQ155" i="1"/>
  <c r="AO45" i="1"/>
  <c r="BB59" i="1"/>
  <c r="BE59" i="1" s="1"/>
  <c r="AQ79" i="1"/>
  <c r="BB76" i="1"/>
  <c r="BB131" i="1"/>
  <c r="BB82" i="1"/>
  <c r="AP38" i="1"/>
  <c r="AO38" i="1"/>
  <c r="AL38" i="1"/>
  <c r="AQ66" i="1"/>
  <c r="BB71" i="1"/>
  <c r="BE71" i="1" s="1"/>
  <c r="AO130" i="1"/>
  <c r="AL130" i="1"/>
  <c r="AN131" i="1" s="1"/>
  <c r="AP130" i="1"/>
  <c r="AQ92" i="1"/>
  <c r="AO49" i="1"/>
  <c r="AL49" i="1"/>
  <c r="AP49" i="1"/>
  <c r="AQ156" i="1"/>
  <c r="AP117" i="1"/>
  <c r="AL117" i="1"/>
  <c r="AN118" i="1" s="1"/>
  <c r="AO117" i="1"/>
  <c r="AQ142" i="1"/>
  <c r="BA46" i="1"/>
  <c r="AZ46" i="1"/>
  <c r="AW46" i="1"/>
  <c r="AY47" i="1" s="1"/>
  <c r="AQ48" i="1"/>
  <c r="BE48" i="1" s="1"/>
  <c r="AQ176" i="1"/>
  <c r="BA83" i="1"/>
  <c r="AW83" i="1"/>
  <c r="AY84" i="1" s="1"/>
  <c r="AZ83" i="1"/>
  <c r="AQ116" i="1"/>
  <c r="BB125" i="1"/>
  <c r="BE125" i="1" s="1"/>
  <c r="AQ98" i="1"/>
  <c r="AQ141" i="1"/>
  <c r="BC22" i="1"/>
  <c r="BC23" i="1" s="1"/>
  <c r="BE22" i="1"/>
  <c r="BA43" i="1"/>
  <c r="AZ43" i="1"/>
  <c r="AW43" i="1"/>
  <c r="AY44" i="1" s="1"/>
  <c r="BB42" i="1"/>
  <c r="AW91" i="1"/>
  <c r="AY92" i="1" s="1"/>
  <c r="BA91" i="1"/>
  <c r="AZ91" i="1"/>
  <c r="AQ148" i="1"/>
  <c r="AL80" i="1"/>
  <c r="AN81" i="1" s="1"/>
  <c r="AP80" i="1"/>
  <c r="AO80" i="1"/>
  <c r="BB90" i="1"/>
  <c r="AZ155" i="1"/>
  <c r="BA155" i="1"/>
  <c r="AW155" i="1"/>
  <c r="AY156" i="1" s="1"/>
  <c r="BB130" i="1"/>
  <c r="AQ126" i="1"/>
  <c r="BB104" i="1"/>
  <c r="BE104" i="1" s="1"/>
  <c r="AQ162" i="1"/>
  <c r="AQ58" i="1"/>
  <c r="BE58" i="1" s="1"/>
  <c r="BB141" i="1"/>
  <c r="BE99" i="1" l="1"/>
  <c r="AZ134" i="1"/>
  <c r="BE126" i="1"/>
  <c r="BB161" i="1"/>
  <c r="BB154" i="1"/>
  <c r="BE154" i="1" s="1"/>
  <c r="BE161" i="1"/>
  <c r="BE142" i="1"/>
  <c r="BA110" i="1"/>
  <c r="AW134" i="1"/>
  <c r="AY135" i="1" s="1"/>
  <c r="AZ135" i="1" s="1"/>
  <c r="BB24" i="1"/>
  <c r="BE24" i="1" s="1"/>
  <c r="BB25" i="1"/>
  <c r="BE25" i="1" s="1"/>
  <c r="BA156" i="1"/>
  <c r="AZ156" i="1"/>
  <c r="BB156" i="1" s="1"/>
  <c r="BE156" i="1" s="1"/>
  <c r="AW156" i="1"/>
  <c r="AY157" i="1" s="1"/>
  <c r="BA40" i="1"/>
  <c r="AW40" i="1"/>
  <c r="AY41" i="1" s="1"/>
  <c r="AZ40" i="1"/>
  <c r="BB40" i="1" s="1"/>
  <c r="BE40" i="1" s="1"/>
  <c r="BA143" i="1"/>
  <c r="AW143" i="1"/>
  <c r="AY144" i="1" s="1"/>
  <c r="AZ143" i="1"/>
  <c r="BA26" i="1"/>
  <c r="AW26" i="1"/>
  <c r="AY27" i="1" s="1"/>
  <c r="AZ26" i="1"/>
  <c r="BB26" i="1" s="1"/>
  <c r="BE26" i="1" s="1"/>
  <c r="AW111" i="1"/>
  <c r="AY112" i="1" s="1"/>
  <c r="BA111" i="1"/>
  <c r="AZ111" i="1"/>
  <c r="BB110" i="1"/>
  <c r="BE110" i="1" s="1"/>
  <c r="BB100" i="1"/>
  <c r="BE100" i="1" s="1"/>
  <c r="BA163" i="1"/>
  <c r="AW163" i="1"/>
  <c r="AY164" i="1" s="1"/>
  <c r="AZ163" i="1"/>
  <c r="BB163" i="1" s="1"/>
  <c r="BE163" i="1" s="1"/>
  <c r="AL55" i="1"/>
  <c r="AN56" i="1" s="1"/>
  <c r="AO55" i="1"/>
  <c r="AP55" i="1"/>
  <c r="AP76" i="1"/>
  <c r="AL76" i="1"/>
  <c r="AN77" i="1" s="1"/>
  <c r="AO76" i="1"/>
  <c r="AR23" i="1"/>
  <c r="AR24" i="1" s="1"/>
  <c r="AR25" i="1" s="1"/>
  <c r="AR26" i="1" s="1"/>
  <c r="AR27" i="1" s="1"/>
  <c r="AR28" i="1" s="1"/>
  <c r="AR29" i="1" s="1"/>
  <c r="AR30" i="1" s="1"/>
  <c r="AQ106" i="1"/>
  <c r="BE106" i="1" s="1"/>
  <c r="AQ61" i="1"/>
  <c r="BE61" i="1" s="1"/>
  <c r="BE129" i="1"/>
  <c r="AQ67" i="1"/>
  <c r="BE67" i="1" s="1"/>
  <c r="AP131" i="1"/>
  <c r="AL131" i="1"/>
  <c r="AN132" i="1" s="1"/>
  <c r="AO131" i="1"/>
  <c r="AQ131" i="1" s="1"/>
  <c r="BE131" i="1" s="1"/>
  <c r="AP87" i="1"/>
  <c r="AQ87" i="1" s="1"/>
  <c r="BE87" i="1" s="1"/>
  <c r="AL103" i="1"/>
  <c r="AO103" i="1"/>
  <c r="AP103" i="1"/>
  <c r="AP150" i="1"/>
  <c r="AO150" i="1"/>
  <c r="AL150" i="1"/>
  <c r="AN151" i="1" s="1"/>
  <c r="AO62" i="1"/>
  <c r="AP62" i="1"/>
  <c r="AL62" i="1"/>
  <c r="AN63" i="1" s="1"/>
  <c r="AP122" i="1"/>
  <c r="AO122" i="1"/>
  <c r="AQ122" i="1" s="1"/>
  <c r="BE122" i="1" s="1"/>
  <c r="AL122" i="1"/>
  <c r="AN123" i="1" s="1"/>
  <c r="AP81" i="1"/>
  <c r="AL81" i="1"/>
  <c r="AN82" i="1" s="1"/>
  <c r="AO81" i="1"/>
  <c r="AQ149" i="1"/>
  <c r="BE149" i="1" s="1"/>
  <c r="BE69" i="1"/>
  <c r="AQ102" i="1"/>
  <c r="BE102" i="1" s="1"/>
  <c r="AQ42" i="1"/>
  <c r="BE42" i="1" s="1"/>
  <c r="BE98" i="1"/>
  <c r="BE116" i="1"/>
  <c r="BE66" i="1"/>
  <c r="AR31" i="1"/>
  <c r="AR32" i="1" s="1"/>
  <c r="AR33" i="1" s="1"/>
  <c r="AR34" i="1" s="1"/>
  <c r="AR35" i="1" s="1"/>
  <c r="AR36" i="1" s="1"/>
  <c r="AR37" i="1" s="1"/>
  <c r="BE79" i="1"/>
  <c r="BB83" i="1"/>
  <c r="BE83" i="1" s="1"/>
  <c r="BB37" i="1"/>
  <c r="BE37" i="1" s="1"/>
  <c r="AQ45" i="1"/>
  <c r="BE45" i="1" s="1"/>
  <c r="AL87" i="1"/>
  <c r="AN88" i="1" s="1"/>
  <c r="AZ51" i="1"/>
  <c r="BB51" i="1" s="1"/>
  <c r="BE51" i="1" s="1"/>
  <c r="AW51" i="1"/>
  <c r="AY52" i="1" s="1"/>
  <c r="AZ52" i="1" s="1"/>
  <c r="AQ49" i="1"/>
  <c r="BE49" i="1" s="1"/>
  <c r="AQ38" i="1"/>
  <c r="BE162" i="1"/>
  <c r="AQ130" i="1"/>
  <c r="BE130" i="1" s="1"/>
  <c r="BE141" i="1"/>
  <c r="BB134" i="1"/>
  <c r="BE134" i="1" s="1"/>
  <c r="AQ54" i="1"/>
  <c r="BE54" i="1" s="1"/>
  <c r="AW135" i="1"/>
  <c r="AY136" i="1" s="1"/>
  <c r="BA44" i="1"/>
  <c r="AW44" i="1"/>
  <c r="AZ44" i="1"/>
  <c r="AZ47" i="1"/>
  <c r="AW47" i="1"/>
  <c r="BA47" i="1"/>
  <c r="AW92" i="1"/>
  <c r="AY93" i="1" s="1"/>
  <c r="AZ92" i="1"/>
  <c r="BA92" i="1"/>
  <c r="AQ80" i="1"/>
  <c r="BE80" i="1" s="1"/>
  <c r="BB43" i="1"/>
  <c r="BB46" i="1"/>
  <c r="BE46" i="1" s="1"/>
  <c r="AQ117" i="1"/>
  <c r="BE117" i="1" s="1"/>
  <c r="BB155" i="1"/>
  <c r="BE155" i="1" s="1"/>
  <c r="AO118" i="1"/>
  <c r="AL118" i="1"/>
  <c r="AP118" i="1"/>
  <c r="BA84" i="1"/>
  <c r="AZ84" i="1"/>
  <c r="AW84" i="1"/>
  <c r="BB91" i="1"/>
  <c r="BE91" i="1" s="1"/>
  <c r="BF22" i="1"/>
  <c r="BF23" i="1" s="1"/>
  <c r="BF24" i="1" s="1"/>
  <c r="BA135" i="1" l="1"/>
  <c r="BF25" i="1"/>
  <c r="BB111" i="1"/>
  <c r="BE111" i="1" s="1"/>
  <c r="BC24" i="1"/>
  <c r="BC25" i="1" s="1"/>
  <c r="AZ136" i="1"/>
  <c r="BA136" i="1"/>
  <c r="BB136" i="1" s="1"/>
  <c r="BE136" i="1" s="1"/>
  <c r="AW136" i="1"/>
  <c r="AY137" i="1" s="1"/>
  <c r="BB143" i="1"/>
  <c r="BE143" i="1" s="1"/>
  <c r="AZ144" i="1"/>
  <c r="AW144" i="1"/>
  <c r="AY145" i="1" s="1"/>
  <c r="BA144" i="1"/>
  <c r="BF26" i="1"/>
  <c r="AW164" i="1"/>
  <c r="AY165" i="1" s="1"/>
  <c r="AZ164" i="1"/>
  <c r="BA164" i="1"/>
  <c r="BA27" i="1"/>
  <c r="AW27" i="1"/>
  <c r="AY28" i="1" s="1"/>
  <c r="AZ27" i="1"/>
  <c r="AW112" i="1"/>
  <c r="AY113" i="1" s="1"/>
  <c r="BA112" i="1"/>
  <c r="AZ112" i="1"/>
  <c r="AW41" i="1"/>
  <c r="BA41" i="1"/>
  <c r="AZ41" i="1"/>
  <c r="BA157" i="1"/>
  <c r="AW157" i="1"/>
  <c r="AY158" i="1" s="1"/>
  <c r="AZ157" i="1"/>
  <c r="BB157" i="1" s="1"/>
  <c r="BE157" i="1" s="1"/>
  <c r="BC26" i="1"/>
  <c r="AQ150" i="1"/>
  <c r="BE150" i="1" s="1"/>
  <c r="AQ81" i="1"/>
  <c r="BE81" i="1" s="1"/>
  <c r="AL82" i="1"/>
  <c r="AO82" i="1"/>
  <c r="AP82" i="1"/>
  <c r="AQ103" i="1"/>
  <c r="BE103" i="1" s="1"/>
  <c r="AQ76" i="1"/>
  <c r="BE76" i="1" s="1"/>
  <c r="AL77" i="1"/>
  <c r="AN78" i="1" s="1"/>
  <c r="AO77" i="1"/>
  <c r="AP77" i="1"/>
  <c r="AQ62" i="1"/>
  <c r="BE62" i="1" s="1"/>
  <c r="AP151" i="1"/>
  <c r="AO151" i="1"/>
  <c r="AQ151" i="1" s="1"/>
  <c r="BE151" i="1" s="1"/>
  <c r="AL151" i="1"/>
  <c r="AP123" i="1"/>
  <c r="AO123" i="1"/>
  <c r="AL123" i="1"/>
  <c r="AN124" i="1" s="1"/>
  <c r="AO132" i="1"/>
  <c r="AL132" i="1"/>
  <c r="AP132" i="1"/>
  <c r="AP88" i="1"/>
  <c r="AO88" i="1"/>
  <c r="AQ88" i="1" s="1"/>
  <c r="BE88" i="1" s="1"/>
  <c r="AL88" i="1"/>
  <c r="AN89" i="1" s="1"/>
  <c r="AQ55" i="1"/>
  <c r="BE55" i="1" s="1"/>
  <c r="AO63" i="1"/>
  <c r="AL63" i="1"/>
  <c r="AN64" i="1" s="1"/>
  <c r="AP63" i="1"/>
  <c r="AP56" i="1"/>
  <c r="AO56" i="1"/>
  <c r="AL56" i="1"/>
  <c r="AN57" i="1" s="1"/>
  <c r="BB44" i="1"/>
  <c r="BE44" i="1" s="1"/>
  <c r="AR38" i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W52" i="1"/>
  <c r="AY53" i="1" s="1"/>
  <c r="BA52" i="1"/>
  <c r="BB52" i="1" s="1"/>
  <c r="BE52" i="1" s="1"/>
  <c r="BB84" i="1"/>
  <c r="BE84" i="1" s="1"/>
  <c r="BE38" i="1"/>
  <c r="BB92" i="1"/>
  <c r="BE92" i="1" s="1"/>
  <c r="AQ118" i="1"/>
  <c r="BA93" i="1"/>
  <c r="AZ93" i="1"/>
  <c r="BB93" i="1" s="1"/>
  <c r="BE93" i="1" s="1"/>
  <c r="AW93" i="1"/>
  <c r="AY94" i="1" s="1"/>
  <c r="BB47" i="1"/>
  <c r="BE43" i="1"/>
  <c r="BB135" i="1"/>
  <c r="BE135" i="1" s="1"/>
  <c r="BB112" i="1" l="1"/>
  <c r="BE112" i="1" s="1"/>
  <c r="BB27" i="1"/>
  <c r="BE27" i="1" s="1"/>
  <c r="BB144" i="1"/>
  <c r="BE144" i="1" s="1"/>
  <c r="AW53" i="1"/>
  <c r="AZ53" i="1"/>
  <c r="BA53" i="1"/>
  <c r="BA28" i="1"/>
  <c r="AZ28" i="1"/>
  <c r="BB28" i="1" s="1"/>
  <c r="BE28" i="1" s="1"/>
  <c r="AW28" i="1"/>
  <c r="AY29" i="1" s="1"/>
  <c r="BC27" i="1"/>
  <c r="BB164" i="1"/>
  <c r="BE164" i="1" s="1"/>
  <c r="AW165" i="1"/>
  <c r="AY166" i="1" s="1"/>
  <c r="BA165" i="1"/>
  <c r="AZ165" i="1"/>
  <c r="BB165" i="1" s="1"/>
  <c r="BE165" i="1" s="1"/>
  <c r="BA158" i="1"/>
  <c r="AZ158" i="1"/>
  <c r="AW158" i="1"/>
  <c r="BF27" i="1"/>
  <c r="BB41" i="1"/>
  <c r="BE41" i="1" s="1"/>
  <c r="AZ145" i="1"/>
  <c r="AW145" i="1"/>
  <c r="AY146" i="1" s="1"/>
  <c r="BA145" i="1"/>
  <c r="AZ137" i="1"/>
  <c r="BA137" i="1"/>
  <c r="BB137" i="1" s="1"/>
  <c r="BE137" i="1" s="1"/>
  <c r="AW137" i="1"/>
  <c r="AY138" i="1" s="1"/>
  <c r="BA113" i="1"/>
  <c r="AW113" i="1"/>
  <c r="AY114" i="1" s="1"/>
  <c r="AZ113" i="1"/>
  <c r="BB113" i="1" s="1"/>
  <c r="BE113" i="1" s="1"/>
  <c r="AQ77" i="1"/>
  <c r="BE77" i="1" s="1"/>
  <c r="AR55" i="1"/>
  <c r="AQ123" i="1"/>
  <c r="BE123" i="1" s="1"/>
  <c r="AQ56" i="1"/>
  <c r="BE56" i="1" s="1"/>
  <c r="AP57" i="1"/>
  <c r="AL57" i="1"/>
  <c r="AO57" i="1"/>
  <c r="AQ57" i="1" s="1"/>
  <c r="BE57" i="1" s="1"/>
  <c r="AQ63" i="1"/>
  <c r="BE63" i="1" s="1"/>
  <c r="AO89" i="1"/>
  <c r="AP89" i="1"/>
  <c r="AL89" i="1"/>
  <c r="AN90" i="1" s="1"/>
  <c r="AQ132" i="1"/>
  <c r="BE132" i="1" s="1"/>
  <c r="AL64" i="1"/>
  <c r="AO64" i="1"/>
  <c r="AP64" i="1"/>
  <c r="AO78" i="1"/>
  <c r="AP78" i="1"/>
  <c r="AL78" i="1"/>
  <c r="AQ82" i="1"/>
  <c r="BE82" i="1" s="1"/>
  <c r="AP124" i="1"/>
  <c r="AL124" i="1"/>
  <c r="AO124" i="1"/>
  <c r="AQ124" i="1" s="1"/>
  <c r="BE124" i="1" s="1"/>
  <c r="BA94" i="1"/>
  <c r="AZ94" i="1"/>
  <c r="AW94" i="1"/>
  <c r="AY95" i="1" s="1"/>
  <c r="BE47" i="1"/>
  <c r="BE118" i="1"/>
  <c r="BC28" i="1" l="1"/>
  <c r="BB158" i="1"/>
  <c r="BE158" i="1" s="1"/>
  <c r="AW95" i="1"/>
  <c r="AY96" i="1" s="1"/>
  <c r="BA95" i="1"/>
  <c r="AZ95" i="1"/>
  <c r="BB95" i="1" s="1"/>
  <c r="BE95" i="1" s="1"/>
  <c r="AW114" i="1"/>
  <c r="AZ114" i="1"/>
  <c r="BA114" i="1"/>
  <c r="BA166" i="1"/>
  <c r="AZ166" i="1"/>
  <c r="BB166" i="1" s="1"/>
  <c r="BE166" i="1" s="1"/>
  <c r="AW166" i="1"/>
  <c r="AY167" i="1" s="1"/>
  <c r="BA138" i="1"/>
  <c r="AZ138" i="1"/>
  <c r="BB138" i="1" s="1"/>
  <c r="BE138" i="1" s="1"/>
  <c r="AW138" i="1"/>
  <c r="AY139" i="1" s="1"/>
  <c r="BA29" i="1"/>
  <c r="AW29" i="1"/>
  <c r="AY30" i="1" s="1"/>
  <c r="AZ29" i="1"/>
  <c r="AW146" i="1"/>
  <c r="AY147" i="1" s="1"/>
  <c r="AZ146" i="1"/>
  <c r="BA146" i="1"/>
  <c r="BB145" i="1"/>
  <c r="BE145" i="1" s="1"/>
  <c r="BB53" i="1"/>
  <c r="BE53" i="1" s="1"/>
  <c r="BF28" i="1"/>
  <c r="AQ89" i="1"/>
  <c r="BE89" i="1" s="1"/>
  <c r="AR56" i="1"/>
  <c r="AR57" i="1" s="1"/>
  <c r="AR58" i="1" s="1"/>
  <c r="AR59" i="1" s="1"/>
  <c r="AR60" i="1" s="1"/>
  <c r="AR61" i="1" s="1"/>
  <c r="AR62" i="1" s="1"/>
  <c r="AR63" i="1" s="1"/>
  <c r="AQ64" i="1"/>
  <c r="AQ78" i="1"/>
  <c r="BE78" i="1" s="1"/>
  <c r="AL90" i="1"/>
  <c r="AP90" i="1"/>
  <c r="AO90" i="1"/>
  <c r="BB94" i="1"/>
  <c r="AQ90" i="1" l="1"/>
  <c r="BE90" i="1" s="1"/>
  <c r="BB114" i="1"/>
  <c r="BE114" i="1" s="1"/>
  <c r="BB146" i="1"/>
  <c r="BE146" i="1" s="1"/>
  <c r="BA167" i="1"/>
  <c r="AZ167" i="1"/>
  <c r="BB167" i="1" s="1"/>
  <c r="BE167" i="1" s="1"/>
  <c r="AW167" i="1"/>
  <c r="AY168" i="1" s="1"/>
  <c r="AW139" i="1"/>
  <c r="AY140" i="1" s="1"/>
  <c r="AZ139" i="1"/>
  <c r="BA139" i="1"/>
  <c r="BA147" i="1"/>
  <c r="AW147" i="1"/>
  <c r="AY148" i="1" s="1"/>
  <c r="AZ147" i="1"/>
  <c r="BB147" i="1" s="1"/>
  <c r="BE147" i="1" s="1"/>
  <c r="BB29" i="1"/>
  <c r="BA30" i="1"/>
  <c r="AW30" i="1"/>
  <c r="AY31" i="1" s="1"/>
  <c r="AZ30" i="1"/>
  <c r="BA96" i="1"/>
  <c r="AW96" i="1"/>
  <c r="AZ96" i="1"/>
  <c r="BB96" i="1" s="1"/>
  <c r="BE96" i="1" s="1"/>
  <c r="AR64" i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9" i="1" s="1"/>
  <c r="BE64" i="1"/>
  <c r="AQ19" i="1"/>
  <c r="AQ14" i="1"/>
  <c r="AQ15" i="1"/>
  <c r="BE94" i="1"/>
  <c r="BB30" i="1" l="1"/>
  <c r="BE30" i="1" s="1"/>
  <c r="AW140" i="1"/>
  <c r="BA140" i="1"/>
  <c r="AZ140" i="1"/>
  <c r="BB140" i="1" s="1"/>
  <c r="BE140" i="1" s="1"/>
  <c r="AZ168" i="1"/>
  <c r="AW168" i="1"/>
  <c r="AY169" i="1" s="1"/>
  <c r="BA168" i="1"/>
  <c r="BB168" i="1" s="1"/>
  <c r="BE168" i="1" s="1"/>
  <c r="AW31" i="1"/>
  <c r="AY32" i="1" s="1"/>
  <c r="AZ31" i="1"/>
  <c r="BA31" i="1"/>
  <c r="BE29" i="1"/>
  <c r="BF29" i="1" s="1"/>
  <c r="BC29" i="1"/>
  <c r="BC30" i="1" s="1"/>
  <c r="BA148" i="1"/>
  <c r="AZ148" i="1"/>
  <c r="BB148" i="1" s="1"/>
  <c r="BE148" i="1" s="1"/>
  <c r="AW148" i="1"/>
  <c r="BB139" i="1"/>
  <c r="BE139" i="1" s="1"/>
  <c r="AQ16" i="1"/>
  <c r="AI1" i="1" s="1"/>
  <c r="BF30" i="1" l="1"/>
  <c r="BB31" i="1"/>
  <c r="AZ32" i="1"/>
  <c r="AW32" i="1"/>
  <c r="AY33" i="1" s="1"/>
  <c r="BA32" i="1"/>
  <c r="AW169" i="1"/>
  <c r="AY170" i="1" s="1"/>
  <c r="AZ169" i="1"/>
  <c r="BA169" i="1"/>
  <c r="BB169" i="1" l="1"/>
  <c r="BE169" i="1" s="1"/>
  <c r="AW170" i="1"/>
  <c r="AY171" i="1" s="1"/>
  <c r="BA170" i="1"/>
  <c r="AZ170" i="1"/>
  <c r="BB170" i="1" s="1"/>
  <c r="BE170" i="1" s="1"/>
  <c r="BA33" i="1"/>
  <c r="AW33" i="1"/>
  <c r="AY34" i="1" s="1"/>
  <c r="AZ33" i="1"/>
  <c r="BB32" i="1"/>
  <c r="BE32" i="1" s="1"/>
  <c r="BE31" i="1"/>
  <c r="BC31" i="1"/>
  <c r="BC32" i="1" l="1"/>
  <c r="BF31" i="1"/>
  <c r="BF32" i="1" s="1"/>
  <c r="BB33" i="1"/>
  <c r="AW34" i="1"/>
  <c r="AY35" i="1" s="1"/>
  <c r="AZ34" i="1"/>
  <c r="BA34" i="1"/>
  <c r="BA171" i="1"/>
  <c r="AW171" i="1"/>
  <c r="AY172" i="1" s="1"/>
  <c r="AZ171" i="1"/>
  <c r="BB171" i="1" s="1"/>
  <c r="BE171" i="1" s="1"/>
  <c r="AW172" i="1" l="1"/>
  <c r="AY173" i="1" s="1"/>
  <c r="BA172" i="1"/>
  <c r="AZ172" i="1"/>
  <c r="BB34" i="1"/>
  <c r="BE34" i="1" s="1"/>
  <c r="AZ35" i="1"/>
  <c r="AW35" i="1"/>
  <c r="BA35" i="1"/>
  <c r="BE33" i="1"/>
  <c r="BF33" i="1"/>
  <c r="BC33" i="1"/>
  <c r="BC34" i="1" s="1"/>
  <c r="BB35" i="1" l="1"/>
  <c r="BF34" i="1"/>
  <c r="BB172" i="1"/>
  <c r="BE172" i="1" s="1"/>
  <c r="AW173" i="1"/>
  <c r="AY174" i="1" s="1"/>
  <c r="BA173" i="1"/>
  <c r="AZ173" i="1"/>
  <c r="BB173" i="1" l="1"/>
  <c r="BE173" i="1" s="1"/>
  <c r="BA174" i="1"/>
  <c r="AW174" i="1"/>
  <c r="AY175" i="1" s="1"/>
  <c r="AZ174" i="1"/>
  <c r="BB174" i="1" s="1"/>
  <c r="BE174" i="1" s="1"/>
  <c r="BE35" i="1"/>
  <c r="BC35" i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A175" i="1" l="1"/>
  <c r="AW175" i="1"/>
  <c r="AY176" i="1" s="1"/>
  <c r="AZ175" i="1"/>
  <c r="BF35" i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B175" i="1" l="1"/>
  <c r="AW176" i="1"/>
  <c r="AY177" i="1" s="1"/>
  <c r="BA176" i="1"/>
  <c r="AZ176" i="1"/>
  <c r="BB176" i="1" s="1"/>
  <c r="BE176" i="1" s="1"/>
  <c r="BA177" i="1" l="1"/>
  <c r="AW177" i="1"/>
  <c r="AY178" i="1" s="1"/>
  <c r="AZ177" i="1"/>
  <c r="BE175" i="1"/>
  <c r="BC175" i="1"/>
  <c r="BC176" i="1" s="1"/>
  <c r="BE15" i="1" l="1"/>
  <c r="BE14" i="1"/>
  <c r="BF175" i="1"/>
  <c r="BF176" i="1" s="1"/>
  <c r="BB177" i="1"/>
  <c r="AZ178" i="1"/>
  <c r="BA178" i="1"/>
  <c r="AW178" i="1"/>
  <c r="AY179" i="1" s="1"/>
  <c r="BE16" i="1" l="1"/>
  <c r="BB178" i="1"/>
  <c r="BE178" i="1" s="1"/>
  <c r="AW179" i="1"/>
  <c r="AY180" i="1" s="1"/>
  <c r="BA179" i="1"/>
  <c r="AZ179" i="1"/>
  <c r="BB179" i="1" s="1"/>
  <c r="BE179" i="1" s="1"/>
  <c r="BE177" i="1"/>
  <c r="BF177" i="1"/>
  <c r="BF178" i="1" s="1"/>
  <c r="BF179" i="1" s="1"/>
  <c r="BC177" i="1"/>
  <c r="BC178" i="1" s="1"/>
  <c r="BC179" i="1" s="1"/>
  <c r="BA180" i="1" l="1"/>
  <c r="AZ180" i="1"/>
  <c r="AW180" i="1"/>
  <c r="AY181" i="1" s="1"/>
  <c r="BB180" i="1" l="1"/>
  <c r="BE180" i="1" s="1"/>
  <c r="BF180" i="1" s="1"/>
  <c r="BC180" i="1"/>
  <c r="BA181" i="1"/>
  <c r="AW181" i="1"/>
  <c r="AY182" i="1" s="1"/>
  <c r="AZ181" i="1"/>
  <c r="BB181" i="1" s="1"/>
  <c r="BE181" i="1" s="1"/>
  <c r="BC181" i="1"/>
  <c r="BF181" i="1" l="1"/>
  <c r="BA182" i="1"/>
  <c r="AZ182" i="1"/>
  <c r="BB182" i="1" s="1"/>
  <c r="BE182" i="1" s="1"/>
  <c r="BF182" i="1" s="1"/>
  <c r="AW182" i="1"/>
  <c r="AY183" i="1" s="1"/>
  <c r="BC182" i="1" l="1"/>
  <c r="AW183" i="1"/>
  <c r="AY184" i="1" s="1"/>
  <c r="AZ183" i="1"/>
  <c r="BA183" i="1"/>
  <c r="BB183" i="1" l="1"/>
  <c r="AZ184" i="1"/>
  <c r="AW184" i="1"/>
  <c r="AY185" i="1" s="1"/>
  <c r="BA184" i="1"/>
  <c r="BE183" i="1" l="1"/>
  <c r="BF183" i="1" s="1"/>
  <c r="BC183" i="1"/>
  <c r="AW185" i="1"/>
  <c r="AY186" i="1" s="1"/>
  <c r="AZ185" i="1"/>
  <c r="BA185" i="1"/>
  <c r="BB184" i="1"/>
  <c r="BE184" i="1" s="1"/>
  <c r="BB185" i="1" l="1"/>
  <c r="BE185" i="1" s="1"/>
  <c r="AW186" i="1"/>
  <c r="AZ186" i="1"/>
  <c r="BA186" i="1"/>
  <c r="BC184" i="1"/>
  <c r="BF184" i="1"/>
  <c r="BF185" i="1" l="1"/>
  <c r="BC185" i="1"/>
  <c r="BB186" i="1"/>
  <c r="BE186" i="1" l="1"/>
  <c r="BE18" i="1" s="1"/>
  <c r="BB14" i="1"/>
  <c r="BB19" i="1"/>
  <c r="BB15" i="1"/>
  <c r="BC186" i="1"/>
  <c r="BC19" i="1" s="1"/>
  <c r="BB16" i="1" l="1"/>
  <c r="AT1" i="1" s="1"/>
  <c r="BF186" i="1"/>
  <c r="BF18" i="1" s="1"/>
</calcChain>
</file>

<file path=xl/sharedStrings.xml><?xml version="1.0" encoding="utf-8"?>
<sst xmlns="http://schemas.openxmlformats.org/spreadsheetml/2006/main" count="74" uniqueCount="53">
  <si>
    <t>date</t>
  </si>
  <si>
    <t>XLE</t>
  </si>
  <si>
    <t>IYE</t>
  </si>
  <si>
    <t>XLE log rtn</t>
  </si>
  <si>
    <t>IYE log rtn</t>
  </si>
  <si>
    <t>XLE div</t>
  </si>
  <si>
    <t>XLE div cumsum</t>
  </si>
  <si>
    <t>IYE div</t>
  </si>
  <si>
    <t>IYE div cumsum</t>
  </si>
  <si>
    <t>XLE div adjustment</t>
  </si>
  <si>
    <t>IYE div adjustment</t>
  </si>
  <si>
    <t>XLE*</t>
  </si>
  <si>
    <t>IYE*</t>
  </si>
  <si>
    <t>IYE/XLE</t>
  </si>
  <si>
    <t>IYE/XLE avg</t>
  </si>
  <si>
    <t>IYE/XLE 10 dma</t>
  </si>
  <si>
    <t>IYE/XLE 20 dma</t>
  </si>
  <si>
    <t>XLE x avg</t>
  </si>
  <si>
    <t>XLE x 10 dma</t>
  </si>
  <si>
    <t>XLE x 20 dma</t>
  </si>
  <si>
    <t>log diff XLE x avg / IYE</t>
  </si>
  <si>
    <t>log diff XLE x 10 dma / IYE</t>
  </si>
  <si>
    <t>log diff XLE x 20 dma / IYE</t>
  </si>
  <si>
    <t>IYE*/XLE*</t>
  </si>
  <si>
    <t>IYE*/XLE* avg</t>
  </si>
  <si>
    <t>IYE*/XLE* 10 dma</t>
  </si>
  <si>
    <t>IYE*/XLE* 20 dma</t>
  </si>
  <si>
    <t>XLE* x avg</t>
  </si>
  <si>
    <t>XLE* x 10 dma</t>
  </si>
  <si>
    <t>XLE* x 20 dma</t>
  </si>
  <si>
    <t>log diff XLE* x avg / IYE*</t>
  </si>
  <si>
    <t>log diff XLE* x 10 dma / IYE*</t>
  </si>
  <si>
    <t>log diff XLE* x 20 dma / IYE*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</si>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</sst>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IYE/XLE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Sheet1!$O$2:$O$186</c:f>
              <c:numCache>
                <c:formatCode>_(* #,##0.0000_);_(* \(#,##0.0000\);_(* "-"??_);_(@_)</c:formatCode>
                <c:ptCount val="185"/>
                <c:pt idx="0">
                  <c:v>1.05905106792887</c:v>
                </c:pt>
                <c:pt idx="1">
                  <c:v>1.05905106792887</c:v>
                </c:pt>
                <c:pt idx="2">
                  <c:v>1.05905106792887</c:v>
                </c:pt>
                <c:pt idx="3">
                  <c:v>1.05905106792887</c:v>
                </c:pt>
                <c:pt idx="4">
                  <c:v>1.05905106792887</c:v>
                </c:pt>
                <c:pt idx="5">
                  <c:v>1.05905106792887</c:v>
                </c:pt>
                <c:pt idx="6">
                  <c:v>1.05905106792887</c:v>
                </c:pt>
                <c:pt idx="7">
                  <c:v>1.05905106792887</c:v>
                </c:pt>
                <c:pt idx="8">
                  <c:v>1.05905106792887</c:v>
                </c:pt>
                <c:pt idx="9">
                  <c:v>1.05905106792887</c:v>
                </c:pt>
                <c:pt idx="10">
                  <c:v>1.05905106792887</c:v>
                </c:pt>
                <c:pt idx="11">
                  <c:v>1.05905106792887</c:v>
                </c:pt>
                <c:pt idx="12">
                  <c:v>1.05905106792887</c:v>
                </c:pt>
                <c:pt idx="13">
                  <c:v>1.05905106792887</c:v>
                </c:pt>
                <c:pt idx="14">
                  <c:v>1.05905106792887</c:v>
                </c:pt>
                <c:pt idx="15">
                  <c:v>1.05905106792887</c:v>
                </c:pt>
                <c:pt idx="16">
                  <c:v>1.05905106792887</c:v>
                </c:pt>
                <c:pt idx="17">
                  <c:v>1.05905106792887</c:v>
                </c:pt>
                <c:pt idx="18">
                  <c:v>1.05905106792887</c:v>
                </c:pt>
                <c:pt idx="19">
                  <c:v>1.05905106792887</c:v>
                </c:pt>
                <c:pt idx="20">
                  <c:v>1.05905106792887</c:v>
                </c:pt>
                <c:pt idx="21">
                  <c:v>1.05905106792887</c:v>
                </c:pt>
                <c:pt idx="22">
                  <c:v>1.05905106792887</c:v>
                </c:pt>
                <c:pt idx="23">
                  <c:v>1.05905106792887</c:v>
                </c:pt>
                <c:pt idx="24">
                  <c:v>1.05905106792887</c:v>
                </c:pt>
                <c:pt idx="25">
                  <c:v>1.05905106792887</c:v>
                </c:pt>
                <c:pt idx="26">
                  <c:v>1.05905106792887</c:v>
                </c:pt>
                <c:pt idx="27">
                  <c:v>1.05905106792887</c:v>
                </c:pt>
                <c:pt idx="28">
                  <c:v>1.05905106792887</c:v>
                </c:pt>
                <c:pt idx="29">
                  <c:v>1.05905106792887</c:v>
                </c:pt>
                <c:pt idx="30">
                  <c:v>1.05905106792887</c:v>
                </c:pt>
                <c:pt idx="31">
                  <c:v>1.05905106792887</c:v>
                </c:pt>
                <c:pt idx="32">
                  <c:v>1.05905106792887</c:v>
                </c:pt>
                <c:pt idx="33">
                  <c:v>1.05905106792887</c:v>
                </c:pt>
                <c:pt idx="34">
                  <c:v>1.05905106792887</c:v>
                </c:pt>
                <c:pt idx="35">
                  <c:v>1.05905106792887</c:v>
                </c:pt>
                <c:pt idx="36">
                  <c:v>1.05905106792887</c:v>
                </c:pt>
                <c:pt idx="37">
                  <c:v>1.05905106792887</c:v>
                </c:pt>
                <c:pt idx="38">
                  <c:v>1.05905106792887</c:v>
                </c:pt>
                <c:pt idx="39">
                  <c:v>1.05905106792887</c:v>
                </c:pt>
                <c:pt idx="40">
                  <c:v>1.05905106792887</c:v>
                </c:pt>
                <c:pt idx="41">
                  <c:v>1.05905106792887</c:v>
                </c:pt>
                <c:pt idx="42">
                  <c:v>1.05905106792887</c:v>
                </c:pt>
                <c:pt idx="43">
                  <c:v>1.05905106792887</c:v>
                </c:pt>
                <c:pt idx="44">
                  <c:v>1.05905106792887</c:v>
                </c:pt>
                <c:pt idx="45">
                  <c:v>1.05905106792887</c:v>
                </c:pt>
                <c:pt idx="46">
                  <c:v>1.05905106792887</c:v>
                </c:pt>
                <c:pt idx="47">
                  <c:v>1.05905106792887</c:v>
                </c:pt>
                <c:pt idx="48">
                  <c:v>1.05905106792887</c:v>
                </c:pt>
                <c:pt idx="49">
                  <c:v>1.05905106792887</c:v>
                </c:pt>
                <c:pt idx="50">
                  <c:v>1.05905106792887</c:v>
                </c:pt>
                <c:pt idx="51">
                  <c:v>1.05905106792887</c:v>
                </c:pt>
                <c:pt idx="52">
                  <c:v>1.05905106792887</c:v>
                </c:pt>
                <c:pt idx="53">
                  <c:v>1.05905106792887</c:v>
                </c:pt>
                <c:pt idx="54">
                  <c:v>1.05905106792887</c:v>
                </c:pt>
                <c:pt idx="55">
                  <c:v>1.05905106792887</c:v>
                </c:pt>
                <c:pt idx="56">
                  <c:v>1.05905106792887</c:v>
                </c:pt>
                <c:pt idx="57">
                  <c:v>1.05905106792887</c:v>
                </c:pt>
                <c:pt idx="58">
                  <c:v>1.05905106792887</c:v>
                </c:pt>
                <c:pt idx="59">
                  <c:v>1.05905106792887</c:v>
                </c:pt>
                <c:pt idx="60">
                  <c:v>1.05905106792887</c:v>
                </c:pt>
                <c:pt idx="61">
                  <c:v>1.05905106792887</c:v>
                </c:pt>
                <c:pt idx="62">
                  <c:v>1.05905106792887</c:v>
                </c:pt>
                <c:pt idx="63">
                  <c:v>1.05905106792887</c:v>
                </c:pt>
                <c:pt idx="64">
                  <c:v>1.05905106792887</c:v>
                </c:pt>
                <c:pt idx="65">
                  <c:v>1.05905106792887</c:v>
                </c:pt>
                <c:pt idx="66">
                  <c:v>1.05905106792887</c:v>
                </c:pt>
                <c:pt idx="67">
                  <c:v>1.05905106792887</c:v>
                </c:pt>
                <c:pt idx="68">
                  <c:v>1.05905106792887</c:v>
                </c:pt>
                <c:pt idx="69">
                  <c:v>1.05905106792887</c:v>
                </c:pt>
                <c:pt idx="70">
                  <c:v>1.05905106792887</c:v>
                </c:pt>
                <c:pt idx="71">
                  <c:v>1.05905106792887</c:v>
                </c:pt>
                <c:pt idx="72">
                  <c:v>1.05905106792887</c:v>
                </c:pt>
                <c:pt idx="73">
                  <c:v>1.05905106792887</c:v>
                </c:pt>
                <c:pt idx="74">
                  <c:v>1.05905106792887</c:v>
                </c:pt>
                <c:pt idx="75">
                  <c:v>1.05905106792887</c:v>
                </c:pt>
                <c:pt idx="76">
                  <c:v>1.05905106792887</c:v>
                </c:pt>
                <c:pt idx="77">
                  <c:v>1.05905106792887</c:v>
                </c:pt>
                <c:pt idx="78">
                  <c:v>1.05905106792887</c:v>
                </c:pt>
                <c:pt idx="79">
                  <c:v>1.05905106792887</c:v>
                </c:pt>
                <c:pt idx="80">
                  <c:v>1.05905106792887</c:v>
                </c:pt>
                <c:pt idx="81">
                  <c:v>1.05905106792887</c:v>
                </c:pt>
                <c:pt idx="82">
                  <c:v>1.05905106792887</c:v>
                </c:pt>
                <c:pt idx="83">
                  <c:v>1.05905106792887</c:v>
                </c:pt>
                <c:pt idx="84">
                  <c:v>1.05905106792887</c:v>
                </c:pt>
                <c:pt idx="85">
                  <c:v>1.05905106792887</c:v>
                </c:pt>
                <c:pt idx="86">
                  <c:v>1.05905106792887</c:v>
                </c:pt>
                <c:pt idx="87">
                  <c:v>1.05905106792887</c:v>
                </c:pt>
                <c:pt idx="88">
                  <c:v>1.05905106792887</c:v>
                </c:pt>
                <c:pt idx="89">
                  <c:v>1.05905106792887</c:v>
                </c:pt>
                <c:pt idx="90">
                  <c:v>1.05905106792887</c:v>
                </c:pt>
                <c:pt idx="91">
                  <c:v>1.05905106792887</c:v>
                </c:pt>
                <c:pt idx="92">
                  <c:v>1.05905106792887</c:v>
                </c:pt>
                <c:pt idx="93">
                  <c:v>1.05905106792887</c:v>
                </c:pt>
                <c:pt idx="94">
                  <c:v>1.05905106792887</c:v>
                </c:pt>
                <c:pt idx="95">
                  <c:v>1.05905106792887</c:v>
                </c:pt>
                <c:pt idx="96">
                  <c:v>1.05905106792887</c:v>
                </c:pt>
                <c:pt idx="97">
                  <c:v>1.05905106792887</c:v>
                </c:pt>
                <c:pt idx="98">
                  <c:v>1.05905106792887</c:v>
                </c:pt>
                <c:pt idx="99">
                  <c:v>1.05905106792887</c:v>
                </c:pt>
                <c:pt idx="100">
                  <c:v>1.05905106792887</c:v>
                </c:pt>
                <c:pt idx="101">
                  <c:v>1.05905106792887</c:v>
                </c:pt>
                <c:pt idx="102">
                  <c:v>1.05905106792887</c:v>
                </c:pt>
                <c:pt idx="103">
                  <c:v>1.05905106792887</c:v>
                </c:pt>
                <c:pt idx="104">
                  <c:v>1.05905106792887</c:v>
                </c:pt>
                <c:pt idx="105">
                  <c:v>1.05905106792887</c:v>
                </c:pt>
                <c:pt idx="106">
                  <c:v>1.05905106792887</c:v>
                </c:pt>
                <c:pt idx="107">
                  <c:v>1.05905106792887</c:v>
                </c:pt>
                <c:pt idx="108">
                  <c:v>1.05905106792887</c:v>
                </c:pt>
                <c:pt idx="109">
                  <c:v>1.05905106792887</c:v>
                </c:pt>
                <c:pt idx="110">
                  <c:v>1.05905106792887</c:v>
                </c:pt>
                <c:pt idx="111">
                  <c:v>1.05905106792887</c:v>
                </c:pt>
                <c:pt idx="112">
                  <c:v>1.05905106792887</c:v>
                </c:pt>
                <c:pt idx="113">
                  <c:v>1.05905106792887</c:v>
                </c:pt>
                <c:pt idx="114">
                  <c:v>1.05905106792887</c:v>
                </c:pt>
                <c:pt idx="115">
                  <c:v>1.05905106792887</c:v>
                </c:pt>
                <c:pt idx="116">
                  <c:v>1.05905106792887</c:v>
                </c:pt>
                <c:pt idx="117">
                  <c:v>1.05905106792887</c:v>
                </c:pt>
                <c:pt idx="118">
                  <c:v>1.05905106792887</c:v>
                </c:pt>
                <c:pt idx="119">
                  <c:v>1.05905106792887</c:v>
                </c:pt>
                <c:pt idx="120">
                  <c:v>1.05905106792887</c:v>
                </c:pt>
                <c:pt idx="121">
                  <c:v>1.05905106792887</c:v>
                </c:pt>
                <c:pt idx="122">
                  <c:v>1.05905106792887</c:v>
                </c:pt>
                <c:pt idx="123">
                  <c:v>1.05905106792887</c:v>
                </c:pt>
                <c:pt idx="124">
                  <c:v>1.05905106792887</c:v>
                </c:pt>
                <c:pt idx="125">
                  <c:v>1.05905106792887</c:v>
                </c:pt>
                <c:pt idx="126">
                  <c:v>1.05905106792887</c:v>
                </c:pt>
                <c:pt idx="127">
                  <c:v>1.05905106792887</c:v>
                </c:pt>
                <c:pt idx="128">
                  <c:v>1.05905106792887</c:v>
                </c:pt>
                <c:pt idx="129">
                  <c:v>1.05905106792887</c:v>
                </c:pt>
                <c:pt idx="130">
                  <c:v>1.05905106792887</c:v>
                </c:pt>
                <c:pt idx="131">
                  <c:v>1.05905106792887</c:v>
                </c:pt>
                <c:pt idx="132">
                  <c:v>1.05905106792887</c:v>
                </c:pt>
                <c:pt idx="133">
                  <c:v>1.05905106792887</c:v>
                </c:pt>
                <c:pt idx="134">
                  <c:v>1.05905106792887</c:v>
                </c:pt>
                <c:pt idx="135">
                  <c:v>1.05905106792887</c:v>
                </c:pt>
                <c:pt idx="136">
                  <c:v>1.05905106792887</c:v>
                </c:pt>
                <c:pt idx="137">
                  <c:v>1.05905106792887</c:v>
                </c:pt>
                <c:pt idx="138">
                  <c:v>1.05905106792887</c:v>
                </c:pt>
                <c:pt idx="139">
                  <c:v>1.05905106792887</c:v>
                </c:pt>
                <c:pt idx="140">
                  <c:v>1.05905106792887</c:v>
                </c:pt>
                <c:pt idx="141">
                  <c:v>1.05905106792887</c:v>
                </c:pt>
                <c:pt idx="142">
                  <c:v>1.05905106792887</c:v>
                </c:pt>
                <c:pt idx="143">
                  <c:v>1.05905106792887</c:v>
                </c:pt>
                <c:pt idx="144">
                  <c:v>1.05905106792887</c:v>
                </c:pt>
                <c:pt idx="145">
                  <c:v>1.05905106792887</c:v>
                </c:pt>
                <c:pt idx="146">
                  <c:v>1.05905106792887</c:v>
                </c:pt>
                <c:pt idx="147">
                  <c:v>1.05905106792887</c:v>
                </c:pt>
                <c:pt idx="148">
                  <c:v>1.05905106792887</c:v>
                </c:pt>
                <c:pt idx="149">
                  <c:v>1.05905106792887</c:v>
                </c:pt>
                <c:pt idx="150">
                  <c:v>1.05905106792887</c:v>
                </c:pt>
                <c:pt idx="151">
                  <c:v>1.05905106792887</c:v>
                </c:pt>
                <c:pt idx="152">
                  <c:v>1.05905106792887</c:v>
                </c:pt>
                <c:pt idx="153">
                  <c:v>1.05905106792887</c:v>
                </c:pt>
                <c:pt idx="154">
                  <c:v>1.05905106792887</c:v>
                </c:pt>
                <c:pt idx="155">
                  <c:v>1.05905106792887</c:v>
                </c:pt>
                <c:pt idx="156">
                  <c:v>1.05905106792887</c:v>
                </c:pt>
                <c:pt idx="157">
                  <c:v>1.05905106792887</c:v>
                </c:pt>
                <c:pt idx="158">
                  <c:v>1.05905106792887</c:v>
                </c:pt>
                <c:pt idx="159">
                  <c:v>1.05905106792887</c:v>
                </c:pt>
                <c:pt idx="160">
                  <c:v>1.05905106792887</c:v>
                </c:pt>
                <c:pt idx="161">
                  <c:v>1.05905106792887</c:v>
                </c:pt>
                <c:pt idx="162">
                  <c:v>1.05905106792887</c:v>
                </c:pt>
                <c:pt idx="163">
                  <c:v>1.05905106792887</c:v>
                </c:pt>
                <c:pt idx="164">
                  <c:v>1.05905106792887</c:v>
                </c:pt>
                <c:pt idx="165">
                  <c:v>1.05905106792887</c:v>
                </c:pt>
                <c:pt idx="166">
                  <c:v>1.05905106792887</c:v>
                </c:pt>
                <c:pt idx="167">
                  <c:v>1.05905106792887</c:v>
                </c:pt>
                <c:pt idx="168">
                  <c:v>1.05905106792887</c:v>
                </c:pt>
                <c:pt idx="169">
                  <c:v>1.05905106792887</c:v>
                </c:pt>
                <c:pt idx="170">
                  <c:v>1.05905106792887</c:v>
                </c:pt>
                <c:pt idx="171">
                  <c:v>1.05905106792887</c:v>
                </c:pt>
                <c:pt idx="172">
                  <c:v>1.05905106792887</c:v>
                </c:pt>
                <c:pt idx="173">
                  <c:v>1.05905106792887</c:v>
                </c:pt>
                <c:pt idx="174">
                  <c:v>1.05905106792887</c:v>
                </c:pt>
                <c:pt idx="175">
                  <c:v>1.05905106792887</c:v>
                </c:pt>
                <c:pt idx="176">
                  <c:v>1.05905106792887</c:v>
                </c:pt>
                <c:pt idx="177">
                  <c:v>1.05905106792887</c:v>
                </c:pt>
                <c:pt idx="178">
                  <c:v>1.05905106792887</c:v>
                </c:pt>
                <c:pt idx="179">
                  <c:v>1.05905106792887</c:v>
                </c:pt>
                <c:pt idx="180">
                  <c:v>1.05905106792887</c:v>
                </c:pt>
                <c:pt idx="181">
                  <c:v>1.05905106792887</c:v>
                </c:pt>
                <c:pt idx="182">
                  <c:v>1.05905106792887</c:v>
                </c:pt>
                <c:pt idx="183">
                  <c:v>1.05905106792887</c:v>
                </c:pt>
                <c:pt idx="184">
                  <c:v>1.05905106792887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2-4AEC-8D5E-5931729B165D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IYE/XLE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Sheet1!$P$2:$P$186</c:f>
              <c:numCache>
                <c:formatCode>_(* #,##0.0000_);_(* \(#,##0.0000\);_(* "-"??_);_(@_)</c:formatCode>
                <c:ptCount val="185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1.0557981826942699</c:v>
                </c:pt>
                <c:pt idx="51">
                  <c:v>1.0553073904850001</c:v>
                </c:pt>
                <c:pt idx="52">
                  <c:v>1.0548977327954201</c:v>
                </c:pt>
                <c:pt idx="53">
                  <c:v>1.05452001385824</c:v>
                </c:pt>
                <c:pt idx="54">
                  <c:v>1.05472646571857</c:v>
                </c:pt>
                <c:pt idx="55">
                  <c:v>1.0548913279116601</c:v>
                </c:pt>
                <c:pt idx="56">
                  <c:v>1.05513318900047</c:v>
                </c:pt>
                <c:pt idx="57">
                  <c:v>1.05542069483143</c:v>
                </c:pt>
                <c:pt idx="58">
                  <c:v>1.0556411888763799</c:v>
                </c:pt>
                <c:pt idx="59">
                  <c:v>1.05572415510006</c:v>
                </c:pt>
                <c:pt idx="60">
                  <c:v>1.0564290497989901</c:v>
                </c:pt>
                <c:pt idx="61">
                  <c:v>1.05717873553744</c:v>
                </c:pt>
                <c:pt idx="62">
                  <c:v>1.05796486494024</c:v>
                </c:pt>
                <c:pt idx="63">
                  <c:v>1.0586528651915601</c:v>
                </c:pt>
                <c:pt idx="64">
                  <c:v>1.0587342820449599</c:v>
                </c:pt>
                <c:pt idx="65">
                  <c:v>1.0588965070193499</c:v>
                </c:pt>
                <c:pt idx="66">
                  <c:v>1.0590735534922999</c:v>
                </c:pt>
                <c:pt idx="67">
                  <c:v>1.0593686191809599</c:v>
                </c:pt>
                <c:pt idx="68">
                  <c:v>1.0596612186916601</c:v>
                </c:pt>
                <c:pt idx="69">
                  <c:v>1.05993534406067</c:v>
                </c:pt>
                <c:pt idx="70">
                  <c:v>1.0602673602430801</c:v>
                </c:pt>
                <c:pt idx="71">
                  <c:v>1.06048200587443</c:v>
                </c:pt>
                <c:pt idx="72">
                  <c:v>1.0604194555475099</c:v>
                </c:pt>
                <c:pt idx="73">
                  <c:v>1.0606073044514901</c:v>
                </c:pt>
                <c:pt idx="74">
                  <c:v>1.0607228872872101</c:v>
                </c:pt>
                <c:pt idx="75">
                  <c:v>1.06070750406398</c:v>
                </c:pt>
                <c:pt idx="76">
                  <c:v>1.0605693967830101</c:v>
                </c:pt>
                <c:pt idx="77">
                  <c:v>1.06047145898602</c:v>
                </c:pt>
                <c:pt idx="78">
                  <c:v>1.06050805832904</c:v>
                </c:pt>
                <c:pt idx="79">
                  <c:v>1.0606027043117201</c:v>
                </c:pt>
                <c:pt idx="80">
                  <c:v>1.0605549025835901</c:v>
                </c:pt>
                <c:pt idx="81">
                  <c:v>1.06039014095565</c:v>
                </c:pt>
                <c:pt idx="82">
                  <c:v>1.0605617291353699</c:v>
                </c:pt>
                <c:pt idx="83">
                  <c:v>1.0605543849335799</c:v>
                </c:pt>
                <c:pt idx="84">
                  <c:v>1.06062741882834</c:v>
                </c:pt>
                <c:pt idx="85">
                  <c:v>1.06084190445876</c:v>
                </c:pt>
                <c:pt idx="86">
                  <c:v>1.06105866834845</c:v>
                </c:pt>
                <c:pt idx="87">
                  <c:v>1.06109596087268</c:v>
                </c:pt>
                <c:pt idx="88">
                  <c:v>1.06100047293721</c:v>
                </c:pt>
                <c:pt idx="89">
                  <c:v>1.06091104265883</c:v>
                </c:pt>
                <c:pt idx="90">
                  <c:v>1.06091832094685</c:v>
                </c:pt>
                <c:pt idx="91">
                  <c:v>1.06096016136519</c:v>
                </c:pt>
                <c:pt idx="92">
                  <c:v>1.0607308675084</c:v>
                </c:pt>
                <c:pt idx="93">
                  <c:v>1.06041271883378</c:v>
                </c:pt>
                <c:pt idx="94">
                  <c:v>1.0598862718152999</c:v>
                </c:pt>
                <c:pt idx="95">
                  <c:v>1.0594600557735201</c:v>
                </c:pt>
                <c:pt idx="96">
                  <c:v>1.05929755654997</c:v>
                </c:pt>
                <c:pt idx="97">
                  <c:v>1.0590779127977099</c:v>
                </c:pt>
                <c:pt idx="98">
                  <c:v>1.05914506154164</c:v>
                </c:pt>
                <c:pt idx="99">
                  <c:v>1.0591885037004301</c:v>
                </c:pt>
                <c:pt idx="100">
                  <c:v>1.05933063531202</c:v>
                </c:pt>
                <c:pt idx="101">
                  <c:v>1.05962727376545</c:v>
                </c:pt>
                <c:pt idx="102">
                  <c:v>1.0599182501617801</c:v>
                </c:pt>
                <c:pt idx="103">
                  <c:v>1.0603354388696999</c:v>
                </c:pt>
                <c:pt idx="104">
                  <c:v>1.06099015818036</c:v>
                </c:pt>
                <c:pt idx="105">
                  <c:v>1.0613835261444999</c:v>
                </c:pt>
                <c:pt idx="106">
                  <c:v>1.0613100985755499</c:v>
                </c:pt>
                <c:pt idx="107">
                  <c:v>1.0613239024044701</c:v>
                </c:pt>
                <c:pt idx="108">
                  <c:v>1.0611290054892</c:v>
                </c:pt>
                <c:pt idx="109">
                  <c:v>1.0609469360500201</c:v>
                </c:pt>
                <c:pt idx="110">
                  <c:v>1.0607535228638501</c:v>
                </c:pt>
                <c:pt idx="111">
                  <c:v>1.06042430741185</c:v>
                </c:pt>
                <c:pt idx="112">
                  <c:v>1.0597559473821301</c:v>
                </c:pt>
                <c:pt idx="113">
                  <c:v>1.05898190598623</c:v>
                </c:pt>
                <c:pt idx="114">
                  <c:v>1.05829147797819</c:v>
                </c:pt>
                <c:pt idx="115">
                  <c:v>1.05765803134378</c:v>
                </c:pt>
                <c:pt idx="116">
                  <c:v>1.05814653222981</c:v>
                </c:pt>
                <c:pt idx="117">
                  <c:v>1.05850931042287</c:v>
                </c:pt>
                <c:pt idx="118">
                  <c:v>1.05881976628257</c:v>
                </c:pt>
                <c:pt idx="119">
                  <c:v>1.0592699966647801</c:v>
                </c:pt>
                <c:pt idx="120">
                  <c:v>1.0595779690364899</c:v>
                </c:pt>
                <c:pt idx="121">
                  <c:v>1.0599275457714601</c:v>
                </c:pt>
                <c:pt idx="122">
                  <c:v>1.0609354296515401</c:v>
                </c:pt>
                <c:pt idx="123">
                  <c:v>1.0620879519722599</c:v>
                </c:pt>
                <c:pt idx="124">
                  <c:v>1.0631601602209</c:v>
                </c:pt>
                <c:pt idx="125">
                  <c:v>1.0642437432129299</c:v>
                </c:pt>
                <c:pt idx="126">
                  <c:v>1.06435862424366</c:v>
                </c:pt>
                <c:pt idx="127">
                  <c:v>1.0644464452832001</c:v>
                </c:pt>
                <c:pt idx="128">
                  <c:v>1.0645961435473099</c:v>
                </c:pt>
                <c:pt idx="129">
                  <c:v>1.0646825403418101</c:v>
                </c:pt>
                <c:pt idx="130">
                  <c:v>1.06462604060709</c:v>
                </c:pt>
                <c:pt idx="131">
                  <c:v>1.06453259111652</c:v>
                </c:pt>
                <c:pt idx="132">
                  <c:v>1.0642102412765599</c:v>
                </c:pt>
                <c:pt idx="133">
                  <c:v>1.0637763150574</c:v>
                </c:pt>
                <c:pt idx="134">
                  <c:v>1.0633327906505601</c:v>
                </c:pt>
                <c:pt idx="135">
                  <c:v>1.0628659532302001</c:v>
                </c:pt>
                <c:pt idx="136">
                  <c:v>1.0626228765574099</c:v>
                </c:pt>
                <c:pt idx="137">
                  <c:v>1.06260950887317</c:v>
                </c:pt>
                <c:pt idx="138">
                  <c:v>1.06270864221369</c:v>
                </c:pt>
                <c:pt idx="139">
                  <c:v>1.0625742276193999</c:v>
                </c:pt>
                <c:pt idx="140">
                  <c:v>1.06265855585519</c:v>
                </c:pt>
                <c:pt idx="141">
                  <c:v>1.06255668346195</c:v>
                </c:pt>
                <c:pt idx="142">
                  <c:v>1.06244765208487</c:v>
                </c:pt>
                <c:pt idx="143">
                  <c:v>1.0623977517190299</c:v>
                </c:pt>
                <c:pt idx="144">
                  <c:v>1.06223697876981</c:v>
                </c:pt>
                <c:pt idx="145">
                  <c:v>1.06230048182883</c:v>
                </c:pt>
                <c:pt idx="146">
                  <c:v>1.0623837728068499</c:v>
                </c:pt>
                <c:pt idx="147">
                  <c:v>1.0623478314825201</c:v>
                </c:pt>
                <c:pt idx="148">
                  <c:v>1.06231189734791</c:v>
                </c:pt>
                <c:pt idx="149">
                  <c:v>1.06254256403402</c:v>
                </c:pt>
                <c:pt idx="150">
                  <c:v>1.0625678821851201</c:v>
                </c:pt>
                <c:pt idx="151">
                  <c:v>1.0625744077541099</c:v>
                </c:pt>
                <c:pt idx="152">
                  <c:v>1.0626306404930499</c:v>
                </c:pt>
                <c:pt idx="153">
                  <c:v>1.0626007968577</c:v>
                </c:pt>
                <c:pt idx="154">
                  <c:v>1.0626294291956699</c:v>
                </c:pt>
                <c:pt idx="155">
                  <c:v>1.0622503342365099</c:v>
                </c:pt>
                <c:pt idx="156">
                  <c:v>1.0615768218523001</c:v>
                </c:pt>
                <c:pt idx="157">
                  <c:v>1.0611303639009799</c:v>
                </c:pt>
                <c:pt idx="158">
                  <c:v>1.0605336138942401</c:v>
                </c:pt>
                <c:pt idx="159">
                  <c:v>1.05989203763648</c:v>
                </c:pt>
                <c:pt idx="160">
                  <c:v>1.0594238099316999</c:v>
                </c:pt>
                <c:pt idx="161">
                  <c:v>1.0591992505336201</c:v>
                </c:pt>
                <c:pt idx="162">
                  <c:v>1.0588204549898099</c:v>
                </c:pt>
                <c:pt idx="163">
                  <c:v>1.05858809877341</c:v>
                </c:pt>
                <c:pt idx="164">
                  <c:v>1.0582265156778701</c:v>
                </c:pt>
                <c:pt idx="165">
                  <c:v>1.05802146482214</c:v>
                </c:pt>
                <c:pt idx="166">
                  <c:v>1.0581416838926401</c:v>
                </c:pt>
                <c:pt idx="167">
                  <c:v>1.0579900793488</c:v>
                </c:pt>
                <c:pt idx="168">
                  <c:v>1.0579422558740099</c:v>
                </c:pt>
                <c:pt idx="169">
                  <c:v>1.0578258796687201</c:v>
                </c:pt>
                <c:pt idx="170">
                  <c:v>1.0575366684043199</c:v>
                </c:pt>
                <c:pt idx="171">
                  <c:v>1.0571352091499999</c:v>
                </c:pt>
                <c:pt idx="172">
                  <c:v>1.0570043569124501</c:v>
                </c:pt>
                <c:pt idx="173">
                  <c:v>1.05681009288658</c:v>
                </c:pt>
                <c:pt idx="174">
                  <c:v>1.0567707801039901</c:v>
                </c:pt>
                <c:pt idx="175">
                  <c:v>1.05613100182985</c:v>
                </c:pt>
                <c:pt idx="176">
                  <c:v>1.0552143571477799</c:v>
                </c:pt>
                <c:pt idx="177">
                  <c:v>1.0544315378165701</c:v>
                </c:pt>
                <c:pt idx="178">
                  <c:v>1.0533865833560601</c:v>
                </c:pt>
                <c:pt idx="179">
                  <c:v>1.0530690426339</c:v>
                </c:pt>
                <c:pt idx="180">
                  <c:v>1.0529341279098701</c:v>
                </c:pt>
                <c:pt idx="181">
                  <c:v>1.0528572606304301</c:v>
                </c:pt>
                <c:pt idx="182">
                  <c:v>1.05257300513582</c:v>
                </c:pt>
                <c:pt idx="183">
                  <c:v>1.0523072580181201</c:v>
                </c:pt>
                <c:pt idx="184">
                  <c:v>1.0519166746022499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2-4AEC-8D5E-5931729B165D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IYE/XLE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Sheet1!$Q$2:$Q$186</c:f>
              <c:numCache>
                <c:formatCode>_(* #,##0.0000_);_(* \(#,##0.0000\);_(* "-"??_);_(@_)</c:formatCode>
                <c:ptCount val="185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1.0562773077810099</c:v>
                </c:pt>
                <c:pt idx="51">
                  <c:v>1.05601384201872</c:v>
                </c:pt>
                <c:pt idx="52">
                  <c:v>1.05582382434561</c:v>
                </c:pt>
                <c:pt idx="53">
                  <c:v>1.05554841159362</c:v>
                </c:pt>
                <c:pt idx="54">
                  <c:v>1.05562800942789</c:v>
                </c:pt>
                <c:pt idx="55">
                  <c:v>1.0556844903227101</c:v>
                </c:pt>
                <c:pt idx="56">
                  <c:v>1.0558513397347999</c:v>
                </c:pt>
                <c:pt idx="57">
                  <c:v>1.0559525126843201</c:v>
                </c:pt>
                <c:pt idx="58">
                  <c:v>1.0560541375850701</c:v>
                </c:pt>
                <c:pt idx="59">
                  <c:v>1.05606194133486</c:v>
                </c:pt>
                <c:pt idx="60">
                  <c:v>1.05611361624663</c:v>
                </c:pt>
                <c:pt idx="61">
                  <c:v>1.0562430630112201</c:v>
                </c:pt>
                <c:pt idx="62">
                  <c:v>1.0564312988678299</c:v>
                </c:pt>
                <c:pt idx="63">
                  <c:v>1.0565864395249001</c:v>
                </c:pt>
                <c:pt idx="64">
                  <c:v>1.0567303738817699</c:v>
                </c:pt>
                <c:pt idx="65">
                  <c:v>1.0568939174655001</c:v>
                </c:pt>
                <c:pt idx="66">
                  <c:v>1.05710337124639</c:v>
                </c:pt>
                <c:pt idx="67">
                  <c:v>1.0573946570061901</c:v>
                </c:pt>
                <c:pt idx="68">
                  <c:v>1.05765120378402</c:v>
                </c:pt>
                <c:pt idx="69">
                  <c:v>1.0578297495803699</c:v>
                </c:pt>
                <c:pt idx="70">
                  <c:v>1.05834820502104</c:v>
                </c:pt>
                <c:pt idx="71">
                  <c:v>1.0588303707059299</c:v>
                </c:pt>
                <c:pt idx="72">
                  <c:v>1.0591921602438701</c:v>
                </c:pt>
                <c:pt idx="73">
                  <c:v>1.0596300848215301</c:v>
                </c:pt>
                <c:pt idx="74">
                  <c:v>1.05972858466609</c:v>
                </c:pt>
                <c:pt idx="75">
                  <c:v>1.0598020055416599</c:v>
                </c:pt>
                <c:pt idx="76">
                  <c:v>1.05982147513765</c:v>
                </c:pt>
                <c:pt idx="77">
                  <c:v>1.05992003908349</c:v>
                </c:pt>
                <c:pt idx="78">
                  <c:v>1.06008463851035</c:v>
                </c:pt>
                <c:pt idx="79">
                  <c:v>1.0602690241862001</c:v>
                </c:pt>
                <c:pt idx="80">
                  <c:v>1.06041113141333</c:v>
                </c:pt>
                <c:pt idx="81">
                  <c:v>1.06043607341504</c:v>
                </c:pt>
                <c:pt idx="82">
                  <c:v>1.0604905923414401</c:v>
                </c:pt>
                <c:pt idx="83">
                  <c:v>1.06058084469253</c:v>
                </c:pt>
                <c:pt idx="84">
                  <c:v>1.06067515305778</c:v>
                </c:pt>
                <c:pt idx="85">
                  <c:v>1.06077470426137</c:v>
                </c:pt>
                <c:pt idx="86">
                  <c:v>1.06081403256573</c:v>
                </c:pt>
                <c:pt idx="87">
                  <c:v>1.06078370992935</c:v>
                </c:pt>
                <c:pt idx="88">
                  <c:v>1.0607542656331299</c:v>
                </c:pt>
                <c:pt idx="89">
                  <c:v>1.0607568734852799</c:v>
                </c:pt>
                <c:pt idx="90">
                  <c:v>1.0607366117652199</c:v>
                </c:pt>
                <c:pt idx="91">
                  <c:v>1.06067515116042</c:v>
                </c:pt>
                <c:pt idx="92">
                  <c:v>1.0606462983218801</c:v>
                </c:pt>
                <c:pt idx="93">
                  <c:v>1.0604835518836799</c:v>
                </c:pt>
                <c:pt idx="94">
                  <c:v>1.06025684532182</c:v>
                </c:pt>
                <c:pt idx="95">
                  <c:v>1.06015098011614</c:v>
                </c:pt>
                <c:pt idx="96">
                  <c:v>1.06017811244921</c:v>
                </c:pt>
                <c:pt idx="97">
                  <c:v>1.06008693683519</c:v>
                </c:pt>
                <c:pt idx="98">
                  <c:v>1.0600727672394299</c:v>
                </c:pt>
                <c:pt idx="99">
                  <c:v>1.0600497731796299</c:v>
                </c:pt>
                <c:pt idx="100">
                  <c:v>1.0601244781294401</c:v>
                </c:pt>
                <c:pt idx="101">
                  <c:v>1.06029371756532</c:v>
                </c:pt>
                <c:pt idx="102">
                  <c:v>1.06032455883509</c:v>
                </c:pt>
                <c:pt idx="103">
                  <c:v>1.06037407885174</c:v>
                </c:pt>
                <c:pt idx="104">
                  <c:v>1.06043821499783</c:v>
                </c:pt>
                <c:pt idx="105">
                  <c:v>1.0604217909590099</c:v>
                </c:pt>
                <c:pt idx="106">
                  <c:v>1.0603038275627601</c:v>
                </c:pt>
                <c:pt idx="107">
                  <c:v>1.0602009076010901</c:v>
                </c:pt>
                <c:pt idx="108">
                  <c:v>1.0601370335154201</c:v>
                </c:pt>
                <c:pt idx="109">
                  <c:v>1.06006771987522</c:v>
                </c:pt>
                <c:pt idx="110">
                  <c:v>1.0600420790879399</c:v>
                </c:pt>
                <c:pt idx="111">
                  <c:v>1.0600257905886501</c:v>
                </c:pt>
                <c:pt idx="112">
                  <c:v>1.0598370987719501</c:v>
                </c:pt>
                <c:pt idx="113">
                  <c:v>1.05965867242796</c:v>
                </c:pt>
                <c:pt idx="114">
                  <c:v>1.05964081807928</c:v>
                </c:pt>
                <c:pt idx="115">
                  <c:v>1.0595207787441401</c:v>
                </c:pt>
                <c:pt idx="116">
                  <c:v>1.05972831540268</c:v>
                </c:pt>
                <c:pt idx="117">
                  <c:v>1.05991660641367</c:v>
                </c:pt>
                <c:pt idx="118">
                  <c:v>1.0599743858858901</c:v>
                </c:pt>
                <c:pt idx="119">
                  <c:v>1.0601084663574001</c:v>
                </c:pt>
                <c:pt idx="120">
                  <c:v>1.0601657459501701</c:v>
                </c:pt>
                <c:pt idx="121">
                  <c:v>1.0601759265916499</c:v>
                </c:pt>
                <c:pt idx="122">
                  <c:v>1.0603456885168301</c:v>
                </c:pt>
                <c:pt idx="123">
                  <c:v>1.0605349289792401</c:v>
                </c:pt>
                <c:pt idx="124">
                  <c:v>1.0607258190995399</c:v>
                </c:pt>
                <c:pt idx="125">
                  <c:v>1.06095088727836</c:v>
                </c:pt>
                <c:pt idx="126">
                  <c:v>1.0612525782367399</c:v>
                </c:pt>
                <c:pt idx="127">
                  <c:v>1.06147787785303</c:v>
                </c:pt>
                <c:pt idx="128">
                  <c:v>1.06170795491494</c:v>
                </c:pt>
                <c:pt idx="129">
                  <c:v>1.0619762685032901</c:v>
                </c:pt>
                <c:pt idx="130">
                  <c:v>1.06210200482179</c:v>
                </c:pt>
                <c:pt idx="131">
                  <c:v>1.06223006844399</c:v>
                </c:pt>
                <c:pt idx="132">
                  <c:v>1.06257283546405</c:v>
                </c:pt>
                <c:pt idx="133">
                  <c:v>1.0629321335148301</c:v>
                </c:pt>
                <c:pt idx="134">
                  <c:v>1.06324647543573</c:v>
                </c:pt>
                <c:pt idx="135">
                  <c:v>1.06355484822157</c:v>
                </c:pt>
                <c:pt idx="136">
                  <c:v>1.06349075040053</c:v>
                </c:pt>
                <c:pt idx="137">
                  <c:v>1.06352797707819</c:v>
                </c:pt>
                <c:pt idx="138">
                  <c:v>1.0636523928805</c:v>
                </c:pt>
                <c:pt idx="139">
                  <c:v>1.0636283839806</c:v>
                </c:pt>
                <c:pt idx="140">
                  <c:v>1.06364229823114</c:v>
                </c:pt>
                <c:pt idx="141">
                  <c:v>1.0635446372892301</c:v>
                </c:pt>
                <c:pt idx="142">
                  <c:v>1.0633289466807201</c:v>
                </c:pt>
                <c:pt idx="143">
                  <c:v>1.0630870333882201</c:v>
                </c:pt>
                <c:pt idx="144">
                  <c:v>1.0627848847101899</c:v>
                </c:pt>
                <c:pt idx="145">
                  <c:v>1.06258321752952</c:v>
                </c:pt>
                <c:pt idx="146">
                  <c:v>1.06250332468213</c:v>
                </c:pt>
                <c:pt idx="147">
                  <c:v>1.0624786701778499</c:v>
                </c:pt>
                <c:pt idx="148">
                  <c:v>1.0625102697808</c:v>
                </c:pt>
                <c:pt idx="149">
                  <c:v>1.06255839582671</c:v>
                </c:pt>
                <c:pt idx="150">
                  <c:v>1.06261321902016</c:v>
                </c:pt>
                <c:pt idx="151">
                  <c:v>1.0625655456080301</c:v>
                </c:pt>
                <c:pt idx="152">
                  <c:v>1.06253914628896</c:v>
                </c:pt>
                <c:pt idx="153">
                  <c:v>1.0624992742883701</c:v>
                </c:pt>
                <c:pt idx="154">
                  <c:v>1.06243320398274</c:v>
                </c:pt>
                <c:pt idx="155">
                  <c:v>1.06227540803267</c:v>
                </c:pt>
                <c:pt idx="156">
                  <c:v>1.06198029732958</c:v>
                </c:pt>
                <c:pt idx="157">
                  <c:v>1.06173909769175</c:v>
                </c:pt>
                <c:pt idx="158">
                  <c:v>1.06142275562107</c:v>
                </c:pt>
                <c:pt idx="159">
                  <c:v>1.0612173008352499</c:v>
                </c:pt>
                <c:pt idx="160">
                  <c:v>1.0609958460584099</c:v>
                </c:pt>
                <c:pt idx="161">
                  <c:v>1.06088682914387</c:v>
                </c:pt>
                <c:pt idx="162">
                  <c:v>1.0607255477414299</c:v>
                </c:pt>
                <c:pt idx="163">
                  <c:v>1.06059444781556</c:v>
                </c:pt>
                <c:pt idx="164">
                  <c:v>1.06042797243677</c:v>
                </c:pt>
                <c:pt idx="165">
                  <c:v>1.06013589952932</c:v>
                </c:pt>
                <c:pt idx="166">
                  <c:v>1.05985925287247</c:v>
                </c:pt>
                <c:pt idx="167">
                  <c:v>1.0595602216248901</c:v>
                </c:pt>
                <c:pt idx="168">
                  <c:v>1.0592379348841201</c:v>
                </c:pt>
                <c:pt idx="169">
                  <c:v>1.0588589586526</c:v>
                </c:pt>
                <c:pt idx="170">
                  <c:v>1.0584802391680099</c:v>
                </c:pt>
                <c:pt idx="171">
                  <c:v>1.0581672298418101</c:v>
                </c:pt>
                <c:pt idx="172">
                  <c:v>1.05791240595113</c:v>
                </c:pt>
                <c:pt idx="173">
                  <c:v>1.0576990958300001</c:v>
                </c:pt>
                <c:pt idx="174">
                  <c:v>1.0574986478909301</c:v>
                </c:pt>
                <c:pt idx="175">
                  <c:v>1.057076233326</c:v>
                </c:pt>
                <c:pt idx="176">
                  <c:v>1.05667802052021</c:v>
                </c:pt>
                <c:pt idx="177">
                  <c:v>1.05621080858269</c:v>
                </c:pt>
                <c:pt idx="178">
                  <c:v>1.05566441961503</c:v>
                </c:pt>
                <c:pt idx="179">
                  <c:v>1.0554474611513101</c:v>
                </c:pt>
                <c:pt idx="180">
                  <c:v>1.0552353981570901</c:v>
                </c:pt>
                <c:pt idx="181">
                  <c:v>1.05499623489021</c:v>
                </c:pt>
                <c:pt idx="182">
                  <c:v>1.05478868102413</c:v>
                </c:pt>
                <c:pt idx="183">
                  <c:v>1.0545586754523499</c:v>
                </c:pt>
                <c:pt idx="184">
                  <c:v>1.05434372735312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2-4AEC-8D5E-5931729B1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XLE* x 10 dma / IYE*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Sheet1!$AF$2:$AF$186</c:f>
              <c:numCache>
                <c:formatCode>0.0000%</c:formatCode>
                <c:ptCount val="185"/>
                <c:pt idx="10">
                  <c:v>-1.3982188789256E-4</c:v>
                </c:pt>
                <c:pt idx="11">
                  <c:v>2.1062852829257001E-4</c:v>
                </c:pt>
                <c:pt idx="12">
                  <c:v>2.43150199942488E-4</c:v>
                </c:pt>
                <c:pt idx="13">
                  <c:v>5.9732528066115502E-4</c:v>
                </c:pt>
                <c:pt idx="14">
                  <c:v>5.0833015983181898E-4</c:v>
                </c:pt>
                <c:pt idx="15">
                  <c:v>4.9317700924003899E-4</c:v>
                </c:pt>
                <c:pt idx="16">
                  <c:v>4.2428996478992401E-4</c:v>
                </c:pt>
                <c:pt idx="17">
                  <c:v>2.2702054608750199E-4</c:v>
                </c:pt>
                <c:pt idx="18">
                  <c:v>3.1934390918656499E-4</c:v>
                </c:pt>
                <c:pt idx="19">
                  <c:v>1.51180965442101E-3</c:v>
                </c:pt>
                <c:pt idx="20">
                  <c:v>5.06489428024264E-5</c:v>
                </c:pt>
                <c:pt idx="21">
                  <c:v>1.28483643275847E-3</c:v>
                </c:pt>
                <c:pt idx="22">
                  <c:v>1.37225726725055E-3</c:v>
                </c:pt>
                <c:pt idx="23">
                  <c:v>8.80159253449712E-4</c:v>
                </c:pt>
                <c:pt idx="24">
                  <c:v>1.62534400524625E-3</c:v>
                </c:pt>
                <c:pt idx="25">
                  <c:v>7.4550673677768904E-4</c:v>
                </c:pt>
                <c:pt idx="26">
                  <c:v>3.7167258412520998E-4</c:v>
                </c:pt>
                <c:pt idx="27">
                  <c:v>1.11103608219066E-3</c:v>
                </c:pt>
                <c:pt idx="28">
                  <c:v>1.48275966911257E-3</c:v>
                </c:pt>
                <c:pt idx="29">
                  <c:v>5.2802816648407495E-4</c:v>
                </c:pt>
                <c:pt idx="30">
                  <c:v>2.0044694356285099E-4</c:v>
                </c:pt>
                <c:pt idx="31">
                  <c:v>-3.6288199406410502E-4</c:v>
                </c:pt>
                <c:pt idx="32">
                  <c:v>1.86294505152093E-4</c:v>
                </c:pt>
                <c:pt idx="33">
                  <c:v>-1.35191529687878E-3</c:v>
                </c:pt>
                <c:pt idx="34">
                  <c:v>-3.1564804236886501E-4</c:v>
                </c:pt>
                <c:pt idx="35">
                  <c:v>-9.7677743406065294E-4</c:v>
                </c:pt>
                <c:pt idx="36">
                  <c:v>9.4454623559598802E-4</c:v>
                </c:pt>
                <c:pt idx="37">
                  <c:v>1.3014628800263599E-4</c:v>
                </c:pt>
                <c:pt idx="38">
                  <c:v>4.81957503040465E-4</c:v>
                </c:pt>
                <c:pt idx="39">
                  <c:v>-2.4527740171561701E-4</c:v>
                </c:pt>
                <c:pt idx="40">
                  <c:v>4.9468818002777997E-4</c:v>
                </c:pt>
                <c:pt idx="41">
                  <c:v>1.5400469514392399E-4</c:v>
                </c:pt>
                <c:pt idx="42">
                  <c:v>5.9686218782064199E-5</c:v>
                </c:pt>
                <c:pt idx="43">
                  <c:v>5.0769942060782799E-4</c:v>
                </c:pt>
                <c:pt idx="44">
                  <c:v>1.0765641340620499E-4</c:v>
                </c:pt>
                <c:pt idx="45">
                  <c:v>-6.2892937073513104E-4</c:v>
                </c:pt>
                <c:pt idx="46">
                  <c:v>-1.9771672503477E-4</c:v>
                </c:pt>
                <c:pt idx="47">
                  <c:v>8.7774671965303096E-4</c:v>
                </c:pt>
                <c:pt idx="48">
                  <c:v>4.7823573369659602E-4</c:v>
                </c:pt>
                <c:pt idx="49">
                  <c:v>1.5440757509027801E-4</c:v>
                </c:pt>
                <c:pt idx="50">
                  <c:v>8.6141450946325198E-4</c:v>
                </c:pt>
                <c:pt idx="51">
                  <c:v>-5.7999849954400303E-4</c:v>
                </c:pt>
                <c:pt idx="52">
                  <c:v>-1.2973110783394599E-3</c:v>
                </c:pt>
                <c:pt idx="53">
                  <c:v>-1.08256260121822E-3</c:v>
                </c:pt>
                <c:pt idx="54">
                  <c:v>-1.81975824835187E-3</c:v>
                </c:pt>
                <c:pt idx="55">
                  <c:v>-1.92218837565107E-3</c:v>
                </c:pt>
                <c:pt idx="56">
                  <c:v>-2.01389418716519E-3</c:v>
                </c:pt>
                <c:pt idx="57">
                  <c:v>-1.2301228090609701E-3</c:v>
                </c:pt>
                <c:pt idx="58">
                  <c:v>-6.4318389332459797E-4</c:v>
                </c:pt>
                <c:pt idx="59">
                  <c:v>5.5853825272525405E-4</c:v>
                </c:pt>
                <c:pt idx="60">
                  <c:v>4.8266890346059801E-4</c:v>
                </c:pt>
                <c:pt idx="61">
                  <c:v>-1.1286340697157799E-3</c:v>
                </c:pt>
                <c:pt idx="62">
                  <c:v>-2.0856110409275398E-3</c:v>
                </c:pt>
                <c:pt idx="63">
                  <c:v>-7.8792202690243095E-4</c:v>
                </c:pt>
                <c:pt idx="64">
                  <c:v>-6.5051171065638302E-4</c:v>
                </c:pt>
                <c:pt idx="65">
                  <c:v>-1.6334797191176499E-3</c:v>
                </c:pt>
                <c:pt idx="66">
                  <c:v>-1.86730056802345E-3</c:v>
                </c:pt>
                <c:pt idx="67">
                  <c:v>-2.2585357360665899E-3</c:v>
                </c:pt>
                <c:pt idx="68">
                  <c:v>-1.64257202197271E-3</c:v>
                </c:pt>
                <c:pt idx="69">
                  <c:v>-2.0161921419967999E-4</c:v>
                </c:pt>
                <c:pt idx="70">
                  <c:v>-6.4283787760013595E-4</c:v>
                </c:pt>
                <c:pt idx="71">
                  <c:v>-1.0008796879671E-3</c:v>
                </c:pt>
                <c:pt idx="72">
                  <c:v>6.46677554439445E-4</c:v>
                </c:pt>
                <c:pt idx="73">
                  <c:v>-7.30940977111747E-4</c:v>
                </c:pt>
                <c:pt idx="74">
                  <c:v>1.0345624661343199E-4</c:v>
                </c:pt>
                <c:pt idx="75">
                  <c:v>3.8811561949776599E-4</c:v>
                </c:pt>
                <c:pt idx="76">
                  <c:v>1.1441783994035901E-3</c:v>
                </c:pt>
                <c:pt idx="77">
                  <c:v>7.5964533791006195E-5</c:v>
                </c:pt>
                <c:pt idx="78">
                  <c:v>-9.4693464924665001E-4</c:v>
                </c:pt>
                <c:pt idx="79">
                  <c:v>-2.9537118770157298E-4</c:v>
                </c:pt>
                <c:pt idx="80">
                  <c:v>4.3738652369766998E-4</c:v>
                </c:pt>
                <c:pt idx="81">
                  <c:v>8.2389621242206904E-4</c:v>
                </c:pt>
                <c:pt idx="82">
                  <c:v>-1.05770988642919E-3</c:v>
                </c:pt>
                <c:pt idx="83">
                  <c:v>-5.2757339578424103E-4</c:v>
                </c:pt>
                <c:pt idx="84">
                  <c:v>-6.3487918689348298E-4</c:v>
                </c:pt>
                <c:pt idx="85">
                  <c:v>-1.7227037220275401E-3</c:v>
                </c:pt>
                <c:pt idx="86">
                  <c:v>-7.7294924649731203E-4</c:v>
                </c:pt>
                <c:pt idx="87">
                  <c:v>1.8559501190401799E-4</c:v>
                </c:pt>
                <c:pt idx="88">
                  <c:v>5.4176453512329997E-4</c:v>
                </c:pt>
                <c:pt idx="89">
                  <c:v>1.0122247776130099E-3</c:v>
                </c:pt>
                <c:pt idx="90">
                  <c:v>6.5941246499090099E-4</c:v>
                </c:pt>
                <c:pt idx="91">
                  <c:v>7.7174399681530996E-4</c:v>
                </c:pt>
                <c:pt idx="92">
                  <c:v>1.6421070323375899E-3</c:v>
                </c:pt>
                <c:pt idx="93">
                  <c:v>2.6346282620705302E-3</c:v>
                </c:pt>
                <c:pt idx="94">
                  <c:v>4.2046144818251802E-3</c:v>
                </c:pt>
                <c:pt idx="95">
                  <c:v>1.59794912482034E-3</c:v>
                </c:pt>
                <c:pt idx="96">
                  <c:v>-5.4461065558601099E-4</c:v>
                </c:pt>
                <c:pt idx="97">
                  <c:v>5.9702147978850405E-4</c:v>
                </c:pt>
                <c:pt idx="98">
                  <c:v>-1.9948658397977099E-3</c:v>
                </c:pt>
                <c:pt idx="99">
                  <c:v>-1.1478195510052499E-3</c:v>
                </c:pt>
                <c:pt idx="100">
                  <c:v>-2.30524707355928E-3</c:v>
                </c:pt>
                <c:pt idx="101">
                  <c:v>-3.5202016520607098E-3</c:v>
                </c:pt>
                <c:pt idx="102">
                  <c:v>-2.3583029831205399E-3</c:v>
                </c:pt>
                <c:pt idx="103">
                  <c:v>-2.0674088571935702E-3</c:v>
                </c:pt>
                <c:pt idx="104">
                  <c:v>-2.0493312760161099E-3</c:v>
                </c:pt>
                <c:pt idx="105">
                  <c:v>-1.07153874686128E-3</c:v>
                </c:pt>
                <c:pt idx="106">
                  <c:v>1.9621913830124302E-3</c:v>
                </c:pt>
                <c:pt idx="107">
                  <c:v>2.3647220777747399E-3</c:v>
                </c:pt>
                <c:pt idx="108">
                  <c:v>1.9618637087540701E-3</c:v>
                </c:pt>
                <c:pt idx="109">
                  <c:v>2.44211081385152E-3</c:v>
                </c:pt>
                <c:pt idx="110">
                  <c:v>1.17705336092924E-3</c:v>
                </c:pt>
                <c:pt idx="111">
                  <c:v>9.2374506093556997E-4</c:v>
                </c:pt>
                <c:pt idx="112">
                  <c:v>-5.5190363430815599E-4</c:v>
                </c:pt>
                <c:pt idx="113">
                  <c:v>3.3741469199413503E-4</c:v>
                </c:pt>
                <c:pt idx="114">
                  <c:v>-1.09689731701684E-3</c:v>
                </c:pt>
                <c:pt idx="115">
                  <c:v>-1.48004664626213E-3</c:v>
                </c:pt>
                <c:pt idx="116">
                  <c:v>-4.0251924136716997E-3</c:v>
                </c:pt>
                <c:pt idx="117">
                  <c:v>-1.9122131398418901E-3</c:v>
                </c:pt>
                <c:pt idx="118">
                  <c:v>-1.49220806895637E-3</c:v>
                </c:pt>
                <c:pt idx="119">
                  <c:v>-1.8533382185762499E-3</c:v>
                </c:pt>
                <c:pt idx="120">
                  <c:v>-1.1802931456912E-3</c:v>
                </c:pt>
                <c:pt idx="121">
                  <c:v>-1.35235972062399E-3</c:v>
                </c:pt>
                <c:pt idx="122">
                  <c:v>-3.1413011524396E-3</c:v>
                </c:pt>
                <c:pt idx="123">
                  <c:v>-3.0656310809670799E-3</c:v>
                </c:pt>
                <c:pt idx="124">
                  <c:v>-2.9116735579063201E-3</c:v>
                </c:pt>
                <c:pt idx="125">
                  <c:v>-2.7169323291267901E-3</c:v>
                </c:pt>
                <c:pt idx="126">
                  <c:v>-1.0264993698761E-3</c:v>
                </c:pt>
                <c:pt idx="127">
                  <c:v>9.8631160707875502E-4</c:v>
                </c:pt>
                <c:pt idx="128">
                  <c:v>5.6489752140094799E-4</c:v>
                </c:pt>
                <c:pt idx="129">
                  <c:v>6.4749658457398103E-4</c:v>
                </c:pt>
                <c:pt idx="130">
                  <c:v>2.3216324251310598E-3</c:v>
                </c:pt>
                <c:pt idx="131">
                  <c:v>2.1539267750596502E-3</c:v>
                </c:pt>
                <c:pt idx="132">
                  <c:v>2.0986193841224998E-3</c:v>
                </c:pt>
                <c:pt idx="133">
                  <c:v>2.4959401657681799E-3</c:v>
                </c:pt>
                <c:pt idx="134">
                  <c:v>1.77178216063775E-3</c:v>
                </c:pt>
                <c:pt idx="135">
                  <c:v>1.29124935734999E-3</c:v>
                </c:pt>
                <c:pt idx="136">
                  <c:v>-3.7661307968002002E-5</c:v>
                </c:pt>
                <c:pt idx="137">
                  <c:v>-5.2008609201919501E-4</c:v>
                </c:pt>
                <c:pt idx="138">
                  <c:v>-2.0937190547721E-3</c:v>
                </c:pt>
                <c:pt idx="139">
                  <c:v>1.37153163619388E-4</c:v>
                </c:pt>
                <c:pt idx="140">
                  <c:v>-4.5413398865484702E-4</c:v>
                </c:pt>
                <c:pt idx="141">
                  <c:v>1.2635722332388201E-3</c:v>
                </c:pt>
                <c:pt idx="142">
                  <c:v>1.26766476343204E-3</c:v>
                </c:pt>
                <c:pt idx="143">
                  <c:v>1.30850362072594E-3</c:v>
                </c:pt>
                <c:pt idx="144">
                  <c:v>1.99019618094224E-3</c:v>
                </c:pt>
                <c:pt idx="145">
                  <c:v>-3.3762731340305802E-4</c:v>
                </c:pt>
                <c:pt idx="146">
                  <c:v>-1.35313681782876E-3</c:v>
                </c:pt>
                <c:pt idx="147">
                  <c:v>-4.0701075129460701E-4</c:v>
                </c:pt>
                <c:pt idx="148">
                  <c:v>-2.0024901742443399E-3</c:v>
                </c:pt>
                <c:pt idx="149">
                  <c:v>-2.4047493333591301E-3</c:v>
                </c:pt>
                <c:pt idx="150">
                  <c:v>-7.2206866810356702E-4</c:v>
                </c:pt>
                <c:pt idx="151">
                  <c:v>1.11675769292872E-3</c:v>
                </c:pt>
                <c:pt idx="152">
                  <c:v>7.5459338996541599E-4</c:v>
                </c:pt>
                <c:pt idx="153">
                  <c:v>1.7620241280752E-3</c:v>
                </c:pt>
                <c:pt idx="154">
                  <c:v>1.91129040526511E-3</c:v>
                </c:pt>
                <c:pt idx="155">
                  <c:v>3.6057714800690399E-3</c:v>
                </c:pt>
                <c:pt idx="156">
                  <c:v>4.9513421758158298E-3</c:v>
                </c:pt>
                <c:pt idx="157">
                  <c:v>3.0426888586799501E-3</c:v>
                </c:pt>
                <c:pt idx="158">
                  <c:v>2.47264734304417E-3</c:v>
                </c:pt>
                <c:pt idx="159">
                  <c:v>1.9630243257112E-3</c:v>
                </c:pt>
                <c:pt idx="160">
                  <c:v>1.1935173092112799E-3</c:v>
                </c:pt>
                <c:pt idx="161">
                  <c:v>2.7140154185955402E-4</c:v>
                </c:pt>
                <c:pt idx="162">
                  <c:v>1.1470967279065499E-3</c:v>
                </c:pt>
                <c:pt idx="163">
                  <c:v>3.62836355845681E-4</c:v>
                </c:pt>
                <c:pt idx="164">
                  <c:v>1.54299057931319E-3</c:v>
                </c:pt>
                <c:pt idx="165">
                  <c:v>1.3922533681066699E-3</c:v>
                </c:pt>
                <c:pt idx="166">
                  <c:v>-1.7436190966009399E-4</c:v>
                </c:pt>
                <c:pt idx="167">
                  <c:v>1.2350454680137399E-3</c:v>
                </c:pt>
                <c:pt idx="168">
                  <c:v>-3.9214934174114103E-5</c:v>
                </c:pt>
                <c:pt idx="169">
                  <c:v>6.1668433185726405E-4</c:v>
                </c:pt>
                <c:pt idx="170">
                  <c:v>1.9778938935263199E-3</c:v>
                </c:pt>
                <c:pt idx="171">
                  <c:v>2.28616449660996E-3</c:v>
                </c:pt>
                <c:pt idx="172">
                  <c:v>4.3408635840300902E-4</c:v>
                </c:pt>
                <c:pt idx="173">
                  <c:v>4.8322831905382599E-4</c:v>
                </c:pt>
                <c:pt idx="174">
                  <c:v>2.3398984094836299E-4</c:v>
                </c:pt>
                <c:pt idx="175">
                  <c:v>4.2198237364775401E-4</c:v>
                </c:pt>
                <c:pt idx="176">
                  <c:v>1.46098391846111E-3</c:v>
                </c:pt>
                <c:pt idx="177">
                  <c:v>1.2461158391991901E-3</c:v>
                </c:pt>
                <c:pt idx="178">
                  <c:v>2.4193414869013198E-3</c:v>
                </c:pt>
                <c:pt idx="179">
                  <c:v>1.61665322626739E-3</c:v>
                </c:pt>
                <c:pt idx="180">
                  <c:v>1.05794748380619E-3</c:v>
                </c:pt>
                <c:pt idx="181">
                  <c:v>9.6187110127570299E-4</c:v>
                </c:pt>
                <c:pt idx="182">
                  <c:v>1.3815789340481E-3</c:v>
                </c:pt>
                <c:pt idx="183">
                  <c:v>1.1099325565150299E-3</c:v>
                </c:pt>
                <c:pt idx="184">
                  <c:v>1.9776236954419501E-3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0-42EE-B47B-A872CB5408F4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XLE* x 20 dma / IYE*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Sheet1!$AG$2:$AG$186</c:f>
              <c:numCache>
                <c:formatCode>0.0000%</c:formatCode>
                <c:ptCount val="185"/>
                <c:pt idx="20">
                  <c:v>6.3019890609357495E-4</c:v>
                </c:pt>
                <c:pt idx="21">
                  <c:v>1.7640406318320801E-3</c:v>
                </c:pt>
                <c:pt idx="22">
                  <c:v>1.89061466201886E-3</c:v>
                </c:pt>
                <c:pt idx="23">
                  <c:v>1.3994902161839999E-3</c:v>
                </c:pt>
                <c:pt idx="24">
                  <c:v>2.10500498786569E-3</c:v>
                </c:pt>
                <c:pt idx="25">
                  <c:v>1.3045865065083599E-3</c:v>
                </c:pt>
                <c:pt idx="26">
                  <c:v>1.0006291648773E-3</c:v>
                </c:pt>
                <c:pt idx="27">
                  <c:v>1.77538956832815E-3</c:v>
                </c:pt>
                <c:pt idx="28">
                  <c:v>2.2391640221659198E-3</c:v>
                </c:pt>
                <c:pt idx="29">
                  <c:v>1.4447894549931401E-3</c:v>
                </c:pt>
                <c:pt idx="30">
                  <c:v>1.0636157526855801E-3</c:v>
                </c:pt>
                <c:pt idx="31">
                  <c:v>5.2664900167891798E-4</c:v>
                </c:pt>
                <c:pt idx="32">
                  <c:v>9.8067359370630704E-4</c:v>
                </c:pt>
                <c:pt idx="33">
                  <c:v>-6.4575143890585E-4</c:v>
                </c:pt>
                <c:pt idx="34">
                  <c:v>2.8334554817569402E-4</c:v>
                </c:pt>
                <c:pt idx="35">
                  <c:v>-5.1877813767597296E-4</c:v>
                </c:pt>
                <c:pt idx="36">
                  <c:v>1.29364593957422E-3</c:v>
                </c:pt>
                <c:pt idx="37">
                  <c:v>4.8251654076850501E-4</c:v>
                </c:pt>
                <c:pt idx="38">
                  <c:v>7.09856093884698E-4</c:v>
                </c:pt>
                <c:pt idx="39">
                  <c:v>-1.78415273966547E-4</c:v>
                </c:pt>
                <c:pt idx="40">
                  <c:v>4.8712974003022898E-4</c:v>
                </c:pt>
                <c:pt idx="41">
                  <c:v>6.65539674590836E-5</c:v>
                </c:pt>
                <c:pt idx="42">
                  <c:v>-1.7196403437130199E-5</c:v>
                </c:pt>
                <c:pt idx="43">
                  <c:v>3.9669508467890698E-4</c:v>
                </c:pt>
                <c:pt idx="44">
                  <c:v>1.19607085001913E-4</c:v>
                </c:pt>
                <c:pt idx="45">
                  <c:v>-5.5744813084627597E-4</c:v>
                </c:pt>
                <c:pt idx="46">
                  <c:v>-6.1320128444810901E-5</c:v>
                </c:pt>
                <c:pt idx="47">
                  <c:v>9.0714025575243298E-4</c:v>
                </c:pt>
                <c:pt idx="48">
                  <c:v>5.6174392682300004E-4</c:v>
                </c:pt>
                <c:pt idx="49">
                  <c:v>2.7331211167223499E-4</c:v>
                </c:pt>
                <c:pt idx="50">
                  <c:v>1.0441848124273399E-3</c:v>
                </c:pt>
                <c:pt idx="51">
                  <c:v>-3.74580368762627E-4</c:v>
                </c:pt>
                <c:pt idx="52">
                  <c:v>-1.12516564681653E-3</c:v>
                </c:pt>
                <c:pt idx="53">
                  <c:v>-9.4708113788423897E-4</c:v>
                </c:pt>
                <c:pt idx="54">
                  <c:v>-1.83218719063621E-3</c:v>
                </c:pt>
                <c:pt idx="55">
                  <c:v>-2.0546584867285498E-3</c:v>
                </c:pt>
                <c:pt idx="56">
                  <c:v>-2.2489016664489301E-3</c:v>
                </c:pt>
                <c:pt idx="57">
                  <c:v>-1.5360477754492001E-3</c:v>
                </c:pt>
                <c:pt idx="58">
                  <c:v>-1.1252957875950199E-3</c:v>
                </c:pt>
                <c:pt idx="59">
                  <c:v>-3.5915598614236397E-5</c:v>
                </c:pt>
                <c:pt idx="60">
                  <c:v>-1.82838068515962E-4</c:v>
                </c:pt>
                <c:pt idx="61">
                  <c:v>-1.9160358210549499E-3</c:v>
                </c:pt>
                <c:pt idx="62">
                  <c:v>-2.9629696556012801E-3</c:v>
                </c:pt>
                <c:pt idx="63">
                  <c:v>-1.7418129194737E-3</c:v>
                </c:pt>
                <c:pt idx="64">
                  <c:v>-1.61909359026735E-3</c:v>
                </c:pt>
                <c:pt idx="65">
                  <c:v>-2.5428823218313001E-3</c:v>
                </c:pt>
                <c:pt idx="66">
                  <c:v>-2.7753173856965001E-3</c:v>
                </c:pt>
                <c:pt idx="67">
                  <c:v>-3.1357736903663302E-3</c:v>
                </c:pt>
                <c:pt idx="68">
                  <c:v>-2.5231367650920501E-3</c:v>
                </c:pt>
                <c:pt idx="69">
                  <c:v>-1.1159941339686701E-3</c:v>
                </c:pt>
                <c:pt idx="70">
                  <c:v>-1.64723766135938E-3</c:v>
                </c:pt>
                <c:pt idx="71">
                  <c:v>-2.0764132748193101E-3</c:v>
                </c:pt>
                <c:pt idx="72">
                  <c:v>-4.2387475694604602E-4</c:v>
                </c:pt>
                <c:pt idx="73">
                  <c:v>-1.6448798358821E-3</c:v>
                </c:pt>
                <c:pt idx="74">
                  <c:v>-8.1834591016763001E-4</c:v>
                </c:pt>
                <c:pt idx="75">
                  <c:v>-5.4970607286603695E-4</c:v>
                </c:pt>
                <c:pt idx="76">
                  <c:v>2.9013971365462798E-4</c:v>
                </c:pt>
                <c:pt idx="77">
                  <c:v>-6.2949188585170301E-4</c:v>
                </c:pt>
                <c:pt idx="78">
                  <c:v>-1.4670460677886799E-3</c:v>
                </c:pt>
                <c:pt idx="79">
                  <c:v>-6.9471220679288804E-4</c:v>
                </c:pt>
                <c:pt idx="80">
                  <c:v>1.2272333705471699E-4</c:v>
                </c:pt>
                <c:pt idx="81">
                  <c:v>6.8832480942086403E-4</c:v>
                </c:pt>
                <c:pt idx="82">
                  <c:v>-1.0143942586921201E-3</c:v>
                </c:pt>
                <c:pt idx="83">
                  <c:v>-5.9465028326831197E-4</c:v>
                </c:pt>
                <c:pt idx="84">
                  <c:v>-6.0993050980176499E-4</c:v>
                </c:pt>
                <c:pt idx="85">
                  <c:v>-1.67769908188354E-3</c:v>
                </c:pt>
                <c:pt idx="86">
                  <c:v>-8.3629735297468296E-4</c:v>
                </c:pt>
                <c:pt idx="87">
                  <c:v>-4.4989776427545798E-5</c:v>
                </c:pt>
                <c:pt idx="88">
                  <c:v>2.47449122351121E-4</c:v>
                </c:pt>
                <c:pt idx="89">
                  <c:v>7.8014582831977301E-4</c:v>
                </c:pt>
                <c:pt idx="90">
                  <c:v>5.1408418561530399E-4</c:v>
                </c:pt>
                <c:pt idx="91">
                  <c:v>6.0045395405237002E-4</c:v>
                </c:pt>
                <c:pt idx="92">
                  <c:v>1.3734367242953099E-3</c:v>
                </c:pt>
                <c:pt idx="93">
                  <c:v>2.5548978040271001E-3</c:v>
                </c:pt>
                <c:pt idx="94">
                  <c:v>4.2714098747947604E-3</c:v>
                </c:pt>
                <c:pt idx="95">
                  <c:v>1.9475231769695699E-3</c:v>
                </c:pt>
                <c:pt idx="96">
                  <c:v>1.0732439796201E-4</c:v>
                </c:pt>
                <c:pt idx="97">
                  <c:v>1.4279401478174E-3</c:v>
                </c:pt>
                <c:pt idx="98">
                  <c:v>-1.04258115660121E-3</c:v>
                </c:pt>
                <c:pt idx="99">
                  <c:v>-2.7230241968632902E-4</c:v>
                </c:pt>
                <c:pt idx="100">
                  <c:v>-1.49243660668944E-3</c:v>
                </c:pt>
                <c:pt idx="101">
                  <c:v>-2.7711007633445298E-3</c:v>
                </c:pt>
                <c:pt idx="102">
                  <c:v>-1.7295589643070599E-3</c:v>
                </c:pt>
                <c:pt idx="103">
                  <c:v>-1.6841426797941899E-3</c:v>
                </c:pt>
                <c:pt idx="104">
                  <c:v>-2.0128906586436902E-3</c:v>
                </c:pt>
                <c:pt idx="105">
                  <c:v>-1.59188928234524E-3</c:v>
                </c:pt>
                <c:pt idx="106">
                  <c:v>1.0556659411173001E-3</c:v>
                </c:pt>
                <c:pt idx="107">
                  <c:v>1.4161318787304499E-3</c:v>
                </c:pt>
                <c:pt idx="108">
                  <c:v>9.031959967669E-4</c:v>
                </c:pt>
                <c:pt idx="109">
                  <c:v>1.5068466575879E-3</c:v>
                </c:pt>
                <c:pt idx="110">
                  <c:v>3.48000885786723E-4</c:v>
                </c:pt>
                <c:pt idx="111">
                  <c:v>2.5282344836199402E-4</c:v>
                </c:pt>
                <c:pt idx="112">
                  <c:v>-9.2778310279327005E-4</c:v>
                </c:pt>
                <c:pt idx="113">
                  <c:v>1.5154894975132901E-4</c:v>
                </c:pt>
                <c:pt idx="114">
                  <c:v>-9.8427811217635902E-4</c:v>
                </c:pt>
                <c:pt idx="115">
                  <c:v>-9.9969576949843902E-4</c:v>
                </c:pt>
                <c:pt idx="116">
                  <c:v>-3.3317257301995399E-3</c:v>
                </c:pt>
                <c:pt idx="117">
                  <c:v>-1.48387751030366E-3</c:v>
                </c:pt>
                <c:pt idx="118">
                  <c:v>-1.2284539470557899E-3</c:v>
                </c:pt>
                <c:pt idx="119">
                  <c:v>-1.8277593291183901E-3</c:v>
                </c:pt>
                <c:pt idx="120">
                  <c:v>-1.4525880166474799E-3</c:v>
                </c:pt>
                <c:pt idx="121">
                  <c:v>-1.8607621452753399E-3</c:v>
                </c:pt>
                <c:pt idx="122">
                  <c:v>-3.9692768600925197E-3</c:v>
                </c:pt>
                <c:pt idx="123">
                  <c:v>-4.1586096153880901E-3</c:v>
                </c:pt>
                <c:pt idx="124">
                  <c:v>-4.3854025936023201E-3</c:v>
                </c:pt>
                <c:pt idx="125">
                  <c:v>-4.4874546304297103E-3</c:v>
                </c:pt>
                <c:pt idx="126">
                  <c:v>-3.06323550799667E-3</c:v>
                </c:pt>
                <c:pt idx="127">
                  <c:v>-8.7434805235578903E-4</c:v>
                </c:pt>
                <c:pt idx="128">
                  <c:v>-1.16622134056126E-3</c:v>
                </c:pt>
                <c:pt idx="129">
                  <c:v>-1.0077490276283699E-3</c:v>
                </c:pt>
                <c:pt idx="130">
                  <c:v>8.3765445727925197E-4</c:v>
                </c:pt>
                <c:pt idx="131">
                  <c:v>8.4128329226715098E-4</c:v>
                </c:pt>
                <c:pt idx="132">
                  <c:v>9.9419709465347304E-4</c:v>
                </c:pt>
                <c:pt idx="133">
                  <c:v>1.7550823500446699E-3</c:v>
                </c:pt>
                <c:pt idx="134">
                  <c:v>1.5141046906750201E-3</c:v>
                </c:pt>
                <c:pt idx="135">
                  <c:v>1.48035704533059E-3</c:v>
                </c:pt>
                <c:pt idx="136">
                  <c:v>6.1027725150768295E-4</c:v>
                </c:pt>
                <c:pt idx="137">
                  <c:v>2.9630855437040799E-4</c:v>
                </c:pt>
                <c:pt idx="138">
                  <c:v>-1.2297408142182701E-3</c:v>
                </c:pt>
                <c:pt idx="139">
                  <c:v>1.0248206040997E-3</c:v>
                </c:pt>
                <c:pt idx="140">
                  <c:v>5.3745208299191705E-4</c:v>
                </c:pt>
                <c:pt idx="141">
                  <c:v>2.1888810334974198E-3</c:v>
                </c:pt>
                <c:pt idx="142">
                  <c:v>2.1970220699240499E-3</c:v>
                </c:pt>
                <c:pt idx="143">
                  <c:v>2.1376543855291101E-3</c:v>
                </c:pt>
                <c:pt idx="144">
                  <c:v>2.6387839273016699E-3</c:v>
                </c:pt>
                <c:pt idx="145">
                  <c:v>1.7804357161968899E-4</c:v>
                </c:pt>
                <c:pt idx="146">
                  <c:v>-1.0870180627711599E-3</c:v>
                </c:pt>
                <c:pt idx="147">
                  <c:v>-2.9448536061056402E-4</c:v>
                </c:pt>
                <c:pt idx="148">
                  <c:v>-1.8793378176751401E-3</c:v>
                </c:pt>
                <c:pt idx="149">
                  <c:v>-2.2180302407822901E-3</c:v>
                </c:pt>
                <c:pt idx="150">
                  <c:v>-7.0716886523717205E-4</c:v>
                </c:pt>
                <c:pt idx="151">
                  <c:v>1.1594240191192E-3</c:v>
                </c:pt>
                <c:pt idx="152">
                  <c:v>7.4625309589256396E-4</c:v>
                </c:pt>
                <c:pt idx="153">
                  <c:v>1.67591881572264E-3</c:v>
                </c:pt>
                <c:pt idx="154">
                  <c:v>1.81574425118904E-3</c:v>
                </c:pt>
                <c:pt idx="155">
                  <c:v>3.4210943694509802E-3</c:v>
                </c:pt>
                <c:pt idx="156">
                  <c:v>4.9749463107642798E-3</c:v>
                </c:pt>
                <c:pt idx="157">
                  <c:v>3.4226885097240999E-3</c:v>
                </c:pt>
                <c:pt idx="158">
                  <c:v>3.0461482751271501E-3</c:v>
                </c:pt>
                <c:pt idx="159">
                  <c:v>2.80106396841892E-3</c:v>
                </c:pt>
                <c:pt idx="160">
                  <c:v>2.4431118936885802E-3</c:v>
                </c:pt>
                <c:pt idx="161">
                  <c:v>1.75416124962717E-3</c:v>
                </c:pt>
                <c:pt idx="162">
                  <c:v>2.7390877162350499E-3</c:v>
                </c:pt>
                <c:pt idx="163">
                  <c:v>2.1604791172650101E-3</c:v>
                </c:pt>
                <c:pt idx="164">
                  <c:v>3.4365033820094502E-3</c:v>
                </c:pt>
                <c:pt idx="165">
                  <c:v>3.47041907520927E-3</c:v>
                </c:pt>
                <c:pt idx="166">
                  <c:v>1.82212375765118E-3</c:v>
                </c:pt>
                <c:pt idx="167">
                  <c:v>2.8569232741301001E-3</c:v>
                </c:pt>
                <c:pt idx="168">
                  <c:v>1.4437652463920199E-3</c:v>
                </c:pt>
                <c:pt idx="169">
                  <c:v>1.84065116994154E-3</c:v>
                </c:pt>
                <c:pt idx="170">
                  <c:v>2.9540232134969602E-3</c:v>
                </c:pt>
                <c:pt idx="171">
                  <c:v>3.1780012516546201E-3</c:v>
                </c:pt>
                <c:pt idx="172">
                  <c:v>1.4098529955253599E-3</c:v>
                </c:pt>
                <c:pt idx="173">
                  <c:v>1.3419373807259201E-3</c:v>
                </c:pt>
                <c:pt idx="174">
                  <c:v>1.0748497440780901E-3</c:v>
                </c:pt>
                <c:pt idx="175">
                  <c:v>1.1105112868134901E-3</c:v>
                </c:pt>
                <c:pt idx="176">
                  <c:v>2.0728810888478401E-3</c:v>
                </c:pt>
                <c:pt idx="177">
                  <c:v>2.05791935032072E-3</c:v>
                </c:pt>
                <c:pt idx="178">
                  <c:v>3.2411834622336402E-3</c:v>
                </c:pt>
                <c:pt idx="179">
                  <c:v>2.6211050005479799E-3</c:v>
                </c:pt>
                <c:pt idx="180">
                  <c:v>2.1578942948870302E-3</c:v>
                </c:pt>
                <c:pt idx="181">
                  <c:v>1.9889353106134302E-3</c:v>
                </c:pt>
                <c:pt idx="182">
                  <c:v>2.2550713346336602E-3</c:v>
                </c:pt>
                <c:pt idx="183">
                  <c:v>2.0562965836302301E-3</c:v>
                </c:pt>
                <c:pt idx="184">
                  <c:v>2.95807998310942E-3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0-42EE-B47B-A872CB540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IYE*/XLE*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Sheet1!$Y$2:$Y$186</c:f>
              <c:numCache>
                <c:formatCode>_(* #,##0.0000_);_(* \(#,##0.0000\);_(* "-"??_);_(@_)</c:formatCode>
                <c:ptCount val="185"/>
                <c:pt idx="0">
                  <c:v>1.0594170994200001</c:v>
                </c:pt>
                <c:pt idx="1">
                  <c:v>1.0594170994200001</c:v>
                </c:pt>
                <c:pt idx="2">
                  <c:v>1.0594170994200001</c:v>
                </c:pt>
                <c:pt idx="3">
                  <c:v>1.0594170994200001</c:v>
                </c:pt>
                <c:pt idx="4">
                  <c:v>1.0594170994200001</c:v>
                </c:pt>
                <c:pt idx="5">
                  <c:v>1.0594170994200001</c:v>
                </c:pt>
                <c:pt idx="6">
                  <c:v>1.0594170994200001</c:v>
                </c:pt>
                <c:pt idx="7">
                  <c:v>1.0594170994200001</c:v>
                </c:pt>
                <c:pt idx="8">
                  <c:v>1.0594170994200001</c:v>
                </c:pt>
                <c:pt idx="9">
                  <c:v>1.0594170994200001</c:v>
                </c:pt>
                <c:pt idx="10">
                  <c:v>1.0594170994200001</c:v>
                </c:pt>
                <c:pt idx="11">
                  <c:v>1.0594170994200001</c:v>
                </c:pt>
                <c:pt idx="12">
                  <c:v>1.0594170994200001</c:v>
                </c:pt>
                <c:pt idx="13">
                  <c:v>1.0594170994200001</c:v>
                </c:pt>
                <c:pt idx="14">
                  <c:v>1.0594170994200001</c:v>
                </c:pt>
                <c:pt idx="15">
                  <c:v>1.0594170994200001</c:v>
                </c:pt>
                <c:pt idx="16">
                  <c:v>1.0594170994200001</c:v>
                </c:pt>
                <c:pt idx="17">
                  <c:v>1.0594170994200001</c:v>
                </c:pt>
                <c:pt idx="18">
                  <c:v>1.0594170994200001</c:v>
                </c:pt>
                <c:pt idx="19">
                  <c:v>1.0594170994200001</c:v>
                </c:pt>
                <c:pt idx="20">
                  <c:v>1.0594170994200001</c:v>
                </c:pt>
                <c:pt idx="21">
                  <c:v>1.0594170994200001</c:v>
                </c:pt>
                <c:pt idx="22">
                  <c:v>1.0594170994200001</c:v>
                </c:pt>
                <c:pt idx="23">
                  <c:v>1.0594170994200001</c:v>
                </c:pt>
                <c:pt idx="24">
                  <c:v>1.0594170994200001</c:v>
                </c:pt>
                <c:pt idx="25">
                  <c:v>1.0594170994200001</c:v>
                </c:pt>
                <c:pt idx="26">
                  <c:v>1.0594170994200001</c:v>
                </c:pt>
                <c:pt idx="27">
                  <c:v>1.0594170994200001</c:v>
                </c:pt>
                <c:pt idx="28">
                  <c:v>1.0594170994200001</c:v>
                </c:pt>
                <c:pt idx="29">
                  <c:v>1.0594170994200001</c:v>
                </c:pt>
                <c:pt idx="30">
                  <c:v>1.0594170994200001</c:v>
                </c:pt>
                <c:pt idx="31">
                  <c:v>1.0594170994200001</c:v>
                </c:pt>
                <c:pt idx="32">
                  <c:v>1.0594170994200001</c:v>
                </c:pt>
                <c:pt idx="33">
                  <c:v>1.0594170994200001</c:v>
                </c:pt>
                <c:pt idx="34">
                  <c:v>1.0594170994200001</c:v>
                </c:pt>
                <c:pt idx="35">
                  <c:v>1.0594170994200001</c:v>
                </c:pt>
                <c:pt idx="36">
                  <c:v>1.0594170994200001</c:v>
                </c:pt>
                <c:pt idx="37">
                  <c:v>1.0594170994200001</c:v>
                </c:pt>
                <c:pt idx="38">
                  <c:v>1.0594170994200001</c:v>
                </c:pt>
                <c:pt idx="39">
                  <c:v>1.0594170994200001</c:v>
                </c:pt>
                <c:pt idx="40">
                  <c:v>1.0594170994200001</c:v>
                </c:pt>
                <c:pt idx="41">
                  <c:v>1.0594170994200001</c:v>
                </c:pt>
                <c:pt idx="42">
                  <c:v>1.0594170994200001</c:v>
                </c:pt>
                <c:pt idx="43">
                  <c:v>1.0594170994200001</c:v>
                </c:pt>
                <c:pt idx="44">
                  <c:v>1.0594170994200001</c:v>
                </c:pt>
                <c:pt idx="45">
                  <c:v>1.0594170994200001</c:v>
                </c:pt>
                <c:pt idx="46">
                  <c:v>1.0594170994200001</c:v>
                </c:pt>
                <c:pt idx="47">
                  <c:v>1.0594170994200001</c:v>
                </c:pt>
                <c:pt idx="48">
                  <c:v>1.0594170994200001</c:v>
                </c:pt>
                <c:pt idx="49">
                  <c:v>1.0594170994200001</c:v>
                </c:pt>
                <c:pt idx="50">
                  <c:v>1.0594170994200001</c:v>
                </c:pt>
                <c:pt idx="51">
                  <c:v>1.0594170994200001</c:v>
                </c:pt>
                <c:pt idx="52">
                  <c:v>1.0594170994200001</c:v>
                </c:pt>
                <c:pt idx="53">
                  <c:v>1.0594170994200001</c:v>
                </c:pt>
                <c:pt idx="54">
                  <c:v>1.0594170994200001</c:v>
                </c:pt>
                <c:pt idx="55">
                  <c:v>1.0594170994200001</c:v>
                </c:pt>
                <c:pt idx="56">
                  <c:v>1.0594170994200001</c:v>
                </c:pt>
                <c:pt idx="57">
                  <c:v>1.0594170994200001</c:v>
                </c:pt>
                <c:pt idx="58">
                  <c:v>1.0594170994200001</c:v>
                </c:pt>
                <c:pt idx="59">
                  <c:v>1.0594170994200001</c:v>
                </c:pt>
                <c:pt idx="60">
                  <c:v>1.0594170994200001</c:v>
                </c:pt>
                <c:pt idx="61">
                  <c:v>1.0594170994200001</c:v>
                </c:pt>
                <c:pt idx="62">
                  <c:v>1.0594170994200001</c:v>
                </c:pt>
                <c:pt idx="63">
                  <c:v>1.0594170994200001</c:v>
                </c:pt>
                <c:pt idx="64">
                  <c:v>1.0594170994200001</c:v>
                </c:pt>
                <c:pt idx="65">
                  <c:v>1.0594170994200001</c:v>
                </c:pt>
                <c:pt idx="66">
                  <c:v>1.0594170994200001</c:v>
                </c:pt>
                <c:pt idx="67">
                  <c:v>1.0594170994200001</c:v>
                </c:pt>
                <c:pt idx="68">
                  <c:v>1.0594170994200001</c:v>
                </c:pt>
                <c:pt idx="69">
                  <c:v>1.0594170994200001</c:v>
                </c:pt>
                <c:pt idx="70">
                  <c:v>1.0594170994200001</c:v>
                </c:pt>
                <c:pt idx="71">
                  <c:v>1.0594170994200001</c:v>
                </c:pt>
                <c:pt idx="72">
                  <c:v>1.0594170994200001</c:v>
                </c:pt>
                <c:pt idx="73">
                  <c:v>1.0594170994200001</c:v>
                </c:pt>
                <c:pt idx="74">
                  <c:v>1.0594170994200001</c:v>
                </c:pt>
                <c:pt idx="75">
                  <c:v>1.0594170994200001</c:v>
                </c:pt>
                <c:pt idx="76">
                  <c:v>1.0594170994200001</c:v>
                </c:pt>
                <c:pt idx="77">
                  <c:v>1.0594170994200001</c:v>
                </c:pt>
                <c:pt idx="78">
                  <c:v>1.0594170994200001</c:v>
                </c:pt>
                <c:pt idx="79">
                  <c:v>1.0594170994200001</c:v>
                </c:pt>
                <c:pt idx="80">
                  <c:v>1.0594170994200001</c:v>
                </c:pt>
                <c:pt idx="81">
                  <c:v>1.0594170994200001</c:v>
                </c:pt>
                <c:pt idx="82">
                  <c:v>1.0594170994200001</c:v>
                </c:pt>
                <c:pt idx="83">
                  <c:v>1.0594170994200001</c:v>
                </c:pt>
                <c:pt idx="84">
                  <c:v>1.0594170994200001</c:v>
                </c:pt>
                <c:pt idx="85">
                  <c:v>1.0594170994200001</c:v>
                </c:pt>
                <c:pt idx="86">
                  <c:v>1.0594170994200001</c:v>
                </c:pt>
                <c:pt idx="87">
                  <c:v>1.0594170994200001</c:v>
                </c:pt>
                <c:pt idx="88">
                  <c:v>1.0594170994200001</c:v>
                </c:pt>
                <c:pt idx="89">
                  <c:v>1.0594170994200001</c:v>
                </c:pt>
                <c:pt idx="90">
                  <c:v>1.0594170994200001</c:v>
                </c:pt>
                <c:pt idx="91">
                  <c:v>1.0594170994200001</c:v>
                </c:pt>
                <c:pt idx="92">
                  <c:v>1.0594170994200001</c:v>
                </c:pt>
                <c:pt idx="93">
                  <c:v>1.0594170994200001</c:v>
                </c:pt>
                <c:pt idx="94">
                  <c:v>1.0594170994200001</c:v>
                </c:pt>
                <c:pt idx="95">
                  <c:v>1.0594170994200001</c:v>
                </c:pt>
                <c:pt idx="96">
                  <c:v>1.0594170994200001</c:v>
                </c:pt>
                <c:pt idx="97">
                  <c:v>1.0594170994200001</c:v>
                </c:pt>
                <c:pt idx="98">
                  <c:v>1.0594170994200001</c:v>
                </c:pt>
                <c:pt idx="99">
                  <c:v>1.0594170994200001</c:v>
                </c:pt>
                <c:pt idx="100">
                  <c:v>1.0594170994200001</c:v>
                </c:pt>
                <c:pt idx="101">
                  <c:v>1.0594170994200001</c:v>
                </c:pt>
                <c:pt idx="102">
                  <c:v>1.0594170994200001</c:v>
                </c:pt>
                <c:pt idx="103">
                  <c:v>1.0594170994200001</c:v>
                </c:pt>
                <c:pt idx="104">
                  <c:v>1.0594170994200001</c:v>
                </c:pt>
                <c:pt idx="105">
                  <c:v>1.0594170994200001</c:v>
                </c:pt>
                <c:pt idx="106">
                  <c:v>1.0594170994200001</c:v>
                </c:pt>
                <c:pt idx="107">
                  <c:v>1.0594170994200001</c:v>
                </c:pt>
                <c:pt idx="108">
                  <c:v>1.0594170994200001</c:v>
                </c:pt>
                <c:pt idx="109">
                  <c:v>1.0594170994200001</c:v>
                </c:pt>
                <c:pt idx="110">
                  <c:v>1.0594170994200001</c:v>
                </c:pt>
                <c:pt idx="111">
                  <c:v>1.0594170994200001</c:v>
                </c:pt>
                <c:pt idx="112">
                  <c:v>1.0594170994200001</c:v>
                </c:pt>
                <c:pt idx="113">
                  <c:v>1.0594170994200001</c:v>
                </c:pt>
                <c:pt idx="114">
                  <c:v>1.0594170994200001</c:v>
                </c:pt>
                <c:pt idx="115">
                  <c:v>1.0594170994200001</c:v>
                </c:pt>
                <c:pt idx="116">
                  <c:v>1.0594170994200001</c:v>
                </c:pt>
                <c:pt idx="117">
                  <c:v>1.0594170994200001</c:v>
                </c:pt>
                <c:pt idx="118">
                  <c:v>1.0594170994200001</c:v>
                </c:pt>
                <c:pt idx="119">
                  <c:v>1.0594170994200001</c:v>
                </c:pt>
                <c:pt idx="120">
                  <c:v>1.0594170994200001</c:v>
                </c:pt>
                <c:pt idx="121">
                  <c:v>1.0594170994200001</c:v>
                </c:pt>
                <c:pt idx="122">
                  <c:v>1.0594170994200001</c:v>
                </c:pt>
                <c:pt idx="123">
                  <c:v>1.0594170994200001</c:v>
                </c:pt>
                <c:pt idx="124">
                  <c:v>1.0594170994200001</c:v>
                </c:pt>
                <c:pt idx="125">
                  <c:v>1.0594170994200001</c:v>
                </c:pt>
                <c:pt idx="126">
                  <c:v>1.0594170994200001</c:v>
                </c:pt>
                <c:pt idx="127">
                  <c:v>1.0594170994200001</c:v>
                </c:pt>
                <c:pt idx="128">
                  <c:v>1.0594170994200001</c:v>
                </c:pt>
                <c:pt idx="129">
                  <c:v>1.0594170994200001</c:v>
                </c:pt>
                <c:pt idx="130">
                  <c:v>1.0594170994200001</c:v>
                </c:pt>
                <c:pt idx="131">
                  <c:v>1.0594170994200001</c:v>
                </c:pt>
                <c:pt idx="132">
                  <c:v>1.0594170994200001</c:v>
                </c:pt>
                <c:pt idx="133">
                  <c:v>1.0594170994200001</c:v>
                </c:pt>
                <c:pt idx="134">
                  <c:v>1.0594170994200001</c:v>
                </c:pt>
                <c:pt idx="135">
                  <c:v>1.0594170994200001</c:v>
                </c:pt>
                <c:pt idx="136">
                  <c:v>1.0594170994200001</c:v>
                </c:pt>
                <c:pt idx="137">
                  <c:v>1.0594170994200001</c:v>
                </c:pt>
                <c:pt idx="138">
                  <c:v>1.0594170994200001</c:v>
                </c:pt>
                <c:pt idx="139">
                  <c:v>1.0594170994200001</c:v>
                </c:pt>
                <c:pt idx="140">
                  <c:v>1.0594170994200001</c:v>
                </c:pt>
                <c:pt idx="141">
                  <c:v>1.0594170994200001</c:v>
                </c:pt>
                <c:pt idx="142">
                  <c:v>1.0594170994200001</c:v>
                </c:pt>
                <c:pt idx="143">
                  <c:v>1.0594170994200001</c:v>
                </c:pt>
                <c:pt idx="144">
                  <c:v>1.0594170994200001</c:v>
                </c:pt>
                <c:pt idx="145">
                  <c:v>1.0594170994200001</c:v>
                </c:pt>
                <c:pt idx="146">
                  <c:v>1.0594170994200001</c:v>
                </c:pt>
                <c:pt idx="147">
                  <c:v>1.0594170994200001</c:v>
                </c:pt>
                <c:pt idx="148">
                  <c:v>1.0594170994200001</c:v>
                </c:pt>
                <c:pt idx="149">
                  <c:v>1.0594170994200001</c:v>
                </c:pt>
                <c:pt idx="150">
                  <c:v>1.0594170994200001</c:v>
                </c:pt>
                <c:pt idx="151">
                  <c:v>1.0594170994200001</c:v>
                </c:pt>
                <c:pt idx="152">
                  <c:v>1.0594170994200001</c:v>
                </c:pt>
                <c:pt idx="153">
                  <c:v>1.0594170994200001</c:v>
                </c:pt>
                <c:pt idx="154">
                  <c:v>1.0594170994200001</c:v>
                </c:pt>
                <c:pt idx="155">
                  <c:v>1.0594170994200001</c:v>
                </c:pt>
                <c:pt idx="156">
                  <c:v>1.0594170994200001</c:v>
                </c:pt>
                <c:pt idx="157">
                  <c:v>1.0594170994200001</c:v>
                </c:pt>
                <c:pt idx="158">
                  <c:v>1.0594170994200001</c:v>
                </c:pt>
                <c:pt idx="159">
                  <c:v>1.0594170994200001</c:v>
                </c:pt>
                <c:pt idx="160">
                  <c:v>1.0594170994200001</c:v>
                </c:pt>
                <c:pt idx="161">
                  <c:v>1.0594170994200001</c:v>
                </c:pt>
                <c:pt idx="162">
                  <c:v>1.0594170994200001</c:v>
                </c:pt>
                <c:pt idx="163">
                  <c:v>1.0594170994200001</c:v>
                </c:pt>
                <c:pt idx="164">
                  <c:v>1.0594170994200001</c:v>
                </c:pt>
                <c:pt idx="165">
                  <c:v>1.0594170994200001</c:v>
                </c:pt>
                <c:pt idx="166">
                  <c:v>1.0594170994200001</c:v>
                </c:pt>
                <c:pt idx="167">
                  <c:v>1.0594170994200001</c:v>
                </c:pt>
                <c:pt idx="168">
                  <c:v>1.0594170994200001</c:v>
                </c:pt>
                <c:pt idx="169">
                  <c:v>1.0594170994200001</c:v>
                </c:pt>
                <c:pt idx="170">
                  <c:v>1.0594170994200001</c:v>
                </c:pt>
                <c:pt idx="171">
                  <c:v>1.0594170994200001</c:v>
                </c:pt>
                <c:pt idx="172">
                  <c:v>1.0594170994200001</c:v>
                </c:pt>
                <c:pt idx="173">
                  <c:v>1.0594170994200001</c:v>
                </c:pt>
                <c:pt idx="174">
                  <c:v>1.0594170994200001</c:v>
                </c:pt>
                <c:pt idx="175">
                  <c:v>1.0594170994200001</c:v>
                </c:pt>
                <c:pt idx="176">
                  <c:v>1.0594170994200001</c:v>
                </c:pt>
                <c:pt idx="177">
                  <c:v>1.0594170994200001</c:v>
                </c:pt>
                <c:pt idx="178">
                  <c:v>1.0594170994200001</c:v>
                </c:pt>
                <c:pt idx="179">
                  <c:v>1.0594170994200001</c:v>
                </c:pt>
                <c:pt idx="180">
                  <c:v>1.0594170994200001</c:v>
                </c:pt>
                <c:pt idx="181">
                  <c:v>1.0594170994200001</c:v>
                </c:pt>
                <c:pt idx="182">
                  <c:v>1.0594170994200001</c:v>
                </c:pt>
                <c:pt idx="183">
                  <c:v>1.0594170994200001</c:v>
                </c:pt>
                <c:pt idx="184">
                  <c:v>1.0594170994200001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B-4C84-9449-B950C97845AD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IYE*/XLE*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Sheet1!$Z$2:$Z$186</c:f>
              <c:numCache>
                <c:formatCode>_(* #,##0.0000_);_(* \(#,##0.0000\);_(* "-"??_);_(@_)</c:formatCode>
                <c:ptCount val="185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1.05632241274042</c:v>
                </c:pt>
                <c:pt idx="51">
                  <c:v>1.05635656833193</c:v>
                </c:pt>
                <c:pt idx="52">
                  <c:v>1.0564636340250999</c:v>
                </c:pt>
                <c:pt idx="53">
                  <c:v>1.0566030740830299</c:v>
                </c:pt>
                <c:pt idx="54">
                  <c:v>1.0568095259433701</c:v>
                </c:pt>
                <c:pt idx="55">
                  <c:v>1.0569743881364499</c:v>
                </c:pt>
                <c:pt idx="56">
                  <c:v>1.0572162492252699</c:v>
                </c:pt>
                <c:pt idx="57">
                  <c:v>1.0575037550562201</c:v>
                </c:pt>
                <c:pt idx="58">
                  <c:v>1.05772424910117</c:v>
                </c:pt>
                <c:pt idx="59">
                  <c:v>1.0578072153248601</c:v>
                </c:pt>
                <c:pt idx="60">
                  <c:v>1.0579878799776401</c:v>
                </c:pt>
                <c:pt idx="61">
                  <c:v>1.0582126179153</c:v>
                </c:pt>
                <c:pt idx="62">
                  <c:v>1.0584820239353501</c:v>
                </c:pt>
                <c:pt idx="63">
                  <c:v>1.0586528651915601</c:v>
                </c:pt>
                <c:pt idx="64">
                  <c:v>1.0587342820449599</c:v>
                </c:pt>
                <c:pt idx="65">
                  <c:v>1.0588965070193499</c:v>
                </c:pt>
                <c:pt idx="66">
                  <c:v>1.0590735534922999</c:v>
                </c:pt>
                <c:pt idx="67">
                  <c:v>1.0593686191809599</c:v>
                </c:pt>
                <c:pt idx="68">
                  <c:v>1.0596612186916601</c:v>
                </c:pt>
                <c:pt idx="69">
                  <c:v>1.05993534406067</c:v>
                </c:pt>
                <c:pt idx="70">
                  <c:v>1.0602673602430801</c:v>
                </c:pt>
                <c:pt idx="71">
                  <c:v>1.06048200587443</c:v>
                </c:pt>
                <c:pt idx="72">
                  <c:v>1.0604194555475099</c:v>
                </c:pt>
                <c:pt idx="73">
                  <c:v>1.0606073044514901</c:v>
                </c:pt>
                <c:pt idx="74">
                  <c:v>1.0607228872872101</c:v>
                </c:pt>
                <c:pt idx="75">
                  <c:v>1.06070750406398</c:v>
                </c:pt>
                <c:pt idx="76">
                  <c:v>1.0605693967830101</c:v>
                </c:pt>
                <c:pt idx="77">
                  <c:v>1.06047145898602</c:v>
                </c:pt>
                <c:pt idx="78">
                  <c:v>1.06050805832904</c:v>
                </c:pt>
                <c:pt idx="79">
                  <c:v>1.0606027043117201</c:v>
                </c:pt>
                <c:pt idx="80">
                  <c:v>1.0605549025835901</c:v>
                </c:pt>
                <c:pt idx="81">
                  <c:v>1.06039014095565</c:v>
                </c:pt>
                <c:pt idx="82">
                  <c:v>1.0605617291353699</c:v>
                </c:pt>
                <c:pt idx="83">
                  <c:v>1.0605543849335799</c:v>
                </c:pt>
                <c:pt idx="84">
                  <c:v>1.06062741882834</c:v>
                </c:pt>
                <c:pt idx="85">
                  <c:v>1.06084190445876</c:v>
                </c:pt>
                <c:pt idx="86">
                  <c:v>1.06105866834845</c:v>
                </c:pt>
                <c:pt idx="87">
                  <c:v>1.06109596087268</c:v>
                </c:pt>
                <c:pt idx="88">
                  <c:v>1.06100047293721</c:v>
                </c:pt>
                <c:pt idx="89">
                  <c:v>1.06091104265883</c:v>
                </c:pt>
                <c:pt idx="90">
                  <c:v>1.06091832094685</c:v>
                </c:pt>
                <c:pt idx="91">
                  <c:v>1.06096016136519</c:v>
                </c:pt>
                <c:pt idx="92">
                  <c:v>1.0607308675084</c:v>
                </c:pt>
                <c:pt idx="93">
                  <c:v>1.06041271883378</c:v>
                </c:pt>
                <c:pt idx="94">
                  <c:v>1.0598862718152999</c:v>
                </c:pt>
                <c:pt idx="95">
                  <c:v>1.0594600557735201</c:v>
                </c:pt>
                <c:pt idx="96">
                  <c:v>1.05929755654997</c:v>
                </c:pt>
                <c:pt idx="97">
                  <c:v>1.0590779127977099</c:v>
                </c:pt>
                <c:pt idx="98">
                  <c:v>1.05914506154164</c:v>
                </c:pt>
                <c:pt idx="99">
                  <c:v>1.0591885037004301</c:v>
                </c:pt>
                <c:pt idx="100">
                  <c:v>1.05933063531202</c:v>
                </c:pt>
                <c:pt idx="101">
                  <c:v>1.05962727376545</c:v>
                </c:pt>
                <c:pt idx="102">
                  <c:v>1.0599182501617801</c:v>
                </c:pt>
                <c:pt idx="103">
                  <c:v>1.0603354388696999</c:v>
                </c:pt>
                <c:pt idx="104">
                  <c:v>1.06099015818036</c:v>
                </c:pt>
                <c:pt idx="105">
                  <c:v>1.0613835261444999</c:v>
                </c:pt>
                <c:pt idx="106">
                  <c:v>1.0613100985755499</c:v>
                </c:pt>
                <c:pt idx="107">
                  <c:v>1.0613239024044701</c:v>
                </c:pt>
                <c:pt idx="108">
                  <c:v>1.0611290054892</c:v>
                </c:pt>
                <c:pt idx="109">
                  <c:v>1.0609469360500201</c:v>
                </c:pt>
                <c:pt idx="110">
                  <c:v>1.0607535228638501</c:v>
                </c:pt>
                <c:pt idx="111">
                  <c:v>1.06042430741185</c:v>
                </c:pt>
                <c:pt idx="112">
                  <c:v>1.0603123650238899</c:v>
                </c:pt>
                <c:pt idx="113">
                  <c:v>1.0600966509401299</c:v>
                </c:pt>
                <c:pt idx="114">
                  <c:v>1.0599715969946499</c:v>
                </c:pt>
                <c:pt idx="115">
                  <c:v>1.0599129876300999</c:v>
                </c:pt>
                <c:pt idx="116">
                  <c:v>1.0604014885161199</c:v>
                </c:pt>
                <c:pt idx="117">
                  <c:v>1.0607642667091799</c:v>
                </c:pt>
                <c:pt idx="118">
                  <c:v>1.0610747225688899</c:v>
                </c:pt>
                <c:pt idx="119">
                  <c:v>1.06152495295109</c:v>
                </c:pt>
                <c:pt idx="120">
                  <c:v>1.0618329253228</c:v>
                </c:pt>
                <c:pt idx="121">
                  <c:v>1.06218250205777</c:v>
                </c:pt>
                <c:pt idx="122">
                  <c:v>1.0626339682960899</c:v>
                </c:pt>
                <c:pt idx="123">
                  <c:v>1.0632281633046701</c:v>
                </c:pt>
                <c:pt idx="124">
                  <c:v>1.06373499749075</c:v>
                </c:pt>
                <c:pt idx="125">
                  <c:v>1.0642437432129299</c:v>
                </c:pt>
                <c:pt idx="126">
                  <c:v>1.06435862424366</c:v>
                </c:pt>
                <c:pt idx="127">
                  <c:v>1.0644464452832001</c:v>
                </c:pt>
                <c:pt idx="128">
                  <c:v>1.0645961435473099</c:v>
                </c:pt>
                <c:pt idx="129">
                  <c:v>1.0646825403418101</c:v>
                </c:pt>
                <c:pt idx="130">
                  <c:v>1.06462604060709</c:v>
                </c:pt>
                <c:pt idx="131">
                  <c:v>1.06453259111652</c:v>
                </c:pt>
                <c:pt idx="132">
                  <c:v>1.0642102412765599</c:v>
                </c:pt>
                <c:pt idx="133">
                  <c:v>1.0637763150574</c:v>
                </c:pt>
                <c:pt idx="134">
                  <c:v>1.0633327906505601</c:v>
                </c:pt>
                <c:pt idx="135">
                  <c:v>1.0628659532302001</c:v>
                </c:pt>
                <c:pt idx="136">
                  <c:v>1.0626228765574099</c:v>
                </c:pt>
                <c:pt idx="137">
                  <c:v>1.06260950887317</c:v>
                </c:pt>
                <c:pt idx="138">
                  <c:v>1.06270864221369</c:v>
                </c:pt>
                <c:pt idx="139">
                  <c:v>1.0625742276193999</c:v>
                </c:pt>
                <c:pt idx="140">
                  <c:v>1.06265855585519</c:v>
                </c:pt>
                <c:pt idx="141">
                  <c:v>1.06255668346195</c:v>
                </c:pt>
                <c:pt idx="142">
                  <c:v>1.06244765208487</c:v>
                </c:pt>
                <c:pt idx="143">
                  <c:v>1.0623977517190299</c:v>
                </c:pt>
                <c:pt idx="144">
                  <c:v>1.06223697876981</c:v>
                </c:pt>
                <c:pt idx="145">
                  <c:v>1.06230048182883</c:v>
                </c:pt>
                <c:pt idx="146">
                  <c:v>1.0623837728068499</c:v>
                </c:pt>
                <c:pt idx="147">
                  <c:v>1.0623478314825201</c:v>
                </c:pt>
                <c:pt idx="148">
                  <c:v>1.06231189734791</c:v>
                </c:pt>
                <c:pt idx="149">
                  <c:v>1.06254256403403</c:v>
                </c:pt>
                <c:pt idx="150">
                  <c:v>1.0625678821851201</c:v>
                </c:pt>
                <c:pt idx="151">
                  <c:v>1.0625744077541099</c:v>
                </c:pt>
                <c:pt idx="152">
                  <c:v>1.0626306404930499</c:v>
                </c:pt>
                <c:pt idx="153">
                  <c:v>1.0626007968577</c:v>
                </c:pt>
                <c:pt idx="154">
                  <c:v>1.0626294291956699</c:v>
                </c:pt>
                <c:pt idx="155">
                  <c:v>1.0622503342365099</c:v>
                </c:pt>
                <c:pt idx="156">
                  <c:v>1.0615768218523001</c:v>
                </c:pt>
                <c:pt idx="157">
                  <c:v>1.0611303639009799</c:v>
                </c:pt>
                <c:pt idx="158">
                  <c:v>1.0605336138942401</c:v>
                </c:pt>
                <c:pt idx="159">
                  <c:v>1.05989203763648</c:v>
                </c:pt>
                <c:pt idx="160">
                  <c:v>1.0594238099316999</c:v>
                </c:pt>
                <c:pt idx="161">
                  <c:v>1.0591992505336201</c:v>
                </c:pt>
                <c:pt idx="162">
                  <c:v>1.0588204549898099</c:v>
                </c:pt>
                <c:pt idx="163">
                  <c:v>1.05858809877341</c:v>
                </c:pt>
                <c:pt idx="164">
                  <c:v>1.0582265156778701</c:v>
                </c:pt>
                <c:pt idx="165">
                  <c:v>1.05802146482214</c:v>
                </c:pt>
                <c:pt idx="166">
                  <c:v>1.0581416838926401</c:v>
                </c:pt>
                <c:pt idx="167">
                  <c:v>1.0579900793488</c:v>
                </c:pt>
                <c:pt idx="168">
                  <c:v>1.0579422558740099</c:v>
                </c:pt>
                <c:pt idx="169">
                  <c:v>1.0578258796687201</c:v>
                </c:pt>
                <c:pt idx="170">
                  <c:v>1.0575366684043199</c:v>
                </c:pt>
                <c:pt idx="171">
                  <c:v>1.0571352091499999</c:v>
                </c:pt>
                <c:pt idx="172">
                  <c:v>1.0570043569124501</c:v>
                </c:pt>
                <c:pt idx="173">
                  <c:v>1.05681009288658</c:v>
                </c:pt>
                <c:pt idx="174">
                  <c:v>1.0567707801039901</c:v>
                </c:pt>
                <c:pt idx="175">
                  <c:v>1.05672785151892</c:v>
                </c:pt>
                <c:pt idx="176">
                  <c:v>1.0564257671991699</c:v>
                </c:pt>
                <c:pt idx="177">
                  <c:v>1.0562532192699501</c:v>
                </c:pt>
                <c:pt idx="178">
                  <c:v>1.0558201494307999</c:v>
                </c:pt>
                <c:pt idx="179">
                  <c:v>1.0555026087086401</c:v>
                </c:pt>
                <c:pt idx="180">
                  <c:v>1.0553676939846199</c:v>
                </c:pt>
                <c:pt idx="181">
                  <c:v>1.0552908267051799</c:v>
                </c:pt>
                <c:pt idx="182">
                  <c:v>1.0550065712105601</c:v>
                </c:pt>
                <c:pt idx="183">
                  <c:v>1.05474082409286</c:v>
                </c:pt>
                <c:pt idx="184">
                  <c:v>1.05435024067699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B-4C84-9449-B950C97845AD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IYE*/XLE*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Sheet1!$AA$2:$AA$186</c:f>
              <c:numCache>
                <c:formatCode>_(* #,##0.0000_);_(* \(#,##0.0000\);_(* "-"??_);_(@_)</c:formatCode>
                <c:ptCount val="185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1.0565394228040901</c:v>
                </c:pt>
                <c:pt idx="51">
                  <c:v>1.0565384309421899</c:v>
                </c:pt>
                <c:pt idx="52">
                  <c:v>1.05660677496045</c:v>
                </c:pt>
                <c:pt idx="53">
                  <c:v>1.0565899417060201</c:v>
                </c:pt>
                <c:pt idx="54">
                  <c:v>1.0566695395402901</c:v>
                </c:pt>
                <c:pt idx="55">
                  <c:v>1.0567260204351101</c:v>
                </c:pt>
                <c:pt idx="56">
                  <c:v>1.05689286984719</c:v>
                </c:pt>
                <c:pt idx="57">
                  <c:v>1.0569940427967199</c:v>
                </c:pt>
                <c:pt idx="58">
                  <c:v>1.0570956676974701</c:v>
                </c:pt>
                <c:pt idx="59">
                  <c:v>1.05710347144725</c:v>
                </c:pt>
                <c:pt idx="60">
                  <c:v>1.0571551463590301</c:v>
                </c:pt>
                <c:pt idx="61">
                  <c:v>1.0572845931236099</c:v>
                </c:pt>
                <c:pt idx="62">
                  <c:v>1.05747282898023</c:v>
                </c:pt>
                <c:pt idx="63">
                  <c:v>1.0576279696373001</c:v>
                </c:pt>
                <c:pt idx="64">
                  <c:v>1.05777190399416</c:v>
                </c:pt>
                <c:pt idx="65">
                  <c:v>1.0579354475778999</c:v>
                </c:pt>
                <c:pt idx="66">
                  <c:v>1.05814490135878</c:v>
                </c:pt>
                <c:pt idx="67">
                  <c:v>1.0584361871185901</c:v>
                </c:pt>
                <c:pt idx="68">
                  <c:v>1.05869273389642</c:v>
                </c:pt>
                <c:pt idx="69">
                  <c:v>1.05887127969276</c:v>
                </c:pt>
                <c:pt idx="70">
                  <c:v>1.0591276201103601</c:v>
                </c:pt>
                <c:pt idx="71">
                  <c:v>1.05934731189486</c:v>
                </c:pt>
                <c:pt idx="72">
                  <c:v>1.0594507397414299</c:v>
                </c:pt>
                <c:pt idx="73">
                  <c:v>1.0596300848215301</c:v>
                </c:pt>
                <c:pt idx="74">
                  <c:v>1.05972858466609</c:v>
                </c:pt>
                <c:pt idx="75">
                  <c:v>1.0598020055416599</c:v>
                </c:pt>
                <c:pt idx="76">
                  <c:v>1.05982147513765</c:v>
                </c:pt>
                <c:pt idx="77">
                  <c:v>1.05992003908349</c:v>
                </c:pt>
                <c:pt idx="78">
                  <c:v>1.06008463851035</c:v>
                </c:pt>
                <c:pt idx="79">
                  <c:v>1.0602690241862001</c:v>
                </c:pt>
                <c:pt idx="80">
                  <c:v>1.06041113141333</c:v>
                </c:pt>
                <c:pt idx="81">
                  <c:v>1.06043607341504</c:v>
                </c:pt>
                <c:pt idx="82">
                  <c:v>1.0604905923414401</c:v>
                </c:pt>
                <c:pt idx="83">
                  <c:v>1.06058084469253</c:v>
                </c:pt>
                <c:pt idx="84">
                  <c:v>1.06067515305778</c:v>
                </c:pt>
                <c:pt idx="85">
                  <c:v>1.06077470426137</c:v>
                </c:pt>
                <c:pt idx="86">
                  <c:v>1.06081403256573</c:v>
                </c:pt>
                <c:pt idx="87">
                  <c:v>1.06078370992935</c:v>
                </c:pt>
                <c:pt idx="88">
                  <c:v>1.0607542656331299</c:v>
                </c:pt>
                <c:pt idx="89">
                  <c:v>1.0607568734852799</c:v>
                </c:pt>
                <c:pt idx="90">
                  <c:v>1.0607366117652199</c:v>
                </c:pt>
                <c:pt idx="91">
                  <c:v>1.06067515116042</c:v>
                </c:pt>
                <c:pt idx="92">
                  <c:v>1.0606462983218801</c:v>
                </c:pt>
                <c:pt idx="93">
                  <c:v>1.0604835518836799</c:v>
                </c:pt>
                <c:pt idx="94">
                  <c:v>1.06025684532182</c:v>
                </c:pt>
                <c:pt idx="95">
                  <c:v>1.06015098011614</c:v>
                </c:pt>
                <c:pt idx="96">
                  <c:v>1.06017811244921</c:v>
                </c:pt>
                <c:pt idx="97">
                  <c:v>1.06008693683519</c:v>
                </c:pt>
                <c:pt idx="98">
                  <c:v>1.0600727672394299</c:v>
                </c:pt>
                <c:pt idx="99">
                  <c:v>1.0600497731796299</c:v>
                </c:pt>
                <c:pt idx="100">
                  <c:v>1.0601244781294401</c:v>
                </c:pt>
                <c:pt idx="101">
                  <c:v>1.06029371756532</c:v>
                </c:pt>
                <c:pt idx="102">
                  <c:v>1.06032455883509</c:v>
                </c:pt>
                <c:pt idx="103">
                  <c:v>1.06037407885174</c:v>
                </c:pt>
                <c:pt idx="104">
                  <c:v>1.06043821499783</c:v>
                </c:pt>
                <c:pt idx="105">
                  <c:v>1.0604217909590099</c:v>
                </c:pt>
                <c:pt idx="106">
                  <c:v>1.0603038275627601</c:v>
                </c:pt>
                <c:pt idx="107">
                  <c:v>1.0602009076010901</c:v>
                </c:pt>
                <c:pt idx="108">
                  <c:v>1.0601370335154201</c:v>
                </c:pt>
                <c:pt idx="109">
                  <c:v>1.06006771987522</c:v>
                </c:pt>
                <c:pt idx="110">
                  <c:v>1.0600420790879399</c:v>
                </c:pt>
                <c:pt idx="111">
                  <c:v>1.0600257905886501</c:v>
                </c:pt>
                <c:pt idx="112">
                  <c:v>1.06011530759284</c:v>
                </c:pt>
                <c:pt idx="113">
                  <c:v>1.0602160449049101</c:v>
                </c:pt>
                <c:pt idx="114">
                  <c:v>1.0604808775875101</c:v>
                </c:pt>
                <c:pt idx="115">
                  <c:v>1.0606482568872999</c:v>
                </c:pt>
                <c:pt idx="116">
                  <c:v>1.06085579354584</c:v>
                </c:pt>
                <c:pt idx="117">
                  <c:v>1.0610440845568301</c:v>
                </c:pt>
                <c:pt idx="118">
                  <c:v>1.0611018640290399</c:v>
                </c:pt>
                <c:pt idx="119">
                  <c:v>1.0612359445005599</c:v>
                </c:pt>
                <c:pt idx="120">
                  <c:v>1.0612932240933299</c:v>
                </c:pt>
                <c:pt idx="121">
                  <c:v>1.06130340473481</c:v>
                </c:pt>
                <c:pt idx="122">
                  <c:v>1.0614731666599899</c:v>
                </c:pt>
                <c:pt idx="123">
                  <c:v>1.0616624071223999</c:v>
                </c:pt>
                <c:pt idx="124">
                  <c:v>1.0618532972426999</c:v>
                </c:pt>
                <c:pt idx="125">
                  <c:v>1.06207836542152</c:v>
                </c:pt>
                <c:pt idx="126">
                  <c:v>1.06238005637989</c:v>
                </c:pt>
                <c:pt idx="127">
                  <c:v>1.0626053559961901</c:v>
                </c:pt>
                <c:pt idx="128">
                  <c:v>1.0628354330581</c:v>
                </c:pt>
                <c:pt idx="129">
                  <c:v>1.0631037466464499</c:v>
                </c:pt>
                <c:pt idx="130">
                  <c:v>1.06322948296495</c:v>
                </c:pt>
                <c:pt idx="131">
                  <c:v>1.0633575465871401</c:v>
                </c:pt>
                <c:pt idx="132">
                  <c:v>1.0634221047863299</c:v>
                </c:pt>
                <c:pt idx="133">
                  <c:v>1.06350223918104</c:v>
                </c:pt>
                <c:pt idx="134">
                  <c:v>1.06353389407066</c:v>
                </c:pt>
                <c:pt idx="135">
                  <c:v>1.06355484822157</c:v>
                </c:pt>
                <c:pt idx="136">
                  <c:v>1.06349075040053</c:v>
                </c:pt>
                <c:pt idx="137">
                  <c:v>1.06352797707819</c:v>
                </c:pt>
                <c:pt idx="138">
                  <c:v>1.0636523928805</c:v>
                </c:pt>
                <c:pt idx="139">
                  <c:v>1.0636283839806</c:v>
                </c:pt>
                <c:pt idx="140">
                  <c:v>1.06364229823114</c:v>
                </c:pt>
                <c:pt idx="141">
                  <c:v>1.0635446372892301</c:v>
                </c:pt>
                <c:pt idx="142">
                  <c:v>1.0633289466807201</c:v>
                </c:pt>
                <c:pt idx="143">
                  <c:v>1.0630870333882201</c:v>
                </c:pt>
                <c:pt idx="144">
                  <c:v>1.0627848847101899</c:v>
                </c:pt>
                <c:pt idx="145">
                  <c:v>1.06258321752952</c:v>
                </c:pt>
                <c:pt idx="146">
                  <c:v>1.06250332468213</c:v>
                </c:pt>
                <c:pt idx="147">
                  <c:v>1.0624786701778499</c:v>
                </c:pt>
                <c:pt idx="148">
                  <c:v>1.0625102697808</c:v>
                </c:pt>
                <c:pt idx="149">
                  <c:v>1.06255839582671</c:v>
                </c:pt>
                <c:pt idx="150">
                  <c:v>1.06261321902016</c:v>
                </c:pt>
                <c:pt idx="151">
                  <c:v>1.0625655456080301</c:v>
                </c:pt>
                <c:pt idx="152">
                  <c:v>1.06253914628896</c:v>
                </c:pt>
                <c:pt idx="153">
                  <c:v>1.0624992742883701</c:v>
                </c:pt>
                <c:pt idx="154">
                  <c:v>1.06243320398274</c:v>
                </c:pt>
                <c:pt idx="155">
                  <c:v>1.06227540803267</c:v>
                </c:pt>
                <c:pt idx="156">
                  <c:v>1.06198029732958</c:v>
                </c:pt>
                <c:pt idx="157">
                  <c:v>1.06173909769175</c:v>
                </c:pt>
                <c:pt idx="158">
                  <c:v>1.06142275562107</c:v>
                </c:pt>
                <c:pt idx="159">
                  <c:v>1.0612173008352499</c:v>
                </c:pt>
                <c:pt idx="160">
                  <c:v>1.0609958460584099</c:v>
                </c:pt>
                <c:pt idx="161">
                  <c:v>1.06088682914387</c:v>
                </c:pt>
                <c:pt idx="162">
                  <c:v>1.0607255477414299</c:v>
                </c:pt>
                <c:pt idx="163">
                  <c:v>1.06059444781556</c:v>
                </c:pt>
                <c:pt idx="164">
                  <c:v>1.06042797243677</c:v>
                </c:pt>
                <c:pt idx="165">
                  <c:v>1.06013589952932</c:v>
                </c:pt>
                <c:pt idx="166">
                  <c:v>1.05985925287247</c:v>
                </c:pt>
                <c:pt idx="167">
                  <c:v>1.0595602216248901</c:v>
                </c:pt>
                <c:pt idx="168">
                  <c:v>1.0592379348841201</c:v>
                </c:pt>
                <c:pt idx="169">
                  <c:v>1.0588589586526</c:v>
                </c:pt>
                <c:pt idx="170">
                  <c:v>1.0584802391680099</c:v>
                </c:pt>
                <c:pt idx="171">
                  <c:v>1.0581672298418101</c:v>
                </c:pt>
                <c:pt idx="172">
                  <c:v>1.05791240595113</c:v>
                </c:pt>
                <c:pt idx="173">
                  <c:v>1.0576990958300001</c:v>
                </c:pt>
                <c:pt idx="174">
                  <c:v>1.0574986478909301</c:v>
                </c:pt>
                <c:pt idx="175">
                  <c:v>1.0573746581705299</c:v>
                </c:pt>
                <c:pt idx="176">
                  <c:v>1.0572837255459</c:v>
                </c:pt>
                <c:pt idx="177">
                  <c:v>1.05712164930938</c:v>
                </c:pt>
                <c:pt idx="178">
                  <c:v>1.0568812026524099</c:v>
                </c:pt>
                <c:pt idx="179">
                  <c:v>1.05666424418868</c:v>
                </c:pt>
                <c:pt idx="180">
                  <c:v>1.05645218119447</c:v>
                </c:pt>
                <c:pt idx="181">
                  <c:v>1.0562130179275899</c:v>
                </c:pt>
                <c:pt idx="182">
                  <c:v>1.05600546406151</c:v>
                </c:pt>
                <c:pt idx="183">
                  <c:v>1.0557754584897201</c:v>
                </c:pt>
                <c:pt idx="184">
                  <c:v>1.0555605103904899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B-4C84-9449-B950C9784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XLE x avg / IYE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Sheet1!$U$2:$U$186</c:f>
              <c:numCache>
                <c:formatCode>0.0000%</c:formatCode>
                <c:ptCount val="185"/>
                <c:pt idx="1">
                  <c:v>-1.43065138397508E-3</c:v>
                </c:pt>
                <c:pt idx="2">
                  <c:v>-2.1681054498393399E-3</c:v>
                </c:pt>
                <c:pt idx="3">
                  <c:v>-1.56850132433061E-3</c:v>
                </c:pt>
                <c:pt idx="4">
                  <c:v>1.7907124696672601E-4</c:v>
                </c:pt>
                <c:pt idx="5">
                  <c:v>7.2687365036800799E-4</c:v>
                </c:pt>
                <c:pt idx="6">
                  <c:v>1.3095714359534499E-4</c:v>
                </c:pt>
                <c:pt idx="7">
                  <c:v>1.0849708077285E-4</c:v>
                </c:pt>
                <c:pt idx="8">
                  <c:v>1.1400722282467999E-3</c:v>
                </c:pt>
                <c:pt idx="9">
                  <c:v>-1.7012464102941199E-4</c:v>
                </c:pt>
                <c:pt idx="10">
                  <c:v>-8.6792491517019197E-4</c:v>
                </c:pt>
                <c:pt idx="11">
                  <c:v>-1.8187228122225899E-4</c:v>
                </c:pt>
                <c:pt idx="12">
                  <c:v>-2.4413206524408399E-5</c:v>
                </c:pt>
                <c:pt idx="13">
                  <c:v>5.44331878632741E-4</c:v>
                </c:pt>
                <c:pt idx="14">
                  <c:v>6.66739482006164E-4</c:v>
                </c:pt>
                <c:pt idx="15">
                  <c:v>7.0034144698672795E-4</c:v>
                </c:pt>
                <c:pt idx="16">
                  <c:v>6.2880252907953997E-4</c:v>
                </c:pt>
                <c:pt idx="17">
                  <c:v>4.8131015848299001E-4</c:v>
                </c:pt>
                <c:pt idx="18">
                  <c:v>6.1091401036531998E-4</c:v>
                </c:pt>
                <c:pt idx="19">
                  <c:v>1.75049622130028E-3</c:v>
                </c:pt>
                <c:pt idx="20">
                  <c:v>4.8131015848299001E-4</c:v>
                </c:pt>
                <c:pt idx="21">
                  <c:v>1.85051449471143E-3</c:v>
                </c:pt>
                <c:pt idx="22">
                  <c:v>2.1411400951326098E-3</c:v>
                </c:pt>
                <c:pt idx="23">
                  <c:v>1.8655582122283801E-3</c:v>
                </c:pt>
                <c:pt idx="24">
                  <c:v>2.7428453283021102E-3</c:v>
                </c:pt>
                <c:pt idx="25">
                  <c:v>2.0705183184428098E-3</c:v>
                </c:pt>
                <c:pt idx="26">
                  <c:v>1.8337029721754499E-3</c:v>
                </c:pt>
                <c:pt idx="27">
                  <c:v>2.6935915943182001E-3</c:v>
                </c:pt>
                <c:pt idx="28">
                  <c:v>3.2865667612735701E-3</c:v>
                </c:pt>
                <c:pt idx="29">
                  <c:v>2.59939762885021E-3</c:v>
                </c:pt>
                <c:pt idx="30">
                  <c:v>2.3567013596083302E-3</c:v>
                </c:pt>
                <c:pt idx="31">
                  <c:v>1.9810674971596602E-3</c:v>
                </c:pt>
                <c:pt idx="32">
                  <c:v>2.54330497285869E-3</c:v>
                </c:pt>
                <c:pt idx="33">
                  <c:v>1.04531306232318E-3</c:v>
                </c:pt>
                <c:pt idx="34">
                  <c:v>1.9994818832301401E-3</c:v>
                </c:pt>
                <c:pt idx="35">
                  <c:v>1.2640230730419999E-3</c:v>
                </c:pt>
                <c:pt idx="36">
                  <c:v>3.1046542035282399E-3</c:v>
                </c:pt>
                <c:pt idx="37">
                  <c:v>2.4173181846021299E-3</c:v>
                </c:pt>
                <c:pt idx="38">
                  <c:v>2.7415098509554299E-3</c:v>
                </c:pt>
                <c:pt idx="39">
                  <c:v>1.95981184590355E-3</c:v>
                </c:pt>
                <c:pt idx="40">
                  <c:v>2.6358256589474201E-3</c:v>
                </c:pt>
                <c:pt idx="41">
                  <c:v>2.3230450827000002E-3</c:v>
                </c:pt>
                <c:pt idx="42">
                  <c:v>2.2629255306584298E-3</c:v>
                </c:pt>
                <c:pt idx="43">
                  <c:v>2.6829067846213502E-3</c:v>
                </c:pt>
                <c:pt idx="44">
                  <c:v>2.4466875393799798E-3</c:v>
                </c:pt>
                <c:pt idx="45">
                  <c:v>1.7548285069425901E-3</c:v>
                </c:pt>
                <c:pt idx="46">
                  <c:v>2.23516583458276E-3</c:v>
                </c:pt>
                <c:pt idx="47">
                  <c:v>3.2237048244972599E-3</c:v>
                </c:pt>
                <c:pt idx="48">
                  <c:v>2.9047974948281899E-3</c:v>
                </c:pt>
                <c:pt idx="49">
                  <c:v>2.5972917592652698E-3</c:v>
                </c:pt>
                <c:pt idx="50">
                  <c:v>8.34713202927795E-3</c:v>
                </c:pt>
                <c:pt idx="51">
                  <c:v>6.9789087954789698E-3</c:v>
                </c:pt>
                <c:pt idx="52">
                  <c:v>6.1473815688717903E-3</c:v>
                </c:pt>
                <c:pt idx="53">
                  <c:v>6.2654772491789797E-3</c:v>
                </c:pt>
                <c:pt idx="54">
                  <c:v>4.9441483857310905E-4</c:v>
                </c:pt>
                <c:pt idx="55">
                  <c:v>1.9661172921668001E-4</c:v>
                </c:pt>
                <c:pt idx="56">
                  <c:v>-5.10818276124437E-5</c:v>
                </c:pt>
                <c:pt idx="57">
                  <c:v>5.0389174428088401E-4</c:v>
                </c:pt>
                <c:pt idx="58">
                  <c:v>8.1892153527029197E-4</c:v>
                </c:pt>
                <c:pt idx="59">
                  <c:v>1.81216114863885E-3</c:v>
                </c:pt>
                <c:pt idx="60">
                  <c:v>1.65785645098057E-3</c:v>
                </c:pt>
                <c:pt idx="61">
                  <c:v>-1.2422360134257699E-4</c:v>
                </c:pt>
                <c:pt idx="62">
                  <c:v>-1.2935981584378199E-3</c:v>
                </c:pt>
                <c:pt idx="63">
                  <c:v>-2.5046265078914102E-4</c:v>
                </c:pt>
                <c:pt idx="64">
                  <c:v>-2.7444144344127301E-4</c:v>
                </c:pt>
                <c:pt idx="65">
                  <c:v>-1.3343125856008799E-3</c:v>
                </c:pt>
                <c:pt idx="66">
                  <c:v>-1.7213470877501099E-3</c:v>
                </c:pt>
                <c:pt idx="67">
                  <c:v>-2.2797673134701802E-3</c:v>
                </c:pt>
                <c:pt idx="68">
                  <c:v>-1.9423721573199699E-3</c:v>
                </c:pt>
                <c:pt idx="69">
                  <c:v>-7.7758300456822404E-4</c:v>
                </c:pt>
                <c:pt idx="70">
                  <c:v>-1.4774597308856901E-3</c:v>
                </c:pt>
                <c:pt idx="71">
                  <c:v>-2.1486944113942399E-3</c:v>
                </c:pt>
                <c:pt idx="72">
                  <c:v>-7.0356149645899903E-4</c:v>
                </c:pt>
                <c:pt idx="73">
                  <c:v>-2.0221953669314402E-3</c:v>
                </c:pt>
                <c:pt idx="74">
                  <c:v>-1.3649283030060201E-3</c:v>
                </c:pt>
                <c:pt idx="75">
                  <c:v>-1.18924096690181E-3</c:v>
                </c:pt>
                <c:pt idx="76">
                  <c:v>-4.1867549739546902E-4</c:v>
                </c:pt>
                <c:pt idx="77">
                  <c:v>-1.3566779030099801E-3</c:v>
                </c:pt>
                <c:pt idx="78">
                  <c:v>-2.2872282783430202E-3</c:v>
                </c:pt>
                <c:pt idx="79">
                  <c:v>-1.6701765532141401E-3</c:v>
                </c:pt>
                <c:pt idx="80">
                  <c:v>-1.0266607469609601E-3</c:v>
                </c:pt>
                <c:pt idx="81">
                  <c:v>-5.95079699105072E-4</c:v>
                </c:pt>
                <c:pt idx="82">
                  <c:v>-2.3213195580155999E-3</c:v>
                </c:pt>
                <c:pt idx="83">
                  <c:v>-1.95298606018263E-3</c:v>
                </c:pt>
                <c:pt idx="84">
                  <c:v>-2.0533670047501299E-3</c:v>
                </c:pt>
                <c:pt idx="85">
                  <c:v>-3.21005305346614E-3</c:v>
                </c:pt>
                <c:pt idx="86">
                  <c:v>-2.46250336948768E-3</c:v>
                </c:pt>
                <c:pt idx="87">
                  <c:v>-1.7082701831677299E-3</c:v>
                </c:pt>
                <c:pt idx="88">
                  <c:v>-1.38724656658228E-3</c:v>
                </c:pt>
                <c:pt idx="89">
                  <c:v>-8.2679235962827499E-4</c:v>
                </c:pt>
                <c:pt idx="90">
                  <c:v>-1.09531248779746E-3</c:v>
                </c:pt>
                <c:pt idx="91">
                  <c:v>-9.898413455428981E-4</c:v>
                </c:pt>
                <c:pt idx="92">
                  <c:v>-1.5891545846693201E-4</c:v>
                </c:pt>
                <c:pt idx="93">
                  <c:v>1.0497483241327301E-3</c:v>
                </c:pt>
                <c:pt idx="94">
                  <c:v>2.9197129885812898E-3</c:v>
                </c:pt>
                <c:pt idx="95">
                  <c:v>8.0962573836477797E-4</c:v>
                </c:pt>
                <c:pt idx="96">
                  <c:v>-9.3071941390434395E-4</c:v>
                </c:pt>
                <c:pt idx="97">
                  <c:v>3.6430376811304101E-4</c:v>
                </c:pt>
                <c:pt idx="98">
                  <c:v>-2.0202135585421898E-3</c:v>
                </c:pt>
                <c:pt idx="99">
                  <c:v>-1.2365682853818401E-3</c:v>
                </c:pt>
                <c:pt idx="100">
                  <c:v>-2.4350112169436301E-3</c:v>
                </c:pt>
                <c:pt idx="101">
                  <c:v>-3.7841459491094799E-3</c:v>
                </c:pt>
                <c:pt idx="102">
                  <c:v>-2.9022325069540801E-3</c:v>
                </c:pt>
                <c:pt idx="103">
                  <c:v>-2.88590327701976E-3</c:v>
                </c:pt>
                <c:pt idx="104">
                  <c:v>-3.2613528623855101E-3</c:v>
                </c:pt>
                <c:pt idx="105">
                  <c:v>-2.9008341099364299E-3</c:v>
                </c:pt>
                <c:pt idx="106">
                  <c:v>-2.3779079317724601E-4</c:v>
                </c:pt>
                <c:pt idx="107">
                  <c:v>2.3392329020259999E-4</c:v>
                </c:pt>
                <c:pt idx="108">
                  <c:v>-1.8194139918277901E-4</c:v>
                </c:pt>
                <c:pt idx="109">
                  <c:v>4.8195822898286598E-4</c:v>
                </c:pt>
                <c:pt idx="110">
                  <c:v>-6.1150363108976498E-4</c:v>
                </c:pt>
                <c:pt idx="111">
                  <c:v>-6.8249289929621598E-4</c:v>
                </c:pt>
                <c:pt idx="112">
                  <c:v>3.41029335069223E-3</c:v>
                </c:pt>
                <c:pt idx="113">
                  <c:v>4.4285403348915398E-3</c:v>
                </c:pt>
                <c:pt idx="114">
                  <c:v>3.2579324252100098E-3</c:v>
                </c:pt>
                <c:pt idx="115">
                  <c:v>3.08096188012909E-3</c:v>
                </c:pt>
                <c:pt idx="116">
                  <c:v>-4.8387217857232901E-3</c:v>
                </c:pt>
                <c:pt idx="117">
                  <c:v>-3.1865240611983199E-3</c:v>
                </c:pt>
                <c:pt idx="118">
                  <c:v>-3.1085744809862901E-3</c:v>
                </c:pt>
                <c:pt idx="119">
                  <c:v>-3.7623336787919199E-3</c:v>
                </c:pt>
                <c:pt idx="120">
                  <c:v>-3.51351404431454E-3</c:v>
                </c:pt>
                <c:pt idx="121">
                  <c:v>-3.9756611346643501E-3</c:v>
                </c:pt>
                <c:pt idx="122">
                  <c:v>-6.0937684789476197E-3</c:v>
                </c:pt>
                <c:pt idx="123">
                  <c:v>-6.4430445159161902E-3</c:v>
                </c:pt>
                <c:pt idx="124">
                  <c:v>-6.8481025707918296E-3</c:v>
                </c:pt>
                <c:pt idx="125">
                  <c:v>-7.1299414774987999E-3</c:v>
                </c:pt>
                <c:pt idx="126">
                  <c:v>-5.9176577799323398E-3</c:v>
                </c:pt>
                <c:pt idx="127">
                  <c:v>-4.0127871422323798E-3</c:v>
                </c:pt>
                <c:pt idx="128">
                  <c:v>-4.5167085845857699E-3</c:v>
                </c:pt>
                <c:pt idx="129">
                  <c:v>-4.5747344813358102E-3</c:v>
                </c:pt>
                <c:pt idx="130">
                  <c:v>-2.9817498730702898E-3</c:v>
                </c:pt>
                <c:pt idx="131">
                  <c:v>-3.0963869024273798E-3</c:v>
                </c:pt>
                <c:pt idx="132">
                  <c:v>-3.0639136186486802E-3</c:v>
                </c:pt>
                <c:pt idx="133">
                  <c:v>-2.3637381778926401E-3</c:v>
                </c:pt>
                <c:pt idx="134">
                  <c:v>-2.6800682069656602E-3</c:v>
                </c:pt>
                <c:pt idx="135">
                  <c:v>-2.7435801700174899E-3</c:v>
                </c:pt>
                <c:pt idx="136">
                  <c:v>-3.63336215161974E-3</c:v>
                </c:pt>
                <c:pt idx="137">
                  <c:v>-3.8870615051236198E-3</c:v>
                </c:pt>
                <c:pt idx="138">
                  <c:v>-5.4481144937307997E-3</c:v>
                </c:pt>
                <c:pt idx="139">
                  <c:v>-3.3105302760454802E-3</c:v>
                </c:pt>
                <c:pt idx="140">
                  <c:v>-3.7753264125760899E-3</c:v>
                </c:pt>
                <c:pt idx="141">
                  <c:v>-2.1369792486543001E-3</c:v>
                </c:pt>
                <c:pt idx="142">
                  <c:v>-2.0370165294746698E-3</c:v>
                </c:pt>
                <c:pt idx="143">
                  <c:v>-1.8935601147973E-3</c:v>
                </c:pt>
                <c:pt idx="144">
                  <c:v>-1.1648990873593401E-3</c:v>
                </c:pt>
                <c:pt idx="145">
                  <c:v>-3.3413808501377702E-3</c:v>
                </c:pt>
                <c:pt idx="146">
                  <c:v>-4.4166709517162303E-3</c:v>
                </c:pt>
                <c:pt idx="147">
                  <c:v>-3.54894804356988E-3</c:v>
                </c:pt>
                <c:pt idx="148">
                  <c:v>-5.1105960646997701E-3</c:v>
                </c:pt>
                <c:pt idx="149">
                  <c:v>-5.4790294453811103E-3</c:v>
                </c:pt>
                <c:pt idx="150">
                  <c:v>-4.0134617082926401E-3</c:v>
                </c:pt>
                <c:pt idx="151">
                  <c:v>-2.1984629569211799E-3</c:v>
                </c:pt>
                <c:pt idx="152">
                  <c:v>-2.56676856064815E-3</c:v>
                </c:pt>
                <c:pt idx="153">
                  <c:v>-1.61225764691657E-3</c:v>
                </c:pt>
                <c:pt idx="154">
                  <c:v>-1.4349063011286701E-3</c:v>
                </c:pt>
                <c:pt idx="155">
                  <c:v>2.3262961016344899E-4</c:v>
                </c:pt>
                <c:pt idx="156">
                  <c:v>1.93501575468305E-3</c:v>
                </c:pt>
                <c:pt idx="157">
                  <c:v>6.60606523607004E-4</c:v>
                </c:pt>
                <c:pt idx="158">
                  <c:v>5.11214601945143E-4</c:v>
                </c:pt>
                <c:pt idx="159">
                  <c:v>5.6412177669187401E-4</c:v>
                </c:pt>
                <c:pt idx="160">
                  <c:v>3.9975389993925E-4</c:v>
                </c:pt>
                <c:pt idx="161">
                  <c:v>-8.0495014073528199E-5</c:v>
                </c:pt>
                <c:pt idx="162">
                  <c:v>1.0071863464955601E-3</c:v>
                </c:pt>
                <c:pt idx="163">
                  <c:v>5.8061438202298098E-4</c:v>
                </c:pt>
                <c:pt idx="164">
                  <c:v>1.9802408626658002E-3</c:v>
                </c:pt>
                <c:pt idx="165">
                  <c:v>2.1711330946677502E-3</c:v>
                </c:pt>
                <c:pt idx="166">
                  <c:v>7.9830498953984796E-4</c:v>
                </c:pt>
                <c:pt idx="167">
                  <c:v>2.0940925164026698E-3</c:v>
                </c:pt>
                <c:pt idx="168">
                  <c:v>9.6311671182677198E-4</c:v>
                </c:pt>
                <c:pt idx="169">
                  <c:v>1.6642191953768E-3</c:v>
                </c:pt>
                <c:pt idx="170">
                  <c:v>3.1354372248475698E-3</c:v>
                </c:pt>
                <c:pt idx="171">
                  <c:v>3.7171467866265401E-3</c:v>
                </c:pt>
                <c:pt idx="172">
                  <c:v>2.2447580587732401E-3</c:v>
                </c:pt>
                <c:pt idx="173">
                  <c:v>2.4176877199304199E-3</c:v>
                </c:pt>
                <c:pt idx="174">
                  <c:v>2.3522534791685099E-3</c:v>
                </c:pt>
                <c:pt idx="175">
                  <c:v>8.2437162989376801E-3</c:v>
                </c:pt>
                <c:pt idx="176">
                  <c:v>9.4982924931148894E-3</c:v>
                </c:pt>
                <c:pt idx="177">
                  <c:v>9.5288624091706998E-3</c:v>
                </c:pt>
                <c:pt idx="178">
                  <c:v>1.08886134153804E-2</c:v>
                </c:pt>
                <c:pt idx="179">
                  <c:v>4.6720837272953199E-3</c:v>
                </c:pt>
                <c:pt idx="180">
                  <c:v>4.4141758835252298E-3</c:v>
                </c:pt>
                <c:pt idx="181">
                  <c:v>4.4459280312836996E-3</c:v>
                </c:pt>
                <c:pt idx="182">
                  <c:v>4.9384731124504002E-3</c:v>
                </c:pt>
                <c:pt idx="183">
                  <c:v>4.9362252534505997E-3</c:v>
                </c:pt>
                <c:pt idx="184">
                  <c:v>6.0558395559719997E-3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3-4077-86EE-C6FCE7C50C78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XLE x 10 dma / IYE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Sheet1!$V$2:$V$186</c:f>
              <c:numCache>
                <c:formatCode>0.0000%</c:formatCode>
                <c:ptCount val="185"/>
                <c:pt idx="10">
                  <c:v>-1.3982188789256E-4</c:v>
                </c:pt>
                <c:pt idx="11">
                  <c:v>2.1062852829257001E-4</c:v>
                </c:pt>
                <c:pt idx="12">
                  <c:v>2.43150199942488E-4</c:v>
                </c:pt>
                <c:pt idx="13">
                  <c:v>5.9732528066115502E-4</c:v>
                </c:pt>
                <c:pt idx="14">
                  <c:v>5.0833015983181898E-4</c:v>
                </c:pt>
                <c:pt idx="15">
                  <c:v>4.9317700924003899E-4</c:v>
                </c:pt>
                <c:pt idx="16">
                  <c:v>4.2428996478992401E-4</c:v>
                </c:pt>
                <c:pt idx="17">
                  <c:v>2.2702054608750199E-4</c:v>
                </c:pt>
                <c:pt idx="18">
                  <c:v>3.1934390918656499E-4</c:v>
                </c:pt>
                <c:pt idx="19">
                  <c:v>1.51180965442101E-3</c:v>
                </c:pt>
                <c:pt idx="20">
                  <c:v>5.06489428024264E-5</c:v>
                </c:pt>
                <c:pt idx="21">
                  <c:v>1.28483643275847E-3</c:v>
                </c:pt>
                <c:pt idx="22">
                  <c:v>1.37225726725055E-3</c:v>
                </c:pt>
                <c:pt idx="23">
                  <c:v>8.80159253449712E-4</c:v>
                </c:pt>
                <c:pt idx="24">
                  <c:v>1.62534400524625E-3</c:v>
                </c:pt>
                <c:pt idx="25">
                  <c:v>7.4550673677768904E-4</c:v>
                </c:pt>
                <c:pt idx="26">
                  <c:v>3.7167258412520998E-4</c:v>
                </c:pt>
                <c:pt idx="27">
                  <c:v>1.11103608219066E-3</c:v>
                </c:pt>
                <c:pt idx="28">
                  <c:v>1.48275966911257E-3</c:v>
                </c:pt>
                <c:pt idx="29">
                  <c:v>5.2802816648407495E-4</c:v>
                </c:pt>
                <c:pt idx="30">
                  <c:v>2.0044694356285099E-4</c:v>
                </c:pt>
                <c:pt idx="31">
                  <c:v>-3.6288199406410502E-4</c:v>
                </c:pt>
                <c:pt idx="32">
                  <c:v>1.86294505152093E-4</c:v>
                </c:pt>
                <c:pt idx="33">
                  <c:v>-1.35191529687878E-3</c:v>
                </c:pt>
                <c:pt idx="34">
                  <c:v>-3.1564804236886501E-4</c:v>
                </c:pt>
                <c:pt idx="35">
                  <c:v>-9.7677743406065294E-4</c:v>
                </c:pt>
                <c:pt idx="36">
                  <c:v>9.4454623559598802E-4</c:v>
                </c:pt>
                <c:pt idx="37">
                  <c:v>1.3014628800263599E-4</c:v>
                </c:pt>
                <c:pt idx="38">
                  <c:v>4.81957503040465E-4</c:v>
                </c:pt>
                <c:pt idx="39">
                  <c:v>-2.4527740171561701E-4</c:v>
                </c:pt>
                <c:pt idx="40">
                  <c:v>4.9468818002777997E-4</c:v>
                </c:pt>
                <c:pt idx="41">
                  <c:v>1.5400469514392399E-4</c:v>
                </c:pt>
                <c:pt idx="42">
                  <c:v>5.9686218782064199E-5</c:v>
                </c:pt>
                <c:pt idx="43">
                  <c:v>5.0769942060782799E-4</c:v>
                </c:pt>
                <c:pt idx="44">
                  <c:v>1.0765641340620499E-4</c:v>
                </c:pt>
                <c:pt idx="45">
                  <c:v>-6.2892937073513104E-4</c:v>
                </c:pt>
                <c:pt idx="46">
                  <c:v>-1.9771672503477E-4</c:v>
                </c:pt>
                <c:pt idx="47">
                  <c:v>8.7774671965303096E-4</c:v>
                </c:pt>
                <c:pt idx="48">
                  <c:v>4.7823573369659602E-4</c:v>
                </c:pt>
                <c:pt idx="49">
                  <c:v>1.5440757509027801E-4</c:v>
                </c:pt>
                <c:pt idx="50">
                  <c:v>5.8404873433095901E-3</c:v>
                </c:pt>
                <c:pt idx="51">
                  <c:v>3.9026727007557098E-3</c:v>
                </c:pt>
                <c:pt idx="52">
                  <c:v>2.6061832057012102E-3</c:v>
                </c:pt>
                <c:pt idx="53">
                  <c:v>2.3360154985266101E-3</c:v>
                </c:pt>
                <c:pt idx="54">
                  <c:v>-3.7931731692610001E-3</c:v>
                </c:pt>
                <c:pt idx="55">
                  <c:v>-3.8952174016975301E-3</c:v>
                </c:pt>
                <c:pt idx="56">
                  <c:v>-3.9866151651185297E-3</c:v>
                </c:pt>
                <c:pt idx="57">
                  <c:v>-3.2023920390749799E-3</c:v>
                </c:pt>
                <c:pt idx="58">
                  <c:v>-2.6149163892672401E-3</c:v>
                </c:pt>
                <c:pt idx="59">
                  <c:v>-1.41278280887894E-3</c:v>
                </c:pt>
                <c:pt idx="60">
                  <c:v>-1.4884973904665999E-3</c:v>
                </c:pt>
                <c:pt idx="61">
                  <c:v>-2.6031119166472498E-3</c:v>
                </c:pt>
                <c:pt idx="62">
                  <c:v>-3.06309679881644E-3</c:v>
                </c:pt>
                <c:pt idx="63">
                  <c:v>-1.27662694845909E-3</c:v>
                </c:pt>
                <c:pt idx="64">
                  <c:v>-6.5051171065638302E-4</c:v>
                </c:pt>
                <c:pt idx="65">
                  <c:v>-1.6334797191176499E-3</c:v>
                </c:pt>
                <c:pt idx="66">
                  <c:v>-1.86730056802345E-3</c:v>
                </c:pt>
                <c:pt idx="67">
                  <c:v>-2.2585357360665899E-3</c:v>
                </c:pt>
                <c:pt idx="68">
                  <c:v>-1.64257202197271E-3</c:v>
                </c:pt>
                <c:pt idx="69">
                  <c:v>-2.0161921419967999E-4</c:v>
                </c:pt>
                <c:pt idx="70">
                  <c:v>-6.4283787760013595E-4</c:v>
                </c:pt>
                <c:pt idx="71">
                  <c:v>-1.0008796879671E-3</c:v>
                </c:pt>
                <c:pt idx="72">
                  <c:v>6.46677554439445E-4</c:v>
                </c:pt>
                <c:pt idx="73">
                  <c:v>-7.30940977111747E-4</c:v>
                </c:pt>
                <c:pt idx="74">
                  <c:v>1.0345624661343199E-4</c:v>
                </c:pt>
                <c:pt idx="75">
                  <c:v>3.8811561949776599E-4</c:v>
                </c:pt>
                <c:pt idx="76">
                  <c:v>1.1441783994035901E-3</c:v>
                </c:pt>
                <c:pt idx="77">
                  <c:v>7.5964533791006195E-5</c:v>
                </c:pt>
                <c:pt idx="78">
                  <c:v>-9.4693464924665001E-4</c:v>
                </c:pt>
                <c:pt idx="79">
                  <c:v>-2.9537118770157298E-4</c:v>
                </c:pt>
                <c:pt idx="80">
                  <c:v>4.3738652369766998E-4</c:v>
                </c:pt>
                <c:pt idx="81">
                  <c:v>8.2389621242206904E-4</c:v>
                </c:pt>
                <c:pt idx="82">
                  <c:v>-1.05770988642919E-3</c:v>
                </c:pt>
                <c:pt idx="83">
                  <c:v>-5.2757339578424103E-4</c:v>
                </c:pt>
                <c:pt idx="84">
                  <c:v>-6.34879186893706E-4</c:v>
                </c:pt>
                <c:pt idx="85">
                  <c:v>-1.7227037220275401E-3</c:v>
                </c:pt>
                <c:pt idx="86">
                  <c:v>-7.7294924649753505E-4</c:v>
                </c:pt>
                <c:pt idx="87">
                  <c:v>1.8559501190401799E-4</c:v>
                </c:pt>
                <c:pt idx="88">
                  <c:v>5.4176453512329997E-4</c:v>
                </c:pt>
                <c:pt idx="89">
                  <c:v>1.01222477761323E-3</c:v>
                </c:pt>
                <c:pt idx="90">
                  <c:v>6.5941246499090099E-4</c:v>
                </c:pt>
                <c:pt idx="91">
                  <c:v>7.7174399681530996E-4</c:v>
                </c:pt>
                <c:pt idx="92">
                  <c:v>1.64210703233781E-3</c:v>
                </c:pt>
                <c:pt idx="93">
                  <c:v>2.6346282620703099E-3</c:v>
                </c:pt>
                <c:pt idx="94">
                  <c:v>4.2046144818253996E-3</c:v>
                </c:pt>
                <c:pt idx="95">
                  <c:v>1.59794912482034E-3</c:v>
                </c:pt>
                <c:pt idx="96">
                  <c:v>-5.4461065558601099E-4</c:v>
                </c:pt>
                <c:pt idx="97">
                  <c:v>5.9702147978872599E-4</c:v>
                </c:pt>
                <c:pt idx="98">
                  <c:v>-1.9948658397977099E-3</c:v>
                </c:pt>
                <c:pt idx="99">
                  <c:v>-1.1478195510052499E-3</c:v>
                </c:pt>
                <c:pt idx="100">
                  <c:v>-2.30524707355895E-3</c:v>
                </c:pt>
                <c:pt idx="101">
                  <c:v>-3.5202016520607098E-3</c:v>
                </c:pt>
                <c:pt idx="102">
                  <c:v>-2.3583029831205399E-3</c:v>
                </c:pt>
                <c:pt idx="103">
                  <c:v>-2.0674088571935702E-3</c:v>
                </c:pt>
                <c:pt idx="104">
                  <c:v>-2.0493312760161099E-3</c:v>
                </c:pt>
                <c:pt idx="105">
                  <c:v>-1.07153874686128E-3</c:v>
                </c:pt>
                <c:pt idx="106">
                  <c:v>1.9621913830124302E-3</c:v>
                </c:pt>
                <c:pt idx="107">
                  <c:v>2.3647220777747399E-3</c:v>
                </c:pt>
                <c:pt idx="108">
                  <c:v>1.96186370875429E-3</c:v>
                </c:pt>
                <c:pt idx="109">
                  <c:v>2.44211081385152E-3</c:v>
                </c:pt>
                <c:pt idx="110">
                  <c:v>1.17705336092924E-3</c:v>
                </c:pt>
                <c:pt idx="111">
                  <c:v>9.2374506093556997E-4</c:v>
                </c:pt>
                <c:pt idx="112">
                  <c:v>4.7061231499985002E-3</c:v>
                </c:pt>
                <c:pt idx="113">
                  <c:v>5.0938953900357201E-3</c:v>
                </c:pt>
                <c:pt idx="114">
                  <c:v>3.1926247142116202E-3</c:v>
                </c:pt>
                <c:pt idx="115">
                  <c:v>2.3634681663782298E-3</c:v>
                </c:pt>
                <c:pt idx="116">
                  <c:v>-6.1549506304748001E-3</c:v>
                </c:pt>
                <c:pt idx="117">
                  <c:v>-4.0409891843725997E-3</c:v>
                </c:pt>
                <c:pt idx="118">
                  <c:v>-3.62025530327735E-3</c:v>
                </c:pt>
                <c:pt idx="119">
                  <c:v>-3.9807621527893798E-3</c:v>
                </c:pt>
                <c:pt idx="120">
                  <c:v>-3.3068138038823201E-3</c:v>
                </c:pt>
                <c:pt idx="121">
                  <c:v>-3.4782629500032798E-3</c:v>
                </c:pt>
                <c:pt idx="122">
                  <c:v>-5.2665039781142403E-3</c:v>
                </c:pt>
                <c:pt idx="123">
                  <c:v>-4.6653329870225196E-3</c:v>
                </c:pt>
                <c:pt idx="124">
                  <c:v>-3.98465412169799E-3</c:v>
                </c:pt>
                <c:pt idx="125">
                  <c:v>-3.25747357937625E-3</c:v>
                </c:pt>
                <c:pt idx="126">
                  <c:v>-1.0264993698761E-3</c:v>
                </c:pt>
                <c:pt idx="127">
                  <c:v>9.8631160707853298E-4</c:v>
                </c:pt>
                <c:pt idx="128">
                  <c:v>5.6489752140094799E-4</c:v>
                </c:pt>
                <c:pt idx="129">
                  <c:v>6.4749658457398103E-4</c:v>
                </c:pt>
                <c:pt idx="130">
                  <c:v>2.3216324251310598E-3</c:v>
                </c:pt>
                <c:pt idx="131">
                  <c:v>2.1539267750596502E-3</c:v>
                </c:pt>
                <c:pt idx="132">
                  <c:v>2.0986193841224998E-3</c:v>
                </c:pt>
                <c:pt idx="133">
                  <c:v>2.4959401657681799E-3</c:v>
                </c:pt>
                <c:pt idx="134">
                  <c:v>1.7717821606379801E-3</c:v>
                </c:pt>
                <c:pt idx="135">
                  <c:v>1.29124935734999E-3</c:v>
                </c:pt>
                <c:pt idx="136">
                  <c:v>-3.7661307968112997E-5</c:v>
                </c:pt>
                <c:pt idx="137">
                  <c:v>-5.2008609201919501E-4</c:v>
                </c:pt>
                <c:pt idx="138">
                  <c:v>-2.0937190547721E-3</c:v>
                </c:pt>
                <c:pt idx="139">
                  <c:v>1.37153163619388E-4</c:v>
                </c:pt>
                <c:pt idx="140">
                  <c:v>-4.5413398865484702E-4</c:v>
                </c:pt>
                <c:pt idx="141">
                  <c:v>1.2635722332388201E-3</c:v>
                </c:pt>
                <c:pt idx="142">
                  <c:v>1.26766476343204E-3</c:v>
                </c:pt>
                <c:pt idx="143">
                  <c:v>1.30850362072594E-3</c:v>
                </c:pt>
                <c:pt idx="144">
                  <c:v>1.99019618094224E-3</c:v>
                </c:pt>
                <c:pt idx="145">
                  <c:v>-3.3762731340305802E-4</c:v>
                </c:pt>
                <c:pt idx="146">
                  <c:v>-1.35313681782876E-3</c:v>
                </c:pt>
                <c:pt idx="147">
                  <c:v>-4.0701075129438502E-4</c:v>
                </c:pt>
                <c:pt idx="148">
                  <c:v>-2.0024901742443399E-3</c:v>
                </c:pt>
                <c:pt idx="149">
                  <c:v>-2.4047493333591301E-3</c:v>
                </c:pt>
                <c:pt idx="150">
                  <c:v>-7.2206866810378895E-4</c:v>
                </c:pt>
                <c:pt idx="151">
                  <c:v>1.11675769292872E-3</c:v>
                </c:pt>
                <c:pt idx="152">
                  <c:v>7.5459338996541599E-4</c:v>
                </c:pt>
                <c:pt idx="153">
                  <c:v>1.7620241280754199E-3</c:v>
                </c:pt>
                <c:pt idx="154">
                  <c:v>1.91129040526511E-3</c:v>
                </c:pt>
                <c:pt idx="155">
                  <c:v>3.6057714800690399E-3</c:v>
                </c:pt>
                <c:pt idx="156">
                  <c:v>4.9513421758158298E-3</c:v>
                </c:pt>
                <c:pt idx="157">
                  <c:v>3.0426888586797302E-3</c:v>
                </c:pt>
                <c:pt idx="158">
                  <c:v>2.47264734304417E-3</c:v>
                </c:pt>
                <c:pt idx="159">
                  <c:v>1.9630243257112E-3</c:v>
                </c:pt>
                <c:pt idx="160">
                  <c:v>1.1935173092112799E-3</c:v>
                </c:pt>
                <c:pt idx="161">
                  <c:v>2.7140154185955402E-4</c:v>
                </c:pt>
                <c:pt idx="162">
                  <c:v>1.1470967279065499E-3</c:v>
                </c:pt>
                <c:pt idx="163">
                  <c:v>3.62836355845681E-4</c:v>
                </c:pt>
                <c:pt idx="164">
                  <c:v>1.54299057931319E-3</c:v>
                </c:pt>
                <c:pt idx="165">
                  <c:v>1.3922533681066699E-3</c:v>
                </c:pt>
                <c:pt idx="166">
                  <c:v>-1.7436190966009399E-4</c:v>
                </c:pt>
                <c:pt idx="167">
                  <c:v>1.2350454680137399E-3</c:v>
                </c:pt>
                <c:pt idx="168">
                  <c:v>-3.9214934174114103E-5</c:v>
                </c:pt>
                <c:pt idx="169">
                  <c:v>6.1668433185748598E-4</c:v>
                </c:pt>
                <c:pt idx="170">
                  <c:v>1.9778938935263199E-3</c:v>
                </c:pt>
                <c:pt idx="171">
                  <c:v>2.28616449660996E-3</c:v>
                </c:pt>
                <c:pt idx="172">
                  <c:v>4.3408635840300902E-4</c:v>
                </c:pt>
                <c:pt idx="173">
                  <c:v>4.8322831905382599E-4</c:v>
                </c:pt>
                <c:pt idx="174">
                  <c:v>2.3398984094836299E-4</c:v>
                </c:pt>
                <c:pt idx="175">
                  <c:v>6.0882524919403597E-3</c:v>
                </c:pt>
                <c:pt idx="176">
                  <c:v>6.73723660497601E-3</c:v>
                </c:pt>
                <c:pt idx="177">
                  <c:v>5.8995025879295098E-3</c:v>
                </c:pt>
                <c:pt idx="178">
                  <c:v>6.51712016880579E-3</c:v>
                </c:pt>
                <c:pt idx="179">
                  <c:v>-6.9091304192474604E-4</c:v>
                </c:pt>
                <c:pt idx="180">
                  <c:v>-1.25031380170687E-3</c:v>
                </c:pt>
                <c:pt idx="181">
                  <c:v>-1.34668560561191E-3</c:v>
                </c:pt>
                <c:pt idx="182">
                  <c:v>-9.2714612214277799E-4</c:v>
                </c:pt>
                <c:pt idx="183">
                  <c:v>-1.19941526939076E-3</c:v>
                </c:pt>
                <c:pt idx="184">
                  <c:v>-3.32306654497924E-4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3-4077-86EE-C6FCE7C50C78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XLE x 20 dma / IYE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Sheet1!$W$2:$W$186</c:f>
              <c:numCache>
                <c:formatCode>0.0000%</c:formatCode>
                <c:ptCount val="185"/>
                <c:pt idx="20">
                  <c:v>6.3019890609357495E-4</c:v>
                </c:pt>
                <c:pt idx="21">
                  <c:v>1.7640406318320801E-3</c:v>
                </c:pt>
                <c:pt idx="22">
                  <c:v>1.89061466201886E-3</c:v>
                </c:pt>
                <c:pt idx="23">
                  <c:v>1.3994902161839999E-3</c:v>
                </c:pt>
                <c:pt idx="24">
                  <c:v>2.10500498786569E-3</c:v>
                </c:pt>
                <c:pt idx="25">
                  <c:v>1.3045865065083599E-3</c:v>
                </c:pt>
                <c:pt idx="26">
                  <c:v>1.0006291648773E-3</c:v>
                </c:pt>
                <c:pt idx="27">
                  <c:v>1.77538956832815E-3</c:v>
                </c:pt>
                <c:pt idx="28">
                  <c:v>2.2391640221659198E-3</c:v>
                </c:pt>
                <c:pt idx="29">
                  <c:v>1.4447894549931401E-3</c:v>
                </c:pt>
                <c:pt idx="30">
                  <c:v>1.0636157526855801E-3</c:v>
                </c:pt>
                <c:pt idx="31">
                  <c:v>5.2664900167891798E-4</c:v>
                </c:pt>
                <c:pt idx="32">
                  <c:v>9.8067359370630704E-4</c:v>
                </c:pt>
                <c:pt idx="33">
                  <c:v>-6.4575143890585E-4</c:v>
                </c:pt>
                <c:pt idx="34">
                  <c:v>2.8334554817569402E-4</c:v>
                </c:pt>
                <c:pt idx="35">
                  <c:v>-5.1877813767597296E-4</c:v>
                </c:pt>
                <c:pt idx="36">
                  <c:v>1.29364593957422E-3</c:v>
                </c:pt>
                <c:pt idx="37">
                  <c:v>4.8251654076850501E-4</c:v>
                </c:pt>
                <c:pt idx="38">
                  <c:v>7.09856093884698E-4</c:v>
                </c:pt>
                <c:pt idx="39">
                  <c:v>-1.78415273966547E-4</c:v>
                </c:pt>
                <c:pt idx="40">
                  <c:v>4.8712974003022898E-4</c:v>
                </c:pt>
                <c:pt idx="41">
                  <c:v>6.65539674590836E-5</c:v>
                </c:pt>
                <c:pt idx="42">
                  <c:v>-1.7196403437130199E-5</c:v>
                </c:pt>
                <c:pt idx="43">
                  <c:v>3.9669508467890698E-4</c:v>
                </c:pt>
                <c:pt idx="44">
                  <c:v>1.19607085001913E-4</c:v>
                </c:pt>
                <c:pt idx="45">
                  <c:v>-5.5744813084627597E-4</c:v>
                </c:pt>
                <c:pt idx="46">
                  <c:v>-6.1320128444810901E-5</c:v>
                </c:pt>
                <c:pt idx="47">
                  <c:v>9.0714025575243298E-4</c:v>
                </c:pt>
                <c:pt idx="48">
                  <c:v>5.6174392682300004E-4</c:v>
                </c:pt>
                <c:pt idx="49">
                  <c:v>2.7331211167223499E-4</c:v>
                </c:pt>
                <c:pt idx="50">
                  <c:v>6.0232576462737504E-3</c:v>
                </c:pt>
                <c:pt idx="51">
                  <c:v>4.3563734298419296E-3</c:v>
                </c:pt>
                <c:pt idx="52">
                  <c:v>3.2753864981343202E-3</c:v>
                </c:pt>
                <c:pt idx="53">
                  <c:v>3.2135273678533401E-3</c:v>
                </c:pt>
                <c:pt idx="54">
                  <c:v>-2.8184201191658901E-3</c:v>
                </c:pt>
                <c:pt idx="55">
                  <c:v>-3.04081708669794E-3</c:v>
                </c:pt>
                <c:pt idx="56">
                  <c:v>-3.2350075312809401E-3</c:v>
                </c:pt>
                <c:pt idx="57">
                  <c:v>-2.5219978890931301E-3</c:v>
                </c:pt>
                <c:pt idx="58">
                  <c:v>-2.1111514819106502E-3</c:v>
                </c:pt>
                <c:pt idx="59">
                  <c:v>-1.0216764700232499E-3</c:v>
                </c:pt>
                <c:pt idx="60">
                  <c:v>-1.1685916592526599E-3</c:v>
                </c:pt>
                <c:pt idx="61">
                  <c:v>-2.9017412033109698E-3</c:v>
                </c:pt>
                <c:pt idx="62">
                  <c:v>-3.9485542952753996E-3</c:v>
                </c:pt>
                <c:pt idx="63">
                  <c:v>-2.7272220333076302E-3</c:v>
                </c:pt>
                <c:pt idx="64">
                  <c:v>-2.6043580858057598E-3</c:v>
                </c:pt>
                <c:pt idx="65">
                  <c:v>-3.5280126832654499E-3</c:v>
                </c:pt>
                <c:pt idx="66">
                  <c:v>-3.7602953832770402E-3</c:v>
                </c:pt>
                <c:pt idx="67">
                  <c:v>-4.1205566211061501E-3</c:v>
                </c:pt>
                <c:pt idx="68">
                  <c:v>-3.5076485462819402E-3</c:v>
                </c:pt>
                <c:pt idx="69">
                  <c:v>-2.10026722676633E-3</c:v>
                </c:pt>
                <c:pt idx="70">
                  <c:v>-2.6313447053395301E-3</c:v>
                </c:pt>
                <c:pt idx="71">
                  <c:v>-2.8125870863674801E-3</c:v>
                </c:pt>
                <c:pt idx="72">
                  <c:v>-9.1197469628475595E-4</c:v>
                </c:pt>
                <c:pt idx="73">
                  <c:v>-1.88897901733528E-3</c:v>
                </c:pt>
                <c:pt idx="74">
                  <c:v>-8.1834591016763001E-4</c:v>
                </c:pt>
                <c:pt idx="75">
                  <c:v>-5.4970607286603695E-4</c:v>
                </c:pt>
                <c:pt idx="76">
                  <c:v>2.9013971365462798E-4</c:v>
                </c:pt>
                <c:pt idx="77">
                  <c:v>-6.2949188585170301E-4</c:v>
                </c:pt>
                <c:pt idx="78">
                  <c:v>-1.4670460677886799E-3</c:v>
                </c:pt>
                <c:pt idx="79">
                  <c:v>-6.9471220679288804E-4</c:v>
                </c:pt>
                <c:pt idx="80">
                  <c:v>1.2272333705471699E-4</c:v>
                </c:pt>
                <c:pt idx="81">
                  <c:v>6.8832480942086403E-4</c:v>
                </c:pt>
                <c:pt idx="82">
                  <c:v>-1.0143942586921201E-3</c:v>
                </c:pt>
                <c:pt idx="83">
                  <c:v>-5.9465028326831197E-4</c:v>
                </c:pt>
                <c:pt idx="84">
                  <c:v>-6.0993050980176499E-4</c:v>
                </c:pt>
                <c:pt idx="85">
                  <c:v>-1.67769908188354E-3</c:v>
                </c:pt>
                <c:pt idx="86">
                  <c:v>-8.3629735297468296E-4</c:v>
                </c:pt>
                <c:pt idx="87">
                  <c:v>-4.4989776427545798E-5</c:v>
                </c:pt>
                <c:pt idx="88">
                  <c:v>2.47449122351121E-4</c:v>
                </c:pt>
                <c:pt idx="89">
                  <c:v>7.8014582831977301E-4</c:v>
                </c:pt>
                <c:pt idx="90">
                  <c:v>5.1408418561530399E-4</c:v>
                </c:pt>
                <c:pt idx="91">
                  <c:v>6.0045395405259195E-4</c:v>
                </c:pt>
                <c:pt idx="92">
                  <c:v>1.3734367242953099E-3</c:v>
                </c:pt>
                <c:pt idx="93">
                  <c:v>2.5548978040271001E-3</c:v>
                </c:pt>
                <c:pt idx="94">
                  <c:v>4.2714098747947604E-3</c:v>
                </c:pt>
                <c:pt idx="95">
                  <c:v>1.9475231769695699E-3</c:v>
                </c:pt>
                <c:pt idx="96">
                  <c:v>1.0732439796201E-4</c:v>
                </c:pt>
                <c:pt idx="97">
                  <c:v>1.4279401478174E-3</c:v>
                </c:pt>
                <c:pt idx="98">
                  <c:v>-1.04258115660121E-3</c:v>
                </c:pt>
                <c:pt idx="99">
                  <c:v>-2.7230241968632902E-4</c:v>
                </c:pt>
                <c:pt idx="100">
                  <c:v>-1.4924366066892199E-3</c:v>
                </c:pt>
                <c:pt idx="101">
                  <c:v>-2.7711007633445298E-3</c:v>
                </c:pt>
                <c:pt idx="102">
                  <c:v>-1.7295589643070599E-3</c:v>
                </c:pt>
                <c:pt idx="103">
                  <c:v>-1.6841426797941899E-3</c:v>
                </c:pt>
                <c:pt idx="104">
                  <c:v>-2.0128906586436902E-3</c:v>
                </c:pt>
                <c:pt idx="105">
                  <c:v>-1.59188928234524E-3</c:v>
                </c:pt>
                <c:pt idx="106">
                  <c:v>1.0556659411173001E-3</c:v>
                </c:pt>
                <c:pt idx="107">
                  <c:v>1.4161318787304499E-3</c:v>
                </c:pt>
                <c:pt idx="108">
                  <c:v>9.031959967669E-4</c:v>
                </c:pt>
                <c:pt idx="109">
                  <c:v>1.5068466575879E-3</c:v>
                </c:pt>
                <c:pt idx="110">
                  <c:v>3.48000885786723E-4</c:v>
                </c:pt>
                <c:pt idx="111">
                  <c:v>2.5282344836199402E-4</c:v>
                </c:pt>
                <c:pt idx="112">
                  <c:v>4.33024368151362E-3</c:v>
                </c:pt>
                <c:pt idx="113">
                  <c:v>5.1704680038349203E-3</c:v>
                </c:pt>
                <c:pt idx="114">
                  <c:v>3.8314933091484699E-3</c:v>
                </c:pt>
                <c:pt idx="115">
                  <c:v>3.63767347139739E-3</c:v>
                </c:pt>
                <c:pt idx="116">
                  <c:v>-4.3952996533074499E-3</c:v>
                </c:pt>
                <c:pt idx="117">
                  <c:v>-2.5472432543358799E-3</c:v>
                </c:pt>
                <c:pt idx="118">
                  <c:v>-2.2916308877315599E-3</c:v>
                </c:pt>
                <c:pt idx="119">
                  <c:v>-2.8908783465450101E-3</c:v>
                </c:pt>
                <c:pt idx="120">
                  <c:v>-2.5155726442736598E-3</c:v>
                </c:pt>
                <c:pt idx="121">
                  <c:v>-2.92368937151976E-3</c:v>
                </c:pt>
                <c:pt idx="122">
                  <c:v>-5.0321938846981202E-3</c:v>
                </c:pt>
                <c:pt idx="123">
                  <c:v>-5.2213565567898702E-3</c:v>
                </c:pt>
                <c:pt idx="124">
                  <c:v>-5.4479600005466399E-3</c:v>
                </c:pt>
                <c:pt idx="125">
                  <c:v>-5.5498209191748001E-3</c:v>
                </c:pt>
                <c:pt idx="126">
                  <c:v>-4.12537654794627E-3</c:v>
                </c:pt>
                <c:pt idx="127">
                  <c:v>-1.9361873090276501E-3</c:v>
                </c:pt>
                <c:pt idx="128">
                  <c:v>-2.2278353405028898E-3</c:v>
                </c:pt>
                <c:pt idx="129">
                  <c:v>-2.0691330929147999E-3</c:v>
                </c:pt>
                <c:pt idx="130">
                  <c:v>-2.2346158626815701E-4</c:v>
                </c:pt>
                <c:pt idx="131">
                  <c:v>-2.1970719830097699E-4</c:v>
                </c:pt>
                <c:pt idx="132">
                  <c:v>-6.6665549563225195E-5</c:v>
                </c:pt>
                <c:pt idx="133">
                  <c:v>9.5614407284557996E-4</c:v>
                </c:pt>
                <c:pt idx="134">
                  <c:v>9.7789657893176908E-4</c:v>
                </c:pt>
                <c:pt idx="135">
                  <c:v>1.2100718378898099E-3</c:v>
                </c:pt>
                <c:pt idx="136">
                  <c:v>6.10277251507905E-4</c:v>
                </c:pt>
                <c:pt idx="137">
                  <c:v>2.96308554370186E-4</c:v>
                </c:pt>
                <c:pt idx="138">
                  <c:v>-1.2297408142184899E-3</c:v>
                </c:pt>
                <c:pt idx="139">
                  <c:v>1.0248206040997E-3</c:v>
                </c:pt>
                <c:pt idx="140">
                  <c:v>5.3745208299191705E-4</c:v>
                </c:pt>
                <c:pt idx="141">
                  <c:v>2.1888810334972E-3</c:v>
                </c:pt>
                <c:pt idx="142">
                  <c:v>2.1970220699240499E-3</c:v>
                </c:pt>
                <c:pt idx="143">
                  <c:v>2.1376543855291101E-3</c:v>
                </c:pt>
                <c:pt idx="144">
                  <c:v>2.6387839273016699E-3</c:v>
                </c:pt>
                <c:pt idx="145">
                  <c:v>1.7804357161991101E-4</c:v>
                </c:pt>
                <c:pt idx="146">
                  <c:v>-1.0870180627711599E-3</c:v>
                </c:pt>
                <c:pt idx="147">
                  <c:v>-2.9448536061056402E-4</c:v>
                </c:pt>
                <c:pt idx="148">
                  <c:v>-1.8793378176751401E-3</c:v>
                </c:pt>
                <c:pt idx="149">
                  <c:v>-2.2180302407823998E-3</c:v>
                </c:pt>
                <c:pt idx="150">
                  <c:v>-7.0716886523717205E-4</c:v>
                </c:pt>
                <c:pt idx="151">
                  <c:v>1.1594240191192E-3</c:v>
                </c:pt>
                <c:pt idx="152">
                  <c:v>7.4625309589234203E-4</c:v>
                </c:pt>
                <c:pt idx="153">
                  <c:v>1.67591881572264E-3</c:v>
                </c:pt>
                <c:pt idx="154">
                  <c:v>1.81574425118904E-3</c:v>
                </c:pt>
                <c:pt idx="155">
                  <c:v>3.4210943694512001E-3</c:v>
                </c:pt>
                <c:pt idx="156">
                  <c:v>4.9749463107640604E-3</c:v>
                </c:pt>
                <c:pt idx="157">
                  <c:v>3.4226885097240999E-3</c:v>
                </c:pt>
                <c:pt idx="158">
                  <c:v>3.0461482751271501E-3</c:v>
                </c:pt>
                <c:pt idx="159">
                  <c:v>2.80106396841892E-3</c:v>
                </c:pt>
                <c:pt idx="160">
                  <c:v>2.4431118936888E-3</c:v>
                </c:pt>
                <c:pt idx="161">
                  <c:v>1.75416124962717E-3</c:v>
                </c:pt>
                <c:pt idx="162">
                  <c:v>2.7390877162350499E-3</c:v>
                </c:pt>
                <c:pt idx="163">
                  <c:v>2.1604791172647902E-3</c:v>
                </c:pt>
                <c:pt idx="164">
                  <c:v>3.43650338200968E-3</c:v>
                </c:pt>
                <c:pt idx="165">
                  <c:v>3.4704190752094998E-3</c:v>
                </c:pt>
                <c:pt idx="166">
                  <c:v>1.82212375765118E-3</c:v>
                </c:pt>
                <c:pt idx="167">
                  <c:v>2.8569232741298802E-3</c:v>
                </c:pt>
                <c:pt idx="168">
                  <c:v>1.4437652463918E-3</c:v>
                </c:pt>
                <c:pt idx="169">
                  <c:v>1.8406511699417601E-3</c:v>
                </c:pt>
                <c:pt idx="170">
                  <c:v>2.9540232134969602E-3</c:v>
                </c:pt>
                <c:pt idx="171">
                  <c:v>3.1780012516544002E-3</c:v>
                </c:pt>
                <c:pt idx="172">
                  <c:v>1.4098529955253599E-3</c:v>
                </c:pt>
                <c:pt idx="173">
                  <c:v>1.3419373807259201E-3</c:v>
                </c:pt>
                <c:pt idx="174">
                  <c:v>1.07484974407787E-3</c:v>
                </c:pt>
                <c:pt idx="175">
                  <c:v>6.7767814051060901E-3</c:v>
                </c:pt>
                <c:pt idx="176">
                  <c:v>7.6318308912892499E-3</c:v>
                </c:pt>
                <c:pt idx="177">
                  <c:v>7.2856183031561397E-3</c:v>
                </c:pt>
                <c:pt idx="178">
                  <c:v>8.20311987465807E-3</c:v>
                </c:pt>
                <c:pt idx="179">
                  <c:v>1.4691458105514101E-3</c:v>
                </c:pt>
                <c:pt idx="180">
                  <c:v>1.00569844377918E-3</c:v>
                </c:pt>
                <c:pt idx="181">
                  <c:v>8.3650804444366296E-4</c:v>
                </c:pt>
                <c:pt idx="182">
                  <c:v>1.10238296849868E-3</c:v>
                </c:pt>
                <c:pt idx="183">
                  <c:v>9.0338153032165603E-4</c:v>
                </c:pt>
                <c:pt idx="184">
                  <c:v>1.8049136170432999E-3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43-4077-86EE-C6FCE7C50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-2.476935568290501E-4</c:v>
                </c:pt>
                <c:pt idx="37">
                  <c:v>3.0728001506414963E-4</c:v>
                </c:pt>
                <c:pt idx="38">
                  <c:v>6.2230980605374776E-4</c:v>
                </c:pt>
                <c:pt idx="39">
                  <c:v>1.6155494194223172E-3</c:v>
                </c:pt>
                <c:pt idx="40">
                  <c:v>1.6155494194223172E-3</c:v>
                </c:pt>
                <c:pt idx="41">
                  <c:v>1.6155494194223172E-3</c:v>
                </c:pt>
                <c:pt idx="42">
                  <c:v>1.6155494194223172E-3</c:v>
                </c:pt>
                <c:pt idx="43">
                  <c:v>2.6586849270711574E-3</c:v>
                </c:pt>
                <c:pt idx="44">
                  <c:v>2.6347061344190684E-3</c:v>
                </c:pt>
                <c:pt idx="45">
                  <c:v>1.5748349922594749E-3</c:v>
                </c:pt>
                <c:pt idx="46">
                  <c:v>1.1878004901102746E-3</c:v>
                </c:pt>
                <c:pt idx="47">
                  <c:v>6.2938026439026459E-4</c:v>
                </c:pt>
                <c:pt idx="48">
                  <c:v>9.6677542054030485E-4</c:v>
                </c:pt>
                <c:pt idx="49">
                  <c:v>2.131564573292105E-3</c:v>
                </c:pt>
                <c:pt idx="50">
                  <c:v>1.4316878469747747E-3</c:v>
                </c:pt>
                <c:pt idx="51">
                  <c:v>7.604531664659746E-4</c:v>
                </c:pt>
                <c:pt idx="52">
                  <c:v>2.205586081401274E-3</c:v>
                </c:pt>
                <c:pt idx="53">
                  <c:v>2.205586081401274E-3</c:v>
                </c:pt>
                <c:pt idx="54">
                  <c:v>2.205586081401274E-3</c:v>
                </c:pt>
                <c:pt idx="55">
                  <c:v>2.205586081401274E-3</c:v>
                </c:pt>
                <c:pt idx="56">
                  <c:v>2.205586081401274E-3</c:v>
                </c:pt>
                <c:pt idx="57">
                  <c:v>2.205586081401274E-3</c:v>
                </c:pt>
                <c:pt idx="58">
                  <c:v>2.205586081401274E-3</c:v>
                </c:pt>
                <c:pt idx="59">
                  <c:v>2.205586081401274E-3</c:v>
                </c:pt>
                <c:pt idx="60">
                  <c:v>2.205586081401274E-3</c:v>
                </c:pt>
                <c:pt idx="61">
                  <c:v>2.205586081401274E-3</c:v>
                </c:pt>
                <c:pt idx="62">
                  <c:v>2.205586081401274E-3</c:v>
                </c:pt>
                <c:pt idx="63">
                  <c:v>2.205586081401274E-3</c:v>
                </c:pt>
                <c:pt idx="64">
                  <c:v>2.205586081401274E-3</c:v>
                </c:pt>
                <c:pt idx="65">
                  <c:v>2.205586081401274E-3</c:v>
                </c:pt>
                <c:pt idx="66">
                  <c:v>2.205586081401274E-3</c:v>
                </c:pt>
                <c:pt idx="67">
                  <c:v>2.205586081401274E-3</c:v>
                </c:pt>
                <c:pt idx="68">
                  <c:v>2.205586081401274E-3</c:v>
                </c:pt>
                <c:pt idx="69">
                  <c:v>2.205586081401274E-3</c:v>
                </c:pt>
                <c:pt idx="70">
                  <c:v>2.205586081401274E-3</c:v>
                </c:pt>
                <c:pt idx="71">
                  <c:v>2.205586081401274E-3</c:v>
                </c:pt>
                <c:pt idx="72">
                  <c:v>2.205586081401274E-3</c:v>
                </c:pt>
                <c:pt idx="73">
                  <c:v>2.205586081401274E-3</c:v>
                </c:pt>
                <c:pt idx="74">
                  <c:v>2.205586081401274E-3</c:v>
                </c:pt>
                <c:pt idx="75">
                  <c:v>2.205586081401274E-3</c:v>
                </c:pt>
                <c:pt idx="76">
                  <c:v>2.205586081401274E-3</c:v>
                </c:pt>
                <c:pt idx="77">
                  <c:v>2.205586081401274E-3</c:v>
                </c:pt>
                <c:pt idx="78">
                  <c:v>2.205586081401274E-3</c:v>
                </c:pt>
                <c:pt idx="79">
                  <c:v>2.205586081401274E-3</c:v>
                </c:pt>
                <c:pt idx="80">
                  <c:v>2.205586081401274E-3</c:v>
                </c:pt>
                <c:pt idx="81">
                  <c:v>2.205586081401274E-3</c:v>
                </c:pt>
                <c:pt idx="82">
                  <c:v>3.0874995235566746E-3</c:v>
                </c:pt>
                <c:pt idx="83">
                  <c:v>3.1038287534909744E-3</c:v>
                </c:pt>
                <c:pt idx="84">
                  <c:v>2.7283791681251735E-3</c:v>
                </c:pt>
                <c:pt idx="85">
                  <c:v>3.0888979205741045E-3</c:v>
                </c:pt>
                <c:pt idx="86">
                  <c:v>5.7519412373334047E-3</c:v>
                </c:pt>
                <c:pt idx="87">
                  <c:v>5.7519412373334047E-3</c:v>
                </c:pt>
                <c:pt idx="88">
                  <c:v>5.7519412373334047E-3</c:v>
                </c:pt>
                <c:pt idx="89">
                  <c:v>5.7519412373334047E-3</c:v>
                </c:pt>
                <c:pt idx="90">
                  <c:v>5.7519412373334047E-3</c:v>
                </c:pt>
                <c:pt idx="91">
                  <c:v>5.7519412373334047E-3</c:v>
                </c:pt>
                <c:pt idx="92">
                  <c:v>5.7519412373334047E-3</c:v>
                </c:pt>
                <c:pt idx="93">
                  <c:v>5.7519412373334047E-3</c:v>
                </c:pt>
                <c:pt idx="94">
                  <c:v>5.7519412373334047E-3</c:v>
                </c:pt>
                <c:pt idx="95">
                  <c:v>5.7519412373334047E-3</c:v>
                </c:pt>
                <c:pt idx="96">
                  <c:v>5.7519412373334047E-3</c:v>
                </c:pt>
                <c:pt idx="97">
                  <c:v>7.4041389618585045E-3</c:v>
                </c:pt>
                <c:pt idx="98">
                  <c:v>7.4820885420704046E-3</c:v>
                </c:pt>
                <c:pt idx="99">
                  <c:v>6.8283293442646933E-3</c:v>
                </c:pt>
                <c:pt idx="100">
                  <c:v>7.0771489787420233E-3</c:v>
                </c:pt>
                <c:pt idx="101">
                  <c:v>6.6150018883922631E-3</c:v>
                </c:pt>
                <c:pt idx="102">
                  <c:v>4.4968945441089831E-3</c:v>
                </c:pt>
                <c:pt idx="103">
                  <c:v>4.1476185071403233E-3</c:v>
                </c:pt>
                <c:pt idx="104">
                  <c:v>3.7425604522647333E-3</c:v>
                </c:pt>
                <c:pt idx="105">
                  <c:v>3.4607215455577634E-3</c:v>
                </c:pt>
                <c:pt idx="106">
                  <c:v>4.6730052431243636E-3</c:v>
                </c:pt>
                <c:pt idx="107">
                  <c:v>6.5778758808243618E-3</c:v>
                </c:pt>
                <c:pt idx="108">
                  <c:v>6.0739544384708615E-3</c:v>
                </c:pt>
                <c:pt idx="109">
                  <c:v>6.0159285417209114E-3</c:v>
                </c:pt>
                <c:pt idx="110">
                  <c:v>7.6089131499863134E-3</c:v>
                </c:pt>
                <c:pt idx="111">
                  <c:v>7.6089131499863134E-3</c:v>
                </c:pt>
                <c:pt idx="112">
                  <c:v>7.6089131499863134E-3</c:v>
                </c:pt>
                <c:pt idx="113">
                  <c:v>7.6089131499863134E-3</c:v>
                </c:pt>
                <c:pt idx="114">
                  <c:v>7.6089131499863134E-3</c:v>
                </c:pt>
                <c:pt idx="115">
                  <c:v>7.6089131499863134E-3</c:v>
                </c:pt>
                <c:pt idx="116">
                  <c:v>7.6089131499863134E-3</c:v>
                </c:pt>
                <c:pt idx="117">
                  <c:v>7.6089131499863134E-3</c:v>
                </c:pt>
                <c:pt idx="118">
                  <c:v>7.6089131499863134E-3</c:v>
                </c:pt>
                <c:pt idx="119">
                  <c:v>7.6089131499863134E-3</c:v>
                </c:pt>
                <c:pt idx="120">
                  <c:v>7.6089131499863134E-3</c:v>
                </c:pt>
                <c:pt idx="121">
                  <c:v>7.6089131499863134E-3</c:v>
                </c:pt>
                <c:pt idx="122">
                  <c:v>7.6089131499863134E-3</c:v>
                </c:pt>
                <c:pt idx="123">
                  <c:v>7.6089131499863134E-3</c:v>
                </c:pt>
                <c:pt idx="124">
                  <c:v>7.6089131499863134E-3</c:v>
                </c:pt>
                <c:pt idx="125">
                  <c:v>7.6089131499863134E-3</c:v>
                </c:pt>
                <c:pt idx="126">
                  <c:v>7.6089131499863134E-3</c:v>
                </c:pt>
                <c:pt idx="127">
                  <c:v>7.6089131499863134E-3</c:v>
                </c:pt>
                <c:pt idx="128">
                  <c:v>7.6089131499863134E-3</c:v>
                </c:pt>
                <c:pt idx="129">
                  <c:v>7.6089131499863134E-3</c:v>
                </c:pt>
                <c:pt idx="130">
                  <c:v>9.0744808870747116E-3</c:v>
                </c:pt>
                <c:pt idx="131">
                  <c:v>1.0889479638445911E-2</c:v>
                </c:pt>
                <c:pt idx="132">
                  <c:v>1.0889479638445911E-2</c:v>
                </c:pt>
                <c:pt idx="133">
                  <c:v>1.0889479638445911E-2</c:v>
                </c:pt>
                <c:pt idx="134">
                  <c:v>1.0889479638445911E-2</c:v>
                </c:pt>
                <c:pt idx="135">
                  <c:v>1.0889479638445911E-2</c:v>
                </c:pt>
                <c:pt idx="136">
                  <c:v>1.0889479638445911E-2</c:v>
                </c:pt>
                <c:pt idx="137">
                  <c:v>1.0889479638445911E-2</c:v>
                </c:pt>
                <c:pt idx="138">
                  <c:v>1.0889479638445911E-2</c:v>
                </c:pt>
                <c:pt idx="139">
                  <c:v>1.0889479638445911E-2</c:v>
                </c:pt>
                <c:pt idx="140">
                  <c:v>1.0889479638445911E-2</c:v>
                </c:pt>
                <c:pt idx="141">
                  <c:v>1.0889479638445911E-2</c:v>
                </c:pt>
                <c:pt idx="142">
                  <c:v>1.0889479638445911E-2</c:v>
                </c:pt>
                <c:pt idx="143">
                  <c:v>1.0889479638445911E-2</c:v>
                </c:pt>
                <c:pt idx="144">
                  <c:v>1.0889479638445911E-2</c:v>
                </c:pt>
                <c:pt idx="145">
                  <c:v>1.0889479638445911E-2</c:v>
                </c:pt>
                <c:pt idx="146">
                  <c:v>1.0889479638445911E-2</c:v>
                </c:pt>
                <c:pt idx="147">
                  <c:v>1.0889479638445911E-2</c:v>
                </c:pt>
                <c:pt idx="148">
                  <c:v>1.0889479638445911E-2</c:v>
                </c:pt>
                <c:pt idx="149">
                  <c:v>1.0889479638445911E-2</c:v>
                </c:pt>
                <c:pt idx="150">
                  <c:v>1.0889479638445911E-2</c:v>
                </c:pt>
                <c:pt idx="151">
                  <c:v>1.0889479638445911E-2</c:v>
                </c:pt>
                <c:pt idx="152">
                  <c:v>1.0889479638445911E-2</c:v>
                </c:pt>
                <c:pt idx="153">
                  <c:v>1.0889479638445911E-2</c:v>
                </c:pt>
                <c:pt idx="154">
                  <c:v>1.0889479638445911E-2</c:v>
                </c:pt>
                <c:pt idx="155">
                  <c:v>1.0889479638445911E-2</c:v>
                </c:pt>
                <c:pt idx="156">
                  <c:v>1.0889479638445911E-2</c:v>
                </c:pt>
                <c:pt idx="157">
                  <c:v>1.0889479638445911E-2</c:v>
                </c:pt>
                <c:pt idx="158">
                  <c:v>1.0889479638445911E-2</c:v>
                </c:pt>
                <c:pt idx="159">
                  <c:v>1.0889479638445911E-2</c:v>
                </c:pt>
                <c:pt idx="160">
                  <c:v>1.0889479638445911E-2</c:v>
                </c:pt>
                <c:pt idx="161">
                  <c:v>1.0889479638445911E-2</c:v>
                </c:pt>
                <c:pt idx="162">
                  <c:v>1.0889479638445911E-2</c:v>
                </c:pt>
                <c:pt idx="163">
                  <c:v>1.0889479638445911E-2</c:v>
                </c:pt>
                <c:pt idx="164">
                  <c:v>1.0889479638445911E-2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5-4648-978E-D7F05104E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2.110087250216601E-3</c:v>
                </c:pt>
                <c:pt idx="76">
                  <c:v>2.110087250216601E-3</c:v>
                </c:pt>
                <c:pt idx="77">
                  <c:v>2.110087250216601E-3</c:v>
                </c:pt>
                <c:pt idx="78">
                  <c:v>2.110087250216601E-3</c:v>
                </c:pt>
                <c:pt idx="79">
                  <c:v>2.110087250216601E-3</c:v>
                </c:pt>
                <c:pt idx="80">
                  <c:v>2.110087250216601E-3</c:v>
                </c:pt>
                <c:pt idx="81">
                  <c:v>2.110087250216601E-3</c:v>
                </c:pt>
                <c:pt idx="82">
                  <c:v>2.110087250216601E-3</c:v>
                </c:pt>
                <c:pt idx="83">
                  <c:v>2.110087250216601E-3</c:v>
                </c:pt>
                <c:pt idx="84">
                  <c:v>2.110087250216601E-3</c:v>
                </c:pt>
                <c:pt idx="85">
                  <c:v>2.110087250216601E-3</c:v>
                </c:pt>
                <c:pt idx="86">
                  <c:v>2.110087250216601E-3</c:v>
                </c:pt>
                <c:pt idx="87">
                  <c:v>2.110087250216601E-3</c:v>
                </c:pt>
                <c:pt idx="88">
                  <c:v>2.110087250216601E-3</c:v>
                </c:pt>
                <c:pt idx="89">
                  <c:v>2.110087250216601E-3</c:v>
                </c:pt>
                <c:pt idx="90">
                  <c:v>2.110087250216601E-3</c:v>
                </c:pt>
                <c:pt idx="91">
                  <c:v>2.110087250216601E-3</c:v>
                </c:pt>
                <c:pt idx="92">
                  <c:v>2.110087250216601E-3</c:v>
                </c:pt>
                <c:pt idx="93">
                  <c:v>2.110087250216601E-3</c:v>
                </c:pt>
                <c:pt idx="94">
                  <c:v>2.110087250216601E-3</c:v>
                </c:pt>
                <c:pt idx="95">
                  <c:v>2.110087250216601E-3</c:v>
                </c:pt>
                <c:pt idx="96">
                  <c:v>2.110087250216601E-3</c:v>
                </c:pt>
                <c:pt idx="97">
                  <c:v>2.110087250216601E-3</c:v>
                </c:pt>
                <c:pt idx="98">
                  <c:v>2.110087250216601E-3</c:v>
                </c:pt>
                <c:pt idx="99">
                  <c:v>2.110087250216601E-3</c:v>
                </c:pt>
                <c:pt idx="100">
                  <c:v>2.110087250216601E-3</c:v>
                </c:pt>
                <c:pt idx="101">
                  <c:v>2.110087250216601E-3</c:v>
                </c:pt>
                <c:pt idx="102">
                  <c:v>2.110087250216601E-3</c:v>
                </c:pt>
                <c:pt idx="103">
                  <c:v>2.110087250216601E-3</c:v>
                </c:pt>
                <c:pt idx="104">
                  <c:v>2.110087250216601E-3</c:v>
                </c:pt>
                <c:pt idx="105">
                  <c:v>2.110087250216601E-3</c:v>
                </c:pt>
                <c:pt idx="106">
                  <c:v>2.110087250216601E-3</c:v>
                </c:pt>
                <c:pt idx="107">
                  <c:v>2.110087250216601E-3</c:v>
                </c:pt>
                <c:pt idx="108">
                  <c:v>2.110087250216601E-3</c:v>
                </c:pt>
                <c:pt idx="109">
                  <c:v>2.110087250216601E-3</c:v>
                </c:pt>
                <c:pt idx="110">
                  <c:v>2.110087250216601E-3</c:v>
                </c:pt>
                <c:pt idx="111">
                  <c:v>2.110087250216601E-3</c:v>
                </c:pt>
                <c:pt idx="112">
                  <c:v>2.110087250216601E-3</c:v>
                </c:pt>
                <c:pt idx="113">
                  <c:v>2.110087250216601E-3</c:v>
                </c:pt>
                <c:pt idx="114">
                  <c:v>2.110087250216601E-3</c:v>
                </c:pt>
                <c:pt idx="115">
                  <c:v>2.110087250216601E-3</c:v>
                </c:pt>
                <c:pt idx="116">
                  <c:v>2.110087250216601E-3</c:v>
                </c:pt>
                <c:pt idx="117">
                  <c:v>2.110087250216601E-3</c:v>
                </c:pt>
                <c:pt idx="118">
                  <c:v>2.110087250216601E-3</c:v>
                </c:pt>
                <c:pt idx="119">
                  <c:v>2.110087250216601E-3</c:v>
                </c:pt>
                <c:pt idx="120">
                  <c:v>2.110087250216601E-3</c:v>
                </c:pt>
                <c:pt idx="121">
                  <c:v>2.110087250216601E-3</c:v>
                </c:pt>
                <c:pt idx="122">
                  <c:v>2.110087250216601E-3</c:v>
                </c:pt>
                <c:pt idx="123">
                  <c:v>2.110087250216601E-3</c:v>
                </c:pt>
                <c:pt idx="124">
                  <c:v>2.110087250216601E-3</c:v>
                </c:pt>
                <c:pt idx="125">
                  <c:v>2.110087250216601E-3</c:v>
                </c:pt>
                <c:pt idx="126">
                  <c:v>2.110087250216601E-3</c:v>
                </c:pt>
                <c:pt idx="127">
                  <c:v>2.110087250216601E-3</c:v>
                </c:pt>
                <c:pt idx="128">
                  <c:v>2.110087250216601E-3</c:v>
                </c:pt>
                <c:pt idx="129">
                  <c:v>2.110087250216601E-3</c:v>
                </c:pt>
                <c:pt idx="130">
                  <c:v>2.110087250216601E-3</c:v>
                </c:pt>
                <c:pt idx="131">
                  <c:v>2.110087250216601E-3</c:v>
                </c:pt>
                <c:pt idx="132">
                  <c:v>2.110087250216601E-3</c:v>
                </c:pt>
                <c:pt idx="133">
                  <c:v>2.110087250216601E-3</c:v>
                </c:pt>
                <c:pt idx="134">
                  <c:v>2.110087250216601E-3</c:v>
                </c:pt>
                <c:pt idx="135">
                  <c:v>2.110087250216601E-3</c:v>
                </c:pt>
                <c:pt idx="136">
                  <c:v>2.110087250216601E-3</c:v>
                </c:pt>
                <c:pt idx="137">
                  <c:v>3.3844964812924749E-3</c:v>
                </c:pt>
                <c:pt idx="138">
                  <c:v>3.533888402954525E-3</c:v>
                </c:pt>
                <c:pt idx="139">
                  <c:v>3.4809812282075052E-3</c:v>
                </c:pt>
                <c:pt idx="140">
                  <c:v>3.6453491049601846E-3</c:v>
                </c:pt>
                <c:pt idx="141">
                  <c:v>4.1255980189731844E-3</c:v>
                </c:pt>
                <c:pt idx="142">
                  <c:v>4.1255980189731844E-3</c:v>
                </c:pt>
                <c:pt idx="143">
                  <c:v>4.1255980189731844E-3</c:v>
                </c:pt>
                <c:pt idx="144">
                  <c:v>4.1255980189731844E-3</c:v>
                </c:pt>
                <c:pt idx="145">
                  <c:v>4.1255980189731844E-3</c:v>
                </c:pt>
                <c:pt idx="146">
                  <c:v>4.1255980189731844E-3</c:v>
                </c:pt>
                <c:pt idx="147">
                  <c:v>4.1255980189731844E-3</c:v>
                </c:pt>
                <c:pt idx="148">
                  <c:v>4.1255980189731844E-3</c:v>
                </c:pt>
                <c:pt idx="149">
                  <c:v>4.1255980189731844E-3</c:v>
                </c:pt>
                <c:pt idx="150">
                  <c:v>4.1255980189731844E-3</c:v>
                </c:pt>
                <c:pt idx="151">
                  <c:v>4.1255980189731844E-3</c:v>
                </c:pt>
                <c:pt idx="152">
                  <c:v>4.1255980189731844E-3</c:v>
                </c:pt>
                <c:pt idx="153">
                  <c:v>4.1255980189731844E-3</c:v>
                </c:pt>
                <c:pt idx="154">
                  <c:v>4.1255980189731844E-3</c:v>
                </c:pt>
                <c:pt idx="155">
                  <c:v>4.1255980189731844E-3</c:v>
                </c:pt>
                <c:pt idx="156">
                  <c:v>4.1255980189731844E-3</c:v>
                </c:pt>
                <c:pt idx="157">
                  <c:v>4.1255980189731844E-3</c:v>
                </c:pt>
                <c:pt idx="158">
                  <c:v>4.1255980189731844E-3</c:v>
                </c:pt>
                <c:pt idx="159">
                  <c:v>4.1255980189731844E-3</c:v>
                </c:pt>
                <c:pt idx="160">
                  <c:v>4.1255980189731844E-3</c:v>
                </c:pt>
                <c:pt idx="161">
                  <c:v>4.1255980189731844E-3</c:v>
                </c:pt>
                <c:pt idx="162">
                  <c:v>4.1255980189731844E-3</c:v>
                </c:pt>
                <c:pt idx="163">
                  <c:v>4.1255980189731844E-3</c:v>
                </c:pt>
                <c:pt idx="164">
                  <c:v>4.1255980189731844E-3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B-4473-96A6-F6696AD4D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-2.476935568290501E-4</c:v>
                </c:pt>
                <c:pt idx="37">
                  <c:v>3.0728001506414963E-4</c:v>
                </c:pt>
                <c:pt idx="38">
                  <c:v>6.2230980605374776E-4</c:v>
                </c:pt>
                <c:pt idx="39">
                  <c:v>1.6155494194223172E-3</c:v>
                </c:pt>
                <c:pt idx="40">
                  <c:v>1.6155494194223172E-3</c:v>
                </c:pt>
                <c:pt idx="41">
                  <c:v>1.6155494194223172E-3</c:v>
                </c:pt>
                <c:pt idx="42">
                  <c:v>1.6155494194223172E-3</c:v>
                </c:pt>
                <c:pt idx="43">
                  <c:v>2.6586849270711574E-3</c:v>
                </c:pt>
                <c:pt idx="44">
                  <c:v>2.6347061344190684E-3</c:v>
                </c:pt>
                <c:pt idx="45">
                  <c:v>1.5748349922594749E-3</c:v>
                </c:pt>
                <c:pt idx="46">
                  <c:v>1.1878004901102746E-3</c:v>
                </c:pt>
                <c:pt idx="47">
                  <c:v>6.2938026439026459E-4</c:v>
                </c:pt>
                <c:pt idx="48">
                  <c:v>9.6677542054030485E-4</c:v>
                </c:pt>
                <c:pt idx="49">
                  <c:v>2.131564573292105E-3</c:v>
                </c:pt>
                <c:pt idx="50">
                  <c:v>1.4316878469747747E-3</c:v>
                </c:pt>
                <c:pt idx="51">
                  <c:v>7.604531664659746E-4</c:v>
                </c:pt>
                <c:pt idx="52">
                  <c:v>2.205586081401274E-3</c:v>
                </c:pt>
                <c:pt idx="53">
                  <c:v>2.205586081401274E-3</c:v>
                </c:pt>
                <c:pt idx="54">
                  <c:v>2.205586081401274E-3</c:v>
                </c:pt>
                <c:pt idx="55">
                  <c:v>2.205586081401274E-3</c:v>
                </c:pt>
                <c:pt idx="56">
                  <c:v>2.205586081401274E-3</c:v>
                </c:pt>
                <c:pt idx="57">
                  <c:v>2.205586081401274E-3</c:v>
                </c:pt>
                <c:pt idx="58">
                  <c:v>2.205586081401274E-3</c:v>
                </c:pt>
                <c:pt idx="59">
                  <c:v>2.205586081401274E-3</c:v>
                </c:pt>
                <c:pt idx="60">
                  <c:v>2.205586081401274E-3</c:v>
                </c:pt>
                <c:pt idx="61">
                  <c:v>2.205586081401274E-3</c:v>
                </c:pt>
                <c:pt idx="62">
                  <c:v>2.205586081401274E-3</c:v>
                </c:pt>
                <c:pt idx="63">
                  <c:v>2.205586081401274E-3</c:v>
                </c:pt>
                <c:pt idx="64">
                  <c:v>2.205586081401274E-3</c:v>
                </c:pt>
                <c:pt idx="65">
                  <c:v>2.205586081401274E-3</c:v>
                </c:pt>
                <c:pt idx="66">
                  <c:v>2.205586081401274E-3</c:v>
                </c:pt>
                <c:pt idx="67">
                  <c:v>2.205586081401274E-3</c:v>
                </c:pt>
                <c:pt idx="68">
                  <c:v>2.205586081401274E-3</c:v>
                </c:pt>
                <c:pt idx="69">
                  <c:v>2.205586081401274E-3</c:v>
                </c:pt>
                <c:pt idx="70">
                  <c:v>2.205586081401274E-3</c:v>
                </c:pt>
                <c:pt idx="71">
                  <c:v>2.205586081401274E-3</c:v>
                </c:pt>
                <c:pt idx="72">
                  <c:v>2.205586081401274E-3</c:v>
                </c:pt>
                <c:pt idx="73">
                  <c:v>2.205586081401274E-3</c:v>
                </c:pt>
                <c:pt idx="74">
                  <c:v>2.205586081401274E-3</c:v>
                </c:pt>
                <c:pt idx="75">
                  <c:v>4.3156733316178746E-3</c:v>
                </c:pt>
                <c:pt idx="76">
                  <c:v>4.3156733316178746E-3</c:v>
                </c:pt>
                <c:pt idx="77">
                  <c:v>4.3156733316178746E-3</c:v>
                </c:pt>
                <c:pt idx="78">
                  <c:v>4.3156733316178746E-3</c:v>
                </c:pt>
                <c:pt idx="79">
                  <c:v>4.3156733316178746E-3</c:v>
                </c:pt>
                <c:pt idx="80">
                  <c:v>4.3156733316178746E-3</c:v>
                </c:pt>
                <c:pt idx="81">
                  <c:v>4.3156733316178746E-3</c:v>
                </c:pt>
                <c:pt idx="82">
                  <c:v>5.1975867737732752E-3</c:v>
                </c:pt>
                <c:pt idx="83">
                  <c:v>5.2139160037075749E-3</c:v>
                </c:pt>
                <c:pt idx="84">
                  <c:v>4.838466418341774E-3</c:v>
                </c:pt>
                <c:pt idx="85">
                  <c:v>5.1989851707907051E-3</c:v>
                </c:pt>
                <c:pt idx="86">
                  <c:v>7.8620284875500039E-3</c:v>
                </c:pt>
                <c:pt idx="87">
                  <c:v>7.8620284875500039E-3</c:v>
                </c:pt>
                <c:pt idx="88">
                  <c:v>7.8620284875500039E-3</c:v>
                </c:pt>
                <c:pt idx="89">
                  <c:v>7.8620284875500039E-3</c:v>
                </c:pt>
                <c:pt idx="90">
                  <c:v>7.8620284875500039E-3</c:v>
                </c:pt>
                <c:pt idx="91">
                  <c:v>7.8620284875500039E-3</c:v>
                </c:pt>
                <c:pt idx="92">
                  <c:v>7.8620284875500039E-3</c:v>
                </c:pt>
                <c:pt idx="93">
                  <c:v>7.8620284875500039E-3</c:v>
                </c:pt>
                <c:pt idx="94">
                  <c:v>7.8620284875500039E-3</c:v>
                </c:pt>
                <c:pt idx="95">
                  <c:v>7.8620284875500039E-3</c:v>
                </c:pt>
                <c:pt idx="96">
                  <c:v>7.8620284875500039E-3</c:v>
                </c:pt>
                <c:pt idx="97">
                  <c:v>9.5142262120751046E-3</c:v>
                </c:pt>
                <c:pt idx="98">
                  <c:v>9.5921757922870048E-3</c:v>
                </c:pt>
                <c:pt idx="99">
                  <c:v>8.9384165944812934E-3</c:v>
                </c:pt>
                <c:pt idx="100">
                  <c:v>9.1872362289586243E-3</c:v>
                </c:pt>
                <c:pt idx="101">
                  <c:v>8.7250891386088641E-3</c:v>
                </c:pt>
                <c:pt idx="102">
                  <c:v>6.6069817943255841E-3</c:v>
                </c:pt>
                <c:pt idx="103">
                  <c:v>6.2577057573569243E-3</c:v>
                </c:pt>
                <c:pt idx="104">
                  <c:v>5.8526477024813343E-3</c:v>
                </c:pt>
                <c:pt idx="105">
                  <c:v>5.5708087957743648E-3</c:v>
                </c:pt>
                <c:pt idx="106">
                  <c:v>6.7830924933409645E-3</c:v>
                </c:pt>
                <c:pt idx="107">
                  <c:v>8.6879631310409627E-3</c:v>
                </c:pt>
                <c:pt idx="108">
                  <c:v>8.1840416886874625E-3</c:v>
                </c:pt>
                <c:pt idx="109">
                  <c:v>8.1260157919375124E-3</c:v>
                </c:pt>
                <c:pt idx="110">
                  <c:v>9.7190004002029144E-3</c:v>
                </c:pt>
                <c:pt idx="111">
                  <c:v>9.7190004002029144E-3</c:v>
                </c:pt>
                <c:pt idx="112">
                  <c:v>9.7190004002029144E-3</c:v>
                </c:pt>
                <c:pt idx="113">
                  <c:v>9.7190004002029144E-3</c:v>
                </c:pt>
                <c:pt idx="114">
                  <c:v>9.7190004002029144E-3</c:v>
                </c:pt>
                <c:pt idx="115">
                  <c:v>9.7190004002029144E-3</c:v>
                </c:pt>
                <c:pt idx="116">
                  <c:v>9.7190004002029144E-3</c:v>
                </c:pt>
                <c:pt idx="117">
                  <c:v>9.7190004002029144E-3</c:v>
                </c:pt>
                <c:pt idx="118">
                  <c:v>9.7190004002029144E-3</c:v>
                </c:pt>
                <c:pt idx="119">
                  <c:v>9.7190004002029144E-3</c:v>
                </c:pt>
                <c:pt idx="120">
                  <c:v>9.7190004002029144E-3</c:v>
                </c:pt>
                <c:pt idx="121">
                  <c:v>9.7190004002029144E-3</c:v>
                </c:pt>
                <c:pt idx="122">
                  <c:v>9.7190004002029144E-3</c:v>
                </c:pt>
                <c:pt idx="123">
                  <c:v>9.7190004002029144E-3</c:v>
                </c:pt>
                <c:pt idx="124">
                  <c:v>9.7190004002029144E-3</c:v>
                </c:pt>
                <c:pt idx="125">
                  <c:v>9.7190004002029144E-3</c:v>
                </c:pt>
                <c:pt idx="126">
                  <c:v>9.7190004002029144E-3</c:v>
                </c:pt>
                <c:pt idx="127">
                  <c:v>9.7190004002029144E-3</c:v>
                </c:pt>
                <c:pt idx="128">
                  <c:v>9.7190004002029144E-3</c:v>
                </c:pt>
                <c:pt idx="129">
                  <c:v>9.7190004002029144E-3</c:v>
                </c:pt>
                <c:pt idx="130">
                  <c:v>1.1184568137291313E-2</c:v>
                </c:pt>
                <c:pt idx="131">
                  <c:v>1.2999566888662512E-2</c:v>
                </c:pt>
                <c:pt idx="132">
                  <c:v>1.2999566888662512E-2</c:v>
                </c:pt>
                <c:pt idx="133">
                  <c:v>1.2999566888662512E-2</c:v>
                </c:pt>
                <c:pt idx="134">
                  <c:v>1.2999566888662512E-2</c:v>
                </c:pt>
                <c:pt idx="135">
                  <c:v>1.2999566888662512E-2</c:v>
                </c:pt>
                <c:pt idx="136">
                  <c:v>1.2999566888662512E-2</c:v>
                </c:pt>
                <c:pt idx="137">
                  <c:v>1.4273976119738387E-2</c:v>
                </c:pt>
                <c:pt idx="138">
                  <c:v>1.4423368041400438E-2</c:v>
                </c:pt>
                <c:pt idx="139">
                  <c:v>1.4370460866653417E-2</c:v>
                </c:pt>
                <c:pt idx="140">
                  <c:v>1.4534828743406097E-2</c:v>
                </c:pt>
                <c:pt idx="141">
                  <c:v>1.5015077657419097E-2</c:v>
                </c:pt>
                <c:pt idx="142">
                  <c:v>1.5015077657419097E-2</c:v>
                </c:pt>
                <c:pt idx="143">
                  <c:v>1.5015077657419097E-2</c:v>
                </c:pt>
                <c:pt idx="144">
                  <c:v>1.5015077657419097E-2</c:v>
                </c:pt>
                <c:pt idx="145">
                  <c:v>1.5015077657419097E-2</c:v>
                </c:pt>
                <c:pt idx="146">
                  <c:v>1.5015077657419097E-2</c:v>
                </c:pt>
                <c:pt idx="147">
                  <c:v>1.5015077657419097E-2</c:v>
                </c:pt>
                <c:pt idx="148">
                  <c:v>1.5015077657419097E-2</c:v>
                </c:pt>
                <c:pt idx="149">
                  <c:v>1.5015077657419097E-2</c:v>
                </c:pt>
                <c:pt idx="150">
                  <c:v>1.5015077657419097E-2</c:v>
                </c:pt>
                <c:pt idx="151">
                  <c:v>1.5015077657419097E-2</c:v>
                </c:pt>
                <c:pt idx="152">
                  <c:v>1.5015077657419097E-2</c:v>
                </c:pt>
                <c:pt idx="153">
                  <c:v>1.5015077657419097E-2</c:v>
                </c:pt>
                <c:pt idx="154">
                  <c:v>1.5015077657419097E-2</c:v>
                </c:pt>
                <c:pt idx="155">
                  <c:v>1.5015077657419097E-2</c:v>
                </c:pt>
                <c:pt idx="156">
                  <c:v>1.5015077657419097E-2</c:v>
                </c:pt>
                <c:pt idx="157">
                  <c:v>1.5015077657419097E-2</c:v>
                </c:pt>
                <c:pt idx="158">
                  <c:v>1.5015077657419097E-2</c:v>
                </c:pt>
                <c:pt idx="159">
                  <c:v>1.5015077657419097E-2</c:v>
                </c:pt>
                <c:pt idx="160">
                  <c:v>1.5015077657419097E-2</c:v>
                </c:pt>
                <c:pt idx="161">
                  <c:v>1.5015077657419097E-2</c:v>
                </c:pt>
                <c:pt idx="162">
                  <c:v>1.5015077657419097E-2</c:v>
                </c:pt>
                <c:pt idx="163">
                  <c:v>1.5015077657419097E-2</c:v>
                </c:pt>
                <c:pt idx="164">
                  <c:v>1.5015077657419097E-2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5-4206-8F86-5A6A5E0FE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FE932-1DA1-49CE-A6FB-11F2F069B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39252-3DB4-446D-BD75-DBC3FC151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32F7B9-7B9E-4238-835B-267E220FD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D70124-9DEB-49A1-B655-3A926B513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DB4DD7-9046-4A68-BF05-3079B83E2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8CE0BB-65F8-4AC1-9D4E-C859C286E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8DFD76-88FD-43D4-AADD-5B5BD3EAF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c475311eb7e8809/My%20Trading%20Data/TFI_MUB_0.xlsx" TargetMode="External"/><Relationship Id="rId1" Type="http://schemas.openxmlformats.org/officeDocument/2006/relationships/externalLinkPath" Target="TFI_MUB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MUB/TFI avg</v>
          </cell>
          <cell r="P1" t="str">
            <v>MUB/TFI 10 dma</v>
          </cell>
          <cell r="Q1" t="str">
            <v>MUB/TFI 20 dma</v>
          </cell>
          <cell r="U1" t="str">
            <v>log diff TFI x avg / MUB</v>
          </cell>
          <cell r="V1" t="str">
            <v>log diff TFI x 10 dma / MUB</v>
          </cell>
          <cell r="W1" t="str">
            <v>log diff TFI x 20 dma / MUB</v>
          </cell>
          <cell r="Y1" t="str">
            <v>MUB*/TFI* avg</v>
          </cell>
          <cell r="Z1" t="str">
            <v>MUB*/TFI* 10 dma</v>
          </cell>
          <cell r="AA1" t="str">
            <v>MUB*/TFI* 20 dma</v>
          </cell>
          <cell r="AF1" t="str">
            <v>log diff TFI* x 10 dma / MUB*</v>
          </cell>
          <cell r="AG1" t="str">
            <v>log diff TFI* x 20 dma / MUB*</v>
          </cell>
        </row>
        <row r="2">
          <cell r="O2">
            <v>2.3475193892851398</v>
          </cell>
          <cell r="Y2">
            <v>2.3475193892851398</v>
          </cell>
        </row>
        <row r="3">
          <cell r="O3">
            <v>2.3475193892851398</v>
          </cell>
          <cell r="U3">
            <v>1.42355153288095E-3</v>
          </cell>
          <cell r="Y3">
            <v>2.3475193892851398</v>
          </cell>
        </row>
        <row r="4">
          <cell r="O4">
            <v>2.3475193892851398</v>
          </cell>
          <cell r="U4">
            <v>8.9689825538568605E-4</v>
          </cell>
          <cell r="Y4">
            <v>2.3475193892851398</v>
          </cell>
        </row>
        <row r="5">
          <cell r="O5">
            <v>2.3475193892851398</v>
          </cell>
          <cell r="U5">
            <v>1.59246613988969E-3</v>
          </cell>
          <cell r="Y5">
            <v>2.3475193892851398</v>
          </cell>
        </row>
        <row r="6">
          <cell r="O6">
            <v>2.3475193892851398</v>
          </cell>
          <cell r="U6">
            <v>2.0544302766242199E-3</v>
          </cell>
          <cell r="Y6">
            <v>2.3475193892851398</v>
          </cell>
        </row>
        <row r="7">
          <cell r="O7">
            <v>2.3475193892851398</v>
          </cell>
          <cell r="U7">
            <v>1.93492728144476E-3</v>
          </cell>
          <cell r="Y7">
            <v>2.3475193892851398</v>
          </cell>
        </row>
        <row r="8">
          <cell r="O8">
            <v>2.3475193892851398</v>
          </cell>
          <cell r="U8">
            <v>2.5218342365227399E-3</v>
          </cell>
          <cell r="Y8">
            <v>2.3475193892851398</v>
          </cell>
        </row>
        <row r="9">
          <cell r="O9">
            <v>2.3475193892851398</v>
          </cell>
          <cell r="U9">
            <v>1.4966020732412001E-3</v>
          </cell>
          <cell r="Y9">
            <v>2.3475193892851398</v>
          </cell>
        </row>
        <row r="10">
          <cell r="O10">
            <v>2.3475193892851398</v>
          </cell>
          <cell r="U10">
            <v>1.78384655565177E-3</v>
          </cell>
          <cell r="Y10">
            <v>2.3475193892851398</v>
          </cell>
        </row>
        <row r="11">
          <cell r="O11">
            <v>2.3475193892851398</v>
          </cell>
          <cell r="P11">
            <v>2.34350317826827</v>
          </cell>
          <cell r="U11">
            <v>1.9376140414939999E-3</v>
          </cell>
          <cell r="Y11">
            <v>2.3475193892851398</v>
          </cell>
          <cell r="Z11">
            <v>2.34350317826827</v>
          </cell>
        </row>
        <row r="12">
          <cell r="O12">
            <v>2.3475193892851398</v>
          </cell>
          <cell r="P12">
            <v>2.3433901195509801</v>
          </cell>
          <cell r="U12">
            <v>1.9641097379609999E-3</v>
          </cell>
          <cell r="V12">
            <v>2.51812710899363E-4</v>
          </cell>
          <cell r="Y12">
            <v>2.3475193892851398</v>
          </cell>
          <cell r="Z12">
            <v>2.3433901195509801</v>
          </cell>
          <cell r="AF12">
            <v>2.51812710899363E-4</v>
          </cell>
        </row>
        <row r="13">
          <cell r="O13">
            <v>2.3475193892851398</v>
          </cell>
          <cell r="P13">
            <v>2.3431498924271499</v>
          </cell>
          <cell r="U13">
            <v>2.4488580495093701E-3</v>
          </cell>
          <cell r="V13">
            <v>6.88316392101135E-4</v>
          </cell>
          <cell r="Y13">
            <v>2.3475193892851398</v>
          </cell>
          <cell r="Z13">
            <v>2.3431498924271499</v>
          </cell>
          <cell r="AF13">
            <v>6.88316392101135E-4</v>
          </cell>
        </row>
        <row r="14">
          <cell r="O14">
            <v>2.3475193892851398</v>
          </cell>
          <cell r="P14">
            <v>2.3428132007393199</v>
          </cell>
          <cell r="U14">
            <v>2.3334611113415399E-3</v>
          </cell>
          <cell r="V14">
            <v>4.7040155227318401E-4</v>
          </cell>
          <cell r="Y14">
            <v>2.3475193892851398</v>
          </cell>
          <cell r="Z14">
            <v>2.3428132007393199</v>
          </cell>
          <cell r="AF14">
            <v>4.7040155227318401E-4</v>
          </cell>
        </row>
        <row r="15">
          <cell r="O15">
            <v>2.3475193892851398</v>
          </cell>
          <cell r="P15">
            <v>2.3428220644142899</v>
          </cell>
          <cell r="U15">
            <v>1.5546490573459699E-3</v>
          </cell>
          <cell r="V15">
            <v>-4.52112738261581E-4</v>
          </cell>
          <cell r="Y15">
            <v>2.3475193892851398</v>
          </cell>
          <cell r="Z15">
            <v>2.3428220644142899</v>
          </cell>
          <cell r="AF15">
            <v>-4.52112738261581E-4</v>
          </cell>
        </row>
        <row r="16">
          <cell r="O16">
            <v>2.3475193892851398</v>
          </cell>
          <cell r="P16">
            <v>2.3429963563532898</v>
          </cell>
          <cell r="U16">
            <v>1.3107284667582999E-3</v>
          </cell>
          <cell r="V16">
            <v>-6.9224998914481405E-4</v>
          </cell>
          <cell r="Y16">
            <v>2.3475193892851398</v>
          </cell>
          <cell r="Z16">
            <v>2.3429963563532898</v>
          </cell>
          <cell r="AF16">
            <v>-6.9224998914481405E-4</v>
          </cell>
        </row>
        <row r="17">
          <cell r="O17">
            <v>2.3475193892851398</v>
          </cell>
          <cell r="P17">
            <v>2.3432515830963898</v>
          </cell>
          <cell r="U17">
            <v>8.4619554624795605E-4</v>
          </cell>
          <cell r="V17">
            <v>-1.0823916620960701E-3</v>
          </cell>
          <cell r="Y17">
            <v>2.3475193892851398</v>
          </cell>
          <cell r="Z17">
            <v>2.3432515830963898</v>
          </cell>
          <cell r="AF17">
            <v>-1.0823916620960701E-3</v>
          </cell>
        </row>
        <row r="18">
          <cell r="O18">
            <v>2.3475193892851398</v>
          </cell>
          <cell r="P18">
            <v>2.3435413934644802</v>
          </cell>
          <cell r="U18">
            <v>1.28494350815459E-3</v>
          </cell>
          <cell r="V18">
            <v>-5.34717861587827E-4</v>
          </cell>
          <cell r="Y18">
            <v>2.3475193892851398</v>
          </cell>
          <cell r="Z18">
            <v>2.3435413934644802</v>
          </cell>
          <cell r="AF18">
            <v>-5.34717861587827E-4</v>
          </cell>
        </row>
        <row r="19">
          <cell r="O19">
            <v>2.3475193892851398</v>
          </cell>
          <cell r="P19">
            <v>2.3437140642154102</v>
          </cell>
          <cell r="U19">
            <v>7.6022604208805203E-4</v>
          </cell>
          <cell r="V19">
            <v>-9.3576425026009201E-4</v>
          </cell>
          <cell r="Y19">
            <v>2.3475193892851398</v>
          </cell>
          <cell r="Z19">
            <v>2.3437140642154102</v>
          </cell>
          <cell r="AF19">
            <v>-9.3576425026009201E-4</v>
          </cell>
        </row>
        <row r="20">
          <cell r="O20">
            <v>2.3475193892851398</v>
          </cell>
          <cell r="P20">
            <v>2.3437657147492699</v>
          </cell>
          <cell r="U20">
            <v>1.5634562519129E-3</v>
          </cell>
          <cell r="V20">
            <v>-5.8857343033062102E-5</v>
          </cell>
          <cell r="Y20">
            <v>2.3475193892851398</v>
          </cell>
          <cell r="Z20">
            <v>2.3437657147492699</v>
          </cell>
          <cell r="AF20">
            <v>-5.8857343033062102E-5</v>
          </cell>
        </row>
        <row r="21">
          <cell r="O21">
            <v>2.3475193892851398</v>
          </cell>
          <cell r="P21">
            <v>2.3438228225105302</v>
          </cell>
          <cell r="Q21">
            <v>2.3436630003893999</v>
          </cell>
          <cell r="U21">
            <v>1.6939033846143799E-3</v>
          </cell>
          <cell r="V21">
            <v>9.36274458493317E-5</v>
          </cell>
          <cell r="Y21">
            <v>2.3475193892851398</v>
          </cell>
          <cell r="Z21">
            <v>2.3438228225105302</v>
          </cell>
          <cell r="AA21">
            <v>2.3436630003893999</v>
          </cell>
          <cell r="AF21">
            <v>9.36274458493317E-5</v>
          </cell>
        </row>
        <row r="22">
          <cell r="O22">
            <v>2.3475193892851398</v>
          </cell>
          <cell r="P22">
            <v>2.3442382896736502</v>
          </cell>
          <cell r="Q22">
            <v>2.3438142046123098</v>
          </cell>
          <cell r="U22">
            <v>1.9238708882915299E-4</v>
          </cell>
          <cell r="V22">
            <v>-1.38352333200829E-3</v>
          </cell>
          <cell r="W22">
            <v>-1.4517143099571301E-3</v>
          </cell>
          <cell r="Y22">
            <v>2.3475193892851398</v>
          </cell>
          <cell r="Z22">
            <v>2.3442382896736502</v>
          </cell>
          <cell r="AA22">
            <v>2.3438142046123098</v>
          </cell>
          <cell r="AF22">
            <v>-1.38352333200829E-3</v>
          </cell>
          <cell r="AG22">
            <v>-1.4517143099571301E-3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2.3475193892851398</v>
          </cell>
          <cell r="P23">
            <v>2.3444464101037599</v>
          </cell>
          <cell r="Q23">
            <v>2.3437981512654602</v>
          </cell>
          <cell r="U23">
            <v>1.5605243476639801E-3</v>
          </cell>
          <cell r="V23">
            <v>1.6185869998960401E-4</v>
          </cell>
          <cell r="W23">
            <v>-1.9062935596780799E-5</v>
          </cell>
          <cell r="Y23">
            <v>2.3475193892851398</v>
          </cell>
          <cell r="Z23">
            <v>2.3444464101037599</v>
          </cell>
          <cell r="AA23">
            <v>2.3437981512654602</v>
          </cell>
          <cell r="AF23">
            <v>1.6185869998960401E-4</v>
          </cell>
          <cell r="AG23">
            <v>-1.9062935596780799E-5</v>
          </cell>
          <cell r="AR23">
            <v>1.3681372588347169E-3</v>
          </cell>
          <cell r="BC23">
            <v>0</v>
          </cell>
          <cell r="BF23">
            <v>1.3681372588347169E-3</v>
          </cell>
        </row>
        <row r="24">
          <cell r="O24">
            <v>2.3475193892851398</v>
          </cell>
          <cell r="P24">
            <v>2.34414728975529</v>
          </cell>
          <cell r="Q24">
            <v>2.3434802452472998</v>
          </cell>
          <cell r="U24">
            <v>3.61145171866339E-3</v>
          </cell>
          <cell r="V24">
            <v>2.3015616844385398E-3</v>
          </cell>
          <cell r="W24">
            <v>2.02501517158172E-3</v>
          </cell>
          <cell r="Y24">
            <v>2.3475193892851398</v>
          </cell>
          <cell r="Z24">
            <v>2.34414728975529</v>
          </cell>
          <cell r="AA24">
            <v>2.3434802452472998</v>
          </cell>
          <cell r="AF24">
            <v>2.3015616844385398E-3</v>
          </cell>
          <cell r="AG24">
            <v>2.02501517158172E-3</v>
          </cell>
          <cell r="AR24">
            <v>3.4190646298341973E-3</v>
          </cell>
          <cell r="BC24">
            <v>0</v>
          </cell>
          <cell r="BF24">
            <v>3.4190646298341973E-3</v>
          </cell>
        </row>
        <row r="25">
          <cell r="O25">
            <v>2.3475193892851398</v>
          </cell>
          <cell r="P25">
            <v>2.34387511645535</v>
          </cell>
          <cell r="Q25">
            <v>2.3433485904348199</v>
          </cell>
          <cell r="U25">
            <v>2.7165357628488999E-3</v>
          </cell>
          <cell r="V25">
            <v>1.27905081721834E-3</v>
          </cell>
          <cell r="W25">
            <v>9.9445290174575494E-4</v>
          </cell>
          <cell r="Y25">
            <v>2.3475193892851398</v>
          </cell>
          <cell r="Z25">
            <v>2.34387511645535</v>
          </cell>
          <cell r="AA25">
            <v>2.3433485904348199</v>
          </cell>
          <cell r="AF25">
            <v>1.27905081721834E-3</v>
          </cell>
          <cell r="AG25">
            <v>9.9445290174575494E-4</v>
          </cell>
          <cell r="AR25">
            <v>3.4190646298341973E-3</v>
          </cell>
          <cell r="BC25">
            <v>8.9491595581441506E-4</v>
          </cell>
          <cell r="BF25">
            <v>4.3139805856486123E-3</v>
          </cell>
        </row>
        <row r="26">
          <cell r="O26">
            <v>2.3475193892851398</v>
          </cell>
          <cell r="P26">
            <v>2.3431836565995701</v>
          </cell>
          <cell r="Q26">
            <v>2.3430900064764302</v>
          </cell>
          <cell r="U26">
            <v>4.2644412195959099E-3</v>
          </cell>
          <cell r="V26">
            <v>2.7108419397479599E-3</v>
          </cell>
          <cell r="W26">
            <v>2.4861775944258501E-3</v>
          </cell>
          <cell r="Y26">
            <v>2.3475193892851398</v>
          </cell>
          <cell r="Z26">
            <v>2.3431836565995701</v>
          </cell>
          <cell r="AA26">
            <v>2.3430900064764302</v>
          </cell>
          <cell r="AF26">
            <v>2.7108419397479599E-3</v>
          </cell>
          <cell r="AG26">
            <v>2.4861775944258501E-3</v>
          </cell>
          <cell r="AR26">
            <v>3.4190646298341973E-3</v>
          </cell>
          <cell r="BC26">
            <v>-6.529895009325529E-4</v>
          </cell>
          <cell r="BF26">
            <v>2.7660751289016444E-3</v>
          </cell>
        </row>
        <row r="27">
          <cell r="O27">
            <v>2.3475193892851398</v>
          </cell>
          <cell r="P27">
            <v>2.3424480671119099</v>
          </cell>
          <cell r="Q27">
            <v>2.3428498251041501</v>
          </cell>
          <cell r="U27">
            <v>3.9872518216253804E-3</v>
          </cell>
          <cell r="V27">
            <v>2.13860189519024E-3</v>
          </cell>
          <cell r="W27">
            <v>2.09863405298186E-3</v>
          </cell>
          <cell r="Y27">
            <v>2.3475193892851398</v>
          </cell>
          <cell r="Z27">
            <v>2.3424480671119099</v>
          </cell>
          <cell r="AA27">
            <v>2.3428498251041501</v>
          </cell>
          <cell r="AF27">
            <v>2.13860189519024E-3</v>
          </cell>
          <cell r="AG27">
            <v>2.09863405298186E-3</v>
          </cell>
          <cell r="AR27">
            <v>3.4190646298341973E-3</v>
          </cell>
          <cell r="BC27">
            <v>-3.7580010296229497E-4</v>
          </cell>
          <cell r="BF27">
            <v>3.0432645268719024E-3</v>
          </cell>
        </row>
        <row r="28">
          <cell r="O28">
            <v>2.3475193892851398</v>
          </cell>
          <cell r="P28">
            <v>2.3419304051848799</v>
          </cell>
          <cell r="Q28">
            <v>2.3427358993246798</v>
          </cell>
          <cell r="U28">
            <v>3.4953644116170399E-3</v>
          </cell>
          <cell r="V28">
            <v>1.3327378275696401E-3</v>
          </cell>
          <cell r="W28">
            <v>1.50423513786425E-3</v>
          </cell>
          <cell r="Y28">
            <v>2.3475193892851398</v>
          </cell>
          <cell r="Z28">
            <v>2.3419304051848799</v>
          </cell>
          <cell r="AA28">
            <v>2.3427358993246798</v>
          </cell>
          <cell r="AF28">
            <v>1.3327378275696401E-3</v>
          </cell>
          <cell r="AG28">
            <v>1.50423513786425E-3</v>
          </cell>
          <cell r="AR28">
            <v>3.4190646298341973E-3</v>
          </cell>
          <cell r="BC28">
            <v>1.1608730704615506E-4</v>
          </cell>
          <cell r="BF28">
            <v>3.5351519368803522E-3</v>
          </cell>
        </row>
        <row r="29">
          <cell r="O29">
            <v>2.3475193892851398</v>
          </cell>
          <cell r="P29">
            <v>2.3413121678126201</v>
          </cell>
          <cell r="Q29">
            <v>2.3425131160140098</v>
          </cell>
          <cell r="U29">
            <v>3.3992854509956802E-3</v>
          </cell>
          <cell r="V29">
            <v>1.01564259672121E-3</v>
          </cell>
          <cell r="W29">
            <v>1.3595279859392E-3</v>
          </cell>
          <cell r="Y29">
            <v>2.3475193892851398</v>
          </cell>
          <cell r="Z29">
            <v>2.3413121678126201</v>
          </cell>
          <cell r="AA29">
            <v>2.3425131160140098</v>
          </cell>
          <cell r="AF29">
            <v>1.01564259672121E-3</v>
          </cell>
          <cell r="AG29">
            <v>1.3595279859392E-3</v>
          </cell>
          <cell r="AR29">
            <v>3.4190646298341973E-3</v>
          </cell>
          <cell r="BC29">
            <v>2.1216626766734517E-4</v>
          </cell>
          <cell r="BF29">
            <v>3.6312308975015423E-3</v>
          </cell>
        </row>
        <row r="30">
          <cell r="O30">
            <v>2.3475193892851398</v>
          </cell>
          <cell r="P30">
            <v>2.3409386573490298</v>
          </cell>
          <cell r="Q30">
            <v>2.3423521860491499</v>
          </cell>
          <cell r="U30">
            <v>3.1583026269620001E-3</v>
          </cell>
          <cell r="V30">
            <v>5.1063869489263703E-4</v>
          </cell>
          <cell r="W30">
            <v>1.02344528136254E-3</v>
          </cell>
          <cell r="Y30">
            <v>2.3475193892851398</v>
          </cell>
          <cell r="Z30">
            <v>2.3409386573490298</v>
          </cell>
          <cell r="AA30">
            <v>2.3423521860491499</v>
          </cell>
          <cell r="AF30">
            <v>5.1063869489263703E-4</v>
          </cell>
          <cell r="AG30">
            <v>1.02344528136254E-3</v>
          </cell>
          <cell r="AR30">
            <v>3.4190646298341973E-3</v>
          </cell>
          <cell r="BC30">
            <v>4.5314909170103524E-4</v>
          </cell>
          <cell r="BF30">
            <v>3.8722137215352324E-3</v>
          </cell>
        </row>
        <row r="31">
          <cell r="O31">
            <v>2.3475193892851398</v>
          </cell>
          <cell r="P31">
            <v>2.3404574357099199</v>
          </cell>
          <cell r="Q31">
            <v>2.3421401291102302</v>
          </cell>
          <cell r="U31">
            <v>3.7494052869068398E-3</v>
          </cell>
          <cell r="V31">
            <v>9.4219822981789995E-4</v>
          </cell>
          <cell r="W31">
            <v>1.54584587430947E-3</v>
          </cell>
          <cell r="Y31">
            <v>2.3475193892851398</v>
          </cell>
          <cell r="Z31">
            <v>2.3404574357099199</v>
          </cell>
          <cell r="AA31">
            <v>2.3421401291102302</v>
          </cell>
          <cell r="AF31">
            <v>9.4219822981789995E-4</v>
          </cell>
          <cell r="AG31">
            <v>1.54584587430947E-3</v>
          </cell>
          <cell r="AR31">
            <v>3.4190646298341973E-3</v>
          </cell>
          <cell r="BC31">
            <v>-1.3795356824374482E-4</v>
          </cell>
          <cell r="BF31">
            <v>3.2811110615904521E-3</v>
          </cell>
        </row>
        <row r="32">
          <cell r="O32">
            <v>2.3475193892851398</v>
          </cell>
          <cell r="P32">
            <v>2.33992704997253</v>
          </cell>
          <cell r="Q32">
            <v>2.3420826698230899</v>
          </cell>
          <cell r="U32">
            <v>2.4547244583767499E-3</v>
          </cell>
          <cell r="V32">
            <v>-5.5807154322027404E-4</v>
          </cell>
          <cell r="W32">
            <v>1.60629327158973E-4</v>
          </cell>
          <cell r="Y32">
            <v>2.3475193892851398</v>
          </cell>
          <cell r="Z32">
            <v>2.33992704997253</v>
          </cell>
          <cell r="AA32">
            <v>2.3420826698230899</v>
          </cell>
          <cell r="AF32">
            <v>-5.5807154322027404E-4</v>
          </cell>
          <cell r="AG32">
            <v>1.60629327158973E-4</v>
          </cell>
          <cell r="AR32">
            <v>3.4190646298341973E-3</v>
          </cell>
          <cell r="BC32">
            <v>1.1567272602864961E-3</v>
          </cell>
          <cell r="BF32">
            <v>4.5757918901206934E-3</v>
          </cell>
        </row>
        <row r="33">
          <cell r="O33">
            <v>2.3475193892851398</v>
          </cell>
          <cell r="P33">
            <v>2.3397755905365298</v>
          </cell>
          <cell r="Q33">
            <v>2.34211100032014</v>
          </cell>
          <cell r="U33">
            <v>2.2069301290358698E-3</v>
          </cell>
          <cell r="V33">
            <v>-1.03250782528426E-3</v>
          </cell>
          <cell r="W33">
            <v>-1.1169811668547101E-4</v>
          </cell>
          <cell r="Y33">
            <v>2.3475193892851398</v>
          </cell>
          <cell r="Z33">
            <v>2.3397755905365298</v>
          </cell>
          <cell r="AA33">
            <v>2.34211100032014</v>
          </cell>
          <cell r="AF33">
            <v>-1.03250782528426E-3</v>
          </cell>
          <cell r="AG33">
            <v>-1.1169811668547101E-4</v>
          </cell>
          <cell r="AR33">
            <v>3.4190646298341973E-3</v>
          </cell>
          <cell r="BC33">
            <v>1.404521589627204E-3</v>
          </cell>
          <cell r="BF33">
            <v>4.8235862194614017E-3</v>
          </cell>
        </row>
        <row r="34">
          <cell r="O34">
            <v>2.3475193892851398</v>
          </cell>
          <cell r="P34">
            <v>2.34042874138609</v>
          </cell>
          <cell r="Q34">
            <v>2.34228801557069</v>
          </cell>
          <cell r="U34">
            <v>8.2297456376732598E-4</v>
          </cell>
          <cell r="V34">
            <v>-2.4811937581365601E-3</v>
          </cell>
          <cell r="W34">
            <v>-1.48355747114333E-3</v>
          </cell>
          <cell r="Y34">
            <v>2.3475193892851398</v>
          </cell>
          <cell r="Z34">
            <v>2.34042874138609</v>
          </cell>
          <cell r="AA34">
            <v>2.34228801557069</v>
          </cell>
          <cell r="AF34">
            <v>-2.4811937581365601E-3</v>
          </cell>
          <cell r="AG34">
            <v>-1.48355747114333E-3</v>
          </cell>
          <cell r="AR34">
            <v>3.4190646298341973E-3</v>
          </cell>
          <cell r="BC34">
            <v>1.404521589627204E-3</v>
          </cell>
          <cell r="BF34">
            <v>4.8235862194614017E-3</v>
          </cell>
        </row>
        <row r="35">
          <cell r="O35">
            <v>2.3475193892851398</v>
          </cell>
          <cell r="P35">
            <v>2.3408426032869798</v>
          </cell>
          <cell r="Q35">
            <v>2.34235885987116</v>
          </cell>
          <cell r="U35">
            <v>9.5032530277673101E-4</v>
          </cell>
          <cell r="V35">
            <v>-2.0747309088525899E-3</v>
          </cell>
          <cell r="W35">
            <v>-1.2806302280707301E-3</v>
          </cell>
          <cell r="Y35">
            <v>2.3475193892851398</v>
          </cell>
          <cell r="Z35">
            <v>2.3408426032869798</v>
          </cell>
          <cell r="AA35">
            <v>2.34235885987116</v>
          </cell>
          <cell r="AF35">
            <v>-2.0747309088525899E-3</v>
          </cell>
          <cell r="AG35">
            <v>-1.2806302280707301E-3</v>
          </cell>
          <cell r="AR35">
            <v>3.5464153688435892E-3</v>
          </cell>
          <cell r="BC35">
            <v>1.404521589627204E-3</v>
          </cell>
          <cell r="BF35">
            <v>4.9509369584707936E-3</v>
          </cell>
        </row>
        <row r="36">
          <cell r="O36">
            <v>2.3475193892851398</v>
          </cell>
          <cell r="P36">
            <v>2.3412501711368101</v>
          </cell>
          <cell r="Q36">
            <v>2.3422169138681901</v>
          </cell>
          <cell r="U36">
            <v>2.52237598467358E-3</v>
          </cell>
          <cell r="V36">
            <v>-3.2586419921681902E-4</v>
          </cell>
          <cell r="W36">
            <v>3.2166576467344702E-4</v>
          </cell>
          <cell r="Y36">
            <v>2.3475193892851398</v>
          </cell>
          <cell r="Z36">
            <v>2.3412501711368101</v>
          </cell>
          <cell r="AA36">
            <v>2.3422169138681901</v>
          </cell>
          <cell r="AF36">
            <v>-3.2586419921681902E-4</v>
          </cell>
          <cell r="AG36">
            <v>3.2166576467344702E-4</v>
          </cell>
          <cell r="AR36">
            <v>5.1184660507404191E-3</v>
          </cell>
          <cell r="BC36">
            <v>1.404521589627204E-3</v>
          </cell>
          <cell r="BF36">
            <v>6.5229876403676236E-3</v>
          </cell>
        </row>
        <row r="37">
          <cell r="O37">
            <v>2.3475193892851398</v>
          </cell>
          <cell r="P37">
            <v>2.3417211768216002</v>
          </cell>
          <cell r="Q37">
            <v>2.3420846219667499</v>
          </cell>
          <cell r="U37">
            <v>1.9748646288603902E-3</v>
          </cell>
          <cell r="V37">
            <v>-6.9927911119880897E-4</v>
          </cell>
          <cell r="W37">
            <v>-2.8644702438477301E-4</v>
          </cell>
          <cell r="Y37">
            <v>2.3475193892851398</v>
          </cell>
          <cell r="Z37">
            <v>2.3417211768216002</v>
          </cell>
          <cell r="AA37">
            <v>2.3420846219667499</v>
          </cell>
          <cell r="AF37">
            <v>-6.9927911119880897E-4</v>
          </cell>
          <cell r="AG37">
            <v>-2.8644702438477301E-4</v>
          </cell>
          <cell r="AR37">
            <v>5.1184660507404191E-3</v>
          </cell>
          <cell r="BC37">
            <v>1.404521589627204E-3</v>
          </cell>
          <cell r="BF37">
            <v>6.5229876403676236E-3</v>
          </cell>
        </row>
        <row r="38">
          <cell r="O38">
            <v>2.3475193892851398</v>
          </cell>
          <cell r="P38">
            <v>2.34211284811634</v>
          </cell>
          <cell r="Q38">
            <v>2.34202162665061</v>
          </cell>
          <cell r="U38">
            <v>1.8224748968504699E-3</v>
          </cell>
          <cell r="V38">
            <v>-6.5051207696565597E-4</v>
          </cell>
          <cell r="W38">
            <v>-4.9531984163470098E-4</v>
          </cell>
          <cell r="Y38">
            <v>2.3475193892851398</v>
          </cell>
          <cell r="Z38">
            <v>2.34211284811634</v>
          </cell>
          <cell r="AA38">
            <v>2.34202162665061</v>
          </cell>
          <cell r="AF38">
            <v>-6.5051207696565597E-4</v>
          </cell>
          <cell r="AG38">
            <v>-4.9531984163470098E-4</v>
          </cell>
          <cell r="AR38">
            <v>5.1184660507404191E-3</v>
          </cell>
          <cell r="BC38">
            <v>1.404521589627204E-3</v>
          </cell>
          <cell r="BF38">
            <v>6.5229876403676236E-3</v>
          </cell>
        </row>
        <row r="39">
          <cell r="O39">
            <v>2.3475193892851398</v>
          </cell>
          <cell r="P39">
            <v>2.3426462408022002</v>
          </cell>
          <cell r="Q39">
            <v>2.3419792043074099</v>
          </cell>
          <cell r="U39">
            <v>1.1219890668483399E-3</v>
          </cell>
          <cell r="V39">
            <v>-1.1837540236175001E-3</v>
          </cell>
          <cell r="W39">
            <v>-1.2227031469751401E-3</v>
          </cell>
          <cell r="Y39">
            <v>2.3475193892851398</v>
          </cell>
          <cell r="Z39">
            <v>2.3426462408022002</v>
          </cell>
          <cell r="AA39">
            <v>2.3419792043074099</v>
          </cell>
          <cell r="AF39">
            <v>-1.1837540236175001E-3</v>
          </cell>
          <cell r="AG39">
            <v>-1.2227031469751401E-3</v>
          </cell>
          <cell r="AR39">
            <v>5.1184660507404191E-3</v>
          </cell>
          <cell r="BC39">
            <v>1.404521589627204E-3</v>
          </cell>
          <cell r="BF39">
            <v>6.5229876403676236E-3</v>
          </cell>
        </row>
        <row r="40">
          <cell r="O40">
            <v>2.3475193892851398</v>
          </cell>
          <cell r="P40">
            <v>2.3428711090998098</v>
          </cell>
          <cell r="Q40">
            <v>2.3419048832244198</v>
          </cell>
          <cell r="U40">
            <v>2.1978364003115E-3</v>
          </cell>
          <cell r="V40">
            <v>1.19807340830265E-4</v>
          </cell>
          <cell r="W40">
            <v>-1.64969534978545E-4</v>
          </cell>
          <cell r="Y40">
            <v>2.3475193892851398</v>
          </cell>
          <cell r="Z40">
            <v>2.3428711090998098</v>
          </cell>
          <cell r="AA40">
            <v>2.3419048832244198</v>
          </cell>
          <cell r="AF40">
            <v>1.19807340830265E-4</v>
          </cell>
          <cell r="AG40">
            <v>-1.64969534978545E-4</v>
          </cell>
          <cell r="AR40">
            <v>6.1943133842035291E-3</v>
          </cell>
          <cell r="BC40">
            <v>1.404521589627204E-3</v>
          </cell>
          <cell r="BF40">
            <v>7.5988349738307336E-3</v>
          </cell>
        </row>
        <row r="41">
          <cell r="O41">
            <v>2.3475193892851398</v>
          </cell>
          <cell r="P41">
            <v>2.3434498461016702</v>
          </cell>
          <cell r="Q41">
            <v>2.3419536409058002</v>
          </cell>
          <cell r="U41">
            <v>1.27788821610219E-3</v>
          </cell>
          <cell r="V41">
            <v>-7.0415643824690399E-4</v>
          </cell>
          <cell r="W41">
            <v>-1.1166525279953099E-3</v>
          </cell>
          <cell r="Y41">
            <v>2.3475193892851398</v>
          </cell>
          <cell r="Z41">
            <v>2.3434498461016702</v>
          </cell>
          <cell r="AA41">
            <v>2.3419536409058002</v>
          </cell>
          <cell r="AF41">
            <v>-7.0415643824690399E-4</v>
          </cell>
          <cell r="AG41">
            <v>-1.1166525279953099E-3</v>
          </cell>
          <cell r="AR41">
            <v>6.1943133842035291E-3</v>
          </cell>
          <cell r="BC41">
            <v>1.404521589627204E-3</v>
          </cell>
          <cell r="BF41">
            <v>7.5988349738307336E-3</v>
          </cell>
        </row>
        <row r="42">
          <cell r="O42">
            <v>2.3475193892851398</v>
          </cell>
          <cell r="P42">
            <v>2.3436871999051299</v>
          </cell>
          <cell r="Q42">
            <v>2.3418071249388301</v>
          </cell>
          <cell r="U42">
            <v>1.4416693285877399E-3</v>
          </cell>
          <cell r="V42">
            <v>-2.9338541177947598E-4</v>
          </cell>
          <cell r="W42">
            <v>-9.3205196456708195E-4</v>
          </cell>
          <cell r="Y42">
            <v>2.3475193892851398</v>
          </cell>
          <cell r="Z42">
            <v>2.3436871999051299</v>
          </cell>
          <cell r="AA42">
            <v>2.3418071249388301</v>
          </cell>
          <cell r="AF42">
            <v>-2.9338541177947598E-4</v>
          </cell>
          <cell r="AG42">
            <v>-9.3205196456708195E-4</v>
          </cell>
          <cell r="AR42">
            <v>6.3580944966890093E-3</v>
          </cell>
          <cell r="BC42">
            <v>1.404521589627204E-3</v>
          </cell>
          <cell r="BF42">
            <v>7.7626160863162137E-3</v>
          </cell>
        </row>
        <row r="43">
          <cell r="O43">
            <v>2.3475193892851398</v>
          </cell>
          <cell r="P43">
            <v>2.3437428338965698</v>
          </cell>
          <cell r="Q43">
            <v>2.3417592122165498</v>
          </cell>
          <cell r="U43">
            <v>1.9694441805350499E-3</v>
          </cell>
          <cell r="V43">
            <v>3.3566823843288602E-4</v>
          </cell>
          <cell r="W43">
            <v>-4.6684049889880199E-4</v>
          </cell>
          <cell r="Y43">
            <v>2.3475193892851398</v>
          </cell>
          <cell r="Z43">
            <v>2.3437428338965698</v>
          </cell>
          <cell r="AA43">
            <v>2.3417592122165498</v>
          </cell>
          <cell r="AF43">
            <v>3.3566823843288602E-4</v>
          </cell>
          <cell r="AG43">
            <v>-4.6684049889880199E-4</v>
          </cell>
          <cell r="AR43">
            <v>6.8858693486362997E-3</v>
          </cell>
          <cell r="BC43">
            <v>1.404521589627204E-3</v>
          </cell>
          <cell r="BF43">
            <v>8.2903909382635033E-3</v>
          </cell>
        </row>
        <row r="44">
          <cell r="O44">
            <v>2.3475193892851398</v>
          </cell>
          <cell r="P44">
            <v>2.3433951093878398</v>
          </cell>
          <cell r="Q44">
            <v>2.34191192538696</v>
          </cell>
          <cell r="U44">
            <v>2.3065363529822598E-3</v>
          </cell>
          <cell r="V44">
            <v>6.9649793487236401E-4</v>
          </cell>
          <cell r="W44">
            <v>-1.50208257551081E-4</v>
          </cell>
          <cell r="Y44">
            <v>2.3475193892851398</v>
          </cell>
          <cell r="Z44">
            <v>2.3433951093878398</v>
          </cell>
          <cell r="AA44">
            <v>2.34191192538696</v>
          </cell>
          <cell r="AF44">
            <v>6.9649793487236401E-4</v>
          </cell>
          <cell r="AG44">
            <v>-1.50208257551081E-4</v>
          </cell>
          <cell r="AR44">
            <v>7.2229615210833977E-3</v>
          </cell>
          <cell r="BC44">
            <v>1.404521589627204E-3</v>
          </cell>
          <cell r="BF44">
            <v>8.6274831107106022E-3</v>
          </cell>
        </row>
        <row r="45">
          <cell r="O45">
            <v>2.3475193892851398</v>
          </cell>
          <cell r="P45">
            <v>2.3431288430635302</v>
          </cell>
          <cell r="Q45">
            <v>2.3419857231752501</v>
          </cell>
          <cell r="U45">
            <v>2.0862941599512799E-3</v>
          </cell>
          <cell r="V45">
            <v>3.2788182428997398E-4</v>
          </cell>
          <cell r="W45">
            <v>-3.0523956536894199E-4</v>
          </cell>
          <cell r="Y45">
            <v>2.3475193892851398</v>
          </cell>
          <cell r="Z45">
            <v>2.3431288430635302</v>
          </cell>
          <cell r="AA45">
            <v>2.3419857231752501</v>
          </cell>
          <cell r="AF45">
            <v>3.2788182428997398E-4</v>
          </cell>
          <cell r="AG45">
            <v>-3.0523956536894199E-4</v>
          </cell>
          <cell r="AR45">
            <v>7.002719328052502E-3</v>
          </cell>
          <cell r="BC45">
            <v>1.404521589627204E-3</v>
          </cell>
          <cell r="BF45">
            <v>8.4072409176797064E-3</v>
          </cell>
        </row>
        <row r="46">
          <cell r="O46">
            <v>2.3475193892851398</v>
          </cell>
          <cell r="P46">
            <v>2.3435141412022502</v>
          </cell>
          <cell r="Q46">
            <v>2.3423821561695299</v>
          </cell>
          <cell r="U46">
            <v>8.7828397727255703E-4</v>
          </cell>
          <cell r="V46">
            <v>-9.9375898411327391E-4</v>
          </cell>
          <cell r="W46">
            <v>-1.4817384752432001E-3</v>
          </cell>
          <cell r="Y46">
            <v>2.3475193892851398</v>
          </cell>
          <cell r="Z46">
            <v>2.3435141412022502</v>
          </cell>
          <cell r="AA46">
            <v>2.3423821561695299</v>
          </cell>
          <cell r="AF46">
            <v>-9.9375898411327391E-4</v>
          </cell>
          <cell r="AG46">
            <v>-1.4817384752432001E-3</v>
          </cell>
          <cell r="AR46">
            <v>5.7947091453738817E-3</v>
          </cell>
          <cell r="BC46">
            <v>1.404521589627204E-3</v>
          </cell>
          <cell r="BF46">
            <v>7.1992307350010861E-3</v>
          </cell>
        </row>
        <row r="47">
          <cell r="O47">
            <v>2.3475193892851398</v>
          </cell>
          <cell r="P47">
            <v>2.3436712468771601</v>
          </cell>
          <cell r="Q47">
            <v>2.3426962118493799</v>
          </cell>
          <cell r="U47">
            <v>1.3045251659819001E-3</v>
          </cell>
          <cell r="V47">
            <v>-4.0309386088208202E-4</v>
          </cell>
          <cell r="W47">
            <v>-8.8623944623138304E-4</v>
          </cell>
          <cell r="Y47">
            <v>2.3475193892851398</v>
          </cell>
          <cell r="Z47">
            <v>2.3436712468771601</v>
          </cell>
          <cell r="AA47">
            <v>2.3426962118493799</v>
          </cell>
          <cell r="AF47">
            <v>-4.0309386088208202E-4</v>
          </cell>
          <cell r="AG47">
            <v>-8.8623944623138304E-4</v>
          </cell>
          <cell r="AR47">
            <v>6.2209503340833316E-3</v>
          </cell>
          <cell r="BC47">
            <v>1.404521589627204E-3</v>
          </cell>
          <cell r="BF47">
            <v>7.625471923710536E-3</v>
          </cell>
        </row>
        <row r="48">
          <cell r="O48">
            <v>2.3475193892851398</v>
          </cell>
          <cell r="P48">
            <v>2.34364869235191</v>
          </cell>
          <cell r="Q48">
            <v>2.3428807702341201</v>
          </cell>
          <cell r="U48">
            <v>1.9187329103520199E-3</v>
          </cell>
          <cell r="V48">
            <v>2.7815013742835798E-4</v>
          </cell>
          <cell r="W48">
            <v>-1.37965350926359E-4</v>
          </cell>
          <cell r="Y48">
            <v>2.3475193892851398</v>
          </cell>
          <cell r="Z48">
            <v>2.34364869235191</v>
          </cell>
          <cell r="AA48">
            <v>2.3428807702341201</v>
          </cell>
          <cell r="AF48">
            <v>2.7815013742835798E-4</v>
          </cell>
          <cell r="AG48">
            <v>-1.37965350926359E-4</v>
          </cell>
          <cell r="AR48">
            <v>6.8351580784532916E-3</v>
          </cell>
          <cell r="BC48">
            <v>1.404521589627204E-3</v>
          </cell>
          <cell r="BF48">
            <v>8.2396796680804952E-3</v>
          </cell>
        </row>
        <row r="49">
          <cell r="O49">
            <v>2.3475193892851398</v>
          </cell>
          <cell r="P49">
            <v>2.3437138207430599</v>
          </cell>
          <cell r="Q49">
            <v>2.34318003077263</v>
          </cell>
          <cell r="U49">
            <v>8.4428123306473201E-4</v>
          </cell>
          <cell r="V49">
            <v>-8.0592517363688198E-4</v>
          </cell>
          <cell r="W49">
            <v>-1.1336397994770799E-3</v>
          </cell>
          <cell r="Y49">
            <v>2.3475193892851398</v>
          </cell>
          <cell r="Z49">
            <v>2.3437138207430599</v>
          </cell>
          <cell r="AA49">
            <v>2.34318003077263</v>
          </cell>
          <cell r="AF49">
            <v>-8.0592517363688198E-4</v>
          </cell>
          <cell r="AG49">
            <v>-1.1336397994770799E-3</v>
          </cell>
          <cell r="AR49">
            <v>5.7607064011659815E-3</v>
          </cell>
          <cell r="BC49">
            <v>1.404521589627204E-3</v>
          </cell>
          <cell r="BF49">
            <v>7.1652279907931851E-3</v>
          </cell>
        </row>
        <row r="50">
          <cell r="O50">
            <v>2.3475193892851398</v>
          </cell>
          <cell r="P50">
            <v>2.34400601734349</v>
          </cell>
          <cell r="Q50">
            <v>2.3434385632216501</v>
          </cell>
          <cell r="U50">
            <v>9.5117147439702698E-4</v>
          </cell>
          <cell r="V50">
            <v>-6.7124600368119003E-4</v>
          </cell>
          <cell r="W50">
            <v>-8.99025846643711E-4</v>
          </cell>
          <cell r="Y50">
            <v>2.3475193892851398</v>
          </cell>
          <cell r="Z50">
            <v>2.34400601734349</v>
          </cell>
          <cell r="AA50">
            <v>2.3434385632216501</v>
          </cell>
          <cell r="AF50">
            <v>-6.7124600368119003E-4</v>
          </cell>
          <cell r="AG50">
            <v>-8.99025846643711E-4</v>
          </cell>
          <cell r="AR50">
            <v>5.8675966424984512E-3</v>
          </cell>
          <cell r="BC50">
            <v>1.404521589627204E-3</v>
          </cell>
          <cell r="BF50">
            <v>7.2721182321256548E-3</v>
          </cell>
        </row>
        <row r="51">
          <cell r="O51">
            <v>2.3475193892851398</v>
          </cell>
          <cell r="P51">
            <v>2.3443155701039902</v>
          </cell>
          <cell r="Q51">
            <v>2.3438827081028299</v>
          </cell>
          <cell r="U51">
            <v>-4.1564787228603998E-5</v>
          </cell>
          <cell r="V51">
            <v>-1.53931756225271E-3</v>
          </cell>
          <cell r="W51">
            <v>-1.78143418458738E-3</v>
          </cell>
          <cell r="Y51">
            <v>2.3475193892851398</v>
          </cell>
          <cell r="Z51">
            <v>2.3443155701039902</v>
          </cell>
          <cell r="AA51">
            <v>2.3438827081028299</v>
          </cell>
          <cell r="AF51">
            <v>-1.53931756225271E-3</v>
          </cell>
          <cell r="AG51">
            <v>-1.78143418458738E-3</v>
          </cell>
          <cell r="AR51">
            <v>4.8748603808726927E-3</v>
          </cell>
          <cell r="BC51">
            <v>1.404521589627204E-3</v>
          </cell>
          <cell r="BF51">
            <v>6.2793819704998963E-3</v>
          </cell>
        </row>
        <row r="52">
          <cell r="O52">
            <v>2.3475193892851398</v>
          </cell>
          <cell r="P52">
            <v>2.3443137153174201</v>
          </cell>
          <cell r="Q52">
            <v>2.3440004576112798</v>
          </cell>
          <cell r="U52">
            <v>1.4495818078031899E-3</v>
          </cell>
          <cell r="V52">
            <v>8.3881732313650399E-5</v>
          </cell>
          <cell r="W52">
            <v>-1.00778547266933E-4</v>
          </cell>
          <cell r="Y52">
            <v>2.3475193892851398</v>
          </cell>
          <cell r="Z52">
            <v>2.3443137153174201</v>
          </cell>
          <cell r="AA52">
            <v>2.3440004576112798</v>
          </cell>
          <cell r="AF52">
            <v>8.3881732313650399E-5</v>
          </cell>
          <cell r="AG52">
            <v>-1.00778547266933E-4</v>
          </cell>
          <cell r="AR52">
            <v>6.3660069759044428E-3</v>
          </cell>
          <cell r="BC52">
            <v>1.404521589627204E-3</v>
          </cell>
          <cell r="BF52">
            <v>7.7705285655316463E-3</v>
          </cell>
        </row>
        <row r="53">
          <cell r="O53">
            <v>2.3475193892851398</v>
          </cell>
          <cell r="P53">
            <v>2.3444013910858299</v>
          </cell>
          <cell r="Q53">
            <v>2.3440721124912001</v>
          </cell>
          <cell r="U53">
            <v>1.5952952883950401E-3</v>
          </cell>
          <cell r="V53">
            <v>2.2880402790924199E-4</v>
          </cell>
          <cell r="W53">
            <v>9.5170617238933601E-5</v>
          </cell>
          <cell r="Y53">
            <v>2.3475193892851398</v>
          </cell>
          <cell r="Z53">
            <v>2.3444013910858299</v>
          </cell>
          <cell r="AA53">
            <v>2.3440721124912001</v>
          </cell>
          <cell r="AF53">
            <v>2.2880402790924199E-4</v>
          </cell>
          <cell r="AG53">
            <v>9.5170617238933601E-5</v>
          </cell>
          <cell r="AR53">
            <v>6.5117204564964833E-3</v>
          </cell>
          <cell r="BC53">
            <v>1.404521589627204E-3</v>
          </cell>
          <cell r="BF53">
            <v>7.9162420461236869E-3</v>
          </cell>
        </row>
        <row r="54">
          <cell r="O54">
            <v>2.3475193892851398</v>
          </cell>
          <cell r="P54">
            <v>2.3443564108466601</v>
          </cell>
          <cell r="Q54">
            <v>2.3438757601172502</v>
          </cell>
          <cell r="U54">
            <v>2.4986047867145201E-3</v>
          </cell>
          <cell r="V54">
            <v>1.16951215951128E-3</v>
          </cell>
          <cell r="W54">
            <v>1.02904913037528E-3</v>
          </cell>
          <cell r="Y54">
            <v>2.3475193892851398</v>
          </cell>
          <cell r="Z54">
            <v>2.3443564108466601</v>
          </cell>
          <cell r="AA54">
            <v>2.3438757601172502</v>
          </cell>
          <cell r="AF54">
            <v>1.16951215951128E-3</v>
          </cell>
          <cell r="AG54">
            <v>1.02904913037528E-3</v>
          </cell>
          <cell r="AR54">
            <v>6.5117204564964833E-3</v>
          </cell>
          <cell r="BC54">
            <v>1.404521589627204E-3</v>
          </cell>
          <cell r="BF54">
            <v>7.9162420461236869E-3</v>
          </cell>
        </row>
        <row r="55">
          <cell r="O55">
            <v>2.3475193892851398</v>
          </cell>
          <cell r="P55">
            <v>2.3445116069985699</v>
          </cell>
          <cell r="Q55">
            <v>2.3438202250310498</v>
          </cell>
          <cell r="U55">
            <v>1.42402579683905E-3</v>
          </cell>
          <cell r="V55">
            <v>7.5746749235090503E-5</v>
          </cell>
          <cell r="W55">
            <v>-1.2929886862941801E-4</v>
          </cell>
          <cell r="Y55">
            <v>2.3475193892851398</v>
          </cell>
          <cell r="Z55">
            <v>2.3445116069985699</v>
          </cell>
          <cell r="AA55">
            <v>2.3438202250310498</v>
          </cell>
          <cell r="AF55">
            <v>7.5746749235090503E-5</v>
          </cell>
          <cell r="AG55">
            <v>-1.2929886862941801E-4</v>
          </cell>
          <cell r="AR55">
            <v>6.5117204564964833E-3</v>
          </cell>
          <cell r="BC55">
            <v>2.4791005795024635E-3</v>
          </cell>
          <cell r="BF55">
            <v>8.9908210359989464E-3</v>
          </cell>
        </row>
        <row r="56">
          <cell r="O56">
            <v>2.3475193892851398</v>
          </cell>
          <cell r="P56">
            <v>2.3446074322758199</v>
          </cell>
          <cell r="Q56">
            <v>2.3440607867390302</v>
          </cell>
          <cell r="U56">
            <v>4.6981072006517901E-4</v>
          </cell>
          <cell r="V56">
            <v>-8.1227062208964599E-4</v>
          </cell>
          <cell r="W56">
            <v>-1.1072079248668799E-3</v>
          </cell>
          <cell r="Y56">
            <v>2.3475193892851398</v>
          </cell>
          <cell r="Z56">
            <v>2.3446074322758199</v>
          </cell>
          <cell r="AA56">
            <v>2.3440607867390302</v>
          </cell>
          <cell r="AF56">
            <v>-8.1227062208964599E-4</v>
          </cell>
          <cell r="AG56">
            <v>-1.1072079248668799E-3</v>
          </cell>
          <cell r="AR56">
            <v>6.5117204564964833E-3</v>
          </cell>
          <cell r="BC56">
            <v>2.4791005795024635E-3</v>
          </cell>
          <cell r="BF56">
            <v>8.9908210359989464E-3</v>
          </cell>
        </row>
        <row r="57">
          <cell r="O57">
            <v>2.3475193892851398</v>
          </cell>
          <cell r="P57">
            <v>2.3444630856038899</v>
          </cell>
          <cell r="Q57">
            <v>2.3440671662405199</v>
          </cell>
          <cell r="U57">
            <v>1.9204076682530901E-3</v>
          </cell>
          <cell r="V57">
            <v>6.7919766097318795E-4</v>
          </cell>
          <cell r="W57">
            <v>4.4602034335259201E-4</v>
          </cell>
          <cell r="Y57">
            <v>2.3475193892851398</v>
          </cell>
          <cell r="Z57">
            <v>2.3444630856038899</v>
          </cell>
          <cell r="AA57">
            <v>2.3440671662405199</v>
          </cell>
          <cell r="AF57">
            <v>6.7919766097318795E-4</v>
          </cell>
          <cell r="AG57">
            <v>4.4602034335259201E-4</v>
          </cell>
          <cell r="AR57">
            <v>7.9623174046842445E-3</v>
          </cell>
          <cell r="BC57">
            <v>2.4791005795024635E-3</v>
          </cell>
          <cell r="BF57">
            <v>1.0441417984186706E-2</v>
          </cell>
        </row>
        <row r="58">
          <cell r="O58">
            <v>2.3475193892851398</v>
          </cell>
          <cell r="P58">
            <v>2.3446744154350401</v>
          </cell>
          <cell r="Q58">
            <v>2.3441615538934699</v>
          </cell>
          <cell r="U58">
            <v>1.01718433867811E-3</v>
          </cell>
          <cell r="V58">
            <v>-2.8559295423914298E-4</v>
          </cell>
          <cell r="W58">
            <v>-4.5448143017492499E-4</v>
          </cell>
          <cell r="Y58">
            <v>2.3475193892851398</v>
          </cell>
          <cell r="Z58">
            <v>2.3446744154350401</v>
          </cell>
          <cell r="AA58">
            <v>2.3441615538934699</v>
          </cell>
          <cell r="AF58">
            <v>-2.8559295423914298E-4</v>
          </cell>
          <cell r="AG58">
            <v>-4.5448143017492499E-4</v>
          </cell>
          <cell r="AR58">
            <v>7.9623174046842445E-3</v>
          </cell>
          <cell r="BC58">
            <v>2.4791005795024635E-3</v>
          </cell>
          <cell r="BF58">
            <v>1.0441417984186706E-2</v>
          </cell>
        </row>
        <row r="59">
          <cell r="O59">
            <v>2.3475193892851398</v>
          </cell>
          <cell r="P59">
            <v>2.34442278610276</v>
          </cell>
          <cell r="Q59">
            <v>2.3440683034229099</v>
          </cell>
          <cell r="U59">
            <v>1.91765704295548E-3</v>
          </cell>
          <cell r="V59">
            <v>7.0501565722584604E-4</v>
          </cell>
          <cell r="W59">
            <v>4.8625707963331901E-4</v>
          </cell>
          <cell r="Y59">
            <v>2.3475193892851398</v>
          </cell>
          <cell r="Z59">
            <v>2.34442278610276</v>
          </cell>
          <cell r="AA59">
            <v>2.3440683034229099</v>
          </cell>
          <cell r="AF59">
            <v>7.0501565722584604E-4</v>
          </cell>
          <cell r="AG59">
            <v>4.8625707963331901E-4</v>
          </cell>
          <cell r="AR59">
            <v>7.9623174046842445E-3</v>
          </cell>
          <cell r="BC59">
            <v>2.4791005795024635E-3</v>
          </cell>
          <cell r="BF59">
            <v>1.0441417984186706E-2</v>
          </cell>
        </row>
        <row r="60">
          <cell r="O60">
            <v>2.3475193892851398</v>
          </cell>
          <cell r="P60">
            <v>2.34412906362197</v>
          </cell>
          <cell r="Q60">
            <v>2.34406754048273</v>
          </cell>
          <cell r="U60">
            <v>2.2043506922610201E-3</v>
          </cell>
          <cell r="V60">
            <v>8.8438402761164495E-4</v>
          </cell>
          <cell r="W60">
            <v>7.3317005545897205E-4</v>
          </cell>
          <cell r="Y60">
            <v>2.3475193892851398</v>
          </cell>
          <cell r="Z60">
            <v>2.34412906362197</v>
          </cell>
          <cell r="AA60">
            <v>2.34406754048273</v>
          </cell>
          <cell r="AF60">
            <v>8.8438402761164495E-4</v>
          </cell>
          <cell r="AG60">
            <v>7.3317005545897205E-4</v>
          </cell>
          <cell r="AR60">
            <v>7.9623174046842445E-3</v>
          </cell>
          <cell r="BC60">
            <v>2.4791005795024635E-3</v>
          </cell>
          <cell r="BF60">
            <v>1.0441417984186706E-2</v>
          </cell>
        </row>
        <row r="61">
          <cell r="O61">
            <v>2.3475193892851398</v>
          </cell>
          <cell r="P61">
            <v>2.3438218924137399</v>
          </cell>
          <cell r="Q61">
            <v>2.3440687312588699</v>
          </cell>
          <cell r="U61">
            <v>1.26773032143989E-3</v>
          </cell>
          <cell r="V61">
            <v>-1.77529819996769E-4</v>
          </cell>
          <cell r="W61">
            <v>-2.0377579235607599E-4</v>
          </cell>
          <cell r="Y61">
            <v>2.3475193892851398</v>
          </cell>
          <cell r="Z61">
            <v>2.3438218924137399</v>
          </cell>
          <cell r="AA61">
            <v>2.3440687312588699</v>
          </cell>
          <cell r="AF61">
            <v>-1.77529819996769E-4</v>
          </cell>
          <cell r="AG61">
            <v>-2.0377579235607599E-4</v>
          </cell>
          <cell r="AR61">
            <v>7.9623174046842445E-3</v>
          </cell>
          <cell r="BC61">
            <v>2.4791005795024635E-3</v>
          </cell>
          <cell r="BF61">
            <v>1.0441417984186706E-2</v>
          </cell>
        </row>
        <row r="62">
          <cell r="O62">
            <v>2.3475193892851398</v>
          </cell>
          <cell r="P62">
            <v>2.3435299814592598</v>
          </cell>
          <cell r="Q62">
            <v>2.3439218483883399</v>
          </cell>
          <cell r="U62">
            <v>2.69564854267762E-3</v>
          </cell>
          <cell r="V62">
            <v>1.1193412927922601E-3</v>
          </cell>
          <cell r="W62">
            <v>1.2246504244128799E-3</v>
          </cell>
          <cell r="Y62">
            <v>2.3475193892851398</v>
          </cell>
          <cell r="Z62">
            <v>2.3435299814592598</v>
          </cell>
          <cell r="AA62">
            <v>2.3439218483883399</v>
          </cell>
          <cell r="AF62">
            <v>1.1193412927922601E-3</v>
          </cell>
          <cell r="AG62">
            <v>1.2246504244128799E-3</v>
          </cell>
          <cell r="AR62">
            <v>7.9623174046842445E-3</v>
          </cell>
          <cell r="BC62">
            <v>2.4791005795024635E-3</v>
          </cell>
          <cell r="BF62">
            <v>1.0441417984186706E-2</v>
          </cell>
        </row>
        <row r="63">
          <cell r="O63">
            <v>2.3475193892851398</v>
          </cell>
          <cell r="P63">
            <v>2.3438321543334499</v>
          </cell>
          <cell r="Q63">
            <v>2.3441167727096399</v>
          </cell>
          <cell r="U63">
            <v>3.0686980103415999E-4</v>
          </cell>
          <cell r="V63">
            <v>-1.3939900588145701E-3</v>
          </cell>
          <cell r="W63">
            <v>-1.2267917838381099E-3</v>
          </cell>
          <cell r="Y63">
            <v>2.3475193892851398</v>
          </cell>
          <cell r="Z63">
            <v>2.3438321543334499</v>
          </cell>
          <cell r="AA63">
            <v>2.3441167727096399</v>
          </cell>
          <cell r="AF63">
            <v>-1.3939900588145701E-3</v>
          </cell>
          <cell r="AG63">
            <v>-1.2267917838381099E-3</v>
          </cell>
          <cell r="AR63">
            <v>7.9623174046842445E-3</v>
          </cell>
          <cell r="BC63">
            <v>2.4791005795024635E-3</v>
          </cell>
          <cell r="BF63">
            <v>1.0441417984186706E-2</v>
          </cell>
        </row>
        <row r="64">
          <cell r="O64">
            <v>2.3475193892851398</v>
          </cell>
          <cell r="P64">
            <v>2.3444323494849302</v>
          </cell>
          <cell r="Q64">
            <v>2.3443943801657898</v>
          </cell>
          <cell r="U64">
            <v>-6.1232995235943204E-5</v>
          </cell>
          <cell r="V64">
            <v>-1.63316196992923E-3</v>
          </cell>
          <cell r="W64">
            <v>-1.51173642499783E-3</v>
          </cell>
          <cell r="Y64">
            <v>2.3475193892851398</v>
          </cell>
          <cell r="Z64">
            <v>2.3444323494849302</v>
          </cell>
          <cell r="AA64">
            <v>2.3443943801657898</v>
          </cell>
          <cell r="AF64">
            <v>-1.63316196992923E-3</v>
          </cell>
          <cell r="AG64">
            <v>-1.51173642499783E-3</v>
          </cell>
          <cell r="AR64">
            <v>7.594214608414104E-3</v>
          </cell>
          <cell r="BC64">
            <v>2.4791005795024635E-3</v>
          </cell>
          <cell r="BF64">
            <v>1.0073315187916565E-2</v>
          </cell>
        </row>
        <row r="65">
          <cell r="O65">
            <v>2.3475193892851398</v>
          </cell>
          <cell r="P65">
            <v>2.3448479091010102</v>
          </cell>
          <cell r="Q65">
            <v>2.3446797580497898</v>
          </cell>
          <cell r="U65">
            <v>-3.47134774170929E-4</v>
          </cell>
          <cell r="V65">
            <v>-1.66302224170648E-3</v>
          </cell>
          <cell r="W65">
            <v>-1.67921790058877E-3</v>
          </cell>
          <cell r="Y65">
            <v>2.3475193892851398</v>
          </cell>
          <cell r="Z65">
            <v>2.3448479091010102</v>
          </cell>
          <cell r="AA65">
            <v>2.3446797580497898</v>
          </cell>
          <cell r="AF65">
            <v>-1.66302224170648E-3</v>
          </cell>
          <cell r="AG65">
            <v>-1.67921790058877E-3</v>
          </cell>
          <cell r="AR65">
            <v>7.3083128294791321E-3</v>
          </cell>
          <cell r="BC65">
            <v>2.4791005795024635E-3</v>
          </cell>
          <cell r="BF65">
            <v>9.7874134089815934E-3</v>
          </cell>
        </row>
        <row r="66">
          <cell r="O66">
            <v>2.3475193892851398</v>
          </cell>
          <cell r="P66">
            <v>2.3450971303150898</v>
          </cell>
          <cell r="Q66">
            <v>2.3448522812954602</v>
          </cell>
          <cell r="U66">
            <v>-5.9176094443252501E-4</v>
          </cell>
          <cell r="V66">
            <v>-1.7304102883090001E-3</v>
          </cell>
          <cell r="W66">
            <v>-1.8021237158561E-3</v>
          </cell>
          <cell r="Y66">
            <v>2.3475193892851398</v>
          </cell>
          <cell r="Z66">
            <v>2.3450971303150898</v>
          </cell>
          <cell r="AA66">
            <v>2.3448522812954602</v>
          </cell>
          <cell r="AF66">
            <v>-1.7304102883090001E-3</v>
          </cell>
          <cell r="AG66">
            <v>-1.8021237158561E-3</v>
          </cell>
          <cell r="AR66">
            <v>7.0636866592175482E-3</v>
          </cell>
          <cell r="BC66">
            <v>2.4791005795024635E-3</v>
          </cell>
          <cell r="BF66">
            <v>9.5427872387200095E-3</v>
          </cell>
        </row>
        <row r="67">
          <cell r="O67">
            <v>2.3475193892851398</v>
          </cell>
          <cell r="P67">
            <v>2.3455361235033001</v>
          </cell>
          <cell r="Q67">
            <v>2.3449996045535899</v>
          </cell>
          <cell r="U67">
            <v>4.8535958571553299E-5</v>
          </cell>
          <cell r="V67">
            <v>-9.838344365230079E-4</v>
          </cell>
          <cell r="W67">
            <v>-1.08824879086766E-3</v>
          </cell>
          <cell r="Y67">
            <v>2.3475193892851398</v>
          </cell>
          <cell r="Z67">
            <v>2.3455361235033001</v>
          </cell>
          <cell r="AA67">
            <v>2.3449996045535899</v>
          </cell>
          <cell r="AF67">
            <v>-9.838344365230079E-4</v>
          </cell>
          <cell r="AG67">
            <v>-1.08824879086766E-3</v>
          </cell>
          <cell r="AR67">
            <v>7.703983562221778E-3</v>
          </cell>
          <cell r="BC67">
            <v>2.4791005795024635E-3</v>
          </cell>
          <cell r="BF67">
            <v>1.0183084141724238E-2</v>
          </cell>
        </row>
        <row r="68">
          <cell r="O68">
            <v>2.3475193892851398</v>
          </cell>
          <cell r="P68">
            <v>2.3459295451055402</v>
          </cell>
          <cell r="Q68">
            <v>2.3453019802702899</v>
          </cell>
          <cell r="U68">
            <v>-6.5901914337915799E-4</v>
          </cell>
          <cell r="V68">
            <v>-1.5042108929765501E-3</v>
          </cell>
          <cell r="W68">
            <v>-1.73297749157055E-3</v>
          </cell>
          <cell r="Y68">
            <v>2.3475193892851398</v>
          </cell>
          <cell r="Z68">
            <v>2.3459295451055402</v>
          </cell>
          <cell r="AA68">
            <v>2.3453019802702899</v>
          </cell>
          <cell r="AF68">
            <v>-1.5042108929765501E-3</v>
          </cell>
          <cell r="AG68">
            <v>-1.73297749157055E-3</v>
          </cell>
          <cell r="AR68">
            <v>6.9964284602709878E-3</v>
          </cell>
          <cell r="BC68">
            <v>2.4791005795024635E-3</v>
          </cell>
          <cell r="BF68">
            <v>9.4755290397734483E-3</v>
          </cell>
        </row>
        <row r="69">
          <cell r="O69">
            <v>2.3475193892851398</v>
          </cell>
          <cell r="P69">
            <v>2.3460798391961402</v>
          </cell>
          <cell r="Q69">
            <v>2.3452513126494501</v>
          </cell>
          <cell r="U69">
            <v>1.27640864659085E-3</v>
          </cell>
          <cell r="V69">
            <v>5.98934890029041E-4</v>
          </cell>
          <cell r="W69">
            <v>3.3138687599370799E-4</v>
          </cell>
          <cell r="Y69">
            <v>2.3475193892851398</v>
          </cell>
          <cell r="Z69">
            <v>2.3460798391961402</v>
          </cell>
          <cell r="AA69">
            <v>2.3452513126494501</v>
          </cell>
          <cell r="AF69">
            <v>5.98934890029041E-4</v>
          </cell>
          <cell r="AG69">
            <v>3.3138687599370799E-4</v>
          </cell>
          <cell r="AR69">
            <v>8.9318562502408959E-3</v>
          </cell>
          <cell r="BC69">
            <v>2.4791005795024635E-3</v>
          </cell>
          <cell r="BF69">
            <v>1.1410956829743357E-2</v>
          </cell>
        </row>
        <row r="70">
          <cell r="O70">
            <v>2.3475193892851398</v>
          </cell>
          <cell r="P70">
            <v>2.3464939287437301</v>
          </cell>
          <cell r="Q70">
            <v>2.3453114961828501</v>
          </cell>
          <cell r="U70">
            <v>4.3807367099385101E-4</v>
          </cell>
          <cell r="V70">
            <v>-1.7533623644129699E-4</v>
          </cell>
          <cell r="W70">
            <v>-5.2855221224314705E-4</v>
          </cell>
          <cell r="Y70">
            <v>2.3475193892851398</v>
          </cell>
          <cell r="Z70">
            <v>2.3464939287437301</v>
          </cell>
          <cell r="AA70">
            <v>2.3453114961828501</v>
          </cell>
          <cell r="AF70">
            <v>-1.7533623644129699E-4</v>
          </cell>
          <cell r="AG70">
            <v>-5.2855221224314705E-4</v>
          </cell>
          <cell r="AR70">
            <v>8.9318562502408959E-3</v>
          </cell>
          <cell r="BC70">
            <v>2.4791005795024635E-3</v>
          </cell>
          <cell r="BF70">
            <v>1.1410956829743357E-2</v>
          </cell>
        </row>
        <row r="71">
          <cell r="O71">
            <v>2.3475193892851398</v>
          </cell>
          <cell r="P71">
            <v>2.3468124794860801</v>
          </cell>
          <cell r="Q71">
            <v>2.3453171859499098</v>
          </cell>
          <cell r="U71">
            <v>-9.0036315983002205E-5</v>
          </cell>
          <cell r="V71">
            <v>-5.2695904638209599E-4</v>
          </cell>
          <cell r="W71">
            <v>-1.0310006588645901E-3</v>
          </cell>
          <cell r="Y71">
            <v>2.3475193892851398</v>
          </cell>
          <cell r="Z71">
            <v>2.3468124794860801</v>
          </cell>
          <cell r="AA71">
            <v>2.3453171859499098</v>
          </cell>
          <cell r="AF71">
            <v>-5.2695904638209599E-4</v>
          </cell>
          <cell r="AG71">
            <v>-1.0310006588645901E-3</v>
          </cell>
          <cell r="AR71">
            <v>8.9318562502408959E-3</v>
          </cell>
          <cell r="BC71">
            <v>2.4791005795024635E-3</v>
          </cell>
          <cell r="BF71">
            <v>1.1410956829743357E-2</v>
          </cell>
        </row>
        <row r="72">
          <cell r="O72">
            <v>2.3475193892851398</v>
          </cell>
          <cell r="P72">
            <v>2.34723276485053</v>
          </cell>
          <cell r="Q72">
            <v>2.3453813731549</v>
          </cell>
          <cell r="U72">
            <v>9.0208710001544296E-4</v>
          </cell>
          <cell r="V72">
            <v>6.0091120356408202E-4</v>
          </cell>
          <cell r="W72">
            <v>-3.6451228170558403E-5</v>
          </cell>
          <cell r="Y72">
            <v>2.3475193892851398</v>
          </cell>
          <cell r="Z72">
            <v>2.34723276485053</v>
          </cell>
          <cell r="AA72">
            <v>2.3453813731549</v>
          </cell>
          <cell r="AF72">
            <v>6.0091120356408202E-4</v>
          </cell>
          <cell r="AG72">
            <v>-3.6451228170558403E-5</v>
          </cell>
          <cell r="AR72">
            <v>9.9239796662392871E-3</v>
          </cell>
          <cell r="BC72">
            <v>2.4791005795024635E-3</v>
          </cell>
          <cell r="BF72">
            <v>1.2403080245741748E-2</v>
          </cell>
        </row>
        <row r="73">
          <cell r="O73">
            <v>2.3475193892851398</v>
          </cell>
          <cell r="P73">
            <v>2.3471581163086501</v>
          </cell>
          <cell r="Q73">
            <v>2.34549513532105</v>
          </cell>
          <cell r="U73">
            <v>6.2500702979612999E-4</v>
          </cell>
          <cell r="V73">
            <v>5.0290284812453095E-4</v>
          </cell>
          <cell r="W73">
            <v>-2.86163432310072E-4</v>
          </cell>
          <cell r="Y73">
            <v>2.3475193892851398</v>
          </cell>
          <cell r="Z73">
            <v>2.3471581163086501</v>
          </cell>
          <cell r="AA73">
            <v>2.34549513532105</v>
          </cell>
          <cell r="AF73">
            <v>5.0290284812453095E-4</v>
          </cell>
          <cell r="AG73">
            <v>-2.86163432310072E-4</v>
          </cell>
          <cell r="AR73">
            <v>9.6468995960200653E-3</v>
          </cell>
          <cell r="BC73">
            <v>2.4791005795024635E-3</v>
          </cell>
          <cell r="BF73">
            <v>1.2126000175522527E-2</v>
          </cell>
        </row>
        <row r="74">
          <cell r="O74">
            <v>2.3475193892851398</v>
          </cell>
          <cell r="P74">
            <v>2.3470290401379099</v>
          </cell>
          <cell r="Q74">
            <v>2.34573069481142</v>
          </cell>
          <cell r="U74">
            <v>4.8872523805796903E-4</v>
          </cell>
          <cell r="V74">
            <v>3.3481776442347699E-4</v>
          </cell>
          <cell r="W74">
            <v>-3.7394163800486999E-4</v>
          </cell>
          <cell r="Y74">
            <v>2.3475193892851398</v>
          </cell>
          <cell r="Z74">
            <v>2.3470290401379099</v>
          </cell>
          <cell r="AA74">
            <v>2.34573069481142</v>
          </cell>
          <cell r="AF74">
            <v>3.3481776442347699E-4</v>
          </cell>
          <cell r="AG74">
            <v>-3.7394163800486999E-4</v>
          </cell>
          <cell r="AR74">
            <v>9.510617804282126E-3</v>
          </cell>
          <cell r="BC74">
            <v>2.4791005795024635E-3</v>
          </cell>
          <cell r="BF74">
            <v>1.1989718383784587E-2</v>
          </cell>
        </row>
        <row r="75">
          <cell r="O75">
            <v>2.3475193892851398</v>
          </cell>
          <cell r="P75">
            <v>2.3470447438569599</v>
          </cell>
          <cell r="Q75">
            <v>2.3459463264789799</v>
          </cell>
          <cell r="U75">
            <v>-4.1400427011847001E-4</v>
          </cell>
          <cell r="V75">
            <v>-6.2290578914285597E-4</v>
          </cell>
          <cell r="W75">
            <v>-1.1762455861699401E-3</v>
          </cell>
          <cell r="Y75">
            <v>2.3475193892851398</v>
          </cell>
          <cell r="Z75">
            <v>2.3470447438569599</v>
          </cell>
          <cell r="AA75">
            <v>2.3459463264789799</v>
          </cell>
          <cell r="AF75">
            <v>-6.2290578914285597E-4</v>
          </cell>
          <cell r="AG75">
            <v>-1.1762455861699401E-3</v>
          </cell>
          <cell r="AR75">
            <v>8.6078882961057174E-3</v>
          </cell>
          <cell r="BC75">
            <v>2.4791005795024635E-3</v>
          </cell>
          <cell r="BF75">
            <v>1.1086988875608179E-2</v>
          </cell>
        </row>
        <row r="76">
          <cell r="O76">
            <v>2.3475193892851398</v>
          </cell>
          <cell r="P76">
            <v>2.34702025064299</v>
          </cell>
          <cell r="Q76">
            <v>2.3460586904790399</v>
          </cell>
          <cell r="U76">
            <v>-4.8748065354941298E-4</v>
          </cell>
          <cell r="V76">
            <v>-6.8969130243682003E-4</v>
          </cell>
          <cell r="W76">
            <v>-1.15780103525649E-3</v>
          </cell>
          <cell r="Y76">
            <v>2.3475193892851398</v>
          </cell>
          <cell r="Z76">
            <v>2.34702025064299</v>
          </cell>
          <cell r="AA76">
            <v>2.3460586904790399</v>
          </cell>
          <cell r="AF76">
            <v>-6.8969130243682003E-4</v>
          </cell>
          <cell r="AG76">
            <v>-1.15780103525649E-3</v>
          </cell>
          <cell r="AR76">
            <v>8.5344119126748476E-3</v>
          </cell>
          <cell r="BC76">
            <v>2.4791005795024635E-3</v>
          </cell>
          <cell r="BF76">
            <v>1.1013512492177309E-2</v>
          </cell>
        </row>
        <row r="77">
          <cell r="O77">
            <v>2.3475193892851398</v>
          </cell>
          <cell r="P77">
            <v>2.34709370972472</v>
          </cell>
          <cell r="Q77">
            <v>2.34631491661401</v>
          </cell>
          <cell r="U77">
            <v>-2.6435242631729498E-4</v>
          </cell>
          <cell r="V77">
            <v>-4.7699889746055202E-4</v>
          </cell>
          <cell r="W77">
            <v>-8.8677686602478697E-4</v>
          </cell>
          <cell r="Y77">
            <v>2.3475193892851398</v>
          </cell>
          <cell r="Z77">
            <v>2.34709370972472</v>
          </cell>
          <cell r="AA77">
            <v>2.34631491661401</v>
          </cell>
          <cell r="AF77">
            <v>-4.7699889746055202E-4</v>
          </cell>
          <cell r="AG77">
            <v>-8.8677686602478697E-4</v>
          </cell>
          <cell r="AR77">
            <v>8.7575401399068529E-3</v>
          </cell>
          <cell r="BC77">
            <v>2.4791005795024635E-3</v>
          </cell>
          <cell r="BF77">
            <v>1.1236640719409314E-2</v>
          </cell>
        </row>
        <row r="78">
          <cell r="O78">
            <v>2.3475193892851398</v>
          </cell>
          <cell r="P78">
            <v>2.3470447818387101</v>
          </cell>
          <cell r="Q78">
            <v>2.3464871634721298</v>
          </cell>
          <cell r="U78">
            <v>-4.5071098071420098E-4</v>
          </cell>
          <cell r="V78">
            <v>-6.3205907164824498E-4</v>
          </cell>
          <cell r="W78">
            <v>-9.6392581493055199E-4</v>
          </cell>
          <cell r="Y78">
            <v>2.3475193892851398</v>
          </cell>
          <cell r="Z78">
            <v>2.3470447818387101</v>
          </cell>
          <cell r="AA78">
            <v>2.3464871634721298</v>
          </cell>
          <cell r="AF78">
            <v>-6.3205907164824498E-4</v>
          </cell>
          <cell r="AG78">
            <v>-9.6392581493055199E-4</v>
          </cell>
          <cell r="AR78">
            <v>8.5711815855100282E-3</v>
          </cell>
          <cell r="BC78">
            <v>2.4791005795024635E-3</v>
          </cell>
          <cell r="BF78">
            <v>1.105028216501249E-2</v>
          </cell>
        </row>
        <row r="79">
          <cell r="O79">
            <v>2.3475193892851398</v>
          </cell>
          <cell r="P79">
            <v>2.3472808157551799</v>
          </cell>
          <cell r="Q79">
            <v>2.34668032747566</v>
          </cell>
          <cell r="U79">
            <v>2.7016988804596501E-4</v>
          </cell>
          <cell r="V79">
            <v>6.7975421956009805E-5</v>
          </cell>
          <cell r="W79">
            <v>-1.6963598697947101E-4</v>
          </cell>
          <cell r="Y79">
            <v>2.3475193892851398</v>
          </cell>
          <cell r="Z79">
            <v>2.3472808157551799</v>
          </cell>
          <cell r="AA79">
            <v>2.34668032747566</v>
          </cell>
          <cell r="AF79">
            <v>6.7975421956009805E-5</v>
          </cell>
          <cell r="AG79">
            <v>-1.6963598697947101E-4</v>
          </cell>
          <cell r="AR79">
            <v>9.2920624542701252E-3</v>
          </cell>
          <cell r="BC79">
            <v>2.4791005795024635E-3</v>
          </cell>
          <cell r="BF79">
            <v>1.1771163033772587E-2</v>
          </cell>
        </row>
        <row r="80">
          <cell r="O80">
            <v>2.3475193892851398</v>
          </cell>
          <cell r="P80">
            <v>2.3474589776005499</v>
          </cell>
          <cell r="Q80">
            <v>2.34697645317214</v>
          </cell>
          <cell r="U80">
            <v>-3.2090740276074099E-4</v>
          </cell>
          <cell r="V80">
            <v>-4.2254049458443E-4</v>
          </cell>
          <cell r="W80">
            <v>-6.7839616295197998E-4</v>
          </cell>
          <cell r="Y80">
            <v>2.3475193892851398</v>
          </cell>
          <cell r="Z80">
            <v>2.3474589776005499</v>
          </cell>
          <cell r="AA80">
            <v>2.34697645317214</v>
          </cell>
          <cell r="AF80">
            <v>-4.2254049458443E-4</v>
          </cell>
          <cell r="AG80">
            <v>-6.7839616295197998E-4</v>
          </cell>
          <cell r="AR80">
            <v>8.7009851634635947E-3</v>
          </cell>
          <cell r="BC80">
            <v>2.4791005795024635E-3</v>
          </cell>
          <cell r="BF80">
            <v>1.1180085742966056E-2</v>
          </cell>
        </row>
        <row r="81">
          <cell r="O81">
            <v>2.3475193892851398</v>
          </cell>
          <cell r="P81">
            <v>2.3476837114200002</v>
          </cell>
          <cell r="Q81">
            <v>2.3472480954530401</v>
          </cell>
          <cell r="U81">
            <v>-1.04681692244367E-3</v>
          </cell>
          <cell r="V81">
            <v>-1.0725515179530801E-3</v>
          </cell>
          <cell r="W81">
            <v>-1.27812445093778E-3</v>
          </cell>
          <cell r="Y81">
            <v>2.3475193892851398</v>
          </cell>
          <cell r="Z81">
            <v>2.3476837114200002</v>
          </cell>
          <cell r="AA81">
            <v>2.3472480954530401</v>
          </cell>
          <cell r="AF81">
            <v>-1.0725515179530801E-3</v>
          </cell>
          <cell r="AG81">
            <v>-1.27812445093778E-3</v>
          </cell>
          <cell r="AR81">
            <v>7.9750756437807647E-3</v>
          </cell>
          <cell r="BC81">
            <v>2.4791005795024635E-3</v>
          </cell>
          <cell r="BF81">
            <v>1.0454176223283226E-2</v>
          </cell>
        </row>
        <row r="82">
          <cell r="O82">
            <v>2.3475193892851398</v>
          </cell>
          <cell r="P82">
            <v>2.34829282858577</v>
          </cell>
          <cell r="Q82">
            <v>2.34776279671815</v>
          </cell>
          <cell r="U82">
            <v>-1.69161494928318E-3</v>
          </cell>
          <cell r="V82">
            <v>-1.6216191977062801E-3</v>
          </cell>
          <cell r="W82">
            <v>-1.8071878006712899E-3</v>
          </cell>
          <cell r="Y82">
            <v>2.3475193892851398</v>
          </cell>
          <cell r="Z82">
            <v>2.34829282858577</v>
          </cell>
          <cell r="AA82">
            <v>2.34776279671815</v>
          </cell>
          <cell r="AF82">
            <v>-1.6216191977062801E-3</v>
          </cell>
          <cell r="AG82">
            <v>-1.8071878006712899E-3</v>
          </cell>
          <cell r="AR82">
            <v>7.330277616941305E-3</v>
          </cell>
          <cell r="BC82">
            <v>2.4791005795024635E-3</v>
          </cell>
          <cell r="BF82">
            <v>9.8093781964437663E-3</v>
          </cell>
        </row>
        <row r="83">
          <cell r="O83">
            <v>2.3475193892851398</v>
          </cell>
          <cell r="P83">
            <v>2.3487248624879902</v>
          </cell>
          <cell r="Q83">
            <v>2.3479414893983201</v>
          </cell>
          <cell r="U83">
            <v>-1.21483484436892E-3</v>
          </cell>
          <cell r="V83">
            <v>-8.8541821877328596E-4</v>
          </cell>
          <cell r="W83">
            <v>-1.11115313852732E-3</v>
          </cell>
          <cell r="Y83">
            <v>2.3475193892851398</v>
          </cell>
          <cell r="Z83">
            <v>2.3487248624879902</v>
          </cell>
          <cell r="AA83">
            <v>2.3479414893983201</v>
          </cell>
          <cell r="AF83">
            <v>-8.8541821877328596E-4</v>
          </cell>
          <cell r="AG83">
            <v>-1.11115313852732E-3</v>
          </cell>
          <cell r="AR83">
            <v>7.8070577218555398E-3</v>
          </cell>
          <cell r="BC83">
            <v>2.4791005795024635E-3</v>
          </cell>
          <cell r="BF83">
            <v>1.0286158301358001E-2</v>
          </cell>
        </row>
        <row r="84">
          <cell r="O84">
            <v>2.3475193892851398</v>
          </cell>
          <cell r="P84">
            <v>2.3491965835635198</v>
          </cell>
          <cell r="Q84">
            <v>2.3481128118507102</v>
          </cell>
          <cell r="U84">
            <v>-1.5196837177324401E-3</v>
          </cell>
          <cell r="V84">
            <v>-1.0063061484689799E-3</v>
          </cell>
          <cell r="W84">
            <v>-1.3398930112530801E-3</v>
          </cell>
          <cell r="Y84">
            <v>2.3475193892851398</v>
          </cell>
          <cell r="Z84">
            <v>2.3491965835635198</v>
          </cell>
          <cell r="AA84">
            <v>2.3481128118507102</v>
          </cell>
          <cell r="AF84">
            <v>-1.0063061484689799E-3</v>
          </cell>
          <cell r="AG84">
            <v>-1.3398930112530801E-3</v>
          </cell>
          <cell r="AR84">
            <v>7.8070577218555398E-3</v>
          </cell>
          <cell r="BC84">
            <v>2.4791005795024635E-3</v>
          </cell>
          <cell r="BF84">
            <v>1.0286158301358001E-2</v>
          </cell>
        </row>
        <row r="85">
          <cell r="O85">
            <v>2.3475193892851398</v>
          </cell>
          <cell r="P85">
            <v>2.3491922524096598</v>
          </cell>
          <cell r="Q85">
            <v>2.3481184981333101</v>
          </cell>
          <cell r="U85">
            <v>-3.9556181949822802E-4</v>
          </cell>
          <cell r="V85">
            <v>3.1863693527767499E-4</v>
          </cell>
          <cell r="W85">
            <v>-1.42806687361864E-4</v>
          </cell>
          <cell r="Y85">
            <v>2.3475193892851398</v>
          </cell>
          <cell r="Z85">
            <v>2.3491922524096598</v>
          </cell>
          <cell r="AA85">
            <v>2.3481184981333101</v>
          </cell>
          <cell r="AF85">
            <v>3.1863693527767499E-4</v>
          </cell>
          <cell r="AG85">
            <v>-1.42806687361864E-4</v>
          </cell>
          <cell r="AR85">
            <v>8.9311796200897704E-3</v>
          </cell>
          <cell r="BC85">
            <v>2.4791005795024635E-3</v>
          </cell>
          <cell r="BF85">
            <v>1.1410280199592232E-2</v>
          </cell>
        </row>
        <row r="86">
          <cell r="O86">
            <v>2.3475193892851398</v>
          </cell>
          <cell r="P86">
            <v>2.34945027048858</v>
          </cell>
          <cell r="Q86">
            <v>2.3482352605657799</v>
          </cell>
          <cell r="U86">
            <v>-1.58545146779153E-3</v>
          </cell>
          <cell r="V86">
            <v>-8.7309638922729402E-4</v>
          </cell>
          <cell r="W86">
            <v>-1.3302746991477601E-3</v>
          </cell>
          <cell r="Y86">
            <v>2.3475193892851398</v>
          </cell>
          <cell r="Z86">
            <v>2.34945027048858</v>
          </cell>
          <cell r="AA86">
            <v>2.3482352605657799</v>
          </cell>
          <cell r="AF86">
            <v>-8.7309638922729402E-4</v>
          </cell>
          <cell r="AG86">
            <v>-1.3302746991477601E-3</v>
          </cell>
          <cell r="AR86">
            <v>7.7412899717963588E-3</v>
          </cell>
          <cell r="BC86">
            <v>2.4791005795024635E-3</v>
          </cell>
          <cell r="BF86">
            <v>1.022039055129882E-2</v>
          </cell>
        </row>
        <row r="87">
          <cell r="O87">
            <v>2.3475193892851398</v>
          </cell>
          <cell r="P87">
            <v>2.3496758091702001</v>
          </cell>
          <cell r="Q87">
            <v>2.3483847594474598</v>
          </cell>
          <cell r="U87">
            <v>-1.22439071987987E-3</v>
          </cell>
          <cell r="V87">
            <v>-4.0220899333366297E-4</v>
          </cell>
          <cell r="W87">
            <v>-9.1948923350990402E-4</v>
          </cell>
          <cell r="Y87">
            <v>2.3475193892851398</v>
          </cell>
          <cell r="Z87">
            <v>2.3496758091702001</v>
          </cell>
          <cell r="AA87">
            <v>2.3483847594474598</v>
          </cell>
          <cell r="AF87">
            <v>-4.0220899333366297E-4</v>
          </cell>
          <cell r="AG87">
            <v>-9.1948923350990402E-4</v>
          </cell>
          <cell r="AR87">
            <v>8.1023507197082387E-3</v>
          </cell>
          <cell r="BC87">
            <v>2.4791005795024635E-3</v>
          </cell>
          <cell r="BF87">
            <v>1.05814512992107E-2</v>
          </cell>
        </row>
        <row r="88">
          <cell r="O88">
            <v>2.3475193892851398</v>
          </cell>
          <cell r="P88">
            <v>2.3500643032109201</v>
          </cell>
          <cell r="Q88">
            <v>2.34855454252481</v>
          </cell>
          <cell r="U88">
            <v>-2.1035116556201898E-3</v>
          </cell>
          <cell r="V88">
            <v>-1.1853381731695199E-3</v>
          </cell>
          <cell r="W88">
            <v>-1.7349478414082299E-3</v>
          </cell>
          <cell r="Y88">
            <v>2.3475193892851398</v>
          </cell>
          <cell r="Z88">
            <v>2.3500643032109201</v>
          </cell>
          <cell r="AA88">
            <v>2.34855454252481</v>
          </cell>
          <cell r="AF88">
            <v>-1.1853381731695199E-3</v>
          </cell>
          <cell r="AG88">
            <v>-1.7349478414082299E-3</v>
          </cell>
          <cell r="AR88">
            <v>7.2232297839678874E-3</v>
          </cell>
          <cell r="BC88">
            <v>2.4791005795024635E-3</v>
          </cell>
          <cell r="BF88">
            <v>9.7023303634703496E-3</v>
          </cell>
        </row>
        <row r="89">
          <cell r="O89">
            <v>2.3475193892851398</v>
          </cell>
          <cell r="P89">
            <v>2.3504889405631801</v>
          </cell>
          <cell r="Q89">
            <v>2.34888487815918</v>
          </cell>
          <cell r="U89">
            <v>-1.53756082079602E-3</v>
          </cell>
          <cell r="V89">
            <v>-4.5406158317301499E-4</v>
          </cell>
          <cell r="W89">
            <v>-1.09670180900619E-3</v>
          </cell>
          <cell r="Y89">
            <v>2.3475193892851398</v>
          </cell>
          <cell r="Z89">
            <v>2.3504889405631801</v>
          </cell>
          <cell r="AA89">
            <v>2.34888487815918</v>
          </cell>
          <cell r="AF89">
            <v>-4.5406158317301499E-4</v>
          </cell>
          <cell r="AG89">
            <v>-1.09670180900619E-3</v>
          </cell>
          <cell r="AR89">
            <v>7.7891806187921414E-3</v>
          </cell>
          <cell r="BC89">
            <v>2.4791005795024635E-3</v>
          </cell>
          <cell r="BF89">
            <v>1.0268281198294604E-2</v>
          </cell>
        </row>
        <row r="90">
          <cell r="O90">
            <v>2.3475193892851398</v>
          </cell>
          <cell r="P90">
            <v>2.3506946229437702</v>
          </cell>
          <cell r="Q90">
            <v>2.3490768002721598</v>
          </cell>
          <cell r="U90">
            <v>-1.1964119511209399E-3</v>
          </cell>
          <cell r="V90">
            <v>6.7762765067665395E-5</v>
          </cell>
          <cell r="W90">
            <v>-6.1490796008539903E-4</v>
          </cell>
          <cell r="Y90">
            <v>2.3475193892851398</v>
          </cell>
          <cell r="Z90">
            <v>2.3506946229437702</v>
          </cell>
          <cell r="AA90">
            <v>2.3490768002721598</v>
          </cell>
          <cell r="AF90">
            <v>6.7762765067665395E-5</v>
          </cell>
          <cell r="AG90">
            <v>-6.1490796008539903E-4</v>
          </cell>
          <cell r="AR90">
            <v>8.1303294884670363E-3</v>
          </cell>
          <cell r="BC90">
            <v>2.4791005795024635E-3</v>
          </cell>
          <cell r="BF90">
            <v>1.0609430067969499E-2</v>
          </cell>
        </row>
        <row r="91">
          <cell r="O91">
            <v>2.3475193892851398</v>
          </cell>
          <cell r="P91">
            <v>2.35060766490452</v>
          </cell>
          <cell r="Q91">
            <v>2.3491456881622601</v>
          </cell>
          <cell r="U91">
            <v>-6.7671078344191699E-4</v>
          </cell>
          <cell r="V91">
            <v>6.7496631504541504E-4</v>
          </cell>
          <cell r="W91">
            <v>-1.3502374099921301E-5</v>
          </cell>
          <cell r="Y91">
            <v>2.3475193892851398</v>
          </cell>
          <cell r="Z91">
            <v>2.35060766490452</v>
          </cell>
          <cell r="AA91">
            <v>2.3491456881622601</v>
          </cell>
          <cell r="AF91">
            <v>6.7496631504541504E-4</v>
          </cell>
          <cell r="AG91">
            <v>-1.3502374099921301E-5</v>
          </cell>
          <cell r="AR91">
            <v>8.6500306561460953E-3</v>
          </cell>
          <cell r="BC91">
            <v>2.4791005795024635E-3</v>
          </cell>
          <cell r="BF91">
            <v>1.112913123564856E-2</v>
          </cell>
        </row>
        <row r="92">
          <cell r="O92">
            <v>2.3475193892851398</v>
          </cell>
          <cell r="P92">
            <v>2.3504516691769699</v>
          </cell>
          <cell r="Q92">
            <v>2.34937224888137</v>
          </cell>
          <cell r="U92">
            <v>-1.02800490619774E-3</v>
          </cell>
          <cell r="V92">
            <v>2.8667902148850902E-4</v>
          </cell>
          <cell r="W92">
            <v>-3.3547141049656399E-4</v>
          </cell>
          <cell r="Y92">
            <v>2.3475193892851398</v>
          </cell>
          <cell r="Z92">
            <v>2.3504516691769699</v>
          </cell>
          <cell r="AA92">
            <v>2.34937224888137</v>
          </cell>
          <cell r="AF92">
            <v>2.8667902148850902E-4</v>
          </cell>
          <cell r="AG92">
            <v>-3.3547141049656399E-4</v>
          </cell>
          <cell r="AR92">
            <v>8.2987365333902548E-3</v>
          </cell>
          <cell r="BC92">
            <v>2.4791005795024635E-3</v>
          </cell>
          <cell r="BF92">
            <v>1.077783711289272E-2</v>
          </cell>
        </row>
        <row r="93">
          <cell r="O93">
            <v>2.3475193892851398</v>
          </cell>
          <cell r="P93">
            <v>2.3504518335536102</v>
          </cell>
          <cell r="Q93">
            <v>2.3495883480208</v>
          </cell>
          <cell r="U93">
            <v>-1.21553420820057E-3</v>
          </cell>
          <cell r="V93">
            <v>3.2783517097557001E-5</v>
          </cell>
          <cell r="W93">
            <v>-4.2656148535387699E-4</v>
          </cell>
          <cell r="Y93">
            <v>2.3475193892851398</v>
          </cell>
          <cell r="Z93">
            <v>2.3504518335536102</v>
          </cell>
          <cell r="AA93">
            <v>2.3495883480208</v>
          </cell>
          <cell r="AF93">
            <v>3.2783517097557001E-5</v>
          </cell>
          <cell r="AG93">
            <v>-4.2656148535387699E-4</v>
          </cell>
          <cell r="AR93">
            <v>8.1112072313873854E-3</v>
          </cell>
          <cell r="BC93">
            <v>2.4791005795024635E-3</v>
          </cell>
          <cell r="BF93">
            <v>1.059030781088985E-2</v>
          </cell>
        </row>
        <row r="94">
          <cell r="O94">
            <v>2.3475193892851398</v>
          </cell>
          <cell r="P94">
            <v>2.3503295886219502</v>
          </cell>
          <cell r="Q94">
            <v>2.3497630860927399</v>
          </cell>
          <cell r="U94">
            <v>-9.995983755179791E-4</v>
          </cell>
          <cell r="V94">
            <v>2.4878928384382298E-4</v>
          </cell>
          <cell r="W94">
            <v>-1.18648231227821E-4</v>
          </cell>
          <cell r="Y94">
            <v>2.3475193892851398</v>
          </cell>
          <cell r="Z94">
            <v>2.3503295886219502</v>
          </cell>
          <cell r="AA94">
            <v>2.3497630860927399</v>
          </cell>
          <cell r="AF94">
            <v>2.4878928384382298E-4</v>
          </cell>
          <cell r="AG94">
            <v>-1.18648231227821E-4</v>
          </cell>
          <cell r="AR94">
            <v>8.3271430640700257E-3</v>
          </cell>
          <cell r="BC94">
            <v>2.4791005795024635E-3</v>
          </cell>
          <cell r="BF94">
            <v>1.0806243643572491E-2</v>
          </cell>
        </row>
        <row r="95">
          <cell r="O95">
            <v>2.3475193892851398</v>
          </cell>
          <cell r="P95">
            <v>2.3502789291277102</v>
          </cell>
          <cell r="Q95">
            <v>2.3497355907686801</v>
          </cell>
          <cell r="U95">
            <v>-1.79823785135415E-4</v>
          </cell>
          <cell r="V95">
            <v>1.0165534016219899E-3</v>
          </cell>
          <cell r="W95">
            <v>7.7549324763602804E-4</v>
          </cell>
          <cell r="Y95">
            <v>2.3475193892851398</v>
          </cell>
          <cell r="Z95">
            <v>2.3502789291277102</v>
          </cell>
          <cell r="AA95">
            <v>2.3497355907686801</v>
          </cell>
          <cell r="AF95">
            <v>1.0165534016219899E-3</v>
          </cell>
          <cell r="AG95">
            <v>7.7549324763602804E-4</v>
          </cell>
          <cell r="AR95">
            <v>9.1469176544525799E-3</v>
          </cell>
          <cell r="BC95">
            <v>2.4791005795024635E-3</v>
          </cell>
          <cell r="BF95">
            <v>1.1626018233955045E-2</v>
          </cell>
        </row>
        <row r="96">
          <cell r="O96">
            <v>2.3475193892851398</v>
          </cell>
          <cell r="P96">
            <v>2.3496120177333801</v>
          </cell>
          <cell r="Q96">
            <v>2.3495311441109799</v>
          </cell>
          <cell r="U96">
            <v>1.2549978621772501E-3</v>
          </cell>
          <cell r="V96">
            <v>2.4298206080355799E-3</v>
          </cell>
          <cell r="W96">
            <v>2.1986135089311501E-3</v>
          </cell>
          <cell r="Y96">
            <v>2.3475193892851398</v>
          </cell>
          <cell r="Z96">
            <v>2.3496120177333801</v>
          </cell>
          <cell r="AA96">
            <v>2.3495311441109799</v>
          </cell>
          <cell r="AF96">
            <v>2.4298206080355799E-3</v>
          </cell>
          <cell r="AG96">
            <v>2.1986135089311501E-3</v>
          </cell>
          <cell r="AR96">
            <v>9.1469176544525799E-3</v>
          </cell>
          <cell r="BC96">
            <v>2.4791005795024635E-3</v>
          </cell>
          <cell r="BF96">
            <v>1.1626018233955045E-2</v>
          </cell>
        </row>
        <row r="97">
          <cell r="O97">
            <v>2.3475193892851398</v>
          </cell>
          <cell r="P97">
            <v>2.34919041487472</v>
          </cell>
          <cell r="Q97">
            <v>2.3494331120224601</v>
          </cell>
          <cell r="U97">
            <v>5.7097286714927501E-4</v>
          </cell>
          <cell r="V97">
            <v>1.4619969434852399E-3</v>
          </cell>
          <cell r="W97">
            <v>1.4275763609988799E-3</v>
          </cell>
          <cell r="Y97">
            <v>2.3475193892851398</v>
          </cell>
          <cell r="Z97">
            <v>2.34919041487472</v>
          </cell>
          <cell r="AA97">
            <v>2.3494331120224601</v>
          </cell>
          <cell r="AF97">
            <v>1.4619969434852399E-3</v>
          </cell>
          <cell r="AG97">
            <v>1.4275763609988799E-3</v>
          </cell>
          <cell r="AR97">
            <v>9.1469176544525799E-3</v>
          </cell>
          <cell r="BC97">
            <v>3.1631255745303536E-3</v>
          </cell>
          <cell r="BF97">
            <v>1.2310043228982935E-2</v>
          </cell>
        </row>
        <row r="98">
          <cell r="O98">
            <v>2.3475193892851398</v>
          </cell>
          <cell r="P98">
            <v>2.34868635238317</v>
          </cell>
          <cell r="Q98">
            <v>2.3493753277970399</v>
          </cell>
          <cell r="U98">
            <v>4.1488598195607903E-5</v>
          </cell>
          <cell r="V98">
            <v>7.5306147783223295E-4</v>
          </cell>
          <cell r="W98">
            <v>8.56367114715358E-4</v>
          </cell>
          <cell r="Y98">
            <v>2.3475193892851398</v>
          </cell>
          <cell r="Z98">
            <v>2.34868635238317</v>
          </cell>
          <cell r="AA98">
            <v>2.3493753277970399</v>
          </cell>
          <cell r="AF98">
            <v>7.5306147783223295E-4</v>
          </cell>
          <cell r="AG98">
            <v>8.56367114715358E-4</v>
          </cell>
          <cell r="AR98">
            <v>9.1469176544525799E-3</v>
          </cell>
          <cell r="BC98">
            <v>3.6926098434839584E-3</v>
          </cell>
          <cell r="BF98">
            <v>1.2839527497936539E-2</v>
          </cell>
        </row>
        <row r="99">
          <cell r="O99">
            <v>2.3475193892851398</v>
          </cell>
          <cell r="P99">
            <v>2.3485145491484198</v>
          </cell>
          <cell r="Q99">
            <v>2.3495017448558002</v>
          </cell>
          <cell r="U99">
            <v>-8.0656798973382702E-4</v>
          </cell>
          <cell r="V99">
            <v>-3.0958673029162002E-4</v>
          </cell>
          <cell r="W99">
            <v>-1.62847407844816E-5</v>
          </cell>
          <cell r="Y99">
            <v>2.3475193892851398</v>
          </cell>
          <cell r="Z99">
            <v>2.3485145491484198</v>
          </cell>
          <cell r="AA99">
            <v>2.3495017448558002</v>
          </cell>
          <cell r="AF99">
            <v>-3.0958673029162002E-4</v>
          </cell>
          <cell r="AG99">
            <v>-1.62847407844816E-5</v>
          </cell>
          <cell r="AR99">
            <v>9.1469176544525799E-3</v>
          </cell>
          <cell r="BC99">
            <v>4.5406664314132815E-3</v>
          </cell>
          <cell r="BF99">
            <v>1.3687584085865862E-2</v>
          </cell>
        </row>
        <row r="100">
          <cell r="O100">
            <v>2.3475193892851398</v>
          </cell>
          <cell r="P100">
            <v>2.3483934763885799</v>
          </cell>
          <cell r="Q100">
            <v>2.3495440496661701</v>
          </cell>
          <cell r="U100">
            <v>-6.8114825749766503E-4</v>
          </cell>
          <cell r="V100">
            <v>-2.5731832303808801E-4</v>
          </cell>
          <cell r="W100">
            <v>1.62942340242985E-4</v>
          </cell>
          <cell r="Y100">
            <v>2.3475193892851398</v>
          </cell>
          <cell r="Z100">
            <v>2.3483934763885799</v>
          </cell>
          <cell r="AA100">
            <v>2.3495440496661701</v>
          </cell>
          <cell r="AF100">
            <v>-2.5731832303808801E-4</v>
          </cell>
          <cell r="AG100">
            <v>1.62942340242985E-4</v>
          </cell>
          <cell r="AR100">
            <v>9.1469176544525799E-3</v>
          </cell>
          <cell r="BC100">
            <v>4.5406664314132815E-3</v>
          </cell>
          <cell r="BF100">
            <v>1.3687584085865862E-2</v>
          </cell>
        </row>
        <row r="101">
          <cell r="O101">
            <v>2.3475193892851398</v>
          </cell>
          <cell r="P101">
            <v>2.3486124089544398</v>
          </cell>
          <cell r="Q101">
            <v>2.3496100369294801</v>
          </cell>
          <cell r="U101">
            <v>-1.60825824889751E-3</v>
          </cell>
          <cell r="V101">
            <v>-1.23598255361306E-3</v>
          </cell>
          <cell r="W101">
            <v>-7.4616194862775302E-4</v>
          </cell>
          <cell r="Y101">
            <v>2.3475193892851398</v>
          </cell>
          <cell r="Z101">
            <v>2.3486124089544398</v>
          </cell>
          <cell r="AA101">
            <v>2.3496100369294801</v>
          </cell>
          <cell r="AF101">
            <v>-1.23598255361306E-3</v>
          </cell>
          <cell r="AG101">
            <v>-7.4616194862775302E-4</v>
          </cell>
          <cell r="AR101">
            <v>9.1469176544525799E-3</v>
          </cell>
          <cell r="BC101">
            <v>4.5406664314132815E-3</v>
          </cell>
          <cell r="BF101">
            <v>1.3687584085865862E-2</v>
          </cell>
        </row>
        <row r="102">
          <cell r="O102">
            <v>2.3475193892851398</v>
          </cell>
          <cell r="P102">
            <v>2.3486947940110299</v>
          </cell>
          <cell r="Q102">
            <v>2.3495732315939999</v>
          </cell>
          <cell r="U102">
            <v>-1.3785280370338499E-3</v>
          </cell>
          <cell r="V102">
            <v>-9.1303016091014903E-4</v>
          </cell>
          <cell r="W102">
            <v>-4.88346995512629E-4</v>
          </cell>
          <cell r="Y102">
            <v>2.3475193892851398</v>
          </cell>
          <cell r="Z102">
            <v>2.3486947940110299</v>
          </cell>
          <cell r="AA102">
            <v>2.3495732315939999</v>
          </cell>
          <cell r="AF102">
            <v>-9.1303016091014903E-4</v>
          </cell>
          <cell r="AG102">
            <v>-4.88346995512629E-4</v>
          </cell>
          <cell r="AR102">
            <v>9.1469176544525799E-3</v>
          </cell>
          <cell r="BC102">
            <v>4.5406664314132815E-3</v>
          </cell>
          <cell r="BF102">
            <v>1.3687584085865862E-2</v>
          </cell>
        </row>
        <row r="103">
          <cell r="O103">
            <v>2.3475193892851398</v>
          </cell>
          <cell r="P103">
            <v>2.34873081360081</v>
          </cell>
          <cell r="Q103">
            <v>2.3495913235772101</v>
          </cell>
          <cell r="U103">
            <v>-1.36877288699591E-3</v>
          </cell>
          <cell r="V103">
            <v>-8.6819744279659401E-4</v>
          </cell>
          <cell r="W103">
            <v>-4.9425641243388803E-4</v>
          </cell>
          <cell r="Y103">
            <v>2.3475193892851398</v>
          </cell>
          <cell r="Z103">
            <v>2.34873081360081</v>
          </cell>
          <cell r="AA103">
            <v>2.3495913235772101</v>
          </cell>
          <cell r="AF103">
            <v>-8.6819744279659401E-4</v>
          </cell>
          <cell r="AG103">
            <v>-4.9425641243388803E-4</v>
          </cell>
          <cell r="AR103">
            <v>9.1469176544525799E-3</v>
          </cell>
          <cell r="BC103">
            <v>4.5406664314132815E-3</v>
          </cell>
          <cell r="BF103">
            <v>1.3687584085865862E-2</v>
          </cell>
        </row>
        <row r="104">
          <cell r="O104">
            <v>2.3475193892851398</v>
          </cell>
          <cell r="P104">
            <v>2.3488287336801901</v>
          </cell>
          <cell r="Q104">
            <v>2.3495791611510701</v>
          </cell>
          <cell r="U104">
            <v>-1.4162163261129299E-3</v>
          </cell>
          <cell r="V104">
            <v>-9.0030499677406898E-4</v>
          </cell>
          <cell r="W104">
            <v>-5.3399976656728497E-4</v>
          </cell>
          <cell r="Y104">
            <v>2.3475193892851398</v>
          </cell>
          <cell r="Z104">
            <v>2.3488287336801901</v>
          </cell>
          <cell r="AA104">
            <v>2.3495791611510701</v>
          </cell>
          <cell r="AF104">
            <v>-9.0030499677406898E-4</v>
          </cell>
          <cell r="AG104">
            <v>-5.3399976656728497E-4</v>
          </cell>
          <cell r="AR104">
            <v>9.1469176544525799E-3</v>
          </cell>
          <cell r="BC104">
            <v>4.5406664314132815E-3</v>
          </cell>
          <cell r="BF104">
            <v>1.3687584085865862E-2</v>
          </cell>
        </row>
        <row r="105">
          <cell r="O105">
            <v>2.3475193892851398</v>
          </cell>
          <cell r="P105">
            <v>2.3489545155567102</v>
          </cell>
          <cell r="Q105">
            <v>2.3496167223422102</v>
          </cell>
          <cell r="U105">
            <v>-7.1539161579319303E-4</v>
          </cell>
          <cell r="V105">
            <v>-1.5779052034969101E-4</v>
          </cell>
          <cell r="W105">
            <v>1.6164852966821201E-4</v>
          </cell>
          <cell r="Y105">
            <v>2.3475193892851398</v>
          </cell>
          <cell r="Z105">
            <v>2.3489545155567102</v>
          </cell>
          <cell r="AA105">
            <v>2.3496167223422102</v>
          </cell>
          <cell r="AF105">
            <v>-1.5779052034969101E-4</v>
          </cell>
          <cell r="AG105">
            <v>1.6164852966821201E-4</v>
          </cell>
          <cell r="AR105">
            <v>9.1469176544525799E-3</v>
          </cell>
          <cell r="BC105">
            <v>4.5406664314132815E-3</v>
          </cell>
          <cell r="BF105">
            <v>1.3687584085865862E-2</v>
          </cell>
        </row>
        <row r="106">
          <cell r="O106">
            <v>2.3475193892851398</v>
          </cell>
          <cell r="P106">
            <v>2.3492710287121499</v>
          </cell>
          <cell r="Q106">
            <v>2.3494415232227599</v>
          </cell>
          <cell r="U106">
            <v>-9.4072608812057696E-5</v>
          </cell>
          <cell r="V106">
            <v>5.1707794597089104E-4</v>
          </cell>
          <cell r="W106">
            <v>7.9895375730035505E-4</v>
          </cell>
          <cell r="Y106">
            <v>2.3475193892851398</v>
          </cell>
          <cell r="Z106">
            <v>2.3492710287121499</v>
          </cell>
          <cell r="AA106">
            <v>2.3494415232227599</v>
          </cell>
          <cell r="AF106">
            <v>5.1707794597089104E-4</v>
          </cell>
          <cell r="AG106">
            <v>7.9895375730035505E-4</v>
          </cell>
          <cell r="AR106">
            <v>9.1469176544525799E-3</v>
          </cell>
          <cell r="BC106">
            <v>4.5406664314132815E-3</v>
          </cell>
          <cell r="BF106">
            <v>1.3687584085865862E-2</v>
          </cell>
        </row>
        <row r="107">
          <cell r="O107">
            <v>2.3475193892851398</v>
          </cell>
          <cell r="P107">
            <v>2.3495643311163601</v>
          </cell>
          <cell r="Q107">
            <v>2.3493773729955398</v>
          </cell>
          <cell r="U107">
            <v>-6.7837415155708202E-4</v>
          </cell>
          <cell r="V107">
            <v>6.7513721789226995E-5</v>
          </cell>
          <cell r="W107">
            <v>1.40084456348628E-4</v>
          </cell>
          <cell r="Y107">
            <v>2.3475193892851398</v>
          </cell>
          <cell r="Z107">
            <v>2.3495643311163601</v>
          </cell>
          <cell r="AA107">
            <v>2.3493773729955398</v>
          </cell>
          <cell r="AF107">
            <v>6.7513721789226995E-5</v>
          </cell>
          <cell r="AG107">
            <v>1.40084456348628E-4</v>
          </cell>
          <cell r="AR107">
            <v>9.1469176544525799E-3</v>
          </cell>
          <cell r="BC107">
            <v>4.5406664314132815E-3</v>
          </cell>
          <cell r="BF107">
            <v>1.3687584085865862E-2</v>
          </cell>
        </row>
        <row r="108">
          <cell r="O108">
            <v>2.3475193892851398</v>
          </cell>
          <cell r="P108">
            <v>2.3496114203645502</v>
          </cell>
          <cell r="Q108">
            <v>2.3491488863738601</v>
          </cell>
          <cell r="U108">
            <v>-1.59091126498303E-4</v>
          </cell>
          <cell r="V108">
            <v>7.1163721565988805E-4</v>
          </cell>
          <cell r="W108">
            <v>6.3206265070692397E-4</v>
          </cell>
          <cell r="Y108">
            <v>2.3475193892851398</v>
          </cell>
          <cell r="Z108">
            <v>2.3496114203645502</v>
          </cell>
          <cell r="AA108">
            <v>2.3491488863738601</v>
          </cell>
          <cell r="AF108">
            <v>7.1163721565988805E-4</v>
          </cell>
          <cell r="AG108">
            <v>6.3206265070692397E-4</v>
          </cell>
          <cell r="AR108">
            <v>9.1469176544525799E-3</v>
          </cell>
          <cell r="BC108">
            <v>4.5406664314132815E-3</v>
          </cell>
          <cell r="BF108">
            <v>1.3687584085865862E-2</v>
          </cell>
        </row>
        <row r="109">
          <cell r="O109">
            <v>2.3475193892851398</v>
          </cell>
          <cell r="P109">
            <v>2.3493935032723199</v>
          </cell>
          <cell r="Q109">
            <v>2.3489540262103699</v>
          </cell>
          <cell r="U109">
            <v>1.21400670955685E-4</v>
          </cell>
          <cell r="V109">
            <v>1.0121705057835699E-3</v>
          </cell>
          <cell r="W109">
            <v>8.1529560177079797E-4</v>
          </cell>
          <cell r="Y109">
            <v>2.3475193892851398</v>
          </cell>
          <cell r="Z109">
            <v>2.3493935032723199</v>
          </cell>
          <cell r="AA109">
            <v>2.3489540262103699</v>
          </cell>
          <cell r="AF109">
            <v>1.0121705057835699E-3</v>
          </cell>
          <cell r="AG109">
            <v>8.1529560177079797E-4</v>
          </cell>
          <cell r="AR109">
            <v>9.1469176544525799E-3</v>
          </cell>
          <cell r="BC109">
            <v>4.5406664314132815E-3</v>
          </cell>
          <cell r="BF109">
            <v>1.3687584085865862E-2</v>
          </cell>
        </row>
        <row r="110">
          <cell r="O110">
            <v>2.3475193892851398</v>
          </cell>
          <cell r="P110">
            <v>2.3492699397734902</v>
          </cell>
          <cell r="Q110">
            <v>2.3488317080810299</v>
          </cell>
          <cell r="U110">
            <v>-1.55010542008638E-4</v>
          </cell>
          <cell r="V110">
            <v>6.4300897826375899E-4</v>
          </cell>
          <cell r="W110">
            <v>4.5593168758795301E-4</v>
          </cell>
          <cell r="Y110">
            <v>2.3475193892851398</v>
          </cell>
          <cell r="Z110">
            <v>2.3492699397734902</v>
          </cell>
          <cell r="AA110">
            <v>2.3488317080810299</v>
          </cell>
          <cell r="AF110">
            <v>6.4300897826375899E-4</v>
          </cell>
          <cell r="AG110">
            <v>4.5593168758795301E-4</v>
          </cell>
          <cell r="AR110">
            <v>9.1469176544525799E-3</v>
          </cell>
          <cell r="BC110">
            <v>4.5406664314132815E-3</v>
          </cell>
          <cell r="BF110">
            <v>1.3687584085865862E-2</v>
          </cell>
        </row>
        <row r="111">
          <cell r="O111">
            <v>2.3475193892851398</v>
          </cell>
          <cell r="P111">
            <v>2.34890938611685</v>
          </cell>
          <cell r="Q111">
            <v>2.3487608975356502</v>
          </cell>
          <cell r="U111">
            <v>-7.3657342159669294E-5</v>
          </cell>
          <cell r="V111">
            <v>6.7176700914092704E-4</v>
          </cell>
          <cell r="W111">
            <v>4.8521008612266398E-4</v>
          </cell>
          <cell r="Y111">
            <v>2.3475193892851398</v>
          </cell>
          <cell r="Z111">
            <v>2.34890938611685</v>
          </cell>
          <cell r="AA111">
            <v>2.3487608975356502</v>
          </cell>
          <cell r="AF111">
            <v>6.7176700914092704E-4</v>
          </cell>
          <cell r="AG111">
            <v>4.8521008612266398E-4</v>
          </cell>
          <cell r="AR111">
            <v>9.1469176544525799E-3</v>
          </cell>
          <cell r="BC111">
            <v>4.5406664314132815E-3</v>
          </cell>
          <cell r="BF111">
            <v>1.3687584085865862E-2</v>
          </cell>
        </row>
        <row r="112">
          <cell r="O112">
            <v>2.3475193892851398</v>
          </cell>
          <cell r="P112">
            <v>2.34856283794897</v>
          </cell>
          <cell r="Q112">
            <v>2.3486288159800002</v>
          </cell>
          <cell r="U112">
            <v>9.6757370933477004E-5</v>
          </cell>
          <cell r="V112">
            <v>6.8869517677217298E-4</v>
          </cell>
          <cell r="W112">
            <v>6.2547721029663497E-4</v>
          </cell>
          <cell r="Y112">
            <v>2.3475193892851398</v>
          </cell>
          <cell r="Z112">
            <v>2.34856283794897</v>
          </cell>
          <cell r="AA112">
            <v>2.3486288159800002</v>
          </cell>
          <cell r="AF112">
            <v>6.8869517677217298E-4</v>
          </cell>
          <cell r="AG112">
            <v>6.2547721029663497E-4</v>
          </cell>
          <cell r="AR112">
            <v>9.1469176544525799E-3</v>
          </cell>
          <cell r="BC112">
            <v>4.5406664314132815E-3</v>
          </cell>
          <cell r="BF112">
            <v>1.3687584085865862E-2</v>
          </cell>
        </row>
        <row r="113">
          <cell r="O113">
            <v>2.3475193892851398</v>
          </cell>
          <cell r="P113">
            <v>2.3485058223450399</v>
          </cell>
          <cell r="Q113">
            <v>2.3486183179729299</v>
          </cell>
          <cell r="U113">
            <v>-1.1261997171647599E-3</v>
          </cell>
          <cell r="V113">
            <v>-6.8180857130955197E-4</v>
          </cell>
          <cell r="W113">
            <v>-6.5371602755290802E-4</v>
          </cell>
          <cell r="Y113">
            <v>2.3475193892851398</v>
          </cell>
          <cell r="Z113">
            <v>2.3485058223450399</v>
          </cell>
          <cell r="AA113">
            <v>2.3486183179729299</v>
          </cell>
          <cell r="AF113">
            <v>-6.8180857130955197E-4</v>
          </cell>
          <cell r="AG113">
            <v>-6.5371602755290802E-4</v>
          </cell>
          <cell r="AR113">
            <v>9.1469176544525799E-3</v>
          </cell>
          <cell r="BC113">
            <v>4.5406664314132815E-3</v>
          </cell>
          <cell r="BF113">
            <v>1.3687584085865862E-2</v>
          </cell>
        </row>
        <row r="114">
          <cell r="O114">
            <v>2.3475193892851398</v>
          </cell>
          <cell r="P114">
            <v>2.3484946693860902</v>
          </cell>
          <cell r="Q114">
            <v>2.3486617015331399</v>
          </cell>
          <cell r="U114">
            <v>-1.36877288699591E-3</v>
          </cell>
          <cell r="V114">
            <v>-9.4865884162795798E-4</v>
          </cell>
          <cell r="W114">
            <v>-9.0075905250224203E-4</v>
          </cell>
          <cell r="Y114">
            <v>2.3475193892851398</v>
          </cell>
          <cell r="Z114">
            <v>2.3484946693860902</v>
          </cell>
          <cell r="AA114">
            <v>2.3486617015331399</v>
          </cell>
          <cell r="AF114">
            <v>-9.4865884162795798E-4</v>
          </cell>
          <cell r="AG114">
            <v>-9.0075905250224203E-4</v>
          </cell>
          <cell r="AR114">
            <v>9.1469176544525799E-3</v>
          </cell>
          <cell r="BC114">
            <v>4.5406664314132815E-3</v>
          </cell>
          <cell r="BF114">
            <v>1.3687584085865862E-2</v>
          </cell>
        </row>
        <row r="115">
          <cell r="O115">
            <v>2.3475193892851398</v>
          </cell>
          <cell r="P115">
            <v>2.3486482118296101</v>
          </cell>
          <cell r="Q115">
            <v>2.3488013636931599</v>
          </cell>
          <cell r="U115">
            <v>-1.36877288699591E-3</v>
          </cell>
          <cell r="V115">
            <v>-9.5340781236781199E-4</v>
          </cell>
          <cell r="W115">
            <v>-8.8228727307447096E-4</v>
          </cell>
          <cell r="Y115">
            <v>2.3475193892851398</v>
          </cell>
          <cell r="Z115">
            <v>2.3486482118296101</v>
          </cell>
          <cell r="AA115">
            <v>2.3488013636931599</v>
          </cell>
          <cell r="AF115">
            <v>-9.5340781236781199E-4</v>
          </cell>
          <cell r="AG115">
            <v>-8.8228727307447096E-4</v>
          </cell>
          <cell r="AR115">
            <v>9.1469176544525799E-3</v>
          </cell>
          <cell r="BC115">
            <v>4.5406664314132815E-3</v>
          </cell>
          <cell r="BF115">
            <v>1.3687584085865862E-2</v>
          </cell>
        </row>
        <row r="116">
          <cell r="O116">
            <v>2.3475193892851398</v>
          </cell>
          <cell r="P116">
            <v>2.3487885491363198</v>
          </cell>
          <cell r="Q116">
            <v>2.3490297889242302</v>
          </cell>
          <cell r="U116">
            <v>-6.9164885495086195E-4</v>
          </cell>
          <cell r="V116">
            <v>-2.10906827798319E-4</v>
          </cell>
          <cell r="W116">
            <v>-1.45700438185029E-4</v>
          </cell>
          <cell r="Y116">
            <v>2.3475193892851398</v>
          </cell>
          <cell r="Z116">
            <v>2.3487885491363198</v>
          </cell>
          <cell r="AA116">
            <v>2.3490297889242302</v>
          </cell>
          <cell r="AF116">
            <v>-2.10906827798319E-4</v>
          </cell>
          <cell r="AG116">
            <v>-1.45700438185029E-4</v>
          </cell>
          <cell r="AR116">
            <v>9.1469176544525799E-3</v>
          </cell>
          <cell r="BC116">
            <v>4.5406664314132815E-3</v>
          </cell>
          <cell r="BF116">
            <v>1.3687584085865862E-2</v>
          </cell>
        </row>
        <row r="117">
          <cell r="O117">
            <v>2.3475193892851398</v>
          </cell>
          <cell r="P117">
            <v>2.3488893494493501</v>
          </cell>
          <cell r="Q117">
            <v>2.3492268402828498</v>
          </cell>
          <cell r="U117">
            <v>-1.1073816839656601E-3</v>
          </cell>
          <cell r="V117">
            <v>-5.66889067758835E-4</v>
          </cell>
          <cell r="W117">
            <v>-4.64186165787764E-4</v>
          </cell>
          <cell r="Y117">
            <v>2.3475193892851398</v>
          </cell>
          <cell r="Z117">
            <v>2.3488893494493501</v>
          </cell>
          <cell r="AA117">
            <v>2.3492268402828498</v>
          </cell>
          <cell r="AF117">
            <v>-5.66889067758835E-4</v>
          </cell>
          <cell r="AG117">
            <v>-4.64186165787764E-4</v>
          </cell>
          <cell r="AR117">
            <v>9.1469176544525799E-3</v>
          </cell>
          <cell r="BC117">
            <v>4.5406664314132815E-3</v>
          </cell>
          <cell r="BF117">
            <v>1.3687584085865862E-2</v>
          </cell>
        </row>
        <row r="118">
          <cell r="O118">
            <v>2.3475193892851398</v>
          </cell>
          <cell r="P118">
            <v>2.3490902073041</v>
          </cell>
          <cell r="Q118">
            <v>2.3493508138343202</v>
          </cell>
          <cell r="U118">
            <v>-1.0142067479559801E-3</v>
          </cell>
          <cell r="V118">
            <v>-4.3079917878026901E-4</v>
          </cell>
          <cell r="W118">
            <v>-2.87128473135639E-4</v>
          </cell>
          <cell r="Y118">
            <v>2.3475193892851398</v>
          </cell>
          <cell r="Z118">
            <v>2.3490902073041</v>
          </cell>
          <cell r="AA118">
            <v>2.3493508138343202</v>
          </cell>
          <cell r="AF118">
            <v>-4.3079917878026901E-4</v>
          </cell>
          <cell r="AG118">
            <v>-2.87128473135639E-4</v>
          </cell>
          <cell r="AR118">
            <v>9.1469176544525799E-3</v>
          </cell>
          <cell r="BC118">
            <v>4.5406664314132815E-3</v>
          </cell>
          <cell r="BF118">
            <v>1.3687584085865862E-2</v>
          </cell>
        </row>
        <row r="119">
          <cell r="O119">
            <v>2.3475193892851398</v>
          </cell>
          <cell r="P119">
            <v>2.3495344920644401</v>
          </cell>
          <cell r="Q119">
            <v>2.34946399766838</v>
          </cell>
          <cell r="U119">
            <v>-1.7696112186103899E-3</v>
          </cell>
          <cell r="V119">
            <v>-1.10069546343787E-3</v>
          </cell>
          <cell r="W119">
            <v>-9.8976227120626593E-4</v>
          </cell>
          <cell r="Y119">
            <v>2.3475193892851398</v>
          </cell>
          <cell r="Z119">
            <v>2.3495344920644401</v>
          </cell>
          <cell r="AA119">
            <v>2.34946399766838</v>
          </cell>
          <cell r="AF119">
            <v>-1.10069546343787E-3</v>
          </cell>
          <cell r="AG119">
            <v>-9.8976227120626593E-4</v>
          </cell>
          <cell r="AR119">
            <v>9.1469176544525799E-3</v>
          </cell>
          <cell r="BC119">
            <v>4.5406664314132815E-3</v>
          </cell>
          <cell r="BF119">
            <v>1.3687584085865862E-2</v>
          </cell>
        </row>
        <row r="120">
          <cell r="O120">
            <v>2.3475193892851398</v>
          </cell>
          <cell r="P120">
            <v>2.3498369510516901</v>
          </cell>
          <cell r="Q120">
            <v>2.3495534454125901</v>
          </cell>
          <cell r="U120">
            <v>-1.4424013444626501E-3</v>
          </cell>
          <cell r="V120">
            <v>-5.8437290628450404E-4</v>
          </cell>
          <cell r="W120">
            <v>-6.1437691510368101E-4</v>
          </cell>
          <cell r="Y120">
            <v>2.3475193892851398</v>
          </cell>
          <cell r="Z120">
            <v>2.3498369510516901</v>
          </cell>
          <cell r="AA120">
            <v>2.3495534454125901</v>
          </cell>
          <cell r="AF120">
            <v>-5.8437290628450404E-4</v>
          </cell>
          <cell r="AG120">
            <v>-6.1437691510368101E-4</v>
          </cell>
          <cell r="AR120">
            <v>9.1469176544525799E-3</v>
          </cell>
          <cell r="BC120">
            <v>4.5406664314132815E-3</v>
          </cell>
          <cell r="BF120">
            <v>1.3687584085865862E-2</v>
          </cell>
        </row>
        <row r="121">
          <cell r="O121">
            <v>2.3475193892851398</v>
          </cell>
          <cell r="P121">
            <v>2.3503181029634099</v>
          </cell>
          <cell r="Q121">
            <v>2.3496137445401302</v>
          </cell>
          <cell r="U121">
            <v>-2.1210275625730799E-3</v>
          </cell>
          <cell r="V121">
            <v>-1.1342759573388899E-3</v>
          </cell>
          <cell r="W121">
            <v>-1.25493230445009E-3</v>
          </cell>
          <cell r="Y121">
            <v>2.3475193892851398</v>
          </cell>
          <cell r="Z121">
            <v>2.3503181029634099</v>
          </cell>
          <cell r="AA121">
            <v>2.3496137445401302</v>
          </cell>
          <cell r="AF121">
            <v>-1.1342759573388899E-3</v>
          </cell>
          <cell r="AG121">
            <v>-1.25493230445009E-3</v>
          </cell>
          <cell r="AR121">
            <v>9.1469176544525799E-3</v>
          </cell>
          <cell r="BC121">
            <v>4.5406664314132815E-3</v>
          </cell>
          <cell r="BF121">
            <v>1.3687584085865862E-2</v>
          </cell>
        </row>
        <row r="122">
          <cell r="O122">
            <v>2.3475193892851398</v>
          </cell>
          <cell r="P122">
            <v>2.3507287370563499</v>
          </cell>
          <cell r="Q122">
            <v>2.3496457875026602</v>
          </cell>
          <cell r="U122">
            <v>-1.65110904358175E-3</v>
          </cell>
          <cell r="V122">
            <v>-4.5961869765770598E-4</v>
          </cell>
          <cell r="W122">
            <v>-7.5935003479526205E-4</v>
          </cell>
          <cell r="Y122">
            <v>2.3475193892851398</v>
          </cell>
          <cell r="Z122">
            <v>2.3507287370563499</v>
          </cell>
          <cell r="AA122">
            <v>2.3496457875026602</v>
          </cell>
          <cell r="AF122">
            <v>-4.5961869765770598E-4</v>
          </cell>
          <cell r="AG122">
            <v>-7.5935003479526205E-4</v>
          </cell>
          <cell r="AR122">
            <v>9.6168361734437213E-3</v>
          </cell>
          <cell r="BC122">
            <v>4.5406664314132815E-3</v>
          </cell>
          <cell r="BF122">
            <v>1.4157502604857004E-2</v>
          </cell>
        </row>
        <row r="123">
          <cell r="O123">
            <v>2.3475193892851398</v>
          </cell>
          <cell r="P123">
            <v>2.3508356071500001</v>
          </cell>
          <cell r="Q123">
            <v>2.34967071474752</v>
          </cell>
          <cell r="U123">
            <v>-1.5808308514682801E-3</v>
          </cell>
          <cell r="V123">
            <v>-2.1464150425378999E-4</v>
          </cell>
          <cell r="W123">
            <v>-6.7543439094650503E-4</v>
          </cell>
          <cell r="Y123">
            <v>2.3475193892851398</v>
          </cell>
          <cell r="Z123">
            <v>2.3508356071500001</v>
          </cell>
          <cell r="AA123">
            <v>2.34967071474752</v>
          </cell>
          <cell r="AF123">
            <v>-2.1464150425378999E-4</v>
          </cell>
          <cell r="AG123">
            <v>-6.7543439094650503E-4</v>
          </cell>
          <cell r="AR123">
            <v>9.6871143655573311E-3</v>
          </cell>
          <cell r="BC123">
            <v>4.5406664314132815E-3</v>
          </cell>
          <cell r="BF123">
            <v>1.4227780796970613E-2</v>
          </cell>
        </row>
        <row r="124">
          <cell r="O124">
            <v>2.3475193892851398</v>
          </cell>
          <cell r="P124">
            <v>2.3507402920623299</v>
          </cell>
          <cell r="Q124">
            <v>2.3496174807242101</v>
          </cell>
          <cell r="U124">
            <v>-9.6322132857473502E-4</v>
          </cell>
          <cell r="V124">
            <v>4.4842952287273998E-4</v>
          </cell>
          <cell r="W124">
            <v>-4.7215987017206899E-5</v>
          </cell>
          <cell r="Y124">
            <v>2.3475193892851398</v>
          </cell>
          <cell r="Z124">
            <v>2.3507402920623299</v>
          </cell>
          <cell r="AA124">
            <v>2.3496174807242101</v>
          </cell>
          <cell r="AF124">
            <v>4.4842952287273998E-4</v>
          </cell>
          <cell r="AG124">
            <v>-4.7215987017206899E-5</v>
          </cell>
          <cell r="AR124">
            <v>1.0304723888450797E-2</v>
          </cell>
          <cell r="BC124">
            <v>4.5406664314132815E-3</v>
          </cell>
          <cell r="BF124">
            <v>1.484539031986408E-2</v>
          </cell>
        </row>
        <row r="125">
          <cell r="O125">
            <v>2.3475193892851398</v>
          </cell>
          <cell r="P125">
            <v>2.3508552422364901</v>
          </cell>
          <cell r="Q125">
            <v>2.3497517270330501</v>
          </cell>
          <cell r="U125">
            <v>-1.8576501422482301E-3</v>
          </cell>
          <cell r="V125">
            <v>-4.86545307596824E-4</v>
          </cell>
          <cell r="W125">
            <v>-9.6430100780169796E-4</v>
          </cell>
          <cell r="Y125">
            <v>2.3475193892851398</v>
          </cell>
          <cell r="Z125">
            <v>2.3508552422364901</v>
          </cell>
          <cell r="AA125">
            <v>2.3497517270330501</v>
          </cell>
          <cell r="AF125">
            <v>-4.86545307596824E-4</v>
          </cell>
          <cell r="AG125">
            <v>-9.6430100780169796E-4</v>
          </cell>
          <cell r="AR125">
            <v>1.0304723888450797E-2</v>
          </cell>
          <cell r="BC125">
            <v>4.5406664314132815E-3</v>
          </cell>
          <cell r="BF125">
            <v>1.484539031986408E-2</v>
          </cell>
        </row>
        <row r="126">
          <cell r="O126">
            <v>2.3475193892851398</v>
          </cell>
          <cell r="P126">
            <v>2.3510163240517001</v>
          </cell>
          <cell r="Q126">
            <v>2.34990243659401</v>
          </cell>
          <cell r="U126">
            <v>-1.37711828519402E-3</v>
          </cell>
          <cell r="V126">
            <v>4.2884917402655997E-5</v>
          </cell>
          <cell r="W126">
            <v>-4.2663539387892998E-4</v>
          </cell>
          <cell r="Y126">
            <v>2.3475193892851398</v>
          </cell>
          <cell r="Z126">
            <v>2.3510163240517001</v>
          </cell>
          <cell r="AA126">
            <v>2.34990243659401</v>
          </cell>
          <cell r="AF126">
            <v>4.2884917402655997E-5</v>
          </cell>
          <cell r="AG126">
            <v>-4.2663539387892998E-4</v>
          </cell>
          <cell r="AR126">
            <v>1.0304723888450797E-2</v>
          </cell>
          <cell r="BC126">
            <v>4.5406664314132815E-3</v>
          </cell>
          <cell r="BF126">
            <v>1.484539031986408E-2</v>
          </cell>
        </row>
        <row r="127">
          <cell r="O127">
            <v>2.3475193892851398</v>
          </cell>
          <cell r="P127">
            <v>2.3512842461395</v>
          </cell>
          <cell r="Q127">
            <v>2.35008679779442</v>
          </cell>
          <cell r="U127">
            <v>-2.2467679047444501E-3</v>
          </cell>
          <cell r="V127">
            <v>-7.5824653315655001E-4</v>
          </cell>
          <cell r="W127">
            <v>-1.2321485660361201E-3</v>
          </cell>
          <cell r="Y127">
            <v>2.3475193892851398</v>
          </cell>
          <cell r="Z127">
            <v>2.3512842461395</v>
          </cell>
          <cell r="AA127">
            <v>2.35008679779442</v>
          </cell>
          <cell r="AF127">
            <v>-7.5824653315655001E-4</v>
          </cell>
          <cell r="AG127">
            <v>-1.2321485660361201E-3</v>
          </cell>
          <cell r="AR127">
            <v>1.0304723888450797E-2</v>
          </cell>
          <cell r="BC127">
            <v>4.5406664314132815E-3</v>
          </cell>
          <cell r="BF127">
            <v>1.484539031986408E-2</v>
          </cell>
        </row>
        <row r="128">
          <cell r="O128">
            <v>2.3475193892851398</v>
          </cell>
          <cell r="P128">
            <v>2.3514695380313699</v>
          </cell>
          <cell r="Q128">
            <v>2.3502798726677301</v>
          </cell>
          <cell r="U128">
            <v>-1.80240523485835E-3</v>
          </cell>
          <cell r="V128">
            <v>-1.9993024244597E-4</v>
          </cell>
          <cell r="W128">
            <v>-7.0933414176839102E-4</v>
          </cell>
          <cell r="Y128">
            <v>2.3475193892851398</v>
          </cell>
          <cell r="Z128">
            <v>2.3514695380313699</v>
          </cell>
          <cell r="AA128">
            <v>2.3502798726677301</v>
          </cell>
          <cell r="AF128">
            <v>-1.9993024244597E-4</v>
          </cell>
          <cell r="AG128">
            <v>-7.0933414176839102E-4</v>
          </cell>
          <cell r="AR128">
            <v>1.0749086558336857E-2</v>
          </cell>
          <cell r="BC128">
            <v>4.5406664314132815E-3</v>
          </cell>
          <cell r="BF128">
            <v>1.528975298975014E-2</v>
          </cell>
        </row>
        <row r="129">
          <cell r="O129">
            <v>2.3475193892851398</v>
          </cell>
          <cell r="P129">
            <v>2.3510109225227498</v>
          </cell>
          <cell r="Q129">
            <v>2.3502727072936</v>
          </cell>
          <cell r="U129">
            <v>1.82456293118476E-4</v>
          </cell>
          <cell r="V129">
            <v>1.8637327284604501E-3</v>
          </cell>
          <cell r="W129">
            <v>1.35768049763862E-3</v>
          </cell>
          <cell r="Y129">
            <v>2.3475193892851398</v>
          </cell>
          <cell r="Z129">
            <v>2.3510109225227498</v>
          </cell>
          <cell r="AA129">
            <v>2.3502727072936</v>
          </cell>
          <cell r="AF129">
            <v>1.8637327284604501E-3</v>
          </cell>
          <cell r="AG129">
            <v>1.35768049763862E-3</v>
          </cell>
          <cell r="AR129">
            <v>1.2733948086313658E-2</v>
          </cell>
          <cell r="BC129">
            <v>4.5406664314132815E-3</v>
          </cell>
          <cell r="BF129">
            <v>1.7274614517726938E-2</v>
          </cell>
        </row>
        <row r="130">
          <cell r="O130">
            <v>2.3475193892851398</v>
          </cell>
          <cell r="P130">
            <v>2.3506951053188399</v>
          </cell>
          <cell r="Q130">
            <v>2.3502660281852599</v>
          </cell>
          <cell r="U130">
            <v>-9.8114202058465503E-5</v>
          </cell>
          <cell r="V130">
            <v>1.3881096375659701E-3</v>
          </cell>
          <cell r="W130">
            <v>1.07406126552477E-3</v>
          </cell>
          <cell r="Y130">
            <v>2.3475193892851398</v>
          </cell>
          <cell r="Z130">
            <v>2.3506951053188399</v>
          </cell>
          <cell r="AA130">
            <v>2.3502660281852599</v>
          </cell>
          <cell r="AF130">
            <v>1.3881096375659701E-3</v>
          </cell>
          <cell r="AG130">
            <v>1.07406126552477E-3</v>
          </cell>
          <cell r="AR130">
            <v>1.2733948086313658E-2</v>
          </cell>
          <cell r="BC130">
            <v>4.821236926590337E-3</v>
          </cell>
          <cell r="BF130">
            <v>1.7555185012903995E-2</v>
          </cell>
        </row>
        <row r="131">
          <cell r="O131">
            <v>2.3475193892851398</v>
          </cell>
          <cell r="P131">
            <v>2.3504249597920399</v>
          </cell>
          <cell r="Q131">
            <v>2.3503715313777298</v>
          </cell>
          <cell r="U131">
            <v>-9.7203579075664701E-4</v>
          </cell>
          <cell r="V131">
            <v>3.7984651304413699E-4</v>
          </cell>
          <cell r="W131">
            <v>1.97297828814031E-4</v>
          </cell>
          <cell r="Y131">
            <v>2.3475193892851398</v>
          </cell>
          <cell r="Z131">
            <v>2.3504249597920399</v>
          </cell>
          <cell r="AA131">
            <v>2.3503715313777298</v>
          </cell>
          <cell r="AF131">
            <v>3.7984651304413699E-4</v>
          </cell>
          <cell r="AG131">
            <v>1.97297828814031E-4</v>
          </cell>
          <cell r="AR131">
            <v>1.2733948086313658E-2</v>
          </cell>
          <cell r="BC131">
            <v>5.6951585152885259E-3</v>
          </cell>
          <cell r="BF131">
            <v>1.8429106601602185E-2</v>
          </cell>
        </row>
        <row r="132">
          <cell r="O132">
            <v>2.3475193892851398</v>
          </cell>
          <cell r="P132">
            <v>2.3500237909126098</v>
          </cell>
          <cell r="Q132">
            <v>2.3503762639844799</v>
          </cell>
          <cell r="U132">
            <v>5.6434217153635502E-5</v>
          </cell>
          <cell r="V132">
            <v>1.29338836623447E-3</v>
          </cell>
          <cell r="W132">
            <v>1.27065672302565E-3</v>
          </cell>
          <cell r="Y132">
            <v>2.3475193892851398</v>
          </cell>
          <cell r="Z132">
            <v>2.3500237909126098</v>
          </cell>
          <cell r="AA132">
            <v>2.3503762639844799</v>
          </cell>
          <cell r="AF132">
            <v>1.29338836623447E-3</v>
          </cell>
          <cell r="AG132">
            <v>1.27065672302565E-3</v>
          </cell>
          <cell r="AR132">
            <v>1.2733948086313658E-2</v>
          </cell>
          <cell r="BC132">
            <v>4.6666885073781859E-3</v>
          </cell>
          <cell r="BF132">
            <v>1.7400636593691846E-2</v>
          </cell>
        </row>
        <row r="133">
          <cell r="O133">
            <v>2.3475193892851398</v>
          </cell>
          <cell r="P133">
            <v>2.3495943329473699</v>
          </cell>
          <cell r="Q133">
            <v>2.3502149700486799</v>
          </cell>
          <cell r="U133">
            <v>2.4736135993627998E-4</v>
          </cell>
          <cell r="V133">
            <v>1.3136216448007801E-3</v>
          </cell>
          <cell r="W133">
            <v>1.4635974206559199E-3</v>
          </cell>
          <cell r="Y133">
            <v>2.3475193892851398</v>
          </cell>
          <cell r="Z133">
            <v>2.3495943329473699</v>
          </cell>
          <cell r="AA133">
            <v>2.3502149700486799</v>
          </cell>
          <cell r="AF133">
            <v>1.3136216448007801E-3</v>
          </cell>
          <cell r="AG133">
            <v>1.4635974206559199E-3</v>
          </cell>
          <cell r="AR133">
            <v>1.2733948086313658E-2</v>
          </cell>
          <cell r="BC133">
            <v>4.4757613645957442E-3</v>
          </cell>
          <cell r="BF133">
            <v>1.7209709450909404E-2</v>
          </cell>
        </row>
        <row r="134">
          <cell r="O134">
            <v>2.3475193892851398</v>
          </cell>
          <cell r="P134">
            <v>2.34930510963326</v>
          </cell>
          <cell r="Q134">
            <v>2.3500227008477901</v>
          </cell>
          <cell r="U134">
            <v>2.6838865814899298E-4</v>
          </cell>
          <cell r="V134">
            <v>1.1518860226573801E-3</v>
          </cell>
          <cell r="W134">
            <v>1.4159976343898701E-3</v>
          </cell>
          <cell r="Y134">
            <v>2.3475193892851398</v>
          </cell>
          <cell r="Z134">
            <v>2.34930510963326</v>
          </cell>
          <cell r="AA134">
            <v>2.3500227008477901</v>
          </cell>
          <cell r="AF134">
            <v>1.1518860226573801E-3</v>
          </cell>
          <cell r="AG134">
            <v>1.4159976343898701E-3</v>
          </cell>
          <cell r="AR134">
            <v>1.2733948086313658E-2</v>
          </cell>
          <cell r="BC134">
            <v>4.4547340663829843E-3</v>
          </cell>
          <cell r="BF134">
            <v>1.7188682152696644E-2</v>
          </cell>
        </row>
        <row r="135">
          <cell r="O135">
            <v>2.3475193892851398</v>
          </cell>
          <cell r="P135">
            <v>2.3488590826597702</v>
          </cell>
          <cell r="Q135">
            <v>2.3498571624481301</v>
          </cell>
          <cell r="U135">
            <v>4.0616895357075E-5</v>
          </cell>
          <cell r="V135">
            <v>8.0101168318301604E-4</v>
          </cell>
          <cell r="W135">
            <v>1.10641332744012E-3</v>
          </cell>
          <cell r="Y135">
            <v>2.3475193892851398</v>
          </cell>
          <cell r="Z135">
            <v>2.3488590826597702</v>
          </cell>
          <cell r="AA135">
            <v>2.3498571624481301</v>
          </cell>
          <cell r="AF135">
            <v>8.0101168318301604E-4</v>
          </cell>
          <cell r="AG135">
            <v>1.10641332744012E-3</v>
          </cell>
          <cell r="AR135">
            <v>1.2733948086313658E-2</v>
          </cell>
          <cell r="BC135">
            <v>4.6825058291748945E-3</v>
          </cell>
          <cell r="BF135">
            <v>1.7416453915488555E-2</v>
          </cell>
        </row>
        <row r="136">
          <cell r="O136">
            <v>2.3475193892851398</v>
          </cell>
          <cell r="P136">
            <v>2.3485930692329702</v>
          </cell>
          <cell r="Q136">
            <v>2.3498046966423298</v>
          </cell>
          <cell r="U136">
            <v>-2.4486878770231101E-4</v>
          </cell>
          <cell r="V136">
            <v>3.2565312358164998E-4</v>
          </cell>
          <cell r="W136">
            <v>7.50483971543208E-4</v>
          </cell>
          <cell r="Y136">
            <v>2.3475193892851398</v>
          </cell>
          <cell r="Z136">
            <v>2.3485930692329702</v>
          </cell>
          <cell r="AA136">
            <v>2.3498046966423298</v>
          </cell>
          <cell r="AF136">
            <v>3.2565312358164998E-4</v>
          </cell>
          <cell r="AG136">
            <v>7.50483971543208E-4</v>
          </cell>
          <cell r="AR136">
            <v>1.2733948086313658E-2</v>
          </cell>
          <cell r="BC136">
            <v>4.9679915122343085E-3</v>
          </cell>
          <cell r="BF136">
            <v>1.7701939598547968E-2</v>
          </cell>
        </row>
        <row r="137">
          <cell r="O137">
            <v>2.3475193892851398</v>
          </cell>
          <cell r="P137">
            <v>2.3480880380326501</v>
          </cell>
          <cell r="Q137">
            <v>2.34968614208608</v>
          </cell>
          <cell r="U137">
            <v>-9.7949135178813096E-5</v>
          </cell>
          <cell r="V137">
            <v>3.5931417613156399E-4</v>
          </cell>
          <cell r="W137">
            <v>8.7507614291290896E-4</v>
          </cell>
          <cell r="Y137">
            <v>2.3475193892851398</v>
          </cell>
          <cell r="Z137">
            <v>2.3480880380326501</v>
          </cell>
          <cell r="AA137">
            <v>2.34968614208608</v>
          </cell>
          <cell r="AF137">
            <v>3.5931417613156399E-4</v>
          </cell>
          <cell r="AG137">
            <v>8.7507614291290896E-4</v>
          </cell>
          <cell r="AR137">
            <v>1.2733948086313658E-2</v>
          </cell>
          <cell r="BC137">
            <v>4.821071859710889E-3</v>
          </cell>
          <cell r="BF137">
            <v>1.7555019946024548E-2</v>
          </cell>
        </row>
        <row r="138">
          <cell r="O138">
            <v>2.3475193892851398</v>
          </cell>
          <cell r="P138">
            <v>2.3476461833406499</v>
          </cell>
          <cell r="Q138">
            <v>2.3495578606860099</v>
          </cell>
          <cell r="U138">
            <v>7.8192076829822994E-5</v>
          </cell>
          <cell r="V138">
            <v>3.20396630380417E-4</v>
          </cell>
          <cell r="W138">
            <v>1.0007631417519099E-3</v>
          </cell>
          <cell r="Y138">
            <v>2.3475193892851398</v>
          </cell>
          <cell r="Z138">
            <v>2.3476461833406499</v>
          </cell>
          <cell r="AA138">
            <v>2.3495578606860099</v>
          </cell>
          <cell r="AF138">
            <v>3.20396630380417E-4</v>
          </cell>
          <cell r="AG138">
            <v>1.0007631417519099E-3</v>
          </cell>
          <cell r="AR138">
            <v>1.2733948086313658E-2</v>
          </cell>
          <cell r="BC138">
            <v>4.6449306477023391E-3</v>
          </cell>
          <cell r="BF138">
            <v>1.7378878734015998E-2</v>
          </cell>
        </row>
        <row r="139">
          <cell r="O139">
            <v>2.3475193892851398</v>
          </cell>
          <cell r="P139">
            <v>2.3477042565089499</v>
          </cell>
          <cell r="Q139">
            <v>2.3493575895158498</v>
          </cell>
          <cell r="U139">
            <v>-6.4939237708069601E-5</v>
          </cell>
          <cell r="V139">
            <v>-1.09287652006531E-5</v>
          </cell>
          <cell r="W139">
            <v>8.0303521549421298E-4</v>
          </cell>
          <cell r="Y139">
            <v>2.3475193892851398</v>
          </cell>
          <cell r="Z139">
            <v>2.3477042565089499</v>
          </cell>
          <cell r="AA139">
            <v>2.3493575895158498</v>
          </cell>
          <cell r="AF139">
            <v>-1.09287652006531E-5</v>
          </cell>
          <cell r="AG139">
            <v>8.0303521549421298E-4</v>
          </cell>
          <cell r="AR139">
            <v>1.2733948086313658E-2</v>
          </cell>
          <cell r="BC139">
            <v>4.7880619622400686E-3</v>
          </cell>
          <cell r="BF139">
            <v>1.7522010048553728E-2</v>
          </cell>
        </row>
        <row r="140">
          <cell r="O140">
            <v>2.3475193892851398</v>
          </cell>
          <cell r="P140">
            <v>2.3476750466631802</v>
          </cell>
          <cell r="Q140">
            <v>2.3491850759910098</v>
          </cell>
          <cell r="U140">
            <v>2.63098908859613E-5</v>
          </cell>
          <cell r="V140">
            <v>1.0505682089336499E-4</v>
          </cell>
          <cell r="W140">
            <v>8.0904289958782605E-4</v>
          </cell>
          <cell r="Y140">
            <v>2.3475193892851398</v>
          </cell>
          <cell r="Z140">
            <v>2.3476750466631802</v>
          </cell>
          <cell r="AA140">
            <v>2.3491850759910098</v>
          </cell>
          <cell r="AF140">
            <v>1.0505682089336499E-4</v>
          </cell>
          <cell r="AG140">
            <v>8.0904289958782605E-4</v>
          </cell>
          <cell r="AR140">
            <v>1.2733948086313658E-2</v>
          </cell>
          <cell r="BC140">
            <v>4.6968128336459889E-3</v>
          </cell>
          <cell r="BF140">
            <v>1.7430760919959647E-2</v>
          </cell>
        </row>
        <row r="141">
          <cell r="O141">
            <v>2.3475193892851398</v>
          </cell>
          <cell r="P141">
            <v>2.34782512806551</v>
          </cell>
          <cell r="Q141">
            <v>2.3491250439287699</v>
          </cell>
          <cell r="U141">
            <v>-1.61052988792908E-3</v>
          </cell>
          <cell r="V141">
            <v>-1.54422491154427E-3</v>
          </cell>
          <cell r="W141">
            <v>-9.0122965921745301E-4</v>
          </cell>
          <cell r="Y141">
            <v>2.3475193892851398</v>
          </cell>
          <cell r="Z141">
            <v>2.34782512806551</v>
          </cell>
          <cell r="AA141">
            <v>2.3491250439287699</v>
          </cell>
          <cell r="AF141">
            <v>-1.54422491154427E-3</v>
          </cell>
          <cell r="AG141">
            <v>-9.0122965921745301E-4</v>
          </cell>
          <cell r="AR141">
            <v>1.2733948086313658E-2</v>
          </cell>
          <cell r="BC141">
            <v>6.3336526124611082E-3</v>
          </cell>
          <cell r="BF141">
            <v>1.9067600698774768E-2</v>
          </cell>
        </row>
        <row r="142">
          <cell r="O142">
            <v>2.3475193892851398</v>
          </cell>
          <cell r="P142">
            <v>2.3480931005100998</v>
          </cell>
          <cell r="Q142">
            <v>2.3490584457113499</v>
          </cell>
          <cell r="U142">
            <v>-1.08449233305305E-3</v>
          </cell>
          <cell r="V142">
            <v>-9.54261727113528E-4</v>
          </cell>
          <cell r="W142">
            <v>-4.0074685092541298E-4</v>
          </cell>
          <cell r="Y142">
            <v>2.3475193892851398</v>
          </cell>
          <cell r="Z142">
            <v>2.3480931005100998</v>
          </cell>
          <cell r="AA142">
            <v>2.3490584457113499</v>
          </cell>
          <cell r="AF142">
            <v>-9.54261727113528E-4</v>
          </cell>
          <cell r="AG142">
            <v>-4.0074685092541298E-4</v>
          </cell>
          <cell r="AR142">
            <v>1.2733948086313658E-2</v>
          </cell>
          <cell r="BC142">
            <v>6.3336526124611082E-3</v>
          </cell>
          <cell r="BF142">
            <v>1.9067600698774768E-2</v>
          </cell>
        </row>
        <row r="143">
          <cell r="O143">
            <v>2.3475193892851398</v>
          </cell>
          <cell r="P143">
            <v>2.3484846077450601</v>
          </cell>
          <cell r="Q143">
            <v>2.3490394703462099</v>
          </cell>
          <cell r="U143">
            <v>-1.4194100665145301E-3</v>
          </cell>
          <cell r="V143">
            <v>-1.1750495154451801E-3</v>
          </cell>
          <cell r="W143">
            <v>-7.6401520865328697E-4</v>
          </cell>
          <cell r="Y143">
            <v>2.3475193892851398</v>
          </cell>
          <cell r="Z143">
            <v>2.3484846077450601</v>
          </cell>
          <cell r="AA143">
            <v>2.3490394703462099</v>
          </cell>
          <cell r="AF143">
            <v>-1.1750495154451801E-3</v>
          </cell>
          <cell r="AG143">
            <v>-7.6401520865328697E-4</v>
          </cell>
          <cell r="AR143">
            <v>1.2733948086313658E-2</v>
          </cell>
          <cell r="BC143">
            <v>6.3336526124611082E-3</v>
          </cell>
          <cell r="BF143">
            <v>1.9067600698774768E-2</v>
          </cell>
        </row>
        <row r="144">
          <cell r="O144">
            <v>2.3475193892851398</v>
          </cell>
          <cell r="P144">
            <v>2.3488401095647502</v>
          </cell>
          <cell r="Q144">
            <v>2.3490726095990002</v>
          </cell>
          <cell r="U144">
            <v>-1.24524395708201E-3</v>
          </cell>
          <cell r="V144">
            <v>-8.3416318537969897E-4</v>
          </cell>
          <cell r="W144">
            <v>-5.9792699179737495E-4</v>
          </cell>
          <cell r="Y144">
            <v>2.3475193892851398</v>
          </cell>
          <cell r="Z144">
            <v>2.3488401095647502</v>
          </cell>
          <cell r="AA144">
            <v>2.3490726095990002</v>
          </cell>
          <cell r="AF144">
            <v>-8.3416318537969897E-4</v>
          </cell>
          <cell r="AG144">
            <v>-5.9792699179737495E-4</v>
          </cell>
          <cell r="AR144">
            <v>1.2733948086313658E-2</v>
          </cell>
          <cell r="BC144">
            <v>6.3336526124611082E-3</v>
          </cell>
          <cell r="BF144">
            <v>1.9067600698774768E-2</v>
          </cell>
        </row>
        <row r="145">
          <cell r="O145">
            <v>2.3475193892851398</v>
          </cell>
          <cell r="P145">
            <v>2.3491199275597601</v>
          </cell>
          <cell r="Q145">
            <v>2.3489895051097598</v>
          </cell>
          <cell r="U145">
            <v>-1.15069472049676E-3</v>
          </cell>
          <cell r="V145">
            <v>-5.8825042092928298E-4</v>
          </cell>
          <cell r="W145">
            <v>-4.8927027875061795E-4</v>
          </cell>
          <cell r="Y145">
            <v>2.3475193892851398</v>
          </cell>
          <cell r="Z145">
            <v>2.3491199275597601</v>
          </cell>
          <cell r="AA145">
            <v>2.3489895051097598</v>
          </cell>
          <cell r="AF145">
            <v>-5.8825042092928298E-4</v>
          </cell>
          <cell r="AG145">
            <v>-4.8927027875061795E-4</v>
          </cell>
          <cell r="AR145">
            <v>1.2733948086313658E-2</v>
          </cell>
          <cell r="BC145">
            <v>6.3336526124611082E-3</v>
          </cell>
          <cell r="BF145">
            <v>1.9067600698774768E-2</v>
          </cell>
        </row>
        <row r="146">
          <cell r="O146">
            <v>2.3475193892851398</v>
          </cell>
          <cell r="P146">
            <v>2.34958889460655</v>
          </cell>
          <cell r="Q146">
            <v>2.3490909819197601</v>
          </cell>
          <cell r="U146">
            <v>-2.24010106816314E-3</v>
          </cell>
          <cell r="V146">
            <v>-1.55853357762376E-3</v>
          </cell>
          <cell r="W146">
            <v>-1.6140548258615E-3</v>
          </cell>
          <cell r="Y146">
            <v>2.3475193892851398</v>
          </cell>
          <cell r="Z146">
            <v>2.34958889460655</v>
          </cell>
          <cell r="AA146">
            <v>2.3490909819197601</v>
          </cell>
          <cell r="AF146">
            <v>-1.55853357762376E-3</v>
          </cell>
          <cell r="AG146">
            <v>-1.6140548258615E-3</v>
          </cell>
          <cell r="AR146">
            <v>1.2733948086313658E-2</v>
          </cell>
          <cell r="BC146">
            <v>6.3336526124611082E-3</v>
          </cell>
          <cell r="BF146">
            <v>1.9067600698774768E-2</v>
          </cell>
        </row>
        <row r="147">
          <cell r="O147">
            <v>2.3475193892851398</v>
          </cell>
          <cell r="P147">
            <v>2.3500359103898201</v>
          </cell>
          <cell r="Q147">
            <v>2.34906197421124</v>
          </cell>
          <cell r="U147">
            <v>-2.0001571448758099E-3</v>
          </cell>
          <cell r="V147">
            <v>-1.1189743701811401E-3</v>
          </cell>
          <cell r="W147">
            <v>-1.3309116384095699E-3</v>
          </cell>
          <cell r="Y147">
            <v>2.3475193892851398</v>
          </cell>
          <cell r="Z147">
            <v>2.3500359103898201</v>
          </cell>
          <cell r="AA147">
            <v>2.34906197421124</v>
          </cell>
          <cell r="AF147">
            <v>-1.1189743701811401E-3</v>
          </cell>
          <cell r="AG147">
            <v>-1.3309116384095699E-3</v>
          </cell>
          <cell r="AR147">
            <v>1.2733948086313658E-2</v>
          </cell>
          <cell r="BC147">
            <v>6.3336526124611082E-3</v>
          </cell>
          <cell r="BF147">
            <v>1.9067600698774768E-2</v>
          </cell>
        </row>
        <row r="148">
          <cell r="O148">
            <v>2.3475193892851398</v>
          </cell>
          <cell r="P148">
            <v>2.3506383300456402</v>
          </cell>
          <cell r="Q148">
            <v>2.3491422566931401</v>
          </cell>
          <cell r="U148">
            <v>-2.4849177336334401E-3</v>
          </cell>
          <cell r="V148">
            <v>-1.41350028993154E-3</v>
          </cell>
          <cell r="W148">
            <v>-1.8280207857572599E-3</v>
          </cell>
          <cell r="Y148">
            <v>2.3475193892851398</v>
          </cell>
          <cell r="Z148">
            <v>2.3506383300456402</v>
          </cell>
          <cell r="AA148">
            <v>2.3491422566931401</v>
          </cell>
          <cell r="AF148">
            <v>-1.41350028993154E-3</v>
          </cell>
          <cell r="AG148">
            <v>-1.8280207857572599E-3</v>
          </cell>
          <cell r="AR148">
            <v>1.2249187497556038E-2</v>
          </cell>
          <cell r="BC148">
            <v>6.3336526124611082E-3</v>
          </cell>
          <cell r="BF148">
            <v>1.8582840110017148E-2</v>
          </cell>
        </row>
        <row r="149">
          <cell r="O149">
            <v>2.3475193892851398</v>
          </cell>
          <cell r="P149">
            <v>2.3511312616171001</v>
          </cell>
          <cell r="Q149">
            <v>2.3494177590630199</v>
          </cell>
          <cell r="U149">
            <v>-2.1623993322562401E-3</v>
          </cell>
          <cell r="V149">
            <v>-8.3466986678946997E-4</v>
          </cell>
          <cell r="W149">
            <v>-1.4713265682737601E-3</v>
          </cell>
          <cell r="Y149">
            <v>2.3475193892851398</v>
          </cell>
          <cell r="Z149">
            <v>2.3511312616171001</v>
          </cell>
          <cell r="AA149">
            <v>2.3494177590630199</v>
          </cell>
          <cell r="AF149">
            <v>-8.3466986678946997E-4</v>
          </cell>
          <cell r="AG149">
            <v>-1.4713265682737601E-3</v>
          </cell>
          <cell r="AR149">
            <v>1.2571705898933081E-2</v>
          </cell>
          <cell r="BC149">
            <v>6.3336526124611082E-3</v>
          </cell>
          <cell r="BF149">
            <v>1.8905358511394191E-2</v>
          </cell>
        </row>
        <row r="150">
          <cell r="O150">
            <v>2.3475193892851398</v>
          </cell>
          <cell r="P150">
            <v>2.3514989835514299</v>
          </cell>
          <cell r="Q150">
            <v>2.3495870151073102</v>
          </cell>
          <cell r="U150">
            <v>-1.5389333664270501E-3</v>
          </cell>
          <cell r="V150">
            <v>-1.5247307428834301E-6</v>
          </cell>
          <cell r="W150">
            <v>-7.3058962185855501E-4</v>
          </cell>
          <cell r="Y150">
            <v>2.3475193892851398</v>
          </cell>
          <cell r="Z150">
            <v>2.3514989835514299</v>
          </cell>
          <cell r="AA150">
            <v>2.3495870151073102</v>
          </cell>
          <cell r="AF150">
            <v>-1.5247307428834301E-6</v>
          </cell>
          <cell r="AG150">
            <v>-7.3058962185855501E-4</v>
          </cell>
          <cell r="AR150">
            <v>1.3195171864762463E-2</v>
          </cell>
          <cell r="BC150">
            <v>6.3336526124611082E-3</v>
          </cell>
          <cell r="BF150">
            <v>1.9528824477223573E-2</v>
          </cell>
        </row>
        <row r="151">
          <cell r="O151">
            <v>2.3475193892851398</v>
          </cell>
          <cell r="P151">
            <v>2.3514774088919799</v>
          </cell>
          <cell r="Q151">
            <v>2.3496512684787398</v>
          </cell>
          <cell r="U151">
            <v>-1.5187694997224901E-3</v>
          </cell>
          <cell r="V151">
            <v>1.7502903519170401E-4</v>
          </cell>
          <cell r="W151">
            <v>-6.3838665219909303E-4</v>
          </cell>
          <cell r="Y151">
            <v>2.3475193892851398</v>
          </cell>
          <cell r="Z151">
            <v>2.3514774088919799</v>
          </cell>
          <cell r="AA151">
            <v>2.3496512684787398</v>
          </cell>
          <cell r="AF151">
            <v>1.7502903519170401E-4</v>
          </cell>
          <cell r="AG151">
            <v>-6.3838665219909303E-4</v>
          </cell>
          <cell r="AR151">
            <v>1.3215335731466833E-2</v>
          </cell>
          <cell r="BC151">
            <v>6.3336526124611082E-3</v>
          </cell>
          <cell r="BF151">
            <v>1.9548988343927945E-2</v>
          </cell>
        </row>
        <row r="152">
          <cell r="O152">
            <v>2.3475193892851398</v>
          </cell>
          <cell r="P152">
            <v>2.3515362570679299</v>
          </cell>
          <cell r="Q152">
            <v>2.3498146787890102</v>
          </cell>
          <cell r="U152">
            <v>-1.3348716548340701E-3</v>
          </cell>
          <cell r="V152">
            <v>3.4975198416515902E-4</v>
          </cell>
          <cell r="W152">
            <v>-4.27142515182406E-4</v>
          </cell>
          <cell r="Y152">
            <v>2.3475193892851398</v>
          </cell>
          <cell r="Z152">
            <v>2.3515362570679299</v>
          </cell>
          <cell r="AA152">
            <v>2.3498146787890102</v>
          </cell>
          <cell r="AF152">
            <v>3.4975198416515902E-4</v>
          </cell>
          <cell r="AG152">
            <v>-4.27142515182406E-4</v>
          </cell>
          <cell r="AR152">
            <v>1.3399233576355163E-2</v>
          </cell>
          <cell r="BC152">
            <v>6.3336526124611082E-3</v>
          </cell>
          <cell r="BF152">
            <v>1.9732886188816273E-2</v>
          </cell>
        </row>
        <row r="153">
          <cell r="O153">
            <v>2.3475193892851398</v>
          </cell>
          <cell r="P153">
            <v>2.3514852632293599</v>
          </cell>
          <cell r="Q153">
            <v>2.34998493548721</v>
          </cell>
          <cell r="U153">
            <v>-1.20247029328816E-3</v>
          </cell>
          <cell r="V153">
            <v>5.0717907607542999E-4</v>
          </cell>
          <cell r="W153">
            <v>-2.25196949180479E-4</v>
          </cell>
          <cell r="Y153">
            <v>2.3475193892851398</v>
          </cell>
          <cell r="Z153">
            <v>2.3514852632293599</v>
          </cell>
          <cell r="AA153">
            <v>2.34998493548721</v>
          </cell>
          <cell r="AF153">
            <v>5.0717907607542999E-4</v>
          </cell>
          <cell r="AG153">
            <v>-2.25196949180479E-4</v>
          </cell>
          <cell r="AR153">
            <v>1.3531634937900975E-2</v>
          </cell>
          <cell r="BC153">
            <v>6.3336526124611082E-3</v>
          </cell>
          <cell r="BF153">
            <v>1.9865287550362085E-2</v>
          </cell>
        </row>
        <row r="154">
          <cell r="O154">
            <v>2.3475193892851398</v>
          </cell>
          <cell r="P154">
            <v>2.3515861482723799</v>
          </cell>
          <cell r="Q154">
            <v>2.3502131289185701</v>
          </cell>
          <cell r="U154">
            <v>-1.67436874949944E-3</v>
          </cell>
          <cell r="V154">
            <v>1.35950552329127E-5</v>
          </cell>
          <cell r="W154">
            <v>-6.2464265751101895E-4</v>
          </cell>
          <cell r="Y154">
            <v>2.3475193892851398</v>
          </cell>
          <cell r="Z154">
            <v>2.3515861482723799</v>
          </cell>
          <cell r="AA154">
            <v>2.3502131289185701</v>
          </cell>
          <cell r="AF154">
            <v>1.35950552329127E-5</v>
          </cell>
          <cell r="AG154">
            <v>-6.2464265751101895E-4</v>
          </cell>
          <cell r="AR154">
            <v>1.3059736481689741E-2</v>
          </cell>
          <cell r="BC154">
            <v>6.3336526124611082E-3</v>
          </cell>
          <cell r="BF154">
            <v>1.9393389094150851E-2</v>
          </cell>
        </row>
        <row r="155">
          <cell r="O155">
            <v>2.3475193892851398</v>
          </cell>
          <cell r="P155">
            <v>2.3516912793170501</v>
          </cell>
          <cell r="Q155">
            <v>2.3504056034384</v>
          </cell>
          <cell r="U155">
            <v>-1.5979185483978901E-3</v>
          </cell>
          <cell r="V155">
            <v>1.32947025925985E-4</v>
          </cell>
          <cell r="W155">
            <v>-4.51092960427384E-4</v>
          </cell>
          <cell r="Y155">
            <v>2.3475193892851398</v>
          </cell>
          <cell r="Z155">
            <v>2.3516912793170501</v>
          </cell>
          <cell r="AA155">
            <v>2.3504056034384</v>
          </cell>
          <cell r="AF155">
            <v>1.32947025925985E-4</v>
          </cell>
          <cell r="AG155">
            <v>-4.51092960427384E-4</v>
          </cell>
          <cell r="AR155">
            <v>1.3136186682791451E-2</v>
          </cell>
          <cell r="BC155">
            <v>6.3336526124611082E-3</v>
          </cell>
          <cell r="BF155">
            <v>1.9469839295252561E-2</v>
          </cell>
        </row>
        <row r="156">
          <cell r="O156">
            <v>2.3475193892851398</v>
          </cell>
          <cell r="P156">
            <v>2.35118777753565</v>
          </cell>
          <cell r="Q156">
            <v>2.3503883360711</v>
          </cell>
          <cell r="U156">
            <v>-9.7782384288926195E-5</v>
          </cell>
          <cell r="V156">
            <v>1.6777886305716001E-3</v>
          </cell>
          <cell r="W156">
            <v>1.13093647386785E-3</v>
          </cell>
          <cell r="Y156">
            <v>2.3475193892851398</v>
          </cell>
          <cell r="Z156">
            <v>2.35118777753565</v>
          </cell>
          <cell r="AA156">
            <v>2.3503883360711</v>
          </cell>
          <cell r="AF156">
            <v>1.6777886305716001E-3</v>
          </cell>
          <cell r="AG156">
            <v>1.13093647386785E-3</v>
          </cell>
          <cell r="AR156">
            <v>1.4636322846900552E-2</v>
          </cell>
          <cell r="BC156">
            <v>6.3336526124611082E-3</v>
          </cell>
          <cell r="BF156">
            <v>2.0969975459361662E-2</v>
          </cell>
        </row>
        <row r="157">
          <cell r="O157">
            <v>2.3475193892851398</v>
          </cell>
          <cell r="P157">
            <v>2.3509613755885699</v>
          </cell>
          <cell r="Q157">
            <v>2.3504986429892001</v>
          </cell>
          <cell r="U157">
            <v>-1.0371901523211001E-3</v>
          </cell>
          <cell r="V157">
            <v>5.2425595002152895E-4</v>
          </cell>
          <cell r="W157">
            <v>1.8418213097087899E-4</v>
          </cell>
          <cell r="Y157">
            <v>2.3475193892851398</v>
          </cell>
          <cell r="Z157">
            <v>2.3509613755885699</v>
          </cell>
          <cell r="AA157">
            <v>2.3504986429892001</v>
          </cell>
          <cell r="AF157">
            <v>5.2425595002152895E-4</v>
          </cell>
          <cell r="AG157">
            <v>1.8418213097087899E-4</v>
          </cell>
          <cell r="AR157">
            <v>1.4636322846900552E-2</v>
          </cell>
          <cell r="BC157">
            <v>7.2730603804933482E-3</v>
          </cell>
          <cell r="BF157">
            <v>2.19093832273939E-2</v>
          </cell>
        </row>
        <row r="158">
          <cell r="O158">
            <v>2.3475193892851398</v>
          </cell>
          <cell r="P158">
            <v>2.3506164514216699</v>
          </cell>
          <cell r="Q158">
            <v>2.3506273907336501</v>
          </cell>
          <cell r="U158">
            <v>-1.0181757949173499E-3</v>
          </cell>
          <cell r="V158">
            <v>4.46973086779037E-4</v>
          </cell>
          <cell r="W158">
            <v>2.5012674583693999E-4</v>
          </cell>
          <cell r="Y158">
            <v>2.3475193892851398</v>
          </cell>
          <cell r="Z158">
            <v>2.3506164514216699</v>
          </cell>
          <cell r="AA158">
            <v>2.3506273907336501</v>
          </cell>
          <cell r="AF158">
            <v>4.46973086779037E-4</v>
          </cell>
          <cell r="AG158">
            <v>2.5012674583693999E-4</v>
          </cell>
          <cell r="AR158">
            <v>1.4636322846900552E-2</v>
          </cell>
          <cell r="BC158">
            <v>7.254046023089448E-3</v>
          </cell>
          <cell r="BF158">
            <v>2.1890368869990001E-2</v>
          </cell>
        </row>
        <row r="159">
          <cell r="O159">
            <v>2.3475193892851398</v>
          </cell>
          <cell r="P159">
            <v>2.3505666629903401</v>
          </cell>
          <cell r="Q159">
            <v>2.3508489623037199</v>
          </cell>
          <cell r="U159">
            <v>-1.95074551944171E-3</v>
          </cell>
          <cell r="V159">
            <v>-6.3232362184033797E-4</v>
          </cell>
          <cell r="W159">
            <v>-6.2766982707893103E-4</v>
          </cell>
          <cell r="Y159">
            <v>2.3475193892851398</v>
          </cell>
          <cell r="Z159">
            <v>2.3505666629903401</v>
          </cell>
          <cell r="AA159">
            <v>2.3508489623037199</v>
          </cell>
          <cell r="AF159">
            <v>-6.3232362184033797E-4</v>
          </cell>
          <cell r="AG159">
            <v>-6.2766982707893103E-4</v>
          </cell>
          <cell r="AR159">
            <v>1.4636322846900552E-2</v>
          </cell>
          <cell r="BC159">
            <v>8.1866157476136771E-3</v>
          </cell>
          <cell r="BF159">
            <v>2.282293859451423E-2</v>
          </cell>
        </row>
        <row r="160">
          <cell r="O160">
            <v>2.3475193892851398</v>
          </cell>
          <cell r="P160">
            <v>2.3503006510673701</v>
          </cell>
          <cell r="Q160">
            <v>2.3508998173093998</v>
          </cell>
          <cell r="U160">
            <v>-4.0687357631643802E-4</v>
          </cell>
          <cell r="V160">
            <v>8.9036708663791503E-4</v>
          </cell>
          <cell r="W160">
            <v>1.01045828308447E-3</v>
          </cell>
          <cell r="Y160">
            <v>2.3475193892851398</v>
          </cell>
          <cell r="Z160">
            <v>2.3503006510673701</v>
          </cell>
          <cell r="AA160">
            <v>2.3508998173093998</v>
          </cell>
          <cell r="AF160">
            <v>8.9036708663791503E-4</v>
          </cell>
          <cell r="AG160">
            <v>1.01045828308447E-3</v>
          </cell>
          <cell r="AR160">
            <v>1.4636322846900552E-2</v>
          </cell>
          <cell r="BC160">
            <v>8.1866157476136771E-3</v>
          </cell>
          <cell r="BF160">
            <v>2.282293859451423E-2</v>
          </cell>
        </row>
        <row r="161">
          <cell r="O161">
            <v>2.3475193892851398</v>
          </cell>
          <cell r="P161">
            <v>2.34995901214026</v>
          </cell>
          <cell r="Q161">
            <v>2.3507182105161202</v>
          </cell>
          <cell r="U161">
            <v>-6.4602454791724899E-5</v>
          </cell>
          <cell r="V161">
            <v>1.11946252993888E-3</v>
          </cell>
          <cell r="W161">
            <v>1.3743617835669901E-3</v>
          </cell>
          <cell r="Y161">
            <v>2.3475193892851398</v>
          </cell>
          <cell r="Z161">
            <v>2.34995901214026</v>
          </cell>
          <cell r="AA161">
            <v>2.3507182105161202</v>
          </cell>
          <cell r="AF161">
            <v>1.11946252993888E-3</v>
          </cell>
          <cell r="AG161">
            <v>1.3743617835669901E-3</v>
          </cell>
          <cell r="AR161">
            <v>1.4636322846900552E-2</v>
          </cell>
          <cell r="BC161">
            <v>7.8443446260887586E-3</v>
          </cell>
          <cell r="BF161">
            <v>2.2480667472989314E-2</v>
          </cell>
        </row>
        <row r="162">
          <cell r="O162">
            <v>2.3475193892851398</v>
          </cell>
          <cell r="P162">
            <v>2.3499737857187002</v>
          </cell>
          <cell r="Q162">
            <v>2.3507550213933102</v>
          </cell>
          <cell r="U162">
            <v>-1.3977184505788601E-3</v>
          </cell>
          <cell r="V162">
            <v>-3.5902370162020202E-4</v>
          </cell>
          <cell r="W162">
            <v>-3.60071035842752E-5</v>
          </cell>
          <cell r="Y162">
            <v>2.3475193892851398</v>
          </cell>
          <cell r="Z162">
            <v>2.3499737857187002</v>
          </cell>
          <cell r="AA162">
            <v>2.3507550213933102</v>
          </cell>
          <cell r="AF162">
            <v>-3.5902370162020202E-4</v>
          </cell>
          <cell r="AG162">
            <v>-3.60071035842752E-5</v>
          </cell>
          <cell r="AR162">
            <v>1.4636322846900552E-2</v>
          </cell>
          <cell r="BC162">
            <v>9.1774606218760092E-3</v>
          </cell>
          <cell r="BF162">
            <v>2.3813783468776564E-2</v>
          </cell>
        </row>
        <row r="163">
          <cell r="O163">
            <v>2.3475193892851398</v>
          </cell>
          <cell r="P163">
            <v>2.3502413782792</v>
          </cell>
          <cell r="Q163">
            <v>2.35086332075428</v>
          </cell>
          <cell r="U163">
            <v>-2.3403477950185098E-3</v>
          </cell>
          <cell r="V163">
            <v>-1.2953663270455699E-3</v>
          </cell>
          <cell r="W163">
            <v>-9.6297715342380801E-4</v>
          </cell>
          <cell r="Y163">
            <v>2.3475193892851398</v>
          </cell>
          <cell r="Z163">
            <v>2.3502413782792</v>
          </cell>
          <cell r="AA163">
            <v>2.35086332075428</v>
          </cell>
          <cell r="AF163">
            <v>-1.2953663270455699E-3</v>
          </cell>
          <cell r="AG163">
            <v>-9.6297715342380801E-4</v>
          </cell>
          <cell r="AR163">
            <v>1.4636322846900552E-2</v>
          </cell>
          <cell r="BC163">
            <v>9.1774606218760092E-3</v>
          </cell>
          <cell r="BF163">
            <v>2.3813783468776564E-2</v>
          </cell>
        </row>
        <row r="164">
          <cell r="O164">
            <v>2.3475193892851398</v>
          </cell>
          <cell r="P164">
            <v>2.3504755130774502</v>
          </cell>
          <cell r="Q164">
            <v>2.3510308306749099</v>
          </cell>
          <cell r="U164">
            <v>-2.66957589128456E-3</v>
          </cell>
          <cell r="V164">
            <v>-1.5107304611526201E-3</v>
          </cell>
          <cell r="W164">
            <v>-1.24613627807132E-3</v>
          </cell>
          <cell r="Y164">
            <v>2.3475193892851398</v>
          </cell>
          <cell r="Z164">
            <v>2.3504755130774502</v>
          </cell>
          <cell r="AA164">
            <v>2.3510308306749099</v>
          </cell>
          <cell r="AF164">
            <v>-1.5107304611526201E-3</v>
          </cell>
          <cell r="AG164">
            <v>-1.24613627807132E-3</v>
          </cell>
          <cell r="AR164">
            <v>1.4636322846900552E-2</v>
          </cell>
          <cell r="BC164">
            <v>9.1774606218760092E-3</v>
          </cell>
          <cell r="BF164">
            <v>2.3813783468776564E-2</v>
          </cell>
        </row>
        <row r="165">
          <cell r="O165">
            <v>2.3475193892851398</v>
          </cell>
          <cell r="P165">
            <v>2.3507513315773698</v>
          </cell>
          <cell r="Q165">
            <v>2.35122130544721</v>
          </cell>
          <cell r="U165">
            <v>-2.7702910804113701E-3</v>
          </cell>
          <cell r="V165">
            <v>-1.51182901568742E-3</v>
          </cell>
          <cell r="W165">
            <v>-1.27559936525317E-3</v>
          </cell>
          <cell r="Y165">
            <v>2.3475193892851398</v>
          </cell>
          <cell r="Z165">
            <v>2.3507513315773698</v>
          </cell>
          <cell r="AA165">
            <v>2.35122130544721</v>
          </cell>
          <cell r="AF165">
            <v>-1.51182901568742E-3</v>
          </cell>
          <cell r="AG165">
            <v>-1.27559936525317E-3</v>
          </cell>
          <cell r="AR165">
            <v>1.4535607657773616E-2</v>
          </cell>
          <cell r="BC165">
            <v>9.1774606218760092E-3</v>
          </cell>
          <cell r="BF165">
            <v>2.371306827964963E-2</v>
          </cell>
        </row>
        <row r="166">
          <cell r="O166">
            <v>2.3475193892851398</v>
          </cell>
          <cell r="P166">
            <v>2.3513679358036601</v>
          </cell>
          <cell r="Q166">
            <v>2.3512778566696602</v>
          </cell>
          <cell r="U166">
            <v>-2.7207030705782898E-3</v>
          </cell>
          <cell r="V166">
            <v>-1.3449020603615699E-3</v>
          </cell>
          <cell r="W166">
            <v>-1.14499708103266E-3</v>
          </cell>
          <cell r="Y166">
            <v>2.3475193892851398</v>
          </cell>
          <cell r="Z166">
            <v>2.3513679358036601</v>
          </cell>
          <cell r="AA166">
            <v>2.3512778566696602</v>
          </cell>
          <cell r="AF166">
            <v>-1.3449020603615699E-3</v>
          </cell>
          <cell r="AG166">
            <v>-1.14499708103266E-3</v>
          </cell>
          <cell r="AR166">
            <v>1.4585195667606746E-2</v>
          </cell>
          <cell r="BC166">
            <v>9.1774606218760092E-3</v>
          </cell>
          <cell r="BF166">
            <v>2.3762656289482761E-2</v>
          </cell>
        </row>
        <row r="167">
          <cell r="O167">
            <v>2.3475193892851398</v>
          </cell>
          <cell r="P167">
            <v>2.3517060200487698</v>
          </cell>
          <cell r="Q167">
            <v>2.3513336978186699</v>
          </cell>
          <cell r="U167">
            <v>-2.4748398583340002E-3</v>
          </cell>
          <cell r="V167">
            <v>-8.3677232752535596E-4</v>
          </cell>
          <cell r="W167">
            <v>-8.7508230790300898E-4</v>
          </cell>
          <cell r="Y167">
            <v>2.3475193892851398</v>
          </cell>
          <cell r="Z167">
            <v>2.3517060200487698</v>
          </cell>
          <cell r="AA167">
            <v>2.3513336978186699</v>
          </cell>
          <cell r="AF167">
            <v>-8.3677232752535596E-4</v>
          </cell>
          <cell r="AG167">
            <v>-8.7508230790300898E-4</v>
          </cell>
          <cell r="AR167">
            <v>1.4831058879850968E-2</v>
          </cell>
          <cell r="BC167">
            <v>9.1774606218760092E-3</v>
          </cell>
          <cell r="BF167">
            <v>2.4008519501726982E-2</v>
          </cell>
        </row>
        <row r="168">
          <cell r="O168">
            <v>2.3475193892851398</v>
          </cell>
          <cell r="P168">
            <v>2.352169691276</v>
          </cell>
          <cell r="Q168">
            <v>2.35139307134884</v>
          </cell>
          <cell r="U168">
            <v>-2.9893756559201401E-3</v>
          </cell>
          <cell r="V168">
            <v>-1.2075365200456001E-3</v>
          </cell>
          <cell r="W168">
            <v>-1.36586911054501E-3</v>
          </cell>
          <cell r="Y168">
            <v>2.3475193892851398</v>
          </cell>
          <cell r="Z168">
            <v>2.352169691276</v>
          </cell>
          <cell r="AA168">
            <v>2.35139307134884</v>
          </cell>
          <cell r="AF168">
            <v>-1.2075365200456001E-3</v>
          </cell>
          <cell r="AG168">
            <v>-1.36586911054501E-3</v>
          </cell>
          <cell r="AR168">
            <v>1.4831058879850968E-2</v>
          </cell>
          <cell r="BC168">
            <v>9.1774606218760092E-3</v>
          </cell>
          <cell r="BF168">
            <v>2.4008519501726982E-2</v>
          </cell>
        </row>
        <row r="169">
          <cell r="O169">
            <v>2.3475193892851398</v>
          </cell>
          <cell r="P169">
            <v>2.3522720757734601</v>
          </cell>
          <cell r="Q169">
            <v>2.3514193693819001</v>
          </cell>
          <cell r="U169">
            <v>-2.3859399334020702E-3</v>
          </cell>
          <cell r="V169">
            <v>-4.0695646073546002E-4</v>
          </cell>
          <cell r="W169">
            <v>-7.37182705569761E-4</v>
          </cell>
          <cell r="Y169">
            <v>2.3475193892851398</v>
          </cell>
          <cell r="Z169">
            <v>2.3522720757734601</v>
          </cell>
          <cell r="AA169">
            <v>2.3514193693819001</v>
          </cell>
          <cell r="AF169">
            <v>-4.0695646073546002E-4</v>
          </cell>
          <cell r="AG169">
            <v>-7.37182705569761E-4</v>
          </cell>
          <cell r="AR169">
            <v>1.5434494602369085E-2</v>
          </cell>
          <cell r="BC169">
            <v>9.1774606218760092E-3</v>
          </cell>
          <cell r="BF169">
            <v>2.46119552242451E-2</v>
          </cell>
        </row>
        <row r="170">
          <cell r="O170">
            <v>2.3475193892851398</v>
          </cell>
          <cell r="P170">
            <v>2.3526654987751798</v>
          </cell>
          <cell r="Q170">
            <v>2.3514830749212798</v>
          </cell>
          <cell r="U170">
            <v>-2.0806996906609799E-3</v>
          </cell>
          <cell r="V170">
            <v>-5.8189481967759703E-5</v>
          </cell>
          <cell r="W170">
            <v>-4.2075850284925499E-4</v>
          </cell>
          <cell r="Y170">
            <v>2.3475193892851398</v>
          </cell>
          <cell r="Z170">
            <v>2.3526654987751798</v>
          </cell>
          <cell r="AA170">
            <v>2.3514830749212798</v>
          </cell>
          <cell r="AF170">
            <v>-5.8189481967759703E-5</v>
          </cell>
          <cell r="AG170">
            <v>-4.2075850284925499E-4</v>
          </cell>
          <cell r="AR170">
            <v>1.5739734845110057E-2</v>
          </cell>
          <cell r="BC170">
            <v>9.1774606218760092E-3</v>
          </cell>
          <cell r="BF170">
            <v>2.4917195466986071E-2</v>
          </cell>
        </row>
        <row r="171">
          <cell r="O171">
            <v>2.3475193892851398</v>
          </cell>
          <cell r="P171">
            <v>2.3531539342846899</v>
          </cell>
          <cell r="Q171">
            <v>2.3515564732124701</v>
          </cell>
          <cell r="U171">
            <v>-2.14295204094398E-3</v>
          </cell>
          <cell r="V171">
            <v>4.6796519547997002E-5</v>
          </cell>
          <cell r="W171">
            <v>-4.5591884340611099E-4</v>
          </cell>
          <cell r="Y171">
            <v>2.3475193892851398</v>
          </cell>
          <cell r="Z171">
            <v>2.3531539342846899</v>
          </cell>
          <cell r="AA171">
            <v>2.3515564732124701</v>
          </cell>
          <cell r="AF171">
            <v>4.6796519547997002E-5</v>
          </cell>
          <cell r="AG171">
            <v>-4.5591884340611099E-4</v>
          </cell>
          <cell r="AR171">
            <v>1.5677482494827207E-2</v>
          </cell>
          <cell r="BC171">
            <v>9.1774606218760092E-3</v>
          </cell>
          <cell r="BF171">
            <v>2.4854943116703221E-2</v>
          </cell>
        </row>
        <row r="172">
          <cell r="O172">
            <v>2.3475193892851398</v>
          </cell>
          <cell r="P172">
            <v>2.3531470951529601</v>
          </cell>
          <cell r="Q172">
            <v>2.3515604404358301</v>
          </cell>
          <cell r="U172">
            <v>-1.3686252784280901E-3</v>
          </cell>
          <cell r="V172">
            <v>1.02871114989855E-3</v>
          </cell>
          <cell r="W172">
            <v>3.4962104859847701E-4</v>
          </cell>
          <cell r="Y172">
            <v>2.3475193892851398</v>
          </cell>
          <cell r="Z172">
            <v>2.3531470951529601</v>
          </cell>
          <cell r="AA172">
            <v>2.3515604404358301</v>
          </cell>
          <cell r="AF172">
            <v>1.02871114989855E-3</v>
          </cell>
          <cell r="AG172">
            <v>3.4962104859847701E-4</v>
          </cell>
          <cell r="AR172">
            <v>1.6451809257342995E-2</v>
          </cell>
          <cell r="BC172">
            <v>9.1774606218760092E-3</v>
          </cell>
          <cell r="BF172">
            <v>2.562926987921901E-2</v>
          </cell>
        </row>
        <row r="173">
          <cell r="O173">
            <v>2.3475193892851398</v>
          </cell>
          <cell r="P173">
            <v>2.35281332236258</v>
          </cell>
          <cell r="Q173">
            <v>2.35152735032089</v>
          </cell>
          <cell r="U173">
            <v>-9.2085385078950201E-4</v>
          </cell>
          <cell r="V173">
            <v>1.47357620512936E-3</v>
          </cell>
          <cell r="W173">
            <v>7.9907953757543096E-4</v>
          </cell>
          <cell r="Y173">
            <v>2.3475193892851398</v>
          </cell>
          <cell r="Z173">
            <v>2.35281332236258</v>
          </cell>
          <cell r="AA173">
            <v>2.35152735032089</v>
          </cell>
          <cell r="AF173">
            <v>1.47357620512936E-3</v>
          </cell>
          <cell r="AG173">
            <v>7.9907953757543096E-4</v>
          </cell>
          <cell r="AR173">
            <v>1.6451809257342995E-2</v>
          </cell>
          <cell r="BC173">
            <v>9.1774606218760092E-3</v>
          </cell>
          <cell r="BF173">
            <v>2.562926987921901E-2</v>
          </cell>
        </row>
        <row r="174">
          <cell r="O174">
            <v>2.3475193892851398</v>
          </cell>
          <cell r="P174">
            <v>2.3525986932417</v>
          </cell>
          <cell r="Q174">
            <v>2.3515371031595702</v>
          </cell>
          <cell r="U174">
            <v>-1.7573168924416901E-3</v>
          </cell>
          <cell r="V174">
            <v>4.9526208045492202E-4</v>
          </cell>
          <cell r="W174">
            <v>-5.1455159302090197E-5</v>
          </cell>
          <cell r="Y174">
            <v>2.3475193892851398</v>
          </cell>
          <cell r="Z174">
            <v>2.3525986932417</v>
          </cell>
          <cell r="AA174">
            <v>2.3515371031595702</v>
          </cell>
          <cell r="AF174">
            <v>4.9526208045492202E-4</v>
          </cell>
          <cell r="AG174">
            <v>-5.1455159302090197E-5</v>
          </cell>
          <cell r="AR174">
            <v>1.6451809257342995E-2</v>
          </cell>
          <cell r="BC174">
            <v>9.1774606218760092E-3</v>
          </cell>
          <cell r="BF174">
            <v>2.562926987921901E-2</v>
          </cell>
        </row>
        <row r="175">
          <cell r="O175">
            <v>2.3475193892851398</v>
          </cell>
          <cell r="P175">
            <v>2.3527972570309599</v>
          </cell>
          <cell r="Q175">
            <v>2.35177429430416</v>
          </cell>
          <cell r="U175">
            <v>-3.6134406864178101E-3</v>
          </cell>
          <cell r="V175">
            <v>-1.45208820774389E-3</v>
          </cell>
          <cell r="W175">
            <v>-1.9034315133348799E-3</v>
          </cell>
          <cell r="Y175">
            <v>2.3475193892851398</v>
          </cell>
          <cell r="Z175">
            <v>2.3527972570309599</v>
          </cell>
          <cell r="AA175">
            <v>2.35177429430416</v>
          </cell>
          <cell r="AF175">
            <v>-1.45208820774389E-3</v>
          </cell>
          <cell r="AG175">
            <v>-1.9034315133348799E-3</v>
          </cell>
          <cell r="AR175">
            <v>1.6451809257342995E-2</v>
          </cell>
          <cell r="BC175">
            <v>9.1774606218760092E-3</v>
          </cell>
          <cell r="BF175">
            <v>2.562926987921901E-2</v>
          </cell>
        </row>
        <row r="176">
          <cell r="O176">
            <v>2.3475193892851398</v>
          </cell>
          <cell r="P176">
            <v>2.3530319007455001</v>
          </cell>
          <cell r="Q176">
            <v>2.3521999182745801</v>
          </cell>
          <cell r="U176">
            <v>-3.7170298035667701E-3</v>
          </cell>
          <cell r="V176">
            <v>-1.4712789909496599E-3</v>
          </cell>
          <cell r="W176">
            <v>-1.90615929057053E-3</v>
          </cell>
          <cell r="Y176">
            <v>2.3475193892851398</v>
          </cell>
          <cell r="Z176">
            <v>2.3530319007455001</v>
          </cell>
          <cell r="AA176">
            <v>2.3521999182745801</v>
          </cell>
          <cell r="AF176">
            <v>-1.4712789909496599E-3</v>
          </cell>
          <cell r="AG176">
            <v>-1.90615929057053E-3</v>
          </cell>
          <cell r="AR176">
            <v>1.6348220140194006E-2</v>
          </cell>
          <cell r="BC176">
            <v>9.1774606218760092E-3</v>
          </cell>
          <cell r="BF176">
            <v>2.552568076207002E-2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A527-216A-49B0-A5D3-3569AE8D74C4}">
  <dimension ref="A1:DZ188"/>
  <sheetViews>
    <sheetView tabSelected="1" topLeftCell="AG1" workbookViewId="0">
      <pane ySplit="1" topLeftCell="A165" activePane="bottomLeft" state="frozen"/>
      <selection activeCell="AD1" sqref="AD1"/>
      <selection pane="bottomLeft" activeCell="AG183" sqref="AG183"/>
    </sheetView>
  </sheetViews>
  <sheetFormatPr defaultRowHeight="14.4" x14ac:dyDescent="0.3"/>
  <cols>
    <col min="1" max="1" width="9.44140625" bestFit="1" customWidth="1"/>
    <col min="2" max="3" width="11" style="33" bestFit="1" customWidth="1"/>
    <col min="4" max="4" width="11.33203125" style="15" bestFit="1" customWidth="1"/>
    <col min="5" max="5" width="12" style="15" bestFit="1" customWidth="1"/>
    <col min="6" max="6" width="9.6640625" style="33" bestFit="1" customWidth="1"/>
    <col min="7" max="7" width="18.109375" style="33" bestFit="1" customWidth="1"/>
    <col min="8" max="8" width="10.44140625" style="33" bestFit="1" customWidth="1"/>
    <col min="9" max="9" width="18.88671875" style="33" bestFit="1" customWidth="1"/>
    <col min="10" max="10" width="20.6640625" style="33" bestFit="1" customWidth="1"/>
    <col min="11" max="11" width="21.5546875" style="33" bestFit="1" customWidth="1"/>
    <col min="12" max="13" width="11" style="33" bestFit="1" customWidth="1"/>
    <col min="14" max="14" width="12.109375" style="34" bestFit="1" customWidth="1"/>
    <col min="15" max="15" width="15.6640625" style="34" bestFit="1" customWidth="1"/>
    <col min="16" max="17" width="19.109375" style="34" bestFit="1" customWidth="1"/>
    <col min="18" max="18" width="11.44140625" style="33" bestFit="1" customWidth="1"/>
    <col min="19" max="20" width="14.88671875" style="33" bestFit="1" customWidth="1"/>
    <col min="21" max="21" width="23.5546875" style="15" bestFit="1" customWidth="1"/>
    <col min="22" max="23" width="27" style="15" bestFit="1" customWidth="1"/>
    <col min="24" max="24" width="14.33203125" style="34" bestFit="1" customWidth="1"/>
    <col min="25" max="25" width="17.88671875" style="34" bestFit="1" customWidth="1"/>
    <col min="26" max="27" width="21.109375" style="34" bestFit="1" customWidth="1"/>
    <col min="28" max="28" width="12.44140625" style="33" bestFit="1" customWidth="1"/>
    <col min="29" max="30" width="15.88671875" style="33" bestFit="1" customWidth="1"/>
    <col min="31" max="31" width="25.6640625" style="15" bestFit="1" customWidth="1"/>
    <col min="32" max="33" width="29" style="15" bestFit="1" customWidth="1"/>
    <col min="34" max="34" width="1.6640625" style="9" customWidth="1"/>
    <col min="35" max="35" width="7.6640625" style="15" bestFit="1" customWidth="1"/>
    <col min="36" max="36" width="6.6640625" style="15" bestFit="1" customWidth="1"/>
    <col min="37" max="38" width="6.88671875" style="15" bestFit="1" customWidth="1"/>
    <col min="39" max="39" width="7.88671875" style="15" bestFit="1" customWidth="1"/>
    <col min="40" max="40" width="8.44140625" style="15" bestFit="1" customWidth="1"/>
    <col min="41" max="41" width="11.33203125" style="15" bestFit="1" customWidth="1"/>
    <col min="42" max="42" width="12" style="15" bestFit="1" customWidth="1"/>
    <col min="43" max="43" width="12.6640625" style="15" bestFit="1" customWidth="1"/>
    <col min="44" max="44" width="8.6640625" style="15" bestFit="1" customWidth="1"/>
    <col min="45" max="45" width="1.6640625" style="9" customWidth="1"/>
    <col min="46" max="46" width="7.6640625" style="15" bestFit="1" customWidth="1"/>
    <col min="47" max="47" width="6.109375" style="15" bestFit="1" customWidth="1"/>
    <col min="48" max="48" width="8.109375" style="15" bestFit="1" customWidth="1"/>
    <col min="49" max="49" width="6.109375" style="15" bestFit="1" customWidth="1"/>
    <col min="50" max="50" width="7.88671875" style="15" bestFit="1" customWidth="1"/>
    <col min="51" max="51" width="8.44140625" style="15" bestFit="1" customWidth="1"/>
    <col min="52" max="52" width="11.33203125" style="15" bestFit="1" customWidth="1"/>
    <col min="53" max="54" width="12" style="15" bestFit="1" customWidth="1"/>
    <col min="55" max="55" width="8.6640625" style="15" bestFit="1" customWidth="1"/>
    <col min="56" max="56" width="1.6640625" style="9" customWidth="1"/>
    <col min="57" max="57" width="12.6640625" bestFit="1" customWidth="1"/>
    <col min="58" max="58" width="8.6640625" bestFit="1" customWidth="1"/>
    <col min="59" max="59" width="1.6640625" style="9" customWidth="1"/>
    <col min="60" max="60" width="6.88671875" customWidth="1"/>
    <col min="61" max="61" width="8.6640625" bestFit="1" customWidth="1"/>
    <col min="78" max="78" width="7.33203125" style="12" bestFit="1" customWidth="1"/>
    <col min="79" max="79" width="6.6640625" style="12" bestFit="1" customWidth="1"/>
    <col min="80" max="80" width="5.6640625" bestFit="1" customWidth="1"/>
    <col min="81" max="81" width="4.5546875" bestFit="1" customWidth="1"/>
    <col min="82" max="82" width="4.88671875" bestFit="1" customWidth="1"/>
    <col min="83" max="83" width="7.33203125" bestFit="1" customWidth="1"/>
    <col min="84" max="84" width="7.6640625" bestFit="1" customWidth="1"/>
    <col min="85" max="85" width="10.6640625" bestFit="1" customWidth="1"/>
    <col min="86" max="86" width="9.33203125" bestFit="1" customWidth="1"/>
    <col min="87" max="87" width="6.6640625" bestFit="1" customWidth="1"/>
    <col min="88" max="88" width="7.44140625" bestFit="1" customWidth="1"/>
    <col min="90" max="90" width="7.33203125" style="12" bestFit="1" customWidth="1"/>
    <col min="91" max="91" width="6.109375" style="12" bestFit="1" customWidth="1"/>
    <col min="92" max="92" width="4.5546875" bestFit="1" customWidth="1"/>
    <col min="93" max="93" width="5.6640625" bestFit="1" customWidth="1"/>
    <col min="94" max="94" width="4.88671875" bestFit="1" customWidth="1"/>
    <col min="95" max="95" width="7.33203125" bestFit="1" customWidth="1"/>
    <col min="96" max="96" width="7.6640625" bestFit="1" customWidth="1"/>
    <col min="97" max="97" width="10.6640625" bestFit="1" customWidth="1"/>
    <col min="98" max="98" width="9.33203125" bestFit="1" customWidth="1"/>
    <col min="99" max="99" width="6.6640625" bestFit="1" customWidth="1"/>
    <col min="100" max="100" width="7.44140625" bestFit="1" customWidth="1"/>
    <col min="102" max="102" width="6.6640625" bestFit="1" customWidth="1"/>
    <col min="103" max="103" width="7.44140625" bestFit="1" customWidth="1"/>
    <col min="116" max="116" width="7.5546875" bestFit="1" customWidth="1"/>
    <col min="117" max="124" width="7.44140625" bestFit="1" customWidth="1"/>
    <col min="125" max="125" width="5.44140625" bestFit="1" customWidth="1"/>
    <col min="126" max="126" width="4.33203125" bestFit="1" customWidth="1"/>
    <col min="127" max="127" width="5.88671875" bestFit="1" customWidth="1"/>
  </cols>
  <sheetData>
    <row r="1" spans="1:130" s="7" customFormat="1" x14ac:dyDescent="0.3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2.1858122113545111</v>
      </c>
      <c r="AJ1" s="4">
        <v>0</v>
      </c>
      <c r="AK1" s="4">
        <f t="shared" ref="AK1:AQ1" si="0">AJ1-$AK12</f>
        <v>-5.0000000000000001E-4</v>
      </c>
      <c r="AL1" s="4">
        <f t="shared" si="0"/>
        <v>-1E-3</v>
      </c>
      <c r="AM1" s="4">
        <f t="shared" si="0"/>
        <v>-1.5E-3</v>
      </c>
      <c r="AN1" s="4">
        <f t="shared" si="0"/>
        <v>-2E-3</v>
      </c>
      <c r="AO1" s="4">
        <f t="shared" si="0"/>
        <v>-2.5000000000000001E-3</v>
      </c>
      <c r="AP1" s="4">
        <f t="shared" si="0"/>
        <v>-3.0000000000000001E-3</v>
      </c>
      <c r="AQ1" s="4">
        <f t="shared" si="0"/>
        <v>-3.5000000000000001E-3</v>
      </c>
      <c r="AR1" s="5" t="s">
        <v>33</v>
      </c>
      <c r="AS1" s="2"/>
      <c r="AT1" s="3">
        <f>BB16</f>
        <v>2.0322150827766778</v>
      </c>
      <c r="AU1" s="4">
        <v>0</v>
      </c>
      <c r="AV1" s="6">
        <f>AU1+$AV12</f>
        <v>5.0000000000000001E-4</v>
      </c>
      <c r="AW1" s="6">
        <f t="shared" ref="AW1:BB1" si="1">AV1+$AV12</f>
        <v>1E-3</v>
      </c>
      <c r="AX1" s="6">
        <f t="shared" si="1"/>
        <v>1.5E-3</v>
      </c>
      <c r="AY1" s="6">
        <f t="shared" si="1"/>
        <v>2E-3</v>
      </c>
      <c r="AZ1" s="6">
        <f t="shared" si="1"/>
        <v>2.5000000000000001E-3</v>
      </c>
      <c r="BA1" s="6">
        <f t="shared" si="1"/>
        <v>3.0000000000000001E-3</v>
      </c>
      <c r="BB1" s="6">
        <f t="shared" si="1"/>
        <v>3.5000000000000001E-3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3">
      <c r="A2" s="1">
        <v>46024</v>
      </c>
      <c r="B2" s="33">
        <v>45.65</v>
      </c>
      <c r="C2" s="33">
        <v>48.55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45.65</v>
      </c>
      <c r="M2" s="33">
        <v>48.55</v>
      </c>
      <c r="N2" s="34">
        <v>1.0635268346111699</v>
      </c>
      <c r="O2" s="34">
        <v>1.05905106792887</v>
      </c>
      <c r="X2" s="34">
        <v>1.0635268346111699</v>
      </c>
      <c r="Y2" s="34">
        <v>1.0594170994200001</v>
      </c>
      <c r="AI2" s="4">
        <v>0</v>
      </c>
      <c r="AJ2" s="10">
        <f t="dataTable" ref="AJ2:AQ9" dt2D="1" dtr="1" r1="AI21" r2="AI22"/>
        <v>2.0557325181506738</v>
      </c>
      <c r="AK2" s="10">
        <v>2.0354849681547678</v>
      </c>
      <c r="AL2" s="10">
        <v>1.4869143602606731</v>
      </c>
      <c r="AM2" s="10">
        <v>1.6632991226702258</v>
      </c>
      <c r="AN2" s="10">
        <v>1.4760045487328937</v>
      </c>
      <c r="AO2" s="10">
        <v>1.3255395209156242</v>
      </c>
      <c r="AP2" s="10">
        <v>0.94710142964255628</v>
      </c>
      <c r="AQ2" s="10">
        <v>1.3389886801607993</v>
      </c>
      <c r="AR2"/>
      <c r="AT2" s="4">
        <v>0</v>
      </c>
      <c r="AU2" s="10">
        <f t="dataTable" ref="AU2:BB9" dt2D="1" dtr="1" r1="AT21" r2="AT22"/>
        <v>0.56068074485623565</v>
      </c>
      <c r="AV2" s="11">
        <v>0.1311782481405139</v>
      </c>
      <c r="AW2" s="11">
        <v>0.1813407512473087</v>
      </c>
      <c r="AX2" s="11">
        <v>0.58539617358291574</v>
      </c>
      <c r="AY2" s="11">
        <v>0.37074126735172042</v>
      </c>
      <c r="AZ2" s="11">
        <v>0.52375875209600009</v>
      </c>
      <c r="BA2" s="11">
        <v>0.60488307332078461</v>
      </c>
      <c r="BB2" s="11">
        <v>1.0169022983152163</v>
      </c>
      <c r="BC2"/>
    </row>
    <row r="3" spans="1:130" x14ac:dyDescent="0.3">
      <c r="A3" s="1">
        <v>46027</v>
      </c>
      <c r="B3" s="33">
        <v>46.89</v>
      </c>
      <c r="C3" s="33">
        <v>49.73</v>
      </c>
      <c r="D3" s="15">
        <v>2.68008260605174E-2</v>
      </c>
      <c r="E3" s="15">
        <v>2.4014177989313198E-2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46.89</v>
      </c>
      <c r="M3" s="33">
        <v>49.73</v>
      </c>
      <c r="N3" s="34">
        <v>1.06056728513542</v>
      </c>
      <c r="O3" s="34">
        <v>1.05905106792887</v>
      </c>
      <c r="R3" s="33">
        <v>49.658904575185097</v>
      </c>
      <c r="U3" s="15">
        <v>-1.43065138397508E-3</v>
      </c>
      <c r="X3" s="34">
        <v>1.06056728513542</v>
      </c>
      <c r="Y3" s="34">
        <v>1.0594170994200001</v>
      </c>
      <c r="AB3" s="33">
        <v>49.676067791804101</v>
      </c>
      <c r="AE3" s="15">
        <v>-1.0850889625886001E-3</v>
      </c>
      <c r="AI3" s="4">
        <f t="shared" ref="AI3:AI9" si="2">AI2-AK$12</f>
        <v>-5.0000000000000001E-4</v>
      </c>
      <c r="AJ3" s="10">
        <v>2.0557325181506738</v>
      </c>
      <c r="AK3" s="10">
        <v>2.9912737495468997</v>
      </c>
      <c r="AL3" s="10">
        <v>2.607315573333898</v>
      </c>
      <c r="AM3" s="10">
        <v>2.3318435192183458</v>
      </c>
      <c r="AN3" s="10">
        <v>2.1858122113545111</v>
      </c>
      <c r="AO3" s="11">
        <v>1.3203136479418713</v>
      </c>
      <c r="AP3" s="10">
        <v>0.93170559198731384</v>
      </c>
      <c r="AQ3" s="10">
        <v>1.3389886801607993</v>
      </c>
      <c r="AR3"/>
      <c r="AT3" s="4">
        <f>AT2+AV$12</f>
        <v>5.0000000000000001E-4</v>
      </c>
      <c r="AU3" s="10">
        <v>0.56068074485623565</v>
      </c>
      <c r="AV3" s="11">
        <v>-2.2619445124734888E-2</v>
      </c>
      <c r="AW3" s="11">
        <v>-9.7346868843663364E-2</v>
      </c>
      <c r="AX3" s="11">
        <v>-2.327570189496227E-2</v>
      </c>
      <c r="AY3" s="11">
        <v>-2.1297610932154679E-3</v>
      </c>
      <c r="AZ3" s="11">
        <v>0.13518625158744366</v>
      </c>
      <c r="BA3" s="11">
        <v>0.42091286432369057</v>
      </c>
      <c r="BB3" s="11">
        <v>0.88749528803623778</v>
      </c>
      <c r="BC3"/>
    </row>
    <row r="4" spans="1:130" x14ac:dyDescent="0.3">
      <c r="A4" s="1">
        <v>46028</v>
      </c>
      <c r="B4" s="33">
        <v>45.64</v>
      </c>
      <c r="C4" s="33">
        <v>48.44</v>
      </c>
      <c r="D4" s="15">
        <v>-2.7019908107619998E-2</v>
      </c>
      <c r="E4" s="15">
        <v>-2.6282454041755599E-2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45.64</v>
      </c>
      <c r="M4" s="33">
        <v>48.44</v>
      </c>
      <c r="N4" s="34">
        <v>1.0613496932515301</v>
      </c>
      <c r="O4" s="34">
        <v>1.05905106792887</v>
      </c>
      <c r="R4" s="33">
        <v>48.335090740273998</v>
      </c>
      <c r="U4" s="15">
        <v>-2.1681054498393399E-3</v>
      </c>
      <c r="X4" s="34">
        <v>1.0613496932515301</v>
      </c>
      <c r="Y4" s="34">
        <v>1.0594170994200001</v>
      </c>
      <c r="AB4" s="33">
        <v>48.351796417529101</v>
      </c>
      <c r="AE4" s="15">
        <v>-1.82254302845291E-3</v>
      </c>
      <c r="AG4"/>
      <c r="AI4" s="4">
        <f t="shared" si="2"/>
        <v>-1E-3</v>
      </c>
      <c r="AJ4" s="10">
        <v>2.0557325181506738</v>
      </c>
      <c r="AK4" s="11">
        <v>2.9912737495468997</v>
      </c>
      <c r="AL4" s="11">
        <v>2.3376694119255124</v>
      </c>
      <c r="AM4" s="11">
        <v>1.5959949461285516</v>
      </c>
      <c r="AN4" s="10">
        <v>1.7542572264670442</v>
      </c>
      <c r="AO4" s="11">
        <v>1.1441823385179859</v>
      </c>
      <c r="AP4" s="11">
        <v>0.70045320656825205</v>
      </c>
      <c r="AQ4" s="11">
        <v>1.099537624924471</v>
      </c>
      <c r="AR4"/>
      <c r="AT4" s="4">
        <f t="shared" ref="AT4:AT9" si="3">AT3+AV$12</f>
        <v>1E-3</v>
      </c>
      <c r="AU4" s="10">
        <v>0.56068074485623565</v>
      </c>
      <c r="AV4" s="11">
        <v>-2.2619445124734888E-2</v>
      </c>
      <c r="AW4" s="11">
        <v>0.2322158528692633</v>
      </c>
      <c r="AX4" s="11">
        <v>-0.2400344579261387</v>
      </c>
      <c r="AY4" s="11">
        <v>-0.18412442419459385</v>
      </c>
      <c r="AZ4" s="11">
        <v>0.13518625158744366</v>
      </c>
      <c r="BA4" s="11">
        <v>0.42091286432369057</v>
      </c>
      <c r="BB4" s="11">
        <v>0.88749528803623778</v>
      </c>
      <c r="BC4"/>
      <c r="BE4" s="8"/>
      <c r="BF4" s="8"/>
    </row>
    <row r="5" spans="1:130" x14ac:dyDescent="0.3">
      <c r="A5" s="1">
        <v>46029</v>
      </c>
      <c r="B5" s="33">
        <v>45.13</v>
      </c>
      <c r="C5" s="33">
        <v>47.87</v>
      </c>
      <c r="D5" s="15">
        <v>-1.12373111549649E-2</v>
      </c>
      <c r="E5" s="15">
        <v>-1.18369152804738E-2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45.13</v>
      </c>
      <c r="M5" s="33">
        <v>47.87</v>
      </c>
      <c r="N5" s="34">
        <v>1.0607134943496499</v>
      </c>
      <c r="O5" s="34">
        <v>1.05905106792887</v>
      </c>
      <c r="R5" s="33">
        <v>47.794974695630302</v>
      </c>
      <c r="U5" s="15">
        <v>-1.56850132433061E-3</v>
      </c>
      <c r="X5" s="34">
        <v>1.0607134943496499</v>
      </c>
      <c r="Y5" s="34">
        <v>1.0594170994200001</v>
      </c>
      <c r="AB5" s="33">
        <v>47.811493696824897</v>
      </c>
      <c r="AE5" s="15">
        <v>-1.2229389029441799E-3</v>
      </c>
      <c r="AG5" s="29"/>
      <c r="AI5" s="4">
        <f t="shared" si="2"/>
        <v>-1.5E-3</v>
      </c>
      <c r="AJ5" s="10">
        <v>2.0557325181506738</v>
      </c>
      <c r="AK5" s="11">
        <v>2.9912737495468997</v>
      </c>
      <c r="AL5" s="11">
        <v>2.3376694119255124</v>
      </c>
      <c r="AM5" s="11">
        <v>1.810592749790348</v>
      </c>
      <c r="AN5" s="11">
        <v>2.8253283298291021</v>
      </c>
      <c r="AO5" s="11">
        <v>2.1417937949323314</v>
      </c>
      <c r="AP5" s="10">
        <v>2.0930127592518977</v>
      </c>
      <c r="AQ5" s="11">
        <v>1.099537624924471</v>
      </c>
      <c r="AR5"/>
      <c r="AT5" s="4">
        <f t="shared" si="3"/>
        <v>1.5E-3</v>
      </c>
      <c r="AU5" s="10">
        <v>0.56068074485623565</v>
      </c>
      <c r="AV5" s="11">
        <v>-2.2619445124734888E-2</v>
      </c>
      <c r="AW5" s="11">
        <v>0.2322158528692633</v>
      </c>
      <c r="AX5" s="11">
        <v>-9.78626520104805E-2</v>
      </c>
      <c r="AY5" s="11">
        <v>0.39583292746343585</v>
      </c>
      <c r="AZ5" s="11">
        <v>0.63162629851010388</v>
      </c>
      <c r="BA5" s="11">
        <v>1.1920505930607082</v>
      </c>
      <c r="BB5" s="11">
        <v>1.4223021637867617</v>
      </c>
      <c r="BC5"/>
    </row>
    <row r="6" spans="1:130" x14ac:dyDescent="0.3">
      <c r="A6" s="1">
        <v>46030</v>
      </c>
      <c r="B6" s="33">
        <v>46.55</v>
      </c>
      <c r="C6" s="33">
        <v>49.29</v>
      </c>
      <c r="D6" s="15">
        <v>3.0979789884166001E-2</v>
      </c>
      <c r="E6" s="15">
        <v>2.9232217312868701E-2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46.55</v>
      </c>
      <c r="M6" s="33">
        <v>49.29</v>
      </c>
      <c r="N6" s="34">
        <v>1.0588614393125599</v>
      </c>
      <c r="O6" s="34">
        <v>1.05905106792887</v>
      </c>
      <c r="R6" s="33">
        <v>49.2988272120893</v>
      </c>
      <c r="U6" s="15">
        <v>1.7907124696672601E-4</v>
      </c>
      <c r="X6" s="34">
        <v>1.0588614393125599</v>
      </c>
      <c r="Y6" s="34">
        <v>1.0594170994200001</v>
      </c>
      <c r="AB6" s="33">
        <v>49.315865978001298</v>
      </c>
      <c r="AE6" s="15">
        <v>5.2463366835327002E-4</v>
      </c>
      <c r="AG6" s="29"/>
      <c r="AI6" s="4">
        <f t="shared" si="2"/>
        <v>-2E-3</v>
      </c>
      <c r="AJ6" s="10">
        <v>2.0557325181506738</v>
      </c>
      <c r="AK6" s="11">
        <v>2.9912737495468997</v>
      </c>
      <c r="AL6" s="11">
        <v>2.3376694119255124</v>
      </c>
      <c r="AM6" s="11">
        <v>1.810592749790348</v>
      </c>
      <c r="AN6" s="11">
        <v>3.0029196990501679</v>
      </c>
      <c r="AO6" s="11">
        <v>2.2331623114918284</v>
      </c>
      <c r="AP6" s="11">
        <v>2.0930127592518977</v>
      </c>
      <c r="AQ6" s="11">
        <v>1.099537624924471</v>
      </c>
      <c r="AR6"/>
      <c r="AT6" s="4">
        <f t="shared" si="3"/>
        <v>2E-3</v>
      </c>
      <c r="AU6" s="10">
        <v>0.56068074485623565</v>
      </c>
      <c r="AV6" s="11">
        <v>-2.2619445124734888E-2</v>
      </c>
      <c r="AW6" s="11">
        <v>0.2322158528692633</v>
      </c>
      <c r="AX6" s="11">
        <v>-9.78626520104805E-2</v>
      </c>
      <c r="AY6" s="11">
        <v>0.69042573847429167</v>
      </c>
      <c r="AZ6" s="11">
        <v>1.2718425041075783</v>
      </c>
      <c r="BA6" s="11">
        <v>1.7225218316996576</v>
      </c>
      <c r="BB6" s="11">
        <v>2.0322150827766778</v>
      </c>
      <c r="BC6"/>
    </row>
    <row r="7" spans="1:130" x14ac:dyDescent="0.3">
      <c r="A7" s="1">
        <v>46031</v>
      </c>
      <c r="B7" s="33">
        <v>46.67</v>
      </c>
      <c r="C7" s="33">
        <v>49.39</v>
      </c>
      <c r="D7" s="15">
        <v>2.5745562386483298E-3</v>
      </c>
      <c r="E7" s="15">
        <v>2.0267538352471198E-3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46.67</v>
      </c>
      <c r="M7" s="33">
        <v>49.39</v>
      </c>
      <c r="N7" s="34">
        <v>1.0582815513177599</v>
      </c>
      <c r="O7" s="34">
        <v>1.05905106792887</v>
      </c>
      <c r="R7" s="33">
        <v>49.425913340240797</v>
      </c>
      <c r="U7" s="15">
        <v>7.2687365036800799E-4</v>
      </c>
      <c r="X7" s="34">
        <v>1.0582815513177599</v>
      </c>
      <c r="Y7" s="34">
        <v>1.0594170994200001</v>
      </c>
      <c r="AB7" s="33">
        <v>49.442996029931699</v>
      </c>
      <c r="AE7" s="15">
        <v>1.07243607175437E-3</v>
      </c>
      <c r="AG7"/>
      <c r="AI7" s="4">
        <f t="shared" si="2"/>
        <v>-2.5000000000000001E-3</v>
      </c>
      <c r="AJ7" s="10">
        <v>2.0557325181506738</v>
      </c>
      <c r="AK7" s="11">
        <v>2.9912737495468997</v>
      </c>
      <c r="AL7" s="11">
        <v>2.3376694119255124</v>
      </c>
      <c r="AM7" s="11">
        <v>1.810592749790348</v>
      </c>
      <c r="AN7" s="11">
        <v>3.0029196990501679</v>
      </c>
      <c r="AO7" s="11">
        <v>2.2331623114918284</v>
      </c>
      <c r="AP7" s="11">
        <v>2.0930127592518977</v>
      </c>
      <c r="AQ7" s="11">
        <v>1.099537624924471</v>
      </c>
      <c r="AR7"/>
      <c r="AT7" s="4">
        <f t="shared" si="3"/>
        <v>2.5000000000000001E-3</v>
      </c>
      <c r="AU7" s="10">
        <v>0.56068074485623565</v>
      </c>
      <c r="AV7" s="11">
        <v>-2.2619445124734888E-2</v>
      </c>
      <c r="AW7" s="11">
        <v>0.2322158528692633</v>
      </c>
      <c r="AX7" s="11">
        <v>-9.78626520104805E-2</v>
      </c>
      <c r="AY7" s="11">
        <v>0.69042573847429167</v>
      </c>
      <c r="AZ7" s="11">
        <v>1.5772067450253293</v>
      </c>
      <c r="BA7" s="11">
        <v>1.5717105281241579</v>
      </c>
      <c r="BB7" s="11">
        <v>1.8262695192765501</v>
      </c>
      <c r="BC7"/>
    </row>
    <row r="8" spans="1:130" x14ac:dyDescent="0.3">
      <c r="A8" s="1">
        <v>46034</v>
      </c>
      <c r="B8" s="33">
        <v>46.34</v>
      </c>
      <c r="C8" s="33">
        <v>49.07</v>
      </c>
      <c r="D8" s="15">
        <v>-7.0960409574940897E-3</v>
      </c>
      <c r="E8" s="15">
        <v>-6.5001244507214197E-3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46.34</v>
      </c>
      <c r="M8" s="33">
        <v>49.07</v>
      </c>
      <c r="N8" s="34">
        <v>1.0589123867069401</v>
      </c>
      <c r="O8" s="34">
        <v>1.05905106792887</v>
      </c>
      <c r="R8" s="33">
        <v>49.0764264878242</v>
      </c>
      <c r="U8" s="15">
        <v>1.3095714359534499E-4</v>
      </c>
      <c r="X8" s="34">
        <v>1.0589123867069401</v>
      </c>
      <c r="Y8" s="34">
        <v>1.0594170994200001</v>
      </c>
      <c r="AB8" s="33">
        <v>49.093388387123099</v>
      </c>
      <c r="AE8" s="15">
        <v>4.7651956498178798E-4</v>
      </c>
      <c r="AG8"/>
      <c r="AI8" s="4">
        <f t="shared" si="2"/>
        <v>-3.0000000000000001E-3</v>
      </c>
      <c r="AJ8" s="10">
        <v>2.0557325181506738</v>
      </c>
      <c r="AK8" s="11">
        <v>2.9912737495468997</v>
      </c>
      <c r="AL8" s="11">
        <v>2.3376694119255124</v>
      </c>
      <c r="AM8" s="11">
        <v>1.810592749790348</v>
      </c>
      <c r="AN8" s="11">
        <v>3.0029196990501679</v>
      </c>
      <c r="AO8" s="11">
        <v>2.2331623114918284</v>
      </c>
      <c r="AP8" s="11">
        <v>1.7506773100383493</v>
      </c>
      <c r="AQ8" s="11">
        <v>1.099537624924471</v>
      </c>
      <c r="AR8"/>
      <c r="AT8" s="4">
        <f t="shared" si="3"/>
        <v>3.0000000000000001E-3</v>
      </c>
      <c r="AU8" s="10">
        <v>0.56068074485623565</v>
      </c>
      <c r="AV8" s="11">
        <v>-2.2619445124734888E-2</v>
      </c>
      <c r="AW8" s="11">
        <v>0.2322158528692633</v>
      </c>
      <c r="AX8" s="11">
        <v>-9.78626520104805E-2</v>
      </c>
      <c r="AY8" s="11">
        <v>0.69042573847429167</v>
      </c>
      <c r="AZ8" s="11">
        <v>1.5772067450253293</v>
      </c>
      <c r="BA8" s="11">
        <v>1.5165693242729574</v>
      </c>
      <c r="BB8" s="11">
        <v>1.7468021251170491</v>
      </c>
      <c r="BC8"/>
    </row>
    <row r="9" spans="1:130" x14ac:dyDescent="0.3">
      <c r="A9" s="1">
        <v>46035</v>
      </c>
      <c r="B9" s="33">
        <v>47</v>
      </c>
      <c r="C9" s="33">
        <v>49.77</v>
      </c>
      <c r="D9" s="15">
        <v>1.4142082705828301E-2</v>
      </c>
      <c r="E9" s="15">
        <v>1.41645427686508E-2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47</v>
      </c>
      <c r="M9" s="33">
        <v>49.77</v>
      </c>
      <c r="N9" s="34">
        <v>1.05893617021276</v>
      </c>
      <c r="O9" s="34">
        <v>1.05905106792887</v>
      </c>
      <c r="R9" s="33">
        <v>49.775400192657301</v>
      </c>
      <c r="U9" s="15">
        <v>1.0849708077285E-4</v>
      </c>
      <c r="X9" s="34">
        <v>1.05893617021276</v>
      </c>
      <c r="Y9" s="34">
        <v>1.0594170994200001</v>
      </c>
      <c r="AB9" s="33">
        <v>49.792603672740299</v>
      </c>
      <c r="AE9" s="15">
        <v>4.5405950215920803E-4</v>
      </c>
      <c r="AF9"/>
      <c r="AI9" s="4">
        <f t="shared" si="2"/>
        <v>-3.5000000000000001E-3</v>
      </c>
      <c r="AJ9" s="10">
        <v>2.0557325181506738</v>
      </c>
      <c r="AK9" s="11">
        <v>2.9912737495468997</v>
      </c>
      <c r="AL9" s="11">
        <v>2.3376694119255124</v>
      </c>
      <c r="AM9" s="11">
        <v>1.810592749790348</v>
      </c>
      <c r="AN9" s="11">
        <v>3.0029196990501679</v>
      </c>
      <c r="AO9" s="11">
        <v>2.2331623114918284</v>
      </c>
      <c r="AP9" s="11">
        <v>1.7506773100383493</v>
      </c>
      <c r="AQ9" s="11">
        <v>0.16018163885367928</v>
      </c>
      <c r="AR9"/>
      <c r="AT9" s="4">
        <f t="shared" si="3"/>
        <v>3.5000000000000001E-3</v>
      </c>
      <c r="AU9" s="10">
        <v>0.56068074485623565</v>
      </c>
      <c r="AV9" s="10">
        <v>-2.2619445124734888E-2</v>
      </c>
      <c r="AW9" s="10">
        <v>0.2322158528692633</v>
      </c>
      <c r="AX9" s="10">
        <v>-9.78626520104805E-2</v>
      </c>
      <c r="AY9" s="10">
        <v>0.69042573847429167</v>
      </c>
      <c r="AZ9" s="10">
        <v>1.5772067450253293</v>
      </c>
      <c r="BA9" s="10">
        <v>1.5165693242729574</v>
      </c>
      <c r="BB9" s="10">
        <v>1.7013653125570467</v>
      </c>
      <c r="BC9"/>
    </row>
    <row r="10" spans="1:130" x14ac:dyDescent="0.3">
      <c r="A10" s="1">
        <v>46036</v>
      </c>
      <c r="B10" s="33">
        <v>48.06</v>
      </c>
      <c r="C10" s="33">
        <v>50.84</v>
      </c>
      <c r="D10" s="15">
        <v>2.2302628598264301E-2</v>
      </c>
      <c r="E10" s="15">
        <v>2.12710534507904E-2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48.06</v>
      </c>
      <c r="M10" s="33">
        <v>50.84</v>
      </c>
      <c r="N10" s="34">
        <v>1.05784436121514</v>
      </c>
      <c r="O10" s="34">
        <v>1.05905106792887</v>
      </c>
      <c r="R10" s="33">
        <v>50.897994324661902</v>
      </c>
      <c r="U10" s="15">
        <v>1.1400722282467999E-3</v>
      </c>
      <c r="X10" s="34">
        <v>1.05784436121514</v>
      </c>
      <c r="Y10" s="34">
        <v>1.0594170994200001</v>
      </c>
      <c r="AB10" s="33">
        <v>50.915585798125498</v>
      </c>
      <c r="AE10" s="15">
        <v>1.4856346496330199E-3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3">
      <c r="A11" s="1">
        <v>46037</v>
      </c>
      <c r="B11" s="33">
        <v>47.61</v>
      </c>
      <c r="C11" s="33">
        <v>50.43</v>
      </c>
      <c r="D11" s="15">
        <v>-9.4074071018954795E-3</v>
      </c>
      <c r="E11" s="15">
        <v>-8.0972102326194693E-3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47.61</v>
      </c>
      <c r="M11" s="33">
        <v>50.43</v>
      </c>
      <c r="N11" s="34">
        <v>1.05923125393824</v>
      </c>
      <c r="O11" s="34">
        <v>1.05905106792887</v>
      </c>
      <c r="P11" s="34">
        <v>1.0598224470051201</v>
      </c>
      <c r="R11" s="33">
        <v>50.421421344093901</v>
      </c>
      <c r="U11" s="15">
        <v>-1.7012464102941199E-4</v>
      </c>
      <c r="X11" s="34">
        <v>1.05923125393824</v>
      </c>
      <c r="Y11" s="34">
        <v>1.0594170994200001</v>
      </c>
      <c r="Z11" s="34">
        <v>1.0598224470051201</v>
      </c>
      <c r="AB11" s="33">
        <v>50.438848103386498</v>
      </c>
      <c r="AE11" s="15">
        <v>1.7543778035692401E-4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3">
      <c r="A12" s="1">
        <v>46038</v>
      </c>
      <c r="B12" s="33">
        <v>47.69</v>
      </c>
      <c r="C12" s="33">
        <v>50.55</v>
      </c>
      <c r="D12" s="15">
        <v>1.6789091037056399E-3</v>
      </c>
      <c r="E12" s="15">
        <v>2.3767093778465399E-3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47.69</v>
      </c>
      <c r="M12" s="33">
        <v>50.55</v>
      </c>
      <c r="N12" s="34">
        <v>1.0599706437408201</v>
      </c>
      <c r="O12" s="34">
        <v>1.05905106792887</v>
      </c>
      <c r="P12" s="34">
        <v>1.0594668279180799</v>
      </c>
      <c r="R12" s="33">
        <v>50.506145429528203</v>
      </c>
      <c r="S12" s="33">
        <v>50.5429324976743</v>
      </c>
      <c r="U12" s="15">
        <v>-8.6792491517019197E-4</v>
      </c>
      <c r="V12" s="15">
        <v>-1.3982188789256E-4</v>
      </c>
      <c r="X12" s="34">
        <v>1.0599706437408201</v>
      </c>
      <c r="Y12" s="34">
        <v>1.0594170994200001</v>
      </c>
      <c r="Z12" s="34">
        <v>1.0594668279180799</v>
      </c>
      <c r="AB12" s="33">
        <v>50.5236014713401</v>
      </c>
      <c r="AC12" s="33">
        <v>50.5429324976743</v>
      </c>
      <c r="AE12" s="15">
        <v>-5.2236249378377305E-4</v>
      </c>
      <c r="AF12" s="15">
        <v>-1.3982188789256E-4</v>
      </c>
      <c r="AK12" s="17">
        <v>5.0000000000000001E-4</v>
      </c>
      <c r="AL12" s="18" t="s">
        <v>37</v>
      </c>
      <c r="AM12" s="19" t="s">
        <v>38</v>
      </c>
      <c r="AV12" s="17">
        <v>5.0000000000000001E-4</v>
      </c>
      <c r="AW12" s="18" t="s">
        <v>39</v>
      </c>
      <c r="AX12" s="19" t="s">
        <v>40</v>
      </c>
    </row>
    <row r="13" spans="1:130" x14ac:dyDescent="0.3">
      <c r="A13" s="1">
        <v>46042</v>
      </c>
      <c r="B13" s="33">
        <v>47.6</v>
      </c>
      <c r="C13" s="33">
        <v>50.42</v>
      </c>
      <c r="D13" s="15">
        <v>-1.8889710727585699E-3</v>
      </c>
      <c r="E13" s="15">
        <v>-2.57502370670658E-3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47.6</v>
      </c>
      <c r="M13" s="33">
        <v>50.42</v>
      </c>
      <c r="N13" s="34">
        <v>1.0592436974789901</v>
      </c>
      <c r="O13" s="34">
        <v>1.05905106792887</v>
      </c>
      <c r="P13" s="34">
        <v>1.05933446915244</v>
      </c>
      <c r="R13" s="33">
        <v>50.4108308334146</v>
      </c>
      <c r="S13" s="33">
        <v>50.4306210089009</v>
      </c>
      <c r="U13" s="15">
        <v>-1.8187228122225899E-4</v>
      </c>
      <c r="V13" s="15">
        <v>2.1062852829257001E-4</v>
      </c>
      <c r="X13" s="34">
        <v>1.0592436974789901</v>
      </c>
      <c r="Y13" s="34">
        <v>1.0594170994200001</v>
      </c>
      <c r="Z13" s="34">
        <v>1.05933446915244</v>
      </c>
      <c r="AB13" s="33">
        <v>50.428253932392302</v>
      </c>
      <c r="AC13" s="33">
        <v>50.4306210089009</v>
      </c>
      <c r="AE13" s="15">
        <v>1.63690140164092E-4</v>
      </c>
      <c r="AF13" s="15">
        <v>2.1062852829257001E-4</v>
      </c>
    </row>
    <row r="14" spans="1:130" x14ac:dyDescent="0.3">
      <c r="A14" s="1">
        <v>46043</v>
      </c>
      <c r="B14" s="33">
        <v>48.75</v>
      </c>
      <c r="C14" s="33">
        <v>51.63</v>
      </c>
      <c r="D14" s="15">
        <v>2.38724362064817E-2</v>
      </c>
      <c r="E14" s="15">
        <v>2.3714977131783901E-2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48.75</v>
      </c>
      <c r="M14" s="33">
        <v>51.63</v>
      </c>
      <c r="N14" s="34">
        <v>1.0590769230769199</v>
      </c>
      <c r="O14" s="34">
        <v>1.05905106792887</v>
      </c>
      <c r="P14" s="34">
        <v>1.0591071921349799</v>
      </c>
      <c r="R14" s="33">
        <v>51.628739561532797</v>
      </c>
      <c r="S14" s="33">
        <v>51.642555371181601</v>
      </c>
      <c r="U14" s="15">
        <v>-2.4413206524408399E-5</v>
      </c>
      <c r="V14" s="15">
        <v>2.43150199942488E-4</v>
      </c>
      <c r="X14" s="34">
        <v>1.0590769230769199</v>
      </c>
      <c r="Y14" s="34">
        <v>1.0594170994200001</v>
      </c>
      <c r="Z14" s="34">
        <v>1.0591071921349799</v>
      </c>
      <c r="AB14" s="33">
        <v>51.6465835967253</v>
      </c>
      <c r="AC14" s="33">
        <v>51.642555371181601</v>
      </c>
      <c r="AE14" s="15">
        <v>3.2114921486189998E-4</v>
      </c>
      <c r="AF14" s="15">
        <v>2.43150199942488E-4</v>
      </c>
      <c r="AQ14" s="20">
        <f>AVERAGE(AQ22:AQ186)</f>
        <v>6.5996846293611588E-5</v>
      </c>
      <c r="AR14" s="21" t="s">
        <v>41</v>
      </c>
      <c r="BB14" s="20">
        <f>AVERAGE(BB22:BB186)</f>
        <v>2.5003624357413238E-5</v>
      </c>
      <c r="BC14" s="21" t="s">
        <v>41</v>
      </c>
      <c r="BD14" s="22"/>
      <c r="BE14" s="20">
        <f>AVERAGE(BE22:BE176)</f>
        <v>9.6871468757542563E-5</v>
      </c>
      <c r="BF14" s="21" t="s">
        <v>41</v>
      </c>
    </row>
    <row r="15" spans="1:130" x14ac:dyDescent="0.3">
      <c r="A15" s="1">
        <v>46044</v>
      </c>
      <c r="B15" s="33">
        <v>48.91</v>
      </c>
      <c r="C15" s="33">
        <v>51.77</v>
      </c>
      <c r="D15" s="15">
        <v>3.2766771074096302E-3</v>
      </c>
      <c r="E15" s="15">
        <v>2.7079320222522601E-3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48.91</v>
      </c>
      <c r="M15" s="33">
        <v>51.77</v>
      </c>
      <c r="N15" s="34">
        <v>1.05847474953997</v>
      </c>
      <c r="O15" s="34">
        <v>1.05905106792887</v>
      </c>
      <c r="P15" s="34">
        <v>1.05888331765401</v>
      </c>
      <c r="R15" s="33">
        <v>51.798187732401402</v>
      </c>
      <c r="S15" s="33">
        <v>51.800932767322003</v>
      </c>
      <c r="U15" s="15">
        <v>5.44331878632741E-4</v>
      </c>
      <c r="V15" s="15">
        <v>5.9732528066115502E-4</v>
      </c>
      <c r="X15" s="34">
        <v>1.05847474953997</v>
      </c>
      <c r="Y15" s="34">
        <v>1.0594170994200001</v>
      </c>
      <c r="Z15" s="34">
        <v>1.05888331765401</v>
      </c>
      <c r="AB15" s="33">
        <v>51.816090332632498</v>
      </c>
      <c r="AC15" s="33">
        <v>51.800932767322003</v>
      </c>
      <c r="AE15" s="15">
        <v>8.8989430001919895E-4</v>
      </c>
      <c r="AF15" s="15">
        <v>5.9732528066115502E-4</v>
      </c>
      <c r="AQ15" s="20">
        <f>STDEV(AQ22:AQ186)</f>
        <v>4.79303505672834E-4</v>
      </c>
      <c r="AR15" s="21" t="s">
        <v>42</v>
      </c>
      <c r="BB15" s="20">
        <f>STDEV(BB22:BB186)</f>
        <v>1.9531408605019866E-4</v>
      </c>
      <c r="BC15" s="21" t="s">
        <v>42</v>
      </c>
      <c r="BD15" s="22"/>
      <c r="BE15" s="20">
        <f>STDEV(BE22:BE176)</f>
        <v>5.3025062809389679E-4</v>
      </c>
      <c r="BF15" s="21" t="s">
        <v>42</v>
      </c>
    </row>
    <row r="16" spans="1:130" x14ac:dyDescent="0.3">
      <c r="A16" s="1">
        <v>46045</v>
      </c>
      <c r="B16" s="33">
        <v>49.19</v>
      </c>
      <c r="C16" s="33">
        <v>52.06</v>
      </c>
      <c r="D16" s="15">
        <v>5.7084762559826401E-3</v>
      </c>
      <c r="E16" s="15">
        <v>5.58606865260929E-3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49.19</v>
      </c>
      <c r="M16" s="33">
        <v>52.06</v>
      </c>
      <c r="N16" s="34">
        <v>1.05834519211221</v>
      </c>
      <c r="O16" s="34">
        <v>1.05905106792887</v>
      </c>
      <c r="P16" s="34">
        <v>1.0588316929339801</v>
      </c>
      <c r="R16" s="33">
        <v>52.094722031421497</v>
      </c>
      <c r="S16" s="33">
        <v>52.086470395401001</v>
      </c>
      <c r="U16" s="15">
        <v>6.66739482006164E-4</v>
      </c>
      <c r="V16" s="15">
        <v>5.0833015983181898E-4</v>
      </c>
      <c r="X16" s="34">
        <v>1.05834519211221</v>
      </c>
      <c r="Y16" s="34">
        <v>1.0594170994200001</v>
      </c>
      <c r="Z16" s="34">
        <v>1.0588316929339801</v>
      </c>
      <c r="AB16" s="33">
        <v>52.112727120470097</v>
      </c>
      <c r="AC16" s="33">
        <v>52.086470395401001</v>
      </c>
      <c r="AE16" s="15">
        <v>1.0123019033924899E-3</v>
      </c>
      <c r="AF16" s="15">
        <v>5.0833015983181898E-4</v>
      </c>
      <c r="AQ16" s="23">
        <f>SQRT(252)*AQ14/AQ15</f>
        <v>2.1858122113545111</v>
      </c>
      <c r="AR16" s="21" t="s">
        <v>43</v>
      </c>
      <c r="BB16" s="23">
        <f>SQRT(252)*BB14/BB15</f>
        <v>2.0322150827766778</v>
      </c>
      <c r="BC16" s="21" t="s">
        <v>43</v>
      </c>
      <c r="BD16" s="22"/>
      <c r="BE16" s="23">
        <f>SQRT(252)*BE14/BE15</f>
        <v>2.9001132885934333</v>
      </c>
      <c r="BF16" s="21" t="s">
        <v>43</v>
      </c>
    </row>
    <row r="17" spans="1:124" x14ac:dyDescent="0.3">
      <c r="A17" s="1">
        <v>46048</v>
      </c>
      <c r="B17" s="33">
        <v>49.22</v>
      </c>
      <c r="C17" s="33">
        <v>52.09</v>
      </c>
      <c r="D17" s="15">
        <v>6.0969415566131005E-4</v>
      </c>
      <c r="E17" s="15">
        <v>5.7609219068078697E-4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49.22</v>
      </c>
      <c r="M17" s="33">
        <v>52.09</v>
      </c>
      <c r="N17" s="34">
        <v>1.05830963023161</v>
      </c>
      <c r="O17" s="34">
        <v>1.05905106792887</v>
      </c>
      <c r="P17" s="34">
        <v>1.0588345008253599</v>
      </c>
      <c r="R17" s="33">
        <v>52.126493563459398</v>
      </c>
      <c r="S17" s="33">
        <v>52.115695926210499</v>
      </c>
      <c r="U17" s="15">
        <v>7.0034144698672795E-4</v>
      </c>
      <c r="V17" s="15">
        <v>4.9317700924003899E-4</v>
      </c>
      <c r="X17" s="34">
        <v>1.05830963023161</v>
      </c>
      <c r="Y17" s="34">
        <v>1.0594170994200001</v>
      </c>
      <c r="Z17" s="34">
        <v>1.0588345008253599</v>
      </c>
      <c r="AB17" s="33">
        <v>52.144509633452699</v>
      </c>
      <c r="AC17" s="33">
        <v>52.115695926210499</v>
      </c>
      <c r="AE17" s="15">
        <v>1.04590386837308E-3</v>
      </c>
      <c r="AF17" s="15">
        <v>4.9317700924003899E-4</v>
      </c>
    </row>
    <row r="18" spans="1:124" x14ac:dyDescent="0.3">
      <c r="A18" s="1">
        <v>46049</v>
      </c>
      <c r="B18" s="33">
        <v>49.67</v>
      </c>
      <c r="C18" s="33">
        <v>52.57</v>
      </c>
      <c r="D18" s="15">
        <v>9.1010841563493906E-3</v>
      </c>
      <c r="E18" s="15">
        <v>9.1726230742564998E-3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49.67</v>
      </c>
      <c r="M18" s="33">
        <v>52.57</v>
      </c>
      <c r="N18" s="34">
        <v>1.0583853432655499</v>
      </c>
      <c r="O18" s="34">
        <v>1.05905106792887</v>
      </c>
      <c r="P18" s="34">
        <v>1.0587817964812201</v>
      </c>
      <c r="R18" s="33">
        <v>52.603066544027399</v>
      </c>
      <c r="S18" s="33">
        <v>52.592309655995898</v>
      </c>
      <c r="U18" s="15">
        <v>6.2880252907953997E-4</v>
      </c>
      <c r="V18" s="15">
        <v>4.2428996478992401E-4</v>
      </c>
      <c r="X18" s="34">
        <v>1.0583853432655499</v>
      </c>
      <c r="Y18" s="34">
        <v>1.0594170994200001</v>
      </c>
      <c r="Z18" s="34">
        <v>1.0587817964812201</v>
      </c>
      <c r="AB18" s="33">
        <v>52.6212473281917</v>
      </c>
      <c r="AC18" s="33">
        <v>52.592309655995898</v>
      </c>
      <c r="AE18" s="15">
        <v>9.7436495046595998E-4</v>
      </c>
      <c r="AF18" s="15">
        <v>4.2428996478992401E-4</v>
      </c>
      <c r="BE18" s="24">
        <f>SUM(BE22:BE186)</f>
        <v>1.5015077657419097E-2</v>
      </c>
      <c r="BF18" s="20">
        <f>BF186</f>
        <v>1.5015077657419097E-2</v>
      </c>
    </row>
    <row r="19" spans="1:124" x14ac:dyDescent="0.3">
      <c r="A19" s="1">
        <v>46050</v>
      </c>
      <c r="B19" s="33">
        <v>50.05</v>
      </c>
      <c r="C19" s="33">
        <v>52.98</v>
      </c>
      <c r="D19" s="15">
        <v>7.62137664197041E-3</v>
      </c>
      <c r="E19" s="15">
        <v>7.7688690125669304E-3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50.05</v>
      </c>
      <c r="M19" s="33">
        <v>52.98</v>
      </c>
      <c r="N19" s="34">
        <v>1.0585414585414501</v>
      </c>
      <c r="O19" s="34">
        <v>1.05905106792887</v>
      </c>
      <c r="P19" s="34">
        <v>1.05874232531409</v>
      </c>
      <c r="R19" s="33">
        <v>53.005505949840398</v>
      </c>
      <c r="S19" s="33">
        <v>52.992028913885299</v>
      </c>
      <c r="U19" s="15">
        <v>4.8131015848299001E-4</v>
      </c>
      <c r="V19" s="15">
        <v>2.2702054608750199E-4</v>
      </c>
      <c r="X19" s="34">
        <v>1.0585414585414501</v>
      </c>
      <c r="Y19" s="34">
        <v>1.0594170994200001</v>
      </c>
      <c r="Z19" s="34">
        <v>1.05874232531409</v>
      </c>
      <c r="AB19" s="33">
        <v>53.023825825971301</v>
      </c>
      <c r="AC19" s="33">
        <v>52.992028913885299</v>
      </c>
      <c r="AE19" s="15">
        <v>8.2687257986950298E-4</v>
      </c>
      <c r="AF19" s="15">
        <v>2.2702054608750199E-4</v>
      </c>
      <c r="AI19" s="12"/>
      <c r="AJ19"/>
      <c r="AK19"/>
      <c r="AL19"/>
      <c r="AM19"/>
      <c r="AN19"/>
      <c r="AO19"/>
      <c r="AP19"/>
      <c r="AQ19" s="24">
        <f>SUM(AQ22:AQ186)</f>
        <v>1.0889479638445911E-2</v>
      </c>
      <c r="AR19" s="24">
        <f>AR186</f>
        <v>1.0889479638445911E-2</v>
      </c>
      <c r="AU19"/>
      <c r="AV19"/>
      <c r="AW19"/>
      <c r="AX19"/>
      <c r="AY19"/>
      <c r="AZ19"/>
      <c r="BA19"/>
      <c r="BB19" s="24">
        <f>SUM(BB22:BB186)</f>
        <v>4.1255980189731844E-3</v>
      </c>
      <c r="BC19" s="24">
        <f>BC186</f>
        <v>4.1255980189731844E-3</v>
      </c>
      <c r="BE19" s="7" t="s">
        <v>44</v>
      </c>
      <c r="BF19" s="7" t="s">
        <v>44</v>
      </c>
      <c r="BH19" s="7"/>
    </row>
    <row r="20" spans="1:124" x14ac:dyDescent="0.3">
      <c r="A20" s="1">
        <v>46051</v>
      </c>
      <c r="B20" s="33">
        <v>50.51</v>
      </c>
      <c r="C20" s="33">
        <v>53.46</v>
      </c>
      <c r="D20" s="15">
        <v>9.1488307187316993E-3</v>
      </c>
      <c r="E20" s="15">
        <v>9.0192268668494498E-3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50.51</v>
      </c>
      <c r="M20" s="33">
        <v>53.46</v>
      </c>
      <c r="N20" s="34">
        <v>1.0584042763809101</v>
      </c>
      <c r="O20" s="34">
        <v>1.05905106792887</v>
      </c>
      <c r="P20" s="34">
        <v>1.05879831683067</v>
      </c>
      <c r="R20" s="33">
        <v>53.492669441087699</v>
      </c>
      <c r="S20" s="33">
        <v>53.477074851614901</v>
      </c>
      <c r="U20" s="15">
        <v>6.1091401036531998E-4</v>
      </c>
      <c r="V20" s="15">
        <v>3.1934390918656499E-4</v>
      </c>
      <c r="X20" s="34">
        <v>1.0584042763809101</v>
      </c>
      <c r="Y20" s="34">
        <v>1.0594170994200001</v>
      </c>
      <c r="Z20" s="34">
        <v>1.05879831683067</v>
      </c>
      <c r="AB20" s="33">
        <v>53.511157691704497</v>
      </c>
      <c r="AC20" s="33">
        <v>53.477074851614901</v>
      </c>
      <c r="AE20" s="15">
        <v>9.5647643175180103E-4</v>
      </c>
      <c r="AF20" s="15">
        <v>3.1934390918656499E-4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XLE log rtn</v>
      </c>
      <c r="AP20" s="7" t="str">
        <f>E1</f>
        <v>IYE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XLE log rtn</v>
      </c>
      <c r="BA20" s="24" t="str">
        <f>E1</f>
        <v>IYE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3">
      <c r="A21" s="1">
        <v>46052</v>
      </c>
      <c r="B21" s="33">
        <v>51.05</v>
      </c>
      <c r="C21" s="33">
        <v>53.97</v>
      </c>
      <c r="D21" s="15">
        <v>1.06342081307132E-2</v>
      </c>
      <c r="E21" s="15">
        <v>9.4946259197783798E-3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51.05</v>
      </c>
      <c r="M21" s="33">
        <v>53.97</v>
      </c>
      <c r="N21" s="34">
        <v>1.0571988246816799</v>
      </c>
      <c r="O21" s="34">
        <v>1.05905106792887</v>
      </c>
      <c r="P21" s="34">
        <v>1.0585950739050101</v>
      </c>
      <c r="Q21" s="34">
        <v>1.05920876045506</v>
      </c>
      <c r="R21" s="33">
        <v>54.064557017769303</v>
      </c>
      <c r="S21" s="33">
        <v>54.0516540742057</v>
      </c>
      <c r="U21" s="15">
        <v>1.75049622130028E-3</v>
      </c>
      <c r="V21" s="15">
        <v>1.51180965442101E-3</v>
      </c>
      <c r="X21" s="34">
        <v>1.0571988246816799</v>
      </c>
      <c r="Y21" s="34">
        <v>1.0594170994200001</v>
      </c>
      <c r="Z21" s="34">
        <v>1.0585950739050101</v>
      </c>
      <c r="AA21" s="34">
        <v>1.05920876045506</v>
      </c>
      <c r="AB21" s="33">
        <v>54.083242925391303</v>
      </c>
      <c r="AC21" s="33">
        <v>54.0516540742057</v>
      </c>
      <c r="AE21" s="15">
        <v>2.0960586426865902E-3</v>
      </c>
      <c r="AF21" s="15">
        <v>1.51180965442101E-3</v>
      </c>
      <c r="AI21" s="26">
        <v>-2E-3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3.5000000000000001E-3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3">
      <c r="A22" s="1">
        <v>46055</v>
      </c>
      <c r="B22" s="33">
        <v>50.05</v>
      </c>
      <c r="C22" s="33">
        <v>52.98</v>
      </c>
      <c r="D22" s="15">
        <v>-1.9783038849444899E-2</v>
      </c>
      <c r="E22" s="15">
        <v>-1.8513852786627798E-2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50.05</v>
      </c>
      <c r="M22" s="33">
        <v>52.98</v>
      </c>
      <c r="N22" s="34">
        <v>1.0585414585414501</v>
      </c>
      <c r="O22" s="34">
        <v>1.05905106792887</v>
      </c>
      <c r="P22" s="34">
        <v>1.0584521553850701</v>
      </c>
      <c r="Q22" s="34">
        <v>1.0589594916515801</v>
      </c>
      <c r="R22" s="33">
        <v>53.005505949840398</v>
      </c>
      <c r="S22" s="33">
        <v>52.982683448945998</v>
      </c>
      <c r="T22" s="33">
        <v>53.013398460776202</v>
      </c>
      <c r="U22" s="15">
        <v>4.8131015848299001E-4</v>
      </c>
      <c r="V22" s="15">
        <v>5.06489428024264E-5</v>
      </c>
      <c r="W22" s="15">
        <v>6.3019890609357495E-4</v>
      </c>
      <c r="X22" s="34">
        <v>1.0585414585414501</v>
      </c>
      <c r="Y22" s="34">
        <v>1.0594170994200001</v>
      </c>
      <c r="Z22" s="34">
        <v>1.0584521553850701</v>
      </c>
      <c r="AA22" s="34">
        <v>1.0589594916515801</v>
      </c>
      <c r="AB22" s="33">
        <v>53.023825825971301</v>
      </c>
      <c r="AC22" s="33">
        <v>52.982683448945998</v>
      </c>
      <c r="AD22" s="33">
        <v>53.013398460776202</v>
      </c>
      <c r="AE22" s="15">
        <v>8.2687257986950298E-4</v>
      </c>
      <c r="AF22" s="15">
        <v>5.06489428024264E-5</v>
      </c>
      <c r="AG22" s="15">
        <v>6.3019890609357495E-4</v>
      </c>
      <c r="AI22" s="26">
        <v>-5.0000000000000001E-4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3">
      <c r="A23" s="1">
        <v>46056</v>
      </c>
      <c r="B23" s="33">
        <v>51.67</v>
      </c>
      <c r="C23" s="33">
        <v>54.62</v>
      </c>
      <c r="D23" s="15">
        <v>3.1854836537863702E-2</v>
      </c>
      <c r="E23" s="15">
        <v>3.04856322016352E-2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51.67</v>
      </c>
      <c r="M23" s="33">
        <v>54.62</v>
      </c>
      <c r="N23" s="34">
        <v>1.05709309076833</v>
      </c>
      <c r="O23" s="34">
        <v>1.05905106792887</v>
      </c>
      <c r="P23" s="34">
        <v>1.0582370947140101</v>
      </c>
      <c r="Q23" s="34">
        <v>1.05878578193322</v>
      </c>
      <c r="R23" s="33">
        <v>54.721168679885203</v>
      </c>
      <c r="S23" s="33">
        <v>54.690222868747</v>
      </c>
      <c r="T23" s="33">
        <v>54.716436933637297</v>
      </c>
      <c r="U23" s="15">
        <v>1.85051449471143E-3</v>
      </c>
      <c r="V23" s="15">
        <v>1.28483643275847E-3</v>
      </c>
      <c r="W23" s="15">
        <v>1.7640406318320801E-3</v>
      </c>
      <c r="X23" s="34">
        <v>1.05709309076833</v>
      </c>
      <c r="Y23" s="34">
        <v>1.0594170994200001</v>
      </c>
      <c r="Z23" s="34">
        <v>1.0582370947140101</v>
      </c>
      <c r="AA23" s="34">
        <v>1.05878578193322</v>
      </c>
      <c r="AB23" s="33">
        <v>54.740081527031698</v>
      </c>
      <c r="AC23" s="33">
        <v>54.690222868747</v>
      </c>
      <c r="AD23" s="33">
        <v>54.716436933637297</v>
      </c>
      <c r="AE23" s="15">
        <v>2.1960769160978499E-3</v>
      </c>
      <c r="AF23" s="15">
        <v>1.28483643275847E-3</v>
      </c>
      <c r="AG23" s="15">
        <v>1.7640406318320801E-3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3">
      <c r="A24" s="1">
        <v>46057</v>
      </c>
      <c r="B24" s="33">
        <v>52.83</v>
      </c>
      <c r="C24" s="33">
        <v>55.83</v>
      </c>
      <c r="D24" s="15">
        <v>2.22018688771311E-2</v>
      </c>
      <c r="E24" s="15">
        <v>2.19112432767102E-2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52.83</v>
      </c>
      <c r="M24" s="33">
        <v>55.83</v>
      </c>
      <c r="N24" s="34">
        <v>1.05678591709256</v>
      </c>
      <c r="O24" s="34">
        <v>1.05905106792887</v>
      </c>
      <c r="P24" s="34">
        <v>1.05800799411557</v>
      </c>
      <c r="Q24" s="34">
        <v>1.05855759312528</v>
      </c>
      <c r="R24" s="33">
        <v>55.9496679186827</v>
      </c>
      <c r="S24" s="33">
        <v>55.906665713741297</v>
      </c>
      <c r="T24" s="33">
        <v>55.935652859532397</v>
      </c>
      <c r="U24" s="15">
        <v>2.1411400951326098E-3</v>
      </c>
      <c r="V24" s="15">
        <v>1.37225726725055E-3</v>
      </c>
      <c r="W24" s="15">
        <v>1.89061466201886E-3</v>
      </c>
      <c r="X24" s="34">
        <v>1.05678591709256</v>
      </c>
      <c r="Y24" s="34">
        <v>1.0594170994200001</v>
      </c>
      <c r="Z24" s="34">
        <v>1.05800799411557</v>
      </c>
      <c r="AA24" s="34">
        <v>1.05855759312528</v>
      </c>
      <c r="AB24" s="33">
        <v>55.969005362358899</v>
      </c>
      <c r="AC24" s="33">
        <v>55.906665713741297</v>
      </c>
      <c r="AD24" s="33">
        <v>55.935652859532397</v>
      </c>
      <c r="AE24" s="15">
        <v>2.4867025165189998E-3</v>
      </c>
      <c r="AF24" s="15">
        <v>1.37225726725055E-3</v>
      </c>
      <c r="AG24" s="15">
        <v>1.89061466201886E-3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3">
      <c r="A25" s="1">
        <v>46058</v>
      </c>
      <c r="B25" s="33">
        <v>52.21</v>
      </c>
      <c r="C25" s="33">
        <v>55.19</v>
      </c>
      <c r="D25" s="15">
        <v>-1.1805163753763399E-2</v>
      </c>
      <c r="E25" s="15">
        <v>-1.1529581870859101E-2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52.21</v>
      </c>
      <c r="M25" s="33">
        <v>55.19</v>
      </c>
      <c r="N25" s="34">
        <v>1.0570771882781</v>
      </c>
      <c r="O25" s="34">
        <v>1.05905106792887</v>
      </c>
      <c r="P25" s="34">
        <v>1.05786823798939</v>
      </c>
      <c r="Q25" s="34">
        <v>1.0583757778217</v>
      </c>
      <c r="R25" s="33">
        <v>55.2930562565668</v>
      </c>
      <c r="S25" s="33">
        <v>55.238597372774201</v>
      </c>
      <c r="T25" s="33">
        <v>55.267291937070802</v>
      </c>
      <c r="U25" s="15">
        <v>1.8655582122283801E-3</v>
      </c>
      <c r="V25" s="15">
        <v>8.80159253449712E-4</v>
      </c>
      <c r="W25" s="15">
        <v>1.3994902161839999E-3</v>
      </c>
      <c r="X25" s="34">
        <v>1.0570771882781</v>
      </c>
      <c r="Y25" s="34">
        <v>1.0594170994200001</v>
      </c>
      <c r="Z25" s="34">
        <v>1.05786823798939</v>
      </c>
      <c r="AA25" s="34">
        <v>1.0583757778217</v>
      </c>
      <c r="AB25" s="33">
        <v>55.312166760718497</v>
      </c>
      <c r="AC25" s="33">
        <v>55.238597372774201</v>
      </c>
      <c r="AD25" s="33">
        <v>55.267291937070802</v>
      </c>
      <c r="AE25" s="15">
        <v>2.2111206336146699E-3</v>
      </c>
      <c r="AF25" s="15">
        <v>8.80159253449712E-4</v>
      </c>
      <c r="AG25" s="15">
        <v>1.3994902161839999E-3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3">
      <c r="A26" s="1">
        <v>46059</v>
      </c>
      <c r="B26" s="33">
        <v>53.25</v>
      </c>
      <c r="C26" s="33">
        <v>56.24</v>
      </c>
      <c r="D26" s="15">
        <v>1.9723757167073499E-2</v>
      </c>
      <c r="E26" s="15">
        <v>1.88464700509995E-2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53.25</v>
      </c>
      <c r="M26" s="33">
        <v>56.24</v>
      </c>
      <c r="N26" s="34">
        <v>1.0561502347417799</v>
      </c>
      <c r="O26" s="34">
        <v>1.05905106792887</v>
      </c>
      <c r="P26" s="34">
        <v>1.05764874225234</v>
      </c>
      <c r="Q26" s="34">
        <v>1.05824021759316</v>
      </c>
      <c r="R26" s="33">
        <v>56.3944693672128</v>
      </c>
      <c r="S26" s="33">
        <v>56.331483672935001</v>
      </c>
      <c r="T26" s="33">
        <v>56.358510169005598</v>
      </c>
      <c r="U26" s="15">
        <v>2.7428453283021102E-3</v>
      </c>
      <c r="V26" s="15">
        <v>1.62534400524625E-3</v>
      </c>
      <c r="W26" s="15">
        <v>2.10500498786569E-3</v>
      </c>
      <c r="X26" s="34">
        <v>1.0561502347417799</v>
      </c>
      <c r="Y26" s="34">
        <v>1.0594170994200001</v>
      </c>
      <c r="Z26" s="34">
        <v>1.05764874225234</v>
      </c>
      <c r="AA26" s="34">
        <v>1.05824021759316</v>
      </c>
      <c r="AB26" s="33">
        <v>56.413960544115298</v>
      </c>
      <c r="AC26" s="33">
        <v>56.331483672935001</v>
      </c>
      <c r="AD26" s="33">
        <v>56.358510169005598</v>
      </c>
      <c r="AE26" s="15">
        <v>3.0884077496885699E-3</v>
      </c>
      <c r="AF26" s="15">
        <v>1.62534400524625E-3</v>
      </c>
      <c r="AG26" s="15">
        <v>2.10500498786569E-3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3">
      <c r="A27" s="1">
        <v>46062</v>
      </c>
      <c r="B27" s="33">
        <v>53.64</v>
      </c>
      <c r="C27" s="33">
        <v>56.69</v>
      </c>
      <c r="D27" s="15">
        <v>7.2972538239433104E-3</v>
      </c>
      <c r="E27" s="15">
        <v>7.9695808338027807E-3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53.64</v>
      </c>
      <c r="M27" s="33">
        <v>56.69</v>
      </c>
      <c r="N27" s="34">
        <v>1.05686055182699</v>
      </c>
      <c r="O27" s="34">
        <v>1.05905106792887</v>
      </c>
      <c r="P27" s="34">
        <v>1.0575038344118799</v>
      </c>
      <c r="Q27" s="34">
        <v>1.05816916761862</v>
      </c>
      <c r="R27" s="33">
        <v>56.807499283705098</v>
      </c>
      <c r="S27" s="33">
        <v>56.732278534415897</v>
      </c>
      <c r="T27" s="33">
        <v>56.7640052716973</v>
      </c>
      <c r="U27" s="15">
        <v>2.0705183184428098E-3</v>
      </c>
      <c r="V27" s="15">
        <v>7.4550673677768904E-4</v>
      </c>
      <c r="W27" s="15">
        <v>1.3045865065083599E-3</v>
      </c>
      <c r="X27" s="34">
        <v>1.05686055182699</v>
      </c>
      <c r="Y27" s="34">
        <v>1.0594170994200001</v>
      </c>
      <c r="Z27" s="34">
        <v>1.0575038344118799</v>
      </c>
      <c r="AA27" s="34">
        <v>1.05816916761862</v>
      </c>
      <c r="AB27" s="33">
        <v>56.827133212889102</v>
      </c>
      <c r="AC27" s="33">
        <v>56.732278534415897</v>
      </c>
      <c r="AD27" s="33">
        <v>56.7640052716973</v>
      </c>
      <c r="AE27" s="15">
        <v>2.4160807398289699E-3</v>
      </c>
      <c r="AF27" s="15">
        <v>7.4550673677768904E-4</v>
      </c>
      <c r="AG27" s="15">
        <v>1.3045865065083599E-3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3">
      <c r="A28" s="1">
        <v>46063</v>
      </c>
      <c r="B28" s="33">
        <v>53.58</v>
      </c>
      <c r="C28" s="33">
        <v>56.64</v>
      </c>
      <c r="D28" s="15">
        <v>-1.11919429701511E-3</v>
      </c>
      <c r="E28" s="15">
        <v>-8.8237895074794897E-4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53.58</v>
      </c>
      <c r="M28" s="33">
        <v>56.64</v>
      </c>
      <c r="N28" s="34">
        <v>1.05711086226203</v>
      </c>
      <c r="O28" s="34">
        <v>1.05905106792887</v>
      </c>
      <c r="P28" s="34">
        <v>1.05737638631153</v>
      </c>
      <c r="Q28" s="34">
        <v>1.05807909139638</v>
      </c>
      <c r="R28" s="33">
        <v>56.743956219629297</v>
      </c>
      <c r="S28" s="33">
        <v>56.661055447788797</v>
      </c>
      <c r="T28" s="33">
        <v>56.696704001005898</v>
      </c>
      <c r="U28" s="15">
        <v>1.8337029721754499E-3</v>
      </c>
      <c r="V28" s="15">
        <v>3.7167258412520998E-4</v>
      </c>
      <c r="W28" s="15">
        <v>1.0006291648773E-3</v>
      </c>
      <c r="X28" s="34">
        <v>1.05711086226203</v>
      </c>
      <c r="Y28" s="34">
        <v>1.0594170994200001</v>
      </c>
      <c r="Z28" s="34">
        <v>1.05737638631153</v>
      </c>
      <c r="AA28" s="34">
        <v>1.05807909139638</v>
      </c>
      <c r="AB28" s="33">
        <v>56.763568186923898</v>
      </c>
      <c r="AC28" s="33">
        <v>56.661055447788797</v>
      </c>
      <c r="AD28" s="33">
        <v>56.696704001005898</v>
      </c>
      <c r="AE28" s="15">
        <v>2.1792653935619301E-3</v>
      </c>
      <c r="AF28" s="15">
        <v>3.7167258412520998E-4</v>
      </c>
      <c r="AG28" s="15">
        <v>1.0006291648773E-3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3">
      <c r="A29" s="1">
        <v>46064</v>
      </c>
      <c r="B29" s="33">
        <v>54.98</v>
      </c>
      <c r="C29" s="33">
        <v>58.07</v>
      </c>
      <c r="D29" s="15">
        <v>2.57936186206369E-2</v>
      </c>
      <c r="E29" s="15">
        <v>2.4933729998494102E-2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54.98</v>
      </c>
      <c r="M29" s="33">
        <v>58.07</v>
      </c>
      <c r="N29" s="34">
        <v>1.0562022553655801</v>
      </c>
      <c r="O29" s="34">
        <v>1.05905106792887</v>
      </c>
      <c r="P29" s="34">
        <v>1.0571424659939399</v>
      </c>
      <c r="Q29" s="34">
        <v>1.0579423956540199</v>
      </c>
      <c r="R29" s="33">
        <v>58.226627714729702</v>
      </c>
      <c r="S29" s="33">
        <v>58.134553719408103</v>
      </c>
      <c r="T29" s="33">
        <v>58.173188444972901</v>
      </c>
      <c r="U29" s="15">
        <v>2.6935915943182001E-3</v>
      </c>
      <c r="V29" s="15">
        <v>1.11103608219066E-3</v>
      </c>
      <c r="W29" s="15">
        <v>1.77538956832815E-3</v>
      </c>
      <c r="X29" s="34">
        <v>1.0562022553655801</v>
      </c>
      <c r="Y29" s="34">
        <v>1.0594170994200001</v>
      </c>
      <c r="Z29" s="34">
        <v>1.0571424659939399</v>
      </c>
      <c r="AA29" s="34">
        <v>1.0579423956540199</v>
      </c>
      <c r="AB29" s="33">
        <v>58.2467521261119</v>
      </c>
      <c r="AC29" s="33">
        <v>58.134553719408103</v>
      </c>
      <c r="AD29" s="33">
        <v>58.173188444972901</v>
      </c>
      <c r="AE29" s="15">
        <v>3.0391540157045701E-3</v>
      </c>
      <c r="AF29" s="15">
        <v>1.11103608219066E-3</v>
      </c>
      <c r="AG29" s="15">
        <v>1.77538956832815E-3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3">
      <c r="A30" s="1">
        <v>46065</v>
      </c>
      <c r="B30" s="33">
        <v>53.98</v>
      </c>
      <c r="C30" s="33">
        <v>56.98</v>
      </c>
      <c r="D30" s="15">
        <v>-1.8355875147241001E-2</v>
      </c>
      <c r="E30" s="15">
        <v>-1.89488503141962E-2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53.98</v>
      </c>
      <c r="M30" s="33">
        <v>56.98</v>
      </c>
      <c r="N30" s="34">
        <v>1.05557613931085</v>
      </c>
      <c r="O30" s="34">
        <v>1.05905106792887</v>
      </c>
      <c r="P30" s="34">
        <v>1.05685965228694</v>
      </c>
      <c r="Q30" s="34">
        <v>1.0578289845588</v>
      </c>
      <c r="R30" s="33">
        <v>57.167576646800903</v>
      </c>
      <c r="S30" s="33">
        <v>57.064550314353198</v>
      </c>
      <c r="T30" s="33">
        <v>57.107730517404001</v>
      </c>
      <c r="U30" s="15">
        <v>3.2865667612735701E-3</v>
      </c>
      <c r="V30" s="15">
        <v>1.48275966911257E-3</v>
      </c>
      <c r="W30" s="15">
        <v>2.2391640221659198E-3</v>
      </c>
      <c r="X30" s="34">
        <v>1.05557613931085</v>
      </c>
      <c r="Y30" s="34">
        <v>1.0594170994200001</v>
      </c>
      <c r="Z30" s="34">
        <v>1.05685965228694</v>
      </c>
      <c r="AA30" s="34">
        <v>1.0578289845588</v>
      </c>
      <c r="AB30" s="33">
        <v>57.187335026691898</v>
      </c>
      <c r="AC30" s="33">
        <v>57.064550314353198</v>
      </c>
      <c r="AD30" s="33">
        <v>57.107730517404001</v>
      </c>
      <c r="AE30" s="15">
        <v>3.6321291826598499E-3</v>
      </c>
      <c r="AF30" s="15">
        <v>1.48275966911257E-3</v>
      </c>
      <c r="AG30" s="15">
        <v>2.2391640221659198E-3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3">
      <c r="A31" s="1">
        <v>46066</v>
      </c>
      <c r="B31" s="33">
        <v>54.35</v>
      </c>
      <c r="C31" s="33">
        <v>57.41</v>
      </c>
      <c r="D31" s="15">
        <v>6.8310059773598704E-3</v>
      </c>
      <c r="E31" s="15">
        <v>7.5181751097832001E-3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54.35</v>
      </c>
      <c r="M31" s="33">
        <v>57.41</v>
      </c>
      <c r="N31" s="34">
        <v>1.05630174793008</v>
      </c>
      <c r="O31" s="34">
        <v>1.05905106792887</v>
      </c>
      <c r="P31" s="34">
        <v>1.05676994461178</v>
      </c>
      <c r="Q31" s="34">
        <v>1.0576825092583899</v>
      </c>
      <c r="R31" s="33">
        <v>57.559425541934601</v>
      </c>
      <c r="S31" s="33">
        <v>57.440322101795203</v>
      </c>
      <c r="T31" s="33">
        <v>57.493005310771103</v>
      </c>
      <c r="U31" s="15">
        <v>2.59939762885021E-3</v>
      </c>
      <c r="V31" s="15">
        <v>5.2802816648407495E-4</v>
      </c>
      <c r="W31" s="15">
        <v>1.4447894549931401E-3</v>
      </c>
      <c r="X31" s="34">
        <v>1.05630174793008</v>
      </c>
      <c r="Y31" s="34">
        <v>1.0594170994200001</v>
      </c>
      <c r="Z31" s="34">
        <v>1.05676994461178</v>
      </c>
      <c r="AA31" s="34">
        <v>1.0576825092583899</v>
      </c>
      <c r="AB31" s="33">
        <v>57.579319353477302</v>
      </c>
      <c r="AC31" s="33">
        <v>57.440322101795203</v>
      </c>
      <c r="AD31" s="33">
        <v>57.493005310771103</v>
      </c>
      <c r="AE31" s="15">
        <v>2.9449600502366498E-3</v>
      </c>
      <c r="AF31" s="15">
        <v>5.2802816648407495E-4</v>
      </c>
      <c r="AG31" s="15">
        <v>1.4447894549931401E-3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3">
      <c r="A32" s="1">
        <v>46070</v>
      </c>
      <c r="B32" s="33">
        <v>53.75</v>
      </c>
      <c r="C32" s="33">
        <v>56.79</v>
      </c>
      <c r="D32" s="15">
        <v>-1.11009465594463E-2</v>
      </c>
      <c r="E32" s="15">
        <v>-1.0858250290204201E-2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53.75</v>
      </c>
      <c r="M32" s="33">
        <v>56.79</v>
      </c>
      <c r="N32" s="34">
        <v>1.05655813953488</v>
      </c>
      <c r="O32" s="34">
        <v>1.05905106792887</v>
      </c>
      <c r="P32" s="34">
        <v>1.05657161271112</v>
      </c>
      <c r="Q32" s="34">
        <v>1.0575118840480999</v>
      </c>
      <c r="R32" s="33">
        <v>56.923994901177203</v>
      </c>
      <c r="S32" s="33">
        <v>56.801384522883197</v>
      </c>
      <c r="T32" s="33">
        <v>56.8504348726389</v>
      </c>
      <c r="U32" s="15">
        <v>2.3567013596083302E-3</v>
      </c>
      <c r="V32" s="15">
        <v>2.0044694356285099E-4</v>
      </c>
      <c r="W32" s="15">
        <v>1.0636157526855801E-3</v>
      </c>
      <c r="X32" s="34">
        <v>1.05655813953488</v>
      </c>
      <c r="Y32" s="34">
        <v>1.0594170994200001</v>
      </c>
      <c r="Z32" s="34">
        <v>1.05657161271112</v>
      </c>
      <c r="AA32" s="34">
        <v>1.0575118840480999</v>
      </c>
      <c r="AB32" s="33">
        <v>56.943669093825299</v>
      </c>
      <c r="AC32" s="33">
        <v>56.801384522883197</v>
      </c>
      <c r="AD32" s="33">
        <v>56.8504348726389</v>
      </c>
      <c r="AE32" s="15">
        <v>2.70226378099462E-3</v>
      </c>
      <c r="AF32" s="15">
        <v>2.0044694356285099E-4</v>
      </c>
      <c r="AG32" s="15">
        <v>1.0636157526855801E-3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3">
      <c r="A33" s="1">
        <v>46071</v>
      </c>
      <c r="B33" s="33">
        <v>54.78</v>
      </c>
      <c r="C33" s="33">
        <v>57.9</v>
      </c>
      <c r="D33" s="15">
        <v>1.8981496827159799E-2</v>
      </c>
      <c r="E33" s="15">
        <v>1.9357130689608301E-2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54.78</v>
      </c>
      <c r="M33" s="33">
        <v>57.9</v>
      </c>
      <c r="N33" s="34">
        <v>1.0569550930996701</v>
      </c>
      <c r="O33" s="34">
        <v>1.05905106792887</v>
      </c>
      <c r="P33" s="34">
        <v>1.0565578129442501</v>
      </c>
      <c r="Q33" s="34">
        <v>1.05739745382913</v>
      </c>
      <c r="R33" s="33">
        <v>58.014817501144002</v>
      </c>
      <c r="S33" s="33">
        <v>57.8789929443153</v>
      </c>
      <c r="T33" s="33">
        <v>57.930501008154899</v>
      </c>
      <c r="U33" s="15">
        <v>1.9810674971596602E-3</v>
      </c>
      <c r="V33" s="15">
        <v>-3.6288199406410502E-4</v>
      </c>
      <c r="W33" s="15">
        <v>5.2664900167891798E-4</v>
      </c>
      <c r="X33" s="34">
        <v>1.0569550930996701</v>
      </c>
      <c r="Y33" s="34">
        <v>1.0594170994200001</v>
      </c>
      <c r="Z33" s="34">
        <v>1.0565578129442501</v>
      </c>
      <c r="AA33" s="34">
        <v>1.05739745382913</v>
      </c>
      <c r="AB33" s="33">
        <v>58.034868706227897</v>
      </c>
      <c r="AC33" s="33">
        <v>57.8789929443153</v>
      </c>
      <c r="AD33" s="33">
        <v>57.930501008154899</v>
      </c>
      <c r="AE33" s="15">
        <v>2.32662991854611E-3</v>
      </c>
      <c r="AF33" s="15">
        <v>-3.6288199406410502E-4</v>
      </c>
      <c r="AG33" s="15">
        <v>5.2664900167891798E-4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3">
      <c r="A34" s="1">
        <v>46072</v>
      </c>
      <c r="B34" s="33">
        <v>55.18</v>
      </c>
      <c r="C34" s="33">
        <v>58.29</v>
      </c>
      <c r="D34" s="15">
        <v>7.27540495420785E-3</v>
      </c>
      <c r="E34" s="15">
        <v>6.7131674785088297E-3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55.18</v>
      </c>
      <c r="M34" s="33">
        <v>58.29</v>
      </c>
      <c r="N34" s="34">
        <v>1.05636100036245</v>
      </c>
      <c r="O34" s="34">
        <v>1.05905106792887</v>
      </c>
      <c r="P34" s="34">
        <v>1.0565153212712399</v>
      </c>
      <c r="Q34" s="34">
        <v>1.05726165769341</v>
      </c>
      <c r="R34" s="33">
        <v>58.438437928315501</v>
      </c>
      <c r="S34" s="33">
        <v>58.300860118263998</v>
      </c>
      <c r="T34" s="33">
        <v>58.347191502291601</v>
      </c>
      <c r="U34" s="15">
        <v>2.54330497285869E-3</v>
      </c>
      <c r="V34" s="15">
        <v>1.86294505152093E-4</v>
      </c>
      <c r="W34" s="15">
        <v>9.8067359370630704E-4</v>
      </c>
      <c r="X34" s="34">
        <v>1.05636100036245</v>
      </c>
      <c r="Y34" s="34">
        <v>1.0594170994200001</v>
      </c>
      <c r="Z34" s="34">
        <v>1.0565153212712399</v>
      </c>
      <c r="AA34" s="34">
        <v>1.05726165769341</v>
      </c>
      <c r="AB34" s="33">
        <v>58.458635545995897</v>
      </c>
      <c r="AC34" s="33">
        <v>58.300860118263998</v>
      </c>
      <c r="AD34" s="33">
        <v>58.347191502291601</v>
      </c>
      <c r="AE34" s="15">
        <v>2.8888673942450501E-3</v>
      </c>
      <c r="AF34" s="15">
        <v>1.86294505152093E-4</v>
      </c>
      <c r="AG34" s="15">
        <v>9.8067359370630704E-4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3">
      <c r="A35" s="1">
        <v>46073</v>
      </c>
      <c r="B35" s="33">
        <v>54.88</v>
      </c>
      <c r="C35" s="33">
        <v>58.06</v>
      </c>
      <c r="D35" s="15">
        <v>-5.45158537151015E-3</v>
      </c>
      <c r="E35" s="15">
        <v>-3.9535934609745702E-3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54.88</v>
      </c>
      <c r="M35" s="33">
        <v>58.06</v>
      </c>
      <c r="N35" s="34">
        <v>1.0579446064139899</v>
      </c>
      <c r="O35" s="34">
        <v>1.05905106792887</v>
      </c>
      <c r="P35" s="34">
        <v>1.0566020630848301</v>
      </c>
      <c r="Q35" s="34">
        <v>1.05723515053711</v>
      </c>
      <c r="R35" s="33">
        <v>58.120722607936898</v>
      </c>
      <c r="S35" s="33">
        <v>57.981560831365897</v>
      </c>
      <c r="T35" s="33">
        <v>58.022519774214402</v>
      </c>
      <c r="U35" s="15">
        <v>1.04531306232318E-3</v>
      </c>
      <c r="V35" s="15">
        <v>-1.35191529687878E-3</v>
      </c>
      <c r="W35" s="15">
        <v>-6.4575143890585E-4</v>
      </c>
      <c r="X35" s="34">
        <v>1.0579446064139899</v>
      </c>
      <c r="Y35" s="34">
        <v>1.0594170994200001</v>
      </c>
      <c r="Z35" s="34">
        <v>1.0566020630848301</v>
      </c>
      <c r="AA35" s="34">
        <v>1.05723515053711</v>
      </c>
      <c r="AB35" s="33">
        <v>58.140810416169899</v>
      </c>
      <c r="AC35" s="33">
        <v>57.981560831365897</v>
      </c>
      <c r="AD35" s="33">
        <v>58.022519774214402</v>
      </c>
      <c r="AE35" s="15">
        <v>1.39087548370946E-3</v>
      </c>
      <c r="AF35" s="15">
        <v>-1.35191529687878E-3</v>
      </c>
      <c r="AG35" s="15">
        <v>-6.4575143890585E-4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3">
      <c r="A36" s="1">
        <v>46076</v>
      </c>
      <c r="B36" s="33">
        <v>55.15</v>
      </c>
      <c r="C36" s="33">
        <v>58.29</v>
      </c>
      <c r="D36" s="15">
        <v>4.9077622818815203E-3</v>
      </c>
      <c r="E36" s="15">
        <v>3.9535934609745199E-3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55.15</v>
      </c>
      <c r="M36" s="33">
        <v>58.29</v>
      </c>
      <c r="N36" s="34">
        <v>1.0569356300997199</v>
      </c>
      <c r="O36" s="34">
        <v>1.05905106792887</v>
      </c>
      <c r="P36" s="34">
        <v>1.0566806026206199</v>
      </c>
      <c r="Q36" s="34">
        <v>1.05716467243648</v>
      </c>
      <c r="R36" s="33">
        <v>58.4066663962777</v>
      </c>
      <c r="S36" s="33">
        <v>58.271603779128597</v>
      </c>
      <c r="T36" s="33">
        <v>58.306518552121702</v>
      </c>
      <c r="U36" s="15">
        <v>1.9994818832301401E-3</v>
      </c>
      <c r="V36" s="15">
        <v>-3.1564804236886501E-4</v>
      </c>
      <c r="W36" s="15">
        <v>2.8334554817569402E-4</v>
      </c>
      <c r="X36" s="34">
        <v>1.0569356300997199</v>
      </c>
      <c r="Y36" s="34">
        <v>1.0594170994200001</v>
      </c>
      <c r="Z36" s="34">
        <v>1.0566806026206199</v>
      </c>
      <c r="AA36" s="34">
        <v>1.05716467243648</v>
      </c>
      <c r="AB36" s="33">
        <v>58.426853033013302</v>
      </c>
      <c r="AC36" s="33">
        <v>58.271603779128597</v>
      </c>
      <c r="AD36" s="33">
        <v>58.306518552121702</v>
      </c>
      <c r="AE36" s="15">
        <v>2.3450443046166801E-3</v>
      </c>
      <c r="AF36" s="15">
        <v>-3.1564804236886501E-4</v>
      </c>
      <c r="AG36" s="15">
        <v>2.8334554817569402E-4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3">
      <c r="A37" s="1">
        <v>46077</v>
      </c>
      <c r="B37" s="33">
        <v>55.1</v>
      </c>
      <c r="C37" s="33">
        <v>58.28</v>
      </c>
      <c r="D37" s="15">
        <v>-9.0702954064261396E-4</v>
      </c>
      <c r="E37" s="15">
        <v>-1.7157073045426799E-4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55.1</v>
      </c>
      <c r="M37" s="33">
        <v>58.28</v>
      </c>
      <c r="N37" s="34">
        <v>1.0577132486388301</v>
      </c>
      <c r="O37" s="34">
        <v>1.05905106792887</v>
      </c>
      <c r="P37" s="34">
        <v>1.0567658723018101</v>
      </c>
      <c r="Q37" s="34">
        <v>1.0571348533568401</v>
      </c>
      <c r="R37" s="33">
        <v>58.353713842881199</v>
      </c>
      <c r="S37" s="33">
        <v>58.223101204396599</v>
      </c>
      <c r="T37" s="33">
        <v>58.249773451250398</v>
      </c>
      <c r="U37" s="15">
        <v>1.2640230730419999E-3</v>
      </c>
      <c r="V37" s="15">
        <v>-9.7677743406065294E-4</v>
      </c>
      <c r="W37" s="15">
        <v>-5.1877813767597296E-4</v>
      </c>
      <c r="X37" s="34">
        <v>1.0577132486388301</v>
      </c>
      <c r="Y37" s="34">
        <v>1.0594170994200001</v>
      </c>
      <c r="Z37" s="34">
        <v>1.0567658723018101</v>
      </c>
      <c r="AA37" s="34">
        <v>1.0571348533568401</v>
      </c>
      <c r="AB37" s="33">
        <v>58.373882178042301</v>
      </c>
      <c r="AC37" s="33">
        <v>58.223101204396599</v>
      </c>
      <c r="AD37" s="33">
        <v>58.249773451250398</v>
      </c>
      <c r="AE37" s="15">
        <v>1.60958549442837E-3</v>
      </c>
      <c r="AF37" s="15">
        <v>-9.7677743406065294E-4</v>
      </c>
      <c r="AG37" s="15">
        <v>-5.1877813767597296E-4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3">
      <c r="A38" s="1">
        <v>46078</v>
      </c>
      <c r="B38" s="33">
        <v>54.87</v>
      </c>
      <c r="C38" s="33">
        <v>57.93</v>
      </c>
      <c r="D38" s="15">
        <v>-4.1829650879848298E-3</v>
      </c>
      <c r="E38" s="15">
        <v>-6.0235962184713096E-3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54.87</v>
      </c>
      <c r="M38" s="33">
        <v>57.93</v>
      </c>
      <c r="N38" s="34">
        <v>1.0557681793329601</v>
      </c>
      <c r="O38" s="34">
        <v>1.05905106792887</v>
      </c>
      <c r="P38" s="34">
        <v>1.0566316040089001</v>
      </c>
      <c r="Q38" s="34">
        <v>1.0570039951602199</v>
      </c>
      <c r="R38" s="33">
        <v>58.110132097257598</v>
      </c>
      <c r="S38" s="33">
        <v>57.984743413200398</v>
      </c>
      <c r="T38" s="33">
        <v>58.004989403690303</v>
      </c>
      <c r="U38" s="15">
        <v>3.1046542035282399E-3</v>
      </c>
      <c r="V38" s="15">
        <v>9.4454623559598802E-4</v>
      </c>
      <c r="W38" s="15">
        <v>1.29364593957422E-3</v>
      </c>
      <c r="X38" s="34">
        <v>1.0557681793329601</v>
      </c>
      <c r="Y38" s="34">
        <v>1.0594170994200001</v>
      </c>
      <c r="Z38" s="34">
        <v>1.0566316040089001</v>
      </c>
      <c r="AA38" s="34">
        <v>1.0570039951602199</v>
      </c>
      <c r="AB38" s="33">
        <v>58.130216245175703</v>
      </c>
      <c r="AC38" s="33">
        <v>57.984743413200398</v>
      </c>
      <c r="AD38" s="33">
        <v>58.004989403690303</v>
      </c>
      <c r="AE38" s="15">
        <v>3.4502166249148199E-3</v>
      </c>
      <c r="AF38" s="15">
        <v>9.4454623559598802E-4</v>
      </c>
      <c r="AG38" s="15">
        <v>1.29364593957422E-3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3">
      <c r="A39" s="1">
        <v>46079</v>
      </c>
      <c r="B39" s="33">
        <v>55.05</v>
      </c>
      <c r="C39" s="33">
        <v>58.16</v>
      </c>
      <c r="D39" s="15">
        <v>3.2751120978050398E-3</v>
      </c>
      <c r="E39" s="15">
        <v>3.9624481167311199E-3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55.05</v>
      </c>
      <c r="M39" s="33">
        <v>58.16</v>
      </c>
      <c r="N39" s="34">
        <v>1.05649409627611</v>
      </c>
      <c r="O39" s="34">
        <v>1.05905106792887</v>
      </c>
      <c r="P39" s="34">
        <v>1.0566607880999499</v>
      </c>
      <c r="Q39" s="34">
        <v>1.05690162704695</v>
      </c>
      <c r="R39" s="33">
        <v>58.300761289484797</v>
      </c>
      <c r="S39" s="33">
        <v>58.167569800690202</v>
      </c>
      <c r="T39" s="33">
        <v>58.188069933570098</v>
      </c>
      <c r="U39" s="15">
        <v>2.4173181846021299E-3</v>
      </c>
      <c r="V39" s="15">
        <v>1.3014628800263599E-4</v>
      </c>
      <c r="W39" s="15">
        <v>4.8251654076850501E-4</v>
      </c>
      <c r="X39" s="34">
        <v>1.05649409627611</v>
      </c>
      <c r="Y39" s="34">
        <v>1.0594170994200001</v>
      </c>
      <c r="Z39" s="34">
        <v>1.0566607880999499</v>
      </c>
      <c r="AA39" s="34">
        <v>1.05690162704695</v>
      </c>
      <c r="AB39" s="33">
        <v>58.3209113230713</v>
      </c>
      <c r="AC39" s="33">
        <v>58.167569800690202</v>
      </c>
      <c r="AD39" s="33">
        <v>58.188069933570098</v>
      </c>
      <c r="AE39" s="15">
        <v>2.7628806059886101E-3</v>
      </c>
      <c r="AF39" s="15">
        <v>1.3014628800263599E-4</v>
      </c>
      <c r="AG39" s="15">
        <v>4.8251654076850501E-4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3">
      <c r="A40" s="1">
        <v>46080</v>
      </c>
      <c r="B40" s="33">
        <v>55.92</v>
      </c>
      <c r="C40" s="33">
        <v>59.06</v>
      </c>
      <c r="D40" s="15">
        <v>1.5680234756865901E-2</v>
      </c>
      <c r="E40" s="15">
        <v>1.5356043090512601E-2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55.92</v>
      </c>
      <c r="M40" s="33">
        <v>59.06</v>
      </c>
      <c r="N40" s="34">
        <v>1.05615164520743</v>
      </c>
      <c r="O40" s="34">
        <v>1.05905106792887</v>
      </c>
      <c r="P40" s="34">
        <v>1.05671833868961</v>
      </c>
      <c r="Q40" s="34">
        <v>1.0567889954882701</v>
      </c>
      <c r="R40" s="33">
        <v>59.222135718582898</v>
      </c>
      <c r="S40" s="33">
        <v>59.088471270549597</v>
      </c>
      <c r="T40" s="33">
        <v>59.101938984465598</v>
      </c>
      <c r="U40" s="15">
        <v>2.7415098509554299E-3</v>
      </c>
      <c r="V40" s="15">
        <v>4.81957503040465E-4</v>
      </c>
      <c r="W40" s="15">
        <v>7.09856093884698E-4</v>
      </c>
      <c r="X40" s="34">
        <v>1.05615164520743</v>
      </c>
      <c r="Y40" s="34">
        <v>1.0594170994200001</v>
      </c>
      <c r="Z40" s="34">
        <v>1.05671833868961</v>
      </c>
      <c r="AA40" s="34">
        <v>1.0567889954882701</v>
      </c>
      <c r="AB40" s="33">
        <v>59.242604199566699</v>
      </c>
      <c r="AC40" s="33">
        <v>59.088471270549597</v>
      </c>
      <c r="AD40" s="33">
        <v>59.101938984465598</v>
      </c>
      <c r="AE40" s="15">
        <v>3.0870722723416598E-3</v>
      </c>
      <c r="AF40" s="15">
        <v>4.81957503040465E-4</v>
      </c>
      <c r="AG40" s="15">
        <v>7.09856093884698E-4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3">
      <c r="A41" s="1">
        <v>46083</v>
      </c>
      <c r="B41" s="33">
        <v>57.04</v>
      </c>
      <c r="C41" s="33">
        <v>60.29</v>
      </c>
      <c r="D41" s="15">
        <v>1.98306781804857E-2</v>
      </c>
      <c r="E41" s="15">
        <v>2.06123761855374E-2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57.04</v>
      </c>
      <c r="M41" s="33">
        <v>60.29</v>
      </c>
      <c r="N41" s="34">
        <v>1.0569775596072899</v>
      </c>
      <c r="O41" s="34">
        <v>1.05905106792887</v>
      </c>
      <c r="P41" s="34">
        <v>1.0567859198573299</v>
      </c>
      <c r="Q41" s="34">
        <v>1.0567779322345501</v>
      </c>
      <c r="R41" s="33">
        <v>60.4082729146632</v>
      </c>
      <c r="S41" s="33">
        <v>60.275214038855701</v>
      </c>
      <c r="T41" s="33">
        <v>60.279244302651399</v>
      </c>
      <c r="U41" s="15">
        <v>1.95981184590355E-3</v>
      </c>
      <c r="V41" s="15">
        <v>-2.4527740171561701E-4</v>
      </c>
      <c r="W41" s="15">
        <v>-1.78415273966547E-4</v>
      </c>
      <c r="X41" s="34">
        <v>1.0569775596072899</v>
      </c>
      <c r="Y41" s="34">
        <v>1.0594170994200001</v>
      </c>
      <c r="Z41" s="34">
        <v>1.0567859198573299</v>
      </c>
      <c r="AA41" s="34">
        <v>1.0567779322345501</v>
      </c>
      <c r="AB41" s="33">
        <v>60.429151350917103</v>
      </c>
      <c r="AC41" s="33">
        <v>60.275214038855701</v>
      </c>
      <c r="AD41" s="33">
        <v>60.279244302651399</v>
      </c>
      <c r="AE41" s="15">
        <v>2.3053742672898702E-3</v>
      </c>
      <c r="AF41" s="15">
        <v>-2.4527740171561701E-4</v>
      </c>
      <c r="AG41" s="15">
        <v>-1.78415273966547E-4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3">
      <c r="A42" s="1">
        <v>46084</v>
      </c>
      <c r="B42" s="33">
        <v>56.52</v>
      </c>
      <c r="C42" s="33">
        <v>59.7</v>
      </c>
      <c r="D42" s="15">
        <v>-9.1582182897137591E-3</v>
      </c>
      <c r="E42" s="15">
        <v>-9.8342321027577104E-3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56.52</v>
      </c>
      <c r="M42" s="33">
        <v>59.7</v>
      </c>
      <c r="N42" s="34">
        <v>1.0562632696390599</v>
      </c>
      <c r="O42" s="34">
        <v>1.05905106792887</v>
      </c>
      <c r="P42" s="34">
        <v>1.0567564328677499</v>
      </c>
      <c r="Q42" s="34">
        <v>1.0566640227894299</v>
      </c>
      <c r="R42" s="33">
        <v>59.857566359340197</v>
      </c>
      <c r="S42" s="33">
        <v>59.729540190336699</v>
      </c>
      <c r="T42" s="33">
        <v>59.729088729897299</v>
      </c>
      <c r="U42" s="15">
        <v>2.6358256589474201E-3</v>
      </c>
      <c r="V42" s="15">
        <v>4.9468818002777997E-4</v>
      </c>
      <c r="W42" s="15">
        <v>4.8712974003022898E-4</v>
      </c>
      <c r="X42" s="34">
        <v>1.0562632696390599</v>
      </c>
      <c r="Y42" s="34">
        <v>1.0594170994200001</v>
      </c>
      <c r="Z42" s="34">
        <v>1.0567564328677499</v>
      </c>
      <c r="AA42" s="34">
        <v>1.0566640227894299</v>
      </c>
      <c r="AB42" s="33">
        <v>59.878254459218702</v>
      </c>
      <c r="AC42" s="33">
        <v>59.729540190336699</v>
      </c>
      <c r="AD42" s="33">
        <v>59.729088729897299</v>
      </c>
      <c r="AE42" s="15">
        <v>2.98138808033383E-3</v>
      </c>
      <c r="AF42" s="15">
        <v>4.9468818002777997E-4</v>
      </c>
      <c r="AG42" s="15">
        <v>4.8712974003022898E-4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3">
      <c r="A43" s="1">
        <v>46085</v>
      </c>
      <c r="B43" s="33">
        <v>56.19</v>
      </c>
      <c r="C43" s="33">
        <v>59.37</v>
      </c>
      <c r="D43" s="15">
        <v>-5.8557526922199E-3</v>
      </c>
      <c r="E43" s="15">
        <v>-5.5429721159723803E-3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56.19</v>
      </c>
      <c r="M43" s="33">
        <v>59.37</v>
      </c>
      <c r="N43" s="34">
        <v>1.0565936999465999</v>
      </c>
      <c r="O43" s="34">
        <v>1.05905106792887</v>
      </c>
      <c r="P43" s="34">
        <v>1.05672029355245</v>
      </c>
      <c r="Q43" s="34">
        <v>1.0566390532483501</v>
      </c>
      <c r="R43" s="33">
        <v>59.5080795069237</v>
      </c>
      <c r="S43" s="33">
        <v>59.379143962839201</v>
      </c>
      <c r="T43" s="33">
        <v>59.373951440538598</v>
      </c>
      <c r="U43" s="15">
        <v>2.3230450827000002E-3</v>
      </c>
      <c r="V43" s="15">
        <v>1.5400469514392399E-4</v>
      </c>
      <c r="W43" s="15">
        <v>6.65539674590836E-5</v>
      </c>
      <c r="X43" s="34">
        <v>1.0565936999465999</v>
      </c>
      <c r="Y43" s="34">
        <v>1.0594170994200001</v>
      </c>
      <c r="Z43" s="34">
        <v>1.05672029355245</v>
      </c>
      <c r="AA43" s="34">
        <v>1.0566390532483501</v>
      </c>
      <c r="AB43" s="33">
        <v>59.528646816410102</v>
      </c>
      <c r="AC43" s="33">
        <v>59.379143962839201</v>
      </c>
      <c r="AD43" s="33">
        <v>59.373951440538598</v>
      </c>
      <c r="AE43" s="15">
        <v>2.66860750408627E-3</v>
      </c>
      <c r="AF43" s="15">
        <v>1.5400469514392399E-4</v>
      </c>
      <c r="AG43" s="15">
        <v>6.65539674590836E-5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3">
      <c r="A44" s="1">
        <v>46086</v>
      </c>
      <c r="B44" s="33">
        <v>56.48</v>
      </c>
      <c r="C44" s="33">
        <v>59.68</v>
      </c>
      <c r="D44" s="15">
        <v>5.1477880608798102E-3</v>
      </c>
      <c r="E44" s="15">
        <v>5.20790761292147E-3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56.48</v>
      </c>
      <c r="M44" s="33">
        <v>59.68</v>
      </c>
      <c r="N44" s="34">
        <v>1.0566572237960301</v>
      </c>
      <c r="O44" s="34">
        <v>1.05905106792887</v>
      </c>
      <c r="P44" s="34">
        <v>1.0567499158958</v>
      </c>
      <c r="Q44" s="34">
        <v>1.05663261858352</v>
      </c>
      <c r="R44" s="33">
        <v>59.815204316623102</v>
      </c>
      <c r="S44" s="33">
        <v>59.683562179842298</v>
      </c>
      <c r="T44" s="33">
        <v>59.678973727466897</v>
      </c>
      <c r="U44" s="15">
        <v>2.2629255306584298E-3</v>
      </c>
      <c r="V44" s="15">
        <v>5.9686218782064199E-5</v>
      </c>
      <c r="W44" s="15">
        <v>-1.7196403437130199E-5</v>
      </c>
      <c r="X44" s="34">
        <v>1.0566572237960301</v>
      </c>
      <c r="Y44" s="34">
        <v>1.0594170994200001</v>
      </c>
      <c r="Z44" s="34">
        <v>1.0567499158958</v>
      </c>
      <c r="AA44" s="34">
        <v>1.05663261858352</v>
      </c>
      <c r="AB44" s="33">
        <v>59.835877775241897</v>
      </c>
      <c r="AC44" s="33">
        <v>59.683562179842298</v>
      </c>
      <c r="AD44" s="33">
        <v>59.678973727466897</v>
      </c>
      <c r="AE44" s="15">
        <v>2.6084879520446801E-3</v>
      </c>
      <c r="AF44" s="15">
        <v>5.9686218782064199E-5</v>
      </c>
      <c r="AG44" s="15">
        <v>-1.7196403437130199E-5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3">
      <c r="A45" s="1">
        <v>46087</v>
      </c>
      <c r="B45" s="33">
        <v>56.57</v>
      </c>
      <c r="C45" s="33">
        <v>59.75</v>
      </c>
      <c r="D45" s="15">
        <v>1.59221617007778E-3</v>
      </c>
      <c r="E45" s="15">
        <v>1.17223491611462E-3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56.57</v>
      </c>
      <c r="M45" s="33">
        <v>59.75</v>
      </c>
      <c r="N45" s="34">
        <v>1.0562135407459701</v>
      </c>
      <c r="O45" s="34">
        <v>1.05905106792887</v>
      </c>
      <c r="P45" s="34">
        <v>1.056576809329</v>
      </c>
      <c r="Q45" s="34">
        <v>1.0565894362069199</v>
      </c>
      <c r="R45" s="33">
        <v>59.910518912736698</v>
      </c>
      <c r="S45" s="33">
        <v>59.780342742225798</v>
      </c>
      <c r="T45" s="33">
        <v>59.773707233270102</v>
      </c>
      <c r="U45" s="15">
        <v>2.6829067846213502E-3</v>
      </c>
      <c r="V45" s="15">
        <v>5.0769942060782799E-4</v>
      </c>
      <c r="W45" s="15">
        <v>3.9669508467890698E-4</v>
      </c>
      <c r="X45" s="34">
        <v>1.0562135407459701</v>
      </c>
      <c r="Y45" s="34">
        <v>1.0594170994200001</v>
      </c>
      <c r="Z45" s="34">
        <v>1.056576809329</v>
      </c>
      <c r="AA45" s="34">
        <v>1.0565894362069199</v>
      </c>
      <c r="AB45" s="33">
        <v>59.931225314189703</v>
      </c>
      <c r="AC45" s="33">
        <v>59.780342742225798</v>
      </c>
      <c r="AD45" s="33">
        <v>59.773707233270102</v>
      </c>
      <c r="AE45" s="15">
        <v>3.0284692060078902E-3</v>
      </c>
      <c r="AF45" s="15">
        <v>5.0769942060782799E-4</v>
      </c>
      <c r="AG45" s="15">
        <v>3.9669508467890698E-4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3">
      <c r="A46" s="1">
        <v>46090</v>
      </c>
      <c r="B46" s="33">
        <v>56.32</v>
      </c>
      <c r="C46" s="33">
        <v>59.5</v>
      </c>
      <c r="D46" s="15">
        <v>-4.4290975052774196E-3</v>
      </c>
      <c r="E46" s="15">
        <v>-4.1928782600359196E-3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56.32</v>
      </c>
      <c r="M46" s="33">
        <v>59.5</v>
      </c>
      <c r="N46" s="34">
        <v>1.0564630681818099</v>
      </c>
      <c r="O46" s="34">
        <v>1.05905106792887</v>
      </c>
      <c r="P46" s="34">
        <v>1.0565295531372101</v>
      </c>
      <c r="Q46" s="34">
        <v>1.05660507787892</v>
      </c>
      <c r="R46" s="33">
        <v>59.645756145754497</v>
      </c>
      <c r="S46" s="33">
        <v>59.5064059014096</v>
      </c>
      <c r="T46" s="33">
        <v>59.507117047173701</v>
      </c>
      <c r="U46" s="15">
        <v>2.4466875393799798E-3</v>
      </c>
      <c r="V46" s="15">
        <v>1.0765641340620499E-4</v>
      </c>
      <c r="W46" s="15">
        <v>1.19607085001913E-4</v>
      </c>
      <c r="X46" s="34">
        <v>1.0564630681818099</v>
      </c>
      <c r="Y46" s="34">
        <v>1.0594170994200001</v>
      </c>
      <c r="Z46" s="34">
        <v>1.0565295531372101</v>
      </c>
      <c r="AA46" s="34">
        <v>1.05660507787892</v>
      </c>
      <c r="AB46" s="33">
        <v>59.666371039334699</v>
      </c>
      <c r="AC46" s="33">
        <v>59.5064059014096</v>
      </c>
      <c r="AD46" s="33">
        <v>59.507117047173701</v>
      </c>
      <c r="AE46" s="15">
        <v>2.7922499607664101E-3</v>
      </c>
      <c r="AF46" s="15">
        <v>1.0765641340620499E-4</v>
      </c>
      <c r="AG46" s="15">
        <v>1.19607085001913E-4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3">
      <c r="A47" s="1">
        <v>46091</v>
      </c>
      <c r="B47" s="33">
        <v>55.6</v>
      </c>
      <c r="C47" s="33">
        <v>58.78</v>
      </c>
      <c r="D47" s="15">
        <v>-1.28665105932502E-2</v>
      </c>
      <c r="E47" s="15">
        <v>-1.21746515608127E-2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55.6</v>
      </c>
      <c r="M47" s="33">
        <v>58.78</v>
      </c>
      <c r="N47" s="34">
        <v>1.0571942446043101</v>
      </c>
      <c r="O47" s="34">
        <v>1.05905106792887</v>
      </c>
      <c r="P47" s="34">
        <v>1.05647765273376</v>
      </c>
      <c r="Q47" s="34">
        <v>1.0566217625177801</v>
      </c>
      <c r="R47" s="33">
        <v>58.883239376845701</v>
      </c>
      <c r="S47" s="33">
        <v>58.743043154429202</v>
      </c>
      <c r="T47" s="33">
        <v>58.747242330067998</v>
      </c>
      <c r="U47" s="15">
        <v>1.7548285069425901E-3</v>
      </c>
      <c r="V47" s="15">
        <v>-6.2892937073513104E-4</v>
      </c>
      <c r="W47" s="15">
        <v>-5.5744813084627597E-4</v>
      </c>
      <c r="X47" s="34">
        <v>1.0571942446043101</v>
      </c>
      <c r="Y47" s="34">
        <v>1.0594170994200001</v>
      </c>
      <c r="Z47" s="34">
        <v>1.05647765273376</v>
      </c>
      <c r="AA47" s="34">
        <v>1.0566217625177801</v>
      </c>
      <c r="AB47" s="33">
        <v>58.903590727752302</v>
      </c>
      <c r="AC47" s="33">
        <v>58.743043154429202</v>
      </c>
      <c r="AD47" s="33">
        <v>58.747242330067998</v>
      </c>
      <c r="AE47" s="15">
        <v>2.1003909283288402E-3</v>
      </c>
      <c r="AF47" s="15">
        <v>-6.2892937073513104E-4</v>
      </c>
      <c r="AG47" s="15">
        <v>-5.5744813084627597E-4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3">
      <c r="A48" s="1">
        <v>46092</v>
      </c>
      <c r="B48" s="33">
        <v>56.98</v>
      </c>
      <c r="C48" s="33">
        <v>60.21</v>
      </c>
      <c r="D48" s="15">
        <v>2.45171278132255E-2</v>
      </c>
      <c r="E48" s="15">
        <v>2.4036790485585099E-2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56.98</v>
      </c>
      <c r="M48" s="33">
        <v>60.21</v>
      </c>
      <c r="N48" s="34">
        <v>1.05668655668655</v>
      </c>
      <c r="O48" s="34">
        <v>1.05905106792887</v>
      </c>
      <c r="P48" s="34">
        <v>1.0565694904691201</v>
      </c>
      <c r="Q48" s="34">
        <v>1.0566005472390101</v>
      </c>
      <c r="R48" s="33">
        <v>60.344729850587498</v>
      </c>
      <c r="S48" s="33">
        <v>60.198096652769799</v>
      </c>
      <c r="T48" s="33">
        <v>60.2063080282635</v>
      </c>
      <c r="U48" s="15">
        <v>2.23516583458276E-3</v>
      </c>
      <c r="V48" s="15">
        <v>-1.9771672503477E-4</v>
      </c>
      <c r="W48" s="15">
        <v>-6.1320128444810901E-5</v>
      </c>
      <c r="X48" s="34">
        <v>1.05668655668655</v>
      </c>
      <c r="Y48" s="34">
        <v>1.0594170994200001</v>
      </c>
      <c r="Z48" s="34">
        <v>1.0565694904691201</v>
      </c>
      <c r="AA48" s="34">
        <v>1.0566005472390101</v>
      </c>
      <c r="AB48" s="33">
        <v>60.365586324951899</v>
      </c>
      <c r="AC48" s="33">
        <v>60.198096652769799</v>
      </c>
      <c r="AD48" s="33">
        <v>60.2063080282635</v>
      </c>
      <c r="AE48" s="15">
        <v>2.58072825596931E-3</v>
      </c>
      <c r="AF48" s="15">
        <v>-1.9771672503477E-4</v>
      </c>
      <c r="AG48" s="15">
        <v>-6.1320128444810901E-5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3">
      <c r="A49" s="1">
        <v>46093</v>
      </c>
      <c r="B49" s="33">
        <v>57.51</v>
      </c>
      <c r="C49" s="33">
        <v>60.71</v>
      </c>
      <c r="D49" s="15">
        <v>9.2585166559006893E-3</v>
      </c>
      <c r="E49" s="15">
        <v>8.2699776659861998E-3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57.51</v>
      </c>
      <c r="M49" s="33">
        <v>60.71</v>
      </c>
      <c r="N49" s="34">
        <v>1.0556424969570499</v>
      </c>
      <c r="O49" s="34">
        <v>1.05905106792887</v>
      </c>
      <c r="P49" s="34">
        <v>1.05648433053721</v>
      </c>
      <c r="Q49" s="34">
        <v>1.05657255931858</v>
      </c>
      <c r="R49" s="33">
        <v>60.906026916589802</v>
      </c>
      <c r="S49" s="33">
        <v>60.763311396879203</v>
      </c>
      <c r="T49" s="33">
        <v>60.765097471715698</v>
      </c>
      <c r="U49" s="15">
        <v>3.2237048244972599E-3</v>
      </c>
      <c r="V49" s="15">
        <v>8.7774671965303096E-4</v>
      </c>
      <c r="W49" s="15">
        <v>9.0714025575243298E-4</v>
      </c>
      <c r="X49" s="34">
        <v>1.0556424969570499</v>
      </c>
      <c r="Y49" s="34">
        <v>1.0594170994200001</v>
      </c>
      <c r="Z49" s="34">
        <v>1.05648433053721</v>
      </c>
      <c r="AA49" s="34">
        <v>1.05657255931858</v>
      </c>
      <c r="AB49" s="33">
        <v>60.927077387644502</v>
      </c>
      <c r="AC49" s="33">
        <v>60.763311396879203</v>
      </c>
      <c r="AD49" s="33">
        <v>60.765097471715698</v>
      </c>
      <c r="AE49" s="15">
        <v>3.5692672458838099E-3</v>
      </c>
      <c r="AF49" s="15">
        <v>8.7774671965303096E-4</v>
      </c>
      <c r="AG49" s="15">
        <v>9.0714025575243298E-4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3">
      <c r="A50" s="1">
        <v>46094</v>
      </c>
      <c r="B50" s="33">
        <v>57.7</v>
      </c>
      <c r="C50" s="33">
        <v>60.93</v>
      </c>
      <c r="D50" s="15">
        <v>3.2983277883912201E-3</v>
      </c>
      <c r="E50" s="15">
        <v>3.6172351180602698E-3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57.7</v>
      </c>
      <c r="M50" s="33">
        <v>60.93</v>
      </c>
      <c r="N50" s="34">
        <v>1.05597920277296</v>
      </c>
      <c r="O50" s="34">
        <v>1.05905106792887</v>
      </c>
      <c r="P50" s="34">
        <v>1.05646708629376</v>
      </c>
      <c r="Q50" s="34">
        <v>1.0565927124916901</v>
      </c>
      <c r="R50" s="33">
        <v>61.107246619496301</v>
      </c>
      <c r="S50" s="33">
        <v>60.959145871997301</v>
      </c>
      <c r="T50" s="33">
        <v>60.964236672682503</v>
      </c>
      <c r="U50" s="15">
        <v>2.9047974948281899E-3</v>
      </c>
      <c r="V50" s="15">
        <v>4.7823573369659602E-4</v>
      </c>
      <c r="W50" s="15">
        <v>5.6174392682300004E-4</v>
      </c>
      <c r="X50" s="34">
        <v>1.05597920277296</v>
      </c>
      <c r="Y50" s="34">
        <v>1.0594170994200001</v>
      </c>
      <c r="Z50" s="34">
        <v>1.05646708629376</v>
      </c>
      <c r="AA50" s="34">
        <v>1.0565927124916901</v>
      </c>
      <c r="AB50" s="33">
        <v>61.128366636534302</v>
      </c>
      <c r="AC50" s="33">
        <v>60.959145871997301</v>
      </c>
      <c r="AD50" s="33">
        <v>60.964236672682503</v>
      </c>
      <c r="AE50" s="15">
        <v>3.25035991621453E-3</v>
      </c>
      <c r="AF50" s="15">
        <v>4.7823573369659602E-4</v>
      </c>
      <c r="AG50" s="15">
        <v>5.6174392682300004E-4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3">
      <c r="A51" s="1">
        <v>46097</v>
      </c>
      <c r="B51" s="33">
        <v>57.9</v>
      </c>
      <c r="C51" s="33">
        <v>61.16</v>
      </c>
      <c r="D51" s="15">
        <v>3.46021106489565E-3</v>
      </c>
      <c r="E51" s="15">
        <v>3.7677168004584798E-3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57.9</v>
      </c>
      <c r="M51" s="33">
        <v>61.16</v>
      </c>
      <c r="N51" s="34">
        <v>1.05630397236614</v>
      </c>
      <c r="O51" s="34">
        <v>1.05905106792887</v>
      </c>
      <c r="P51" s="34">
        <v>1.0563997275696499</v>
      </c>
      <c r="Q51" s="34">
        <v>1.0565928237134901</v>
      </c>
      <c r="R51" s="33">
        <v>61.319056833082101</v>
      </c>
      <c r="S51" s="33">
        <v>61.169444296409203</v>
      </c>
      <c r="T51" s="33">
        <v>61.176718053268999</v>
      </c>
      <c r="U51" s="15">
        <v>2.5972917592652698E-3</v>
      </c>
      <c r="V51" s="15">
        <v>1.5440757509027801E-4</v>
      </c>
      <c r="W51" s="15">
        <v>2.7331211167223499E-4</v>
      </c>
      <c r="X51" s="34">
        <v>1.05630397236614</v>
      </c>
      <c r="Y51" s="34">
        <v>1.0594170994200001</v>
      </c>
      <c r="Z51" s="34">
        <v>1.0563997275696499</v>
      </c>
      <c r="AA51" s="34">
        <v>1.0565928237134901</v>
      </c>
      <c r="AB51" s="33">
        <v>61.340250056418299</v>
      </c>
      <c r="AC51" s="33">
        <v>61.169444296409203</v>
      </c>
      <c r="AD51" s="33">
        <v>61.176718053268999</v>
      </c>
      <c r="AE51" s="15">
        <v>2.94285418065176E-3</v>
      </c>
      <c r="AF51" s="15">
        <v>1.5440757509027801E-4</v>
      </c>
      <c r="AG51" s="15">
        <v>2.7331211167223499E-4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3">
      <c r="A52" s="1">
        <v>46098</v>
      </c>
      <c r="B52" s="33">
        <v>58.51</v>
      </c>
      <c r="C52" s="33">
        <v>61.45</v>
      </c>
      <c r="D52" s="15">
        <v>1.0480295221195099E-2</v>
      </c>
      <c r="E52" s="15">
        <v>4.7304549511823597E-3</v>
      </c>
      <c r="F52" s="33">
        <v>0</v>
      </c>
      <c r="G52" s="33">
        <v>0</v>
      </c>
      <c r="H52" s="33">
        <v>0.30672700000000003</v>
      </c>
      <c r="I52" s="33">
        <v>0.30672700000000003</v>
      </c>
      <c r="J52" s="33">
        <v>0</v>
      </c>
      <c r="K52" s="33">
        <v>0.30672700000000003</v>
      </c>
      <c r="L52" s="33">
        <v>58.51</v>
      </c>
      <c r="M52" s="33">
        <v>61.756726999999998</v>
      </c>
      <c r="N52" s="34">
        <v>1.0502478208853101</v>
      </c>
      <c r="O52" s="34">
        <v>1.05905106792887</v>
      </c>
      <c r="P52" s="34">
        <v>1.0557981826942699</v>
      </c>
      <c r="Q52" s="34">
        <v>1.0562773077810099</v>
      </c>
      <c r="R52" s="33">
        <v>61.9650779845187</v>
      </c>
      <c r="S52" s="33">
        <v>61.809948060100403</v>
      </c>
      <c r="T52" s="33">
        <v>61.821246115476598</v>
      </c>
      <c r="U52" s="15">
        <v>8.34713202927795E-3</v>
      </c>
      <c r="V52" s="15">
        <v>5.8404873433095901E-3</v>
      </c>
      <c r="W52" s="15">
        <v>6.0232576462737504E-3</v>
      </c>
      <c r="X52" s="34">
        <v>1.05549012134677</v>
      </c>
      <c r="Y52" s="34">
        <v>1.0594170994200001</v>
      </c>
      <c r="Z52" s="34">
        <v>1.05632241274042</v>
      </c>
      <c r="AA52" s="34">
        <v>1.0565394228040901</v>
      </c>
      <c r="AB52" s="33">
        <v>61.986494487064498</v>
      </c>
      <c r="AC52" s="33">
        <v>61.809948060100403</v>
      </c>
      <c r="AD52" s="33">
        <v>61.821246115476598</v>
      </c>
      <c r="AE52" s="15">
        <v>3.7136216168180101E-3</v>
      </c>
      <c r="AF52" s="15">
        <v>8.6141450946325198E-4</v>
      </c>
      <c r="AG52" s="15">
        <v>1.0441848124273399E-3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3">
      <c r="A53" s="1">
        <v>46099</v>
      </c>
      <c r="B53" s="33">
        <v>58.43</v>
      </c>
      <c r="C53" s="33">
        <v>61.45</v>
      </c>
      <c r="D53" s="15">
        <v>-1.3682232337990099E-3</v>
      </c>
      <c r="E53" s="15">
        <v>0</v>
      </c>
      <c r="F53" s="33">
        <v>0</v>
      </c>
      <c r="G53" s="33">
        <v>0</v>
      </c>
      <c r="H53" s="33">
        <v>0</v>
      </c>
      <c r="I53" s="33">
        <v>0.30672700000000003</v>
      </c>
      <c r="J53" s="33">
        <v>0</v>
      </c>
      <c r="K53" s="33">
        <v>0.30672700000000003</v>
      </c>
      <c r="L53" s="33">
        <v>58.43</v>
      </c>
      <c r="M53" s="33">
        <v>61.756726999999998</v>
      </c>
      <c r="N53" s="34">
        <v>1.05168577785384</v>
      </c>
      <c r="O53" s="34">
        <v>1.05905106792887</v>
      </c>
      <c r="P53" s="34">
        <v>1.0553073904850001</v>
      </c>
      <c r="Q53" s="34">
        <v>1.05601384201872</v>
      </c>
      <c r="R53" s="33">
        <v>61.880353899084398</v>
      </c>
      <c r="S53" s="33">
        <v>61.690287814826704</v>
      </c>
      <c r="T53" s="33">
        <v>61.7182830936448</v>
      </c>
      <c r="U53" s="15">
        <v>6.9789087954789698E-3</v>
      </c>
      <c r="V53" s="15">
        <v>3.9026727007557098E-3</v>
      </c>
      <c r="W53" s="15">
        <v>4.3563734298419296E-3</v>
      </c>
      <c r="X53" s="34">
        <v>1.05693525586171</v>
      </c>
      <c r="Y53" s="34">
        <v>1.0594170994200001</v>
      </c>
      <c r="Z53" s="34">
        <v>1.05635656833193</v>
      </c>
      <c r="AA53" s="34">
        <v>1.0565384309421899</v>
      </c>
      <c r="AB53" s="33">
        <v>61.901741119110902</v>
      </c>
      <c r="AC53" s="33">
        <v>61.720918576423003</v>
      </c>
      <c r="AD53" s="33">
        <v>61.733598474442999</v>
      </c>
      <c r="AE53" s="15">
        <v>2.3453983830190998E-3</v>
      </c>
      <c r="AF53" s="15">
        <v>-5.7999849954400303E-4</v>
      </c>
      <c r="AG53" s="15">
        <v>-3.74580368762627E-4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3">
      <c r="A54" s="1">
        <v>46100</v>
      </c>
      <c r="B54" s="33">
        <v>59.36</v>
      </c>
      <c r="C54" s="33">
        <v>62.48</v>
      </c>
      <c r="D54" s="15">
        <v>1.5791142292779298E-2</v>
      </c>
      <c r="E54" s="15">
        <v>1.6622669519386599E-2</v>
      </c>
      <c r="F54" s="33">
        <v>0</v>
      </c>
      <c r="G54" s="33">
        <v>0</v>
      </c>
      <c r="H54" s="33">
        <v>0</v>
      </c>
      <c r="I54" s="33">
        <v>0.30672700000000003</v>
      </c>
      <c r="J54" s="33">
        <v>0</v>
      </c>
      <c r="K54" s="33">
        <v>0.30672700000000003</v>
      </c>
      <c r="L54" s="33">
        <v>59.36</v>
      </c>
      <c r="M54" s="33">
        <v>62.786726999999999</v>
      </c>
      <c r="N54" s="34">
        <v>1.05256064690026</v>
      </c>
      <c r="O54" s="34">
        <v>1.05905106792887</v>
      </c>
      <c r="P54" s="34">
        <v>1.0548977327954201</v>
      </c>
      <c r="Q54" s="34">
        <v>1.05582382434561</v>
      </c>
      <c r="R54" s="33">
        <v>62.865271392258201</v>
      </c>
      <c r="S54" s="33">
        <v>62.643046699189703</v>
      </c>
      <c r="T54" s="33">
        <v>62.6849816622316</v>
      </c>
      <c r="U54" s="15">
        <v>6.1473815688717903E-3</v>
      </c>
      <c r="V54" s="15">
        <v>2.6061832057012102E-3</v>
      </c>
      <c r="W54" s="15">
        <v>3.2753864981343202E-3</v>
      </c>
      <c r="X54" s="34">
        <v>1.0577278807277599</v>
      </c>
      <c r="Y54" s="34">
        <v>1.0594170994200001</v>
      </c>
      <c r="Z54" s="34">
        <v>1.0564636340250999</v>
      </c>
      <c r="AA54" s="34">
        <v>1.05660677496045</v>
      </c>
      <c r="AB54" s="33">
        <v>62.886999021571597</v>
      </c>
      <c r="AC54" s="33">
        <v>62.705325896183702</v>
      </c>
      <c r="AD54" s="33">
        <v>62.716121260728499</v>
      </c>
      <c r="AE54" s="15">
        <v>1.5957518890194599E-3</v>
      </c>
      <c r="AF54" s="15">
        <v>-1.2973110783394599E-3</v>
      </c>
      <c r="AG54" s="15">
        <v>-1.12516564681653E-3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3">
      <c r="A55" s="1">
        <v>46101</v>
      </c>
      <c r="B55" s="33">
        <v>59.31</v>
      </c>
      <c r="C55" s="33">
        <v>62.42</v>
      </c>
      <c r="D55" s="15">
        <v>-8.42673008489713E-4</v>
      </c>
      <c r="E55" s="15">
        <v>-9.6076868879709204E-4</v>
      </c>
      <c r="F55" s="33">
        <v>0</v>
      </c>
      <c r="G55" s="33">
        <v>0</v>
      </c>
      <c r="H55" s="33">
        <v>0</v>
      </c>
      <c r="I55" s="33">
        <v>0.30672700000000003</v>
      </c>
      <c r="J55" s="33">
        <v>0</v>
      </c>
      <c r="K55" s="33">
        <v>0.30672700000000003</v>
      </c>
      <c r="L55" s="33">
        <v>59.31</v>
      </c>
      <c r="M55" s="33">
        <v>62.726726999999997</v>
      </c>
      <c r="N55" s="34">
        <v>1.0524363513741299</v>
      </c>
      <c r="O55" s="34">
        <v>1.05905106792887</v>
      </c>
      <c r="P55" s="34">
        <v>1.05452001385824</v>
      </c>
      <c r="Q55" s="34">
        <v>1.05554841159362</v>
      </c>
      <c r="R55" s="33">
        <v>62.812318838861799</v>
      </c>
      <c r="S55" s="33">
        <v>62.565984532096699</v>
      </c>
      <c r="T55" s="33">
        <v>62.620911021938497</v>
      </c>
      <c r="U55" s="15">
        <v>6.2654772491789797E-3</v>
      </c>
      <c r="V55" s="15">
        <v>2.3360154985266101E-3</v>
      </c>
      <c r="W55" s="15">
        <v>3.2135273678533401E-3</v>
      </c>
      <c r="X55" s="34">
        <v>1.0576079413252399</v>
      </c>
      <c r="Y55" s="34">
        <v>1.0594170994200001</v>
      </c>
      <c r="Z55" s="34">
        <v>1.0566030740830299</v>
      </c>
      <c r="AA55" s="34">
        <v>1.0565899417060201</v>
      </c>
      <c r="AB55" s="33">
        <v>62.834028166600604</v>
      </c>
      <c r="AC55" s="33">
        <v>62.658858134029202</v>
      </c>
      <c r="AD55" s="33">
        <v>62.667347822904802</v>
      </c>
      <c r="AE55" s="15">
        <v>1.7091517581095299E-3</v>
      </c>
      <c r="AF55" s="15">
        <v>-1.08256260121822E-3</v>
      </c>
      <c r="AG55" s="15">
        <v>-9.4708113788423897E-4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3">
      <c r="A56" s="1">
        <v>46104</v>
      </c>
      <c r="B56" s="33">
        <v>59.63</v>
      </c>
      <c r="C56" s="33">
        <v>63.12</v>
      </c>
      <c r="D56" s="15">
        <v>5.3808772843793803E-3</v>
      </c>
      <c r="E56" s="15">
        <v>1.11519396949853E-2</v>
      </c>
      <c r="F56" s="33">
        <v>0.38518000000000002</v>
      </c>
      <c r="G56" s="33">
        <v>0.38518000000000002</v>
      </c>
      <c r="H56" s="33">
        <v>0</v>
      </c>
      <c r="I56" s="33">
        <v>0.30672700000000003</v>
      </c>
      <c r="J56" s="33">
        <v>0</v>
      </c>
      <c r="K56" s="33">
        <v>0</v>
      </c>
      <c r="L56" s="33">
        <v>59.63</v>
      </c>
      <c r="M56" s="33">
        <v>63.12</v>
      </c>
      <c r="N56" s="34">
        <v>1.05852758678517</v>
      </c>
      <c r="O56" s="34">
        <v>1.05905106792887</v>
      </c>
      <c r="P56" s="34">
        <v>1.05472646571857</v>
      </c>
      <c r="Q56" s="34">
        <v>1.05562800942789</v>
      </c>
      <c r="R56" s="33">
        <v>63.151215180599003</v>
      </c>
      <c r="S56" s="33">
        <v>62.881028426366903</v>
      </c>
      <c r="T56" s="33">
        <v>62.942351783327801</v>
      </c>
      <c r="U56" s="15">
        <v>4.9441483857310905E-4</v>
      </c>
      <c r="V56" s="15">
        <v>-3.7931731692610001E-3</v>
      </c>
      <c r="W56" s="15">
        <v>-2.8184201191658901E-3</v>
      </c>
      <c r="X56" s="34">
        <v>1.05852758678517</v>
      </c>
      <c r="Y56" s="34">
        <v>1.0594170994200001</v>
      </c>
      <c r="Z56" s="34">
        <v>1.0568095259433701</v>
      </c>
      <c r="AA56" s="34">
        <v>1.0566695395402901</v>
      </c>
      <c r="AB56" s="33">
        <v>63.173041638415</v>
      </c>
      <c r="AC56" s="33">
        <v>63.005241307571303</v>
      </c>
      <c r="AD56" s="33">
        <v>63.004458223930001</v>
      </c>
      <c r="AE56" s="15">
        <v>8.3997725995932902E-4</v>
      </c>
      <c r="AF56" s="15">
        <v>-1.81975824835187E-3</v>
      </c>
      <c r="AG56" s="15">
        <v>-1.83218719063621E-3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3">
      <c r="A57" s="1">
        <v>46105</v>
      </c>
      <c r="B57" s="33">
        <v>60.84</v>
      </c>
      <c r="C57" s="33">
        <v>64.42</v>
      </c>
      <c r="D57" s="15">
        <v>2.0088664256077599E-2</v>
      </c>
      <c r="E57" s="15">
        <v>2.03864673654339E-2</v>
      </c>
      <c r="F57" s="33">
        <v>0</v>
      </c>
      <c r="G57" s="33">
        <v>0.38518000000000002</v>
      </c>
      <c r="H57" s="33">
        <v>0</v>
      </c>
      <c r="I57" s="33">
        <v>0.30672700000000003</v>
      </c>
      <c r="J57" s="33">
        <v>0</v>
      </c>
      <c r="K57" s="33">
        <v>0</v>
      </c>
      <c r="L57" s="33">
        <v>60.84</v>
      </c>
      <c r="M57" s="33">
        <v>64.42</v>
      </c>
      <c r="N57" s="34">
        <v>1.0588428665351699</v>
      </c>
      <c r="O57" s="34">
        <v>1.05905106792887</v>
      </c>
      <c r="P57" s="34">
        <v>1.0548913279116601</v>
      </c>
      <c r="Q57" s="34">
        <v>1.0556844903227101</v>
      </c>
      <c r="R57" s="33">
        <v>64.432666972793001</v>
      </c>
      <c r="S57" s="33">
        <v>64.169558174318198</v>
      </c>
      <c r="T57" s="33">
        <v>64.224408093593198</v>
      </c>
      <c r="U57" s="15">
        <v>1.9661172921668001E-4</v>
      </c>
      <c r="V57" s="15">
        <v>-3.8952174016975301E-3</v>
      </c>
      <c r="W57" s="15">
        <v>-3.04081708669794E-3</v>
      </c>
      <c r="X57" s="34">
        <v>1.0588428665351699</v>
      </c>
      <c r="Y57" s="34">
        <v>1.0594170994200001</v>
      </c>
      <c r="Z57" s="34">
        <v>1.0569743881364499</v>
      </c>
      <c r="AA57" s="34">
        <v>1.0567260204351101</v>
      </c>
      <c r="AB57" s="33">
        <v>64.454936328713202</v>
      </c>
      <c r="AC57" s="33">
        <v>64.2962915583946</v>
      </c>
      <c r="AD57" s="33">
        <v>64.287774785631399</v>
      </c>
      <c r="AE57" s="15">
        <v>5.4217415060289396E-4</v>
      </c>
      <c r="AF57" s="15">
        <v>-1.92218837565107E-3</v>
      </c>
      <c r="AG57" s="15">
        <v>-2.0546584867285498E-3</v>
      </c>
      <c r="AI57" s="12"/>
      <c r="AJ57">
        <f t="shared" si="6"/>
        <v>1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3">
      <c r="A58" s="1">
        <v>46106</v>
      </c>
      <c r="B58" s="33">
        <v>60.57</v>
      </c>
      <c r="C58" s="33">
        <v>64.150000000000006</v>
      </c>
      <c r="D58" s="15">
        <v>-4.4477463982363604E-3</v>
      </c>
      <c r="E58" s="15">
        <v>-4.2000528414073103E-3</v>
      </c>
      <c r="F58" s="33">
        <v>0</v>
      </c>
      <c r="G58" s="33">
        <v>0.38518000000000002</v>
      </c>
      <c r="H58" s="33">
        <v>0</v>
      </c>
      <c r="I58" s="33">
        <v>0.30672700000000003</v>
      </c>
      <c r="J58" s="33">
        <v>0</v>
      </c>
      <c r="K58" s="33">
        <v>0</v>
      </c>
      <c r="L58" s="33">
        <v>60.57</v>
      </c>
      <c r="M58" s="33">
        <v>64.150000000000006</v>
      </c>
      <c r="N58" s="34">
        <v>1.0591051675747001</v>
      </c>
      <c r="O58" s="34">
        <v>1.05905106792887</v>
      </c>
      <c r="P58" s="34">
        <v>1.05513318900047</v>
      </c>
      <c r="Q58" s="34">
        <v>1.0558513397347999</v>
      </c>
      <c r="R58" s="33">
        <v>64.146723184452199</v>
      </c>
      <c r="S58" s="33">
        <v>63.894767731609399</v>
      </c>
      <c r="T58" s="33">
        <v>63.942809578846699</v>
      </c>
      <c r="U58" s="15">
        <v>-5.10818276124437E-5</v>
      </c>
      <c r="V58" s="15">
        <v>-3.9866151651185297E-3</v>
      </c>
      <c r="W58" s="15">
        <v>-3.2350075312809401E-3</v>
      </c>
      <c r="X58" s="34">
        <v>1.0591051675747001</v>
      </c>
      <c r="Y58" s="34">
        <v>1.0594170994200001</v>
      </c>
      <c r="Z58" s="34">
        <v>1.0572162492252699</v>
      </c>
      <c r="AA58" s="34">
        <v>1.05689286984719</v>
      </c>
      <c r="AB58" s="33">
        <v>64.168893711869799</v>
      </c>
      <c r="AC58" s="33">
        <v>64.020938689425094</v>
      </c>
      <c r="AD58" s="33">
        <v>64.0058950577546</v>
      </c>
      <c r="AE58" s="15">
        <v>2.9448059377402502E-4</v>
      </c>
      <c r="AF58" s="15">
        <v>-2.01389418716519E-3</v>
      </c>
      <c r="AG58" s="15">
        <v>-2.2489016664489301E-3</v>
      </c>
      <c r="AI58" s="12"/>
      <c r="AJ58">
        <f t="shared" si="6"/>
        <v>1</v>
      </c>
      <c r="AK58">
        <f t="shared" si="7"/>
        <v>0</v>
      </c>
      <c r="AL58">
        <f t="shared" si="14"/>
        <v>1</v>
      </c>
      <c r="AM58">
        <f t="shared" si="4"/>
        <v>1</v>
      </c>
      <c r="AN58">
        <f t="shared" si="15"/>
        <v>1</v>
      </c>
      <c r="AO58" s="28">
        <f t="shared" si="8"/>
        <v>-4.4477463982363604E-3</v>
      </c>
      <c r="AP58" s="28">
        <f t="shared" si="9"/>
        <v>4.2000528414073103E-3</v>
      </c>
      <c r="AQ58" s="28">
        <f t="shared" si="16"/>
        <v>-2.476935568290501E-4</v>
      </c>
      <c r="AR58" s="29">
        <f t="shared" si="17"/>
        <v>-2.476935568290501E-4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-2.476935568290501E-4</v>
      </c>
      <c r="BF58" s="29">
        <f t="shared" si="23"/>
        <v>-2.476935568290501E-4</v>
      </c>
      <c r="BH58" s="29"/>
    </row>
    <row r="59" spans="1:60" x14ac:dyDescent="0.3">
      <c r="A59" s="1">
        <v>46107</v>
      </c>
      <c r="B59" s="33">
        <v>61.52</v>
      </c>
      <c r="C59" s="33">
        <v>65.12</v>
      </c>
      <c r="D59" s="15">
        <v>1.55626042045326E-2</v>
      </c>
      <c r="E59" s="15">
        <v>1.50076306326394E-2</v>
      </c>
      <c r="F59" s="33">
        <v>0</v>
      </c>
      <c r="G59" s="33">
        <v>0.38518000000000002</v>
      </c>
      <c r="H59" s="33">
        <v>0</v>
      </c>
      <c r="I59" s="33">
        <v>0.30672700000000003</v>
      </c>
      <c r="J59" s="33">
        <v>0</v>
      </c>
      <c r="K59" s="33">
        <v>0</v>
      </c>
      <c r="L59" s="33">
        <v>61.52</v>
      </c>
      <c r="M59" s="33">
        <v>65.12</v>
      </c>
      <c r="N59" s="34">
        <v>1.05851755526658</v>
      </c>
      <c r="O59" s="34">
        <v>1.05905106792887</v>
      </c>
      <c r="P59" s="34">
        <v>1.05542069483143</v>
      </c>
      <c r="Q59" s="34">
        <v>1.0559525126843201</v>
      </c>
      <c r="R59" s="33">
        <v>65.152821698984596</v>
      </c>
      <c r="S59" s="33">
        <v>64.911793787309406</v>
      </c>
      <c r="T59" s="33">
        <v>64.955974420484907</v>
      </c>
      <c r="U59" s="15">
        <v>5.0389174428088401E-4</v>
      </c>
      <c r="V59" s="15">
        <v>-3.2023920390749799E-3</v>
      </c>
      <c r="W59" s="15">
        <v>-2.5219978890931301E-3</v>
      </c>
      <c r="X59" s="34">
        <v>1.05851755526658</v>
      </c>
      <c r="Y59" s="34">
        <v>1.0594170994200001</v>
      </c>
      <c r="Z59" s="34">
        <v>1.0575037550562201</v>
      </c>
      <c r="AA59" s="34">
        <v>1.0569940427967199</v>
      </c>
      <c r="AB59" s="33">
        <v>65.175339956318794</v>
      </c>
      <c r="AC59" s="33">
        <v>65.039943652338707</v>
      </c>
      <c r="AD59" s="33">
        <v>65.020049352999493</v>
      </c>
      <c r="AE59" s="15">
        <v>8.4945416566732396E-4</v>
      </c>
      <c r="AF59" s="15">
        <v>-1.2301228090609701E-3</v>
      </c>
      <c r="AG59" s="15">
        <v>-1.5360477754492001E-3</v>
      </c>
      <c r="AI59" s="12"/>
      <c r="AJ59">
        <f t="shared" si="6"/>
        <v>0</v>
      </c>
      <c r="AK59">
        <f t="shared" si="7"/>
        <v>0</v>
      </c>
      <c r="AL59">
        <f t="shared" si="14"/>
        <v>1</v>
      </c>
      <c r="AM59">
        <f t="shared" si="4"/>
        <v>1</v>
      </c>
      <c r="AN59">
        <f t="shared" si="15"/>
        <v>1</v>
      </c>
      <c r="AO59" s="28">
        <f t="shared" si="8"/>
        <v>1.55626042045326E-2</v>
      </c>
      <c r="AP59" s="28">
        <f t="shared" si="9"/>
        <v>-1.50076306326394E-2</v>
      </c>
      <c r="AQ59" s="28">
        <f t="shared" si="16"/>
        <v>5.5497357189319974E-4</v>
      </c>
      <c r="AR59" s="29">
        <f t="shared" si="17"/>
        <v>3.0728001506414963E-4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5.5497357189319974E-4</v>
      </c>
      <c r="BF59" s="29">
        <f t="shared" si="23"/>
        <v>3.0728001506414963E-4</v>
      </c>
      <c r="BH59" s="29"/>
    </row>
    <row r="60" spans="1:60" x14ac:dyDescent="0.3">
      <c r="A60" s="1">
        <v>46108</v>
      </c>
      <c r="B60" s="33">
        <v>62.56</v>
      </c>
      <c r="C60" s="33">
        <v>66.2</v>
      </c>
      <c r="D60" s="15">
        <v>1.67637710396671E-2</v>
      </c>
      <c r="E60" s="15">
        <v>1.6448741248677502E-2</v>
      </c>
      <c r="F60" s="33">
        <v>0</v>
      </c>
      <c r="G60" s="33">
        <v>0.38518000000000002</v>
      </c>
      <c r="H60" s="33">
        <v>0</v>
      </c>
      <c r="I60" s="33">
        <v>0.30672700000000003</v>
      </c>
      <c r="J60" s="33">
        <v>0</v>
      </c>
      <c r="K60" s="33">
        <v>0</v>
      </c>
      <c r="L60" s="33">
        <v>62.56</v>
      </c>
      <c r="M60" s="33">
        <v>66.2</v>
      </c>
      <c r="N60" s="34">
        <v>1.0581841432225001</v>
      </c>
      <c r="O60" s="34">
        <v>1.05905106792887</v>
      </c>
      <c r="P60" s="34">
        <v>1.0556411888763799</v>
      </c>
      <c r="Q60" s="34">
        <v>1.0560541375850701</v>
      </c>
      <c r="R60" s="33">
        <v>66.254234809630702</v>
      </c>
      <c r="S60" s="33">
        <v>66.027118668654296</v>
      </c>
      <c r="T60" s="33">
        <v>66.060389193531293</v>
      </c>
      <c r="U60" s="15">
        <v>8.1892153527029197E-4</v>
      </c>
      <c r="V60" s="15">
        <v>-2.6149163892672401E-3</v>
      </c>
      <c r="W60" s="15">
        <v>-2.1111514819106502E-3</v>
      </c>
      <c r="X60" s="34">
        <v>1.0581841432225001</v>
      </c>
      <c r="Y60" s="34">
        <v>1.0594170994200001</v>
      </c>
      <c r="Z60" s="34">
        <v>1.05772424910117</v>
      </c>
      <c r="AA60" s="34">
        <v>1.0570956676974701</v>
      </c>
      <c r="AB60" s="33">
        <v>66.277133739715595</v>
      </c>
      <c r="AC60" s="33">
        <v>66.157434916317399</v>
      </c>
      <c r="AD60" s="33">
        <v>66.125547317362802</v>
      </c>
      <c r="AE60" s="15">
        <v>1.1644839566566599E-3</v>
      </c>
      <c r="AF60" s="15">
        <v>-6.4318389332459797E-4</v>
      </c>
      <c r="AG60" s="15">
        <v>-1.1252957875950199E-3</v>
      </c>
      <c r="AI60" s="12"/>
      <c r="AJ60">
        <f t="shared" si="6"/>
        <v>0</v>
      </c>
      <c r="AK60">
        <f t="shared" si="7"/>
        <v>0</v>
      </c>
      <c r="AL60">
        <f t="shared" si="14"/>
        <v>1</v>
      </c>
      <c r="AM60">
        <f t="shared" si="4"/>
        <v>1</v>
      </c>
      <c r="AN60">
        <f t="shared" si="15"/>
        <v>1</v>
      </c>
      <c r="AO60" s="28">
        <f t="shared" si="8"/>
        <v>1.67637710396671E-2</v>
      </c>
      <c r="AP60" s="28">
        <f t="shared" si="9"/>
        <v>-1.6448741248677502E-2</v>
      </c>
      <c r="AQ60" s="28">
        <f t="shared" si="16"/>
        <v>3.1502979098959813E-4</v>
      </c>
      <c r="AR60" s="29">
        <f t="shared" si="17"/>
        <v>6.2230980605374776E-4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3.1502979098959813E-4</v>
      </c>
      <c r="BF60" s="29">
        <f t="shared" si="23"/>
        <v>6.2230980605374776E-4</v>
      </c>
      <c r="BH60" s="29"/>
    </row>
    <row r="61" spans="1:60" x14ac:dyDescent="0.3">
      <c r="A61" s="1">
        <v>46111</v>
      </c>
      <c r="B61" s="33">
        <v>61.96</v>
      </c>
      <c r="C61" s="33">
        <v>65.5</v>
      </c>
      <c r="D61" s="15">
        <v>-9.6370806883877298E-3</v>
      </c>
      <c r="E61" s="15">
        <v>-1.0630320301756299E-2</v>
      </c>
      <c r="F61" s="33">
        <v>0</v>
      </c>
      <c r="G61" s="33">
        <v>0.38518000000000002</v>
      </c>
      <c r="H61" s="33">
        <v>0</v>
      </c>
      <c r="I61" s="33">
        <v>0.30672700000000003</v>
      </c>
      <c r="J61" s="33">
        <v>0</v>
      </c>
      <c r="K61" s="33">
        <v>0</v>
      </c>
      <c r="L61" s="33">
        <v>61.96</v>
      </c>
      <c r="M61" s="33">
        <v>65.5</v>
      </c>
      <c r="N61" s="34">
        <v>1.0571336346029601</v>
      </c>
      <c r="O61" s="34">
        <v>1.05905106792887</v>
      </c>
      <c r="P61" s="34">
        <v>1.05572415510006</v>
      </c>
      <c r="Q61" s="34">
        <v>1.05606194133486</v>
      </c>
      <c r="R61" s="33">
        <v>65.618804168873297</v>
      </c>
      <c r="S61" s="33">
        <v>65.407528062780798</v>
      </c>
      <c r="T61" s="33">
        <v>65.433114364771299</v>
      </c>
      <c r="U61" s="15">
        <v>1.81216114863885E-3</v>
      </c>
      <c r="V61" s="15">
        <v>-1.41278280887894E-3</v>
      </c>
      <c r="W61" s="15">
        <v>-1.0216764700232499E-3</v>
      </c>
      <c r="X61" s="34">
        <v>1.0571336346029601</v>
      </c>
      <c r="Y61" s="34">
        <v>1.0594170994200001</v>
      </c>
      <c r="Z61" s="34">
        <v>1.0578072153248601</v>
      </c>
      <c r="AA61" s="34">
        <v>1.05710347144725</v>
      </c>
      <c r="AB61" s="33">
        <v>65.641483480063599</v>
      </c>
      <c r="AC61" s="33">
        <v>65.536594474308998</v>
      </c>
      <c r="AD61" s="33">
        <v>65.497647570535406</v>
      </c>
      <c r="AE61" s="15">
        <v>2.1577235700251602E-3</v>
      </c>
      <c r="AF61" s="15">
        <v>5.5853825272525405E-4</v>
      </c>
      <c r="AG61" s="15">
        <v>-3.5915598614236397E-5</v>
      </c>
      <c r="AI61" s="12"/>
      <c r="AJ61">
        <f t="shared" si="6"/>
        <v>0</v>
      </c>
      <c r="AK61">
        <f t="shared" si="7"/>
        <v>1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-9.6370806883877298E-3</v>
      </c>
      <c r="AP61" s="28">
        <f t="shared" si="9"/>
        <v>1.0630320301756299E-2</v>
      </c>
      <c r="AQ61" s="28">
        <f t="shared" si="16"/>
        <v>9.932396133685694E-4</v>
      </c>
      <c r="AR61" s="29">
        <f t="shared" si="17"/>
        <v>1.6155494194223172E-3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9.932396133685694E-4</v>
      </c>
      <c r="BF61" s="29">
        <f t="shared" si="23"/>
        <v>1.6155494194223172E-3</v>
      </c>
      <c r="BH61" s="29"/>
    </row>
    <row r="62" spans="1:60" x14ac:dyDescent="0.3">
      <c r="A62" s="1">
        <v>46112</v>
      </c>
      <c r="B62" s="33">
        <v>61.26</v>
      </c>
      <c r="C62" s="33">
        <v>64.77</v>
      </c>
      <c r="D62" s="15">
        <v>-1.13619141440387E-2</v>
      </c>
      <c r="E62" s="15">
        <v>-1.1207609446380599E-2</v>
      </c>
      <c r="F62" s="33">
        <v>0</v>
      </c>
      <c r="G62" s="33">
        <v>0.38518000000000002</v>
      </c>
      <c r="H62" s="33">
        <v>0</v>
      </c>
      <c r="I62" s="33">
        <v>0.30672700000000003</v>
      </c>
      <c r="J62" s="33">
        <v>0</v>
      </c>
      <c r="K62" s="33">
        <v>0</v>
      </c>
      <c r="L62" s="33">
        <v>61.26</v>
      </c>
      <c r="M62" s="33">
        <v>64.77</v>
      </c>
      <c r="N62" s="34">
        <v>1.0572967678746299</v>
      </c>
      <c r="O62" s="34">
        <v>1.05905106792887</v>
      </c>
      <c r="P62" s="34">
        <v>1.0564290497989901</v>
      </c>
      <c r="Q62" s="34">
        <v>1.05611361624663</v>
      </c>
      <c r="R62" s="33">
        <v>64.877468421323101</v>
      </c>
      <c r="S62" s="33">
        <v>64.673661741430095</v>
      </c>
      <c r="T62" s="33">
        <v>64.694354526173498</v>
      </c>
      <c r="U62" s="15">
        <v>1.65785645098057E-3</v>
      </c>
      <c r="V62" s="15">
        <v>-1.4884973904665999E-3</v>
      </c>
      <c r="W62" s="15">
        <v>-1.1685916592526599E-3</v>
      </c>
      <c r="X62" s="34">
        <v>1.0572967678746299</v>
      </c>
      <c r="Y62" s="34">
        <v>1.0594170994200001</v>
      </c>
      <c r="Z62" s="34">
        <v>1.0579878799776401</v>
      </c>
      <c r="AA62" s="34">
        <v>1.0571551463590301</v>
      </c>
      <c r="AB62" s="33">
        <v>64.899891510469601</v>
      </c>
      <c r="AC62" s="33">
        <v>64.801270010800906</v>
      </c>
      <c r="AD62" s="33">
        <v>64.758158660858996</v>
      </c>
      <c r="AE62" s="15">
        <v>2.0034188723672499E-3</v>
      </c>
      <c r="AF62" s="15">
        <v>4.8266890346059801E-4</v>
      </c>
      <c r="AG62" s="15">
        <v>-1.82838068515962E-4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1.6155494194223172E-3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1.6155494194223172E-3</v>
      </c>
      <c r="BH62" s="29"/>
    </row>
    <row r="63" spans="1:60" x14ac:dyDescent="0.3">
      <c r="A63" s="1">
        <v>46113</v>
      </c>
      <c r="B63" s="33">
        <v>58.97</v>
      </c>
      <c r="C63" s="33">
        <v>62.46</v>
      </c>
      <c r="D63" s="15">
        <v>-3.80982613922164E-2</v>
      </c>
      <c r="E63" s="15">
        <v>-3.6316181339892999E-2</v>
      </c>
      <c r="F63" s="33">
        <v>0</v>
      </c>
      <c r="G63" s="33">
        <v>0.38518000000000002</v>
      </c>
      <c r="H63" s="33">
        <v>0</v>
      </c>
      <c r="I63" s="33">
        <v>0.30672700000000003</v>
      </c>
      <c r="J63" s="33">
        <v>0</v>
      </c>
      <c r="K63" s="33">
        <v>0</v>
      </c>
      <c r="L63" s="33">
        <v>58.97</v>
      </c>
      <c r="M63" s="33">
        <v>62.46</v>
      </c>
      <c r="N63" s="34">
        <v>1.0591826352382501</v>
      </c>
      <c r="O63" s="34">
        <v>1.05905106792887</v>
      </c>
      <c r="P63" s="34">
        <v>1.05717873553744</v>
      </c>
      <c r="Q63" s="34">
        <v>1.0562430630112201</v>
      </c>
      <c r="R63" s="33">
        <v>62.452241475766002</v>
      </c>
      <c r="S63" s="33">
        <v>62.297621066646897</v>
      </c>
      <c r="T63" s="33">
        <v>62.279019950064303</v>
      </c>
      <c r="U63" s="15">
        <v>-1.2422360134257699E-4</v>
      </c>
      <c r="V63" s="15">
        <v>-2.6031119166472498E-3</v>
      </c>
      <c r="W63" s="15">
        <v>-2.9017412033109698E-3</v>
      </c>
      <c r="X63" s="34">
        <v>1.0591826352382501</v>
      </c>
      <c r="Y63" s="34">
        <v>1.0594170994200001</v>
      </c>
      <c r="Z63" s="34">
        <v>1.0582126179153</v>
      </c>
      <c r="AA63" s="34">
        <v>1.0572845931236099</v>
      </c>
      <c r="AB63" s="33">
        <v>62.473826352797701</v>
      </c>
      <c r="AC63" s="33">
        <v>62.389545282281802</v>
      </c>
      <c r="AD63" s="33">
        <v>62.3404389807923</v>
      </c>
      <c r="AE63" s="15">
        <v>2.2133882004384399E-4</v>
      </c>
      <c r="AF63" s="15">
        <v>-1.1286340697157799E-3</v>
      </c>
      <c r="AG63" s="15">
        <v>-1.9160358210549499E-3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1.6155494194223172E-3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1.6155494194223172E-3</v>
      </c>
      <c r="BH63" s="29"/>
    </row>
    <row r="64" spans="1:60" x14ac:dyDescent="0.3">
      <c r="A64" s="1">
        <v>46114</v>
      </c>
      <c r="B64" s="33">
        <v>59.25</v>
      </c>
      <c r="C64" s="33">
        <v>62.83</v>
      </c>
      <c r="D64" s="15">
        <v>4.73694000282774E-3</v>
      </c>
      <c r="E64" s="15">
        <v>5.9063145599229996E-3</v>
      </c>
      <c r="F64" s="33">
        <v>0</v>
      </c>
      <c r="G64" s="33">
        <v>0.38518000000000002</v>
      </c>
      <c r="H64" s="33">
        <v>0</v>
      </c>
      <c r="I64" s="33">
        <v>0.30672700000000003</v>
      </c>
      <c r="J64" s="33">
        <v>0</v>
      </c>
      <c r="K64" s="33">
        <v>0</v>
      </c>
      <c r="L64" s="33">
        <v>59.25</v>
      </c>
      <c r="M64" s="33">
        <v>62.83</v>
      </c>
      <c r="N64" s="34">
        <v>1.06042194092827</v>
      </c>
      <c r="O64" s="34">
        <v>1.05905106792887</v>
      </c>
      <c r="P64" s="34">
        <v>1.05796486494024</v>
      </c>
      <c r="Q64" s="34">
        <v>1.0564312988678299</v>
      </c>
      <c r="R64" s="33">
        <v>62.748775774786097</v>
      </c>
      <c r="S64" s="33">
        <v>62.6378400805933</v>
      </c>
      <c r="T64" s="33">
        <v>62.582401483414799</v>
      </c>
      <c r="U64" s="15">
        <v>-1.2935981584378199E-3</v>
      </c>
      <c r="V64" s="15">
        <v>-3.06309679881644E-3</v>
      </c>
      <c r="W64" s="15">
        <v>-3.9485542952753996E-3</v>
      </c>
      <c r="X64" s="34">
        <v>1.06042194092827</v>
      </c>
      <c r="Y64" s="34">
        <v>1.0594170994200001</v>
      </c>
      <c r="Z64" s="34">
        <v>1.0584820239353501</v>
      </c>
      <c r="AA64" s="34">
        <v>1.05747282898023</v>
      </c>
      <c r="AB64" s="33">
        <v>62.7704631406354</v>
      </c>
      <c r="AC64" s="33">
        <v>62.699097611481498</v>
      </c>
      <c r="AD64" s="33">
        <v>62.644112142574301</v>
      </c>
      <c r="AE64" s="15">
        <v>-9.4803573705146702E-4</v>
      </c>
      <c r="AF64" s="15">
        <v>-2.0856110409275398E-3</v>
      </c>
      <c r="AG64" s="15">
        <v>-2.9629696556012801E-3</v>
      </c>
      <c r="AI64" s="12"/>
      <c r="AJ64">
        <f t="shared" si="6"/>
        <v>1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1.6155494194223172E-3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1.6155494194223172E-3</v>
      </c>
      <c r="BH64" s="29"/>
    </row>
    <row r="65" spans="1:60" x14ac:dyDescent="0.3">
      <c r="A65" s="1">
        <v>46118</v>
      </c>
      <c r="B65" s="33">
        <v>59.68</v>
      </c>
      <c r="C65" s="33">
        <v>63.22</v>
      </c>
      <c r="D65" s="15">
        <v>7.2311758802647598E-3</v>
      </c>
      <c r="E65" s="15">
        <v>6.1880403726159196E-3</v>
      </c>
      <c r="F65" s="33">
        <v>0</v>
      </c>
      <c r="G65" s="33">
        <v>0.38518000000000002</v>
      </c>
      <c r="H65" s="33">
        <v>0</v>
      </c>
      <c r="I65" s="33">
        <v>0.30672700000000003</v>
      </c>
      <c r="J65" s="33">
        <v>0</v>
      </c>
      <c r="K65" s="33">
        <v>0</v>
      </c>
      <c r="L65" s="33">
        <v>59.68</v>
      </c>
      <c r="M65" s="33">
        <v>63.22</v>
      </c>
      <c r="N65" s="34">
        <v>1.05931635388739</v>
      </c>
      <c r="O65" s="34">
        <v>1.05905106792887</v>
      </c>
      <c r="P65" s="34">
        <v>1.0586528651915601</v>
      </c>
      <c r="Q65" s="34">
        <v>1.0565864395249001</v>
      </c>
      <c r="R65" s="33">
        <v>63.204167733995497</v>
      </c>
      <c r="S65" s="33">
        <v>63.139343139633503</v>
      </c>
      <c r="T65" s="33">
        <v>63.047819916432303</v>
      </c>
      <c r="U65" s="15">
        <v>-2.5046265078914102E-4</v>
      </c>
      <c r="V65" s="15">
        <v>-1.27662694845909E-3</v>
      </c>
      <c r="W65" s="15">
        <v>-2.7272220333076302E-3</v>
      </c>
      <c r="X65" s="34">
        <v>1.05931635388739</v>
      </c>
      <c r="Y65" s="34">
        <v>1.0594170994200001</v>
      </c>
      <c r="Z65" s="34">
        <v>1.0586528651915601</v>
      </c>
      <c r="AA65" s="34">
        <v>1.0576279696373001</v>
      </c>
      <c r="AB65" s="33">
        <v>63.226012493386001</v>
      </c>
      <c r="AC65" s="33">
        <v>63.170207188461703</v>
      </c>
      <c r="AD65" s="33">
        <v>63.1099784335401</v>
      </c>
      <c r="AE65" s="15">
        <v>9.5099770597434894E-5</v>
      </c>
      <c r="AF65" s="15">
        <v>-7.8792202690243095E-4</v>
      </c>
      <c r="AG65" s="15">
        <v>-1.7418129194737E-3</v>
      </c>
      <c r="AI65" s="12"/>
      <c r="AJ65">
        <f t="shared" si="6"/>
        <v>0</v>
      </c>
      <c r="AK65">
        <f t="shared" si="7"/>
        <v>0</v>
      </c>
      <c r="AL65">
        <f t="shared" si="14"/>
        <v>1</v>
      </c>
      <c r="AM65">
        <f t="shared" si="4"/>
        <v>1</v>
      </c>
      <c r="AN65">
        <f t="shared" si="15"/>
        <v>1</v>
      </c>
      <c r="AO65" s="28">
        <f t="shared" si="8"/>
        <v>7.2311758802647598E-3</v>
      </c>
      <c r="AP65" s="28">
        <f t="shared" si="9"/>
        <v>-6.1880403726159196E-3</v>
      </c>
      <c r="AQ65" s="28">
        <f t="shared" si="16"/>
        <v>1.0431355076488402E-3</v>
      </c>
      <c r="AR65" s="29">
        <f t="shared" si="17"/>
        <v>2.6586849270711574E-3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1.0431355076488402E-3</v>
      </c>
      <c r="BF65" s="29">
        <f t="shared" si="23"/>
        <v>2.6586849270711574E-3</v>
      </c>
      <c r="BH65" s="29"/>
    </row>
    <row r="66" spans="1:60" x14ac:dyDescent="0.3">
      <c r="A66" s="1">
        <v>46119</v>
      </c>
      <c r="B66" s="33">
        <v>60.16</v>
      </c>
      <c r="C66" s="33">
        <v>63.73</v>
      </c>
      <c r="D66" s="15">
        <v>8.0107237460789703E-3</v>
      </c>
      <c r="E66" s="15">
        <v>8.0347025387310592E-3</v>
      </c>
      <c r="F66" s="33">
        <v>0</v>
      </c>
      <c r="G66" s="33">
        <v>0.38518000000000002</v>
      </c>
      <c r="H66" s="33">
        <v>0</v>
      </c>
      <c r="I66" s="33">
        <v>0.30672700000000003</v>
      </c>
      <c r="J66" s="33">
        <v>0</v>
      </c>
      <c r="K66" s="33">
        <v>0</v>
      </c>
      <c r="L66" s="33">
        <v>60.16</v>
      </c>
      <c r="M66" s="33">
        <v>63.73</v>
      </c>
      <c r="N66" s="34">
        <v>1.05934175531914</v>
      </c>
      <c r="O66" s="34">
        <v>1.05905106792887</v>
      </c>
      <c r="P66" s="34">
        <v>1.0587342820449599</v>
      </c>
      <c r="Q66" s="34">
        <v>1.0567303738817699</v>
      </c>
      <c r="R66" s="33">
        <v>63.7125122466013</v>
      </c>
      <c r="S66" s="33">
        <v>63.688556369924598</v>
      </c>
      <c r="T66" s="33">
        <v>63.564240201818201</v>
      </c>
      <c r="U66" s="15">
        <v>-2.7444144344127301E-4</v>
      </c>
      <c r="V66" s="15">
        <v>-6.5051171065638302E-4</v>
      </c>
      <c r="W66" s="15">
        <v>-2.6043580858057598E-3</v>
      </c>
      <c r="X66" s="34">
        <v>1.05934175531914</v>
      </c>
      <c r="Y66" s="34">
        <v>1.0594170994200001</v>
      </c>
      <c r="Z66" s="34">
        <v>1.0587342820449599</v>
      </c>
      <c r="AA66" s="34">
        <v>1.05777190399416</v>
      </c>
      <c r="AB66" s="33">
        <v>63.734532701107597</v>
      </c>
      <c r="AC66" s="33">
        <v>63.688556369924598</v>
      </c>
      <c r="AD66" s="33">
        <v>63.626898653380003</v>
      </c>
      <c r="AE66" s="15">
        <v>7.1120977945322999E-5</v>
      </c>
      <c r="AF66" s="15">
        <v>-6.5051171065638302E-4</v>
      </c>
      <c r="AG66" s="15">
        <v>-1.61909359026735E-3</v>
      </c>
      <c r="AI66" s="12"/>
      <c r="AJ66">
        <f t="shared" si="6"/>
        <v>0</v>
      </c>
      <c r="AK66">
        <f t="shared" si="7"/>
        <v>0</v>
      </c>
      <c r="AL66">
        <f t="shared" si="14"/>
        <v>1</v>
      </c>
      <c r="AM66">
        <f t="shared" si="4"/>
        <v>1</v>
      </c>
      <c r="AN66">
        <f t="shared" si="15"/>
        <v>1</v>
      </c>
      <c r="AO66" s="28">
        <f t="shared" si="8"/>
        <v>8.0107237460789703E-3</v>
      </c>
      <c r="AP66" s="28">
        <f t="shared" si="9"/>
        <v>-8.0347025387310592E-3</v>
      </c>
      <c r="AQ66" s="28">
        <f t="shared" si="16"/>
        <v>-2.3978792652088951E-5</v>
      </c>
      <c r="AR66" s="29">
        <f t="shared" si="17"/>
        <v>2.6347061344190684E-3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-2.3978792652088951E-5</v>
      </c>
      <c r="BF66" s="29">
        <f t="shared" si="23"/>
        <v>2.6347061344190684E-3</v>
      </c>
      <c r="BH66" s="29"/>
    </row>
    <row r="67" spans="1:60" x14ac:dyDescent="0.3">
      <c r="A67" s="1">
        <v>46120</v>
      </c>
      <c r="B67" s="33">
        <v>58.05</v>
      </c>
      <c r="C67" s="33">
        <v>61.56</v>
      </c>
      <c r="D67" s="15">
        <v>-3.5702971497683797E-2</v>
      </c>
      <c r="E67" s="15">
        <v>-3.4643100355524203E-2</v>
      </c>
      <c r="F67" s="33">
        <v>0</v>
      </c>
      <c r="G67" s="33">
        <v>0.38518000000000002</v>
      </c>
      <c r="H67" s="33">
        <v>0</v>
      </c>
      <c r="I67" s="33">
        <v>0.30672700000000003</v>
      </c>
      <c r="J67" s="33">
        <v>0</v>
      </c>
      <c r="K67" s="33">
        <v>0</v>
      </c>
      <c r="L67" s="33">
        <v>58.05</v>
      </c>
      <c r="M67" s="33">
        <v>61.56</v>
      </c>
      <c r="N67" s="34">
        <v>1.0604651162790699</v>
      </c>
      <c r="O67" s="34">
        <v>1.05905106792887</v>
      </c>
      <c r="P67" s="34">
        <v>1.0588965070193499</v>
      </c>
      <c r="Q67" s="34">
        <v>1.0568939174655001</v>
      </c>
      <c r="R67" s="33">
        <v>61.477914493271399</v>
      </c>
      <c r="S67" s="33">
        <v>61.4595250727101</v>
      </c>
      <c r="T67" s="33">
        <v>61.343198203836799</v>
      </c>
      <c r="U67" s="15">
        <v>-1.3343125856008799E-3</v>
      </c>
      <c r="V67" s="15">
        <v>-1.6334797191176499E-3</v>
      </c>
      <c r="W67" s="15">
        <v>-3.5280126832654499E-3</v>
      </c>
      <c r="X67" s="34">
        <v>1.0604651162790699</v>
      </c>
      <c r="Y67" s="34">
        <v>1.0594170994200001</v>
      </c>
      <c r="Z67" s="34">
        <v>1.0588965070193499</v>
      </c>
      <c r="AA67" s="34">
        <v>1.0579354475778999</v>
      </c>
      <c r="AB67" s="33">
        <v>61.499162621331301</v>
      </c>
      <c r="AC67" s="33">
        <v>61.4595250727101</v>
      </c>
      <c r="AD67" s="33">
        <v>61.403659026861398</v>
      </c>
      <c r="AE67" s="15">
        <v>-9.8875016421448299E-4</v>
      </c>
      <c r="AF67" s="15">
        <v>-1.6334797191176499E-3</v>
      </c>
      <c r="AG67" s="15">
        <v>-2.5428823218313001E-3</v>
      </c>
      <c r="AI67" s="12"/>
      <c r="AJ67">
        <f t="shared" si="6"/>
        <v>1</v>
      </c>
      <c r="AK67">
        <f t="shared" si="7"/>
        <v>0</v>
      </c>
      <c r="AL67">
        <f t="shared" si="14"/>
        <v>1</v>
      </c>
      <c r="AM67">
        <f t="shared" si="4"/>
        <v>1</v>
      </c>
      <c r="AN67">
        <f t="shared" si="15"/>
        <v>1</v>
      </c>
      <c r="AO67" s="28">
        <f t="shared" si="8"/>
        <v>-3.5702971497683797E-2</v>
      </c>
      <c r="AP67" s="28">
        <f t="shared" si="9"/>
        <v>3.4643100355524203E-2</v>
      </c>
      <c r="AQ67" s="28">
        <f t="shared" si="16"/>
        <v>-1.0598711421595935E-3</v>
      </c>
      <c r="AR67" s="29">
        <f t="shared" si="17"/>
        <v>1.5748349922594749E-3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-1.0598711421595935E-3</v>
      </c>
      <c r="BF67" s="29">
        <f t="shared" si="23"/>
        <v>1.5748349922594749E-3</v>
      </c>
      <c r="BH67" s="29"/>
    </row>
    <row r="68" spans="1:60" x14ac:dyDescent="0.3">
      <c r="A68" s="1">
        <v>46121</v>
      </c>
      <c r="B68" s="33">
        <v>57.33</v>
      </c>
      <c r="C68" s="33">
        <v>60.82</v>
      </c>
      <c r="D68" s="15">
        <v>-1.2480661223609101E-2</v>
      </c>
      <c r="E68" s="15">
        <v>-1.20936267214599E-2</v>
      </c>
      <c r="F68" s="33">
        <v>0</v>
      </c>
      <c r="G68" s="33">
        <v>0.38518000000000002</v>
      </c>
      <c r="H68" s="33">
        <v>0</v>
      </c>
      <c r="I68" s="33">
        <v>0.30672700000000003</v>
      </c>
      <c r="J68" s="33">
        <v>0</v>
      </c>
      <c r="K68" s="33">
        <v>0</v>
      </c>
      <c r="L68" s="33">
        <v>57.33</v>
      </c>
      <c r="M68" s="33">
        <v>60.82</v>
      </c>
      <c r="N68" s="34">
        <v>1.0608756323041999</v>
      </c>
      <c r="O68" s="34">
        <v>1.05905106792887</v>
      </c>
      <c r="P68" s="34">
        <v>1.0590735534922999</v>
      </c>
      <c r="Q68" s="34">
        <v>1.05710337124639</v>
      </c>
      <c r="R68" s="33">
        <v>60.715397724362603</v>
      </c>
      <c r="S68" s="33">
        <v>60.706536747419499</v>
      </c>
      <c r="T68" s="33">
        <v>60.591728288297602</v>
      </c>
      <c r="U68" s="15">
        <v>-1.7213470877501099E-3</v>
      </c>
      <c r="V68" s="15">
        <v>-1.86730056802345E-3</v>
      </c>
      <c r="W68" s="15">
        <v>-3.7602953832770402E-3</v>
      </c>
      <c r="X68" s="34">
        <v>1.0608756323041999</v>
      </c>
      <c r="Y68" s="34">
        <v>1.0594170994200001</v>
      </c>
      <c r="Z68" s="34">
        <v>1.0590735534922999</v>
      </c>
      <c r="AA68" s="34">
        <v>1.05814490135878</v>
      </c>
      <c r="AB68" s="33">
        <v>60.736382309748898</v>
      </c>
      <c r="AC68" s="33">
        <v>60.706536747419499</v>
      </c>
      <c r="AD68" s="33">
        <v>60.651439209641303</v>
      </c>
      <c r="AE68" s="15">
        <v>-1.3757846663636701E-3</v>
      </c>
      <c r="AF68" s="15">
        <v>-1.86730056802345E-3</v>
      </c>
      <c r="AG68" s="15">
        <v>-2.7753173856965001E-3</v>
      </c>
      <c r="AI68" s="12"/>
      <c r="AJ68">
        <f t="shared" si="6"/>
        <v>1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8">
        <f t="shared" si="8"/>
        <v>-1.2480661223609101E-2</v>
      </c>
      <c r="AP68" s="28">
        <f t="shared" si="9"/>
        <v>1.20936267214599E-2</v>
      </c>
      <c r="AQ68" s="28">
        <f t="shared" si="16"/>
        <v>-3.8703450214920034E-4</v>
      </c>
      <c r="AR68" s="29">
        <f t="shared" si="17"/>
        <v>1.1878004901102746E-3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-3.8703450214920034E-4</v>
      </c>
      <c r="BF68" s="29">
        <f t="shared" si="23"/>
        <v>1.1878004901102746E-3</v>
      </c>
      <c r="BH68" s="29"/>
    </row>
    <row r="69" spans="1:60" x14ac:dyDescent="0.3">
      <c r="A69" s="1">
        <v>46122</v>
      </c>
      <c r="B69" s="33">
        <v>56.94</v>
      </c>
      <c r="C69" s="33">
        <v>60.44</v>
      </c>
      <c r="D69" s="15">
        <v>-6.8259650703998698E-3</v>
      </c>
      <c r="E69" s="15">
        <v>-6.2675448446798598E-3</v>
      </c>
      <c r="F69" s="33">
        <v>0</v>
      </c>
      <c r="G69" s="33">
        <v>0.38518000000000002</v>
      </c>
      <c r="H69" s="33">
        <v>0</v>
      </c>
      <c r="I69" s="33">
        <v>0.30672700000000003</v>
      </c>
      <c r="J69" s="33">
        <v>0</v>
      </c>
      <c r="K69" s="33">
        <v>0</v>
      </c>
      <c r="L69" s="33">
        <v>56.94</v>
      </c>
      <c r="M69" s="33">
        <v>60.44</v>
      </c>
      <c r="N69" s="34">
        <v>1.06146821215314</v>
      </c>
      <c r="O69" s="34">
        <v>1.05905106792887</v>
      </c>
      <c r="P69" s="34">
        <v>1.0593686191809599</v>
      </c>
      <c r="Q69" s="34">
        <v>1.0573946570061901</v>
      </c>
      <c r="R69" s="33">
        <v>60.302367807870397</v>
      </c>
      <c r="S69" s="33">
        <v>60.303648135851702</v>
      </c>
      <c r="T69" s="33">
        <v>60.191465958769498</v>
      </c>
      <c r="U69" s="15">
        <v>-2.2797673134701802E-3</v>
      </c>
      <c r="V69" s="15">
        <v>-2.2585357360665899E-3</v>
      </c>
      <c r="W69" s="15">
        <v>-4.1205566211061501E-3</v>
      </c>
      <c r="X69" s="34">
        <v>1.06146821215314</v>
      </c>
      <c r="Y69" s="34">
        <v>1.0594170994200001</v>
      </c>
      <c r="Z69" s="34">
        <v>1.0593686191809599</v>
      </c>
      <c r="AA69" s="34">
        <v>1.0584361871185901</v>
      </c>
      <c r="AB69" s="33">
        <v>60.323209640975101</v>
      </c>
      <c r="AC69" s="33">
        <v>60.303648135851702</v>
      </c>
      <c r="AD69" s="33">
        <v>60.250770683369304</v>
      </c>
      <c r="AE69" s="15">
        <v>-1.9342048920838199E-3</v>
      </c>
      <c r="AF69" s="15">
        <v>-2.2585357360665899E-3</v>
      </c>
      <c r="AG69" s="15">
        <v>-3.1357736903663302E-3</v>
      </c>
      <c r="AI69" s="12"/>
      <c r="AJ69">
        <f t="shared" si="6"/>
        <v>1</v>
      </c>
      <c r="AK69">
        <f t="shared" si="7"/>
        <v>0</v>
      </c>
      <c r="AL69">
        <f t="shared" si="14"/>
        <v>1</v>
      </c>
      <c r="AM69">
        <f t="shared" si="4"/>
        <v>1</v>
      </c>
      <c r="AN69">
        <f t="shared" si="15"/>
        <v>1</v>
      </c>
      <c r="AO69" s="28">
        <f t="shared" si="8"/>
        <v>-6.8259650703998698E-3</v>
      </c>
      <c r="AP69" s="28">
        <f t="shared" si="9"/>
        <v>6.2675448446798598E-3</v>
      </c>
      <c r="AQ69" s="28">
        <f t="shared" si="16"/>
        <v>-5.5842022572000997E-4</v>
      </c>
      <c r="AR69" s="29">
        <f t="shared" si="17"/>
        <v>6.2938026439026459E-4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-5.5842022572000997E-4</v>
      </c>
      <c r="BF69" s="29">
        <f t="shared" si="23"/>
        <v>6.2938026439026459E-4</v>
      </c>
      <c r="BH69" s="29"/>
    </row>
    <row r="70" spans="1:60" x14ac:dyDescent="0.3">
      <c r="A70" s="1">
        <v>46125</v>
      </c>
      <c r="B70" s="33">
        <v>57.11</v>
      </c>
      <c r="C70" s="33">
        <v>60.6</v>
      </c>
      <c r="D70" s="15">
        <v>2.98115082688012E-3</v>
      </c>
      <c r="E70" s="15">
        <v>2.6437556707300798E-3</v>
      </c>
      <c r="F70" s="33">
        <v>0</v>
      </c>
      <c r="G70" s="33">
        <v>0.38518000000000002</v>
      </c>
      <c r="H70" s="33">
        <v>0</v>
      </c>
      <c r="I70" s="33">
        <v>0.30672700000000003</v>
      </c>
      <c r="J70" s="33">
        <v>0</v>
      </c>
      <c r="K70" s="33">
        <v>0</v>
      </c>
      <c r="L70" s="33">
        <v>57.11</v>
      </c>
      <c r="M70" s="33">
        <v>60.6</v>
      </c>
      <c r="N70" s="34">
        <v>1.0611101383295301</v>
      </c>
      <c r="O70" s="34">
        <v>1.05905106792887</v>
      </c>
      <c r="P70" s="34">
        <v>1.0596612186916601</v>
      </c>
      <c r="Q70" s="34">
        <v>1.05765120378402</v>
      </c>
      <c r="R70" s="33">
        <v>60.482406489418302</v>
      </c>
      <c r="S70" s="33">
        <v>60.500541841424599</v>
      </c>
      <c r="T70" s="33">
        <v>60.387808861623803</v>
      </c>
      <c r="U70" s="15">
        <v>-1.9423721573199699E-3</v>
      </c>
      <c r="V70" s="15">
        <v>-1.64257202197271E-3</v>
      </c>
      <c r="W70" s="15">
        <v>-3.5076485462819402E-3</v>
      </c>
      <c r="X70" s="34">
        <v>1.0611101383295301</v>
      </c>
      <c r="Y70" s="34">
        <v>1.0594170994200001</v>
      </c>
      <c r="Z70" s="34">
        <v>1.0596612186916601</v>
      </c>
      <c r="AA70" s="34">
        <v>1.05869273389642</v>
      </c>
      <c r="AB70" s="33">
        <v>60.503310547876502</v>
      </c>
      <c r="AC70" s="33">
        <v>60.500541841424599</v>
      </c>
      <c r="AD70" s="33">
        <v>60.4472906463428</v>
      </c>
      <c r="AE70" s="15">
        <v>-1.59680973593375E-3</v>
      </c>
      <c r="AF70" s="15">
        <v>-1.64257202197271E-3</v>
      </c>
      <c r="AG70" s="15">
        <v>-2.5231367650920501E-3</v>
      </c>
      <c r="AI70" s="12"/>
      <c r="AJ70">
        <f t="shared" si="6"/>
        <v>1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8">
        <f t="shared" si="8"/>
        <v>2.98115082688012E-3</v>
      </c>
      <c r="AP70" s="28">
        <f t="shared" si="9"/>
        <v>-2.6437556707300798E-3</v>
      </c>
      <c r="AQ70" s="28">
        <f t="shared" si="16"/>
        <v>3.3739515615004026E-4</v>
      </c>
      <c r="AR70" s="29">
        <f t="shared" si="17"/>
        <v>9.6677542054030485E-4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3.3739515615004026E-4</v>
      </c>
      <c r="BF70" s="29">
        <f t="shared" si="23"/>
        <v>9.6677542054030485E-4</v>
      </c>
      <c r="BH70" s="29"/>
    </row>
    <row r="71" spans="1:60" x14ac:dyDescent="0.3">
      <c r="A71" s="1">
        <v>46126</v>
      </c>
      <c r="B71" s="33">
        <v>55.95</v>
      </c>
      <c r="C71" s="33">
        <v>59.3</v>
      </c>
      <c r="D71" s="15">
        <v>-2.0520797918837201E-2</v>
      </c>
      <c r="E71" s="15">
        <v>-2.1685587071589001E-2</v>
      </c>
      <c r="F71" s="33">
        <v>0</v>
      </c>
      <c r="G71" s="33">
        <v>0.38518000000000002</v>
      </c>
      <c r="H71" s="33">
        <v>0</v>
      </c>
      <c r="I71" s="33">
        <v>0.30672700000000003</v>
      </c>
      <c r="J71" s="33">
        <v>0</v>
      </c>
      <c r="K71" s="33">
        <v>0</v>
      </c>
      <c r="L71" s="33">
        <v>55.95</v>
      </c>
      <c r="M71" s="33">
        <v>59.3</v>
      </c>
      <c r="N71" s="34">
        <v>1.0598748882931099</v>
      </c>
      <c r="O71" s="34">
        <v>1.05905106792887</v>
      </c>
      <c r="P71" s="34">
        <v>1.05993534406067</v>
      </c>
      <c r="Q71" s="34">
        <v>1.0578297495803699</v>
      </c>
      <c r="R71" s="33">
        <v>59.253907250620799</v>
      </c>
      <c r="S71" s="33">
        <v>59.288045185798502</v>
      </c>
      <c r="T71" s="33">
        <v>59.175584851716103</v>
      </c>
      <c r="U71" s="15">
        <v>-7.7758300456822404E-4</v>
      </c>
      <c r="V71" s="15">
        <v>-2.0161921419967999E-4</v>
      </c>
      <c r="W71" s="15">
        <v>-2.10026722676633E-3</v>
      </c>
      <c r="X71" s="34">
        <v>1.0598748882931099</v>
      </c>
      <c r="Y71" s="34">
        <v>1.0594170994200001</v>
      </c>
      <c r="Z71" s="34">
        <v>1.05993534406067</v>
      </c>
      <c r="AA71" s="34">
        <v>1.05887127969276</v>
      </c>
      <c r="AB71" s="33">
        <v>59.274386712549301</v>
      </c>
      <c r="AC71" s="33">
        <v>59.288045185798502</v>
      </c>
      <c r="AD71" s="33">
        <v>59.233858461504703</v>
      </c>
      <c r="AE71" s="15">
        <v>-4.3202058318191002E-4</v>
      </c>
      <c r="AF71" s="15">
        <v>-2.0161921419967999E-4</v>
      </c>
      <c r="AG71" s="15">
        <v>-1.1159941339686701E-3</v>
      </c>
      <c r="AI71" s="12"/>
      <c r="AJ71">
        <f t="shared" si="6"/>
        <v>0</v>
      </c>
      <c r="AK71">
        <f t="shared" si="7"/>
        <v>0</v>
      </c>
      <c r="AL71">
        <f t="shared" si="14"/>
        <v>1</v>
      </c>
      <c r="AM71">
        <f t="shared" si="4"/>
        <v>1</v>
      </c>
      <c r="AN71">
        <f t="shared" si="15"/>
        <v>1</v>
      </c>
      <c r="AO71" s="28">
        <f t="shared" si="8"/>
        <v>-2.0520797918837201E-2</v>
      </c>
      <c r="AP71" s="28">
        <f t="shared" si="9"/>
        <v>2.1685587071589001E-2</v>
      </c>
      <c r="AQ71" s="28">
        <f t="shared" si="16"/>
        <v>1.1647891527518002E-3</v>
      </c>
      <c r="AR71" s="29">
        <f t="shared" si="17"/>
        <v>2.131564573292105E-3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1.1647891527518002E-3</v>
      </c>
      <c r="BF71" s="29">
        <f t="shared" si="23"/>
        <v>2.131564573292105E-3</v>
      </c>
      <c r="BH71" s="29"/>
    </row>
    <row r="72" spans="1:60" x14ac:dyDescent="0.3">
      <c r="A72" s="1">
        <v>46127</v>
      </c>
      <c r="B72" s="33">
        <v>55.76</v>
      </c>
      <c r="C72" s="33">
        <v>59.14</v>
      </c>
      <c r="D72" s="15">
        <v>-3.4016683056659102E-3</v>
      </c>
      <c r="E72" s="15">
        <v>-2.7017915793485798E-3</v>
      </c>
      <c r="F72" s="33">
        <v>0</v>
      </c>
      <c r="G72" s="33">
        <v>0.38518000000000002</v>
      </c>
      <c r="H72" s="33">
        <v>0</v>
      </c>
      <c r="I72" s="33">
        <v>0.30672700000000003</v>
      </c>
      <c r="J72" s="33">
        <v>0</v>
      </c>
      <c r="K72" s="33">
        <v>0</v>
      </c>
      <c r="L72" s="33">
        <v>55.76</v>
      </c>
      <c r="M72" s="33">
        <v>59.14</v>
      </c>
      <c r="N72" s="34">
        <v>1.0606169296987</v>
      </c>
      <c r="O72" s="34">
        <v>1.05905106792887</v>
      </c>
      <c r="P72" s="34">
        <v>1.0602673602430801</v>
      </c>
      <c r="Q72" s="34">
        <v>1.05834820502104</v>
      </c>
      <c r="R72" s="33">
        <v>59.052687547714299</v>
      </c>
      <c r="S72" s="33">
        <v>59.101994784823397</v>
      </c>
      <c r="T72" s="33">
        <v>58.984586836601601</v>
      </c>
      <c r="U72" s="15">
        <v>-1.4774597308856901E-3</v>
      </c>
      <c r="V72" s="15">
        <v>-6.4283787760013595E-4</v>
      </c>
      <c r="W72" s="15">
        <v>-2.6313447053395301E-3</v>
      </c>
      <c r="X72" s="34">
        <v>1.0606169296987</v>
      </c>
      <c r="Y72" s="34">
        <v>1.0594170994200001</v>
      </c>
      <c r="Z72" s="34">
        <v>1.0602673602430801</v>
      </c>
      <c r="AA72" s="34">
        <v>1.0591276201103601</v>
      </c>
      <c r="AB72" s="33">
        <v>59.073097463659501</v>
      </c>
      <c r="AC72" s="33">
        <v>59.101994784823397</v>
      </c>
      <c r="AD72" s="33">
        <v>59.042662555668798</v>
      </c>
      <c r="AE72" s="15">
        <v>-1.1318973094992101E-3</v>
      </c>
      <c r="AF72" s="15">
        <v>-6.4283787760013595E-4</v>
      </c>
      <c r="AG72" s="15">
        <v>-1.64723766135938E-3</v>
      </c>
      <c r="AI72" s="12"/>
      <c r="AJ72">
        <f t="shared" si="6"/>
        <v>0</v>
      </c>
      <c r="AK72">
        <f t="shared" si="7"/>
        <v>0</v>
      </c>
      <c r="AL72">
        <f t="shared" si="14"/>
        <v>1</v>
      </c>
      <c r="AM72">
        <f t="shared" si="4"/>
        <v>1</v>
      </c>
      <c r="AN72">
        <f t="shared" si="15"/>
        <v>1</v>
      </c>
      <c r="AO72" s="28">
        <f t="shared" si="8"/>
        <v>-3.4016683056659102E-3</v>
      </c>
      <c r="AP72" s="28">
        <f t="shared" si="9"/>
        <v>2.7017915793485798E-3</v>
      </c>
      <c r="AQ72" s="28">
        <f t="shared" si="16"/>
        <v>-6.9987672631733038E-4</v>
      </c>
      <c r="AR72" s="29">
        <f t="shared" si="17"/>
        <v>1.4316878469747747E-3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-6.9987672631733038E-4</v>
      </c>
      <c r="BF72" s="29">
        <f t="shared" si="23"/>
        <v>1.4316878469747747E-3</v>
      </c>
      <c r="BH72" s="29"/>
    </row>
    <row r="73" spans="1:60" x14ac:dyDescent="0.3">
      <c r="A73" s="1">
        <v>46128</v>
      </c>
      <c r="B73" s="33">
        <v>56.58</v>
      </c>
      <c r="C73" s="33">
        <v>60.05</v>
      </c>
      <c r="D73" s="15">
        <v>1.45987994211526E-2</v>
      </c>
      <c r="E73" s="15">
        <v>1.52700341016614E-2</v>
      </c>
      <c r="F73" s="33">
        <v>0</v>
      </c>
      <c r="G73" s="33">
        <v>0.38518000000000002</v>
      </c>
      <c r="H73" s="33">
        <v>0</v>
      </c>
      <c r="I73" s="33">
        <v>0.30672700000000003</v>
      </c>
      <c r="J73" s="33">
        <v>0</v>
      </c>
      <c r="K73" s="33">
        <v>0</v>
      </c>
      <c r="L73" s="33">
        <v>56.58</v>
      </c>
      <c r="M73" s="33">
        <v>60.05</v>
      </c>
      <c r="N73" s="34">
        <v>1.0613290915517799</v>
      </c>
      <c r="O73" s="34">
        <v>1.05905106792887</v>
      </c>
      <c r="P73" s="34">
        <v>1.06048200587443</v>
      </c>
      <c r="Q73" s="34">
        <v>1.0588303707059299</v>
      </c>
      <c r="R73" s="33">
        <v>59.921109423415999</v>
      </c>
      <c r="S73" s="33">
        <v>59.989927242553797</v>
      </c>
      <c r="T73" s="33">
        <v>59.881341440090601</v>
      </c>
      <c r="U73" s="15">
        <v>-2.1486944113942399E-3</v>
      </c>
      <c r="V73" s="15">
        <v>-1.0008796879671E-3</v>
      </c>
      <c r="W73" s="15">
        <v>-2.8125870863674801E-3</v>
      </c>
      <c r="X73" s="34">
        <v>1.0613290915517799</v>
      </c>
      <c r="Y73" s="34">
        <v>1.0594170994200001</v>
      </c>
      <c r="Z73" s="34">
        <v>1.06048200587443</v>
      </c>
      <c r="AA73" s="34">
        <v>1.05934731189486</v>
      </c>
      <c r="AB73" s="33">
        <v>59.941819485183899</v>
      </c>
      <c r="AC73" s="33">
        <v>59.989927242553797</v>
      </c>
      <c r="AD73" s="33">
        <v>59.925440745844497</v>
      </c>
      <c r="AE73" s="15">
        <v>-1.8031319900078399E-3</v>
      </c>
      <c r="AF73" s="15">
        <v>-1.0008796879671E-3</v>
      </c>
      <c r="AG73" s="15">
        <v>-2.0764132748193101E-3</v>
      </c>
      <c r="AI73" s="12"/>
      <c r="AJ73">
        <f t="shared" si="6"/>
        <v>1</v>
      </c>
      <c r="AK73">
        <f t="shared" si="7"/>
        <v>0</v>
      </c>
      <c r="AL73">
        <f t="shared" si="14"/>
        <v>1</v>
      </c>
      <c r="AM73">
        <f t="shared" si="4"/>
        <v>1</v>
      </c>
      <c r="AN73">
        <f t="shared" si="15"/>
        <v>1</v>
      </c>
      <c r="AO73" s="28">
        <f t="shared" si="8"/>
        <v>1.45987994211526E-2</v>
      </c>
      <c r="AP73" s="28">
        <f t="shared" si="9"/>
        <v>-1.52700341016614E-2</v>
      </c>
      <c r="AQ73" s="28">
        <f t="shared" si="16"/>
        <v>-6.7123468050880007E-4</v>
      </c>
      <c r="AR73" s="29">
        <f t="shared" si="17"/>
        <v>7.604531664659746E-4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-6.7123468050880007E-4</v>
      </c>
      <c r="BF73" s="29">
        <f t="shared" si="23"/>
        <v>7.604531664659746E-4</v>
      </c>
      <c r="BH73" s="29"/>
    </row>
    <row r="74" spans="1:60" x14ac:dyDescent="0.3">
      <c r="A74" s="1">
        <v>46129</v>
      </c>
      <c r="B74" s="33">
        <v>55.02</v>
      </c>
      <c r="C74" s="33">
        <v>58.31</v>
      </c>
      <c r="D74" s="15">
        <v>-2.79588103769925E-2</v>
      </c>
      <c r="E74" s="15">
        <v>-2.94039432919278E-2</v>
      </c>
      <c r="F74" s="33">
        <v>0</v>
      </c>
      <c r="G74" s="33">
        <v>0.38518000000000002</v>
      </c>
      <c r="H74" s="33">
        <v>0</v>
      </c>
      <c r="I74" s="33">
        <v>0.30672700000000003</v>
      </c>
      <c r="J74" s="33">
        <v>0</v>
      </c>
      <c r="K74" s="33">
        <v>0</v>
      </c>
      <c r="L74" s="33">
        <v>55.02</v>
      </c>
      <c r="M74" s="33">
        <v>58.31</v>
      </c>
      <c r="N74" s="34">
        <v>1.0597964376590301</v>
      </c>
      <c r="O74" s="34">
        <v>1.05905106792887</v>
      </c>
      <c r="P74" s="34">
        <v>1.0604194555475099</v>
      </c>
      <c r="Q74" s="34">
        <v>1.0591921602438701</v>
      </c>
      <c r="R74" s="33">
        <v>58.268989757446903</v>
      </c>
      <c r="S74" s="33">
        <v>58.347719963211603</v>
      </c>
      <c r="T74" s="33">
        <v>58.256846996240803</v>
      </c>
      <c r="U74" s="15">
        <v>-7.0356149645899903E-4</v>
      </c>
      <c r="V74" s="15">
        <v>6.46677554439445E-4</v>
      </c>
      <c r="W74" s="15">
        <v>-9.1197469628475595E-4</v>
      </c>
      <c r="X74" s="34">
        <v>1.0597964376590301</v>
      </c>
      <c r="Y74" s="34">
        <v>1.0594170994200001</v>
      </c>
      <c r="Z74" s="34">
        <v>1.0604194555475099</v>
      </c>
      <c r="AA74" s="34">
        <v>1.0594507397414299</v>
      </c>
      <c r="AB74" s="33">
        <v>58.289128810088698</v>
      </c>
      <c r="AC74" s="33">
        <v>58.347719963211603</v>
      </c>
      <c r="AD74" s="33">
        <v>58.285289100455699</v>
      </c>
      <c r="AE74" s="15">
        <v>-3.5799907507247001E-4</v>
      </c>
      <c r="AF74" s="15">
        <v>6.46677554439445E-4</v>
      </c>
      <c r="AG74" s="15">
        <v>-4.2387475694604602E-4</v>
      </c>
      <c r="AI74" s="12"/>
      <c r="AJ74">
        <f t="shared" si="6"/>
        <v>0</v>
      </c>
      <c r="AK74">
        <f t="shared" si="7"/>
        <v>1</v>
      </c>
      <c r="AL74">
        <f t="shared" si="14"/>
        <v>1</v>
      </c>
      <c r="AM74">
        <f t="shared" si="4"/>
        <v>1</v>
      </c>
      <c r="AN74">
        <f t="shared" si="15"/>
        <v>1</v>
      </c>
      <c r="AO74" s="28">
        <f t="shared" si="8"/>
        <v>-2.79588103769925E-2</v>
      </c>
      <c r="AP74" s="28">
        <f t="shared" si="9"/>
        <v>2.94039432919278E-2</v>
      </c>
      <c r="AQ74" s="28">
        <f t="shared" si="16"/>
        <v>1.4451329149352994E-3</v>
      </c>
      <c r="AR74" s="29">
        <f t="shared" si="17"/>
        <v>2.205586081401274E-3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1.4451329149352994E-3</v>
      </c>
      <c r="BF74" s="29">
        <f t="shared" si="23"/>
        <v>2.205586081401274E-3</v>
      </c>
      <c r="BH74" s="29"/>
    </row>
    <row r="75" spans="1:60" x14ac:dyDescent="0.3">
      <c r="A75" s="1">
        <v>46132</v>
      </c>
      <c r="B75" s="33">
        <v>55.07</v>
      </c>
      <c r="C75" s="33">
        <v>58.44</v>
      </c>
      <c r="D75" s="15">
        <v>9.0834777796163098E-4</v>
      </c>
      <c r="E75" s="15">
        <v>2.2269816484339899E-3</v>
      </c>
      <c r="F75" s="33">
        <v>0</v>
      </c>
      <c r="G75" s="33">
        <v>0.38518000000000002</v>
      </c>
      <c r="H75" s="33">
        <v>0</v>
      </c>
      <c r="I75" s="33">
        <v>0.30672700000000003</v>
      </c>
      <c r="J75" s="33">
        <v>0</v>
      </c>
      <c r="K75" s="33">
        <v>0</v>
      </c>
      <c r="L75" s="33">
        <v>55.07</v>
      </c>
      <c r="M75" s="33">
        <v>58.44</v>
      </c>
      <c r="N75" s="34">
        <v>1.06119484292718</v>
      </c>
      <c r="O75" s="34">
        <v>1.05905106792887</v>
      </c>
      <c r="P75" s="34">
        <v>1.0606073044514901</v>
      </c>
      <c r="Q75" s="34">
        <v>1.0596300848215301</v>
      </c>
      <c r="R75" s="33">
        <v>58.321942310843397</v>
      </c>
      <c r="S75" s="33">
        <v>58.397299417001598</v>
      </c>
      <c r="T75" s="33">
        <v>58.329712264630302</v>
      </c>
      <c r="U75" s="15">
        <v>-2.0221953669314402E-3</v>
      </c>
      <c r="V75" s="15">
        <v>-7.30940977111747E-4</v>
      </c>
      <c r="W75" s="15">
        <v>-1.88897901733528E-3</v>
      </c>
      <c r="X75" s="34">
        <v>1.06119484292718</v>
      </c>
      <c r="Y75" s="34">
        <v>1.0594170994200001</v>
      </c>
      <c r="Z75" s="34">
        <v>1.0606073044514901</v>
      </c>
      <c r="AA75" s="34">
        <v>1.0596300848215301</v>
      </c>
      <c r="AB75" s="33">
        <v>58.342099665059699</v>
      </c>
      <c r="AC75" s="33">
        <v>58.397299417001598</v>
      </c>
      <c r="AD75" s="33">
        <v>58.3439522375607</v>
      </c>
      <c r="AE75" s="15">
        <v>-1.6766329455449799E-3</v>
      </c>
      <c r="AF75" s="15">
        <v>-7.30940977111747E-4</v>
      </c>
      <c r="AG75" s="15">
        <v>-1.6448798358821E-3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2.205586081401274E-3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2.205586081401274E-3</v>
      </c>
      <c r="BH75" s="29"/>
    </row>
    <row r="76" spans="1:60" x14ac:dyDescent="0.3">
      <c r="A76" s="1">
        <v>46133</v>
      </c>
      <c r="B76" s="33">
        <v>55.87</v>
      </c>
      <c r="C76" s="33">
        <v>59.25</v>
      </c>
      <c r="D76" s="15">
        <v>1.44224601966672E-2</v>
      </c>
      <c r="E76" s="15">
        <v>1.37651931327418E-2</v>
      </c>
      <c r="F76" s="33">
        <v>0</v>
      </c>
      <c r="G76" s="33">
        <v>0.38518000000000002</v>
      </c>
      <c r="H76" s="33">
        <v>0</v>
      </c>
      <c r="I76" s="33">
        <v>0.30672700000000003</v>
      </c>
      <c r="J76" s="33">
        <v>0</v>
      </c>
      <c r="K76" s="33">
        <v>0</v>
      </c>
      <c r="L76" s="33">
        <v>55.87</v>
      </c>
      <c r="M76" s="33">
        <v>59.25</v>
      </c>
      <c r="N76" s="34">
        <v>1.0604975836763899</v>
      </c>
      <c r="O76" s="34">
        <v>1.05905106792887</v>
      </c>
      <c r="P76" s="34">
        <v>1.0607228872872101</v>
      </c>
      <c r="Q76" s="34">
        <v>1.05972858466609</v>
      </c>
      <c r="R76" s="33">
        <v>59.169183165186503</v>
      </c>
      <c r="S76" s="33">
        <v>59.256130099704897</v>
      </c>
      <c r="T76" s="33">
        <v>59.201532838978899</v>
      </c>
      <c r="U76" s="15">
        <v>-1.3649283030060201E-3</v>
      </c>
      <c r="V76" s="15">
        <v>1.0345624661343199E-4</v>
      </c>
      <c r="W76" s="15">
        <v>-8.1834591016763001E-4</v>
      </c>
      <c r="X76" s="34">
        <v>1.0604975836763899</v>
      </c>
      <c r="Y76" s="34">
        <v>1.0594170994200001</v>
      </c>
      <c r="Z76" s="34">
        <v>1.0607228872872101</v>
      </c>
      <c r="AA76" s="34">
        <v>1.05972858466609</v>
      </c>
      <c r="AB76" s="33">
        <v>59.189633344595698</v>
      </c>
      <c r="AC76" s="33">
        <v>59.256130099704897</v>
      </c>
      <c r="AD76" s="33">
        <v>59.201532838978899</v>
      </c>
      <c r="AE76" s="15">
        <v>-1.01936588161957E-3</v>
      </c>
      <c r="AF76" s="15">
        <v>1.0345624661343199E-4</v>
      </c>
      <c r="AG76" s="15">
        <v>-8.1834591016763001E-4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2.205586081401274E-3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2.205586081401274E-3</v>
      </c>
      <c r="BH76" s="29"/>
    </row>
    <row r="77" spans="1:60" x14ac:dyDescent="0.3">
      <c r="A77" s="1">
        <v>46134</v>
      </c>
      <c r="B77" s="33">
        <v>56.54</v>
      </c>
      <c r="C77" s="33">
        <v>59.95</v>
      </c>
      <c r="D77" s="15">
        <v>1.1920788794387E-2</v>
      </c>
      <c r="E77" s="15">
        <v>1.17451014582826E-2</v>
      </c>
      <c r="F77" s="33">
        <v>0</v>
      </c>
      <c r="G77" s="33">
        <v>0.38518000000000002</v>
      </c>
      <c r="H77" s="33">
        <v>0</v>
      </c>
      <c r="I77" s="33">
        <v>0.30672700000000003</v>
      </c>
      <c r="J77" s="33">
        <v>0</v>
      </c>
      <c r="K77" s="33">
        <v>0</v>
      </c>
      <c r="L77" s="33">
        <v>56.54</v>
      </c>
      <c r="M77" s="33">
        <v>59.95</v>
      </c>
      <c r="N77" s="34">
        <v>1.06031128404669</v>
      </c>
      <c r="O77" s="34">
        <v>1.05905106792887</v>
      </c>
      <c r="P77" s="34">
        <v>1.06070750406398</v>
      </c>
      <c r="Q77" s="34">
        <v>1.0598020055416599</v>
      </c>
      <c r="R77" s="33">
        <v>59.878747380698798</v>
      </c>
      <c r="S77" s="33">
        <v>59.973272047219197</v>
      </c>
      <c r="T77" s="33">
        <v>59.917054177020702</v>
      </c>
      <c r="U77" s="15">
        <v>-1.18924096690181E-3</v>
      </c>
      <c r="V77" s="15">
        <v>3.8811561949776599E-4</v>
      </c>
      <c r="W77" s="15">
        <v>-5.4970607286603695E-4</v>
      </c>
      <c r="X77" s="34">
        <v>1.06031128404669</v>
      </c>
      <c r="Y77" s="34">
        <v>1.0594170994200001</v>
      </c>
      <c r="Z77" s="34">
        <v>1.06070750406398</v>
      </c>
      <c r="AA77" s="34">
        <v>1.0598020055416599</v>
      </c>
      <c r="AB77" s="33">
        <v>59.899442801207101</v>
      </c>
      <c r="AC77" s="33">
        <v>59.973272047219197</v>
      </c>
      <c r="AD77" s="33">
        <v>59.917054177020702</v>
      </c>
      <c r="AE77" s="15">
        <v>-8.4367854551550998E-4</v>
      </c>
      <c r="AF77" s="15">
        <v>3.8811561949776599E-4</v>
      </c>
      <c r="AG77" s="15">
        <v>-5.4970607286603695E-4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2.205586081401274E-3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2.205586081401274E-3</v>
      </c>
      <c r="BH77" s="29"/>
    </row>
    <row r="78" spans="1:60" x14ac:dyDescent="0.3">
      <c r="A78" s="1">
        <v>46135</v>
      </c>
      <c r="B78" s="33">
        <v>56.98</v>
      </c>
      <c r="C78" s="33">
        <v>60.37</v>
      </c>
      <c r="D78" s="15">
        <v>7.7519768043179203E-3</v>
      </c>
      <c r="E78" s="15">
        <v>6.9814113348115403E-3</v>
      </c>
      <c r="F78" s="33">
        <v>0</v>
      </c>
      <c r="G78" s="33">
        <v>0.38518000000000002</v>
      </c>
      <c r="H78" s="33">
        <v>0</v>
      </c>
      <c r="I78" s="33">
        <v>0.30672700000000003</v>
      </c>
      <c r="J78" s="33">
        <v>0</v>
      </c>
      <c r="K78" s="33">
        <v>0</v>
      </c>
      <c r="L78" s="33">
        <v>56.98</v>
      </c>
      <c r="M78" s="33">
        <v>60.37</v>
      </c>
      <c r="N78" s="34">
        <v>1.05949455949455</v>
      </c>
      <c r="O78" s="34">
        <v>1.05905106792887</v>
      </c>
      <c r="P78" s="34">
        <v>1.0605693967830101</v>
      </c>
      <c r="Q78" s="34">
        <v>1.05982147513765</v>
      </c>
      <c r="R78" s="33">
        <v>60.344729850587498</v>
      </c>
      <c r="S78" s="33">
        <v>60.439113581565501</v>
      </c>
      <c r="T78" s="33">
        <v>60.387518275764101</v>
      </c>
      <c r="U78" s="15">
        <v>-4.1867549739546902E-4</v>
      </c>
      <c r="V78" s="15">
        <v>1.1441783994035901E-3</v>
      </c>
      <c r="W78" s="15">
        <v>2.9013971365462798E-4</v>
      </c>
      <c r="X78" s="34">
        <v>1.05949455949455</v>
      </c>
      <c r="Y78" s="34">
        <v>1.0594170994200001</v>
      </c>
      <c r="Z78" s="34">
        <v>1.0605693967830101</v>
      </c>
      <c r="AA78" s="34">
        <v>1.05982147513765</v>
      </c>
      <c r="AB78" s="33">
        <v>60.365586324951899</v>
      </c>
      <c r="AC78" s="33">
        <v>60.439113581565501</v>
      </c>
      <c r="AD78" s="33">
        <v>60.387518275764101</v>
      </c>
      <c r="AE78" s="15">
        <v>-7.3113076009063995E-5</v>
      </c>
      <c r="AF78" s="15">
        <v>1.1441783994035901E-3</v>
      </c>
      <c r="AG78" s="15">
        <v>2.9013971365462798E-4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2.205586081401274E-3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2.205586081401274E-3</v>
      </c>
      <c r="BH78" s="29"/>
    </row>
    <row r="79" spans="1:60" x14ac:dyDescent="0.3">
      <c r="A79" s="1">
        <v>46136</v>
      </c>
      <c r="B79" s="33">
        <v>56.87</v>
      </c>
      <c r="C79" s="33">
        <v>60.31</v>
      </c>
      <c r="D79" s="15">
        <v>-1.9323677510539199E-3</v>
      </c>
      <c r="E79" s="15">
        <v>-9.943653454392591E-4</v>
      </c>
      <c r="F79" s="33">
        <v>0</v>
      </c>
      <c r="G79" s="33">
        <v>0.38518000000000002</v>
      </c>
      <c r="H79" s="33">
        <v>0</v>
      </c>
      <c r="I79" s="33">
        <v>0.30672700000000003</v>
      </c>
      <c r="J79" s="33">
        <v>0</v>
      </c>
      <c r="K79" s="33">
        <v>0</v>
      </c>
      <c r="L79" s="33">
        <v>56.87</v>
      </c>
      <c r="M79" s="33">
        <v>60.31</v>
      </c>
      <c r="N79" s="34">
        <v>1.0604888341832199</v>
      </c>
      <c r="O79" s="34">
        <v>1.05905106792887</v>
      </c>
      <c r="P79" s="34">
        <v>1.06047145898602</v>
      </c>
      <c r="Q79" s="34">
        <v>1.05992003908349</v>
      </c>
      <c r="R79" s="33">
        <v>60.228234233115302</v>
      </c>
      <c r="S79" s="33">
        <v>60.3145815950501</v>
      </c>
      <c r="T79" s="33">
        <v>60.2720472910787</v>
      </c>
      <c r="U79" s="15">
        <v>-1.3566779030099801E-3</v>
      </c>
      <c r="V79" s="15">
        <v>7.5964533791006195E-5</v>
      </c>
      <c r="W79" s="15">
        <v>-6.2949188585170301E-4</v>
      </c>
      <c r="X79" s="34">
        <v>1.0604888341832199</v>
      </c>
      <c r="Y79" s="34">
        <v>1.0594170994200001</v>
      </c>
      <c r="Z79" s="34">
        <v>1.06047145898602</v>
      </c>
      <c r="AA79" s="34">
        <v>1.05992003908349</v>
      </c>
      <c r="AB79" s="33">
        <v>60.249050444015701</v>
      </c>
      <c r="AC79" s="33">
        <v>60.3145815950501</v>
      </c>
      <c r="AD79" s="33">
        <v>60.2720472910787</v>
      </c>
      <c r="AE79" s="15">
        <v>-1.0111154816236599E-3</v>
      </c>
      <c r="AF79" s="15">
        <v>7.5964533791006195E-5</v>
      </c>
      <c r="AG79" s="15">
        <v>-6.2949188585170301E-4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2.205586081401274E-3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2.205586081401274E-3</v>
      </c>
      <c r="BH79" s="29"/>
    </row>
    <row r="80" spans="1:60" x14ac:dyDescent="0.3">
      <c r="A80" s="1">
        <v>46139</v>
      </c>
      <c r="B80" s="33">
        <v>56.77</v>
      </c>
      <c r="C80" s="33">
        <v>60.26</v>
      </c>
      <c r="D80" s="15">
        <v>-1.75994413607333E-3</v>
      </c>
      <c r="E80" s="15">
        <v>-8.2939376074033704E-4</v>
      </c>
      <c r="F80" s="33">
        <v>0</v>
      </c>
      <c r="G80" s="33">
        <v>0.38518000000000002</v>
      </c>
      <c r="H80" s="33">
        <v>0</v>
      </c>
      <c r="I80" s="33">
        <v>0.30672700000000003</v>
      </c>
      <c r="J80" s="33">
        <v>0</v>
      </c>
      <c r="K80" s="33">
        <v>0</v>
      </c>
      <c r="L80" s="33">
        <v>56.77</v>
      </c>
      <c r="M80" s="33">
        <v>60.26</v>
      </c>
      <c r="N80" s="34">
        <v>1.0614761317597301</v>
      </c>
      <c r="O80" s="34">
        <v>1.05905106792887</v>
      </c>
      <c r="P80" s="34">
        <v>1.06050805832904</v>
      </c>
      <c r="Q80" s="34">
        <v>1.06008463851035</v>
      </c>
      <c r="R80" s="33">
        <v>60.122329126322498</v>
      </c>
      <c r="S80" s="33">
        <v>60.202964726636502</v>
      </c>
      <c r="T80" s="33">
        <v>60.171660618769799</v>
      </c>
      <c r="U80" s="15">
        <v>-2.2872282783430202E-3</v>
      </c>
      <c r="V80" s="15">
        <v>-9.4693464924665001E-4</v>
      </c>
      <c r="W80" s="15">
        <v>-1.4670460677886799E-3</v>
      </c>
      <c r="X80" s="34">
        <v>1.0614761317597301</v>
      </c>
      <c r="Y80" s="34">
        <v>1.0594170994200001</v>
      </c>
      <c r="Z80" s="34">
        <v>1.06050805832904</v>
      </c>
      <c r="AA80" s="34">
        <v>1.06008463851035</v>
      </c>
      <c r="AB80" s="33">
        <v>60.143108734073699</v>
      </c>
      <c r="AC80" s="33">
        <v>60.202964726636502</v>
      </c>
      <c r="AD80" s="33">
        <v>60.171660618769799</v>
      </c>
      <c r="AE80" s="15">
        <v>-1.94166585695671E-3</v>
      </c>
      <c r="AF80" s="15">
        <v>-9.4693464924665001E-4</v>
      </c>
      <c r="AG80" s="15">
        <v>-1.4670460677886799E-3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2.205586081401274E-3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2.205586081401274E-3</v>
      </c>
      <c r="BH80" s="29"/>
    </row>
    <row r="81" spans="1:60" x14ac:dyDescent="0.3">
      <c r="A81" s="1">
        <v>46140</v>
      </c>
      <c r="B81" s="33">
        <v>57.71</v>
      </c>
      <c r="C81" s="33">
        <v>61.22</v>
      </c>
      <c r="D81" s="15">
        <v>1.64224515402401E-2</v>
      </c>
      <c r="E81" s="15">
        <v>1.5805399815111299E-2</v>
      </c>
      <c r="F81" s="33">
        <v>0</v>
      </c>
      <c r="G81" s="33">
        <v>0.38518000000000002</v>
      </c>
      <c r="H81" s="33">
        <v>0</v>
      </c>
      <c r="I81" s="33">
        <v>0.30672700000000003</v>
      </c>
      <c r="J81" s="33">
        <v>0</v>
      </c>
      <c r="K81" s="33">
        <v>0</v>
      </c>
      <c r="L81" s="33">
        <v>57.71</v>
      </c>
      <c r="M81" s="33">
        <v>61.22</v>
      </c>
      <c r="N81" s="34">
        <v>1.0608213481199</v>
      </c>
      <c r="O81" s="34">
        <v>1.05905106792887</v>
      </c>
      <c r="P81" s="34">
        <v>1.0606027043117201</v>
      </c>
      <c r="Q81" s="34">
        <v>1.0602690241862001</v>
      </c>
      <c r="R81" s="33">
        <v>61.117837130175602</v>
      </c>
      <c r="S81" s="33">
        <v>61.201920046169</v>
      </c>
      <c r="T81" s="33">
        <v>61.177484488432398</v>
      </c>
      <c r="U81" s="15">
        <v>-1.6701765532141401E-3</v>
      </c>
      <c r="V81" s="15">
        <v>-2.9537118770157298E-4</v>
      </c>
      <c r="W81" s="15">
        <v>-6.9471220679288804E-4</v>
      </c>
      <c r="X81" s="34">
        <v>1.0608213481199</v>
      </c>
      <c r="Y81" s="34">
        <v>1.0594170994200001</v>
      </c>
      <c r="Z81" s="34">
        <v>1.0606027043117201</v>
      </c>
      <c r="AA81" s="34">
        <v>1.0602690241862001</v>
      </c>
      <c r="AB81" s="33">
        <v>61.138960807528498</v>
      </c>
      <c r="AC81" s="33">
        <v>61.201920046169</v>
      </c>
      <c r="AD81" s="33">
        <v>61.177484488432398</v>
      </c>
      <c r="AE81" s="15">
        <v>-1.32461413182781E-3</v>
      </c>
      <c r="AF81" s="15">
        <v>-2.9537118770157298E-4</v>
      </c>
      <c r="AG81" s="15">
        <v>-6.9471220679288804E-4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2.205586081401274E-3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2.205586081401274E-3</v>
      </c>
      <c r="BH81" s="29"/>
    </row>
    <row r="82" spans="1:60" x14ac:dyDescent="0.3">
      <c r="A82" s="1">
        <v>46141</v>
      </c>
      <c r="B82" s="33">
        <v>59.03</v>
      </c>
      <c r="C82" s="33">
        <v>62.58</v>
      </c>
      <c r="D82" s="15">
        <v>2.2615320529722899E-2</v>
      </c>
      <c r="E82" s="15">
        <v>2.1971804723469601E-2</v>
      </c>
      <c r="F82" s="33">
        <v>0</v>
      </c>
      <c r="G82" s="33">
        <v>0.38518000000000002</v>
      </c>
      <c r="H82" s="33">
        <v>0</v>
      </c>
      <c r="I82" s="33">
        <v>0.30672700000000003</v>
      </c>
      <c r="J82" s="33">
        <v>0</v>
      </c>
      <c r="K82" s="33">
        <v>0</v>
      </c>
      <c r="L82" s="33">
        <v>59.03</v>
      </c>
      <c r="M82" s="33">
        <v>62.58</v>
      </c>
      <c r="N82" s="34">
        <v>1.0601389124174101</v>
      </c>
      <c r="O82" s="34">
        <v>1.05905106792887</v>
      </c>
      <c r="P82" s="34">
        <v>1.0605549025835901</v>
      </c>
      <c r="Q82" s="34">
        <v>1.06041113141333</v>
      </c>
      <c r="R82" s="33">
        <v>62.515784539841697</v>
      </c>
      <c r="S82" s="33">
        <v>62.607377635520898</v>
      </c>
      <c r="T82" s="33">
        <v>62.587680497711403</v>
      </c>
      <c r="U82" s="15">
        <v>-1.0266607469609601E-3</v>
      </c>
      <c r="V82" s="15">
        <v>4.3738652369766998E-4</v>
      </c>
      <c r="W82" s="15">
        <v>1.2272333705471699E-4</v>
      </c>
      <c r="X82" s="34">
        <v>1.0601389124174101</v>
      </c>
      <c r="Y82" s="34">
        <v>1.0594170994200001</v>
      </c>
      <c r="Z82" s="34">
        <v>1.0605549025835901</v>
      </c>
      <c r="AA82" s="34">
        <v>1.06041113141333</v>
      </c>
      <c r="AB82" s="33">
        <v>62.537391378762997</v>
      </c>
      <c r="AC82" s="33">
        <v>62.607377635520898</v>
      </c>
      <c r="AD82" s="33">
        <v>62.587680497711403</v>
      </c>
      <c r="AE82" s="15">
        <v>-6.8109832557443502E-4</v>
      </c>
      <c r="AF82" s="15">
        <v>4.3738652369766998E-4</v>
      </c>
      <c r="AG82" s="15">
        <v>1.2272333705471699E-4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2.205586081401274E-3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2.205586081401274E-3</v>
      </c>
      <c r="BH82" s="29"/>
    </row>
    <row r="83" spans="1:60" x14ac:dyDescent="0.3">
      <c r="A83" s="1">
        <v>46142</v>
      </c>
      <c r="B83" s="33">
        <v>59.65</v>
      </c>
      <c r="C83" s="33">
        <v>63.21</v>
      </c>
      <c r="D83" s="15">
        <v>1.0448359291327E-2</v>
      </c>
      <c r="E83" s="15">
        <v>1.00167782434714E-2</v>
      </c>
      <c r="F83" s="33">
        <v>0</v>
      </c>
      <c r="G83" s="33">
        <v>0.38518000000000002</v>
      </c>
      <c r="H83" s="33">
        <v>0</v>
      </c>
      <c r="I83" s="33">
        <v>0.30672700000000003</v>
      </c>
      <c r="J83" s="33">
        <v>0</v>
      </c>
      <c r="K83" s="33">
        <v>0</v>
      </c>
      <c r="L83" s="33">
        <v>59.65</v>
      </c>
      <c r="M83" s="33">
        <v>63.21</v>
      </c>
      <c r="N83" s="34">
        <v>1.05968147527242</v>
      </c>
      <c r="O83" s="34">
        <v>1.05905106792887</v>
      </c>
      <c r="P83" s="34">
        <v>1.06039014095565</v>
      </c>
      <c r="Q83" s="34">
        <v>1.06043607341504</v>
      </c>
      <c r="R83" s="33">
        <v>63.172396201957604</v>
      </c>
      <c r="S83" s="33">
        <v>63.262099939111302</v>
      </c>
      <c r="T83" s="33">
        <v>63.253523988805703</v>
      </c>
      <c r="U83" s="15">
        <v>-5.95079699105072E-4</v>
      </c>
      <c r="V83" s="15">
        <v>8.2389621242206904E-4</v>
      </c>
      <c r="W83" s="15">
        <v>6.8832480942086403E-4</v>
      </c>
      <c r="X83" s="34">
        <v>1.05968147527242</v>
      </c>
      <c r="Y83" s="34">
        <v>1.0594170994200001</v>
      </c>
      <c r="Z83" s="34">
        <v>1.06039014095565</v>
      </c>
      <c r="AA83" s="34">
        <v>1.06043607341504</v>
      </c>
      <c r="AB83" s="33">
        <v>63.194229980403399</v>
      </c>
      <c r="AC83" s="33">
        <v>63.262099939111302</v>
      </c>
      <c r="AD83" s="33">
        <v>63.253523988805703</v>
      </c>
      <c r="AE83" s="15">
        <v>-2.4951727771871499E-4</v>
      </c>
      <c r="AF83" s="15">
        <v>8.2389621242206904E-4</v>
      </c>
      <c r="AG83" s="15">
        <v>6.8832480942086403E-4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2.205586081401274E-3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2.205586081401274E-3</v>
      </c>
      <c r="BH83" s="29"/>
    </row>
    <row r="84" spans="1:60" x14ac:dyDescent="0.3">
      <c r="A84" s="1">
        <v>46143</v>
      </c>
      <c r="B84" s="33">
        <v>58.85</v>
      </c>
      <c r="C84" s="33">
        <v>62.47</v>
      </c>
      <c r="D84" s="15">
        <v>-1.35023148376393E-2</v>
      </c>
      <c r="E84" s="15">
        <v>-1.17760749787288E-2</v>
      </c>
      <c r="F84" s="33">
        <v>0</v>
      </c>
      <c r="G84" s="33">
        <v>0.38518000000000002</v>
      </c>
      <c r="H84" s="33">
        <v>0</v>
      </c>
      <c r="I84" s="33">
        <v>0.30672700000000003</v>
      </c>
      <c r="J84" s="33">
        <v>0</v>
      </c>
      <c r="K84" s="33">
        <v>0</v>
      </c>
      <c r="L84" s="33">
        <v>58.85</v>
      </c>
      <c r="M84" s="33">
        <v>62.47</v>
      </c>
      <c r="N84" s="34">
        <v>1.0615123194562399</v>
      </c>
      <c r="O84" s="34">
        <v>1.05905106792887</v>
      </c>
      <c r="P84" s="34">
        <v>1.0605617291353699</v>
      </c>
      <c r="Q84" s="34">
        <v>1.0604905923414401</v>
      </c>
      <c r="R84" s="33">
        <v>62.325155347614498</v>
      </c>
      <c r="S84" s="33">
        <v>62.403959795240297</v>
      </c>
      <c r="T84" s="33">
        <v>62.406662920475497</v>
      </c>
      <c r="U84" s="15">
        <v>-2.3213195580155999E-3</v>
      </c>
      <c r="V84" s="15">
        <v>-1.05770988642919E-3</v>
      </c>
      <c r="W84" s="15">
        <v>-1.0143942586921201E-3</v>
      </c>
      <c r="X84" s="34">
        <v>1.0615123194562399</v>
      </c>
      <c r="Y84" s="34">
        <v>1.0594170994200001</v>
      </c>
      <c r="Z84" s="34">
        <v>1.0605617291353699</v>
      </c>
      <c r="AA84" s="34">
        <v>1.0604905923414401</v>
      </c>
      <c r="AB84" s="33">
        <v>62.3466963008674</v>
      </c>
      <c r="AC84" s="33">
        <v>62.403959795240297</v>
      </c>
      <c r="AD84" s="33">
        <v>62.406662920475497</v>
      </c>
      <c r="AE84" s="15">
        <v>-1.9757571366291302E-3</v>
      </c>
      <c r="AF84" s="15">
        <v>-1.05770988642919E-3</v>
      </c>
      <c r="AG84" s="15">
        <v>-1.0143942586921201E-3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2.205586081401274E-3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2.205586081401274E-3</v>
      </c>
      <c r="BH84" s="29"/>
    </row>
    <row r="85" spans="1:60" x14ac:dyDescent="0.3">
      <c r="A85" s="1">
        <v>46146</v>
      </c>
      <c r="B85" s="33">
        <v>59.39</v>
      </c>
      <c r="C85" s="33">
        <v>63.02</v>
      </c>
      <c r="D85" s="15">
        <v>9.1340283214830405E-3</v>
      </c>
      <c r="E85" s="15">
        <v>8.7656948236500606E-3</v>
      </c>
      <c r="F85" s="33">
        <v>0</v>
      </c>
      <c r="G85" s="33">
        <v>0.38518000000000002</v>
      </c>
      <c r="H85" s="33">
        <v>0</v>
      </c>
      <c r="I85" s="33">
        <v>0.30672700000000003</v>
      </c>
      <c r="J85" s="33">
        <v>0</v>
      </c>
      <c r="K85" s="33">
        <v>0</v>
      </c>
      <c r="L85" s="33">
        <v>59.39</v>
      </c>
      <c r="M85" s="33">
        <v>63.02</v>
      </c>
      <c r="N85" s="34">
        <v>1.06112140090924</v>
      </c>
      <c r="O85" s="34">
        <v>1.05905106792887</v>
      </c>
      <c r="P85" s="34">
        <v>1.0605543849335799</v>
      </c>
      <c r="Q85" s="34">
        <v>1.06058084469253</v>
      </c>
      <c r="R85" s="33">
        <v>62.897042924296102</v>
      </c>
      <c r="S85" s="33">
        <v>62.986761093349998</v>
      </c>
      <c r="T85" s="33">
        <v>62.982536279158403</v>
      </c>
      <c r="U85" s="15">
        <v>-1.95298606018263E-3</v>
      </c>
      <c r="V85" s="15">
        <v>-5.2757339578424103E-4</v>
      </c>
      <c r="W85" s="15">
        <v>-5.9465028326831197E-4</v>
      </c>
      <c r="X85" s="34">
        <v>1.06112140090924</v>
      </c>
      <c r="Y85" s="34">
        <v>1.0594170994200001</v>
      </c>
      <c r="Z85" s="34">
        <v>1.0605543849335799</v>
      </c>
      <c r="AA85" s="34">
        <v>1.06058084469253</v>
      </c>
      <c r="AB85" s="33">
        <v>62.918781534554199</v>
      </c>
      <c r="AC85" s="33">
        <v>62.986761093349998</v>
      </c>
      <c r="AD85" s="33">
        <v>62.982536279158403</v>
      </c>
      <c r="AE85" s="15">
        <v>-1.60742363879618E-3</v>
      </c>
      <c r="AF85" s="15">
        <v>-5.2757339578424103E-4</v>
      </c>
      <c r="AG85" s="15">
        <v>-5.9465028326831197E-4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2.205586081401274E-3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2.205586081401274E-3</v>
      </c>
      <c r="BH85" s="29"/>
    </row>
    <row r="86" spans="1:60" x14ac:dyDescent="0.3">
      <c r="A86" s="1">
        <v>46147</v>
      </c>
      <c r="B86" s="33">
        <v>59.45</v>
      </c>
      <c r="C86" s="33">
        <v>63.09</v>
      </c>
      <c r="D86" s="15">
        <v>1.0097611090221E-3</v>
      </c>
      <c r="E86" s="15">
        <v>1.11014205358947E-3</v>
      </c>
      <c r="F86" s="33">
        <v>0</v>
      </c>
      <c r="G86" s="33">
        <v>0.38518000000000002</v>
      </c>
      <c r="H86" s="33">
        <v>0</v>
      </c>
      <c r="I86" s="33">
        <v>0.30672700000000003</v>
      </c>
      <c r="J86" s="33">
        <v>0</v>
      </c>
      <c r="K86" s="33">
        <v>0</v>
      </c>
      <c r="L86" s="33">
        <v>59.45</v>
      </c>
      <c r="M86" s="33">
        <v>63.09</v>
      </c>
      <c r="N86" s="34">
        <v>1.06122792262405</v>
      </c>
      <c r="O86" s="34">
        <v>1.05905106792887</v>
      </c>
      <c r="P86" s="34">
        <v>1.06062741882834</v>
      </c>
      <c r="Q86" s="34">
        <v>1.06067515305778</v>
      </c>
      <c r="R86" s="33">
        <v>62.960585988371797</v>
      </c>
      <c r="S86" s="33">
        <v>63.049958184301502</v>
      </c>
      <c r="T86" s="33">
        <v>63.051531216971398</v>
      </c>
      <c r="U86" s="15">
        <v>-2.0533670047501299E-3</v>
      </c>
      <c r="V86" s="15">
        <v>-6.34879186893706E-4</v>
      </c>
      <c r="W86" s="15">
        <v>-6.0993050980176499E-4</v>
      </c>
      <c r="X86" s="34">
        <v>1.06122792262405</v>
      </c>
      <c r="Y86" s="34">
        <v>1.0594170994200001</v>
      </c>
      <c r="Z86" s="34">
        <v>1.06062741882834</v>
      </c>
      <c r="AA86" s="34">
        <v>1.06067515305778</v>
      </c>
      <c r="AB86" s="33">
        <v>62.982346560519403</v>
      </c>
      <c r="AC86" s="33">
        <v>63.049958184301502</v>
      </c>
      <c r="AD86" s="33">
        <v>63.051531216971398</v>
      </c>
      <c r="AE86" s="15">
        <v>-1.7078045833636599E-3</v>
      </c>
      <c r="AF86" s="15">
        <v>-6.3487918689348298E-4</v>
      </c>
      <c r="AG86" s="15">
        <v>-6.0993050980176499E-4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2.205586081401274E-3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2.205586081401274E-3</v>
      </c>
      <c r="BH86" s="29"/>
    </row>
    <row r="87" spans="1:60" x14ac:dyDescent="0.3">
      <c r="A87" s="1">
        <v>46148</v>
      </c>
      <c r="B87" s="33">
        <v>57</v>
      </c>
      <c r="C87" s="33">
        <v>60.56</v>
      </c>
      <c r="D87" s="15">
        <v>-4.2084355302240702E-2</v>
      </c>
      <c r="E87" s="15">
        <v>-4.0927669253524701E-2</v>
      </c>
      <c r="F87" s="33">
        <v>0</v>
      </c>
      <c r="G87" s="33">
        <v>0.38518000000000002</v>
      </c>
      <c r="H87" s="33">
        <v>0</v>
      </c>
      <c r="I87" s="33">
        <v>0.30672700000000003</v>
      </c>
      <c r="J87" s="33">
        <v>0</v>
      </c>
      <c r="K87" s="33">
        <v>0</v>
      </c>
      <c r="L87" s="33">
        <v>57</v>
      </c>
      <c r="M87" s="33">
        <v>60.56</v>
      </c>
      <c r="N87" s="34">
        <v>1.0624561403508701</v>
      </c>
      <c r="O87" s="34">
        <v>1.05905106792887</v>
      </c>
      <c r="P87" s="34">
        <v>1.06084190445876</v>
      </c>
      <c r="Q87" s="34">
        <v>1.06077470426137</v>
      </c>
      <c r="R87" s="33">
        <v>60.365910871946099</v>
      </c>
      <c r="S87" s="33">
        <v>60.455762873215903</v>
      </c>
      <c r="T87" s="33">
        <v>60.4584837242936</v>
      </c>
      <c r="U87" s="15">
        <v>-3.21005305346614E-3</v>
      </c>
      <c r="V87" s="15">
        <v>-1.7227037220275401E-3</v>
      </c>
      <c r="W87" s="15">
        <v>-1.67769908188354E-3</v>
      </c>
      <c r="X87" s="34">
        <v>1.0624561403508701</v>
      </c>
      <c r="Y87" s="34">
        <v>1.0594170994200001</v>
      </c>
      <c r="Z87" s="34">
        <v>1.06084190445876</v>
      </c>
      <c r="AA87" s="34">
        <v>1.06077470426137</v>
      </c>
      <c r="AB87" s="33">
        <v>60.386774666940298</v>
      </c>
      <c r="AC87" s="33">
        <v>60.455762873215903</v>
      </c>
      <c r="AD87" s="33">
        <v>60.4584837242936</v>
      </c>
      <c r="AE87" s="15">
        <v>-2.8644906320796702E-3</v>
      </c>
      <c r="AF87" s="15">
        <v>-1.7227037220275401E-3</v>
      </c>
      <c r="AG87" s="15">
        <v>-1.67769908188354E-3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2.205586081401274E-3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2.205586081401274E-3</v>
      </c>
      <c r="BH87" s="29"/>
    </row>
    <row r="88" spans="1:60" x14ac:dyDescent="0.3">
      <c r="A88" s="1">
        <v>46149</v>
      </c>
      <c r="B88" s="33">
        <v>55.95</v>
      </c>
      <c r="C88" s="33">
        <v>59.4</v>
      </c>
      <c r="D88" s="15">
        <v>-1.85928330766158E-2</v>
      </c>
      <c r="E88" s="15">
        <v>-1.9340382760594101E-2</v>
      </c>
      <c r="F88" s="33">
        <v>0</v>
      </c>
      <c r="G88" s="33">
        <v>0.38518000000000002</v>
      </c>
      <c r="H88" s="33">
        <v>0</v>
      </c>
      <c r="I88" s="33">
        <v>0.30672700000000003</v>
      </c>
      <c r="J88" s="33">
        <v>0</v>
      </c>
      <c r="K88" s="33">
        <v>0</v>
      </c>
      <c r="L88" s="33">
        <v>55.95</v>
      </c>
      <c r="M88" s="33">
        <v>59.4</v>
      </c>
      <c r="N88" s="34">
        <v>1.0616621983914201</v>
      </c>
      <c r="O88" s="34">
        <v>1.05905106792887</v>
      </c>
      <c r="P88" s="34">
        <v>1.06105866834845</v>
      </c>
      <c r="Q88" s="34">
        <v>1.06081403256573</v>
      </c>
      <c r="R88" s="33">
        <v>59.253907250620799</v>
      </c>
      <c r="S88" s="33">
        <v>59.354104554468002</v>
      </c>
      <c r="T88" s="33">
        <v>59.350344703423801</v>
      </c>
      <c r="U88" s="15">
        <v>-2.46250336948768E-3</v>
      </c>
      <c r="V88" s="15">
        <v>-7.7294924649753505E-4</v>
      </c>
      <c r="W88" s="15">
        <v>-8.3629735297468296E-4</v>
      </c>
      <c r="X88" s="34">
        <v>1.0616621983914201</v>
      </c>
      <c r="Y88" s="34">
        <v>1.0594170994200001</v>
      </c>
      <c r="Z88" s="34">
        <v>1.06105866834845</v>
      </c>
      <c r="AA88" s="34">
        <v>1.06081403256573</v>
      </c>
      <c r="AB88" s="33">
        <v>59.274386712549301</v>
      </c>
      <c r="AC88" s="33">
        <v>59.354104554468101</v>
      </c>
      <c r="AD88" s="33">
        <v>59.350344703423801</v>
      </c>
      <c r="AE88" s="15">
        <v>-2.1169409481013998E-3</v>
      </c>
      <c r="AF88" s="15">
        <v>-7.7294924649731203E-4</v>
      </c>
      <c r="AG88" s="15">
        <v>-8.3629735297468296E-4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2.205586081401274E-3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2.205586081401274E-3</v>
      </c>
      <c r="BH88" s="29"/>
    </row>
    <row r="89" spans="1:60" x14ac:dyDescent="0.3">
      <c r="A89" s="1">
        <v>46150</v>
      </c>
      <c r="B89" s="33">
        <v>55.7</v>
      </c>
      <c r="C89" s="33">
        <v>59.09</v>
      </c>
      <c r="D89" s="15">
        <v>-4.4782878246958603E-3</v>
      </c>
      <c r="E89" s="15">
        <v>-5.2325210110159203E-3</v>
      </c>
      <c r="F89" s="33">
        <v>0</v>
      </c>
      <c r="G89" s="33">
        <v>0.38518000000000002</v>
      </c>
      <c r="H89" s="33">
        <v>0</v>
      </c>
      <c r="I89" s="33">
        <v>0.30672700000000003</v>
      </c>
      <c r="J89" s="33">
        <v>0</v>
      </c>
      <c r="K89" s="33">
        <v>0</v>
      </c>
      <c r="L89" s="33">
        <v>55.7</v>
      </c>
      <c r="M89" s="33">
        <v>59.09</v>
      </c>
      <c r="N89" s="34">
        <v>1.0608617594254901</v>
      </c>
      <c r="O89" s="34">
        <v>1.05905106792887</v>
      </c>
      <c r="P89" s="34">
        <v>1.06109596087268</v>
      </c>
      <c r="Q89" s="34">
        <v>1.06078370992935</v>
      </c>
      <c r="R89" s="33">
        <v>58.989144483638597</v>
      </c>
      <c r="S89" s="33">
        <v>59.100967827008901</v>
      </c>
      <c r="T89" s="33">
        <v>59.087341613911398</v>
      </c>
      <c r="U89" s="15">
        <v>-1.7082701831677299E-3</v>
      </c>
      <c r="V89" s="15">
        <v>1.8559501190401799E-4</v>
      </c>
      <c r="W89" s="15">
        <v>-4.4989776427545798E-5</v>
      </c>
      <c r="X89" s="34">
        <v>1.0608617594254901</v>
      </c>
      <c r="Y89" s="34">
        <v>1.0594170994200001</v>
      </c>
      <c r="Z89" s="34">
        <v>1.06109596087268</v>
      </c>
      <c r="AA89" s="34">
        <v>1.06078370992935</v>
      </c>
      <c r="AB89" s="33">
        <v>59.009532437694297</v>
      </c>
      <c r="AC89" s="33">
        <v>59.100967827008901</v>
      </c>
      <c r="AD89" s="33">
        <v>59.087341613911398</v>
      </c>
      <c r="AE89" s="15">
        <v>-1.36270776178141E-3</v>
      </c>
      <c r="AF89" s="15">
        <v>1.8559501190401799E-4</v>
      </c>
      <c r="AG89" s="15">
        <v>-4.4989776427545798E-5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2.205586081401274E-3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</v>
      </c>
      <c r="BE89" s="29">
        <f t="shared" si="42"/>
        <v>0</v>
      </c>
      <c r="BF89" s="29">
        <f t="shared" si="43"/>
        <v>2.205586081401274E-3</v>
      </c>
      <c r="BH89" s="29"/>
    </row>
    <row r="90" spans="1:60" x14ac:dyDescent="0.3">
      <c r="A90" s="1">
        <v>46153</v>
      </c>
      <c r="B90" s="33">
        <v>57.17</v>
      </c>
      <c r="C90" s="33">
        <v>60.63</v>
      </c>
      <c r="D90" s="15">
        <v>2.6049138342641599E-2</v>
      </c>
      <c r="E90" s="15">
        <v>2.5728114726056101E-2</v>
      </c>
      <c r="F90" s="33">
        <v>0</v>
      </c>
      <c r="G90" s="33">
        <v>0.38518000000000002</v>
      </c>
      <c r="H90" s="33">
        <v>0</v>
      </c>
      <c r="I90" s="33">
        <v>0.30672700000000003</v>
      </c>
      <c r="J90" s="33">
        <v>0</v>
      </c>
      <c r="K90" s="33">
        <v>0</v>
      </c>
      <c r="L90" s="33">
        <v>57.17</v>
      </c>
      <c r="M90" s="33">
        <v>60.63</v>
      </c>
      <c r="N90" s="34">
        <v>1.0605212524051</v>
      </c>
      <c r="O90" s="34">
        <v>1.05905106792887</v>
      </c>
      <c r="P90" s="34">
        <v>1.06100047293721</v>
      </c>
      <c r="Q90" s="34">
        <v>1.0607542656331299</v>
      </c>
      <c r="R90" s="33">
        <v>60.545949553493998</v>
      </c>
      <c r="S90" s="33">
        <v>60.6628560830911</v>
      </c>
      <c r="T90" s="33">
        <v>60.645004696661097</v>
      </c>
      <c r="U90" s="15">
        <v>-1.38724656658228E-3</v>
      </c>
      <c r="V90" s="15">
        <v>5.4176453512329997E-4</v>
      </c>
      <c r="W90" s="15">
        <v>2.47449122351121E-4</v>
      </c>
      <c r="X90" s="34">
        <v>1.0605212524051</v>
      </c>
      <c r="Y90" s="34">
        <v>1.0594170994200001</v>
      </c>
      <c r="Z90" s="34">
        <v>1.06100047293721</v>
      </c>
      <c r="AA90" s="34">
        <v>1.0607542656331299</v>
      </c>
      <c r="AB90" s="33">
        <v>60.566875573841699</v>
      </c>
      <c r="AC90" s="33">
        <v>60.6628560830911</v>
      </c>
      <c r="AD90" s="33">
        <v>60.645004696661097</v>
      </c>
      <c r="AE90" s="15">
        <v>-1.0416841451958399E-3</v>
      </c>
      <c r="AF90" s="15">
        <v>5.4176453512329997E-4</v>
      </c>
      <c r="AG90" s="15">
        <v>2.47449122351121E-4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2.205586081401274E-3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</v>
      </c>
      <c r="BE90" s="29">
        <f t="shared" si="42"/>
        <v>0</v>
      </c>
      <c r="BF90" s="29">
        <f t="shared" si="43"/>
        <v>2.205586081401274E-3</v>
      </c>
      <c r="BH90" s="29"/>
    </row>
    <row r="91" spans="1:60" x14ac:dyDescent="0.3">
      <c r="A91" s="1">
        <v>46154</v>
      </c>
      <c r="B91" s="33">
        <v>57.57</v>
      </c>
      <c r="C91" s="33">
        <v>61.02</v>
      </c>
      <c r="D91" s="15">
        <v>6.97231341183829E-3</v>
      </c>
      <c r="E91" s="15">
        <v>6.41185920488425E-3</v>
      </c>
      <c r="F91" s="33">
        <v>0</v>
      </c>
      <c r="G91" s="33">
        <v>0.38518000000000002</v>
      </c>
      <c r="H91" s="33">
        <v>0</v>
      </c>
      <c r="I91" s="33">
        <v>0.30672700000000003</v>
      </c>
      <c r="J91" s="33">
        <v>0</v>
      </c>
      <c r="K91" s="33">
        <v>0</v>
      </c>
      <c r="L91" s="33">
        <v>57.57</v>
      </c>
      <c r="M91" s="33">
        <v>61.02</v>
      </c>
      <c r="N91" s="34">
        <v>1.05992704533611</v>
      </c>
      <c r="O91" s="34">
        <v>1.05905106792887</v>
      </c>
      <c r="P91" s="34">
        <v>1.06091104265883</v>
      </c>
      <c r="Q91" s="34">
        <v>1.0607568734852799</v>
      </c>
      <c r="R91" s="33">
        <v>60.969569980665597</v>
      </c>
      <c r="S91" s="33">
        <v>61.081797226995597</v>
      </c>
      <c r="T91" s="33">
        <v>61.067623072499302</v>
      </c>
      <c r="U91" s="15">
        <v>-8.2679235962827499E-4</v>
      </c>
      <c r="V91" s="15">
        <v>1.01222477761323E-3</v>
      </c>
      <c r="W91" s="15">
        <v>7.8014582831977301E-4</v>
      </c>
      <c r="X91" s="34">
        <v>1.05992704533611</v>
      </c>
      <c r="Y91" s="34">
        <v>1.0594170994200001</v>
      </c>
      <c r="Z91" s="34">
        <v>1.06091104265883</v>
      </c>
      <c r="AA91" s="34">
        <v>1.0607568734852799</v>
      </c>
      <c r="AB91" s="33">
        <v>60.990642413609699</v>
      </c>
      <c r="AC91" s="33">
        <v>61.081797226995597</v>
      </c>
      <c r="AD91" s="33">
        <v>61.067623072499302</v>
      </c>
      <c r="AE91" s="15">
        <v>-4.8122993824188101E-4</v>
      </c>
      <c r="AF91" s="15">
        <v>1.0122247776130099E-3</v>
      </c>
      <c r="AG91" s="15">
        <v>7.8014582831977301E-4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2.205586081401274E-3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</v>
      </c>
      <c r="BE91" s="29">
        <f t="shared" si="42"/>
        <v>0</v>
      </c>
      <c r="BF91" s="29">
        <f t="shared" si="43"/>
        <v>2.205586081401274E-3</v>
      </c>
      <c r="BH91" s="29"/>
    </row>
    <row r="92" spans="1:60" x14ac:dyDescent="0.3">
      <c r="A92" s="1">
        <v>46155</v>
      </c>
      <c r="B92" s="33">
        <v>57.63</v>
      </c>
      <c r="C92" s="33">
        <v>61.1</v>
      </c>
      <c r="D92" s="15">
        <v>1.0416667608567E-3</v>
      </c>
      <c r="E92" s="15">
        <v>1.31018688902609E-3</v>
      </c>
      <c r="F92" s="33">
        <v>0</v>
      </c>
      <c r="G92" s="33">
        <v>0.38518000000000002</v>
      </c>
      <c r="H92" s="33">
        <v>0</v>
      </c>
      <c r="I92" s="33">
        <v>0.30672700000000003</v>
      </c>
      <c r="J92" s="33">
        <v>0</v>
      </c>
      <c r="K92" s="33">
        <v>0</v>
      </c>
      <c r="L92" s="33">
        <v>57.63</v>
      </c>
      <c r="M92" s="33">
        <v>61.1</v>
      </c>
      <c r="N92" s="34">
        <v>1.06021169529758</v>
      </c>
      <c r="O92" s="34">
        <v>1.05905106792887</v>
      </c>
      <c r="P92" s="34">
        <v>1.06091832094685</v>
      </c>
      <c r="Q92" s="34">
        <v>1.0607366117652199</v>
      </c>
      <c r="R92" s="33">
        <v>61.033113044741299</v>
      </c>
      <c r="S92" s="33">
        <v>61.140303388428897</v>
      </c>
      <c r="T92" s="33">
        <v>61.131418618956701</v>
      </c>
      <c r="U92" s="15">
        <v>-1.09531248779746E-3</v>
      </c>
      <c r="V92" s="15">
        <v>6.5941246499090099E-4</v>
      </c>
      <c r="W92" s="15">
        <v>5.1408418561530399E-4</v>
      </c>
      <c r="X92" s="34">
        <v>1.06021169529758</v>
      </c>
      <c r="Y92" s="34">
        <v>1.0594170994200001</v>
      </c>
      <c r="Z92" s="34">
        <v>1.06091832094685</v>
      </c>
      <c r="AA92" s="34">
        <v>1.0607366117652199</v>
      </c>
      <c r="AB92" s="33">
        <v>61.054207439574903</v>
      </c>
      <c r="AC92" s="33">
        <v>61.140303388428897</v>
      </c>
      <c r="AD92" s="33">
        <v>61.131418618956701</v>
      </c>
      <c r="AE92" s="15">
        <v>-7.4975006641112604E-4</v>
      </c>
      <c r="AF92" s="15">
        <v>6.5941246499090099E-4</v>
      </c>
      <c r="AG92" s="15">
        <v>5.1408418561530399E-4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2.205586081401274E-3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</v>
      </c>
      <c r="BE92" s="29">
        <f t="shared" si="42"/>
        <v>0</v>
      </c>
      <c r="BF92" s="29">
        <f t="shared" si="43"/>
        <v>2.205586081401274E-3</v>
      </c>
      <c r="BH92" s="29"/>
    </row>
    <row r="93" spans="1:60" x14ac:dyDescent="0.3">
      <c r="A93" s="1">
        <v>46156</v>
      </c>
      <c r="B93" s="33">
        <v>58.07</v>
      </c>
      <c r="C93" s="33">
        <v>61.56</v>
      </c>
      <c r="D93" s="15">
        <v>7.6059139353835802E-3</v>
      </c>
      <c r="E93" s="15">
        <v>7.5004427931288902E-3</v>
      </c>
      <c r="F93" s="33">
        <v>0</v>
      </c>
      <c r="G93" s="33">
        <v>0.38518000000000002</v>
      </c>
      <c r="H93" s="33">
        <v>0</v>
      </c>
      <c r="I93" s="33">
        <v>0.30672700000000003</v>
      </c>
      <c r="J93" s="33">
        <v>0</v>
      </c>
      <c r="K93" s="33">
        <v>0</v>
      </c>
      <c r="L93" s="33">
        <v>58.07</v>
      </c>
      <c r="M93" s="33">
        <v>61.56</v>
      </c>
      <c r="N93" s="34">
        <v>1.0600998794558201</v>
      </c>
      <c r="O93" s="34">
        <v>1.05905106792887</v>
      </c>
      <c r="P93" s="34">
        <v>1.06096016136519</v>
      </c>
      <c r="Q93" s="34">
        <v>1.06067515116042</v>
      </c>
      <c r="R93" s="33">
        <v>61.49909551463</v>
      </c>
      <c r="S93" s="33">
        <v>61.607526897383899</v>
      </c>
      <c r="T93" s="33">
        <v>61.596975045206499</v>
      </c>
      <c r="U93" s="15">
        <v>-9.898413455428981E-4</v>
      </c>
      <c r="V93" s="15">
        <v>7.7174399681530996E-4</v>
      </c>
      <c r="W93" s="15">
        <v>6.0045395405259195E-4</v>
      </c>
      <c r="X93" s="34">
        <v>1.0600998794558201</v>
      </c>
      <c r="Y93" s="34">
        <v>1.0594170994200001</v>
      </c>
      <c r="Z93" s="34">
        <v>1.06096016136519</v>
      </c>
      <c r="AA93" s="34">
        <v>1.06067515116042</v>
      </c>
      <c r="AB93" s="33">
        <v>61.5203509633197</v>
      </c>
      <c r="AC93" s="33">
        <v>61.607526897383899</v>
      </c>
      <c r="AD93" s="33">
        <v>61.596975045206499</v>
      </c>
      <c r="AE93" s="15">
        <v>-6.4427892415641901E-4</v>
      </c>
      <c r="AF93" s="15">
        <v>7.7174399681530996E-4</v>
      </c>
      <c r="AG93" s="15">
        <v>6.0045395405237002E-4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2.205586081401274E-3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</v>
      </c>
      <c r="BE93" s="29">
        <f t="shared" si="42"/>
        <v>0</v>
      </c>
      <c r="BF93" s="29">
        <f t="shared" si="43"/>
        <v>2.205586081401274E-3</v>
      </c>
      <c r="BH93" s="29"/>
    </row>
    <row r="94" spans="1:60" x14ac:dyDescent="0.3">
      <c r="A94" s="1">
        <v>46157</v>
      </c>
      <c r="B94" s="33">
        <v>59.44</v>
      </c>
      <c r="C94" s="33">
        <v>62.96</v>
      </c>
      <c r="D94" s="15">
        <v>2.3318221025545201E-2</v>
      </c>
      <c r="E94" s="15">
        <v>2.2487295138469299E-2</v>
      </c>
      <c r="F94" s="33">
        <v>0</v>
      </c>
      <c r="G94" s="33">
        <v>0.38518000000000002</v>
      </c>
      <c r="H94" s="33">
        <v>0</v>
      </c>
      <c r="I94" s="33">
        <v>0.30672700000000003</v>
      </c>
      <c r="J94" s="33">
        <v>0</v>
      </c>
      <c r="K94" s="33">
        <v>0</v>
      </c>
      <c r="L94" s="33">
        <v>59.44</v>
      </c>
      <c r="M94" s="33">
        <v>62.96</v>
      </c>
      <c r="N94" s="34">
        <v>1.0592193808882899</v>
      </c>
      <c r="O94" s="34">
        <v>1.05905106792887</v>
      </c>
      <c r="P94" s="34">
        <v>1.0607308675084</v>
      </c>
      <c r="Q94" s="34">
        <v>1.0606462983218801</v>
      </c>
      <c r="R94" s="33">
        <v>62.949995477692603</v>
      </c>
      <c r="S94" s="33">
        <v>63.063471991547303</v>
      </c>
      <c r="T94" s="33">
        <v>63.046530984975703</v>
      </c>
      <c r="U94" s="15">
        <v>-1.5891545846693201E-4</v>
      </c>
      <c r="V94" s="15">
        <v>1.64210703233781E-3</v>
      </c>
      <c r="W94" s="15">
        <v>1.3734367242953099E-3</v>
      </c>
      <c r="X94" s="34">
        <v>1.0592193808882899</v>
      </c>
      <c r="Y94" s="34">
        <v>1.0594170994200001</v>
      </c>
      <c r="Z94" s="34">
        <v>1.0607308675084</v>
      </c>
      <c r="AA94" s="34">
        <v>1.0606462983218801</v>
      </c>
      <c r="AB94" s="33">
        <v>62.9717523895252</v>
      </c>
      <c r="AC94" s="33">
        <v>63.063471991547303</v>
      </c>
      <c r="AD94" s="33">
        <v>63.046530984975703</v>
      </c>
      <c r="AE94" s="15">
        <v>1.8664696291952301E-4</v>
      </c>
      <c r="AF94" s="15">
        <v>1.6421070323375899E-3</v>
      </c>
      <c r="AG94" s="15">
        <v>1.3734367242953099E-3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2.205586081401274E-3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</v>
      </c>
      <c r="BE94" s="29">
        <f t="shared" si="42"/>
        <v>0</v>
      </c>
      <c r="BF94" s="29">
        <f t="shared" si="43"/>
        <v>2.205586081401274E-3</v>
      </c>
      <c r="BH94" s="29"/>
    </row>
    <row r="95" spans="1:60" x14ac:dyDescent="0.3">
      <c r="A95" s="1">
        <v>46160</v>
      </c>
      <c r="B95" s="33">
        <v>60.58</v>
      </c>
      <c r="C95" s="33">
        <v>64.09</v>
      </c>
      <c r="D95" s="15">
        <v>1.89974051895875E-2</v>
      </c>
      <c r="E95" s="15">
        <v>1.7788741406987701E-2</v>
      </c>
      <c r="F95" s="33">
        <v>0</v>
      </c>
      <c r="G95" s="33">
        <v>0.38518000000000002</v>
      </c>
      <c r="H95" s="33">
        <v>0</v>
      </c>
      <c r="I95" s="33">
        <v>0.30672700000000003</v>
      </c>
      <c r="J95" s="33">
        <v>0</v>
      </c>
      <c r="K95" s="33">
        <v>0</v>
      </c>
      <c r="L95" s="33">
        <v>60.58</v>
      </c>
      <c r="M95" s="33">
        <v>64.09</v>
      </c>
      <c r="N95" s="34">
        <v>1.0579399141630901</v>
      </c>
      <c r="O95" s="34">
        <v>1.05905106792887</v>
      </c>
      <c r="P95" s="34">
        <v>1.06041271883378</v>
      </c>
      <c r="Q95" s="34">
        <v>1.0604835518836799</v>
      </c>
      <c r="R95" s="33">
        <v>64.157313695131506</v>
      </c>
      <c r="S95" s="33">
        <v>64.259075953658893</v>
      </c>
      <c r="T95" s="33">
        <v>64.253952752339998</v>
      </c>
      <c r="U95" s="15">
        <v>1.0497483241327301E-3</v>
      </c>
      <c r="V95" s="15">
        <v>2.6346282620703099E-3</v>
      </c>
      <c r="W95" s="15">
        <v>2.5548978040271001E-3</v>
      </c>
      <c r="X95" s="34">
        <v>1.0579399141630901</v>
      </c>
      <c r="Y95" s="34">
        <v>1.0594170994200001</v>
      </c>
      <c r="Z95" s="34">
        <v>1.06041271883378</v>
      </c>
      <c r="AA95" s="34">
        <v>1.0604835518836799</v>
      </c>
      <c r="AB95" s="33">
        <v>64.179487882863995</v>
      </c>
      <c r="AC95" s="33">
        <v>64.259075953658893</v>
      </c>
      <c r="AD95" s="33">
        <v>64.253952752339998</v>
      </c>
      <c r="AE95" s="15">
        <v>1.3953107455193399E-3</v>
      </c>
      <c r="AF95" s="15">
        <v>2.6346282620705302E-3</v>
      </c>
      <c r="AG95" s="15">
        <v>2.5548978040271001E-3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2.205586081401274E-3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</v>
      </c>
      <c r="BE95" s="29">
        <f t="shared" si="42"/>
        <v>0</v>
      </c>
      <c r="BF95" s="29">
        <f t="shared" si="43"/>
        <v>2.205586081401274E-3</v>
      </c>
      <c r="BH95" s="29"/>
    </row>
    <row r="96" spans="1:60" x14ac:dyDescent="0.3">
      <c r="A96" s="1">
        <v>46161</v>
      </c>
      <c r="B96" s="33">
        <v>61.29</v>
      </c>
      <c r="C96" s="33">
        <v>64.72</v>
      </c>
      <c r="D96" s="15">
        <v>1.1651891898549101E-2</v>
      </c>
      <c r="E96" s="15">
        <v>9.7819272341006305E-3</v>
      </c>
      <c r="F96" s="33">
        <v>0</v>
      </c>
      <c r="G96" s="33">
        <v>0.38518000000000002</v>
      </c>
      <c r="H96" s="33">
        <v>0</v>
      </c>
      <c r="I96" s="33">
        <v>0.30672700000000003</v>
      </c>
      <c r="J96" s="33">
        <v>0</v>
      </c>
      <c r="K96" s="33">
        <v>0</v>
      </c>
      <c r="L96" s="33">
        <v>61.29</v>
      </c>
      <c r="M96" s="33">
        <v>64.72</v>
      </c>
      <c r="N96" s="34">
        <v>1.0559634524392201</v>
      </c>
      <c r="O96" s="34">
        <v>1.05905106792887</v>
      </c>
      <c r="P96" s="34">
        <v>1.0598862718152999</v>
      </c>
      <c r="Q96" s="34">
        <v>1.06025684532182</v>
      </c>
      <c r="R96" s="33">
        <v>64.909239953360995</v>
      </c>
      <c r="S96" s="33">
        <v>64.992695537322703</v>
      </c>
      <c r="T96" s="33">
        <v>64.997036894950995</v>
      </c>
      <c r="U96" s="15">
        <v>2.9197129885812898E-3</v>
      </c>
      <c r="V96" s="15">
        <v>4.2046144818253996E-3</v>
      </c>
      <c r="W96" s="15">
        <v>4.2714098747947604E-3</v>
      </c>
      <c r="X96" s="34">
        <v>1.0559634524392201</v>
      </c>
      <c r="Y96" s="34">
        <v>1.0594170994200001</v>
      </c>
      <c r="Z96" s="34">
        <v>1.0598862718152999</v>
      </c>
      <c r="AA96" s="34">
        <v>1.06025684532182</v>
      </c>
      <c r="AB96" s="33">
        <v>64.931674023452203</v>
      </c>
      <c r="AC96" s="33">
        <v>64.992695537322703</v>
      </c>
      <c r="AD96" s="33">
        <v>64.997036894950995</v>
      </c>
      <c r="AE96" s="15">
        <v>3.26527540996778E-3</v>
      </c>
      <c r="AF96" s="15">
        <v>4.2046144818251802E-3</v>
      </c>
      <c r="AG96" s="15">
        <v>4.2714098747947604E-3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2.205586081401274E-3</v>
      </c>
      <c r="AT96" s="12"/>
      <c r="AU96">
        <f t="shared" si="30"/>
        <v>1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</v>
      </c>
      <c r="BE96" s="29">
        <f t="shared" si="42"/>
        <v>0</v>
      </c>
      <c r="BF96" s="29">
        <f t="shared" si="43"/>
        <v>2.205586081401274E-3</v>
      </c>
      <c r="BH96" s="29"/>
    </row>
    <row r="97" spans="1:60" x14ac:dyDescent="0.3">
      <c r="A97" s="1">
        <v>46162</v>
      </c>
      <c r="B97" s="33">
        <v>59.8</v>
      </c>
      <c r="C97" s="33">
        <v>63.28</v>
      </c>
      <c r="D97" s="15">
        <v>-2.4611036541054301E-2</v>
      </c>
      <c r="E97" s="15">
        <v>-2.25009492908377E-2</v>
      </c>
      <c r="F97" s="33">
        <v>0</v>
      </c>
      <c r="G97" s="33">
        <v>0.38518000000000002</v>
      </c>
      <c r="H97" s="33">
        <v>0</v>
      </c>
      <c r="I97" s="33">
        <v>0.30672700000000003</v>
      </c>
      <c r="J97" s="33">
        <v>0</v>
      </c>
      <c r="K97" s="33">
        <v>0</v>
      </c>
      <c r="L97" s="33">
        <v>59.8</v>
      </c>
      <c r="M97" s="33">
        <v>63.28</v>
      </c>
      <c r="N97" s="34">
        <v>1.0581939799331099</v>
      </c>
      <c r="O97" s="34">
        <v>1.05905106792887</v>
      </c>
      <c r="P97" s="34">
        <v>1.0594600557735201</v>
      </c>
      <c r="Q97" s="34">
        <v>1.06015098011614</v>
      </c>
      <c r="R97" s="33">
        <v>63.331253862146902</v>
      </c>
      <c r="S97" s="33">
        <v>63.381199054555097</v>
      </c>
      <c r="T97" s="33">
        <v>63.403359350245204</v>
      </c>
      <c r="U97" s="15">
        <v>8.0962573836477797E-4</v>
      </c>
      <c r="V97" s="15">
        <v>1.59794912482034E-3</v>
      </c>
      <c r="W97" s="15">
        <v>1.9475231769695699E-3</v>
      </c>
      <c r="X97" s="34">
        <v>1.0581939799331099</v>
      </c>
      <c r="Y97" s="34">
        <v>1.0594170994200001</v>
      </c>
      <c r="Z97" s="34">
        <v>1.0594600557735201</v>
      </c>
      <c r="AA97" s="34">
        <v>1.06015098011614</v>
      </c>
      <c r="AB97" s="33">
        <v>63.353142545316402</v>
      </c>
      <c r="AC97" s="33">
        <v>63.381199054555097</v>
      </c>
      <c r="AD97" s="33">
        <v>63.403359350245204</v>
      </c>
      <c r="AE97" s="15">
        <v>1.1551881597511599E-3</v>
      </c>
      <c r="AF97" s="15">
        <v>1.59794912482034E-3</v>
      </c>
      <c r="AG97" s="15">
        <v>1.9475231769695699E-3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2.205586081401274E-3</v>
      </c>
      <c r="AT97" s="12"/>
      <c r="AU97">
        <f t="shared" si="30"/>
        <v>0</v>
      </c>
      <c r="AV97">
        <f t="shared" si="31"/>
        <v>1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2.4611036541054301E-2</v>
      </c>
      <c r="BA97" s="28">
        <f t="shared" si="33"/>
        <v>-2.25009492908377E-2</v>
      </c>
      <c r="BB97" s="28">
        <f t="shared" si="40"/>
        <v>2.110087250216601E-3</v>
      </c>
      <c r="BC97" s="29">
        <f t="shared" si="41"/>
        <v>2.110087250216601E-3</v>
      </c>
      <c r="BE97" s="29">
        <f t="shared" si="42"/>
        <v>2.110087250216601E-3</v>
      </c>
      <c r="BF97" s="29">
        <f t="shared" si="43"/>
        <v>4.3156733316178746E-3</v>
      </c>
      <c r="BH97" s="29"/>
    </row>
    <row r="98" spans="1:60" x14ac:dyDescent="0.3">
      <c r="A98" s="1">
        <v>46163</v>
      </c>
      <c r="B98" s="33">
        <v>59.13</v>
      </c>
      <c r="C98" s="33">
        <v>62.68</v>
      </c>
      <c r="D98" s="15">
        <v>-1.12672511238474E-2</v>
      </c>
      <c r="E98" s="15">
        <v>-9.5269059715783304E-3</v>
      </c>
      <c r="F98" s="33">
        <v>0</v>
      </c>
      <c r="G98" s="33">
        <v>0.38518000000000002</v>
      </c>
      <c r="H98" s="33">
        <v>0</v>
      </c>
      <c r="I98" s="33">
        <v>0.30672700000000003</v>
      </c>
      <c r="J98" s="33">
        <v>0</v>
      </c>
      <c r="K98" s="33">
        <v>0</v>
      </c>
      <c r="L98" s="33">
        <v>59.13</v>
      </c>
      <c r="M98" s="33">
        <v>62.68</v>
      </c>
      <c r="N98" s="34">
        <v>1.06003720615592</v>
      </c>
      <c r="O98" s="34">
        <v>1.05905106792887</v>
      </c>
      <c r="P98" s="34">
        <v>1.05929755654997</v>
      </c>
      <c r="Q98" s="34">
        <v>1.06017811244921</v>
      </c>
      <c r="R98" s="33">
        <v>62.6216896466346</v>
      </c>
      <c r="S98" s="33">
        <v>62.645873097888597</v>
      </c>
      <c r="T98" s="33">
        <v>62.686727454267697</v>
      </c>
      <c r="U98" s="15">
        <v>-9.3071941390434395E-4</v>
      </c>
      <c r="V98" s="15">
        <v>-5.4461065558601099E-4</v>
      </c>
      <c r="W98" s="15">
        <v>1.0732439796201E-4</v>
      </c>
      <c r="X98" s="34">
        <v>1.06003720615592</v>
      </c>
      <c r="Y98" s="34">
        <v>1.0594170994200001</v>
      </c>
      <c r="Z98" s="34">
        <v>1.05929755654997</v>
      </c>
      <c r="AA98" s="34">
        <v>1.06017811244921</v>
      </c>
      <c r="AB98" s="33">
        <v>62.643333088704999</v>
      </c>
      <c r="AC98" s="33">
        <v>62.645873097888597</v>
      </c>
      <c r="AD98" s="33">
        <v>62.686727454267697</v>
      </c>
      <c r="AE98" s="15">
        <v>-5.8515699251799605E-4</v>
      </c>
      <c r="AF98" s="15">
        <v>-5.4461065558601099E-4</v>
      </c>
      <c r="AG98" s="15">
        <v>1.0732439796201E-4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2.205586081401274E-3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2.110087250216601E-3</v>
      </c>
      <c r="BE98" s="29">
        <f t="shared" si="42"/>
        <v>0</v>
      </c>
      <c r="BF98" s="29">
        <f t="shared" si="43"/>
        <v>4.3156733316178746E-3</v>
      </c>
      <c r="BH98" s="29"/>
    </row>
    <row r="99" spans="1:60" x14ac:dyDescent="0.3">
      <c r="A99" s="1">
        <v>46164</v>
      </c>
      <c r="B99" s="33">
        <v>59.49</v>
      </c>
      <c r="C99" s="33">
        <v>62.98</v>
      </c>
      <c r="D99" s="15">
        <v>6.0698213670757704E-3</v>
      </c>
      <c r="E99" s="15">
        <v>4.7747981850584697E-3</v>
      </c>
      <c r="F99" s="33">
        <v>0</v>
      </c>
      <c r="G99" s="33">
        <v>0.38518000000000002</v>
      </c>
      <c r="H99" s="33">
        <v>0</v>
      </c>
      <c r="I99" s="33">
        <v>0.30672700000000003</v>
      </c>
      <c r="J99" s="33">
        <v>0</v>
      </c>
      <c r="K99" s="33">
        <v>0</v>
      </c>
      <c r="L99" s="33">
        <v>59.49</v>
      </c>
      <c r="M99" s="33">
        <v>62.98</v>
      </c>
      <c r="N99" s="34">
        <v>1.0586653219028399</v>
      </c>
      <c r="O99" s="34">
        <v>1.05905106792887</v>
      </c>
      <c r="P99" s="34">
        <v>1.0590779127977099</v>
      </c>
      <c r="Q99" s="34">
        <v>1.06008693683519</v>
      </c>
      <c r="R99" s="33">
        <v>63.002948031088998</v>
      </c>
      <c r="S99" s="33">
        <v>63.017611639158098</v>
      </c>
      <c r="T99" s="33">
        <v>63.069995909603797</v>
      </c>
      <c r="U99" s="15">
        <v>3.6430376811304101E-4</v>
      </c>
      <c r="V99" s="15">
        <v>5.9702147978872599E-4</v>
      </c>
      <c r="W99" s="15">
        <v>1.4279401478174E-3</v>
      </c>
      <c r="X99" s="34">
        <v>1.0586653219028399</v>
      </c>
      <c r="Y99" s="34">
        <v>1.0594170994200001</v>
      </c>
      <c r="Z99" s="34">
        <v>1.0590779127977099</v>
      </c>
      <c r="AA99" s="34">
        <v>1.06008693683519</v>
      </c>
      <c r="AB99" s="33">
        <v>63.024723244496201</v>
      </c>
      <c r="AC99" s="33">
        <v>63.017611639158098</v>
      </c>
      <c r="AD99" s="33">
        <v>63.069995909603797</v>
      </c>
      <c r="AE99" s="15">
        <v>7.0986618949939E-4</v>
      </c>
      <c r="AF99" s="15">
        <v>5.9702147978850405E-4</v>
      </c>
      <c r="AG99" s="15">
        <v>1.4279401478174E-3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2.205586081401274E-3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2.110087250216601E-3</v>
      </c>
      <c r="BE99" s="29">
        <f t="shared" si="42"/>
        <v>0</v>
      </c>
      <c r="BF99" s="29">
        <f t="shared" si="43"/>
        <v>4.3156733316178746E-3</v>
      </c>
      <c r="BH99" s="29"/>
    </row>
    <row r="100" spans="1:60" x14ac:dyDescent="0.3">
      <c r="A100" s="1">
        <v>46168</v>
      </c>
      <c r="B100" s="33">
        <v>57.85</v>
      </c>
      <c r="C100" s="33">
        <v>61.39</v>
      </c>
      <c r="D100" s="15">
        <v>-2.79547775601286E-2</v>
      </c>
      <c r="E100" s="15">
        <v>-2.5570260233473498E-2</v>
      </c>
      <c r="F100" s="33">
        <v>0</v>
      </c>
      <c r="G100" s="33">
        <v>0.38518000000000002</v>
      </c>
      <c r="H100" s="33">
        <v>0</v>
      </c>
      <c r="I100" s="33">
        <v>0.30672700000000003</v>
      </c>
      <c r="J100" s="33">
        <v>0</v>
      </c>
      <c r="K100" s="33">
        <v>0</v>
      </c>
      <c r="L100" s="33">
        <v>57.85</v>
      </c>
      <c r="M100" s="33">
        <v>61.39</v>
      </c>
      <c r="N100" s="34">
        <v>1.0611927398444201</v>
      </c>
      <c r="O100" s="34">
        <v>1.05905106792887</v>
      </c>
      <c r="P100" s="34">
        <v>1.05914506154164</v>
      </c>
      <c r="Q100" s="34">
        <v>1.0600727672394299</v>
      </c>
      <c r="R100" s="33">
        <v>61.266104279685599</v>
      </c>
      <c r="S100" s="33">
        <v>61.267657255347601</v>
      </c>
      <c r="T100" s="33">
        <v>61.326029295916101</v>
      </c>
      <c r="U100" s="15">
        <v>-2.0202135585421898E-3</v>
      </c>
      <c r="V100" s="15">
        <v>-1.9948658397977099E-3</v>
      </c>
      <c r="W100" s="15">
        <v>-1.04258115660121E-3</v>
      </c>
      <c r="X100" s="34">
        <v>1.0611927398444201</v>
      </c>
      <c r="Y100" s="34">
        <v>1.0594170994200001</v>
      </c>
      <c r="Z100" s="34">
        <v>1.05914506154164</v>
      </c>
      <c r="AA100" s="34">
        <v>1.0600727672394299</v>
      </c>
      <c r="AB100" s="33">
        <v>61.287279201447298</v>
      </c>
      <c r="AC100" s="33">
        <v>61.267657255347601</v>
      </c>
      <c r="AD100" s="33">
        <v>61.326029295916101</v>
      </c>
      <c r="AE100" s="15">
        <v>-1.6746511371557801E-3</v>
      </c>
      <c r="AF100" s="15">
        <v>-1.9948658397977099E-3</v>
      </c>
      <c r="AG100" s="15">
        <v>-1.04258115660121E-3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2.205586081401274E-3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2.110087250216601E-3</v>
      </c>
      <c r="BE100" s="29">
        <f t="shared" si="42"/>
        <v>0</v>
      </c>
      <c r="BF100" s="29">
        <f t="shared" si="43"/>
        <v>4.3156733316178746E-3</v>
      </c>
      <c r="BH100" s="29"/>
    </row>
    <row r="101" spans="1:60" x14ac:dyDescent="0.3">
      <c r="A101" s="1">
        <v>46169</v>
      </c>
      <c r="B101" s="33">
        <v>56.99</v>
      </c>
      <c r="C101" s="33">
        <v>60.43</v>
      </c>
      <c r="D101" s="15">
        <v>-1.49776397927773E-2</v>
      </c>
      <c r="E101" s="15">
        <v>-1.57612850659378E-2</v>
      </c>
      <c r="F101" s="33">
        <v>0</v>
      </c>
      <c r="G101" s="33">
        <v>0.38518000000000002</v>
      </c>
      <c r="H101" s="33">
        <v>0</v>
      </c>
      <c r="I101" s="33">
        <v>0.30672700000000003</v>
      </c>
      <c r="J101" s="33">
        <v>0</v>
      </c>
      <c r="K101" s="33">
        <v>0</v>
      </c>
      <c r="L101" s="33">
        <v>56.99</v>
      </c>
      <c r="M101" s="33">
        <v>60.43</v>
      </c>
      <c r="N101" s="34">
        <v>1.06036146692402</v>
      </c>
      <c r="O101" s="34">
        <v>1.05905106792887</v>
      </c>
      <c r="P101" s="34">
        <v>1.0591885037004301</v>
      </c>
      <c r="Q101" s="34">
        <v>1.0600497731796299</v>
      </c>
      <c r="R101" s="33">
        <v>60.355320361266799</v>
      </c>
      <c r="S101" s="33">
        <v>60.360677057258201</v>
      </c>
      <c r="T101" s="33">
        <v>60.4135470049752</v>
      </c>
      <c r="U101" s="15">
        <v>-1.2365682853818401E-3</v>
      </c>
      <c r="V101" s="15">
        <v>-1.1478195510052499E-3</v>
      </c>
      <c r="W101" s="15">
        <v>-2.7230241968632902E-4</v>
      </c>
      <c r="X101" s="34">
        <v>1.06036146692402</v>
      </c>
      <c r="Y101" s="34">
        <v>1.0594170994200001</v>
      </c>
      <c r="Z101" s="34">
        <v>1.0591885037004301</v>
      </c>
      <c r="AA101" s="34">
        <v>1.0600497731796299</v>
      </c>
      <c r="AB101" s="33">
        <v>60.376180495946102</v>
      </c>
      <c r="AC101" s="33">
        <v>60.360677057258201</v>
      </c>
      <c r="AD101" s="33">
        <v>60.4135470049752</v>
      </c>
      <c r="AE101" s="15">
        <v>-8.9100586399534895E-4</v>
      </c>
      <c r="AF101" s="15">
        <v>-1.1478195510052499E-3</v>
      </c>
      <c r="AG101" s="15">
        <v>-2.7230241968632902E-4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2.205586081401274E-3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2.110087250216601E-3</v>
      </c>
      <c r="BE101" s="29">
        <f t="shared" si="42"/>
        <v>0</v>
      </c>
      <c r="BF101" s="29">
        <f t="shared" si="43"/>
        <v>4.3156733316178746E-3</v>
      </c>
      <c r="BH101" s="29"/>
    </row>
    <row r="102" spans="1:60" x14ac:dyDescent="0.3">
      <c r="A102" s="1">
        <v>46170</v>
      </c>
      <c r="B102" s="33">
        <v>56.95</v>
      </c>
      <c r="C102" s="33">
        <v>60.46</v>
      </c>
      <c r="D102" s="15">
        <v>-7.0212395371708504E-4</v>
      </c>
      <c r="E102" s="15">
        <v>4.9631897784496596E-4</v>
      </c>
      <c r="F102" s="33">
        <v>0</v>
      </c>
      <c r="G102" s="33">
        <v>0.38518000000000002</v>
      </c>
      <c r="H102" s="33">
        <v>0</v>
      </c>
      <c r="I102" s="33">
        <v>0.30672700000000003</v>
      </c>
      <c r="J102" s="33">
        <v>0</v>
      </c>
      <c r="K102" s="33">
        <v>0</v>
      </c>
      <c r="L102" s="33">
        <v>56.95</v>
      </c>
      <c r="M102" s="33">
        <v>60.46</v>
      </c>
      <c r="N102" s="34">
        <v>1.06163301141352</v>
      </c>
      <c r="O102" s="34">
        <v>1.05905106792887</v>
      </c>
      <c r="P102" s="34">
        <v>1.05933063531202</v>
      </c>
      <c r="Q102" s="34">
        <v>1.0601244781294401</v>
      </c>
      <c r="R102" s="33">
        <v>60.312958318549697</v>
      </c>
      <c r="S102" s="33">
        <v>60.320785285739703</v>
      </c>
      <c r="T102" s="33">
        <v>60.369834582580303</v>
      </c>
      <c r="U102" s="15">
        <v>-2.4350112169436301E-3</v>
      </c>
      <c r="V102" s="15">
        <v>-2.30524707355895E-3</v>
      </c>
      <c r="W102" s="15">
        <v>-1.4924366066892199E-3</v>
      </c>
      <c r="X102" s="34">
        <v>1.06163301141352</v>
      </c>
      <c r="Y102" s="34">
        <v>1.0594170994200001</v>
      </c>
      <c r="Z102" s="34">
        <v>1.05933063531202</v>
      </c>
      <c r="AA102" s="34">
        <v>1.0601244781294401</v>
      </c>
      <c r="AB102" s="33">
        <v>60.333803811969297</v>
      </c>
      <c r="AC102" s="33">
        <v>60.320785285739703</v>
      </c>
      <c r="AD102" s="33">
        <v>60.369834582580303</v>
      </c>
      <c r="AE102" s="15">
        <v>-2.0894487955572401E-3</v>
      </c>
      <c r="AF102" s="15">
        <v>-2.30524707355928E-3</v>
      </c>
      <c r="AG102" s="15">
        <v>-1.49243660668944E-3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2.205586081401274E-3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2.110087250216601E-3</v>
      </c>
      <c r="BE102" s="29">
        <f t="shared" si="42"/>
        <v>0</v>
      </c>
      <c r="BF102" s="29">
        <f t="shared" si="43"/>
        <v>4.3156733316178746E-3</v>
      </c>
      <c r="BH102" s="29"/>
    </row>
    <row r="103" spans="1:60" x14ac:dyDescent="0.3">
      <c r="A103" s="1">
        <v>46171</v>
      </c>
      <c r="B103" s="33">
        <v>56.29</v>
      </c>
      <c r="C103" s="33">
        <v>59.84</v>
      </c>
      <c r="D103" s="15">
        <v>-1.16567904172559E-2</v>
      </c>
      <c r="E103" s="15">
        <v>-1.03076556850901E-2</v>
      </c>
      <c r="F103" s="33">
        <v>0</v>
      </c>
      <c r="G103" s="33">
        <v>0.38518000000000002</v>
      </c>
      <c r="H103" s="33">
        <v>0</v>
      </c>
      <c r="I103" s="33">
        <v>0.30672700000000003</v>
      </c>
      <c r="J103" s="33">
        <v>0</v>
      </c>
      <c r="K103" s="33">
        <v>0</v>
      </c>
      <c r="L103" s="33">
        <v>56.29</v>
      </c>
      <c r="M103" s="33">
        <v>59.84</v>
      </c>
      <c r="N103" s="34">
        <v>1.0630662639900501</v>
      </c>
      <c r="O103" s="34">
        <v>1.05905106792887</v>
      </c>
      <c r="P103" s="34">
        <v>1.05962727376545</v>
      </c>
      <c r="Q103" s="34">
        <v>1.06029371756532</v>
      </c>
      <c r="R103" s="33">
        <v>59.613984613716603</v>
      </c>
      <c r="S103" s="33">
        <v>59.629721461713999</v>
      </c>
      <c r="T103" s="33">
        <v>59.6744068739063</v>
      </c>
      <c r="U103" s="15">
        <v>-3.7841459491094799E-3</v>
      </c>
      <c r="V103" s="15">
        <v>-3.5202016520607098E-3</v>
      </c>
      <c r="W103" s="15">
        <v>-2.7711007633445298E-3</v>
      </c>
      <c r="X103" s="34">
        <v>1.0630662639900501</v>
      </c>
      <c r="Y103" s="34">
        <v>1.0594170994200001</v>
      </c>
      <c r="Z103" s="34">
        <v>1.05962727376545</v>
      </c>
      <c r="AA103" s="34">
        <v>1.06029371756532</v>
      </c>
      <c r="AB103" s="33">
        <v>59.634588526352097</v>
      </c>
      <c r="AC103" s="33">
        <v>59.629721461713999</v>
      </c>
      <c r="AD103" s="33">
        <v>59.6744068739063</v>
      </c>
      <c r="AE103" s="15">
        <v>-3.4385835277231302E-3</v>
      </c>
      <c r="AF103" s="15">
        <v>-3.5202016520607098E-3</v>
      </c>
      <c r="AG103" s="15">
        <v>-2.7711007633445298E-3</v>
      </c>
      <c r="AI103" s="12"/>
      <c r="AJ103">
        <f t="shared" si="26"/>
        <v>1</v>
      </c>
      <c r="AK103">
        <f t="shared" si="27"/>
        <v>0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2.205586081401274E-3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2.110087250216601E-3</v>
      </c>
      <c r="BE103" s="29">
        <f t="shared" si="42"/>
        <v>0</v>
      </c>
      <c r="BF103" s="29">
        <f t="shared" si="43"/>
        <v>4.3156733316178746E-3</v>
      </c>
      <c r="BH103" s="29"/>
    </row>
    <row r="104" spans="1:60" x14ac:dyDescent="0.3">
      <c r="A104" s="1">
        <v>46174</v>
      </c>
      <c r="B104" s="33">
        <v>57.3</v>
      </c>
      <c r="C104" s="33">
        <v>60.86</v>
      </c>
      <c r="D104" s="15">
        <v>1.77837242447586E-2</v>
      </c>
      <c r="E104" s="15">
        <v>1.6901810802603199E-2</v>
      </c>
      <c r="F104" s="33">
        <v>0</v>
      </c>
      <c r="G104" s="33">
        <v>0.38518000000000002</v>
      </c>
      <c r="H104" s="33">
        <v>0</v>
      </c>
      <c r="I104" s="33">
        <v>0.30672700000000003</v>
      </c>
      <c r="J104" s="33">
        <v>0</v>
      </c>
      <c r="K104" s="33">
        <v>0</v>
      </c>
      <c r="L104" s="33">
        <v>57.3</v>
      </c>
      <c r="M104" s="33">
        <v>60.86</v>
      </c>
      <c r="N104" s="34">
        <v>1.0621291448516501</v>
      </c>
      <c r="O104" s="34">
        <v>1.05905106792887</v>
      </c>
      <c r="P104" s="34">
        <v>1.0599182501617801</v>
      </c>
      <c r="Q104" s="34">
        <v>1.06032455883509</v>
      </c>
      <c r="R104" s="33">
        <v>60.683626192324702</v>
      </c>
      <c r="S104" s="33">
        <v>60.716642786760303</v>
      </c>
      <c r="T104" s="33">
        <v>60.754830016493003</v>
      </c>
      <c r="U104" s="15">
        <v>-2.9022325069540801E-3</v>
      </c>
      <c r="V104" s="15">
        <v>-2.3583029831205399E-3</v>
      </c>
      <c r="W104" s="15">
        <v>-1.7295589643070599E-3</v>
      </c>
      <c r="X104" s="34">
        <v>1.0621291448516501</v>
      </c>
      <c r="Y104" s="34">
        <v>1.0594170994200001</v>
      </c>
      <c r="Z104" s="34">
        <v>1.0599182501617801</v>
      </c>
      <c r="AA104" s="34">
        <v>1.06032455883509</v>
      </c>
      <c r="AB104" s="33">
        <v>60.704599796766303</v>
      </c>
      <c r="AC104" s="33">
        <v>60.716642786760303</v>
      </c>
      <c r="AD104" s="33">
        <v>60.754830016493003</v>
      </c>
      <c r="AE104" s="15">
        <v>-2.5566700855676602E-3</v>
      </c>
      <c r="AF104" s="15">
        <v>-2.3583029831205399E-3</v>
      </c>
      <c r="AG104" s="15">
        <v>-1.7295589643070599E-3</v>
      </c>
      <c r="AI104" s="12"/>
      <c r="AJ104">
        <f t="shared" si="26"/>
        <v>0</v>
      </c>
      <c r="AK104">
        <f t="shared" si="27"/>
        <v>0</v>
      </c>
      <c r="AL104">
        <f t="shared" si="34"/>
        <v>1</v>
      </c>
      <c r="AM104">
        <f t="shared" si="24"/>
        <v>1</v>
      </c>
      <c r="AN104">
        <f t="shared" si="35"/>
        <v>1</v>
      </c>
      <c r="AO104" s="28">
        <f t="shared" si="28"/>
        <v>1.77837242447586E-2</v>
      </c>
      <c r="AP104" s="28">
        <f t="shared" si="29"/>
        <v>-1.6901810802603199E-2</v>
      </c>
      <c r="AQ104" s="28">
        <f t="shared" si="36"/>
        <v>8.8191344215540063E-4</v>
      </c>
      <c r="AR104" s="29">
        <f t="shared" si="37"/>
        <v>3.0874995235566746E-3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2.110087250216601E-3</v>
      </c>
      <c r="BE104" s="29">
        <f t="shared" si="42"/>
        <v>8.8191344215540063E-4</v>
      </c>
      <c r="BF104" s="29">
        <f t="shared" si="43"/>
        <v>5.1975867737732752E-3</v>
      </c>
      <c r="BH104" s="29"/>
    </row>
    <row r="105" spans="1:60" x14ac:dyDescent="0.3">
      <c r="A105" s="1">
        <v>46175</v>
      </c>
      <c r="B105" s="33">
        <v>57.96</v>
      </c>
      <c r="C105" s="33">
        <v>61.56</v>
      </c>
      <c r="D105" s="15">
        <v>1.1452493731787699E-2</v>
      </c>
      <c r="E105" s="15">
        <v>1.14361645018534E-2</v>
      </c>
      <c r="F105" s="33">
        <v>0</v>
      </c>
      <c r="G105" s="33">
        <v>0.38518000000000002</v>
      </c>
      <c r="H105" s="33">
        <v>0</v>
      </c>
      <c r="I105" s="33">
        <v>0.30672700000000003</v>
      </c>
      <c r="J105" s="33">
        <v>0</v>
      </c>
      <c r="K105" s="33">
        <v>0</v>
      </c>
      <c r="L105" s="33">
        <v>57.96</v>
      </c>
      <c r="M105" s="33">
        <v>61.56</v>
      </c>
      <c r="N105" s="34">
        <v>1.0621118012422299</v>
      </c>
      <c r="O105" s="34">
        <v>1.05905106792887</v>
      </c>
      <c r="P105" s="34">
        <v>1.0603354388696999</v>
      </c>
      <c r="Q105" s="34">
        <v>1.06037407885174</v>
      </c>
      <c r="R105" s="33">
        <v>61.382599897157803</v>
      </c>
      <c r="S105" s="33">
        <v>61.432861779377099</v>
      </c>
      <c r="T105" s="33">
        <v>61.456411430081999</v>
      </c>
      <c r="U105" s="15">
        <v>-2.88590327701976E-3</v>
      </c>
      <c r="V105" s="15">
        <v>-2.0674088571935702E-3</v>
      </c>
      <c r="W105" s="15">
        <v>-1.6841426797941899E-3</v>
      </c>
      <c r="X105" s="34">
        <v>1.0621118012422299</v>
      </c>
      <c r="Y105" s="34">
        <v>1.0594170994200001</v>
      </c>
      <c r="Z105" s="34">
        <v>1.0603354388696999</v>
      </c>
      <c r="AA105" s="34">
        <v>1.06037407885174</v>
      </c>
      <c r="AB105" s="33">
        <v>61.403815082383502</v>
      </c>
      <c r="AC105" s="33">
        <v>61.432861779377099</v>
      </c>
      <c r="AD105" s="33">
        <v>61.456411430081999</v>
      </c>
      <c r="AE105" s="15">
        <v>-2.54034085563337E-3</v>
      </c>
      <c r="AF105" s="15">
        <v>-2.0674088571935702E-3</v>
      </c>
      <c r="AG105" s="15">
        <v>-1.6841426797941899E-3</v>
      </c>
      <c r="AI105" s="12"/>
      <c r="AJ105">
        <f t="shared" si="26"/>
        <v>0</v>
      </c>
      <c r="AK105">
        <f t="shared" si="27"/>
        <v>0</v>
      </c>
      <c r="AL105">
        <f t="shared" si="34"/>
        <v>1</v>
      </c>
      <c r="AM105">
        <f t="shared" si="24"/>
        <v>1</v>
      </c>
      <c r="AN105">
        <f t="shared" si="35"/>
        <v>1</v>
      </c>
      <c r="AO105" s="28">
        <f t="shared" si="28"/>
        <v>1.1452493731787699E-2</v>
      </c>
      <c r="AP105" s="28">
        <f t="shared" si="29"/>
        <v>-1.14361645018534E-2</v>
      </c>
      <c r="AQ105" s="28">
        <f t="shared" si="36"/>
        <v>1.6329229934299722E-5</v>
      </c>
      <c r="AR105" s="29">
        <f t="shared" si="37"/>
        <v>3.1038287534909744E-3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2.110087250216601E-3</v>
      </c>
      <c r="BE105" s="29">
        <f t="shared" si="42"/>
        <v>1.6329229934299722E-5</v>
      </c>
      <c r="BF105" s="29">
        <f t="shared" si="43"/>
        <v>5.2139160037075749E-3</v>
      </c>
      <c r="BH105" s="29"/>
    </row>
    <row r="106" spans="1:60" x14ac:dyDescent="0.3">
      <c r="A106" s="1">
        <v>46176</v>
      </c>
      <c r="B106" s="33">
        <v>58.71</v>
      </c>
      <c r="C106" s="33">
        <v>62.38</v>
      </c>
      <c r="D106" s="15">
        <v>1.2856952623612999E-2</v>
      </c>
      <c r="E106" s="15">
        <v>1.32324022089788E-2</v>
      </c>
      <c r="F106" s="33">
        <v>0</v>
      </c>
      <c r="G106" s="33">
        <v>0.38518000000000002</v>
      </c>
      <c r="H106" s="33">
        <v>0</v>
      </c>
      <c r="I106" s="33">
        <v>0.30672700000000003</v>
      </c>
      <c r="J106" s="33">
        <v>0</v>
      </c>
      <c r="K106" s="33">
        <v>0</v>
      </c>
      <c r="L106" s="33">
        <v>58.71</v>
      </c>
      <c r="M106" s="33">
        <v>62.38</v>
      </c>
      <c r="N106" s="34">
        <v>1.0625106455458999</v>
      </c>
      <c r="O106" s="34">
        <v>1.05905106792887</v>
      </c>
      <c r="P106" s="34">
        <v>1.06099015818036</v>
      </c>
      <c r="Q106" s="34">
        <v>1.06043821499783</v>
      </c>
      <c r="R106" s="33">
        <v>62.1768881981045</v>
      </c>
      <c r="S106" s="33">
        <v>62.252293616040099</v>
      </c>
      <c r="T106" s="33">
        <v>62.2545621693858</v>
      </c>
      <c r="U106" s="15">
        <v>-3.2613528623855101E-3</v>
      </c>
      <c r="V106" s="15">
        <v>-2.0493312760161099E-3</v>
      </c>
      <c r="W106" s="15">
        <v>-2.0128906586436902E-3</v>
      </c>
      <c r="X106" s="34">
        <v>1.0625106455458999</v>
      </c>
      <c r="Y106" s="34">
        <v>1.0594170994200001</v>
      </c>
      <c r="Z106" s="34">
        <v>1.06099015818036</v>
      </c>
      <c r="AA106" s="34">
        <v>1.06043821499783</v>
      </c>
      <c r="AB106" s="33">
        <v>62.198377906948501</v>
      </c>
      <c r="AC106" s="33">
        <v>62.252293616040099</v>
      </c>
      <c r="AD106" s="33">
        <v>62.2545621693858</v>
      </c>
      <c r="AE106" s="15">
        <v>-2.9157904409991102E-3</v>
      </c>
      <c r="AF106" s="15">
        <v>-2.0493312760161099E-3</v>
      </c>
      <c r="AG106" s="15">
        <v>-2.0128906586436902E-3</v>
      </c>
      <c r="AI106" s="12"/>
      <c r="AJ106">
        <f t="shared" si="26"/>
        <v>1</v>
      </c>
      <c r="AK106">
        <f t="shared" si="27"/>
        <v>0</v>
      </c>
      <c r="AL106">
        <f t="shared" si="34"/>
        <v>1</v>
      </c>
      <c r="AM106">
        <f t="shared" si="24"/>
        <v>1</v>
      </c>
      <c r="AN106">
        <f t="shared" si="35"/>
        <v>1</v>
      </c>
      <c r="AO106" s="28">
        <f t="shared" si="28"/>
        <v>1.2856952623612999E-2</v>
      </c>
      <c r="AP106" s="28">
        <f t="shared" si="29"/>
        <v>-1.32324022089788E-2</v>
      </c>
      <c r="AQ106" s="28">
        <f t="shared" si="36"/>
        <v>-3.7544958536580089E-4</v>
      </c>
      <c r="AR106" s="29">
        <f t="shared" si="37"/>
        <v>2.7283791681251735E-3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2.110087250216601E-3</v>
      </c>
      <c r="BE106" s="29">
        <f t="shared" si="42"/>
        <v>-3.7544958536580089E-4</v>
      </c>
      <c r="BF106" s="29">
        <f t="shared" si="43"/>
        <v>4.838466418341774E-3</v>
      </c>
      <c r="BH106" s="29"/>
    </row>
    <row r="107" spans="1:60" x14ac:dyDescent="0.3">
      <c r="A107" s="1">
        <v>46177</v>
      </c>
      <c r="B107" s="33">
        <v>58.75</v>
      </c>
      <c r="C107" s="33">
        <v>62.4</v>
      </c>
      <c r="D107" s="15">
        <v>6.8108294817374499E-4</v>
      </c>
      <c r="E107" s="15">
        <v>3.2056419572481398E-4</v>
      </c>
      <c r="F107" s="33">
        <v>0</v>
      </c>
      <c r="G107" s="33">
        <v>0.38518000000000002</v>
      </c>
      <c r="H107" s="33">
        <v>0</v>
      </c>
      <c r="I107" s="33">
        <v>0.30672700000000003</v>
      </c>
      <c r="J107" s="33">
        <v>0</v>
      </c>
      <c r="K107" s="33">
        <v>0</v>
      </c>
      <c r="L107" s="33">
        <v>58.75</v>
      </c>
      <c r="M107" s="33">
        <v>62.4</v>
      </c>
      <c r="N107" s="34">
        <v>1.06212765957446</v>
      </c>
      <c r="O107" s="34">
        <v>1.05905106792887</v>
      </c>
      <c r="P107" s="34">
        <v>1.0613835261444999</v>
      </c>
      <c r="Q107" s="34">
        <v>1.0604217909590099</v>
      </c>
      <c r="R107" s="33">
        <v>62.219250240821601</v>
      </c>
      <c r="S107" s="33">
        <v>62.333171793096703</v>
      </c>
      <c r="T107" s="33">
        <v>62.300745131122802</v>
      </c>
      <c r="U107" s="15">
        <v>-2.9008341099364299E-3</v>
      </c>
      <c r="V107" s="15">
        <v>-1.07153874686128E-3</v>
      </c>
      <c r="W107" s="15">
        <v>-1.59188928234524E-3</v>
      </c>
      <c r="X107" s="34">
        <v>1.06212765957446</v>
      </c>
      <c r="Y107" s="34">
        <v>1.0594170994200001</v>
      </c>
      <c r="Z107" s="34">
        <v>1.0613835261444999</v>
      </c>
      <c r="AA107" s="34">
        <v>1.0604217909590099</v>
      </c>
      <c r="AB107" s="33">
        <v>62.240754590925398</v>
      </c>
      <c r="AC107" s="33">
        <v>62.333171793096703</v>
      </c>
      <c r="AD107" s="33">
        <v>62.300745131122802</v>
      </c>
      <c r="AE107" s="15">
        <v>-2.5552716885500299E-3</v>
      </c>
      <c r="AF107" s="15">
        <v>-1.07153874686128E-3</v>
      </c>
      <c r="AG107" s="15">
        <v>-1.59188928234524E-3</v>
      </c>
      <c r="AI107" s="12"/>
      <c r="AJ107">
        <f t="shared" si="26"/>
        <v>0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28">
        <f t="shared" si="28"/>
        <v>6.8108294817374499E-4</v>
      </c>
      <c r="AP107" s="28">
        <f t="shared" si="29"/>
        <v>-3.2056419572481398E-4</v>
      </c>
      <c r="AQ107" s="28">
        <f t="shared" si="36"/>
        <v>3.6051875244893101E-4</v>
      </c>
      <c r="AR107" s="29">
        <f t="shared" si="37"/>
        <v>3.0888979205741045E-3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2.110087250216601E-3</v>
      </c>
      <c r="BE107" s="29">
        <f t="shared" si="42"/>
        <v>3.6051875244893101E-4</v>
      </c>
      <c r="BF107" s="29">
        <f t="shared" si="43"/>
        <v>5.1989851707907051E-3</v>
      </c>
      <c r="BH107" s="29"/>
    </row>
    <row r="108" spans="1:60" x14ac:dyDescent="0.3">
      <c r="A108" s="1">
        <v>46178</v>
      </c>
      <c r="B108" s="33">
        <v>57.67</v>
      </c>
      <c r="C108" s="33">
        <v>61.09</v>
      </c>
      <c r="D108" s="15">
        <v>-1.8554045396947001E-2</v>
      </c>
      <c r="E108" s="15">
        <v>-2.1217088713706301E-2</v>
      </c>
      <c r="F108" s="33">
        <v>0</v>
      </c>
      <c r="G108" s="33">
        <v>0.38518000000000002</v>
      </c>
      <c r="H108" s="33">
        <v>0</v>
      </c>
      <c r="I108" s="33">
        <v>0.30672700000000003</v>
      </c>
      <c r="J108" s="33">
        <v>0</v>
      </c>
      <c r="K108" s="33">
        <v>0</v>
      </c>
      <c r="L108" s="33">
        <v>57.67</v>
      </c>
      <c r="M108" s="33">
        <v>61.09</v>
      </c>
      <c r="N108" s="34">
        <v>1.0593029304664401</v>
      </c>
      <c r="O108" s="34">
        <v>1.05905106792887</v>
      </c>
      <c r="P108" s="34">
        <v>1.0613100985755499</v>
      </c>
      <c r="Q108" s="34">
        <v>1.0603038275627601</v>
      </c>
      <c r="R108" s="33">
        <v>61.0754750874584</v>
      </c>
      <c r="S108" s="33">
        <v>61.2099879527536</v>
      </c>
      <c r="T108" s="33">
        <v>61.1545246846064</v>
      </c>
      <c r="U108" s="15">
        <v>-2.3779079317724601E-4</v>
      </c>
      <c r="V108" s="15">
        <v>1.9621913830124302E-3</v>
      </c>
      <c r="W108" s="15">
        <v>1.0556659411173001E-3</v>
      </c>
      <c r="X108" s="34">
        <v>1.0593029304664401</v>
      </c>
      <c r="Y108" s="34">
        <v>1.0594170994200001</v>
      </c>
      <c r="Z108" s="34">
        <v>1.0613100985755499</v>
      </c>
      <c r="AA108" s="34">
        <v>1.0603038275627601</v>
      </c>
      <c r="AB108" s="33">
        <v>61.0965841235517</v>
      </c>
      <c r="AC108" s="33">
        <v>61.2099879527536</v>
      </c>
      <c r="AD108" s="33">
        <v>61.1545246846064</v>
      </c>
      <c r="AE108" s="15">
        <v>1.0777162820928E-4</v>
      </c>
      <c r="AF108" s="15">
        <v>1.9621913830124302E-3</v>
      </c>
      <c r="AG108" s="15">
        <v>1.0556659411173001E-3</v>
      </c>
      <c r="AI108" s="12"/>
      <c r="AJ108">
        <f t="shared" si="26"/>
        <v>0</v>
      </c>
      <c r="AK108">
        <f t="shared" si="27"/>
        <v>1</v>
      </c>
      <c r="AL108">
        <f t="shared" si="34"/>
        <v>1</v>
      </c>
      <c r="AM108">
        <f t="shared" si="24"/>
        <v>1</v>
      </c>
      <c r="AN108">
        <f t="shared" si="35"/>
        <v>1</v>
      </c>
      <c r="AO108" s="28">
        <f t="shared" si="28"/>
        <v>-1.8554045396947001E-2</v>
      </c>
      <c r="AP108" s="28">
        <f t="shared" si="29"/>
        <v>2.1217088713706301E-2</v>
      </c>
      <c r="AQ108" s="28">
        <f t="shared" si="36"/>
        <v>2.6630433167592997E-3</v>
      </c>
      <c r="AR108" s="29">
        <f t="shared" si="37"/>
        <v>5.7519412373334047E-3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2.110087250216601E-3</v>
      </c>
      <c r="BE108" s="29">
        <f t="shared" si="42"/>
        <v>2.6630433167592997E-3</v>
      </c>
      <c r="BF108" s="29">
        <f t="shared" si="43"/>
        <v>7.8620284875500039E-3</v>
      </c>
      <c r="BH108" s="29"/>
    </row>
    <row r="109" spans="1:60" x14ac:dyDescent="0.3">
      <c r="A109" s="1">
        <v>46181</v>
      </c>
      <c r="B109" s="33">
        <v>58.33</v>
      </c>
      <c r="C109" s="33">
        <v>61.76</v>
      </c>
      <c r="D109" s="15">
        <v>1.1379433138224799E-2</v>
      </c>
      <c r="E109" s="15">
        <v>1.0907719054844899E-2</v>
      </c>
      <c r="F109" s="33">
        <v>0</v>
      </c>
      <c r="G109" s="33">
        <v>0.38518000000000002</v>
      </c>
      <c r="H109" s="33">
        <v>0</v>
      </c>
      <c r="I109" s="33">
        <v>0.30672700000000003</v>
      </c>
      <c r="J109" s="33">
        <v>0</v>
      </c>
      <c r="K109" s="33">
        <v>0</v>
      </c>
      <c r="L109" s="33">
        <v>58.33</v>
      </c>
      <c r="M109" s="33">
        <v>61.76</v>
      </c>
      <c r="N109" s="34">
        <v>1.0588033601920099</v>
      </c>
      <c r="O109" s="34">
        <v>1.05905106792887</v>
      </c>
      <c r="P109" s="34">
        <v>1.0613239024044701</v>
      </c>
      <c r="Q109" s="34">
        <v>1.0602009076010901</v>
      </c>
      <c r="R109" s="33">
        <v>61.774448792291501</v>
      </c>
      <c r="S109" s="33">
        <v>61.906218049912198</v>
      </c>
      <c r="T109" s="33">
        <v>61.847522261736202</v>
      </c>
      <c r="U109" s="15">
        <v>2.3392329020259999E-4</v>
      </c>
      <c r="V109" s="15">
        <v>2.3647220777747399E-3</v>
      </c>
      <c r="W109" s="15">
        <v>1.4161318787304499E-3</v>
      </c>
      <c r="X109" s="34">
        <v>1.0588033601920099</v>
      </c>
      <c r="Y109" s="34">
        <v>1.0594170994200001</v>
      </c>
      <c r="Z109" s="34">
        <v>1.0613239024044701</v>
      </c>
      <c r="AA109" s="34">
        <v>1.0602009076010901</v>
      </c>
      <c r="AB109" s="33">
        <v>61.7957994091689</v>
      </c>
      <c r="AC109" s="33">
        <v>61.906218049912198</v>
      </c>
      <c r="AD109" s="33">
        <v>61.847522261736202</v>
      </c>
      <c r="AE109" s="15">
        <v>5.7948571158918495E-4</v>
      </c>
      <c r="AF109" s="15">
        <v>2.3647220777747399E-3</v>
      </c>
      <c r="AG109" s="15">
        <v>1.4161318787304499E-3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5.7519412373334047E-3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2.110087250216601E-3</v>
      </c>
      <c r="BE109" s="29">
        <f t="shared" si="42"/>
        <v>0</v>
      </c>
      <c r="BF109" s="29">
        <f t="shared" si="43"/>
        <v>7.8620284875500039E-3</v>
      </c>
      <c r="BH109" s="29"/>
    </row>
    <row r="110" spans="1:60" x14ac:dyDescent="0.3">
      <c r="A110" s="1">
        <v>46182</v>
      </c>
      <c r="B110" s="33">
        <v>57.39</v>
      </c>
      <c r="C110" s="33">
        <v>60.79</v>
      </c>
      <c r="D110" s="15">
        <v>-1.6246468645275E-2</v>
      </c>
      <c r="E110" s="15">
        <v>-1.5830603955889502E-2</v>
      </c>
      <c r="F110" s="33">
        <v>0</v>
      </c>
      <c r="G110" s="33">
        <v>0.38518000000000002</v>
      </c>
      <c r="H110" s="33">
        <v>0</v>
      </c>
      <c r="I110" s="33">
        <v>0.30672700000000003</v>
      </c>
      <c r="J110" s="33">
        <v>0</v>
      </c>
      <c r="K110" s="33">
        <v>0</v>
      </c>
      <c r="L110" s="33">
        <v>57.39</v>
      </c>
      <c r="M110" s="33">
        <v>60.79</v>
      </c>
      <c r="N110" s="34">
        <v>1.0592437706917499</v>
      </c>
      <c r="O110" s="34">
        <v>1.05905106792887</v>
      </c>
      <c r="P110" s="34">
        <v>1.0611290054892</v>
      </c>
      <c r="Q110" s="34">
        <v>1.0601370335154201</v>
      </c>
      <c r="R110" s="33">
        <v>60.778940788438398</v>
      </c>
      <c r="S110" s="33">
        <v>60.909378758992702</v>
      </c>
      <c r="T110" s="33">
        <v>60.8449300872267</v>
      </c>
      <c r="U110" s="15">
        <v>-1.8194139918277901E-4</v>
      </c>
      <c r="V110" s="15">
        <v>1.96186370875429E-3</v>
      </c>
      <c r="W110" s="15">
        <v>9.031959967669E-4</v>
      </c>
      <c r="X110" s="34">
        <v>1.0592437706917499</v>
      </c>
      <c r="Y110" s="34">
        <v>1.0594170994200001</v>
      </c>
      <c r="Z110" s="34">
        <v>1.0611290054892</v>
      </c>
      <c r="AA110" s="34">
        <v>1.0601370335154201</v>
      </c>
      <c r="AB110" s="33">
        <v>60.799947335714101</v>
      </c>
      <c r="AC110" s="33">
        <v>60.909378758992702</v>
      </c>
      <c r="AD110" s="33">
        <v>60.8449300872267</v>
      </c>
      <c r="AE110" s="15">
        <v>1.63621022203585E-4</v>
      </c>
      <c r="AF110" s="15">
        <v>1.9618637087540701E-3</v>
      </c>
      <c r="AG110" s="15">
        <v>9.031959967669E-4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5.7519412373334047E-3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2.110087250216601E-3</v>
      </c>
      <c r="BE110" s="29">
        <f t="shared" si="42"/>
        <v>0</v>
      </c>
      <c r="BF110" s="29">
        <f t="shared" si="43"/>
        <v>7.8620284875500039E-3</v>
      </c>
      <c r="BH110" s="29"/>
    </row>
    <row r="111" spans="1:60" x14ac:dyDescent="0.3">
      <c r="A111" s="1">
        <v>46183</v>
      </c>
      <c r="B111" s="33">
        <v>58.25</v>
      </c>
      <c r="C111" s="33">
        <v>61.66</v>
      </c>
      <c r="D111" s="15">
        <v>1.4874020325538801E-2</v>
      </c>
      <c r="E111" s="15">
        <v>1.42101206973731E-2</v>
      </c>
      <c r="F111" s="33">
        <v>0</v>
      </c>
      <c r="G111" s="33">
        <v>0.38518000000000002</v>
      </c>
      <c r="H111" s="33">
        <v>0</v>
      </c>
      <c r="I111" s="33">
        <v>0.30672700000000003</v>
      </c>
      <c r="J111" s="33">
        <v>0</v>
      </c>
      <c r="K111" s="33">
        <v>0</v>
      </c>
      <c r="L111" s="33">
        <v>58.25</v>
      </c>
      <c r="M111" s="33">
        <v>61.66</v>
      </c>
      <c r="N111" s="34">
        <v>1.05854077253218</v>
      </c>
      <c r="O111" s="34">
        <v>1.05905106792887</v>
      </c>
      <c r="P111" s="34">
        <v>1.0609469360500201</v>
      </c>
      <c r="Q111" s="34">
        <v>1.06006771987522</v>
      </c>
      <c r="R111" s="33">
        <v>61.689724706857199</v>
      </c>
      <c r="S111" s="33">
        <v>61.810764569746297</v>
      </c>
      <c r="T111" s="33">
        <v>61.7529822022735</v>
      </c>
      <c r="U111" s="15">
        <v>4.8195822898286598E-4</v>
      </c>
      <c r="V111" s="15">
        <v>2.44211081385152E-3</v>
      </c>
      <c r="W111" s="15">
        <v>1.5068466575879E-3</v>
      </c>
      <c r="X111" s="34">
        <v>1.05854077253218</v>
      </c>
      <c r="Y111" s="34">
        <v>1.0594170994200001</v>
      </c>
      <c r="Z111" s="34">
        <v>1.0609469360500201</v>
      </c>
      <c r="AA111" s="34">
        <v>1.06006771987522</v>
      </c>
      <c r="AB111" s="33">
        <v>61.711046041215297</v>
      </c>
      <c r="AC111" s="33">
        <v>61.810764569746297</v>
      </c>
      <c r="AD111" s="33">
        <v>61.7529822022735</v>
      </c>
      <c r="AE111" s="15">
        <v>8.27520650369151E-4</v>
      </c>
      <c r="AF111" s="15">
        <v>2.44211081385152E-3</v>
      </c>
      <c r="AG111" s="15">
        <v>1.5068466575879E-3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5.7519412373334047E-3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2.110087250216601E-3</v>
      </c>
      <c r="BE111" s="29">
        <f t="shared" si="42"/>
        <v>0</v>
      </c>
      <c r="BF111" s="29">
        <f t="shared" si="43"/>
        <v>7.8620284875500039E-3</v>
      </c>
      <c r="BH111" s="29"/>
    </row>
    <row r="112" spans="1:60" x14ac:dyDescent="0.3">
      <c r="A112" s="1">
        <v>46184</v>
      </c>
      <c r="B112" s="33">
        <v>57.12</v>
      </c>
      <c r="C112" s="33">
        <v>60.53</v>
      </c>
      <c r="D112" s="15">
        <v>-1.9589774414480898E-2</v>
      </c>
      <c r="E112" s="15">
        <v>-1.8496312554408301E-2</v>
      </c>
      <c r="F112" s="33">
        <v>0</v>
      </c>
      <c r="G112" s="33">
        <v>0.38518000000000002</v>
      </c>
      <c r="H112" s="33">
        <v>0</v>
      </c>
      <c r="I112" s="33">
        <v>0.30672700000000003</v>
      </c>
      <c r="J112" s="33">
        <v>0</v>
      </c>
      <c r="K112" s="33">
        <v>0</v>
      </c>
      <c r="L112" s="33">
        <v>57.12</v>
      </c>
      <c r="M112" s="33">
        <v>60.53</v>
      </c>
      <c r="N112" s="34">
        <v>1.0596988795518201</v>
      </c>
      <c r="O112" s="34">
        <v>1.05905106792887</v>
      </c>
      <c r="P112" s="34">
        <v>1.0607535228638501</v>
      </c>
      <c r="Q112" s="34">
        <v>1.0600420790879399</v>
      </c>
      <c r="R112" s="33">
        <v>60.492997000097603</v>
      </c>
      <c r="S112" s="33">
        <v>60.601288987177298</v>
      </c>
      <c r="T112" s="33">
        <v>60.551068159273001</v>
      </c>
      <c r="U112" s="15">
        <v>-6.1150363108976498E-4</v>
      </c>
      <c r="V112" s="15">
        <v>1.17705336092924E-3</v>
      </c>
      <c r="W112" s="15">
        <v>3.48000885786723E-4</v>
      </c>
      <c r="X112" s="34">
        <v>1.0596988795518201</v>
      </c>
      <c r="Y112" s="34">
        <v>1.0594170994200001</v>
      </c>
      <c r="Z112" s="34">
        <v>1.0607535228638501</v>
      </c>
      <c r="AA112" s="34">
        <v>1.0600420790879399</v>
      </c>
      <c r="AB112" s="33">
        <v>60.513904718870698</v>
      </c>
      <c r="AC112" s="33">
        <v>60.601288987177298</v>
      </c>
      <c r="AD112" s="33">
        <v>60.551068159273001</v>
      </c>
      <c r="AE112" s="15">
        <v>-2.6594120970342699E-4</v>
      </c>
      <c r="AF112" s="15">
        <v>1.17705336092924E-3</v>
      </c>
      <c r="AG112" s="15">
        <v>3.48000885786723E-4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5.7519412373334047E-3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2.110087250216601E-3</v>
      </c>
      <c r="BE112" s="29">
        <f t="shared" si="42"/>
        <v>0</v>
      </c>
      <c r="BF112" s="29">
        <f t="shared" si="43"/>
        <v>7.8620284875500039E-3</v>
      </c>
      <c r="BH112" s="29"/>
    </row>
    <row r="113" spans="1:60" x14ac:dyDescent="0.3">
      <c r="A113" s="1">
        <v>46185</v>
      </c>
      <c r="B113" s="33">
        <v>57.55</v>
      </c>
      <c r="C113" s="33">
        <v>60.99</v>
      </c>
      <c r="D113" s="15">
        <v>7.4998171365626698E-3</v>
      </c>
      <c r="E113" s="15">
        <v>7.5708064047691698E-3</v>
      </c>
      <c r="F113" s="33">
        <v>0</v>
      </c>
      <c r="G113" s="33">
        <v>0.38518000000000002</v>
      </c>
      <c r="H113" s="33">
        <v>0</v>
      </c>
      <c r="I113" s="33">
        <v>0.30672700000000003</v>
      </c>
      <c r="J113" s="33">
        <v>0</v>
      </c>
      <c r="K113" s="33">
        <v>0</v>
      </c>
      <c r="L113" s="33">
        <v>57.55</v>
      </c>
      <c r="M113" s="33">
        <v>60.99</v>
      </c>
      <c r="N113" s="34">
        <v>1.0597741094700199</v>
      </c>
      <c r="O113" s="34">
        <v>1.05905106792887</v>
      </c>
      <c r="P113" s="34">
        <v>1.06042430741185</v>
      </c>
      <c r="Q113" s="34">
        <v>1.0600257905886501</v>
      </c>
      <c r="R113" s="33">
        <v>60.948388959307003</v>
      </c>
      <c r="S113" s="33">
        <v>61.046365240814801</v>
      </c>
      <c r="T113" s="33">
        <v>61.005421651511</v>
      </c>
      <c r="U113" s="15">
        <v>-6.8249289929621598E-4</v>
      </c>
      <c r="V113" s="15">
        <v>9.2374506093556997E-4</v>
      </c>
      <c r="W113" s="15">
        <v>2.5282344836199402E-4</v>
      </c>
      <c r="X113" s="34">
        <v>1.0597741094700199</v>
      </c>
      <c r="Y113" s="34">
        <v>1.0594170994200001</v>
      </c>
      <c r="Z113" s="34">
        <v>1.06042430741185</v>
      </c>
      <c r="AA113" s="34">
        <v>1.0600257905886501</v>
      </c>
      <c r="AB113" s="33">
        <v>60.9694540716213</v>
      </c>
      <c r="AC113" s="33">
        <v>61.046365240814801</v>
      </c>
      <c r="AD113" s="33">
        <v>61.005421651511</v>
      </c>
      <c r="AE113" s="15">
        <v>-3.3693047790983702E-4</v>
      </c>
      <c r="AF113" s="15">
        <v>9.2374506093556997E-4</v>
      </c>
      <c r="AG113" s="15">
        <v>2.5282344836199402E-4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0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5.7519412373334047E-3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2.110087250216601E-3</v>
      </c>
      <c r="BE113" s="29">
        <f t="shared" si="42"/>
        <v>0</v>
      </c>
      <c r="BF113" s="29">
        <f t="shared" si="43"/>
        <v>7.8620284875500039E-3</v>
      </c>
      <c r="BH113" s="29"/>
    </row>
    <row r="114" spans="1:60" x14ac:dyDescent="0.3">
      <c r="A114" s="1">
        <v>46188</v>
      </c>
      <c r="B114" s="33">
        <v>55.55</v>
      </c>
      <c r="C114" s="33">
        <v>58.63</v>
      </c>
      <c r="D114" s="15">
        <v>-3.5370619082252697E-2</v>
      </c>
      <c r="E114" s="15">
        <v>-3.94634053322412E-2</v>
      </c>
      <c r="F114" s="33">
        <v>0</v>
      </c>
      <c r="G114" s="33">
        <v>0.38518000000000002</v>
      </c>
      <c r="H114" s="33">
        <v>0.30908999999999998</v>
      </c>
      <c r="I114" s="33">
        <v>0.61581699999999995</v>
      </c>
      <c r="J114" s="33">
        <v>0</v>
      </c>
      <c r="K114" s="33">
        <v>0.30908999999999998</v>
      </c>
      <c r="L114" s="33">
        <v>55.55</v>
      </c>
      <c r="M114" s="33">
        <v>58.93909</v>
      </c>
      <c r="N114" s="34">
        <v>1.0554455445544499</v>
      </c>
      <c r="O114" s="34">
        <v>1.05905106792887</v>
      </c>
      <c r="P114" s="34">
        <v>1.0597559473821301</v>
      </c>
      <c r="Q114" s="34">
        <v>1.0598370987719501</v>
      </c>
      <c r="R114" s="33">
        <v>58.8302868234492</v>
      </c>
      <c r="S114" s="33">
        <v>58.906570276728303</v>
      </c>
      <c r="T114" s="33">
        <v>58.884432667199498</v>
      </c>
      <c r="U114" s="15">
        <v>3.41029335069223E-3</v>
      </c>
      <c r="V114" s="15">
        <v>4.7061231499985002E-3</v>
      </c>
      <c r="W114" s="15">
        <v>4.33024368151362E-3</v>
      </c>
      <c r="X114" s="34">
        <v>1.0610097209720899</v>
      </c>
      <c r="Y114" s="34">
        <v>1.0594170994200001</v>
      </c>
      <c r="Z114" s="34">
        <v>1.0603123650238899</v>
      </c>
      <c r="AA114" s="34">
        <v>1.06011530759284</v>
      </c>
      <c r="AB114" s="33">
        <v>58.850619872781301</v>
      </c>
      <c r="AC114" s="33">
        <v>58.906570276728303</v>
      </c>
      <c r="AD114" s="33">
        <v>58.884432667199498</v>
      </c>
      <c r="AE114" s="15">
        <v>-1.50217101222814E-3</v>
      </c>
      <c r="AF114" s="15">
        <v>-5.5190363430815599E-4</v>
      </c>
      <c r="AG114" s="15">
        <v>-9.2778310279327005E-4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5.7519412373334047E-3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2.110087250216601E-3</v>
      </c>
      <c r="BE114" s="29">
        <f t="shared" si="42"/>
        <v>0</v>
      </c>
      <c r="BF114" s="29">
        <f t="shared" si="43"/>
        <v>7.8620284875500039E-3</v>
      </c>
      <c r="BH114" s="29"/>
    </row>
    <row r="115" spans="1:60" x14ac:dyDescent="0.3">
      <c r="A115" s="1">
        <v>46189</v>
      </c>
      <c r="B115" s="33">
        <v>55.36</v>
      </c>
      <c r="C115" s="33">
        <v>58.37</v>
      </c>
      <c r="D115" s="15">
        <v>-3.42620477622483E-3</v>
      </c>
      <c r="E115" s="15">
        <v>-4.4444517604241198E-3</v>
      </c>
      <c r="F115" s="33">
        <v>0</v>
      </c>
      <c r="G115" s="33">
        <v>0.38518000000000002</v>
      </c>
      <c r="H115" s="33">
        <v>0</v>
      </c>
      <c r="I115" s="33">
        <v>0.61581699999999995</v>
      </c>
      <c r="J115" s="33">
        <v>0</v>
      </c>
      <c r="K115" s="33">
        <v>0.30908999999999998</v>
      </c>
      <c r="L115" s="33">
        <v>55.36</v>
      </c>
      <c r="M115" s="33">
        <v>58.679089999999903</v>
      </c>
      <c r="N115" s="34">
        <v>1.0543713872832301</v>
      </c>
      <c r="O115" s="34">
        <v>1.05905106792887</v>
      </c>
      <c r="P115" s="34">
        <v>1.05898190598623</v>
      </c>
      <c r="Q115" s="34">
        <v>1.05965867242796</v>
      </c>
      <c r="R115" s="33">
        <v>58.6290671205427</v>
      </c>
      <c r="S115" s="33">
        <v>58.668089247074697</v>
      </c>
      <c r="T115" s="33">
        <v>58.672581788015599</v>
      </c>
      <c r="U115" s="15">
        <v>4.4285403348915398E-3</v>
      </c>
      <c r="V115" s="15">
        <v>5.0938953900357201E-3</v>
      </c>
      <c r="W115" s="15">
        <v>5.1704680038349203E-3</v>
      </c>
      <c r="X115" s="34">
        <v>1.0599546604046199</v>
      </c>
      <c r="Y115" s="34">
        <v>1.0594170994200001</v>
      </c>
      <c r="Z115" s="34">
        <v>1.0600966509401299</v>
      </c>
      <c r="AA115" s="34">
        <v>1.0602160449049101</v>
      </c>
      <c r="AB115" s="33">
        <v>58.649330623891501</v>
      </c>
      <c r="AC115" s="33">
        <v>58.698892527722798</v>
      </c>
      <c r="AD115" s="33">
        <v>58.687983428339699</v>
      </c>
      <c r="AE115" s="15">
        <v>-5.0728334342797397E-4</v>
      </c>
      <c r="AF115" s="15">
        <v>3.3741469199413503E-4</v>
      </c>
      <c r="AG115" s="15">
        <v>1.5154894975132901E-4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5.7519412373334047E-3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2.110087250216601E-3</v>
      </c>
      <c r="BE115" s="29">
        <f t="shared" si="42"/>
        <v>0</v>
      </c>
      <c r="BF115" s="29">
        <f t="shared" si="43"/>
        <v>7.8620284875500039E-3</v>
      </c>
      <c r="BH115" s="29"/>
    </row>
    <row r="116" spans="1:60" x14ac:dyDescent="0.3">
      <c r="A116" s="1">
        <v>46190</v>
      </c>
      <c r="B116" s="33">
        <v>54.67</v>
      </c>
      <c r="C116" s="33">
        <v>57.71</v>
      </c>
      <c r="D116" s="15">
        <v>-1.2542198402506199E-2</v>
      </c>
      <c r="E116" s="15">
        <v>-1.1371590492824501E-2</v>
      </c>
      <c r="F116" s="33">
        <v>0</v>
      </c>
      <c r="G116" s="33">
        <v>0.38518000000000002</v>
      </c>
      <c r="H116" s="33">
        <v>0</v>
      </c>
      <c r="I116" s="33">
        <v>0.61581699999999995</v>
      </c>
      <c r="J116" s="33">
        <v>0</v>
      </c>
      <c r="K116" s="33">
        <v>0.30908999999999998</v>
      </c>
      <c r="L116" s="33">
        <v>54.67</v>
      </c>
      <c r="M116" s="33">
        <v>58.019089999999998</v>
      </c>
      <c r="N116" s="34">
        <v>1.0556063654655199</v>
      </c>
      <c r="O116" s="34">
        <v>1.05905106792887</v>
      </c>
      <c r="P116" s="34">
        <v>1.05829147797819</v>
      </c>
      <c r="Q116" s="34">
        <v>1.05964081807928</v>
      </c>
      <c r="R116" s="33">
        <v>57.898321883671798</v>
      </c>
      <c r="S116" s="33">
        <v>57.894540800267201</v>
      </c>
      <c r="T116" s="33">
        <v>57.931539621636901</v>
      </c>
      <c r="U116" s="15">
        <v>3.2579324252100098E-3</v>
      </c>
      <c r="V116" s="15">
        <v>3.1926247142116202E-3</v>
      </c>
      <c r="W116" s="15">
        <v>3.8314933091484699E-3</v>
      </c>
      <c r="X116" s="34">
        <v>1.06126010609109</v>
      </c>
      <c r="Y116" s="34">
        <v>1.0594170994200001</v>
      </c>
      <c r="Z116" s="34">
        <v>1.0599715969946499</v>
      </c>
      <c r="AA116" s="34">
        <v>1.0604808775875101</v>
      </c>
      <c r="AB116" s="33">
        <v>57.918332825291699</v>
      </c>
      <c r="AC116" s="33">
        <v>57.955483906897101</v>
      </c>
      <c r="AD116" s="33">
        <v>57.962011174951797</v>
      </c>
      <c r="AE116" s="15">
        <v>-1.7381307539758499E-3</v>
      </c>
      <c r="AF116" s="15">
        <v>-1.09689731701684E-3</v>
      </c>
      <c r="AG116" s="15">
        <v>-9.8427811217635902E-4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5.7519412373334047E-3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2.110087250216601E-3</v>
      </c>
      <c r="BE116" s="29">
        <f t="shared" si="42"/>
        <v>0</v>
      </c>
      <c r="BF116" s="29">
        <f t="shared" si="43"/>
        <v>7.8620284875500039E-3</v>
      </c>
      <c r="BH116" s="29"/>
    </row>
    <row r="117" spans="1:60" x14ac:dyDescent="0.3">
      <c r="A117" s="1">
        <v>46191</v>
      </c>
      <c r="B117" s="33">
        <v>53.77</v>
      </c>
      <c r="C117" s="33">
        <v>56.77</v>
      </c>
      <c r="D117" s="15">
        <v>-1.65994220853211E-2</v>
      </c>
      <c r="E117" s="15">
        <v>-1.64224515402401E-2</v>
      </c>
      <c r="F117" s="33">
        <v>0</v>
      </c>
      <c r="G117" s="33">
        <v>0.38518000000000002</v>
      </c>
      <c r="H117" s="33">
        <v>0</v>
      </c>
      <c r="I117" s="33">
        <v>0.61581699999999995</v>
      </c>
      <c r="J117" s="33">
        <v>0</v>
      </c>
      <c r="K117" s="33">
        <v>0.30908999999999998</v>
      </c>
      <c r="L117" s="33">
        <v>53.77</v>
      </c>
      <c r="M117" s="33">
        <v>57.079090000000001</v>
      </c>
      <c r="N117" s="34">
        <v>1.0557931932304201</v>
      </c>
      <c r="O117" s="34">
        <v>1.05905106792887</v>
      </c>
      <c r="P117" s="34">
        <v>1.05765803134378</v>
      </c>
      <c r="Q117" s="34">
        <v>1.0595207787441401</v>
      </c>
      <c r="R117" s="33">
        <v>56.945175922535803</v>
      </c>
      <c r="S117" s="33">
        <v>56.9043327708874</v>
      </c>
      <c r="T117" s="33">
        <v>56.976886788122897</v>
      </c>
      <c r="U117" s="15">
        <v>3.08096188012909E-3</v>
      </c>
      <c r="V117" s="15">
        <v>2.3634681663782298E-3</v>
      </c>
      <c r="W117" s="15">
        <v>3.63767347139739E-3</v>
      </c>
      <c r="X117" s="34">
        <v>1.06154156592895</v>
      </c>
      <c r="Y117" s="34">
        <v>1.0594170994200001</v>
      </c>
      <c r="Z117" s="34">
        <v>1.0599129876300999</v>
      </c>
      <c r="AA117" s="34">
        <v>1.0606482568872999</v>
      </c>
      <c r="AB117" s="33">
        <v>56.964857435813698</v>
      </c>
      <c r="AC117" s="33">
        <v>56.994672770402502</v>
      </c>
      <c r="AD117" s="33">
        <v>57.022056787880402</v>
      </c>
      <c r="AE117" s="15">
        <v>-2.0033084606113599E-3</v>
      </c>
      <c r="AF117" s="15">
        <v>-1.48004664626213E-3</v>
      </c>
      <c r="AG117" s="15">
        <v>-9.9969576949843902E-4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5.7519412373334047E-3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2.110087250216601E-3</v>
      </c>
      <c r="BE117" s="29">
        <f t="shared" si="42"/>
        <v>0</v>
      </c>
      <c r="BF117" s="29">
        <f t="shared" si="43"/>
        <v>7.8620284875500039E-3</v>
      </c>
      <c r="BH117" s="29"/>
    </row>
    <row r="118" spans="1:60" x14ac:dyDescent="0.3">
      <c r="A118" s="1">
        <v>46195</v>
      </c>
      <c r="B118" s="33">
        <v>54.06</v>
      </c>
      <c r="C118" s="33">
        <v>57.53</v>
      </c>
      <c r="D118" s="15">
        <v>5.3788500267148102E-3</v>
      </c>
      <c r="E118" s="15">
        <v>1.32985336925671E-2</v>
      </c>
      <c r="F118" s="33">
        <v>0.38488</v>
      </c>
      <c r="G118" s="33">
        <v>0.77005999999999997</v>
      </c>
      <c r="H118" s="33">
        <v>0</v>
      </c>
      <c r="I118" s="33">
        <v>0.61581699999999995</v>
      </c>
      <c r="J118" s="33">
        <v>0</v>
      </c>
      <c r="K118" s="33">
        <v>0</v>
      </c>
      <c r="L118" s="33">
        <v>54.06</v>
      </c>
      <c r="M118" s="33">
        <v>57.53</v>
      </c>
      <c r="N118" s="34">
        <v>1.06418793932667</v>
      </c>
      <c r="O118" s="34">
        <v>1.05905106792887</v>
      </c>
      <c r="P118" s="34">
        <v>1.05814653222981</v>
      </c>
      <c r="Q118" s="34">
        <v>1.05972831540268</v>
      </c>
      <c r="R118" s="33">
        <v>57.252300732235199</v>
      </c>
      <c r="S118" s="33">
        <v>57.176993174445201</v>
      </c>
      <c r="T118" s="33">
        <v>57.277693298908602</v>
      </c>
      <c r="U118" s="15">
        <v>-4.8387217857232901E-3</v>
      </c>
      <c r="V118" s="15">
        <v>-6.1549506304748001E-3</v>
      </c>
      <c r="W118" s="15">
        <v>-4.3952996533074499E-3</v>
      </c>
      <c r="X118" s="34">
        <v>1.06418793932667</v>
      </c>
      <c r="Y118" s="34">
        <v>1.0594170994200001</v>
      </c>
      <c r="Z118" s="34">
        <v>1.0604014885161199</v>
      </c>
      <c r="AA118" s="34">
        <v>1.06085579354584</v>
      </c>
      <c r="AB118" s="33">
        <v>57.2720883946455</v>
      </c>
      <c r="AC118" s="33">
        <v>57.298896111283298</v>
      </c>
      <c r="AD118" s="33">
        <v>57.338644767327601</v>
      </c>
      <c r="AE118" s="15">
        <v>-4.4931593643369704E-3</v>
      </c>
      <c r="AF118" s="15">
        <v>-4.0251924136716997E-3</v>
      </c>
      <c r="AG118" s="15">
        <v>-3.3317257301995399E-3</v>
      </c>
      <c r="AI118" s="12"/>
      <c r="AJ118">
        <f t="shared" si="26"/>
        <v>1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5.7519412373334047E-3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2.110087250216601E-3</v>
      </c>
      <c r="BE118" s="29">
        <f t="shared" si="42"/>
        <v>0</v>
      </c>
      <c r="BF118" s="29">
        <f t="shared" si="43"/>
        <v>7.8620284875500039E-3</v>
      </c>
      <c r="BH118" s="29"/>
    </row>
    <row r="119" spans="1:60" x14ac:dyDescent="0.3">
      <c r="A119" s="1">
        <v>46196</v>
      </c>
      <c r="B119" s="33">
        <v>54.46</v>
      </c>
      <c r="C119" s="33">
        <v>57.86</v>
      </c>
      <c r="D119" s="15">
        <v>7.371946397312E-3</v>
      </c>
      <c r="E119" s="15">
        <v>5.7197486727869002E-3</v>
      </c>
      <c r="F119" s="33">
        <v>0</v>
      </c>
      <c r="G119" s="33">
        <v>0.77005999999999997</v>
      </c>
      <c r="H119" s="33">
        <v>0</v>
      </c>
      <c r="I119" s="33">
        <v>0.61581699999999995</v>
      </c>
      <c r="J119" s="33">
        <v>0</v>
      </c>
      <c r="K119" s="33">
        <v>0</v>
      </c>
      <c r="L119" s="33">
        <v>54.46</v>
      </c>
      <c r="M119" s="33">
        <v>57.86</v>
      </c>
      <c r="N119" s="34">
        <v>1.06243114212265</v>
      </c>
      <c r="O119" s="34">
        <v>1.05905106792887</v>
      </c>
      <c r="P119" s="34">
        <v>1.05850931042287</v>
      </c>
      <c r="Q119" s="34">
        <v>1.05991660641367</v>
      </c>
      <c r="R119" s="33">
        <v>57.675921159406698</v>
      </c>
      <c r="S119" s="33">
        <v>57.626660145235498</v>
      </c>
      <c r="T119" s="33">
        <v>57.712804056830201</v>
      </c>
      <c r="U119" s="15">
        <v>-3.1865240611983199E-3</v>
      </c>
      <c r="V119" s="15">
        <v>-4.0409891843725997E-3</v>
      </c>
      <c r="W119" s="15">
        <v>-2.5472432543358799E-3</v>
      </c>
      <c r="X119" s="34">
        <v>1.06243114212265</v>
      </c>
      <c r="Y119" s="34">
        <v>1.0594170994200001</v>
      </c>
      <c r="Z119" s="34">
        <v>1.0607642667091799</v>
      </c>
      <c r="AA119" s="34">
        <v>1.0610440845568301</v>
      </c>
      <c r="AB119" s="33">
        <v>57.6958552344135</v>
      </c>
      <c r="AC119" s="33">
        <v>57.749465064588101</v>
      </c>
      <c r="AD119" s="33">
        <v>57.774206516506503</v>
      </c>
      <c r="AE119" s="15">
        <v>-2.8409616398119499E-3</v>
      </c>
      <c r="AF119" s="15">
        <v>-1.9122131398418901E-3</v>
      </c>
      <c r="AG119" s="15">
        <v>-1.48387751030366E-3</v>
      </c>
      <c r="AI119" s="12"/>
      <c r="AJ119">
        <f t="shared" si="26"/>
        <v>0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8">
        <f t="shared" si="28"/>
        <v>7.371946397312E-3</v>
      </c>
      <c r="AP119" s="28">
        <f t="shared" si="29"/>
        <v>-5.7197486727869002E-3</v>
      </c>
      <c r="AQ119" s="28">
        <f t="shared" si="36"/>
        <v>1.6521977245250999E-3</v>
      </c>
      <c r="AR119" s="29">
        <f t="shared" si="37"/>
        <v>7.4041389618585045E-3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2.110087250216601E-3</v>
      </c>
      <c r="BE119" s="29">
        <f t="shared" si="42"/>
        <v>1.6521977245250999E-3</v>
      </c>
      <c r="BF119" s="29">
        <f t="shared" si="43"/>
        <v>9.5142262120751046E-3</v>
      </c>
      <c r="BH119" s="29"/>
    </row>
    <row r="120" spans="1:60" x14ac:dyDescent="0.3">
      <c r="A120" s="1">
        <v>46197</v>
      </c>
      <c r="B120" s="33">
        <v>53.57</v>
      </c>
      <c r="C120" s="33">
        <v>56.91</v>
      </c>
      <c r="D120" s="15">
        <v>-1.6477277352744599E-2</v>
      </c>
      <c r="E120" s="15">
        <v>-1.65552269329565E-2</v>
      </c>
      <c r="F120" s="33">
        <v>0</v>
      </c>
      <c r="G120" s="33">
        <v>0.77005999999999997</v>
      </c>
      <c r="H120" s="33">
        <v>0</v>
      </c>
      <c r="I120" s="33">
        <v>0.61581699999999995</v>
      </c>
      <c r="J120" s="33">
        <v>0</v>
      </c>
      <c r="K120" s="33">
        <v>0</v>
      </c>
      <c r="L120" s="33">
        <v>53.57</v>
      </c>
      <c r="M120" s="33">
        <v>56.91</v>
      </c>
      <c r="N120" s="34">
        <v>1.0623483292887801</v>
      </c>
      <c r="O120" s="34">
        <v>1.05905106792887</v>
      </c>
      <c r="P120" s="34">
        <v>1.05881976628257</v>
      </c>
      <c r="Q120" s="34">
        <v>1.0599743858858901</v>
      </c>
      <c r="R120" s="33">
        <v>56.733365708949997</v>
      </c>
      <c r="S120" s="33">
        <v>56.704343759353499</v>
      </c>
      <c r="T120" s="33">
        <v>56.779732605580598</v>
      </c>
      <c r="U120" s="15">
        <v>-3.1085744809862901E-3</v>
      </c>
      <c r="V120" s="15">
        <v>-3.62025530327735E-3</v>
      </c>
      <c r="W120" s="15">
        <v>-2.2916308877315599E-3</v>
      </c>
      <c r="X120" s="34">
        <v>1.0623483292887801</v>
      </c>
      <c r="Y120" s="34">
        <v>1.0594170994200001</v>
      </c>
      <c r="Z120" s="34">
        <v>1.0610747225688899</v>
      </c>
      <c r="AA120" s="34">
        <v>1.0611018640290399</v>
      </c>
      <c r="AB120" s="33">
        <v>56.752974015929702</v>
      </c>
      <c r="AC120" s="33">
        <v>56.8251417676112</v>
      </c>
      <c r="AD120" s="33">
        <v>56.840131609709402</v>
      </c>
      <c r="AE120" s="15">
        <v>-2.76301205959994E-3</v>
      </c>
      <c r="AF120" s="15">
        <v>-1.49220806895637E-3</v>
      </c>
      <c r="AG120" s="15">
        <v>-1.2284539470557899E-3</v>
      </c>
      <c r="AI120" s="12"/>
      <c r="AJ120">
        <f t="shared" si="26"/>
        <v>0</v>
      </c>
      <c r="AK120">
        <f t="shared" si="27"/>
        <v>0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-1.6477277352744599E-2</v>
      </c>
      <c r="AP120" s="28">
        <f t="shared" si="29"/>
        <v>1.65552269329565E-2</v>
      </c>
      <c r="AQ120" s="28">
        <f t="shared" si="36"/>
        <v>7.7949580211900127E-5</v>
      </c>
      <c r="AR120" s="29">
        <f t="shared" si="37"/>
        <v>7.4820885420704046E-3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2.110087250216601E-3</v>
      </c>
      <c r="BE120" s="29">
        <f t="shared" si="42"/>
        <v>7.7949580211900127E-5</v>
      </c>
      <c r="BF120" s="29">
        <f t="shared" si="43"/>
        <v>9.5921757922870048E-3</v>
      </c>
      <c r="BH120" s="29"/>
    </row>
    <row r="121" spans="1:60" x14ac:dyDescent="0.3">
      <c r="A121" s="1">
        <v>46198</v>
      </c>
      <c r="B121" s="33">
        <v>54.09</v>
      </c>
      <c r="C121" s="33">
        <v>57.5</v>
      </c>
      <c r="D121" s="15">
        <v>9.6601159904665893E-3</v>
      </c>
      <c r="E121" s="15">
        <v>1.0313875188272301E-2</v>
      </c>
      <c r="F121" s="33">
        <v>0</v>
      </c>
      <c r="G121" s="33">
        <v>0.77005999999999997</v>
      </c>
      <c r="H121" s="33">
        <v>0</v>
      </c>
      <c r="I121" s="33">
        <v>0.61581699999999995</v>
      </c>
      <c r="J121" s="33">
        <v>0</v>
      </c>
      <c r="K121" s="33">
        <v>0</v>
      </c>
      <c r="L121" s="33">
        <v>54.09</v>
      </c>
      <c r="M121" s="33">
        <v>57.5</v>
      </c>
      <c r="N121" s="34">
        <v>1.06304307635422</v>
      </c>
      <c r="O121" s="34">
        <v>1.05905106792887</v>
      </c>
      <c r="P121" s="34">
        <v>1.0592699966647801</v>
      </c>
      <c r="Q121" s="34">
        <v>1.0601084663574001</v>
      </c>
      <c r="R121" s="33">
        <v>57.2840722642731</v>
      </c>
      <c r="S121" s="33">
        <v>57.271561158224699</v>
      </c>
      <c r="T121" s="33">
        <v>57.334014532567899</v>
      </c>
      <c r="U121" s="15">
        <v>-3.7623336787919199E-3</v>
      </c>
      <c r="V121" s="15">
        <v>-3.9807621527893798E-3</v>
      </c>
      <c r="W121" s="15">
        <v>-2.8908783465450101E-3</v>
      </c>
      <c r="X121" s="34">
        <v>1.06304307635422</v>
      </c>
      <c r="Y121" s="34">
        <v>1.0594170994200001</v>
      </c>
      <c r="Z121" s="34">
        <v>1.06152495295109</v>
      </c>
      <c r="AA121" s="34">
        <v>1.0612359445005599</v>
      </c>
      <c r="AB121" s="33">
        <v>57.303870907628102</v>
      </c>
      <c r="AC121" s="33">
        <v>57.393531743751304</v>
      </c>
      <c r="AD121" s="33">
        <v>57.394999825331297</v>
      </c>
      <c r="AE121" s="15">
        <v>-3.41677125740549E-3</v>
      </c>
      <c r="AF121" s="15">
        <v>-1.8533382185762499E-3</v>
      </c>
      <c r="AG121" s="15">
        <v>-1.8277593291183901E-3</v>
      </c>
      <c r="AI121" s="12"/>
      <c r="AJ121">
        <f t="shared" si="26"/>
        <v>0</v>
      </c>
      <c r="AK121">
        <f t="shared" si="27"/>
        <v>0</v>
      </c>
      <c r="AL121">
        <f t="shared" si="34"/>
        <v>1</v>
      </c>
      <c r="AM121">
        <f t="shared" si="24"/>
        <v>1</v>
      </c>
      <c r="AN121">
        <f t="shared" si="35"/>
        <v>1</v>
      </c>
      <c r="AO121" s="28">
        <f t="shared" si="28"/>
        <v>9.6601159904665893E-3</v>
      </c>
      <c r="AP121" s="28">
        <f t="shared" si="29"/>
        <v>-1.0313875188272301E-2</v>
      </c>
      <c r="AQ121" s="28">
        <f t="shared" si="36"/>
        <v>-6.5375919780571133E-4</v>
      </c>
      <c r="AR121" s="29">
        <f t="shared" si="37"/>
        <v>6.8283293442646933E-3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2.110087250216601E-3</v>
      </c>
      <c r="BE121" s="29">
        <f t="shared" si="42"/>
        <v>-6.5375919780571133E-4</v>
      </c>
      <c r="BF121" s="29">
        <f t="shared" si="43"/>
        <v>8.9384165944812934E-3</v>
      </c>
      <c r="BH121" s="29"/>
    </row>
    <row r="122" spans="1:60" x14ac:dyDescent="0.3">
      <c r="A122" s="1">
        <v>46199</v>
      </c>
      <c r="B122" s="33">
        <v>53.84</v>
      </c>
      <c r="C122" s="33">
        <v>57.22</v>
      </c>
      <c r="D122" s="15">
        <v>-4.6326405468632599E-3</v>
      </c>
      <c r="E122" s="15">
        <v>-4.8814601813405899E-3</v>
      </c>
      <c r="F122" s="33">
        <v>0</v>
      </c>
      <c r="G122" s="33">
        <v>0.77005999999999997</v>
      </c>
      <c r="H122" s="33">
        <v>0</v>
      </c>
      <c r="I122" s="33">
        <v>0.61581699999999995</v>
      </c>
      <c r="J122" s="33">
        <v>0</v>
      </c>
      <c r="K122" s="33">
        <v>0</v>
      </c>
      <c r="L122" s="33">
        <v>53.84</v>
      </c>
      <c r="M122" s="33">
        <v>57.22</v>
      </c>
      <c r="N122" s="34">
        <v>1.0627786032689399</v>
      </c>
      <c r="O122" s="34">
        <v>1.05905106792887</v>
      </c>
      <c r="P122" s="34">
        <v>1.0595779690364899</v>
      </c>
      <c r="Q122" s="34">
        <v>1.0601657459501701</v>
      </c>
      <c r="R122" s="33">
        <v>57.019309497290799</v>
      </c>
      <c r="S122" s="33">
        <v>57.031096620431804</v>
      </c>
      <c r="T122" s="33">
        <v>57.076239828682603</v>
      </c>
      <c r="U122" s="15">
        <v>-3.51351404431454E-3</v>
      </c>
      <c r="V122" s="15">
        <v>-3.3068138038823201E-3</v>
      </c>
      <c r="W122" s="15">
        <v>-2.5155726442736598E-3</v>
      </c>
      <c r="X122" s="34">
        <v>1.0627786032689399</v>
      </c>
      <c r="Y122" s="34">
        <v>1.0594170994200001</v>
      </c>
      <c r="Z122" s="34">
        <v>1.0618329253228</v>
      </c>
      <c r="AA122" s="34">
        <v>1.0612932240933299</v>
      </c>
      <c r="AB122" s="33">
        <v>57.039016632773098</v>
      </c>
      <c r="AC122" s="33">
        <v>57.152503466886898</v>
      </c>
      <c r="AD122" s="33">
        <v>57.136943251910097</v>
      </c>
      <c r="AE122" s="15">
        <v>-3.16795162292818E-3</v>
      </c>
      <c r="AF122" s="15">
        <v>-1.1802931456912E-3</v>
      </c>
      <c r="AG122" s="15">
        <v>-1.4525880166474799E-3</v>
      </c>
      <c r="AI122" s="12"/>
      <c r="AJ122">
        <f t="shared" si="26"/>
        <v>0</v>
      </c>
      <c r="AK122">
        <f t="shared" si="27"/>
        <v>0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-4.6326405468632599E-3</v>
      </c>
      <c r="AP122" s="28">
        <f t="shared" si="29"/>
        <v>4.8814601813405899E-3</v>
      </c>
      <c r="AQ122" s="28">
        <f t="shared" si="36"/>
        <v>2.4881963447733E-4</v>
      </c>
      <c r="AR122" s="29">
        <f t="shared" si="37"/>
        <v>7.0771489787420233E-3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2.110087250216601E-3</v>
      </c>
      <c r="BE122" s="29">
        <f t="shared" si="42"/>
        <v>2.4881963447733E-4</v>
      </c>
      <c r="BF122" s="29">
        <f t="shared" si="43"/>
        <v>9.1872362289586243E-3</v>
      </c>
      <c r="BH122" s="29"/>
    </row>
    <row r="123" spans="1:60" x14ac:dyDescent="0.3">
      <c r="A123" s="1">
        <v>46202</v>
      </c>
      <c r="B123" s="33">
        <v>53.58</v>
      </c>
      <c r="C123" s="33">
        <v>56.97</v>
      </c>
      <c r="D123" s="15">
        <v>-4.8408212200097799E-3</v>
      </c>
      <c r="E123" s="15">
        <v>-4.3786741296600196E-3</v>
      </c>
      <c r="F123" s="33">
        <v>0</v>
      </c>
      <c r="G123" s="33">
        <v>0.77005999999999997</v>
      </c>
      <c r="H123" s="33">
        <v>0</v>
      </c>
      <c r="I123" s="33">
        <v>0.61581699999999995</v>
      </c>
      <c r="J123" s="33">
        <v>0</v>
      </c>
      <c r="K123" s="33">
        <v>0</v>
      </c>
      <c r="L123" s="33">
        <v>53.58</v>
      </c>
      <c r="M123" s="33">
        <v>56.97</v>
      </c>
      <c r="N123" s="34">
        <v>1.0632698768197</v>
      </c>
      <c r="O123" s="34">
        <v>1.05905106792887</v>
      </c>
      <c r="P123" s="34">
        <v>1.0599275457714601</v>
      </c>
      <c r="Q123" s="34">
        <v>1.0601759265916499</v>
      </c>
      <c r="R123" s="33">
        <v>56.743956219629297</v>
      </c>
      <c r="S123" s="33">
        <v>56.772187580975299</v>
      </c>
      <c r="T123" s="33">
        <v>56.803680668010301</v>
      </c>
      <c r="U123" s="15">
        <v>-3.9756611346643501E-3</v>
      </c>
      <c r="V123" s="15">
        <v>-3.4782629500032798E-3</v>
      </c>
      <c r="W123" s="15">
        <v>-2.92368937151976E-3</v>
      </c>
      <c r="X123" s="34">
        <v>1.0632698768197</v>
      </c>
      <c r="Y123" s="34">
        <v>1.0594170994200001</v>
      </c>
      <c r="Z123" s="34">
        <v>1.06218250205777</v>
      </c>
      <c r="AA123" s="34">
        <v>1.06130340473481</v>
      </c>
      <c r="AB123" s="33">
        <v>56.763568186923898</v>
      </c>
      <c r="AC123" s="33">
        <v>56.893008138795999</v>
      </c>
      <c r="AD123" s="33">
        <v>56.864090946920598</v>
      </c>
      <c r="AE123" s="15">
        <v>-3.6300987132779502E-3</v>
      </c>
      <c r="AF123" s="15">
        <v>-1.35235972062399E-3</v>
      </c>
      <c r="AG123" s="15">
        <v>-1.8607621452753399E-3</v>
      </c>
      <c r="AI123" s="12"/>
      <c r="AJ123">
        <f t="shared" si="26"/>
        <v>0</v>
      </c>
      <c r="AK123">
        <f t="shared" si="27"/>
        <v>0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-4.8408212200097799E-3</v>
      </c>
      <c r="AP123" s="28">
        <f t="shared" si="29"/>
        <v>4.3786741296600196E-3</v>
      </c>
      <c r="AQ123" s="28">
        <f t="shared" si="36"/>
        <v>-4.6214709034976022E-4</v>
      </c>
      <c r="AR123" s="29">
        <f t="shared" si="37"/>
        <v>6.6150018883922631E-3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2.110087250216601E-3</v>
      </c>
      <c r="BE123" s="29">
        <f t="shared" si="42"/>
        <v>-4.6214709034976022E-4</v>
      </c>
      <c r="BF123" s="29">
        <f t="shared" si="43"/>
        <v>8.7250891386088641E-3</v>
      </c>
      <c r="BH123" s="29"/>
    </row>
    <row r="124" spans="1:60" x14ac:dyDescent="0.3">
      <c r="A124" s="1">
        <v>46203</v>
      </c>
      <c r="B124" s="33">
        <v>53.11</v>
      </c>
      <c r="C124" s="33">
        <v>56.59</v>
      </c>
      <c r="D124" s="15">
        <v>-8.8106296821549197E-3</v>
      </c>
      <c r="E124" s="15">
        <v>-6.6925223378716397E-3</v>
      </c>
      <c r="F124" s="33">
        <v>0</v>
      </c>
      <c r="G124" s="33">
        <v>0.77005999999999997</v>
      </c>
      <c r="H124" s="33">
        <v>0</v>
      </c>
      <c r="I124" s="33">
        <v>0.61581699999999995</v>
      </c>
      <c r="J124" s="33">
        <v>0</v>
      </c>
      <c r="K124" s="33">
        <v>0</v>
      </c>
      <c r="L124" s="33">
        <v>53.11</v>
      </c>
      <c r="M124" s="33">
        <v>56.59</v>
      </c>
      <c r="N124" s="34">
        <v>1.0655243833553001</v>
      </c>
      <c r="O124" s="34">
        <v>1.05905106792887</v>
      </c>
      <c r="P124" s="34">
        <v>1.0609354296515401</v>
      </c>
      <c r="Q124" s="34">
        <v>1.0603456885168301</v>
      </c>
      <c r="R124" s="33">
        <v>56.246202217702702</v>
      </c>
      <c r="S124" s="33">
        <v>56.292751955922398</v>
      </c>
      <c r="T124" s="33">
        <v>56.305943461282901</v>
      </c>
      <c r="U124" s="15">
        <v>-6.0937684789476197E-3</v>
      </c>
      <c r="V124" s="15">
        <v>-5.2665039781142403E-3</v>
      </c>
      <c r="W124" s="15">
        <v>-5.0321938846981202E-3</v>
      </c>
      <c r="X124" s="34">
        <v>1.0655243833553001</v>
      </c>
      <c r="Y124" s="34">
        <v>1.0594170994200001</v>
      </c>
      <c r="Z124" s="34">
        <v>1.0626339682960899</v>
      </c>
      <c r="AA124" s="34">
        <v>1.0614731666599899</v>
      </c>
      <c r="AB124" s="33">
        <v>56.265642150196499</v>
      </c>
      <c r="AC124" s="33">
        <v>56.412512684288401</v>
      </c>
      <c r="AD124" s="33">
        <v>56.365823825465903</v>
      </c>
      <c r="AE124" s="15">
        <v>-5.7482060575611803E-3</v>
      </c>
      <c r="AF124" s="15">
        <v>-3.1413011524396E-3</v>
      </c>
      <c r="AG124" s="15">
        <v>-3.9692768600925197E-3</v>
      </c>
      <c r="AI124" s="12"/>
      <c r="AJ124">
        <f t="shared" si="26"/>
        <v>1</v>
      </c>
      <c r="AK124">
        <f t="shared" si="27"/>
        <v>0</v>
      </c>
      <c r="AL124">
        <f t="shared" si="34"/>
        <v>1</v>
      </c>
      <c r="AM124">
        <f t="shared" si="24"/>
        <v>1</v>
      </c>
      <c r="AN124">
        <f t="shared" si="35"/>
        <v>1</v>
      </c>
      <c r="AO124" s="28">
        <f t="shared" si="28"/>
        <v>-8.8106296821549197E-3</v>
      </c>
      <c r="AP124" s="28">
        <f t="shared" si="29"/>
        <v>6.6925223378716397E-3</v>
      </c>
      <c r="AQ124" s="28">
        <f t="shared" si="36"/>
        <v>-2.11810734428328E-3</v>
      </c>
      <c r="AR124" s="29">
        <f t="shared" si="37"/>
        <v>4.4968945441089831E-3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2.110087250216601E-3</v>
      </c>
      <c r="BE124" s="29">
        <f t="shared" si="42"/>
        <v>-2.11810734428328E-3</v>
      </c>
      <c r="BF124" s="29">
        <f t="shared" si="43"/>
        <v>6.6069817943255841E-3</v>
      </c>
      <c r="BH124" s="29"/>
    </row>
    <row r="125" spans="1:60" x14ac:dyDescent="0.3">
      <c r="A125" s="1">
        <v>46204</v>
      </c>
      <c r="B125" s="33">
        <v>52.81</v>
      </c>
      <c r="C125" s="33">
        <v>56.29</v>
      </c>
      <c r="D125" s="15">
        <v>-5.6646677154659798E-3</v>
      </c>
      <c r="E125" s="15">
        <v>-5.31539167849732E-3</v>
      </c>
      <c r="F125" s="33">
        <v>0</v>
      </c>
      <c r="G125" s="33">
        <v>0.77005999999999997</v>
      </c>
      <c r="H125" s="33">
        <v>0</v>
      </c>
      <c r="I125" s="33">
        <v>0.61581699999999995</v>
      </c>
      <c r="J125" s="33">
        <v>0</v>
      </c>
      <c r="K125" s="33">
        <v>0</v>
      </c>
      <c r="L125" s="33">
        <v>52.81</v>
      </c>
      <c r="M125" s="33">
        <v>56.29</v>
      </c>
      <c r="N125" s="34">
        <v>1.0658966104904299</v>
      </c>
      <c r="O125" s="34">
        <v>1.05905106792887</v>
      </c>
      <c r="P125" s="34">
        <v>1.0620879519722599</v>
      </c>
      <c r="Q125" s="34">
        <v>1.0605349289792401</v>
      </c>
      <c r="R125" s="33">
        <v>55.928486897324099</v>
      </c>
      <c r="S125" s="33">
        <v>56.028000039898203</v>
      </c>
      <c r="T125" s="33">
        <v>55.996855810574203</v>
      </c>
      <c r="U125" s="15">
        <v>-6.4430445159161902E-3</v>
      </c>
      <c r="V125" s="15">
        <v>-4.6653329870225196E-3</v>
      </c>
      <c r="W125" s="15">
        <v>-5.2213565567898702E-3</v>
      </c>
      <c r="X125" s="34">
        <v>1.0658966104904299</v>
      </c>
      <c r="Y125" s="34">
        <v>1.0594170994200001</v>
      </c>
      <c r="Z125" s="34">
        <v>1.0632281633046701</v>
      </c>
      <c r="AA125" s="34">
        <v>1.0616624071223999</v>
      </c>
      <c r="AB125" s="33">
        <v>55.947817020370501</v>
      </c>
      <c r="AC125" s="33">
        <v>56.117699865716801</v>
      </c>
      <c r="AD125" s="33">
        <v>56.056397931314301</v>
      </c>
      <c r="AE125" s="15">
        <v>-6.0974820945297603E-3</v>
      </c>
      <c r="AF125" s="15">
        <v>-3.0656310809670799E-3</v>
      </c>
      <c r="AG125" s="15">
        <v>-4.1586096153880901E-3</v>
      </c>
      <c r="AI125" s="12"/>
      <c r="AJ125">
        <f t="shared" si="26"/>
        <v>1</v>
      </c>
      <c r="AK125">
        <f t="shared" si="27"/>
        <v>0</v>
      </c>
      <c r="AL125">
        <f t="shared" si="34"/>
        <v>1</v>
      </c>
      <c r="AM125">
        <f t="shared" si="24"/>
        <v>1</v>
      </c>
      <c r="AN125">
        <f t="shared" si="35"/>
        <v>1</v>
      </c>
      <c r="AO125" s="28">
        <f t="shared" si="28"/>
        <v>-5.6646677154659798E-3</v>
      </c>
      <c r="AP125" s="28">
        <f t="shared" si="29"/>
        <v>5.31539167849732E-3</v>
      </c>
      <c r="AQ125" s="28">
        <f t="shared" si="36"/>
        <v>-3.4927603696865983E-4</v>
      </c>
      <c r="AR125" s="29">
        <f t="shared" si="37"/>
        <v>4.1476185071403233E-3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2.110087250216601E-3</v>
      </c>
      <c r="BE125" s="29">
        <f t="shared" si="42"/>
        <v>-3.4927603696865983E-4</v>
      </c>
      <c r="BF125" s="29">
        <f t="shared" si="43"/>
        <v>6.2577057573569243E-3</v>
      </c>
      <c r="BH125" s="29"/>
    </row>
    <row r="126" spans="1:60" x14ac:dyDescent="0.3">
      <c r="A126" s="1">
        <v>46205</v>
      </c>
      <c r="B126" s="33">
        <v>53.22</v>
      </c>
      <c r="C126" s="33">
        <v>56.75</v>
      </c>
      <c r="D126" s="15">
        <v>7.7336988307013001E-3</v>
      </c>
      <c r="E126" s="15">
        <v>8.1387568855768901E-3</v>
      </c>
      <c r="F126" s="33">
        <v>0</v>
      </c>
      <c r="G126" s="33">
        <v>0.77005999999999997</v>
      </c>
      <c r="H126" s="33">
        <v>0</v>
      </c>
      <c r="I126" s="33">
        <v>0.61581699999999995</v>
      </c>
      <c r="J126" s="33">
        <v>0</v>
      </c>
      <c r="K126" s="33">
        <v>0</v>
      </c>
      <c r="L126" s="33">
        <v>53.22</v>
      </c>
      <c r="M126" s="33">
        <v>56.75</v>
      </c>
      <c r="N126" s="34">
        <v>1.06632844795189</v>
      </c>
      <c r="O126" s="34">
        <v>1.05905106792887</v>
      </c>
      <c r="P126" s="34">
        <v>1.0631601602209</v>
      </c>
      <c r="Q126" s="34">
        <v>1.0607258190995399</v>
      </c>
      <c r="R126" s="33">
        <v>56.362697835174899</v>
      </c>
      <c r="S126" s="33">
        <v>56.524320803964002</v>
      </c>
      <c r="T126" s="33">
        <v>56.441668920275603</v>
      </c>
      <c r="U126" s="15">
        <v>-6.8481025707918296E-3</v>
      </c>
      <c r="V126" s="15">
        <v>-3.98465412169799E-3</v>
      </c>
      <c r="W126" s="15">
        <v>-5.4479600005466399E-3</v>
      </c>
      <c r="X126" s="34">
        <v>1.06632844795189</v>
      </c>
      <c r="Y126" s="34">
        <v>1.0594170994200001</v>
      </c>
      <c r="Z126" s="34">
        <v>1.06373499749075</v>
      </c>
      <c r="AA126" s="34">
        <v>1.0618532972426999</v>
      </c>
      <c r="AB126" s="33">
        <v>56.382178031132703</v>
      </c>
      <c r="AC126" s="33">
        <v>56.585002851074897</v>
      </c>
      <c r="AD126" s="33">
        <v>56.501673307054403</v>
      </c>
      <c r="AE126" s="15">
        <v>-6.5025401494053399E-3</v>
      </c>
      <c r="AF126" s="15">
        <v>-2.9116735579063201E-3</v>
      </c>
      <c r="AG126" s="15">
        <v>-4.3854025936023201E-3</v>
      </c>
      <c r="AI126" s="12"/>
      <c r="AJ126">
        <f t="shared" si="26"/>
        <v>1</v>
      </c>
      <c r="AK126">
        <f t="shared" si="27"/>
        <v>0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7.7336988307013001E-3</v>
      </c>
      <c r="AP126" s="28">
        <f t="shared" si="29"/>
        <v>-8.1387568855768901E-3</v>
      </c>
      <c r="AQ126" s="28">
        <f t="shared" si="36"/>
        <v>-4.0505805487558999E-4</v>
      </c>
      <c r="AR126" s="29">
        <f t="shared" si="37"/>
        <v>3.7425604522647333E-3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2.110087250216601E-3</v>
      </c>
      <c r="BE126" s="29">
        <f t="shared" si="42"/>
        <v>-4.0505805487558999E-4</v>
      </c>
      <c r="BF126" s="29">
        <f t="shared" si="43"/>
        <v>5.8526477024813343E-3</v>
      </c>
      <c r="BH126" s="29"/>
    </row>
    <row r="127" spans="1:60" x14ac:dyDescent="0.3">
      <c r="A127" s="1">
        <v>46209</v>
      </c>
      <c r="B127" s="33">
        <v>53.13</v>
      </c>
      <c r="C127" s="33">
        <v>56.67</v>
      </c>
      <c r="D127" s="15">
        <v>-1.6925250866911699E-3</v>
      </c>
      <c r="E127" s="15">
        <v>-1.4106861799842E-3</v>
      </c>
      <c r="F127" s="33">
        <v>0</v>
      </c>
      <c r="G127" s="33">
        <v>0.77005999999999997</v>
      </c>
      <c r="H127" s="33">
        <v>0</v>
      </c>
      <c r="I127" s="33">
        <v>0.61581699999999995</v>
      </c>
      <c r="J127" s="33">
        <v>0</v>
      </c>
      <c r="K127" s="33">
        <v>0</v>
      </c>
      <c r="L127" s="33">
        <v>53.13</v>
      </c>
      <c r="M127" s="33">
        <v>56.67</v>
      </c>
      <c r="N127" s="34">
        <v>1.06662902315076</v>
      </c>
      <c r="O127" s="34">
        <v>1.05905106792887</v>
      </c>
      <c r="P127" s="34">
        <v>1.0642437432129299</v>
      </c>
      <c r="Q127" s="34">
        <v>1.06095088727836</v>
      </c>
      <c r="R127" s="33">
        <v>56.267383239061303</v>
      </c>
      <c r="S127" s="33">
        <v>56.485699312536703</v>
      </c>
      <c r="T127" s="33">
        <v>56.356362768758999</v>
      </c>
      <c r="U127" s="15">
        <v>-7.1299414774987999E-3</v>
      </c>
      <c r="V127" s="15">
        <v>-3.25747357937625E-3</v>
      </c>
      <c r="W127" s="15">
        <v>-5.5498209191748001E-3</v>
      </c>
      <c r="X127" s="34">
        <v>1.06662902315076</v>
      </c>
      <c r="Y127" s="34">
        <v>1.0594170994200001</v>
      </c>
      <c r="Z127" s="34">
        <v>1.0642437432129299</v>
      </c>
      <c r="AA127" s="34">
        <v>1.06207836542152</v>
      </c>
      <c r="AB127" s="33">
        <v>56.286830492184897</v>
      </c>
      <c r="AC127" s="33">
        <v>56.5162404166839</v>
      </c>
      <c r="AD127" s="33">
        <v>56.4162656825049</v>
      </c>
      <c r="AE127" s="15">
        <v>-6.78437905611241E-3</v>
      </c>
      <c r="AF127" s="15">
        <v>-2.7169323291267901E-3</v>
      </c>
      <c r="AG127" s="15">
        <v>-4.4874546304297103E-3</v>
      </c>
      <c r="AI127" s="12"/>
      <c r="AJ127">
        <f t="shared" si="26"/>
        <v>1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-1.6925250866911699E-3</v>
      </c>
      <c r="AP127" s="28">
        <f t="shared" si="29"/>
        <v>1.4106861799842E-3</v>
      </c>
      <c r="AQ127" s="28">
        <f t="shared" si="36"/>
        <v>-2.8183890670696989E-4</v>
      </c>
      <c r="AR127" s="29">
        <f t="shared" si="37"/>
        <v>3.4607215455577634E-3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2.110087250216601E-3</v>
      </c>
      <c r="BE127" s="29">
        <f t="shared" si="42"/>
        <v>-2.8183890670696989E-4</v>
      </c>
      <c r="BF127" s="29">
        <f t="shared" si="43"/>
        <v>5.5708087957743648E-3</v>
      </c>
      <c r="BH127" s="29"/>
    </row>
    <row r="128" spans="1:60" x14ac:dyDescent="0.3">
      <c r="A128" s="1">
        <v>46210</v>
      </c>
      <c r="B128" s="33">
        <v>54.64</v>
      </c>
      <c r="C128" s="33">
        <v>58.21</v>
      </c>
      <c r="D128" s="15">
        <v>2.8024474799682699E-2</v>
      </c>
      <c r="E128" s="15">
        <v>2.6812191102116099E-2</v>
      </c>
      <c r="F128" s="33">
        <v>0</v>
      </c>
      <c r="G128" s="33">
        <v>0.77005999999999997</v>
      </c>
      <c r="H128" s="33">
        <v>0</v>
      </c>
      <c r="I128" s="33">
        <v>0.61581699999999995</v>
      </c>
      <c r="J128" s="33">
        <v>0</v>
      </c>
      <c r="K128" s="33">
        <v>0</v>
      </c>
      <c r="L128" s="33">
        <v>54.64</v>
      </c>
      <c r="M128" s="33">
        <v>58.21</v>
      </c>
      <c r="N128" s="34">
        <v>1.0653367496339601</v>
      </c>
      <c r="O128" s="34">
        <v>1.05905106792887</v>
      </c>
      <c r="P128" s="34">
        <v>1.06435862424366</v>
      </c>
      <c r="Q128" s="34">
        <v>1.0612525782367399</v>
      </c>
      <c r="R128" s="33">
        <v>57.866550351633897</v>
      </c>
      <c r="S128" s="33">
        <v>58.150278129154898</v>
      </c>
      <c r="T128" s="33">
        <v>57.970356480889798</v>
      </c>
      <c r="U128" s="15">
        <v>-5.9176577799323398E-3</v>
      </c>
      <c r="V128" s="15">
        <v>-1.0264993698761E-3</v>
      </c>
      <c r="W128" s="15">
        <v>-4.12537654794627E-3</v>
      </c>
      <c r="X128" s="34">
        <v>1.0653367496339601</v>
      </c>
      <c r="Y128" s="34">
        <v>1.0594170994200001</v>
      </c>
      <c r="Z128" s="34">
        <v>1.06435862424366</v>
      </c>
      <c r="AA128" s="34">
        <v>1.06238005637989</v>
      </c>
      <c r="AB128" s="33">
        <v>57.886550312309097</v>
      </c>
      <c r="AC128" s="33">
        <v>58.150278129154898</v>
      </c>
      <c r="AD128" s="33">
        <v>58.031961886631798</v>
      </c>
      <c r="AE128" s="15">
        <v>-5.5720953585459499E-3</v>
      </c>
      <c r="AF128" s="15">
        <v>-1.0264993698761E-3</v>
      </c>
      <c r="AG128" s="15">
        <v>-3.06323550799667E-3</v>
      </c>
      <c r="AI128" s="12"/>
      <c r="AJ128">
        <f t="shared" si="26"/>
        <v>1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2.8024474799682699E-2</v>
      </c>
      <c r="AP128" s="28">
        <f t="shared" si="29"/>
        <v>-2.6812191102116099E-2</v>
      </c>
      <c r="AQ128" s="28">
        <f t="shared" si="36"/>
        <v>1.2122836975665997E-3</v>
      </c>
      <c r="AR128" s="29">
        <f t="shared" si="37"/>
        <v>4.6730052431243636E-3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2.110087250216601E-3</v>
      </c>
      <c r="BE128" s="29">
        <f t="shared" si="42"/>
        <v>1.2122836975665997E-3</v>
      </c>
      <c r="BF128" s="29">
        <f t="shared" si="43"/>
        <v>6.7830924933409645E-3</v>
      </c>
      <c r="BH128" s="29"/>
    </row>
    <row r="129" spans="1:60" x14ac:dyDescent="0.3">
      <c r="A129" s="1">
        <v>46211</v>
      </c>
      <c r="B129" s="33">
        <v>55.6</v>
      </c>
      <c r="C129" s="33">
        <v>59.12</v>
      </c>
      <c r="D129" s="15">
        <v>1.7416985994002099E-2</v>
      </c>
      <c r="E129" s="15">
        <v>1.5512115356302101E-2</v>
      </c>
      <c r="F129" s="33">
        <v>0</v>
      </c>
      <c r="G129" s="33">
        <v>0.77005999999999997</v>
      </c>
      <c r="H129" s="33">
        <v>0</v>
      </c>
      <c r="I129" s="33">
        <v>0.61581699999999995</v>
      </c>
      <c r="J129" s="33">
        <v>0</v>
      </c>
      <c r="K129" s="33">
        <v>0</v>
      </c>
      <c r="L129" s="33">
        <v>55.6</v>
      </c>
      <c r="M129" s="33">
        <v>59.12</v>
      </c>
      <c r="N129" s="34">
        <v>1.06330935251798</v>
      </c>
      <c r="O129" s="34">
        <v>1.05905106792887</v>
      </c>
      <c r="P129" s="34">
        <v>1.0644464452832001</v>
      </c>
      <c r="Q129" s="34">
        <v>1.06147787785303</v>
      </c>
      <c r="R129" s="33">
        <v>58.883239376845701</v>
      </c>
      <c r="S129" s="33">
        <v>59.178339507947904</v>
      </c>
      <c r="T129" s="33">
        <v>59.005643349962703</v>
      </c>
      <c r="U129" s="15">
        <v>-4.0127871422323798E-3</v>
      </c>
      <c r="V129" s="15">
        <v>9.8631160707853298E-4</v>
      </c>
      <c r="W129" s="15">
        <v>-1.9361873090276501E-3</v>
      </c>
      <c r="X129" s="34">
        <v>1.06330935251798</v>
      </c>
      <c r="Y129" s="34">
        <v>1.0594170994200001</v>
      </c>
      <c r="Z129" s="34">
        <v>1.0644464452832001</v>
      </c>
      <c r="AA129" s="34">
        <v>1.0626053559961901</v>
      </c>
      <c r="AB129" s="33">
        <v>58.903590727752302</v>
      </c>
      <c r="AC129" s="33">
        <v>59.178339507947904</v>
      </c>
      <c r="AD129" s="33">
        <v>59.0683311347222</v>
      </c>
      <c r="AE129" s="15">
        <v>-3.6672247208460801E-3</v>
      </c>
      <c r="AF129" s="15">
        <v>9.8631160707875502E-4</v>
      </c>
      <c r="AG129" s="15">
        <v>-8.7434805235578903E-4</v>
      </c>
      <c r="AI129" s="12"/>
      <c r="AJ129">
        <f t="shared" si="26"/>
        <v>0</v>
      </c>
      <c r="AK129">
        <f t="shared" si="27"/>
        <v>0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1.7416985994002099E-2</v>
      </c>
      <c r="AP129" s="28">
        <f t="shared" si="29"/>
        <v>-1.5512115356302101E-2</v>
      </c>
      <c r="AQ129" s="28">
        <f t="shared" si="36"/>
        <v>1.9048706376999982E-3</v>
      </c>
      <c r="AR129" s="29">
        <f t="shared" si="37"/>
        <v>6.5778758808243618E-3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2.110087250216601E-3</v>
      </c>
      <c r="BE129" s="29">
        <f t="shared" si="42"/>
        <v>1.9048706376999982E-3</v>
      </c>
      <c r="BF129" s="29">
        <f t="shared" si="43"/>
        <v>8.6879631310409627E-3</v>
      </c>
      <c r="BH129" s="29"/>
    </row>
    <row r="130" spans="1:60" x14ac:dyDescent="0.3">
      <c r="A130" s="1">
        <v>46212</v>
      </c>
      <c r="B130" s="33">
        <v>54.82</v>
      </c>
      <c r="C130" s="33">
        <v>58.32</v>
      </c>
      <c r="D130" s="15">
        <v>-1.4128110381896999E-2</v>
      </c>
      <c r="E130" s="15">
        <v>-1.3624188939543499E-2</v>
      </c>
      <c r="F130" s="33">
        <v>0</v>
      </c>
      <c r="G130" s="33">
        <v>0.77005999999999997</v>
      </c>
      <c r="H130" s="33">
        <v>0</v>
      </c>
      <c r="I130" s="33">
        <v>0.61581699999999995</v>
      </c>
      <c r="J130" s="33">
        <v>0</v>
      </c>
      <c r="K130" s="33">
        <v>0</v>
      </c>
      <c r="L130" s="33">
        <v>54.82</v>
      </c>
      <c r="M130" s="33">
        <v>58.32</v>
      </c>
      <c r="N130" s="34">
        <v>1.06384531192995</v>
      </c>
      <c r="O130" s="34">
        <v>1.05905106792887</v>
      </c>
      <c r="P130" s="34">
        <v>1.0645961435473099</v>
      </c>
      <c r="Q130" s="34">
        <v>1.06170795491494</v>
      </c>
      <c r="R130" s="33">
        <v>58.057179543861103</v>
      </c>
      <c r="S130" s="33">
        <v>58.352954130424997</v>
      </c>
      <c r="T130" s="33">
        <v>58.190217263903499</v>
      </c>
      <c r="U130" s="15">
        <v>-4.5167085845857699E-3</v>
      </c>
      <c r="V130" s="15">
        <v>5.6489752140094799E-4</v>
      </c>
      <c r="W130" s="15">
        <v>-2.2278353405028898E-3</v>
      </c>
      <c r="X130" s="34">
        <v>1.06384531192995</v>
      </c>
      <c r="Y130" s="34">
        <v>1.0594170994200001</v>
      </c>
      <c r="Z130" s="34">
        <v>1.0645961435473099</v>
      </c>
      <c r="AA130" s="34">
        <v>1.0628354330581</v>
      </c>
      <c r="AB130" s="33">
        <v>58.077245390204702</v>
      </c>
      <c r="AC130" s="33">
        <v>58.352954130424997</v>
      </c>
      <c r="AD130" s="33">
        <v>58.252025615711403</v>
      </c>
      <c r="AE130" s="15">
        <v>-4.1711461631994797E-3</v>
      </c>
      <c r="AF130" s="15">
        <v>5.6489752140094799E-4</v>
      </c>
      <c r="AG130" s="15">
        <v>-1.16622134056126E-3</v>
      </c>
      <c r="AI130" s="12"/>
      <c r="AJ130">
        <f t="shared" si="26"/>
        <v>0</v>
      </c>
      <c r="AK130">
        <f t="shared" si="27"/>
        <v>0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-1.4128110381896999E-2</v>
      </c>
      <c r="AP130" s="28">
        <f t="shared" si="29"/>
        <v>1.3624188939543499E-2</v>
      </c>
      <c r="AQ130" s="28">
        <f t="shared" si="36"/>
        <v>-5.0392144235350024E-4</v>
      </c>
      <c r="AR130" s="29">
        <f t="shared" si="37"/>
        <v>6.0739544384708615E-3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2.110087250216601E-3</v>
      </c>
      <c r="BE130" s="29">
        <f t="shared" si="42"/>
        <v>-5.0392144235350024E-4</v>
      </c>
      <c r="BF130" s="29">
        <f t="shared" si="43"/>
        <v>8.1840416886874625E-3</v>
      </c>
      <c r="BH130" s="29"/>
    </row>
    <row r="131" spans="1:60" x14ac:dyDescent="0.3">
      <c r="A131" s="1">
        <v>46213</v>
      </c>
      <c r="B131" s="33">
        <v>55.08</v>
      </c>
      <c r="C131" s="33">
        <v>58.6</v>
      </c>
      <c r="D131" s="15">
        <v>4.7315829858143397E-3</v>
      </c>
      <c r="E131" s="15">
        <v>4.7896088825642898E-3</v>
      </c>
      <c r="F131" s="33">
        <v>0</v>
      </c>
      <c r="G131" s="33">
        <v>0.77005999999999997</v>
      </c>
      <c r="H131" s="33">
        <v>0</v>
      </c>
      <c r="I131" s="33">
        <v>0.61581699999999995</v>
      </c>
      <c r="J131" s="33">
        <v>0</v>
      </c>
      <c r="K131" s="33">
        <v>0</v>
      </c>
      <c r="L131" s="33">
        <v>55.08</v>
      </c>
      <c r="M131" s="33">
        <v>58.6</v>
      </c>
      <c r="N131" s="34">
        <v>1.0639070442992</v>
      </c>
      <c r="O131" s="34">
        <v>1.05905106792887</v>
      </c>
      <c r="P131" s="34">
        <v>1.0646825403418101</v>
      </c>
      <c r="Q131" s="34">
        <v>1.0619762685032901</v>
      </c>
      <c r="R131" s="33">
        <v>58.332532821522598</v>
      </c>
      <c r="S131" s="33">
        <v>58.637955586586202</v>
      </c>
      <c r="T131" s="33">
        <v>58.4788741567153</v>
      </c>
      <c r="U131" s="15">
        <v>-4.5747344813358102E-3</v>
      </c>
      <c r="V131" s="15">
        <v>6.4749658457398103E-4</v>
      </c>
      <c r="W131" s="15">
        <v>-2.0691330929147999E-3</v>
      </c>
      <c r="X131" s="34">
        <v>1.0639070442992</v>
      </c>
      <c r="Y131" s="34">
        <v>1.0594170994200001</v>
      </c>
      <c r="Z131" s="34">
        <v>1.0646825403418101</v>
      </c>
      <c r="AA131" s="34">
        <v>1.0631037466464499</v>
      </c>
      <c r="AB131" s="33">
        <v>58.352693836053902</v>
      </c>
      <c r="AC131" s="33">
        <v>58.637955586586202</v>
      </c>
      <c r="AD131" s="33">
        <v>58.540975652840402</v>
      </c>
      <c r="AE131" s="15">
        <v>-4.2291720599494098E-3</v>
      </c>
      <c r="AF131" s="15">
        <v>6.4749658457398103E-4</v>
      </c>
      <c r="AG131" s="15">
        <v>-1.0077490276283699E-3</v>
      </c>
      <c r="AI131" s="12"/>
      <c r="AJ131">
        <f t="shared" si="26"/>
        <v>0</v>
      </c>
      <c r="AK131">
        <f t="shared" si="27"/>
        <v>0</v>
      </c>
      <c r="AL131">
        <f t="shared" si="34"/>
        <v>1</v>
      </c>
      <c r="AM131">
        <f t="shared" si="24"/>
        <v>1</v>
      </c>
      <c r="AN131">
        <f t="shared" si="35"/>
        <v>1</v>
      </c>
      <c r="AO131" s="28">
        <f t="shared" si="28"/>
        <v>4.7315829858143397E-3</v>
      </c>
      <c r="AP131" s="28">
        <f t="shared" si="29"/>
        <v>-4.7896088825642898E-3</v>
      </c>
      <c r="AQ131" s="28">
        <f t="shared" si="36"/>
        <v>-5.8025896749950082E-5</v>
      </c>
      <c r="AR131" s="29">
        <f t="shared" si="37"/>
        <v>6.0159285417209114E-3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2.110087250216601E-3</v>
      </c>
      <c r="BE131" s="29">
        <f t="shared" si="42"/>
        <v>-5.8025896749950082E-5</v>
      </c>
      <c r="BF131" s="29">
        <f t="shared" si="43"/>
        <v>8.1260157919375124E-3</v>
      </c>
      <c r="BH131" s="29"/>
    </row>
    <row r="132" spans="1:60" x14ac:dyDescent="0.3">
      <c r="A132" s="1">
        <v>46216</v>
      </c>
      <c r="B132" s="33">
        <v>56.74</v>
      </c>
      <c r="C132" s="33">
        <v>60.27</v>
      </c>
      <c r="D132" s="15">
        <v>2.9692755520251201E-2</v>
      </c>
      <c r="E132" s="15">
        <v>2.8099770911985799E-2</v>
      </c>
      <c r="F132" s="33">
        <v>0</v>
      </c>
      <c r="G132" s="33">
        <v>0.77005999999999997</v>
      </c>
      <c r="H132" s="33">
        <v>0</v>
      </c>
      <c r="I132" s="33">
        <v>0.61581699999999995</v>
      </c>
      <c r="J132" s="33">
        <v>0</v>
      </c>
      <c r="K132" s="33">
        <v>0</v>
      </c>
      <c r="L132" s="33">
        <v>56.74</v>
      </c>
      <c r="M132" s="33">
        <v>60.27</v>
      </c>
      <c r="N132" s="34">
        <v>1.06221360592174</v>
      </c>
      <c r="O132" s="34">
        <v>1.05905106792887</v>
      </c>
      <c r="P132" s="34">
        <v>1.06462604060709</v>
      </c>
      <c r="Q132" s="34">
        <v>1.06210200482179</v>
      </c>
      <c r="R132" s="33">
        <v>60.090557594284597</v>
      </c>
      <c r="S132" s="33">
        <v>60.4100873389946</v>
      </c>
      <c r="T132" s="33">
        <v>60.256533474877102</v>
      </c>
      <c r="U132" s="15">
        <v>-2.9817498730702898E-3</v>
      </c>
      <c r="V132" s="15">
        <v>2.3216324251310598E-3</v>
      </c>
      <c r="W132" s="15">
        <v>-2.2346158626815701E-4</v>
      </c>
      <c r="X132" s="34">
        <v>1.06221360592174</v>
      </c>
      <c r="Y132" s="34">
        <v>1.0594170994200001</v>
      </c>
      <c r="Z132" s="34">
        <v>1.06462604060709</v>
      </c>
      <c r="AA132" s="34">
        <v>1.06322948296495</v>
      </c>
      <c r="AB132" s="33">
        <v>60.111326221091097</v>
      </c>
      <c r="AC132" s="33">
        <v>60.4100873389946</v>
      </c>
      <c r="AD132" s="33">
        <v>60.320506584719901</v>
      </c>
      <c r="AE132" s="15">
        <v>-2.6361874516838799E-3</v>
      </c>
      <c r="AF132" s="15">
        <v>2.3216324251310598E-3</v>
      </c>
      <c r="AG132" s="15">
        <v>8.3765445727925197E-4</v>
      </c>
      <c r="AI132" s="12"/>
      <c r="AJ132">
        <f t="shared" si="26"/>
        <v>0</v>
      </c>
      <c r="AK132">
        <f t="shared" si="27"/>
        <v>1</v>
      </c>
      <c r="AL132">
        <f t="shared" si="34"/>
        <v>1</v>
      </c>
      <c r="AM132">
        <f t="shared" si="24"/>
        <v>1</v>
      </c>
      <c r="AN132">
        <f t="shared" si="35"/>
        <v>1</v>
      </c>
      <c r="AO132" s="28">
        <f t="shared" si="28"/>
        <v>2.9692755520251201E-2</v>
      </c>
      <c r="AP132" s="28">
        <f t="shared" si="29"/>
        <v>-2.8099770911985799E-2</v>
      </c>
      <c r="AQ132" s="28">
        <f t="shared" si="36"/>
        <v>1.592984608265402E-3</v>
      </c>
      <c r="AR132" s="29">
        <f t="shared" si="37"/>
        <v>7.6089131499863134E-3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2.110087250216601E-3</v>
      </c>
      <c r="BE132" s="29">
        <f t="shared" si="42"/>
        <v>1.592984608265402E-3</v>
      </c>
      <c r="BF132" s="29">
        <f t="shared" si="43"/>
        <v>9.7190004002029144E-3</v>
      </c>
      <c r="BH132" s="29"/>
    </row>
    <row r="133" spans="1:60" x14ac:dyDescent="0.3">
      <c r="A133" s="1">
        <v>46217</v>
      </c>
      <c r="B133" s="33">
        <v>56.95</v>
      </c>
      <c r="C133" s="33">
        <v>60.5</v>
      </c>
      <c r="D133" s="15">
        <v>3.6942605124858701E-3</v>
      </c>
      <c r="E133" s="15">
        <v>3.8088975418428799E-3</v>
      </c>
      <c r="F133" s="33">
        <v>0</v>
      </c>
      <c r="G133" s="33">
        <v>0.77005999999999997</v>
      </c>
      <c r="H133" s="33">
        <v>0</v>
      </c>
      <c r="I133" s="33">
        <v>0.61581699999999995</v>
      </c>
      <c r="J133" s="33">
        <v>0</v>
      </c>
      <c r="K133" s="33">
        <v>0</v>
      </c>
      <c r="L133" s="33">
        <v>56.95</v>
      </c>
      <c r="M133" s="33">
        <v>60.5</v>
      </c>
      <c r="N133" s="34">
        <v>1.06233538191395</v>
      </c>
      <c r="O133" s="34">
        <v>1.05905106792887</v>
      </c>
      <c r="P133" s="34">
        <v>1.06453259111652</v>
      </c>
      <c r="Q133" s="34">
        <v>1.06223006844399</v>
      </c>
      <c r="R133" s="33">
        <v>60.312958318549697</v>
      </c>
      <c r="S133" s="33">
        <v>60.630453012574101</v>
      </c>
      <c r="T133" s="33">
        <v>60.486709174601202</v>
      </c>
      <c r="U133" s="15">
        <v>-3.0963869024273798E-3</v>
      </c>
      <c r="V133" s="15">
        <v>2.1539267750596502E-3</v>
      </c>
      <c r="W133" s="15">
        <v>-2.1970719830097699E-4</v>
      </c>
      <c r="X133" s="34">
        <v>1.06233538191395</v>
      </c>
      <c r="Y133" s="34">
        <v>1.0594170994200001</v>
      </c>
      <c r="Z133" s="34">
        <v>1.06453259111652</v>
      </c>
      <c r="AA133" s="34">
        <v>1.0633575465871401</v>
      </c>
      <c r="AB133" s="33">
        <v>60.333803811969297</v>
      </c>
      <c r="AC133" s="33">
        <v>60.630453012574101</v>
      </c>
      <c r="AD133" s="33">
        <v>60.550919054853999</v>
      </c>
      <c r="AE133" s="15">
        <v>-2.7508244810410102E-3</v>
      </c>
      <c r="AF133" s="15">
        <v>2.1539267750596502E-3</v>
      </c>
      <c r="AG133" s="15">
        <v>8.4128329226715098E-4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7.6089131499863134E-3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2.110087250216601E-3</v>
      </c>
      <c r="BE133" s="29">
        <f t="shared" si="42"/>
        <v>0</v>
      </c>
      <c r="BF133" s="29">
        <f t="shared" si="43"/>
        <v>9.7190004002029144E-3</v>
      </c>
      <c r="BH133" s="29"/>
    </row>
    <row r="134" spans="1:60" x14ac:dyDescent="0.3">
      <c r="A134" s="1">
        <v>46218</v>
      </c>
      <c r="B134" s="33">
        <v>56.5</v>
      </c>
      <c r="C134" s="33">
        <v>60.02</v>
      </c>
      <c r="D134" s="15">
        <v>-7.9330517407959801E-3</v>
      </c>
      <c r="E134" s="15">
        <v>-7.9655250245746802E-3</v>
      </c>
      <c r="F134" s="33">
        <v>0</v>
      </c>
      <c r="G134" s="33">
        <v>0.77005999999999997</v>
      </c>
      <c r="H134" s="33">
        <v>0</v>
      </c>
      <c r="I134" s="33">
        <v>0.61581699999999995</v>
      </c>
      <c r="J134" s="33">
        <v>0</v>
      </c>
      <c r="K134" s="33">
        <v>0</v>
      </c>
      <c r="L134" s="33">
        <v>56.5</v>
      </c>
      <c r="M134" s="33">
        <v>60.02</v>
      </c>
      <c r="N134" s="34">
        <v>1.06230088495575</v>
      </c>
      <c r="O134" s="34">
        <v>1.05905106792887</v>
      </c>
      <c r="P134" s="34">
        <v>1.0642102412765599</v>
      </c>
      <c r="Q134" s="34">
        <v>1.06257283546405</v>
      </c>
      <c r="R134" s="33">
        <v>59.836385337981604</v>
      </c>
      <c r="S134" s="33">
        <v>60.146091398083399</v>
      </c>
      <c r="T134" s="33">
        <v>60.0159988670855</v>
      </c>
      <c r="U134" s="15">
        <v>-3.0639136186486802E-3</v>
      </c>
      <c r="V134" s="15">
        <v>2.0986193841224998E-3</v>
      </c>
      <c r="W134" s="15">
        <v>-6.6665549563225195E-5</v>
      </c>
      <c r="X134" s="34">
        <v>1.06230088495575</v>
      </c>
      <c r="Y134" s="34">
        <v>1.0594170994200001</v>
      </c>
      <c r="Z134" s="34">
        <v>1.0642102412765599</v>
      </c>
      <c r="AA134" s="34">
        <v>1.0634221047863299</v>
      </c>
      <c r="AB134" s="33">
        <v>59.857066117230303</v>
      </c>
      <c r="AC134" s="33">
        <v>60.146091398083399</v>
      </c>
      <c r="AD134" s="33">
        <v>60.079701382173901</v>
      </c>
      <c r="AE134" s="15">
        <v>-2.7183511972622902E-3</v>
      </c>
      <c r="AF134" s="15">
        <v>2.0986193841224998E-3</v>
      </c>
      <c r="AG134" s="15">
        <v>9.9419709465347304E-4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7.6089131499863134E-3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2.110087250216601E-3</v>
      </c>
      <c r="BE134" s="29">
        <f t="shared" si="42"/>
        <v>0</v>
      </c>
      <c r="BF134" s="29">
        <f t="shared" si="43"/>
        <v>9.7190004002029144E-3</v>
      </c>
      <c r="BH134" s="29"/>
    </row>
    <row r="135" spans="1:60" x14ac:dyDescent="0.3">
      <c r="A135" s="1">
        <v>46219</v>
      </c>
      <c r="B135" s="33">
        <v>57.02</v>
      </c>
      <c r="C135" s="33">
        <v>60.53</v>
      </c>
      <c r="D135" s="15">
        <v>9.1614453321306293E-3</v>
      </c>
      <c r="E135" s="15">
        <v>8.4612698913747401E-3</v>
      </c>
      <c r="F135" s="33">
        <v>0</v>
      </c>
      <c r="G135" s="33">
        <v>0.77005999999999997</v>
      </c>
      <c r="H135" s="33">
        <v>0</v>
      </c>
      <c r="I135" s="33">
        <v>0.61581699999999995</v>
      </c>
      <c r="J135" s="33">
        <v>0</v>
      </c>
      <c r="K135" s="33">
        <v>0</v>
      </c>
      <c r="L135" s="33">
        <v>57.02</v>
      </c>
      <c r="M135" s="33">
        <v>60.53</v>
      </c>
      <c r="N135" s="34">
        <v>1.0615573482988401</v>
      </c>
      <c r="O135" s="34">
        <v>1.05905106792887</v>
      </c>
      <c r="P135" s="34">
        <v>1.0637763150574</v>
      </c>
      <c r="Q135" s="34">
        <v>1.0629321335148301</v>
      </c>
      <c r="R135" s="33">
        <v>60.387091893304699</v>
      </c>
      <c r="S135" s="33">
        <v>60.681267957589803</v>
      </c>
      <c r="T135" s="33">
        <v>60.587903078160501</v>
      </c>
      <c r="U135" s="15">
        <v>-2.3637381778926401E-3</v>
      </c>
      <c r="V135" s="15">
        <v>2.4959401657681799E-3</v>
      </c>
      <c r="W135" s="15">
        <v>9.5614407284557996E-4</v>
      </c>
      <c r="X135" s="34">
        <v>1.0615573482988401</v>
      </c>
      <c r="Y135" s="34">
        <v>1.0594170994200001</v>
      </c>
      <c r="Z135" s="34">
        <v>1.0637763150574</v>
      </c>
      <c r="AA135" s="34">
        <v>1.06350223918104</v>
      </c>
      <c r="AB135" s="33">
        <v>60.407963008928697</v>
      </c>
      <c r="AC135" s="33">
        <v>60.681267957589803</v>
      </c>
      <c r="AD135" s="33">
        <v>60.636328414916598</v>
      </c>
      <c r="AE135" s="15">
        <v>-2.01817575650628E-3</v>
      </c>
      <c r="AF135" s="15">
        <v>2.4959401657681799E-3</v>
      </c>
      <c r="AG135" s="15">
        <v>1.7550823500446699E-3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7.6089131499863134E-3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2.110087250216601E-3</v>
      </c>
      <c r="BE135" s="29">
        <f t="shared" si="42"/>
        <v>0</v>
      </c>
      <c r="BF135" s="29">
        <f t="shared" si="43"/>
        <v>9.7190004002029144E-3</v>
      </c>
      <c r="BH135" s="29"/>
    </row>
    <row r="136" spans="1:60" x14ac:dyDescent="0.3">
      <c r="A136" s="1">
        <v>46220</v>
      </c>
      <c r="B136" s="33">
        <v>57.68</v>
      </c>
      <c r="C136" s="33">
        <v>61.25</v>
      </c>
      <c r="D136" s="15">
        <v>1.1508409492167601E-2</v>
      </c>
      <c r="E136" s="15">
        <v>1.18247395212403E-2</v>
      </c>
      <c r="F136" s="33">
        <v>0</v>
      </c>
      <c r="G136" s="33">
        <v>0.77005999999999997</v>
      </c>
      <c r="H136" s="33">
        <v>0</v>
      </c>
      <c r="I136" s="33">
        <v>0.61581699999999995</v>
      </c>
      <c r="J136" s="33">
        <v>0</v>
      </c>
      <c r="K136" s="33">
        <v>0</v>
      </c>
      <c r="L136" s="33">
        <v>57.68</v>
      </c>
      <c r="M136" s="33">
        <v>61.25</v>
      </c>
      <c r="N136" s="34">
        <v>1.0618932038834901</v>
      </c>
      <c r="O136" s="34">
        <v>1.05905106792887</v>
      </c>
      <c r="P136" s="34">
        <v>1.0633327906505601</v>
      </c>
      <c r="Q136" s="34">
        <v>1.06324647543573</v>
      </c>
      <c r="R136" s="33">
        <v>61.086065598137701</v>
      </c>
      <c r="S136" s="33">
        <v>61.358617852511202</v>
      </c>
      <c r="T136" s="33">
        <v>61.309925461135798</v>
      </c>
      <c r="U136" s="15">
        <v>-2.6800682069656602E-3</v>
      </c>
      <c r="V136" s="15">
        <v>1.7717821606379801E-3</v>
      </c>
      <c r="W136" s="15">
        <v>9.7789657893176908E-4</v>
      </c>
      <c r="X136" s="34">
        <v>1.0618932038834901</v>
      </c>
      <c r="Y136" s="34">
        <v>1.0594170994200001</v>
      </c>
      <c r="Z136" s="34">
        <v>1.0633327906505601</v>
      </c>
      <c r="AA136" s="34">
        <v>1.06353389407066</v>
      </c>
      <c r="AB136" s="33">
        <v>61.107178294545903</v>
      </c>
      <c r="AC136" s="33">
        <v>61.358617852511202</v>
      </c>
      <c r="AD136" s="33">
        <v>61.342809155962499</v>
      </c>
      <c r="AE136" s="15">
        <v>-2.33450578557917E-3</v>
      </c>
      <c r="AF136" s="15">
        <v>1.77178216063775E-3</v>
      </c>
      <c r="AG136" s="15">
        <v>1.5141046906750201E-3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7.6089131499863134E-3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2.110087250216601E-3</v>
      </c>
      <c r="BE136" s="29">
        <f t="shared" si="42"/>
        <v>0</v>
      </c>
      <c r="BF136" s="29">
        <f t="shared" si="43"/>
        <v>9.7190004002029144E-3</v>
      </c>
      <c r="BH136" s="29"/>
    </row>
    <row r="137" spans="1:60" x14ac:dyDescent="0.3">
      <c r="A137" s="1">
        <v>46223</v>
      </c>
      <c r="B137" s="33">
        <v>57.94</v>
      </c>
      <c r="C137" s="33">
        <v>61.53</v>
      </c>
      <c r="D137" s="15">
        <v>4.4974993645105904E-3</v>
      </c>
      <c r="E137" s="15">
        <v>4.5610113275626604E-3</v>
      </c>
      <c r="F137" s="33">
        <v>0</v>
      </c>
      <c r="G137" s="33">
        <v>0.77005999999999997</v>
      </c>
      <c r="H137" s="33">
        <v>0</v>
      </c>
      <c r="I137" s="33">
        <v>0.61581699999999995</v>
      </c>
      <c r="J137" s="33">
        <v>0</v>
      </c>
      <c r="K137" s="33">
        <v>0</v>
      </c>
      <c r="L137" s="33">
        <v>57.94</v>
      </c>
      <c r="M137" s="33">
        <v>61.53</v>
      </c>
      <c r="N137" s="34">
        <v>1.06196064894718</v>
      </c>
      <c r="O137" s="34">
        <v>1.05905106792887</v>
      </c>
      <c r="P137" s="34">
        <v>1.0628659532302001</v>
      </c>
      <c r="Q137" s="34">
        <v>1.06355484822157</v>
      </c>
      <c r="R137" s="33">
        <v>61.361418875799203</v>
      </c>
      <c r="S137" s="33">
        <v>61.609501890293799</v>
      </c>
      <c r="T137" s="33">
        <v>61.604500786746499</v>
      </c>
      <c r="U137" s="15">
        <v>-2.7435801700174899E-3</v>
      </c>
      <c r="V137" s="15">
        <v>1.29124935734999E-3</v>
      </c>
      <c r="W137" s="15">
        <v>1.2100718378898099E-3</v>
      </c>
      <c r="X137" s="34">
        <v>1.06196064894718</v>
      </c>
      <c r="Y137" s="34">
        <v>1.0594170994200001</v>
      </c>
      <c r="Z137" s="34">
        <v>1.0628659532302001</v>
      </c>
      <c r="AA137" s="34">
        <v>1.06355484822157</v>
      </c>
      <c r="AB137" s="33">
        <v>61.382626740395096</v>
      </c>
      <c r="AC137" s="33">
        <v>61.609501890293799</v>
      </c>
      <c r="AD137" s="33">
        <v>61.621153822454097</v>
      </c>
      <c r="AE137" s="15">
        <v>-2.39801774863106E-3</v>
      </c>
      <c r="AF137" s="15">
        <v>1.29124935734999E-3</v>
      </c>
      <c r="AG137" s="15">
        <v>1.48035704533059E-3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7.6089131499863134E-3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2.110087250216601E-3</v>
      </c>
      <c r="BE137" s="29">
        <f t="shared" si="42"/>
        <v>0</v>
      </c>
      <c r="BF137" s="29">
        <f t="shared" si="43"/>
        <v>9.7190004002029144E-3</v>
      </c>
      <c r="BH137" s="29"/>
    </row>
    <row r="138" spans="1:60" x14ac:dyDescent="0.3">
      <c r="A138" s="1">
        <v>46224</v>
      </c>
      <c r="B138" s="33">
        <v>58.5</v>
      </c>
      <c r="C138" s="33">
        <v>62.18</v>
      </c>
      <c r="D138" s="15">
        <v>9.6187618966064297E-3</v>
      </c>
      <c r="E138" s="15">
        <v>1.0508543878208701E-2</v>
      </c>
      <c r="F138" s="33">
        <v>0</v>
      </c>
      <c r="G138" s="33">
        <v>0.77005999999999997</v>
      </c>
      <c r="H138" s="33">
        <v>0</v>
      </c>
      <c r="I138" s="33">
        <v>0.61581699999999995</v>
      </c>
      <c r="J138" s="33">
        <v>0</v>
      </c>
      <c r="K138" s="33">
        <v>0</v>
      </c>
      <c r="L138" s="33">
        <v>58.5</v>
      </c>
      <c r="M138" s="33">
        <v>62.18</v>
      </c>
      <c r="N138" s="34">
        <v>1.0629059829059799</v>
      </c>
      <c r="O138" s="34">
        <v>1.05905106792887</v>
      </c>
      <c r="P138" s="34">
        <v>1.0626228765574099</v>
      </c>
      <c r="Q138" s="34">
        <v>1.06349075040053</v>
      </c>
      <c r="R138" s="33">
        <v>61.9544874738394</v>
      </c>
      <c r="S138" s="33">
        <v>62.177658263967203</v>
      </c>
      <c r="T138" s="33">
        <v>62.217958620962001</v>
      </c>
      <c r="U138" s="15">
        <v>-3.63336215161974E-3</v>
      </c>
      <c r="V138" s="15">
        <v>-3.7661307968112997E-5</v>
      </c>
      <c r="W138" s="15">
        <v>6.10277251507905E-4</v>
      </c>
      <c r="X138" s="34">
        <v>1.0629059829059799</v>
      </c>
      <c r="Y138" s="34">
        <v>1.0594170994200001</v>
      </c>
      <c r="Z138" s="34">
        <v>1.0626228765574099</v>
      </c>
      <c r="AA138" s="34">
        <v>1.06349075040053</v>
      </c>
      <c r="AB138" s="33">
        <v>61.975900316070302</v>
      </c>
      <c r="AC138" s="33">
        <v>62.177658263967203</v>
      </c>
      <c r="AD138" s="33">
        <v>62.217958620962001</v>
      </c>
      <c r="AE138" s="15">
        <v>-3.2877997302333301E-3</v>
      </c>
      <c r="AF138" s="15">
        <v>-3.7661307968002002E-5</v>
      </c>
      <c r="AG138" s="15">
        <v>6.1027725150768295E-4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7.6089131499863134E-3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2.110087250216601E-3</v>
      </c>
      <c r="BE138" s="29">
        <f t="shared" si="42"/>
        <v>0</v>
      </c>
      <c r="BF138" s="29">
        <f t="shared" si="43"/>
        <v>9.7190004002029144E-3</v>
      </c>
      <c r="BH138" s="29"/>
    </row>
    <row r="139" spans="1:60" x14ac:dyDescent="0.3">
      <c r="A139" s="1">
        <v>46225</v>
      </c>
      <c r="B139" s="33">
        <v>59.2</v>
      </c>
      <c r="C139" s="33">
        <v>62.94</v>
      </c>
      <c r="D139" s="15">
        <v>1.1894787652149101E-2</v>
      </c>
      <c r="E139" s="15">
        <v>1.21484870056529E-2</v>
      </c>
      <c r="F139" s="33">
        <v>0</v>
      </c>
      <c r="G139" s="33">
        <v>0.77005999999999997</v>
      </c>
      <c r="H139" s="33">
        <v>0</v>
      </c>
      <c r="I139" s="33">
        <v>0.61581699999999995</v>
      </c>
      <c r="J139" s="33">
        <v>0</v>
      </c>
      <c r="K139" s="33">
        <v>0</v>
      </c>
      <c r="L139" s="33">
        <v>59.2</v>
      </c>
      <c r="M139" s="33">
        <v>62.94</v>
      </c>
      <c r="N139" s="34">
        <v>1.0631756756756701</v>
      </c>
      <c r="O139" s="34">
        <v>1.05905106792887</v>
      </c>
      <c r="P139" s="34">
        <v>1.06260950887317</v>
      </c>
      <c r="Q139" s="34">
        <v>1.06352797707819</v>
      </c>
      <c r="R139" s="33">
        <v>62.695823221389603</v>
      </c>
      <c r="S139" s="33">
        <v>62.9072742921987</v>
      </c>
      <c r="T139" s="33">
        <v>62.958652423711897</v>
      </c>
      <c r="U139" s="15">
        <v>-3.8870615051236198E-3</v>
      </c>
      <c r="V139" s="15">
        <v>-5.2008609201919501E-4</v>
      </c>
      <c r="W139" s="15">
        <v>2.96308554370186E-4</v>
      </c>
      <c r="X139" s="34">
        <v>1.0631756756756701</v>
      </c>
      <c r="Y139" s="34">
        <v>1.0594170994200001</v>
      </c>
      <c r="Z139" s="34">
        <v>1.06260950887317</v>
      </c>
      <c r="AA139" s="34">
        <v>1.06352797707819</v>
      </c>
      <c r="AB139" s="33">
        <v>62.717492285664399</v>
      </c>
      <c r="AC139" s="33">
        <v>62.9072742921987</v>
      </c>
      <c r="AD139" s="33">
        <v>62.958652423711897</v>
      </c>
      <c r="AE139" s="15">
        <v>-3.54149908373717E-3</v>
      </c>
      <c r="AF139" s="15">
        <v>-5.2008609201919501E-4</v>
      </c>
      <c r="AG139" s="15">
        <v>2.9630855437040799E-4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7.6089131499863134E-3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2.110087250216601E-3</v>
      </c>
      <c r="BE139" s="29">
        <f t="shared" si="42"/>
        <v>0</v>
      </c>
      <c r="BF139" s="29">
        <f t="shared" si="43"/>
        <v>9.7190004002029144E-3</v>
      </c>
      <c r="BH139" s="29"/>
    </row>
    <row r="140" spans="1:60" x14ac:dyDescent="0.3">
      <c r="A140" s="1">
        <v>46226</v>
      </c>
      <c r="B140" s="33">
        <v>59.38</v>
      </c>
      <c r="C140" s="33">
        <v>63.23</v>
      </c>
      <c r="D140" s="15">
        <v>3.0359274456536801E-3</v>
      </c>
      <c r="E140" s="15">
        <v>4.5969804342609298E-3</v>
      </c>
      <c r="F140" s="33">
        <v>0</v>
      </c>
      <c r="G140" s="33">
        <v>0.77005999999999997</v>
      </c>
      <c r="H140" s="33">
        <v>0</v>
      </c>
      <c r="I140" s="33">
        <v>0.61581699999999995</v>
      </c>
      <c r="J140" s="33">
        <v>0</v>
      </c>
      <c r="K140" s="33">
        <v>0</v>
      </c>
      <c r="L140" s="33">
        <v>59.38</v>
      </c>
      <c r="M140" s="33">
        <v>63.23</v>
      </c>
      <c r="N140" s="34">
        <v>1.0648366453351199</v>
      </c>
      <c r="O140" s="34">
        <v>1.05905106792887</v>
      </c>
      <c r="P140" s="34">
        <v>1.06270864221369</v>
      </c>
      <c r="Q140" s="34">
        <v>1.0636523928805</v>
      </c>
      <c r="R140" s="33">
        <v>62.886452413616801</v>
      </c>
      <c r="S140" s="33">
        <v>63.097752636889403</v>
      </c>
      <c r="T140" s="33">
        <v>63.152291278902901</v>
      </c>
      <c r="U140" s="15">
        <v>-5.4481144937307997E-3</v>
      </c>
      <c r="V140" s="15">
        <v>-2.0937190547721E-3</v>
      </c>
      <c r="W140" s="15">
        <v>-1.2297408142184899E-3</v>
      </c>
      <c r="X140" s="34">
        <v>1.0648366453351199</v>
      </c>
      <c r="Y140" s="34">
        <v>1.0594170994200001</v>
      </c>
      <c r="Z140" s="34">
        <v>1.06270864221369</v>
      </c>
      <c r="AA140" s="34">
        <v>1.0636523928805</v>
      </c>
      <c r="AB140" s="33">
        <v>62.908187363560003</v>
      </c>
      <c r="AC140" s="33">
        <v>63.097752636889403</v>
      </c>
      <c r="AD140" s="33">
        <v>63.152291278902901</v>
      </c>
      <c r="AE140" s="15">
        <v>-5.1025520723444098E-3</v>
      </c>
      <c r="AF140" s="15">
        <v>-2.0937190547721E-3</v>
      </c>
      <c r="AG140" s="15">
        <v>-1.2297408142182701E-3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7.6089131499863134E-3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2.110087250216601E-3</v>
      </c>
      <c r="BE140" s="29">
        <f t="shared" si="42"/>
        <v>0</v>
      </c>
      <c r="BF140" s="29">
        <f t="shared" si="43"/>
        <v>9.7190004002029144E-3</v>
      </c>
      <c r="BH140" s="29"/>
    </row>
    <row r="141" spans="1:60" x14ac:dyDescent="0.3">
      <c r="A141" s="1">
        <v>46227</v>
      </c>
      <c r="B141" s="33">
        <v>59.62</v>
      </c>
      <c r="C141" s="33">
        <v>63.35</v>
      </c>
      <c r="D141" s="15">
        <v>4.0336189143116499E-3</v>
      </c>
      <c r="E141" s="15">
        <v>1.89603469662625E-3</v>
      </c>
      <c r="F141" s="33">
        <v>0</v>
      </c>
      <c r="G141" s="33">
        <v>0.77005999999999997</v>
      </c>
      <c r="H141" s="33">
        <v>0</v>
      </c>
      <c r="I141" s="33">
        <v>0.61581699999999995</v>
      </c>
      <c r="J141" s="33">
        <v>0</v>
      </c>
      <c r="K141" s="33">
        <v>0</v>
      </c>
      <c r="L141" s="33">
        <v>59.62</v>
      </c>
      <c r="M141" s="33">
        <v>63.35</v>
      </c>
      <c r="N141" s="34">
        <v>1.0625628983562501</v>
      </c>
      <c r="O141" s="34">
        <v>1.05905106792887</v>
      </c>
      <c r="P141" s="34">
        <v>1.0625742276193999</v>
      </c>
      <c r="Q141" s="34">
        <v>1.0636283839806</v>
      </c>
      <c r="R141" s="33">
        <v>63.140624669919802</v>
      </c>
      <c r="S141" s="33">
        <v>63.3586892487806</v>
      </c>
      <c r="T141" s="33">
        <v>63.4149556635358</v>
      </c>
      <c r="U141" s="15">
        <v>-3.3105302760454802E-3</v>
      </c>
      <c r="V141" s="15">
        <v>1.37153163619388E-4</v>
      </c>
      <c r="W141" s="15">
        <v>1.0248206040997E-3</v>
      </c>
      <c r="X141" s="34">
        <v>1.0625628983562501</v>
      </c>
      <c r="Y141" s="34">
        <v>1.0594170994200001</v>
      </c>
      <c r="Z141" s="34">
        <v>1.0625742276193999</v>
      </c>
      <c r="AA141" s="34">
        <v>1.0636283839806</v>
      </c>
      <c r="AB141" s="33">
        <v>63.162447467420797</v>
      </c>
      <c r="AC141" s="33">
        <v>63.3586892487806</v>
      </c>
      <c r="AD141" s="33">
        <v>63.4149556635358</v>
      </c>
      <c r="AE141" s="15">
        <v>-2.9649678546592199E-3</v>
      </c>
      <c r="AF141" s="15">
        <v>1.37153163619388E-4</v>
      </c>
      <c r="AG141" s="15">
        <v>1.0248206040997E-3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7.6089131499863134E-3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2.110087250216601E-3</v>
      </c>
      <c r="BE141" s="29">
        <f t="shared" si="42"/>
        <v>0</v>
      </c>
      <c r="BF141" s="29">
        <f t="shared" si="43"/>
        <v>9.7190004002029144E-3</v>
      </c>
      <c r="BH141" s="29"/>
    </row>
    <row r="142" spans="1:60" x14ac:dyDescent="0.3">
      <c r="A142" s="1">
        <v>46230</v>
      </c>
      <c r="B142" s="33">
        <v>58.36</v>
      </c>
      <c r="C142" s="33">
        <v>62.04</v>
      </c>
      <c r="D142" s="15">
        <v>-2.1360364595340402E-2</v>
      </c>
      <c r="E142" s="15">
        <v>-2.089556845881E-2</v>
      </c>
      <c r="F142" s="33">
        <v>0</v>
      </c>
      <c r="G142" s="33">
        <v>0.77005999999999997</v>
      </c>
      <c r="H142" s="33">
        <v>0</v>
      </c>
      <c r="I142" s="33">
        <v>0.61581699999999995</v>
      </c>
      <c r="J142" s="33">
        <v>0</v>
      </c>
      <c r="K142" s="33">
        <v>0</v>
      </c>
      <c r="L142" s="33">
        <v>58.36</v>
      </c>
      <c r="M142" s="33">
        <v>62.04</v>
      </c>
      <c r="N142" s="34">
        <v>1.0630568882796401</v>
      </c>
      <c r="O142" s="34">
        <v>1.05905106792887</v>
      </c>
      <c r="P142" s="34">
        <v>1.06265855585519</v>
      </c>
      <c r="Q142" s="34">
        <v>1.06364229823114</v>
      </c>
      <c r="R142" s="33">
        <v>61.806220324329402</v>
      </c>
      <c r="S142" s="33">
        <v>62.0118319238683</v>
      </c>
      <c r="T142" s="33">
        <v>62.073352489108302</v>
      </c>
      <c r="U142" s="15">
        <v>-3.7753264125760899E-3</v>
      </c>
      <c r="V142" s="15">
        <v>-4.5413398865484702E-4</v>
      </c>
      <c r="W142" s="15">
        <v>5.3745208299191705E-4</v>
      </c>
      <c r="X142" s="34">
        <v>1.0630568882796401</v>
      </c>
      <c r="Y142" s="34">
        <v>1.0594170994200001</v>
      </c>
      <c r="Z142" s="34">
        <v>1.06265855585519</v>
      </c>
      <c r="AA142" s="34">
        <v>1.06364229823114</v>
      </c>
      <c r="AB142" s="33">
        <v>61.827581922151502</v>
      </c>
      <c r="AC142" s="33">
        <v>62.0118319238683</v>
      </c>
      <c r="AD142" s="33">
        <v>62.073352489108302</v>
      </c>
      <c r="AE142" s="15">
        <v>-3.4297639911896102E-3</v>
      </c>
      <c r="AF142" s="15">
        <v>-4.5413398865484702E-4</v>
      </c>
      <c r="AG142" s="15">
        <v>5.3745208299191705E-4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7.6089131499863134E-3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2.110087250216601E-3</v>
      </c>
      <c r="BE142" s="29">
        <f t="shared" si="42"/>
        <v>0</v>
      </c>
      <c r="BF142" s="29">
        <f t="shared" si="43"/>
        <v>9.7190004002029144E-3</v>
      </c>
      <c r="BH142" s="29"/>
    </row>
    <row r="143" spans="1:60" x14ac:dyDescent="0.3">
      <c r="A143" s="1">
        <v>46231</v>
      </c>
      <c r="B143" s="33">
        <v>57.57</v>
      </c>
      <c r="C143" s="33">
        <v>61.1</v>
      </c>
      <c r="D143" s="15">
        <v>-1.36291249668666E-2</v>
      </c>
      <c r="E143" s="15">
        <v>-1.52674721307884E-2</v>
      </c>
      <c r="F143" s="33">
        <v>0</v>
      </c>
      <c r="G143" s="33">
        <v>0.77005999999999997</v>
      </c>
      <c r="H143" s="33">
        <v>0</v>
      </c>
      <c r="I143" s="33">
        <v>0.61581699999999995</v>
      </c>
      <c r="J143" s="33">
        <v>0</v>
      </c>
      <c r="K143" s="33">
        <v>0</v>
      </c>
      <c r="L143" s="33">
        <v>57.57</v>
      </c>
      <c r="M143" s="33">
        <v>61.1</v>
      </c>
      <c r="N143" s="34">
        <v>1.06131665798158</v>
      </c>
      <c r="O143" s="34">
        <v>1.05905106792887</v>
      </c>
      <c r="P143" s="34">
        <v>1.06255668346195</v>
      </c>
      <c r="Q143" s="34">
        <v>1.0635446372892301</v>
      </c>
      <c r="R143" s="33">
        <v>60.969569980665597</v>
      </c>
      <c r="S143" s="33">
        <v>61.177253060583404</v>
      </c>
      <c r="T143" s="33">
        <v>61.233887109166901</v>
      </c>
      <c r="U143" s="15">
        <v>-2.1369792486543001E-3</v>
      </c>
      <c r="V143" s="15">
        <v>1.2635722332388201E-3</v>
      </c>
      <c r="W143" s="15">
        <v>2.1888810334972E-3</v>
      </c>
      <c r="X143" s="34">
        <v>1.06131665798158</v>
      </c>
      <c r="Y143" s="34">
        <v>1.0594170994200001</v>
      </c>
      <c r="Z143" s="34">
        <v>1.06255668346195</v>
      </c>
      <c r="AA143" s="34">
        <v>1.0635446372892301</v>
      </c>
      <c r="AB143" s="33">
        <v>60.990642413609699</v>
      </c>
      <c r="AC143" s="33">
        <v>61.177253060583404</v>
      </c>
      <c r="AD143" s="33">
        <v>61.233887109166901</v>
      </c>
      <c r="AE143" s="15">
        <v>-1.79141682726786E-3</v>
      </c>
      <c r="AF143" s="15">
        <v>1.2635722332388201E-3</v>
      </c>
      <c r="AG143" s="15">
        <v>2.1888810334974198E-3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7.6089131499863134E-3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2.110087250216601E-3</v>
      </c>
      <c r="BE143" s="29">
        <f t="shared" si="42"/>
        <v>0</v>
      </c>
      <c r="BF143" s="29">
        <f t="shared" si="43"/>
        <v>9.7190004002029144E-3</v>
      </c>
      <c r="BH143" s="29"/>
    </row>
    <row r="144" spans="1:60" x14ac:dyDescent="0.3">
      <c r="A144" s="1">
        <v>46232</v>
      </c>
      <c r="B144" s="33">
        <v>58.65</v>
      </c>
      <c r="C144" s="33">
        <v>62.24</v>
      </c>
      <c r="D144" s="15">
        <v>1.8585976411766202E-2</v>
      </c>
      <c r="E144" s="15">
        <v>1.8486013692586602E-2</v>
      </c>
      <c r="F144" s="33">
        <v>0</v>
      </c>
      <c r="G144" s="33">
        <v>0.77005999999999997</v>
      </c>
      <c r="H144" s="33">
        <v>0</v>
      </c>
      <c r="I144" s="33">
        <v>0.61581699999999995</v>
      </c>
      <c r="J144" s="33">
        <v>0</v>
      </c>
      <c r="K144" s="33">
        <v>0</v>
      </c>
      <c r="L144" s="33">
        <v>58.65</v>
      </c>
      <c r="M144" s="33">
        <v>62.24</v>
      </c>
      <c r="N144" s="34">
        <v>1.06121057118499</v>
      </c>
      <c r="O144" s="34">
        <v>1.05905106792887</v>
      </c>
      <c r="P144" s="34">
        <v>1.06244765208487</v>
      </c>
      <c r="Q144" s="34">
        <v>1.0633289466807201</v>
      </c>
      <c r="R144" s="33">
        <v>62.113345134028698</v>
      </c>
      <c r="S144" s="33">
        <v>62.318949485043603</v>
      </c>
      <c r="T144" s="33">
        <v>62.376892977013803</v>
      </c>
      <c r="U144" s="15">
        <v>-2.0370165294746698E-3</v>
      </c>
      <c r="V144" s="15">
        <v>1.26766476343204E-3</v>
      </c>
      <c r="W144" s="15">
        <v>2.1970220699240499E-3</v>
      </c>
      <c r="X144" s="34">
        <v>1.06121057118499</v>
      </c>
      <c r="Y144" s="34">
        <v>1.0594170994200001</v>
      </c>
      <c r="Z144" s="34">
        <v>1.06244765208487</v>
      </c>
      <c r="AA144" s="34">
        <v>1.0633289466807201</v>
      </c>
      <c r="AB144" s="33">
        <v>62.134812880983297</v>
      </c>
      <c r="AC144" s="33">
        <v>62.318949485043603</v>
      </c>
      <c r="AD144" s="33">
        <v>62.376892977013803</v>
      </c>
      <c r="AE144" s="15">
        <v>-1.69145410808824E-3</v>
      </c>
      <c r="AF144" s="15">
        <v>1.26766476343204E-3</v>
      </c>
      <c r="AG144" s="15">
        <v>2.1970220699240499E-3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7.6089131499863134E-3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2.110087250216601E-3</v>
      </c>
      <c r="BE144" s="29">
        <f t="shared" si="42"/>
        <v>0</v>
      </c>
      <c r="BF144" s="29">
        <f t="shared" si="43"/>
        <v>9.7190004002029144E-3</v>
      </c>
      <c r="BH144" s="29"/>
    </row>
    <row r="145" spans="1:60" x14ac:dyDescent="0.3">
      <c r="A145" s="1">
        <v>46233</v>
      </c>
      <c r="B145" s="33">
        <v>58.96</v>
      </c>
      <c r="C145" s="33">
        <v>62.56</v>
      </c>
      <c r="D145" s="15">
        <v>5.2716727815967299E-3</v>
      </c>
      <c r="E145" s="15">
        <v>5.1282163669195196E-3</v>
      </c>
      <c r="F145" s="33">
        <v>0</v>
      </c>
      <c r="G145" s="33">
        <v>0.77005999999999997</v>
      </c>
      <c r="H145" s="33">
        <v>0</v>
      </c>
      <c r="I145" s="33">
        <v>0.61581699999999995</v>
      </c>
      <c r="J145" s="33">
        <v>0</v>
      </c>
      <c r="K145" s="33">
        <v>0</v>
      </c>
      <c r="L145" s="33">
        <v>58.96</v>
      </c>
      <c r="M145" s="33">
        <v>62.56</v>
      </c>
      <c r="N145" s="34">
        <v>1.06105834464043</v>
      </c>
      <c r="O145" s="34">
        <v>1.05905106792887</v>
      </c>
      <c r="P145" s="34">
        <v>1.0623977517190299</v>
      </c>
      <c r="Q145" s="34">
        <v>1.0630870333882201</v>
      </c>
      <c r="R145" s="33">
        <v>62.441650965086701</v>
      </c>
      <c r="S145" s="33">
        <v>62.641913566924501</v>
      </c>
      <c r="T145" s="33">
        <v>62.693874696295403</v>
      </c>
      <c r="U145" s="15">
        <v>-1.8935601147973E-3</v>
      </c>
      <c r="V145" s="15">
        <v>1.30850362072594E-3</v>
      </c>
      <c r="W145" s="15">
        <v>2.1376543855291101E-3</v>
      </c>
      <c r="X145" s="34">
        <v>1.06105834464043</v>
      </c>
      <c r="Y145" s="34">
        <v>1.0594170994200001</v>
      </c>
      <c r="Z145" s="34">
        <v>1.0623977517190299</v>
      </c>
      <c r="AA145" s="34">
        <v>1.0630870333882201</v>
      </c>
      <c r="AB145" s="33">
        <v>62.463232181803598</v>
      </c>
      <c r="AC145" s="33">
        <v>62.641913566924501</v>
      </c>
      <c r="AD145" s="33">
        <v>62.693874696295403</v>
      </c>
      <c r="AE145" s="15">
        <v>-1.54799769341094E-3</v>
      </c>
      <c r="AF145" s="15">
        <v>1.30850362072594E-3</v>
      </c>
      <c r="AG145" s="15">
        <v>2.1376543855291101E-3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7.6089131499863134E-3</v>
      </c>
      <c r="AT145" s="12"/>
      <c r="AU145">
        <f t="shared" si="30"/>
        <v>0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2.110087250216601E-3</v>
      </c>
      <c r="BE145" s="29">
        <f t="shared" si="42"/>
        <v>0</v>
      </c>
      <c r="BF145" s="29">
        <f t="shared" si="43"/>
        <v>9.7190004002029144E-3</v>
      </c>
      <c r="BH145" s="29"/>
    </row>
    <row r="146" spans="1:60" x14ac:dyDescent="0.3">
      <c r="A146" s="1">
        <v>46234</v>
      </c>
      <c r="B146" s="33">
        <v>59.55</v>
      </c>
      <c r="C146" s="33">
        <v>63.14</v>
      </c>
      <c r="D146" s="15">
        <v>9.9570479202279408E-3</v>
      </c>
      <c r="E146" s="15">
        <v>9.2283868927899807E-3</v>
      </c>
      <c r="F146" s="33">
        <v>0</v>
      </c>
      <c r="G146" s="33">
        <v>0.77005999999999997</v>
      </c>
      <c r="H146" s="33">
        <v>0</v>
      </c>
      <c r="I146" s="33">
        <v>0.61581699999999995</v>
      </c>
      <c r="J146" s="33">
        <v>0</v>
      </c>
      <c r="K146" s="33">
        <v>0</v>
      </c>
      <c r="L146" s="33">
        <v>59.55</v>
      </c>
      <c r="M146" s="33">
        <v>63.14</v>
      </c>
      <c r="N146" s="34">
        <v>1.06028547439126</v>
      </c>
      <c r="O146" s="34">
        <v>1.05905106792887</v>
      </c>
      <c r="P146" s="34">
        <v>1.06223697876981</v>
      </c>
      <c r="Q146" s="34">
        <v>1.0627848847101899</v>
      </c>
      <c r="R146" s="33">
        <v>63.0664910951647</v>
      </c>
      <c r="S146" s="33">
        <v>63.265786114868703</v>
      </c>
      <c r="T146" s="33">
        <v>63.306832838268598</v>
      </c>
      <c r="U146" s="15">
        <v>-1.1648990873593401E-3</v>
      </c>
      <c r="V146" s="15">
        <v>1.99019618094224E-3</v>
      </c>
      <c r="W146" s="15">
        <v>2.6387839273016699E-3</v>
      </c>
      <c r="X146" s="34">
        <v>1.06028547439126</v>
      </c>
      <c r="Y146" s="34">
        <v>1.0594170994200001</v>
      </c>
      <c r="Z146" s="34">
        <v>1.06223697876981</v>
      </c>
      <c r="AA146" s="34">
        <v>1.0627848847101899</v>
      </c>
      <c r="AB146" s="33">
        <v>63.088288270461398</v>
      </c>
      <c r="AC146" s="33">
        <v>63.265786114868703</v>
      </c>
      <c r="AD146" s="33">
        <v>63.306832838268598</v>
      </c>
      <c r="AE146" s="15">
        <v>-8.1933666597296595E-4</v>
      </c>
      <c r="AF146" s="15">
        <v>1.99019618094224E-3</v>
      </c>
      <c r="AG146" s="15">
        <v>2.6387839273016699E-3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7.6089131499863134E-3</v>
      </c>
      <c r="AT146" s="12"/>
      <c r="AU146">
        <f t="shared" si="30"/>
        <v>0</v>
      </c>
      <c r="AV146">
        <f t="shared" si="31"/>
        <v>0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2.110087250216601E-3</v>
      </c>
      <c r="BE146" s="29">
        <f t="shared" si="42"/>
        <v>0</v>
      </c>
      <c r="BF146" s="29">
        <f t="shared" si="43"/>
        <v>9.7190004002029144E-3</v>
      </c>
      <c r="BH146" s="29"/>
    </row>
    <row r="147" spans="1:60" x14ac:dyDescent="0.3">
      <c r="A147" s="1">
        <v>46237</v>
      </c>
      <c r="B147" s="33">
        <v>58.79</v>
      </c>
      <c r="C147" s="33">
        <v>62.47</v>
      </c>
      <c r="D147" s="15">
        <v>-1.2844523387145401E-2</v>
      </c>
      <c r="E147" s="15">
        <v>-1.0668041624367E-2</v>
      </c>
      <c r="F147" s="33">
        <v>0</v>
      </c>
      <c r="G147" s="33">
        <v>0.77005999999999997</v>
      </c>
      <c r="H147" s="33">
        <v>0</v>
      </c>
      <c r="I147" s="33">
        <v>0.61581699999999995</v>
      </c>
      <c r="J147" s="33">
        <v>0</v>
      </c>
      <c r="K147" s="33">
        <v>0</v>
      </c>
      <c r="L147" s="33">
        <v>58.79</v>
      </c>
      <c r="M147" s="33">
        <v>62.47</v>
      </c>
      <c r="N147" s="34">
        <v>1.0625956795373299</v>
      </c>
      <c r="O147" s="34">
        <v>1.05905106792887</v>
      </c>
      <c r="P147" s="34">
        <v>1.06230048182883</v>
      </c>
      <c r="Q147" s="34">
        <v>1.06258321752952</v>
      </c>
      <c r="R147" s="33">
        <v>62.261612283538803</v>
      </c>
      <c r="S147" s="33">
        <v>62.448911981877401</v>
      </c>
      <c r="T147" s="33">
        <v>62.481123372112101</v>
      </c>
      <c r="U147" s="15">
        <v>-3.3413808501377702E-3</v>
      </c>
      <c r="V147" s="15">
        <v>-3.3762731340305802E-4</v>
      </c>
      <c r="W147" s="15">
        <v>1.7804357161991101E-4</v>
      </c>
      <c r="X147" s="34">
        <v>1.0625956795373299</v>
      </c>
      <c r="Y147" s="34">
        <v>1.0594170994200001</v>
      </c>
      <c r="Z147" s="34">
        <v>1.06230048182883</v>
      </c>
      <c r="AA147" s="34">
        <v>1.06258321752952</v>
      </c>
      <c r="AB147" s="33">
        <v>62.283131274902097</v>
      </c>
      <c r="AC147" s="33">
        <v>62.448911981877401</v>
      </c>
      <c r="AD147" s="33">
        <v>62.481123372112101</v>
      </c>
      <c r="AE147" s="15">
        <v>-2.99581842875132E-3</v>
      </c>
      <c r="AF147" s="15">
        <v>-3.3762731340305802E-4</v>
      </c>
      <c r="AG147" s="15">
        <v>1.7804357161968899E-4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7.6089131499863134E-3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2.110087250216601E-3</v>
      </c>
      <c r="BE147" s="29">
        <f t="shared" si="42"/>
        <v>0</v>
      </c>
      <c r="BF147" s="29">
        <f t="shared" si="43"/>
        <v>9.7190004002029144E-3</v>
      </c>
      <c r="BH147" s="29"/>
    </row>
    <row r="148" spans="1:60" x14ac:dyDescent="0.3">
      <c r="A148" s="1">
        <v>46238</v>
      </c>
      <c r="B148" s="33">
        <v>58.52</v>
      </c>
      <c r="C148" s="33">
        <v>62.25</v>
      </c>
      <c r="D148" s="15">
        <v>-4.6031962622399697E-3</v>
      </c>
      <c r="E148" s="15">
        <v>-3.5279061606615599E-3</v>
      </c>
      <c r="F148" s="33">
        <v>0</v>
      </c>
      <c r="G148" s="33">
        <v>0.77005999999999997</v>
      </c>
      <c r="H148" s="33">
        <v>0</v>
      </c>
      <c r="I148" s="33">
        <v>0.61581699999999995</v>
      </c>
      <c r="J148" s="33">
        <v>0</v>
      </c>
      <c r="K148" s="33">
        <v>0</v>
      </c>
      <c r="L148" s="33">
        <v>58.52</v>
      </c>
      <c r="M148" s="33">
        <v>62.25</v>
      </c>
      <c r="N148" s="34">
        <v>1.0637388926862601</v>
      </c>
      <c r="O148" s="34">
        <v>1.05905106792887</v>
      </c>
      <c r="P148" s="34">
        <v>1.0623837728068499</v>
      </c>
      <c r="Q148" s="34">
        <v>1.06250332468213</v>
      </c>
      <c r="R148" s="33">
        <v>61.975668495198001</v>
      </c>
      <c r="S148" s="33">
        <v>62.165824196623198</v>
      </c>
      <c r="T148" s="33">
        <v>62.182369889827498</v>
      </c>
      <c r="U148" s="15">
        <v>-4.4166709517162303E-3</v>
      </c>
      <c r="V148" s="15">
        <v>-1.35313681782876E-3</v>
      </c>
      <c r="W148" s="15">
        <v>-1.0870180627711599E-3</v>
      </c>
      <c r="X148" s="34">
        <v>1.0637388926862601</v>
      </c>
      <c r="Y148" s="34">
        <v>1.0594170994200001</v>
      </c>
      <c r="Z148" s="34">
        <v>1.0623837728068499</v>
      </c>
      <c r="AA148" s="34">
        <v>1.06250332468213</v>
      </c>
      <c r="AB148" s="33">
        <v>61.9970886580588</v>
      </c>
      <c r="AC148" s="33">
        <v>62.165824196623198</v>
      </c>
      <c r="AD148" s="33">
        <v>62.182369889827498</v>
      </c>
      <c r="AE148" s="15">
        <v>-4.0711085303297596E-3</v>
      </c>
      <c r="AF148" s="15">
        <v>-1.35313681782876E-3</v>
      </c>
      <c r="AG148" s="15">
        <v>-1.0870180627711599E-3</v>
      </c>
      <c r="AI148" s="12"/>
      <c r="AJ148">
        <f t="shared" si="26"/>
        <v>0</v>
      </c>
      <c r="AK148">
        <f t="shared" si="27"/>
        <v>0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7.6089131499863134E-3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2.110087250216601E-3</v>
      </c>
      <c r="BE148" s="29">
        <f t="shared" si="42"/>
        <v>0</v>
      </c>
      <c r="BF148" s="29">
        <f t="shared" si="43"/>
        <v>9.7190004002029144E-3</v>
      </c>
      <c r="BH148" s="29"/>
    </row>
    <row r="149" spans="1:60" x14ac:dyDescent="0.3">
      <c r="A149" s="1">
        <v>46239</v>
      </c>
      <c r="B149" s="33">
        <v>57.31</v>
      </c>
      <c r="C149" s="33">
        <v>60.91</v>
      </c>
      <c r="D149" s="15">
        <v>-2.0893447588277402E-2</v>
      </c>
      <c r="E149" s="15">
        <v>-2.1761170496423801E-2</v>
      </c>
      <c r="F149" s="33">
        <v>0</v>
      </c>
      <c r="G149" s="33">
        <v>0.77005999999999997</v>
      </c>
      <c r="H149" s="33">
        <v>0</v>
      </c>
      <c r="I149" s="33">
        <v>0.61581699999999995</v>
      </c>
      <c r="J149" s="33">
        <v>0</v>
      </c>
      <c r="K149" s="33">
        <v>0</v>
      </c>
      <c r="L149" s="33">
        <v>57.31</v>
      </c>
      <c r="M149" s="33">
        <v>60.91</v>
      </c>
      <c r="N149" s="34">
        <v>1.06281626243238</v>
      </c>
      <c r="O149" s="34">
        <v>1.05905106792887</v>
      </c>
      <c r="P149" s="34">
        <v>1.0623478314825201</v>
      </c>
      <c r="Q149" s="34">
        <v>1.0624786701778499</v>
      </c>
      <c r="R149" s="33">
        <v>60.694216703004003</v>
      </c>
      <c r="S149" s="33">
        <v>60.885214019560998</v>
      </c>
      <c r="T149" s="33">
        <v>60.892065537533099</v>
      </c>
      <c r="U149" s="15">
        <v>-3.54894804356988E-3</v>
      </c>
      <c r="V149" s="15">
        <v>-4.0701075129438502E-4</v>
      </c>
      <c r="W149" s="15">
        <v>-2.9448536061056402E-4</v>
      </c>
      <c r="X149" s="34">
        <v>1.06281626243238</v>
      </c>
      <c r="Y149" s="34">
        <v>1.0594170994200001</v>
      </c>
      <c r="Z149" s="34">
        <v>1.0623478314825201</v>
      </c>
      <c r="AA149" s="34">
        <v>1.0624786701778499</v>
      </c>
      <c r="AB149" s="33">
        <v>60.715193967760499</v>
      </c>
      <c r="AC149" s="33">
        <v>60.885214019560998</v>
      </c>
      <c r="AD149" s="33">
        <v>60.892065537533099</v>
      </c>
      <c r="AE149" s="15">
        <v>-3.2033856221834198E-3</v>
      </c>
      <c r="AF149" s="15">
        <v>-4.0701075129460701E-4</v>
      </c>
      <c r="AG149" s="15">
        <v>-2.9448536061056402E-4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7.6089131499863134E-3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2.110087250216601E-3</v>
      </c>
      <c r="BE149" s="29">
        <f t="shared" si="42"/>
        <v>0</v>
      </c>
      <c r="BF149" s="29">
        <f t="shared" si="43"/>
        <v>9.7190004002029144E-3</v>
      </c>
      <c r="BH149" s="29"/>
    </row>
    <row r="150" spans="1:60" x14ac:dyDescent="0.3">
      <c r="A150" s="1">
        <v>46240</v>
      </c>
      <c r="B150" s="33">
        <v>58.16</v>
      </c>
      <c r="C150" s="33">
        <v>61.91</v>
      </c>
      <c r="D150" s="15">
        <v>1.47227046616177E-2</v>
      </c>
      <c r="E150" s="15">
        <v>1.6284352682747499E-2</v>
      </c>
      <c r="F150" s="33">
        <v>0</v>
      </c>
      <c r="G150" s="33">
        <v>0.77005999999999997</v>
      </c>
      <c r="H150" s="33">
        <v>0</v>
      </c>
      <c r="I150" s="33">
        <v>0.61581699999999995</v>
      </c>
      <c r="J150" s="33">
        <v>0</v>
      </c>
      <c r="K150" s="33">
        <v>0</v>
      </c>
      <c r="L150" s="33">
        <v>58.16</v>
      </c>
      <c r="M150" s="33">
        <v>61.91</v>
      </c>
      <c r="N150" s="34">
        <v>1.0644773039889901</v>
      </c>
      <c r="O150" s="34">
        <v>1.05905106792887</v>
      </c>
      <c r="P150" s="34">
        <v>1.06231189734791</v>
      </c>
      <c r="Q150" s="34">
        <v>1.0625102697808</v>
      </c>
      <c r="R150" s="33">
        <v>61.594410110743603</v>
      </c>
      <c r="S150" s="33">
        <v>61.786149879023903</v>
      </c>
      <c r="T150" s="33">
        <v>61.793759457543999</v>
      </c>
      <c r="U150" s="15">
        <v>-5.1105960646997701E-3</v>
      </c>
      <c r="V150" s="15">
        <v>-2.0024901742443399E-3</v>
      </c>
      <c r="W150" s="15">
        <v>-1.8793378176751401E-3</v>
      </c>
      <c r="X150" s="34">
        <v>1.0644773039889901</v>
      </c>
      <c r="Y150" s="34">
        <v>1.0594170994200001</v>
      </c>
      <c r="Z150" s="34">
        <v>1.06231189734791</v>
      </c>
      <c r="AA150" s="34">
        <v>1.0625102697808</v>
      </c>
      <c r="AB150" s="33">
        <v>61.615698502267499</v>
      </c>
      <c r="AC150" s="33">
        <v>61.786149879023903</v>
      </c>
      <c r="AD150" s="33">
        <v>61.793759457543999</v>
      </c>
      <c r="AE150" s="15">
        <v>-4.7650336433133402E-3</v>
      </c>
      <c r="AF150" s="15">
        <v>-2.0024901742443399E-3</v>
      </c>
      <c r="AG150" s="15">
        <v>-1.8793378176751401E-3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7.6089131499863134E-3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2.110087250216601E-3</v>
      </c>
      <c r="BE150" s="29">
        <f t="shared" si="42"/>
        <v>0</v>
      </c>
      <c r="BF150" s="29">
        <f t="shared" si="43"/>
        <v>9.7190004002029144E-3</v>
      </c>
      <c r="BH150" s="29"/>
    </row>
    <row r="151" spans="1:60" x14ac:dyDescent="0.3">
      <c r="A151" s="1">
        <v>46241</v>
      </c>
      <c r="B151" s="33">
        <v>57.5</v>
      </c>
      <c r="C151" s="33">
        <v>61.23</v>
      </c>
      <c r="D151" s="15">
        <v>-1.1412885421959E-2</v>
      </c>
      <c r="E151" s="15">
        <v>-1.1044452041277599E-2</v>
      </c>
      <c r="F151" s="33">
        <v>0</v>
      </c>
      <c r="G151" s="33">
        <v>0.77005999999999997</v>
      </c>
      <c r="H151" s="33">
        <v>0</v>
      </c>
      <c r="I151" s="33">
        <v>0.61581699999999995</v>
      </c>
      <c r="J151" s="33">
        <v>0</v>
      </c>
      <c r="K151" s="33">
        <v>0</v>
      </c>
      <c r="L151" s="33">
        <v>57.5</v>
      </c>
      <c r="M151" s="33">
        <v>61.23</v>
      </c>
      <c r="N151" s="34">
        <v>1.0648695652173901</v>
      </c>
      <c r="O151" s="34">
        <v>1.05905106792887</v>
      </c>
      <c r="P151" s="34">
        <v>1.06254256403402</v>
      </c>
      <c r="Q151" s="34">
        <v>1.06255839582671</v>
      </c>
      <c r="R151" s="33">
        <v>60.895436405910502</v>
      </c>
      <c r="S151" s="33">
        <v>61.082934097505102</v>
      </c>
      <c r="T151" s="33">
        <v>61.0943405123963</v>
      </c>
      <c r="U151" s="15">
        <v>-5.4790294453811103E-3</v>
      </c>
      <c r="V151" s="15">
        <v>-2.4047493333591301E-3</v>
      </c>
      <c r="W151" s="15">
        <v>-2.2180302407823998E-3</v>
      </c>
      <c r="X151" s="34">
        <v>1.0648695652173901</v>
      </c>
      <c r="Y151" s="34">
        <v>1.0594170994200001</v>
      </c>
      <c r="Z151" s="34">
        <v>1.06254256403403</v>
      </c>
      <c r="AA151" s="34">
        <v>1.06255839582671</v>
      </c>
      <c r="AB151" s="33">
        <v>60.916483216650299</v>
      </c>
      <c r="AC151" s="33">
        <v>61.082934097505102</v>
      </c>
      <c r="AD151" s="33">
        <v>61.0943405123963</v>
      </c>
      <c r="AE151" s="15">
        <v>-5.1334670239947299E-3</v>
      </c>
      <c r="AF151" s="15">
        <v>-2.4047493333591301E-3</v>
      </c>
      <c r="AG151" s="15">
        <v>-2.2180302407822901E-3</v>
      </c>
      <c r="AI151" s="12"/>
      <c r="AJ151">
        <f t="shared" si="46"/>
        <v>1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7.6089131499863134E-3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2.110087250216601E-3</v>
      </c>
      <c r="BE151" s="29">
        <f t="shared" ref="BE151:BE176" si="62">AQ151+BB151</f>
        <v>0</v>
      </c>
      <c r="BF151" s="29">
        <f t="shared" ref="BF151:BF176" si="63">BF150+BE151</f>
        <v>9.7190004002029144E-3</v>
      </c>
      <c r="BH151" s="29"/>
    </row>
    <row r="152" spans="1:60" x14ac:dyDescent="0.3">
      <c r="A152" s="1">
        <v>46244</v>
      </c>
      <c r="B152" s="33">
        <v>60.18</v>
      </c>
      <c r="C152" s="33">
        <v>63.99</v>
      </c>
      <c r="D152" s="15">
        <v>4.5555123398594299E-2</v>
      </c>
      <c r="E152" s="15">
        <v>4.4089555661505901E-2</v>
      </c>
      <c r="F152" s="33">
        <v>0</v>
      </c>
      <c r="G152" s="33">
        <v>0.77005999999999997</v>
      </c>
      <c r="H152" s="33">
        <v>0</v>
      </c>
      <c r="I152" s="33">
        <v>0.61581699999999995</v>
      </c>
      <c r="J152" s="33">
        <v>0</v>
      </c>
      <c r="K152" s="33">
        <v>0</v>
      </c>
      <c r="L152" s="33">
        <v>60.18</v>
      </c>
      <c r="M152" s="33">
        <v>63.99</v>
      </c>
      <c r="N152" s="34">
        <v>1.0633100697906199</v>
      </c>
      <c r="O152" s="34">
        <v>1.05905106792887</v>
      </c>
      <c r="P152" s="34">
        <v>1.0625678821851201</v>
      </c>
      <c r="Q152" s="34">
        <v>1.06261321902016</v>
      </c>
      <c r="R152" s="33">
        <v>63.7336932679599</v>
      </c>
      <c r="S152" s="33">
        <v>63.9438115035679</v>
      </c>
      <c r="T152" s="33">
        <v>63.944764260851699</v>
      </c>
      <c r="U152" s="15">
        <v>-4.0134617082926401E-3</v>
      </c>
      <c r="V152" s="15">
        <v>-7.2206866810378895E-4</v>
      </c>
      <c r="W152" s="15">
        <v>-7.0716886523717205E-4</v>
      </c>
      <c r="X152" s="34">
        <v>1.0633100697906199</v>
      </c>
      <c r="Y152" s="34">
        <v>1.0594170994200001</v>
      </c>
      <c r="Z152" s="34">
        <v>1.0625678821851201</v>
      </c>
      <c r="AA152" s="34">
        <v>1.06261321902016</v>
      </c>
      <c r="AB152" s="33">
        <v>63.755721043096003</v>
      </c>
      <c r="AC152" s="33">
        <v>63.9438115035679</v>
      </c>
      <c r="AD152" s="33">
        <v>63.944764260851699</v>
      </c>
      <c r="AE152" s="15">
        <v>-3.6678992869061799E-3</v>
      </c>
      <c r="AF152" s="15">
        <v>-7.2206866810356702E-4</v>
      </c>
      <c r="AG152" s="15">
        <v>-7.0716886523717205E-4</v>
      </c>
      <c r="AI152" s="12"/>
      <c r="AJ152">
        <f t="shared" si="46"/>
        <v>0</v>
      </c>
      <c r="AK152">
        <f t="shared" si="47"/>
        <v>0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4.5555123398594299E-2</v>
      </c>
      <c r="AP152" s="28">
        <f t="shared" si="49"/>
        <v>-4.4089555661505901E-2</v>
      </c>
      <c r="AQ152" s="28">
        <f t="shared" si="56"/>
        <v>1.4655677370883982E-3</v>
      </c>
      <c r="AR152" s="29">
        <f t="shared" si="57"/>
        <v>9.0744808870747116E-3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2.110087250216601E-3</v>
      </c>
      <c r="BE152" s="29">
        <f t="shared" si="62"/>
        <v>1.4655677370883982E-3</v>
      </c>
      <c r="BF152" s="29">
        <f t="shared" si="63"/>
        <v>1.1184568137291313E-2</v>
      </c>
      <c r="BH152" s="29"/>
    </row>
    <row r="153" spans="1:60" x14ac:dyDescent="0.3">
      <c r="A153" s="1">
        <v>46245</v>
      </c>
      <c r="B153" s="33">
        <v>60.93</v>
      </c>
      <c r="C153" s="33">
        <v>64.67</v>
      </c>
      <c r="D153" s="15">
        <v>1.23855930585037E-2</v>
      </c>
      <c r="E153" s="15">
        <v>1.0570594307132501E-2</v>
      </c>
      <c r="F153" s="33">
        <v>0</v>
      </c>
      <c r="G153" s="33">
        <v>0.77005999999999997</v>
      </c>
      <c r="H153" s="33">
        <v>0</v>
      </c>
      <c r="I153" s="33">
        <v>0.61581699999999995</v>
      </c>
      <c r="J153" s="33">
        <v>0</v>
      </c>
      <c r="K153" s="33">
        <v>0</v>
      </c>
      <c r="L153" s="33">
        <v>60.93</v>
      </c>
      <c r="M153" s="33">
        <v>64.67</v>
      </c>
      <c r="N153" s="34">
        <v>1.06138191367142</v>
      </c>
      <c r="O153" s="34">
        <v>1.05905106792887</v>
      </c>
      <c r="P153" s="34">
        <v>1.0625744077541099</v>
      </c>
      <c r="Q153" s="34">
        <v>1.0625655456080301</v>
      </c>
      <c r="R153" s="33">
        <v>64.527981568906597</v>
      </c>
      <c r="S153" s="33">
        <v>64.742261061539807</v>
      </c>
      <c r="T153" s="33">
        <v>64.7450234348983</v>
      </c>
      <c r="U153" s="15">
        <v>-2.1984629569211799E-3</v>
      </c>
      <c r="V153" s="15">
        <v>1.11675769292872E-3</v>
      </c>
      <c r="W153" s="15">
        <v>1.1594240191192E-3</v>
      </c>
      <c r="X153" s="34">
        <v>1.06138191367142</v>
      </c>
      <c r="Y153" s="34">
        <v>1.0594170994200001</v>
      </c>
      <c r="Z153" s="34">
        <v>1.0625744077541099</v>
      </c>
      <c r="AA153" s="34">
        <v>1.0625655456080301</v>
      </c>
      <c r="AB153" s="33">
        <v>64.550283867660994</v>
      </c>
      <c r="AC153" s="33">
        <v>64.742261061539807</v>
      </c>
      <c r="AD153" s="33">
        <v>64.7450234348983</v>
      </c>
      <c r="AE153" s="15">
        <v>-1.85290053553492E-3</v>
      </c>
      <c r="AF153" s="15">
        <v>1.11675769292872E-3</v>
      </c>
      <c r="AG153" s="15">
        <v>1.1594240191192E-3</v>
      </c>
      <c r="AI153" s="12"/>
      <c r="AJ153">
        <f t="shared" si="46"/>
        <v>0</v>
      </c>
      <c r="AK153">
        <f t="shared" si="47"/>
        <v>1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1.23855930585037E-2</v>
      </c>
      <c r="AP153" s="28">
        <f t="shared" si="49"/>
        <v>-1.0570594307132501E-2</v>
      </c>
      <c r="AQ153" s="28">
        <f t="shared" si="56"/>
        <v>1.8149987513711996E-3</v>
      </c>
      <c r="AR153" s="29">
        <f t="shared" si="57"/>
        <v>1.0889479638445911E-2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2.110087250216601E-3</v>
      </c>
      <c r="BE153" s="29">
        <f t="shared" si="62"/>
        <v>1.8149987513711996E-3</v>
      </c>
      <c r="BF153" s="29">
        <f t="shared" si="63"/>
        <v>1.2999566888662512E-2</v>
      </c>
      <c r="BH153" s="29"/>
    </row>
    <row r="154" spans="1:60" x14ac:dyDescent="0.3">
      <c r="A154" s="1">
        <v>46246</v>
      </c>
      <c r="B154" s="33">
        <v>61.03</v>
      </c>
      <c r="C154" s="33">
        <v>64.8</v>
      </c>
      <c r="D154" s="15">
        <v>1.63988229600049E-3</v>
      </c>
      <c r="E154" s="15">
        <v>2.0081878997274399E-3</v>
      </c>
      <c r="F154" s="33">
        <v>0</v>
      </c>
      <c r="G154" s="33">
        <v>0.77005999999999997</v>
      </c>
      <c r="H154" s="33">
        <v>0</v>
      </c>
      <c r="I154" s="33">
        <v>0.61581699999999995</v>
      </c>
      <c r="J154" s="33">
        <v>0</v>
      </c>
      <c r="K154" s="33">
        <v>0</v>
      </c>
      <c r="L154" s="33">
        <v>61.03</v>
      </c>
      <c r="M154" s="33">
        <v>64.8</v>
      </c>
      <c r="N154" s="34">
        <v>1.0617728985744701</v>
      </c>
      <c r="O154" s="34">
        <v>1.05905106792887</v>
      </c>
      <c r="P154" s="34">
        <v>1.0626306404930499</v>
      </c>
      <c r="Q154" s="34">
        <v>1.06253914628896</v>
      </c>
      <c r="R154" s="33">
        <v>64.6338866756995</v>
      </c>
      <c r="S154" s="33">
        <v>64.8489161052334</v>
      </c>
      <c r="T154" s="33">
        <v>64.848375248458296</v>
      </c>
      <c r="U154" s="15">
        <v>-2.56676856064815E-3</v>
      </c>
      <c r="V154" s="15">
        <v>7.5459338996541599E-4</v>
      </c>
      <c r="W154" s="15">
        <v>7.4625309589234203E-4</v>
      </c>
      <c r="X154" s="34">
        <v>1.0617728985744701</v>
      </c>
      <c r="Y154" s="34">
        <v>1.0594170994200001</v>
      </c>
      <c r="Z154" s="34">
        <v>1.0626306404930499</v>
      </c>
      <c r="AA154" s="34">
        <v>1.06253914628896</v>
      </c>
      <c r="AB154" s="33">
        <v>64.656225577602996</v>
      </c>
      <c r="AC154" s="33">
        <v>64.8489161052334</v>
      </c>
      <c r="AD154" s="33">
        <v>64.848375248458296</v>
      </c>
      <c r="AE154" s="15">
        <v>-2.22120613926177E-3</v>
      </c>
      <c r="AF154" s="15">
        <v>7.5459338996541599E-4</v>
      </c>
      <c r="AG154" s="15">
        <v>7.4625309589256396E-4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1.0889479638445911E-2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2.110087250216601E-3</v>
      </c>
      <c r="BE154" s="29">
        <f t="shared" si="62"/>
        <v>0</v>
      </c>
      <c r="BF154" s="29">
        <f t="shared" si="63"/>
        <v>1.2999566888662512E-2</v>
      </c>
      <c r="BH154" s="29"/>
    </row>
    <row r="155" spans="1:60" x14ac:dyDescent="0.3">
      <c r="A155" s="1">
        <v>46247</v>
      </c>
      <c r="B155" s="33">
        <v>61.06</v>
      </c>
      <c r="C155" s="33">
        <v>64.77</v>
      </c>
      <c r="D155" s="15">
        <v>4.9144075032832399E-4</v>
      </c>
      <c r="E155" s="15">
        <v>-4.6307016340336798E-4</v>
      </c>
      <c r="F155" s="33">
        <v>0</v>
      </c>
      <c r="G155" s="33">
        <v>0.77005999999999997</v>
      </c>
      <c r="H155" s="33">
        <v>0</v>
      </c>
      <c r="I155" s="33">
        <v>0.61581699999999995</v>
      </c>
      <c r="J155" s="33">
        <v>0</v>
      </c>
      <c r="K155" s="33">
        <v>0</v>
      </c>
      <c r="L155" s="33">
        <v>61.06</v>
      </c>
      <c r="M155" s="33">
        <v>64.77</v>
      </c>
      <c r="N155" s="34">
        <v>1.0607599082869299</v>
      </c>
      <c r="O155" s="34">
        <v>1.05905106792887</v>
      </c>
      <c r="P155" s="34">
        <v>1.0626007968577</v>
      </c>
      <c r="Q155" s="34">
        <v>1.0624992742883701</v>
      </c>
      <c r="R155" s="33">
        <v>64.665658207737394</v>
      </c>
      <c r="S155" s="33">
        <v>64.884226908506193</v>
      </c>
      <c r="T155" s="33">
        <v>64.878640272404496</v>
      </c>
      <c r="U155" s="15">
        <v>-1.61225764691657E-3</v>
      </c>
      <c r="V155" s="15">
        <v>1.7620241280754199E-3</v>
      </c>
      <c r="W155" s="15">
        <v>1.67591881572264E-3</v>
      </c>
      <c r="X155" s="34">
        <v>1.0607599082869299</v>
      </c>
      <c r="Y155" s="34">
        <v>1.0594170994200001</v>
      </c>
      <c r="Z155" s="34">
        <v>1.0626007968577</v>
      </c>
      <c r="AA155" s="34">
        <v>1.0624992742883701</v>
      </c>
      <c r="AB155" s="33">
        <v>64.688008090585598</v>
      </c>
      <c r="AC155" s="33">
        <v>64.884226908506193</v>
      </c>
      <c r="AD155" s="33">
        <v>64.878640272404496</v>
      </c>
      <c r="AE155" s="15">
        <v>-1.2666952255302301E-3</v>
      </c>
      <c r="AF155" s="15">
        <v>1.7620241280752E-3</v>
      </c>
      <c r="AG155" s="15">
        <v>1.67591881572264E-3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1.0889479638445911E-2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2.110087250216601E-3</v>
      </c>
      <c r="BE155" s="29">
        <f t="shared" si="62"/>
        <v>0</v>
      </c>
      <c r="BF155" s="29">
        <f t="shared" si="63"/>
        <v>1.2999566888662512E-2</v>
      </c>
      <c r="BH155" s="29"/>
    </row>
    <row r="156" spans="1:60" x14ac:dyDescent="0.3">
      <c r="A156" s="1">
        <v>46248</v>
      </c>
      <c r="B156" s="33">
        <v>61.91</v>
      </c>
      <c r="C156" s="33">
        <v>65.66</v>
      </c>
      <c r="D156" s="15">
        <v>1.38247302244089E-2</v>
      </c>
      <c r="E156" s="15">
        <v>1.3647378878620799E-2</v>
      </c>
      <c r="F156" s="33">
        <v>0</v>
      </c>
      <c r="G156" s="33">
        <v>0.77005999999999997</v>
      </c>
      <c r="H156" s="33">
        <v>0</v>
      </c>
      <c r="I156" s="33">
        <v>0.61581699999999995</v>
      </c>
      <c r="J156" s="33">
        <v>0</v>
      </c>
      <c r="K156" s="33">
        <v>0</v>
      </c>
      <c r="L156" s="33">
        <v>61.91</v>
      </c>
      <c r="M156" s="33">
        <v>65.66</v>
      </c>
      <c r="N156" s="34">
        <v>1.0605717977709499</v>
      </c>
      <c r="O156" s="34">
        <v>1.05905106792887</v>
      </c>
      <c r="P156" s="34">
        <v>1.0626294291956699</v>
      </c>
      <c r="Q156" s="34">
        <v>1.06243320398274</v>
      </c>
      <c r="R156" s="33">
        <v>65.565851615476902</v>
      </c>
      <c r="S156" s="33">
        <v>65.785615333460697</v>
      </c>
      <c r="T156" s="33">
        <v>65.779330071193201</v>
      </c>
      <c r="U156" s="15">
        <v>-1.4349063011286701E-3</v>
      </c>
      <c r="V156" s="15">
        <v>1.91129040526511E-3</v>
      </c>
      <c r="W156" s="15">
        <v>1.81574425118904E-3</v>
      </c>
      <c r="X156" s="34">
        <v>1.0605717977709499</v>
      </c>
      <c r="Y156" s="34">
        <v>1.0594170994200001</v>
      </c>
      <c r="Z156" s="34">
        <v>1.0626294291956699</v>
      </c>
      <c r="AA156" s="34">
        <v>1.06243320398274</v>
      </c>
      <c r="AB156" s="33">
        <v>65.588512625092605</v>
      </c>
      <c r="AC156" s="33">
        <v>65.785615333460697</v>
      </c>
      <c r="AD156" s="33">
        <v>65.779330071193201</v>
      </c>
      <c r="AE156" s="15">
        <v>-1.08934387974215E-3</v>
      </c>
      <c r="AF156" s="15">
        <v>1.91129040526511E-3</v>
      </c>
      <c r="AG156" s="15">
        <v>1.81574425118904E-3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1.0889479638445911E-2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2.110087250216601E-3</v>
      </c>
      <c r="BE156" s="29">
        <f t="shared" si="62"/>
        <v>0</v>
      </c>
      <c r="BF156" s="29">
        <f t="shared" si="63"/>
        <v>1.2999566888662512E-2</v>
      </c>
      <c r="BH156" s="29"/>
    </row>
    <row r="157" spans="1:60" x14ac:dyDescent="0.3">
      <c r="A157" s="1">
        <v>46251</v>
      </c>
      <c r="B157" s="33">
        <v>62.58</v>
      </c>
      <c r="C157" s="33">
        <v>66.260000000000005</v>
      </c>
      <c r="D157" s="15">
        <v>1.07640207095953E-2</v>
      </c>
      <c r="E157" s="15">
        <v>9.0964847983032292E-3</v>
      </c>
      <c r="F157" s="33">
        <v>0</v>
      </c>
      <c r="G157" s="33">
        <v>0.77005999999999997</v>
      </c>
      <c r="H157" s="33">
        <v>0</v>
      </c>
      <c r="I157" s="33">
        <v>0.61581699999999995</v>
      </c>
      <c r="J157" s="33">
        <v>0</v>
      </c>
      <c r="K157" s="33">
        <v>0</v>
      </c>
      <c r="L157" s="33">
        <v>62.58</v>
      </c>
      <c r="M157" s="33">
        <v>66.260000000000005</v>
      </c>
      <c r="N157" s="34">
        <v>1.05880472994566</v>
      </c>
      <c r="O157" s="34">
        <v>1.05905106792887</v>
      </c>
      <c r="P157" s="34">
        <v>1.0622503342365099</v>
      </c>
      <c r="Q157" s="34">
        <v>1.06227540803267</v>
      </c>
      <c r="R157" s="33">
        <v>66.275415830989203</v>
      </c>
      <c r="S157" s="33">
        <v>66.499349679065503</v>
      </c>
      <c r="T157" s="33">
        <v>66.487069905240304</v>
      </c>
      <c r="U157" s="15">
        <v>2.3262961016344899E-4</v>
      </c>
      <c r="V157" s="15">
        <v>3.6057714800690399E-3</v>
      </c>
      <c r="W157" s="15">
        <v>3.4210943694512001E-3</v>
      </c>
      <c r="X157" s="34">
        <v>1.05880472994566</v>
      </c>
      <c r="Y157" s="34">
        <v>1.0594170994200001</v>
      </c>
      <c r="Z157" s="34">
        <v>1.0622503342365099</v>
      </c>
      <c r="AA157" s="34">
        <v>1.06227540803267</v>
      </c>
      <c r="AB157" s="33">
        <v>66.298322081704001</v>
      </c>
      <c r="AC157" s="33">
        <v>66.499349679065503</v>
      </c>
      <c r="AD157" s="33">
        <v>66.487069905240304</v>
      </c>
      <c r="AE157" s="15">
        <v>5.7819203154966397E-4</v>
      </c>
      <c r="AF157" s="15">
        <v>3.6057714800690399E-3</v>
      </c>
      <c r="AG157" s="15">
        <v>3.4210943694509802E-3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1.0889479638445911E-2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2.110087250216601E-3</v>
      </c>
      <c r="BE157" s="29">
        <f t="shared" si="62"/>
        <v>0</v>
      </c>
      <c r="BF157" s="29">
        <f t="shared" si="63"/>
        <v>1.2999566888662512E-2</v>
      </c>
      <c r="BH157" s="29"/>
    </row>
    <row r="158" spans="1:60" x14ac:dyDescent="0.3">
      <c r="A158" s="1">
        <v>46252</v>
      </c>
      <c r="B158" s="33">
        <v>63.68</v>
      </c>
      <c r="C158" s="33">
        <v>67.31</v>
      </c>
      <c r="D158" s="15">
        <v>1.7424803295391499E-2</v>
      </c>
      <c r="E158" s="15">
        <v>1.5722417150871901E-2</v>
      </c>
      <c r="F158" s="33">
        <v>0</v>
      </c>
      <c r="G158" s="33">
        <v>0.77005999999999997</v>
      </c>
      <c r="H158" s="33">
        <v>0</v>
      </c>
      <c r="I158" s="33">
        <v>0.61581699999999995</v>
      </c>
      <c r="J158" s="33">
        <v>0</v>
      </c>
      <c r="K158" s="33">
        <v>0</v>
      </c>
      <c r="L158" s="33">
        <v>63.68</v>
      </c>
      <c r="M158" s="33">
        <v>67.31</v>
      </c>
      <c r="N158" s="34">
        <v>1.05700376884422</v>
      </c>
      <c r="O158" s="34">
        <v>1.05905106792887</v>
      </c>
      <c r="P158" s="34">
        <v>1.0615768218523001</v>
      </c>
      <c r="Q158" s="34">
        <v>1.06198029732958</v>
      </c>
      <c r="R158" s="33">
        <v>67.440372005710998</v>
      </c>
      <c r="S158" s="33">
        <v>67.644101284181005</v>
      </c>
      <c r="T158" s="33">
        <v>67.645697983520506</v>
      </c>
      <c r="U158" s="15">
        <v>1.93501575468305E-3</v>
      </c>
      <c r="V158" s="15">
        <v>4.9513421758158298E-3</v>
      </c>
      <c r="W158" s="15">
        <v>4.9749463107640604E-3</v>
      </c>
      <c r="X158" s="34">
        <v>1.05700376884422</v>
      </c>
      <c r="Y158" s="34">
        <v>1.0594170994200001</v>
      </c>
      <c r="Z158" s="34">
        <v>1.0615768218523001</v>
      </c>
      <c r="AA158" s="34">
        <v>1.06198029732958</v>
      </c>
      <c r="AB158" s="33">
        <v>67.463680891066005</v>
      </c>
      <c r="AC158" s="33">
        <v>67.644101284181005</v>
      </c>
      <c r="AD158" s="33">
        <v>67.645697983520506</v>
      </c>
      <c r="AE158" s="15">
        <v>2.2805781760693801E-3</v>
      </c>
      <c r="AF158" s="15">
        <v>4.9513421758158298E-3</v>
      </c>
      <c r="AG158" s="15">
        <v>4.9749463107642798E-3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1.0889479638445911E-2</v>
      </c>
      <c r="AT158" s="12"/>
      <c r="AU158">
        <f t="shared" si="50"/>
        <v>1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2.110087250216601E-3</v>
      </c>
      <c r="BE158" s="29">
        <f t="shared" si="62"/>
        <v>0</v>
      </c>
      <c r="BF158" s="29">
        <f t="shared" si="63"/>
        <v>1.2999566888662512E-2</v>
      </c>
      <c r="BH158" s="29"/>
    </row>
    <row r="159" spans="1:60" x14ac:dyDescent="0.3">
      <c r="A159" s="1">
        <v>46253</v>
      </c>
      <c r="B159" s="33">
        <v>63.58</v>
      </c>
      <c r="C159" s="33">
        <v>67.290000000000006</v>
      </c>
      <c r="D159" s="15">
        <v>-1.5715860534709001E-3</v>
      </c>
      <c r="E159" s="15">
        <v>-2.9717682239502601E-4</v>
      </c>
      <c r="F159" s="33">
        <v>0</v>
      </c>
      <c r="G159" s="33">
        <v>0.77005999999999997</v>
      </c>
      <c r="H159" s="33">
        <v>0</v>
      </c>
      <c r="I159" s="33">
        <v>0.61581699999999995</v>
      </c>
      <c r="J159" s="33">
        <v>0</v>
      </c>
      <c r="K159" s="33">
        <v>0</v>
      </c>
      <c r="L159" s="33">
        <v>63.58</v>
      </c>
      <c r="M159" s="33">
        <v>67.290000000000006</v>
      </c>
      <c r="N159" s="34">
        <v>1.0583516829191499</v>
      </c>
      <c r="O159" s="34">
        <v>1.05905106792887</v>
      </c>
      <c r="P159" s="34">
        <v>1.0611303639009799</v>
      </c>
      <c r="Q159" s="34">
        <v>1.06173909769175</v>
      </c>
      <c r="R159" s="33">
        <v>67.334466898918095</v>
      </c>
      <c r="S159" s="33">
        <v>67.495054333369694</v>
      </c>
      <c r="T159" s="33">
        <v>67.520707304214895</v>
      </c>
      <c r="U159" s="15">
        <v>6.60606523607004E-4</v>
      </c>
      <c r="V159" s="15">
        <v>3.0426888586797302E-3</v>
      </c>
      <c r="W159" s="15">
        <v>3.4226885097240999E-3</v>
      </c>
      <c r="X159" s="34">
        <v>1.0583516829191499</v>
      </c>
      <c r="Y159" s="34">
        <v>1.0594170994200001</v>
      </c>
      <c r="Z159" s="34">
        <v>1.0611303639009799</v>
      </c>
      <c r="AA159" s="34">
        <v>1.06173909769175</v>
      </c>
      <c r="AB159" s="33">
        <v>67.357739181124003</v>
      </c>
      <c r="AC159" s="33">
        <v>67.495054333369694</v>
      </c>
      <c r="AD159" s="33">
        <v>67.520707304214895</v>
      </c>
      <c r="AE159" s="15">
        <v>1.00616894499346E-3</v>
      </c>
      <c r="AF159" s="15">
        <v>3.0426888586799501E-3</v>
      </c>
      <c r="AG159" s="15">
        <v>3.4226885097240999E-3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1.0889479638445911E-2</v>
      </c>
      <c r="AT159" s="12"/>
      <c r="AU159">
        <f t="shared" si="50"/>
        <v>0</v>
      </c>
      <c r="AV159">
        <f t="shared" si="51"/>
        <v>0</v>
      </c>
      <c r="AW159">
        <f t="shared" si="58"/>
        <v>1</v>
      </c>
      <c r="AX159">
        <f t="shared" si="45"/>
        <v>1</v>
      </c>
      <c r="AY159">
        <f t="shared" si="59"/>
        <v>1</v>
      </c>
      <c r="AZ159" s="28">
        <f t="shared" si="52"/>
        <v>1.5715860534709001E-3</v>
      </c>
      <c r="BA159" s="28">
        <f t="shared" si="53"/>
        <v>-2.9717682239502601E-4</v>
      </c>
      <c r="BB159" s="28">
        <f t="shared" si="60"/>
        <v>1.2744092310758739E-3</v>
      </c>
      <c r="BC159" s="29">
        <f t="shared" si="61"/>
        <v>3.3844964812924749E-3</v>
      </c>
      <c r="BE159" s="29">
        <f t="shared" si="62"/>
        <v>1.2744092310758739E-3</v>
      </c>
      <c r="BF159" s="29">
        <f t="shared" si="63"/>
        <v>1.4273976119738387E-2</v>
      </c>
      <c r="BH159" s="29"/>
    </row>
    <row r="160" spans="1:60" x14ac:dyDescent="0.3">
      <c r="A160" s="1">
        <v>46254</v>
      </c>
      <c r="B160" s="33">
        <v>63.75</v>
      </c>
      <c r="C160" s="33">
        <v>67.48</v>
      </c>
      <c r="D160" s="15">
        <v>2.67022855587889E-3</v>
      </c>
      <c r="E160" s="15">
        <v>2.8196204775409401E-3</v>
      </c>
      <c r="F160" s="33">
        <v>0</v>
      </c>
      <c r="G160" s="33">
        <v>0.77005999999999997</v>
      </c>
      <c r="H160" s="33">
        <v>0</v>
      </c>
      <c r="I160" s="33">
        <v>0.61581699999999995</v>
      </c>
      <c r="J160" s="33">
        <v>0</v>
      </c>
      <c r="K160" s="33">
        <v>0</v>
      </c>
      <c r="L160" s="33">
        <v>63.75</v>
      </c>
      <c r="M160" s="33">
        <v>67.48</v>
      </c>
      <c r="N160" s="34">
        <v>1.0585098039215599</v>
      </c>
      <c r="O160" s="34">
        <v>1.05905106792887</v>
      </c>
      <c r="P160" s="34">
        <v>1.0605336138942401</v>
      </c>
      <c r="Q160" s="34">
        <v>1.06142275562107</v>
      </c>
      <c r="R160" s="33">
        <v>67.514505580465993</v>
      </c>
      <c r="S160" s="33">
        <v>67.647060698687696</v>
      </c>
      <c r="T160" s="33">
        <v>67.685867477849499</v>
      </c>
      <c r="U160" s="15">
        <v>5.11214601945143E-4</v>
      </c>
      <c r="V160" s="15">
        <v>2.47264734304417E-3</v>
      </c>
      <c r="W160" s="15">
        <v>3.0461482751271501E-3</v>
      </c>
      <c r="X160" s="34">
        <v>1.0585098039215599</v>
      </c>
      <c r="Y160" s="34">
        <v>1.0594170994200001</v>
      </c>
      <c r="Z160" s="34">
        <v>1.0605336138942401</v>
      </c>
      <c r="AA160" s="34">
        <v>1.06142275562107</v>
      </c>
      <c r="AB160" s="33">
        <v>67.537840088025405</v>
      </c>
      <c r="AC160" s="33">
        <v>67.647060698687696</v>
      </c>
      <c r="AD160" s="33">
        <v>67.685867477849499</v>
      </c>
      <c r="AE160" s="15">
        <v>8.5677702333162003E-4</v>
      </c>
      <c r="AF160" s="15">
        <v>2.47264734304417E-3</v>
      </c>
      <c r="AG160" s="15">
        <v>3.0461482751271501E-3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1.0889479638445911E-2</v>
      </c>
      <c r="AT160" s="12"/>
      <c r="AU160">
        <f t="shared" si="50"/>
        <v>0</v>
      </c>
      <c r="AV160">
        <f t="shared" si="51"/>
        <v>0</v>
      </c>
      <c r="AW160">
        <f t="shared" si="58"/>
        <v>1</v>
      </c>
      <c r="AX160">
        <f t="shared" si="45"/>
        <v>1</v>
      </c>
      <c r="AY160">
        <f t="shared" si="59"/>
        <v>1</v>
      </c>
      <c r="AZ160" s="28">
        <f t="shared" si="52"/>
        <v>-2.67022855587889E-3</v>
      </c>
      <c r="BA160" s="28">
        <f t="shared" si="53"/>
        <v>2.8196204775409401E-3</v>
      </c>
      <c r="BB160" s="28">
        <f t="shared" si="60"/>
        <v>1.4939192166205009E-4</v>
      </c>
      <c r="BC160" s="29">
        <f t="shared" si="61"/>
        <v>3.533888402954525E-3</v>
      </c>
      <c r="BE160" s="29">
        <f t="shared" si="62"/>
        <v>1.4939192166205009E-4</v>
      </c>
      <c r="BF160" s="29">
        <f t="shared" si="63"/>
        <v>1.4423368041400438E-2</v>
      </c>
      <c r="BH160" s="29"/>
    </row>
    <row r="161" spans="1:60" x14ac:dyDescent="0.3">
      <c r="A161" s="1">
        <v>46255</v>
      </c>
      <c r="B161" s="33">
        <v>63.64</v>
      </c>
      <c r="C161" s="33">
        <v>67.36</v>
      </c>
      <c r="D161" s="15">
        <v>-1.72698056894934E-3</v>
      </c>
      <c r="E161" s="15">
        <v>-1.7798877436963601E-3</v>
      </c>
      <c r="F161" s="33">
        <v>0</v>
      </c>
      <c r="G161" s="33">
        <v>0.77005999999999997</v>
      </c>
      <c r="H161" s="33">
        <v>0</v>
      </c>
      <c r="I161" s="33">
        <v>0.61581699999999995</v>
      </c>
      <c r="J161" s="33">
        <v>0</v>
      </c>
      <c r="K161" s="33">
        <v>0</v>
      </c>
      <c r="L161" s="33">
        <v>63.64</v>
      </c>
      <c r="M161" s="33">
        <v>67.36</v>
      </c>
      <c r="N161" s="34">
        <v>1.05845380263984</v>
      </c>
      <c r="O161" s="34">
        <v>1.05905106792887</v>
      </c>
      <c r="P161" s="34">
        <v>1.05989203763648</v>
      </c>
      <c r="Q161" s="34">
        <v>1.0612173008352499</v>
      </c>
      <c r="R161" s="33">
        <v>67.398009962993896</v>
      </c>
      <c r="S161" s="33">
        <v>67.4923591882295</v>
      </c>
      <c r="T161" s="33">
        <v>67.548944167725494</v>
      </c>
      <c r="U161" s="15">
        <v>5.6412177669187401E-4</v>
      </c>
      <c r="V161" s="15">
        <v>1.9630243257112E-3</v>
      </c>
      <c r="W161" s="15">
        <v>2.80106396841892E-3</v>
      </c>
      <c r="X161" s="34">
        <v>1.05845380263984</v>
      </c>
      <c r="Y161" s="34">
        <v>1.0594170994200001</v>
      </c>
      <c r="Z161" s="34">
        <v>1.05989203763648</v>
      </c>
      <c r="AA161" s="34">
        <v>1.0612173008352499</v>
      </c>
      <c r="AB161" s="33">
        <v>67.421304207089193</v>
      </c>
      <c r="AC161" s="33">
        <v>67.4923591882295</v>
      </c>
      <c r="AD161" s="33">
        <v>67.548944167725494</v>
      </c>
      <c r="AE161" s="15">
        <v>9.0968419807842997E-4</v>
      </c>
      <c r="AF161" s="15">
        <v>1.9630243257112E-3</v>
      </c>
      <c r="AG161" s="15">
        <v>2.80106396841892E-3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1.0889479638445911E-2</v>
      </c>
      <c r="AT161" s="12"/>
      <c r="AU161">
        <f t="shared" si="50"/>
        <v>0</v>
      </c>
      <c r="AV161">
        <f t="shared" si="51"/>
        <v>0</v>
      </c>
      <c r="AW161">
        <f t="shared" si="58"/>
        <v>1</v>
      </c>
      <c r="AX161">
        <f t="shared" si="45"/>
        <v>1</v>
      </c>
      <c r="AY161">
        <f t="shared" si="59"/>
        <v>1</v>
      </c>
      <c r="AZ161" s="28">
        <f t="shared" si="52"/>
        <v>1.72698056894934E-3</v>
      </c>
      <c r="BA161" s="28">
        <f t="shared" si="53"/>
        <v>-1.7798877436963601E-3</v>
      </c>
      <c r="BB161" s="28">
        <f t="shared" si="60"/>
        <v>-5.2907174747020063E-5</v>
      </c>
      <c r="BC161" s="29">
        <f t="shared" si="61"/>
        <v>3.4809812282075052E-3</v>
      </c>
      <c r="BE161" s="29">
        <f t="shared" si="62"/>
        <v>-5.2907174747020063E-5</v>
      </c>
      <c r="BF161" s="29">
        <f t="shared" si="63"/>
        <v>1.4370460866653417E-2</v>
      </c>
      <c r="BH161" s="29"/>
    </row>
    <row r="162" spans="1:60" x14ac:dyDescent="0.3">
      <c r="A162" s="1">
        <v>46258</v>
      </c>
      <c r="B162" s="33">
        <v>63.11</v>
      </c>
      <c r="C162" s="33">
        <v>66.81</v>
      </c>
      <c r="D162" s="15">
        <v>-8.3629678734379702E-3</v>
      </c>
      <c r="E162" s="15">
        <v>-8.1985999966852907E-3</v>
      </c>
      <c r="F162" s="33">
        <v>0</v>
      </c>
      <c r="G162" s="33">
        <v>0.77005999999999997</v>
      </c>
      <c r="H162" s="33">
        <v>0</v>
      </c>
      <c r="I162" s="33">
        <v>0.61581699999999995</v>
      </c>
      <c r="J162" s="33">
        <v>0</v>
      </c>
      <c r="K162" s="33">
        <v>0</v>
      </c>
      <c r="L162" s="33">
        <v>63.11</v>
      </c>
      <c r="M162" s="33">
        <v>66.81</v>
      </c>
      <c r="N162" s="34">
        <v>1.05862779274283</v>
      </c>
      <c r="O162" s="34">
        <v>1.05905106792887</v>
      </c>
      <c r="P162" s="34">
        <v>1.0594238099316999</v>
      </c>
      <c r="Q162" s="34">
        <v>1.0609958460584099</v>
      </c>
      <c r="R162" s="33">
        <v>66.8367128969915</v>
      </c>
      <c r="S162" s="33">
        <v>66.889786495238695</v>
      </c>
      <c r="T162" s="33">
        <v>66.973423855713193</v>
      </c>
      <c r="U162" s="15">
        <v>3.9975389993925E-4</v>
      </c>
      <c r="V162" s="15">
        <v>1.1935173092112799E-3</v>
      </c>
      <c r="W162" s="15">
        <v>2.4431118936888E-3</v>
      </c>
      <c r="X162" s="34">
        <v>1.05862779274283</v>
      </c>
      <c r="Y162" s="34">
        <v>1.0594170994200001</v>
      </c>
      <c r="Z162" s="34">
        <v>1.0594238099316999</v>
      </c>
      <c r="AA162" s="34">
        <v>1.0609958460584099</v>
      </c>
      <c r="AB162" s="33">
        <v>66.859813144396597</v>
      </c>
      <c r="AC162" s="33">
        <v>66.889786495238695</v>
      </c>
      <c r="AD162" s="33">
        <v>66.973423855713094</v>
      </c>
      <c r="AE162" s="15">
        <v>7.4531632132576297E-4</v>
      </c>
      <c r="AF162" s="15">
        <v>1.1935173092112799E-3</v>
      </c>
      <c r="AG162" s="15">
        <v>2.4431118936885802E-3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1.0889479638445911E-2</v>
      </c>
      <c r="AT162" s="12"/>
      <c r="AU162">
        <f t="shared" si="50"/>
        <v>0</v>
      </c>
      <c r="AV162">
        <f t="shared" si="51"/>
        <v>0</v>
      </c>
      <c r="AW162">
        <f t="shared" si="58"/>
        <v>1</v>
      </c>
      <c r="AX162">
        <f t="shared" si="45"/>
        <v>1</v>
      </c>
      <c r="AY162">
        <f t="shared" si="59"/>
        <v>1</v>
      </c>
      <c r="AZ162" s="28">
        <f t="shared" si="52"/>
        <v>8.3629678734379702E-3</v>
      </c>
      <c r="BA162" s="28">
        <f t="shared" si="53"/>
        <v>-8.1985999966852907E-3</v>
      </c>
      <c r="BB162" s="28">
        <f t="shared" si="60"/>
        <v>1.6436787675267947E-4</v>
      </c>
      <c r="BC162" s="29">
        <f t="shared" si="61"/>
        <v>3.6453491049601846E-3</v>
      </c>
      <c r="BE162" s="29">
        <f t="shared" si="62"/>
        <v>1.6436787675267947E-4</v>
      </c>
      <c r="BF162" s="29">
        <f t="shared" si="63"/>
        <v>1.4534828743406097E-2</v>
      </c>
      <c r="BH162" s="29"/>
    </row>
    <row r="163" spans="1:60" x14ac:dyDescent="0.3">
      <c r="A163" s="1">
        <v>46259</v>
      </c>
      <c r="B163" s="33">
        <v>62.06</v>
      </c>
      <c r="C163" s="33">
        <v>65.73</v>
      </c>
      <c r="D163" s="15">
        <v>-1.6777576575913999E-2</v>
      </c>
      <c r="E163" s="15">
        <v>-1.6297327661901E-2</v>
      </c>
      <c r="F163" s="33">
        <v>0</v>
      </c>
      <c r="G163" s="33">
        <v>0.77005999999999997</v>
      </c>
      <c r="H163" s="33">
        <v>0</v>
      </c>
      <c r="I163" s="33">
        <v>0.61581699999999995</v>
      </c>
      <c r="J163" s="33">
        <v>0</v>
      </c>
      <c r="K163" s="33">
        <v>0</v>
      </c>
      <c r="L163" s="33">
        <v>62.06</v>
      </c>
      <c r="M163" s="33">
        <v>65.73</v>
      </c>
      <c r="N163" s="34">
        <v>1.0591363196906201</v>
      </c>
      <c r="O163" s="34">
        <v>1.05905106792887</v>
      </c>
      <c r="P163" s="34">
        <v>1.0591992505336201</v>
      </c>
      <c r="Q163" s="34">
        <v>1.06088682914387</v>
      </c>
      <c r="R163" s="33">
        <v>65.7247092756662</v>
      </c>
      <c r="S163" s="33">
        <v>65.747841644361799</v>
      </c>
      <c r="T163" s="33">
        <v>65.845402206385401</v>
      </c>
      <c r="U163" s="15">
        <v>-8.0495014073528199E-5</v>
      </c>
      <c r="V163" s="15">
        <v>2.7140154185955402E-4</v>
      </c>
      <c r="W163" s="15">
        <v>1.75416124962717E-3</v>
      </c>
      <c r="X163" s="34">
        <v>1.0591363196906201</v>
      </c>
      <c r="Y163" s="34">
        <v>1.0594170994200001</v>
      </c>
      <c r="Z163" s="34">
        <v>1.0591992505336201</v>
      </c>
      <c r="AA163" s="34">
        <v>1.06088682914387</v>
      </c>
      <c r="AB163" s="33">
        <v>65.7474251900056</v>
      </c>
      <c r="AC163" s="33">
        <v>65.747841644361799</v>
      </c>
      <c r="AD163" s="33">
        <v>65.845402206385401</v>
      </c>
      <c r="AE163" s="15">
        <v>2.6506740731266002E-4</v>
      </c>
      <c r="AF163" s="15">
        <v>2.7140154185955402E-4</v>
      </c>
      <c r="AG163" s="15">
        <v>1.75416124962717E-3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1.0889479638445911E-2</v>
      </c>
      <c r="AT163" s="12"/>
      <c r="AU163">
        <f t="shared" si="50"/>
        <v>0</v>
      </c>
      <c r="AV163">
        <f t="shared" si="51"/>
        <v>1</v>
      </c>
      <c r="AW163">
        <f t="shared" si="58"/>
        <v>1</v>
      </c>
      <c r="AX163">
        <f t="shared" si="45"/>
        <v>1</v>
      </c>
      <c r="AY163">
        <f t="shared" si="59"/>
        <v>1</v>
      </c>
      <c r="AZ163" s="28">
        <f t="shared" si="52"/>
        <v>1.6777576575913999E-2</v>
      </c>
      <c r="BA163" s="28">
        <f t="shared" si="53"/>
        <v>-1.6297327661901E-2</v>
      </c>
      <c r="BB163" s="28">
        <f t="shared" si="60"/>
        <v>4.8024891401299979E-4</v>
      </c>
      <c r="BC163" s="29">
        <f t="shared" si="61"/>
        <v>4.1255980189731844E-3</v>
      </c>
      <c r="BE163" s="29">
        <f t="shared" si="62"/>
        <v>4.8024891401299979E-4</v>
      </c>
      <c r="BF163" s="29">
        <f t="shared" si="63"/>
        <v>1.5015077657419097E-2</v>
      </c>
      <c r="BH163" s="29"/>
    </row>
    <row r="164" spans="1:60" x14ac:dyDescent="0.3">
      <c r="A164" s="1">
        <v>46260</v>
      </c>
      <c r="B164" s="33">
        <v>62.43</v>
      </c>
      <c r="C164" s="33">
        <v>66.05</v>
      </c>
      <c r="D164" s="15">
        <v>5.9442700534186E-3</v>
      </c>
      <c r="E164" s="15">
        <v>4.85658869284926E-3</v>
      </c>
      <c r="F164" s="33">
        <v>0</v>
      </c>
      <c r="G164" s="33">
        <v>0.77005999999999997</v>
      </c>
      <c r="H164" s="33">
        <v>0</v>
      </c>
      <c r="I164" s="33">
        <v>0.61581699999999995</v>
      </c>
      <c r="J164" s="33">
        <v>0</v>
      </c>
      <c r="K164" s="33">
        <v>0</v>
      </c>
      <c r="L164" s="33">
        <v>62.43</v>
      </c>
      <c r="M164" s="33">
        <v>66.05</v>
      </c>
      <c r="N164" s="34">
        <v>1.05798494313631</v>
      </c>
      <c r="O164" s="34">
        <v>1.05905106792887</v>
      </c>
      <c r="P164" s="34">
        <v>1.0588204549898099</v>
      </c>
      <c r="Q164" s="34">
        <v>1.0607255477414299</v>
      </c>
      <c r="R164" s="33">
        <v>66.116558170799905</v>
      </c>
      <c r="S164" s="33">
        <v>66.125809210814296</v>
      </c>
      <c r="T164" s="33">
        <v>66.231164743451799</v>
      </c>
      <c r="U164" s="15">
        <v>1.0071863464955601E-3</v>
      </c>
      <c r="V164" s="15">
        <v>1.1470967279065499E-3</v>
      </c>
      <c r="W164" s="15">
        <v>2.7390877162350499E-3</v>
      </c>
      <c r="X164" s="34">
        <v>1.05798494313631</v>
      </c>
      <c r="Y164" s="34">
        <v>1.0594170994200001</v>
      </c>
      <c r="Z164" s="34">
        <v>1.0588204549898099</v>
      </c>
      <c r="AA164" s="34">
        <v>1.0607255477414299</v>
      </c>
      <c r="AB164" s="33">
        <v>66.139409516791005</v>
      </c>
      <c r="AC164" s="33">
        <v>66.125809210814296</v>
      </c>
      <c r="AD164" s="33">
        <v>66.231164743451799</v>
      </c>
      <c r="AE164" s="15">
        <v>1.35274876788205E-3</v>
      </c>
      <c r="AF164" s="15">
        <v>1.1470967279065499E-3</v>
      </c>
      <c r="AG164" s="15">
        <v>2.7390877162350499E-3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1.0889479638445911E-2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4.1255980189731844E-3</v>
      </c>
      <c r="BE164" s="29">
        <f t="shared" si="62"/>
        <v>0</v>
      </c>
      <c r="BF164" s="29">
        <f t="shared" si="63"/>
        <v>1.5015077657419097E-2</v>
      </c>
      <c r="BH164" s="29"/>
    </row>
    <row r="165" spans="1:60" x14ac:dyDescent="0.3">
      <c r="A165" s="1">
        <v>46261</v>
      </c>
      <c r="B165" s="33">
        <v>62.29</v>
      </c>
      <c r="C165" s="33">
        <v>65.930000000000007</v>
      </c>
      <c r="D165" s="15">
        <v>-2.2450298075986099E-3</v>
      </c>
      <c r="E165" s="15">
        <v>-1.81845784312587E-3</v>
      </c>
      <c r="F165" s="33">
        <v>0</v>
      </c>
      <c r="G165" s="33">
        <v>0.77005999999999997</v>
      </c>
      <c r="H165" s="33">
        <v>0</v>
      </c>
      <c r="I165" s="33">
        <v>0.61581699999999995</v>
      </c>
      <c r="J165" s="33">
        <v>0</v>
      </c>
      <c r="K165" s="33">
        <v>0</v>
      </c>
      <c r="L165" s="33">
        <v>62.29</v>
      </c>
      <c r="M165" s="33">
        <v>65.930000000000007</v>
      </c>
      <c r="N165" s="34">
        <v>1.05843634612297</v>
      </c>
      <c r="O165" s="34">
        <v>1.05905106792887</v>
      </c>
      <c r="P165" s="34">
        <v>1.05858809877341</v>
      </c>
      <c r="Q165" s="34">
        <v>1.06059444781556</v>
      </c>
      <c r="R165" s="33">
        <v>65.9682910212899</v>
      </c>
      <c r="S165" s="33">
        <v>65.953926141315307</v>
      </c>
      <c r="T165" s="33">
        <v>66.072594368813995</v>
      </c>
      <c r="U165" s="15">
        <v>5.8061438202298098E-4</v>
      </c>
      <c r="V165" s="15">
        <v>3.62836355845681E-4</v>
      </c>
      <c r="W165" s="15">
        <v>2.1604791172647902E-3</v>
      </c>
      <c r="X165" s="34">
        <v>1.05843634612297</v>
      </c>
      <c r="Y165" s="34">
        <v>1.0594170994200001</v>
      </c>
      <c r="Z165" s="34">
        <v>1.05858809877341</v>
      </c>
      <c r="AA165" s="34">
        <v>1.06059444781556</v>
      </c>
      <c r="AB165" s="33">
        <v>65.991091122872206</v>
      </c>
      <c r="AC165" s="33">
        <v>65.953926141315307</v>
      </c>
      <c r="AD165" s="33">
        <v>66.072594368813995</v>
      </c>
      <c r="AE165" s="15">
        <v>9.2617680340932498E-4</v>
      </c>
      <c r="AF165" s="15">
        <v>3.62836355845681E-4</v>
      </c>
      <c r="AG165" s="15">
        <v>2.1604791172650101E-3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1.0889479638445911E-2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4.1255980189731844E-3</v>
      </c>
      <c r="BE165" s="29">
        <f t="shared" si="62"/>
        <v>0</v>
      </c>
      <c r="BF165" s="29">
        <f t="shared" si="63"/>
        <v>1.5015077657419097E-2</v>
      </c>
      <c r="BH165" s="29"/>
    </row>
    <row r="166" spans="1:60" x14ac:dyDescent="0.3">
      <c r="A166" s="1">
        <v>46262</v>
      </c>
      <c r="B166" s="33">
        <v>62.68</v>
      </c>
      <c r="C166" s="33">
        <v>66.25</v>
      </c>
      <c r="D166" s="15">
        <v>6.2415182217659898E-3</v>
      </c>
      <c r="E166" s="15">
        <v>4.8418917411231898E-3</v>
      </c>
      <c r="F166" s="33">
        <v>0</v>
      </c>
      <c r="G166" s="33">
        <v>0.77005999999999997</v>
      </c>
      <c r="H166" s="33">
        <v>0</v>
      </c>
      <c r="I166" s="33">
        <v>0.61581699999999995</v>
      </c>
      <c r="J166" s="33">
        <v>0</v>
      </c>
      <c r="K166" s="33">
        <v>0</v>
      </c>
      <c r="L166" s="33">
        <v>62.68</v>
      </c>
      <c r="M166" s="33">
        <v>66.25</v>
      </c>
      <c r="N166" s="34">
        <v>1.0569559668155699</v>
      </c>
      <c r="O166" s="34">
        <v>1.05905106792887</v>
      </c>
      <c r="P166" s="34">
        <v>1.0582265156778701</v>
      </c>
      <c r="Q166" s="34">
        <v>1.06042797243677</v>
      </c>
      <c r="R166" s="33">
        <v>66.381320937782107</v>
      </c>
      <c r="S166" s="33">
        <v>66.352302031117702</v>
      </c>
      <c r="T166" s="33">
        <v>66.478059989079398</v>
      </c>
      <c r="U166" s="15">
        <v>1.9802408626658002E-3</v>
      </c>
      <c r="V166" s="15">
        <v>1.54299057931319E-3</v>
      </c>
      <c r="W166" s="15">
        <v>3.43650338200968E-3</v>
      </c>
      <c r="X166" s="34">
        <v>1.0569559668155699</v>
      </c>
      <c r="Y166" s="34">
        <v>1.0594170994200001</v>
      </c>
      <c r="Z166" s="34">
        <v>1.0582265156778701</v>
      </c>
      <c r="AA166" s="34">
        <v>1.06042797243677</v>
      </c>
      <c r="AB166" s="33">
        <v>66.404263791646002</v>
      </c>
      <c r="AC166" s="33">
        <v>66.352302031117702</v>
      </c>
      <c r="AD166" s="33">
        <v>66.478059989079398</v>
      </c>
      <c r="AE166" s="15">
        <v>2.3258032840519798E-3</v>
      </c>
      <c r="AF166" s="15">
        <v>1.54299057931319E-3</v>
      </c>
      <c r="AG166" s="15">
        <v>3.4365033820094502E-3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1.0889479638445911E-2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4.1255980189731844E-3</v>
      </c>
      <c r="BE166" s="29">
        <f t="shared" si="62"/>
        <v>0</v>
      </c>
      <c r="BF166" s="29">
        <f t="shared" si="63"/>
        <v>1.5015077657419097E-2</v>
      </c>
      <c r="BH166" s="29"/>
    </row>
    <row r="167" spans="1:60" x14ac:dyDescent="0.3">
      <c r="A167" s="1">
        <v>46265</v>
      </c>
      <c r="B167" s="33">
        <v>63.96</v>
      </c>
      <c r="C167" s="33">
        <v>67.59</v>
      </c>
      <c r="D167" s="15">
        <v>2.0215470477933501E-2</v>
      </c>
      <c r="E167" s="15">
        <v>2.00245782459311E-2</v>
      </c>
      <c r="F167" s="33">
        <v>0</v>
      </c>
      <c r="G167" s="33">
        <v>0.77005999999999997</v>
      </c>
      <c r="H167" s="33">
        <v>0</v>
      </c>
      <c r="I167" s="33">
        <v>0.61581699999999995</v>
      </c>
      <c r="J167" s="33">
        <v>0</v>
      </c>
      <c r="K167" s="33">
        <v>0</v>
      </c>
      <c r="L167" s="33">
        <v>63.96</v>
      </c>
      <c r="M167" s="33">
        <v>67.59</v>
      </c>
      <c r="N167" s="34">
        <v>1.0567542213883601</v>
      </c>
      <c r="O167" s="34">
        <v>1.05905106792887</v>
      </c>
      <c r="P167" s="34">
        <v>1.05802146482214</v>
      </c>
      <c r="Q167" s="34">
        <v>1.06013589952932</v>
      </c>
      <c r="R167" s="33">
        <v>67.736906304731093</v>
      </c>
      <c r="S167" s="33">
        <v>67.684167942757</v>
      </c>
      <c r="T167" s="33">
        <v>67.824973117056302</v>
      </c>
      <c r="U167" s="15">
        <v>2.1711330946677502E-3</v>
      </c>
      <c r="V167" s="15">
        <v>1.3922533681066699E-3</v>
      </c>
      <c r="W167" s="15">
        <v>3.4704190752094998E-3</v>
      </c>
      <c r="X167" s="34">
        <v>1.0567542213883601</v>
      </c>
      <c r="Y167" s="34">
        <v>1.0594170994200001</v>
      </c>
      <c r="Z167" s="34">
        <v>1.05802146482214</v>
      </c>
      <c r="AA167" s="34">
        <v>1.06013589952932</v>
      </c>
      <c r="AB167" s="33">
        <v>67.760317678903604</v>
      </c>
      <c r="AC167" s="33">
        <v>67.684167942757</v>
      </c>
      <c r="AD167" s="33">
        <v>67.824973117056302</v>
      </c>
      <c r="AE167" s="15">
        <v>2.51669551605419E-3</v>
      </c>
      <c r="AF167" s="15">
        <v>1.3922533681066699E-3</v>
      </c>
      <c r="AG167" s="15">
        <v>3.47041907520927E-3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1.0889479638445911E-2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4.1255980189731844E-3</v>
      </c>
      <c r="BE167" s="29">
        <f t="shared" si="62"/>
        <v>0</v>
      </c>
      <c r="BF167" s="29">
        <f t="shared" si="63"/>
        <v>1.5015077657419097E-2</v>
      </c>
      <c r="BH167" s="29"/>
    </row>
    <row r="168" spans="1:60" x14ac:dyDescent="0.3">
      <c r="A168" s="1">
        <v>46266</v>
      </c>
      <c r="B168" s="33">
        <v>64.77</v>
      </c>
      <c r="C168" s="33">
        <v>68.540000000000006</v>
      </c>
      <c r="D168" s="15">
        <v>1.2584645229071999E-2</v>
      </c>
      <c r="E168" s="15">
        <v>1.39574733341999E-2</v>
      </c>
      <c r="F168" s="33">
        <v>0</v>
      </c>
      <c r="G168" s="33">
        <v>0.77005999999999997</v>
      </c>
      <c r="H168" s="33">
        <v>0</v>
      </c>
      <c r="I168" s="33">
        <v>0.61581699999999995</v>
      </c>
      <c r="J168" s="33">
        <v>0</v>
      </c>
      <c r="K168" s="33">
        <v>0</v>
      </c>
      <c r="L168" s="33">
        <v>64.77</v>
      </c>
      <c r="M168" s="33">
        <v>68.540000000000006</v>
      </c>
      <c r="N168" s="34">
        <v>1.05820595954917</v>
      </c>
      <c r="O168" s="34">
        <v>1.05905106792887</v>
      </c>
      <c r="P168" s="34">
        <v>1.0581416838926401</v>
      </c>
      <c r="Q168" s="34">
        <v>1.05985925287247</v>
      </c>
      <c r="R168" s="33">
        <v>68.594737669753499</v>
      </c>
      <c r="S168" s="33">
        <v>68.528050276530394</v>
      </c>
      <c r="T168" s="33">
        <v>68.665002212514594</v>
      </c>
      <c r="U168" s="15">
        <v>7.9830498953984796E-4</v>
      </c>
      <c r="V168" s="15">
        <v>-1.7436190966009399E-4</v>
      </c>
      <c r="W168" s="15">
        <v>1.82212375765118E-3</v>
      </c>
      <c r="X168" s="34">
        <v>1.05820595954917</v>
      </c>
      <c r="Y168" s="34">
        <v>1.0594170994200001</v>
      </c>
      <c r="Z168" s="34">
        <v>1.0581416838926401</v>
      </c>
      <c r="AA168" s="34">
        <v>1.05985925287247</v>
      </c>
      <c r="AB168" s="33">
        <v>68.618445529433799</v>
      </c>
      <c r="AC168" s="33">
        <v>68.528050276530394</v>
      </c>
      <c r="AD168" s="33">
        <v>68.665002212514594</v>
      </c>
      <c r="AE168" s="15">
        <v>1.1438674109262299E-3</v>
      </c>
      <c r="AF168" s="15">
        <v>-1.7436190966009399E-4</v>
      </c>
      <c r="AG168" s="15">
        <v>1.82212375765118E-3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1.0889479638445911E-2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4.1255980189731844E-3</v>
      </c>
      <c r="BE168" s="29">
        <f t="shared" si="62"/>
        <v>0</v>
      </c>
      <c r="BF168" s="29">
        <f t="shared" si="63"/>
        <v>1.5015077657419097E-2</v>
      </c>
      <c r="BH168" s="29"/>
    </row>
    <row r="169" spans="1:60" x14ac:dyDescent="0.3">
      <c r="A169" s="1">
        <v>46267</v>
      </c>
      <c r="B169" s="33">
        <v>65.099999999999994</v>
      </c>
      <c r="C169" s="33">
        <v>68.8</v>
      </c>
      <c r="D169" s="15">
        <v>5.0820160196979498E-3</v>
      </c>
      <c r="E169" s="15">
        <v>3.78622849283509E-3</v>
      </c>
      <c r="F169" s="33">
        <v>0</v>
      </c>
      <c r="G169" s="33">
        <v>0.77005999999999997</v>
      </c>
      <c r="H169" s="33">
        <v>0</v>
      </c>
      <c r="I169" s="33">
        <v>0.61581699999999995</v>
      </c>
      <c r="J169" s="33">
        <v>0</v>
      </c>
      <c r="K169" s="33">
        <v>0</v>
      </c>
      <c r="L169" s="33">
        <v>65.099999999999994</v>
      </c>
      <c r="M169" s="33">
        <v>68.8</v>
      </c>
      <c r="N169" s="34">
        <v>1.0568356374807899</v>
      </c>
      <c r="O169" s="34">
        <v>1.05905106792887</v>
      </c>
      <c r="P169" s="34">
        <v>1.0579900793488</v>
      </c>
      <c r="Q169" s="34">
        <v>1.0595602216248901</v>
      </c>
      <c r="R169" s="33">
        <v>68.944224522170003</v>
      </c>
      <c r="S169" s="33">
        <v>68.885023621410994</v>
      </c>
      <c r="T169" s="33">
        <v>68.996837361998104</v>
      </c>
      <c r="U169" s="15">
        <v>2.0940925164026698E-3</v>
      </c>
      <c r="V169" s="15">
        <v>1.2350454680137399E-3</v>
      </c>
      <c r="W169" s="15">
        <v>2.8569232741298802E-3</v>
      </c>
      <c r="X169" s="34">
        <v>1.0568356374807899</v>
      </c>
      <c r="Y169" s="34">
        <v>1.0594170994200001</v>
      </c>
      <c r="Z169" s="34">
        <v>1.0579900793488</v>
      </c>
      <c r="AA169" s="34">
        <v>1.0595602216248901</v>
      </c>
      <c r="AB169" s="33">
        <v>68.968053172242406</v>
      </c>
      <c r="AC169" s="33">
        <v>68.885023621410994</v>
      </c>
      <c r="AD169" s="33">
        <v>68.996837361998104</v>
      </c>
      <c r="AE169" s="15">
        <v>2.4396549377890299E-3</v>
      </c>
      <c r="AF169" s="15">
        <v>1.2350454680137399E-3</v>
      </c>
      <c r="AG169" s="15">
        <v>2.8569232741301001E-3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1.0889479638445911E-2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4.1255980189731844E-3</v>
      </c>
      <c r="BE169" s="29">
        <f t="shared" si="62"/>
        <v>0</v>
      </c>
      <c r="BF169" s="29">
        <f t="shared" si="63"/>
        <v>1.5015077657419097E-2</v>
      </c>
      <c r="BH169" s="29"/>
    </row>
    <row r="170" spans="1:60" x14ac:dyDescent="0.3">
      <c r="A170" s="1">
        <v>46268</v>
      </c>
      <c r="B170" s="33">
        <v>64.62</v>
      </c>
      <c r="C170" s="33">
        <v>68.37</v>
      </c>
      <c r="D170" s="15">
        <v>-7.4005888181711702E-3</v>
      </c>
      <c r="E170" s="15">
        <v>-6.2696130135952597E-3</v>
      </c>
      <c r="F170" s="33">
        <v>0</v>
      </c>
      <c r="G170" s="33">
        <v>0.77005999999999997</v>
      </c>
      <c r="H170" s="33">
        <v>0</v>
      </c>
      <c r="I170" s="33">
        <v>0.61581699999999995</v>
      </c>
      <c r="J170" s="33">
        <v>0</v>
      </c>
      <c r="K170" s="33">
        <v>0</v>
      </c>
      <c r="L170" s="33">
        <v>64.62</v>
      </c>
      <c r="M170" s="33">
        <v>68.37</v>
      </c>
      <c r="N170" s="34">
        <v>1.0580315691736299</v>
      </c>
      <c r="O170" s="34">
        <v>1.05905106792887</v>
      </c>
      <c r="P170" s="34">
        <v>1.0579422558740099</v>
      </c>
      <c r="Q170" s="34">
        <v>1.0592379348841201</v>
      </c>
      <c r="R170" s="33">
        <v>68.435880009564201</v>
      </c>
      <c r="S170" s="33">
        <v>68.367318927519904</v>
      </c>
      <c r="T170" s="33">
        <v>68.4687815214007</v>
      </c>
      <c r="U170" s="15">
        <v>9.6311671182677198E-4</v>
      </c>
      <c r="V170" s="15">
        <v>-3.9214934174114103E-5</v>
      </c>
      <c r="W170" s="15">
        <v>1.4437652463918E-3</v>
      </c>
      <c r="X170" s="34">
        <v>1.0580315691736299</v>
      </c>
      <c r="Y170" s="34">
        <v>1.0594170994200001</v>
      </c>
      <c r="Z170" s="34">
        <v>1.0579422558740099</v>
      </c>
      <c r="AA170" s="34">
        <v>1.0592379348841201</v>
      </c>
      <c r="AB170" s="33">
        <v>68.459532964520804</v>
      </c>
      <c r="AC170" s="33">
        <v>68.367318927519904</v>
      </c>
      <c r="AD170" s="33">
        <v>68.4687815214007</v>
      </c>
      <c r="AE170" s="15">
        <v>1.30867913321306E-3</v>
      </c>
      <c r="AF170" s="15">
        <v>-3.9214934174114103E-5</v>
      </c>
      <c r="AG170" s="15">
        <v>1.4437652463920199E-3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1.0889479638445911E-2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4.1255980189731844E-3</v>
      </c>
      <c r="BE170" s="29">
        <f t="shared" si="62"/>
        <v>0</v>
      </c>
      <c r="BF170" s="29">
        <f t="shared" si="63"/>
        <v>1.5015077657419097E-2</v>
      </c>
      <c r="BH170" s="29"/>
    </row>
    <row r="171" spans="1:60" x14ac:dyDescent="0.3">
      <c r="A171" s="1">
        <v>46269</v>
      </c>
      <c r="B171" s="33">
        <v>64.06</v>
      </c>
      <c r="C171" s="33">
        <v>67.73</v>
      </c>
      <c r="D171" s="15">
        <v>-8.7038162153401395E-3</v>
      </c>
      <c r="E171" s="15">
        <v>-9.4049186988902998E-3</v>
      </c>
      <c r="F171" s="33">
        <v>0</v>
      </c>
      <c r="G171" s="33">
        <v>0.77005999999999997</v>
      </c>
      <c r="H171" s="33">
        <v>0</v>
      </c>
      <c r="I171" s="33">
        <v>0.61581699999999995</v>
      </c>
      <c r="J171" s="33">
        <v>0</v>
      </c>
      <c r="K171" s="33">
        <v>0</v>
      </c>
      <c r="L171" s="33">
        <v>64.06</v>
      </c>
      <c r="M171" s="33">
        <v>67.73</v>
      </c>
      <c r="N171" s="34">
        <v>1.0572900405869401</v>
      </c>
      <c r="O171" s="34">
        <v>1.05905106792887</v>
      </c>
      <c r="P171" s="34">
        <v>1.0578258796687201</v>
      </c>
      <c r="Q171" s="34">
        <v>1.0588589586526</v>
      </c>
      <c r="R171" s="33">
        <v>67.842811411523996</v>
      </c>
      <c r="S171" s="33">
        <v>67.771780911289198</v>
      </c>
      <c r="T171" s="33">
        <v>67.854782108677199</v>
      </c>
      <c r="U171" s="15">
        <v>1.6642191953768E-3</v>
      </c>
      <c r="V171" s="15">
        <v>6.1668433185748598E-4</v>
      </c>
      <c r="W171" s="15">
        <v>1.8406511699417601E-3</v>
      </c>
      <c r="X171" s="34">
        <v>1.0572900405869401</v>
      </c>
      <c r="Y171" s="34">
        <v>1.0594170994200001</v>
      </c>
      <c r="Z171" s="34">
        <v>1.0578258796687201</v>
      </c>
      <c r="AA171" s="34">
        <v>1.0588589586526</v>
      </c>
      <c r="AB171" s="33">
        <v>67.866259388845606</v>
      </c>
      <c r="AC171" s="33">
        <v>67.771780911289198</v>
      </c>
      <c r="AD171" s="33">
        <v>67.854782108677199</v>
      </c>
      <c r="AE171" s="15">
        <v>2.0097816167634298E-3</v>
      </c>
      <c r="AF171" s="15">
        <v>6.1668433185726405E-4</v>
      </c>
      <c r="AG171" s="15">
        <v>1.84065116994154E-3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1.0889479638445911E-2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4.1255980189731844E-3</v>
      </c>
      <c r="BE171" s="29">
        <f t="shared" si="62"/>
        <v>0</v>
      </c>
      <c r="BF171" s="29">
        <f t="shared" si="63"/>
        <v>1.5015077657419097E-2</v>
      </c>
      <c r="BH171" s="29"/>
    </row>
    <row r="172" spans="1:60" x14ac:dyDescent="0.3">
      <c r="A172" s="1">
        <v>46273</v>
      </c>
      <c r="B172" s="33">
        <v>64.77</v>
      </c>
      <c r="C172" s="33">
        <v>68.38</v>
      </c>
      <c r="D172" s="15">
        <v>1.1022389013813499E-2</v>
      </c>
      <c r="E172" s="15">
        <v>9.5511709843427595E-3</v>
      </c>
      <c r="F172" s="33">
        <v>0</v>
      </c>
      <c r="G172" s="33">
        <v>0.77005999999999997</v>
      </c>
      <c r="H172" s="33">
        <v>0</v>
      </c>
      <c r="I172" s="33">
        <v>0.61581699999999995</v>
      </c>
      <c r="J172" s="33">
        <v>0</v>
      </c>
      <c r="K172" s="33">
        <v>0</v>
      </c>
      <c r="L172" s="33">
        <v>64.77</v>
      </c>
      <c r="M172" s="33">
        <v>68.38</v>
      </c>
      <c r="N172" s="34">
        <v>1.05573568009881</v>
      </c>
      <c r="O172" s="34">
        <v>1.05905106792887</v>
      </c>
      <c r="P172" s="34">
        <v>1.0575366684043199</v>
      </c>
      <c r="Q172" s="34">
        <v>1.0584802391680099</v>
      </c>
      <c r="R172" s="33">
        <v>68.594737669753499</v>
      </c>
      <c r="S172" s="33">
        <v>68.515382226143103</v>
      </c>
      <c r="T172" s="33">
        <v>68.582294751929197</v>
      </c>
      <c r="U172" s="15">
        <v>3.1354372248475698E-3</v>
      </c>
      <c r="V172" s="15">
        <v>1.9778938935263199E-3</v>
      </c>
      <c r="W172" s="15">
        <v>2.9540232134969602E-3</v>
      </c>
      <c r="X172" s="34">
        <v>1.05573568009881</v>
      </c>
      <c r="Y172" s="34">
        <v>1.0594170994200001</v>
      </c>
      <c r="Z172" s="34">
        <v>1.0575366684043199</v>
      </c>
      <c r="AA172" s="34">
        <v>1.0584802391680099</v>
      </c>
      <c r="AB172" s="33">
        <v>68.618445529433799</v>
      </c>
      <c r="AC172" s="33">
        <v>68.515382226143103</v>
      </c>
      <c r="AD172" s="33">
        <v>68.582294751929197</v>
      </c>
      <c r="AE172" s="15">
        <v>3.4809996462338601E-3</v>
      </c>
      <c r="AF172" s="15">
        <v>1.9778938935263199E-3</v>
      </c>
      <c r="AG172" s="15">
        <v>2.9540232134969602E-3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1.0889479638445911E-2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4.1255980189731844E-3</v>
      </c>
      <c r="BE172" s="29">
        <f t="shared" si="62"/>
        <v>0</v>
      </c>
      <c r="BF172" s="29">
        <f t="shared" si="63"/>
        <v>1.5015077657419097E-2</v>
      </c>
      <c r="BH172" s="29"/>
    </row>
    <row r="173" spans="1:60" x14ac:dyDescent="0.3">
      <c r="A173" s="1">
        <v>46274</v>
      </c>
      <c r="B173" s="33">
        <v>65.31</v>
      </c>
      <c r="C173" s="33">
        <v>68.91</v>
      </c>
      <c r="D173" s="15">
        <v>8.3026307197402692E-3</v>
      </c>
      <c r="E173" s="15">
        <v>7.7209211579613302E-3</v>
      </c>
      <c r="F173" s="33">
        <v>0</v>
      </c>
      <c r="G173" s="33">
        <v>0.77005999999999997</v>
      </c>
      <c r="H173" s="33">
        <v>0</v>
      </c>
      <c r="I173" s="33">
        <v>0.61581699999999995</v>
      </c>
      <c r="J173" s="33">
        <v>0</v>
      </c>
      <c r="K173" s="33">
        <v>0</v>
      </c>
      <c r="L173" s="33">
        <v>65.31</v>
      </c>
      <c r="M173" s="33">
        <v>68.91</v>
      </c>
      <c r="N173" s="34">
        <v>1.05512172714745</v>
      </c>
      <c r="O173" s="34">
        <v>1.05905106792887</v>
      </c>
      <c r="P173" s="34">
        <v>1.0571352091499999</v>
      </c>
      <c r="Q173" s="34">
        <v>1.0581672298418101</v>
      </c>
      <c r="R173" s="33">
        <v>69.166625246435103</v>
      </c>
      <c r="S173" s="33">
        <v>69.067719813486207</v>
      </c>
      <c r="T173" s="33">
        <v>69.129344420063006</v>
      </c>
      <c r="U173" s="15">
        <v>3.7171467866265401E-3</v>
      </c>
      <c r="V173" s="15">
        <v>2.28616449660996E-3</v>
      </c>
      <c r="W173" s="15">
        <v>3.1780012516544002E-3</v>
      </c>
      <c r="X173" s="34">
        <v>1.05512172714745</v>
      </c>
      <c r="Y173" s="34">
        <v>1.0594170994200001</v>
      </c>
      <c r="Z173" s="34">
        <v>1.0571352091499999</v>
      </c>
      <c r="AA173" s="34">
        <v>1.0581672298418101</v>
      </c>
      <c r="AB173" s="33">
        <v>69.190530763120606</v>
      </c>
      <c r="AC173" s="33">
        <v>69.067719813486207</v>
      </c>
      <c r="AD173" s="33">
        <v>69.129344420063006</v>
      </c>
      <c r="AE173" s="15">
        <v>4.0627092080128798E-3</v>
      </c>
      <c r="AF173" s="15">
        <v>2.28616449660996E-3</v>
      </c>
      <c r="AG173" s="15">
        <v>3.1780012516546201E-3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1.0889479638445911E-2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4.1255980189731844E-3</v>
      </c>
      <c r="BE173" s="29">
        <f t="shared" si="62"/>
        <v>0</v>
      </c>
      <c r="BF173" s="29">
        <f t="shared" si="63"/>
        <v>1.5015077657419097E-2</v>
      </c>
      <c r="BH173" s="29"/>
    </row>
    <row r="174" spans="1:60" x14ac:dyDescent="0.3">
      <c r="A174" s="1">
        <v>46275</v>
      </c>
      <c r="B174" s="33">
        <v>64.930000000000007</v>
      </c>
      <c r="C174" s="33">
        <v>68.61</v>
      </c>
      <c r="D174" s="15">
        <v>-5.8353973941702901E-3</v>
      </c>
      <c r="E174" s="15">
        <v>-4.3630086663170899E-3</v>
      </c>
      <c r="F174" s="33">
        <v>0</v>
      </c>
      <c r="G174" s="33">
        <v>0.77005999999999997</v>
      </c>
      <c r="H174" s="33">
        <v>0</v>
      </c>
      <c r="I174" s="33">
        <v>0.61581699999999995</v>
      </c>
      <c r="J174" s="33">
        <v>0</v>
      </c>
      <c r="K174" s="33">
        <v>0</v>
      </c>
      <c r="L174" s="33">
        <v>64.930000000000007</v>
      </c>
      <c r="M174" s="33">
        <v>68.61</v>
      </c>
      <c r="N174" s="34">
        <v>1.0566764207608099</v>
      </c>
      <c r="O174" s="34">
        <v>1.05905106792887</v>
      </c>
      <c r="P174" s="34">
        <v>1.0570043569124501</v>
      </c>
      <c r="Q174" s="34">
        <v>1.05791240595113</v>
      </c>
      <c r="R174" s="33">
        <v>68.764185840622105</v>
      </c>
      <c r="S174" s="33">
        <v>68.639789130109705</v>
      </c>
      <c r="T174" s="33">
        <v>68.706798233629101</v>
      </c>
      <c r="U174" s="15">
        <v>2.2447580587732401E-3</v>
      </c>
      <c r="V174" s="15">
        <v>4.3408635840300902E-4</v>
      </c>
      <c r="W174" s="15">
        <v>1.4098529955253599E-3</v>
      </c>
      <c r="X174" s="34">
        <v>1.0566764207608099</v>
      </c>
      <c r="Y174" s="34">
        <v>1.0594170994200001</v>
      </c>
      <c r="Z174" s="34">
        <v>1.0570043569124501</v>
      </c>
      <c r="AA174" s="34">
        <v>1.05791240595113</v>
      </c>
      <c r="AB174" s="33">
        <v>68.787952265341005</v>
      </c>
      <c r="AC174" s="33">
        <v>68.639789130109705</v>
      </c>
      <c r="AD174" s="33">
        <v>68.706798233629101</v>
      </c>
      <c r="AE174" s="15">
        <v>2.5903204801595598E-3</v>
      </c>
      <c r="AF174" s="15">
        <v>4.3408635840300902E-4</v>
      </c>
      <c r="AG174" s="15">
        <v>1.4098529955253599E-3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1.0889479638445911E-2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4.1255980189731844E-3</v>
      </c>
      <c r="BE174" s="29">
        <f t="shared" si="62"/>
        <v>0</v>
      </c>
      <c r="BF174" s="29">
        <f t="shared" si="63"/>
        <v>1.5015077657419097E-2</v>
      </c>
      <c r="BH174" s="29"/>
    </row>
    <row r="175" spans="1:60" x14ac:dyDescent="0.3">
      <c r="A175" s="1">
        <v>46276</v>
      </c>
      <c r="B175" s="33">
        <v>65.14</v>
      </c>
      <c r="C175" s="33">
        <v>68.819999999999993</v>
      </c>
      <c r="D175" s="15">
        <v>3.2290333276919201E-3</v>
      </c>
      <c r="E175" s="15">
        <v>3.05610366653467E-3</v>
      </c>
      <c r="F175" s="33">
        <v>0</v>
      </c>
      <c r="G175" s="33">
        <v>0.77005999999999997</v>
      </c>
      <c r="H175" s="33">
        <v>0</v>
      </c>
      <c r="I175" s="33">
        <v>0.61581699999999995</v>
      </c>
      <c r="J175" s="33">
        <v>0</v>
      </c>
      <c r="K175" s="33">
        <v>0</v>
      </c>
      <c r="L175" s="33">
        <v>65.14</v>
      </c>
      <c r="M175" s="33">
        <v>68.819999999999993</v>
      </c>
      <c r="N175" s="34">
        <v>1.05649370586429</v>
      </c>
      <c r="O175" s="34">
        <v>1.05905106792887</v>
      </c>
      <c r="P175" s="34">
        <v>1.05681009288658</v>
      </c>
      <c r="Q175" s="34">
        <v>1.0576990958300001</v>
      </c>
      <c r="R175" s="33">
        <v>68.986586564887205</v>
      </c>
      <c r="S175" s="33">
        <v>68.853263809277294</v>
      </c>
      <c r="T175" s="33">
        <v>68.912414123656802</v>
      </c>
      <c r="U175" s="15">
        <v>2.4176877199304199E-3</v>
      </c>
      <c r="V175" s="15">
        <v>4.8322831905382599E-4</v>
      </c>
      <c r="W175" s="15">
        <v>1.3419373807259201E-3</v>
      </c>
      <c r="X175" s="34">
        <v>1.05649370586429</v>
      </c>
      <c r="Y175" s="34">
        <v>1.0594170994200001</v>
      </c>
      <c r="Z175" s="34">
        <v>1.05681009288658</v>
      </c>
      <c r="AA175" s="34">
        <v>1.0576990958300001</v>
      </c>
      <c r="AB175" s="33">
        <v>69.010429856219204</v>
      </c>
      <c r="AC175" s="33">
        <v>68.853263809277294</v>
      </c>
      <c r="AD175" s="33">
        <v>68.912414123656802</v>
      </c>
      <c r="AE175" s="15">
        <v>2.7632501413166598E-3</v>
      </c>
      <c r="AF175" s="15">
        <v>4.8322831905382599E-4</v>
      </c>
      <c r="AG175" s="15">
        <v>1.3419373807259201E-3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1.0889479638445911E-2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4.1255980189731844E-3</v>
      </c>
      <c r="BE175" s="29">
        <f t="shared" si="62"/>
        <v>0</v>
      </c>
      <c r="BF175" s="29">
        <f t="shared" si="63"/>
        <v>1.5015077657419097E-2</v>
      </c>
      <c r="BH175" s="29"/>
    </row>
    <row r="176" spans="1:60" x14ac:dyDescent="0.3">
      <c r="A176" s="1">
        <v>46279</v>
      </c>
      <c r="B176" s="33">
        <v>64.53</v>
      </c>
      <c r="C176" s="33">
        <v>68.180000000000007</v>
      </c>
      <c r="D176" s="15">
        <v>-9.4085679003390807E-3</v>
      </c>
      <c r="E176" s="15">
        <v>-9.3431336595771308E-3</v>
      </c>
      <c r="F176" s="33">
        <v>0</v>
      </c>
      <c r="G176" s="33">
        <v>0.77005999999999997</v>
      </c>
      <c r="H176" s="33">
        <v>0</v>
      </c>
      <c r="I176" s="33">
        <v>0.61581699999999995</v>
      </c>
      <c r="J176" s="33">
        <v>0</v>
      </c>
      <c r="K176" s="33">
        <v>0</v>
      </c>
      <c r="L176" s="33">
        <v>64.53</v>
      </c>
      <c r="M176" s="33">
        <v>68.180000000000007</v>
      </c>
      <c r="N176" s="34">
        <v>1.05656283898961</v>
      </c>
      <c r="O176" s="34">
        <v>1.05905106792887</v>
      </c>
      <c r="P176" s="34">
        <v>1.0567707801039901</v>
      </c>
      <c r="Q176" s="34">
        <v>1.0574986478909301</v>
      </c>
      <c r="R176" s="33">
        <v>68.340565413450605</v>
      </c>
      <c r="S176" s="33">
        <v>68.195955293971394</v>
      </c>
      <c r="T176" s="33">
        <v>68.253322653909905</v>
      </c>
      <c r="U176" s="15">
        <v>2.3522534791685099E-3</v>
      </c>
      <c r="V176" s="15">
        <v>2.3398984094836299E-4</v>
      </c>
      <c r="W176" s="15">
        <v>1.07484974407787E-3</v>
      </c>
      <c r="X176" s="34">
        <v>1.05656283898961</v>
      </c>
      <c r="Y176" s="34">
        <v>1.0594170994200001</v>
      </c>
      <c r="Z176" s="34">
        <v>1.0567707801039901</v>
      </c>
      <c r="AA176" s="34">
        <v>1.0574986478909301</v>
      </c>
      <c r="AB176" s="33">
        <v>68.364185425572998</v>
      </c>
      <c r="AC176" s="33">
        <v>68.195955293971394</v>
      </c>
      <c r="AD176" s="33">
        <v>68.253322653909905</v>
      </c>
      <c r="AE176" s="15">
        <v>2.6978159005548699E-3</v>
      </c>
      <c r="AF176" s="15">
        <v>2.3398984094836299E-4</v>
      </c>
      <c r="AG176" s="15">
        <v>1.0748497440780901E-3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0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1.0889479638445911E-2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0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4.1255980189731844E-3</v>
      </c>
      <c r="BE176" s="29">
        <f t="shared" si="62"/>
        <v>0</v>
      </c>
      <c r="BF176" s="29">
        <f t="shared" si="63"/>
        <v>1.5015077657419097E-2</v>
      </c>
      <c r="BH176" s="29"/>
    </row>
    <row r="177" spans="1:100" x14ac:dyDescent="0.3">
      <c r="A177" s="1">
        <v>46280</v>
      </c>
      <c r="B177" s="33">
        <v>65.930000000000007</v>
      </c>
      <c r="C177" s="33">
        <v>69.25</v>
      </c>
      <c r="D177" s="15">
        <v>2.1463341177459998E-2</v>
      </c>
      <c r="E177" s="15">
        <v>1.5571878357690701E-2</v>
      </c>
      <c r="F177" s="33">
        <v>0</v>
      </c>
      <c r="G177" s="33">
        <v>0.77005999999999997</v>
      </c>
      <c r="H177" s="33">
        <v>0.39350299999999999</v>
      </c>
      <c r="I177" s="33">
        <v>1.00932</v>
      </c>
      <c r="J177" s="33">
        <v>0</v>
      </c>
      <c r="K177" s="33">
        <v>0.39350299999999999</v>
      </c>
      <c r="L177" s="33">
        <v>65.930000000000007</v>
      </c>
      <c r="M177" s="33">
        <v>69.643502999999995</v>
      </c>
      <c r="N177" s="34">
        <v>1.0503564386470401</v>
      </c>
      <c r="O177" s="34">
        <v>1.05905106792887</v>
      </c>
      <c r="P177" s="34">
        <v>1.05613100182985</v>
      </c>
      <c r="Q177" s="34">
        <v>1.057076233326</v>
      </c>
      <c r="R177" s="33">
        <v>69.823236908550996</v>
      </c>
      <c r="S177" s="33">
        <v>69.672897532256101</v>
      </c>
      <c r="T177" s="33">
        <v>69.720885855449296</v>
      </c>
      <c r="U177" s="15">
        <v>8.2437162989376801E-3</v>
      </c>
      <c r="V177" s="15">
        <v>6.0882524919403597E-3</v>
      </c>
      <c r="W177" s="15">
        <v>6.7767814051060901E-3</v>
      </c>
      <c r="X177" s="34">
        <v>1.05632493553769</v>
      </c>
      <c r="Y177" s="34">
        <v>1.0594170994200001</v>
      </c>
      <c r="Z177" s="34">
        <v>1.05672785151892</v>
      </c>
      <c r="AA177" s="34">
        <v>1.0573746581705299</v>
      </c>
      <c r="AB177" s="33">
        <v>69.847369364760993</v>
      </c>
      <c r="AC177" s="33">
        <v>69.672897532256101</v>
      </c>
      <c r="AD177" s="33">
        <v>69.720885855449296</v>
      </c>
      <c r="AE177" s="15">
        <v>2.9230086020313501E-3</v>
      </c>
      <c r="AF177" s="15">
        <v>4.2198237364775401E-4</v>
      </c>
      <c r="AG177" s="15">
        <v>1.1105112868134901E-3</v>
      </c>
      <c r="AJ177">
        <f t="shared" ref="AJ177:AJ186" si="64">IF($AG177&lt;AI$21,1,0)</f>
        <v>0</v>
      </c>
      <c r="AK177">
        <f t="shared" ref="AK177:AK186" si="65">IF($AG177&gt;AI$22,1,0)</f>
        <v>1</v>
      </c>
      <c r="AL177">
        <f t="shared" ref="AL177:AL186" si="66">AN177</f>
        <v>0</v>
      </c>
      <c r="AM177">
        <f t="shared" ref="AM177:AM186" si="67">IF(F178+H178&gt;0,0,1)</f>
        <v>1</v>
      </c>
      <c r="AN177">
        <f t="shared" ref="AN177:AN186" si="68">IF(AJ176,1,IF(AK176,0,AL176))*AM176</f>
        <v>0</v>
      </c>
      <c r="AO177" s="28">
        <f t="shared" ref="AO177:AO186" si="69">AN177*D177</f>
        <v>0</v>
      </c>
      <c r="AP177" s="28">
        <f t="shared" ref="AP177:AP186" si="70">-AN177*$E177</f>
        <v>0</v>
      </c>
      <c r="AQ177" s="28">
        <f t="shared" ref="AQ177:AQ186" si="71">AO177+AP177</f>
        <v>0</v>
      </c>
      <c r="AR177" s="29">
        <f t="shared" ref="AR177:AR186" si="72">AR176+AQ177</f>
        <v>1.0889479638445911E-2</v>
      </c>
      <c r="AU177">
        <f t="shared" ref="AU177:AU186" si="73">IF($AG177&gt;AT$21,1,0)</f>
        <v>0</v>
      </c>
      <c r="AV177">
        <f t="shared" ref="AV177:AV186" si="74">IF($AG177&lt;AT$22,1,0)</f>
        <v>1</v>
      </c>
      <c r="AW177">
        <f t="shared" ref="AW177:AW186" si="75">AY177</f>
        <v>0</v>
      </c>
      <c r="AX177">
        <f t="shared" ref="AX177:AX186" si="76">IF(F178+H178&gt;0,0,1)</f>
        <v>1</v>
      </c>
      <c r="AY177">
        <f t="shared" ref="AY177:AY186" si="77">IF(AU176,1,IF(AV176,0,AW176))*AX176</f>
        <v>0</v>
      </c>
      <c r="AZ177" s="28">
        <f t="shared" ref="AZ177:AZ186" si="78">-AY177*D177</f>
        <v>0</v>
      </c>
      <c r="BA177" s="28">
        <f t="shared" ref="BA177:BA186" si="79">AY177*$E177</f>
        <v>0</v>
      </c>
      <c r="BB177" s="28">
        <f t="shared" ref="BB177:BB186" si="80">AZ177+BA177</f>
        <v>0</v>
      </c>
      <c r="BC177" s="29">
        <f t="shared" ref="BC177:BC186" si="81">BC176+BB177</f>
        <v>4.1255980189731844E-3</v>
      </c>
      <c r="BE177" s="29">
        <f t="shared" ref="BE177:BE186" si="82">AQ177+BB177</f>
        <v>0</v>
      </c>
      <c r="BF177" s="29">
        <f t="shared" ref="BF177:BF186" si="83">BF176+BE177</f>
        <v>1.5015077657419097E-2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3">
      <c r="A178" s="1">
        <v>46281</v>
      </c>
      <c r="B178" s="33">
        <v>64.03</v>
      </c>
      <c r="C178" s="33">
        <v>67.17</v>
      </c>
      <c r="D178" s="15">
        <v>-2.92418495944975E-2</v>
      </c>
      <c r="E178" s="15">
        <v>-3.0496425788674598E-2</v>
      </c>
      <c r="F178" s="33">
        <v>0</v>
      </c>
      <c r="G178" s="33">
        <v>0.77005999999999997</v>
      </c>
      <c r="H178" s="33">
        <v>0</v>
      </c>
      <c r="I178" s="33">
        <v>1.00932</v>
      </c>
      <c r="J178" s="33">
        <v>0</v>
      </c>
      <c r="K178" s="33">
        <v>0.39350299999999999</v>
      </c>
      <c r="L178" s="33">
        <v>64.03</v>
      </c>
      <c r="M178" s="33">
        <v>67.563502999999997</v>
      </c>
      <c r="N178" s="34">
        <v>1.0490395127284</v>
      </c>
      <c r="O178" s="34">
        <v>1.05905106792887</v>
      </c>
      <c r="P178" s="34">
        <v>1.0552143571477799</v>
      </c>
      <c r="Q178" s="34">
        <v>1.05667802052021</v>
      </c>
      <c r="R178" s="33">
        <v>67.811039879486103</v>
      </c>
      <c r="S178" s="33">
        <v>67.624068047165807</v>
      </c>
      <c r="T178" s="33">
        <v>67.684591219864004</v>
      </c>
      <c r="U178" s="15">
        <v>9.4982924931148894E-3</v>
      </c>
      <c r="V178" s="15">
        <v>6.73723660497601E-3</v>
      </c>
      <c r="W178" s="15">
        <v>7.6318308912892499E-3</v>
      </c>
      <c r="X178" s="34">
        <v>1.0551851163517101</v>
      </c>
      <c r="Y178" s="34">
        <v>1.0594170994200001</v>
      </c>
      <c r="Z178" s="34">
        <v>1.0564257671991699</v>
      </c>
      <c r="AA178" s="34">
        <v>1.0572837255459</v>
      </c>
      <c r="AB178" s="33">
        <v>67.834476875863004</v>
      </c>
      <c r="AC178" s="33">
        <v>67.662284332756599</v>
      </c>
      <c r="AD178" s="33">
        <v>67.703699362659293</v>
      </c>
      <c r="AE178" s="15">
        <v>4.0026333906273796E-3</v>
      </c>
      <c r="AF178" s="15">
        <v>1.46098391846111E-3</v>
      </c>
      <c r="AG178" s="15">
        <v>2.0728810888478401E-3</v>
      </c>
      <c r="AJ178">
        <f t="shared" si="64"/>
        <v>0</v>
      </c>
      <c r="AK178">
        <f t="shared" si="65"/>
        <v>1</v>
      </c>
      <c r="AL178">
        <f t="shared" si="66"/>
        <v>0</v>
      </c>
      <c r="AM178">
        <f t="shared" si="67"/>
        <v>1</v>
      </c>
      <c r="AN178">
        <f t="shared" si="68"/>
        <v>0</v>
      </c>
      <c r="AO178" s="28">
        <f t="shared" si="69"/>
        <v>0</v>
      </c>
      <c r="AP178" s="28">
        <f t="shared" si="70"/>
        <v>0</v>
      </c>
      <c r="AQ178" s="28">
        <f t="shared" si="71"/>
        <v>0</v>
      </c>
      <c r="AR178" s="29">
        <f t="shared" si="72"/>
        <v>1.0889479638445911E-2</v>
      </c>
      <c r="AU178">
        <f t="shared" si="73"/>
        <v>0</v>
      </c>
      <c r="AV178">
        <f t="shared" si="74"/>
        <v>0</v>
      </c>
      <c r="AW178">
        <f t="shared" si="75"/>
        <v>0</v>
      </c>
      <c r="AX178">
        <f t="shared" si="76"/>
        <v>1</v>
      </c>
      <c r="AY178">
        <f t="shared" si="77"/>
        <v>0</v>
      </c>
      <c r="AZ178" s="28">
        <f t="shared" si="78"/>
        <v>0</v>
      </c>
      <c r="BA178" s="28">
        <f t="shared" si="79"/>
        <v>0</v>
      </c>
      <c r="BB178" s="28">
        <f t="shared" si="80"/>
        <v>0</v>
      </c>
      <c r="BC178" s="29">
        <f t="shared" si="81"/>
        <v>4.1255980189731844E-3</v>
      </c>
      <c r="BE178" s="29">
        <f t="shared" si="82"/>
        <v>0</v>
      </c>
      <c r="BF178" s="29">
        <f t="shared" si="83"/>
        <v>1.5015077657419097E-2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3">
      <c r="A179" s="1">
        <v>46282</v>
      </c>
      <c r="B179" s="33">
        <v>64.48</v>
      </c>
      <c r="C179" s="33">
        <v>67.64</v>
      </c>
      <c r="D179" s="15">
        <v>7.0033746676620599E-3</v>
      </c>
      <c r="E179" s="15">
        <v>6.97280475160637E-3</v>
      </c>
      <c r="F179" s="33">
        <v>0</v>
      </c>
      <c r="G179" s="33">
        <v>0.77005999999999997</v>
      </c>
      <c r="H179" s="33">
        <v>0</v>
      </c>
      <c r="I179" s="33">
        <v>1.00932</v>
      </c>
      <c r="J179" s="33">
        <v>0</v>
      </c>
      <c r="K179" s="33">
        <v>0.39350299999999999</v>
      </c>
      <c r="L179" s="33">
        <v>64.48</v>
      </c>
      <c r="M179" s="33">
        <v>68.033502999999996</v>
      </c>
      <c r="N179" s="34">
        <v>1.04900744416873</v>
      </c>
      <c r="O179" s="34">
        <v>1.05905106792887</v>
      </c>
      <c r="P179" s="34">
        <v>1.0544315378165701</v>
      </c>
      <c r="Q179" s="34">
        <v>1.05621080858269</v>
      </c>
      <c r="R179" s="33">
        <v>68.287612860054097</v>
      </c>
      <c r="S179" s="33">
        <v>68.040221748888996</v>
      </c>
      <c r="T179" s="33">
        <v>68.134598763143302</v>
      </c>
      <c r="U179" s="15">
        <v>9.5288624091706998E-3</v>
      </c>
      <c r="V179" s="15">
        <v>5.8995025879295098E-3</v>
      </c>
      <c r="W179" s="15">
        <v>7.2856183031561397E-3</v>
      </c>
      <c r="X179" s="34">
        <v>1.05511015818858</v>
      </c>
      <c r="Y179" s="34">
        <v>1.0594170994200001</v>
      </c>
      <c r="Z179" s="34">
        <v>1.0562532192699501</v>
      </c>
      <c r="AA179" s="34">
        <v>1.05712164930938</v>
      </c>
      <c r="AB179" s="33">
        <v>68.311214570602004</v>
      </c>
      <c r="AC179" s="33">
        <v>68.118333469002906</v>
      </c>
      <c r="AD179" s="33">
        <v>68.173654623200207</v>
      </c>
      <c r="AE179" s="15">
        <v>4.0736738408056498E-3</v>
      </c>
      <c r="AF179" s="15">
        <v>1.2461158391991901E-3</v>
      </c>
      <c r="AG179" s="15">
        <v>2.05791935032072E-3</v>
      </c>
      <c r="AJ179">
        <f t="shared" si="64"/>
        <v>0</v>
      </c>
      <c r="AK179">
        <f t="shared" si="65"/>
        <v>1</v>
      </c>
      <c r="AL179">
        <f t="shared" si="66"/>
        <v>0</v>
      </c>
      <c r="AM179">
        <f t="shared" si="67"/>
        <v>1</v>
      </c>
      <c r="AN179">
        <f t="shared" si="68"/>
        <v>0</v>
      </c>
      <c r="AO179" s="28">
        <f t="shared" si="69"/>
        <v>0</v>
      </c>
      <c r="AP179" s="28">
        <f t="shared" si="70"/>
        <v>0</v>
      </c>
      <c r="AQ179" s="28">
        <f t="shared" si="71"/>
        <v>0</v>
      </c>
      <c r="AR179" s="29">
        <f t="shared" si="72"/>
        <v>1.0889479638445911E-2</v>
      </c>
      <c r="AU179">
        <f t="shared" si="73"/>
        <v>0</v>
      </c>
      <c r="AV179">
        <f t="shared" si="74"/>
        <v>0</v>
      </c>
      <c r="AW179">
        <f t="shared" si="75"/>
        <v>0</v>
      </c>
      <c r="AX179">
        <f t="shared" si="76"/>
        <v>1</v>
      </c>
      <c r="AY179">
        <f t="shared" si="77"/>
        <v>0</v>
      </c>
      <c r="AZ179" s="28">
        <f t="shared" si="78"/>
        <v>0</v>
      </c>
      <c r="BA179" s="28">
        <f t="shared" si="79"/>
        <v>0</v>
      </c>
      <c r="BB179" s="28">
        <f t="shared" si="80"/>
        <v>0</v>
      </c>
      <c r="BC179" s="29">
        <f t="shared" si="81"/>
        <v>4.1255980189731844E-3</v>
      </c>
      <c r="BE179" s="29">
        <f t="shared" si="82"/>
        <v>0</v>
      </c>
      <c r="BF179" s="29">
        <f t="shared" si="83"/>
        <v>1.5015077657419097E-2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3">
      <c r="A180" s="1">
        <v>46283</v>
      </c>
      <c r="B180" s="33">
        <v>64.31</v>
      </c>
      <c r="C180" s="33">
        <v>67.37</v>
      </c>
      <c r="D180" s="15">
        <v>-2.6399580516010398E-3</v>
      </c>
      <c r="E180" s="15">
        <v>-3.99970905781101E-3</v>
      </c>
      <c r="F180" s="33">
        <v>0</v>
      </c>
      <c r="G180" s="33">
        <v>0.77005999999999997</v>
      </c>
      <c r="H180" s="33">
        <v>0</v>
      </c>
      <c r="I180" s="33">
        <v>1.00932</v>
      </c>
      <c r="J180" s="33">
        <v>0</v>
      </c>
      <c r="K180" s="33">
        <v>0.39350299999999999</v>
      </c>
      <c r="L180" s="33">
        <v>64.31</v>
      </c>
      <c r="M180" s="33">
        <v>67.763503</v>
      </c>
      <c r="N180" s="34">
        <v>1.0475820245684899</v>
      </c>
      <c r="O180" s="34">
        <v>1.05905106792887</v>
      </c>
      <c r="P180" s="34">
        <v>1.0533865833560601</v>
      </c>
      <c r="Q180" s="34">
        <v>1.05566441961503</v>
      </c>
      <c r="R180" s="33">
        <v>68.107574178506198</v>
      </c>
      <c r="S180" s="33">
        <v>67.810492196984001</v>
      </c>
      <c r="T180" s="33">
        <v>67.924917099952907</v>
      </c>
      <c r="U180" s="15">
        <v>1.08886134153804E-2</v>
      </c>
      <c r="V180" s="15">
        <v>6.51712016880579E-3</v>
      </c>
      <c r="W180" s="15">
        <v>8.20311987465807E-3</v>
      </c>
      <c r="X180" s="34">
        <v>1.05370087078214</v>
      </c>
      <c r="Y180" s="34">
        <v>1.0594170994200001</v>
      </c>
      <c r="Z180" s="34">
        <v>1.0558201494307999</v>
      </c>
      <c r="AA180" s="34">
        <v>1.0568812026524099</v>
      </c>
      <c r="AB180" s="33">
        <v>68.131113663700603</v>
      </c>
      <c r="AC180" s="33">
        <v>67.927644531250806</v>
      </c>
      <c r="AD180" s="33">
        <v>67.983493267086303</v>
      </c>
      <c r="AE180" s="15">
        <v>5.4102446353188902E-3</v>
      </c>
      <c r="AF180" s="15">
        <v>2.4193414869013198E-3</v>
      </c>
      <c r="AG180" s="15">
        <v>3.2411834622336402E-3</v>
      </c>
      <c r="AJ180">
        <f t="shared" si="64"/>
        <v>0</v>
      </c>
      <c r="AK180">
        <f t="shared" si="65"/>
        <v>1</v>
      </c>
      <c r="AL180">
        <f t="shared" si="66"/>
        <v>0</v>
      </c>
      <c r="AM180">
        <f t="shared" si="67"/>
        <v>0</v>
      </c>
      <c r="AN180">
        <f t="shared" si="68"/>
        <v>0</v>
      </c>
      <c r="AO180" s="28">
        <f t="shared" si="69"/>
        <v>0</v>
      </c>
      <c r="AP180" s="28">
        <f t="shared" si="70"/>
        <v>0</v>
      </c>
      <c r="AQ180" s="28">
        <f t="shared" si="71"/>
        <v>0</v>
      </c>
      <c r="AR180" s="29">
        <f t="shared" si="72"/>
        <v>1.0889479638445911E-2</v>
      </c>
      <c r="AU180">
        <f t="shared" si="73"/>
        <v>0</v>
      </c>
      <c r="AV180">
        <f t="shared" si="74"/>
        <v>0</v>
      </c>
      <c r="AW180">
        <f t="shared" si="75"/>
        <v>0</v>
      </c>
      <c r="AX180">
        <f t="shared" si="76"/>
        <v>0</v>
      </c>
      <c r="AY180">
        <f t="shared" si="77"/>
        <v>0</v>
      </c>
      <c r="AZ180" s="28">
        <f t="shared" si="78"/>
        <v>0</v>
      </c>
      <c r="BA180" s="28">
        <f t="shared" si="79"/>
        <v>0</v>
      </c>
      <c r="BB180" s="28">
        <f t="shared" si="80"/>
        <v>0</v>
      </c>
      <c r="BC180" s="29">
        <f t="shared" si="81"/>
        <v>4.1255980189731844E-3</v>
      </c>
      <c r="BE180" s="29">
        <f t="shared" si="82"/>
        <v>0</v>
      </c>
      <c r="BF180" s="29">
        <f t="shared" si="83"/>
        <v>1.5015077657419097E-2</v>
      </c>
    </row>
    <row r="181" spans="1:100" x14ac:dyDescent="0.3">
      <c r="A181" s="1">
        <v>46286</v>
      </c>
      <c r="B181" s="33">
        <v>62.46</v>
      </c>
      <c r="C181" s="33">
        <v>65.84</v>
      </c>
      <c r="D181" s="15">
        <v>-2.9188788291839299E-2</v>
      </c>
      <c r="E181" s="15">
        <v>-2.2972258603754101E-2</v>
      </c>
      <c r="F181" s="33">
        <v>0.38027699999999998</v>
      </c>
      <c r="G181" s="33">
        <v>1.1503369999999999</v>
      </c>
      <c r="H181" s="33">
        <v>0</v>
      </c>
      <c r="I181" s="33">
        <v>1.00932</v>
      </c>
      <c r="J181" s="33">
        <v>0</v>
      </c>
      <c r="K181" s="33">
        <v>0</v>
      </c>
      <c r="L181" s="33">
        <v>62.46</v>
      </c>
      <c r="M181" s="33">
        <v>65.84</v>
      </c>
      <c r="N181" s="34">
        <v>1.0541146333653499</v>
      </c>
      <c r="O181" s="34">
        <v>1.05905106792887</v>
      </c>
      <c r="P181" s="34">
        <v>1.0530690426339</v>
      </c>
      <c r="Q181" s="34">
        <v>1.0554474611513101</v>
      </c>
      <c r="R181" s="33">
        <v>66.148329702837799</v>
      </c>
      <c r="S181" s="33">
        <v>65.794525996419694</v>
      </c>
      <c r="T181" s="33">
        <v>65.936799649155205</v>
      </c>
      <c r="U181" s="15">
        <v>4.6720837272953199E-3</v>
      </c>
      <c r="V181" s="15">
        <v>-6.9091304192474604E-4</v>
      </c>
      <c r="W181" s="15">
        <v>1.4691458105514101E-3</v>
      </c>
      <c r="X181" s="34">
        <v>1.0541146333653499</v>
      </c>
      <c r="Y181" s="34">
        <v>1.0594170994200001</v>
      </c>
      <c r="Z181" s="34">
        <v>1.0555026087086401</v>
      </c>
      <c r="AA181" s="34">
        <v>1.05666424418868</v>
      </c>
      <c r="AB181" s="33">
        <v>66.171192029773593</v>
      </c>
      <c r="AC181" s="33">
        <v>65.946526533448207</v>
      </c>
      <c r="AD181" s="33">
        <v>66.012799917669497</v>
      </c>
      <c r="AE181" s="15">
        <v>5.0176461486817698E-3</v>
      </c>
      <c r="AF181" s="15">
        <v>1.61665322626739E-3</v>
      </c>
      <c r="AG181" s="15">
        <v>2.6211050005479799E-3</v>
      </c>
      <c r="AJ181">
        <f t="shared" si="64"/>
        <v>0</v>
      </c>
      <c r="AK181">
        <f t="shared" si="65"/>
        <v>1</v>
      </c>
      <c r="AL181">
        <f t="shared" si="66"/>
        <v>0</v>
      </c>
      <c r="AM181">
        <f t="shared" si="67"/>
        <v>1</v>
      </c>
      <c r="AN181">
        <f t="shared" si="68"/>
        <v>0</v>
      </c>
      <c r="AO181" s="28">
        <f t="shared" si="69"/>
        <v>0</v>
      </c>
      <c r="AP181" s="28">
        <f t="shared" si="70"/>
        <v>0</v>
      </c>
      <c r="AQ181" s="28">
        <f t="shared" si="71"/>
        <v>0</v>
      </c>
      <c r="AR181" s="29">
        <f t="shared" si="72"/>
        <v>1.0889479638445911E-2</v>
      </c>
      <c r="AU181">
        <f t="shared" si="73"/>
        <v>0</v>
      </c>
      <c r="AV181">
        <f t="shared" si="74"/>
        <v>0</v>
      </c>
      <c r="AW181">
        <f t="shared" si="75"/>
        <v>0</v>
      </c>
      <c r="AX181">
        <f t="shared" si="76"/>
        <v>1</v>
      </c>
      <c r="AY181">
        <f t="shared" si="77"/>
        <v>0</v>
      </c>
      <c r="AZ181" s="28">
        <f t="shared" si="78"/>
        <v>0</v>
      </c>
      <c r="BA181" s="28">
        <f t="shared" si="79"/>
        <v>0</v>
      </c>
      <c r="BB181" s="28">
        <f t="shared" si="80"/>
        <v>0</v>
      </c>
      <c r="BC181" s="29">
        <f t="shared" si="81"/>
        <v>4.1255980189731844E-3</v>
      </c>
      <c r="BE181" s="29">
        <f t="shared" si="82"/>
        <v>0</v>
      </c>
      <c r="BF181" s="29">
        <f t="shared" si="83"/>
        <v>1.5015077657419097E-2</v>
      </c>
    </row>
    <row r="182" spans="1:100" x14ac:dyDescent="0.3">
      <c r="A182" s="1">
        <v>46287</v>
      </c>
      <c r="B182" s="33">
        <v>61.78</v>
      </c>
      <c r="C182" s="33">
        <v>65.14</v>
      </c>
      <c r="D182" s="15">
        <v>-1.0946664364496801E-2</v>
      </c>
      <c r="E182" s="15">
        <v>-1.06887565207269E-2</v>
      </c>
      <c r="F182" s="33">
        <v>0</v>
      </c>
      <c r="G182" s="33">
        <v>1.1503369999999999</v>
      </c>
      <c r="H182" s="33">
        <v>0</v>
      </c>
      <c r="I182" s="33">
        <v>1.00932</v>
      </c>
      <c r="J182" s="33">
        <v>0</v>
      </c>
      <c r="K182" s="33">
        <v>0</v>
      </c>
      <c r="L182" s="33">
        <v>61.78</v>
      </c>
      <c r="M182" s="33">
        <v>65.14</v>
      </c>
      <c r="N182" s="34">
        <v>1.05438653285853</v>
      </c>
      <c r="O182" s="34">
        <v>1.05905106792887</v>
      </c>
      <c r="P182" s="34">
        <v>1.0529341279098701</v>
      </c>
      <c r="Q182" s="34">
        <v>1.0552353981570901</v>
      </c>
      <c r="R182" s="33">
        <v>65.428174976646105</v>
      </c>
      <c r="S182" s="33">
        <v>65.058605453922496</v>
      </c>
      <c r="T182" s="33">
        <v>65.205544149928102</v>
      </c>
      <c r="U182" s="15">
        <v>4.4141758835252298E-3</v>
      </c>
      <c r="V182" s="15">
        <v>-1.25031380170687E-3</v>
      </c>
      <c r="W182" s="15">
        <v>1.00569844377918E-3</v>
      </c>
      <c r="X182" s="34">
        <v>1.05438653285853</v>
      </c>
      <c r="Y182" s="34">
        <v>1.0594170994200001</v>
      </c>
      <c r="Z182" s="34">
        <v>1.0553676939846199</v>
      </c>
      <c r="AA182" s="34">
        <v>1.05645218119447</v>
      </c>
      <c r="AB182" s="33">
        <v>65.450788402168001</v>
      </c>
      <c r="AC182" s="33">
        <v>65.208951166020199</v>
      </c>
      <c r="AD182" s="33">
        <v>65.280717005976996</v>
      </c>
      <c r="AE182" s="15">
        <v>4.7597383049117698E-3</v>
      </c>
      <c r="AF182" s="15">
        <v>1.05794748380619E-3</v>
      </c>
      <c r="AG182" s="15">
        <v>2.1578942948870302E-3</v>
      </c>
      <c r="AJ182">
        <f t="shared" si="64"/>
        <v>0</v>
      </c>
      <c r="AK182">
        <f t="shared" si="65"/>
        <v>1</v>
      </c>
      <c r="AL182">
        <f t="shared" si="66"/>
        <v>0</v>
      </c>
      <c r="AM182">
        <f t="shared" si="67"/>
        <v>1</v>
      </c>
      <c r="AN182">
        <f t="shared" si="68"/>
        <v>0</v>
      </c>
      <c r="AO182" s="28">
        <f t="shared" si="69"/>
        <v>0</v>
      </c>
      <c r="AP182" s="28">
        <f t="shared" si="70"/>
        <v>0</v>
      </c>
      <c r="AQ182" s="28">
        <f t="shared" si="71"/>
        <v>0</v>
      </c>
      <c r="AR182" s="29">
        <f t="shared" si="72"/>
        <v>1.0889479638445911E-2</v>
      </c>
      <c r="AU182">
        <f t="shared" si="73"/>
        <v>0</v>
      </c>
      <c r="AV182">
        <f t="shared" si="74"/>
        <v>0</v>
      </c>
      <c r="AW182">
        <f t="shared" si="75"/>
        <v>0</v>
      </c>
      <c r="AX182">
        <f t="shared" si="76"/>
        <v>1</v>
      </c>
      <c r="AY182">
        <f t="shared" si="77"/>
        <v>0</v>
      </c>
      <c r="AZ182" s="28">
        <f t="shared" si="78"/>
        <v>0</v>
      </c>
      <c r="BA182" s="28">
        <f t="shared" si="79"/>
        <v>0</v>
      </c>
      <c r="BB182" s="28">
        <f t="shared" si="80"/>
        <v>0</v>
      </c>
      <c r="BC182" s="29">
        <f t="shared" si="81"/>
        <v>4.1255980189731844E-3</v>
      </c>
      <c r="BE182" s="29">
        <f t="shared" si="82"/>
        <v>0</v>
      </c>
      <c r="BF182" s="29">
        <f t="shared" si="83"/>
        <v>1.5015077657419097E-2</v>
      </c>
    </row>
    <row r="183" spans="1:100" x14ac:dyDescent="0.3">
      <c r="A183" s="1">
        <v>46288</v>
      </c>
      <c r="B183" s="33">
        <v>62.37</v>
      </c>
      <c r="C183" s="33">
        <v>65.760000000000005</v>
      </c>
      <c r="D183" s="15">
        <v>9.5047030475955904E-3</v>
      </c>
      <c r="E183" s="15">
        <v>9.4729508998370893E-3</v>
      </c>
      <c r="F183" s="33">
        <v>0</v>
      </c>
      <c r="G183" s="33">
        <v>1.1503369999999999</v>
      </c>
      <c r="H183" s="33">
        <v>0</v>
      </c>
      <c r="I183" s="33">
        <v>1.00932</v>
      </c>
      <c r="J183" s="33">
        <v>0</v>
      </c>
      <c r="K183" s="33">
        <v>0</v>
      </c>
      <c r="L183" s="33">
        <v>62.37</v>
      </c>
      <c r="M183" s="33">
        <v>65.760000000000005</v>
      </c>
      <c r="N183" s="34">
        <v>1.0543530543530499</v>
      </c>
      <c r="O183" s="34">
        <v>1.05905106792887</v>
      </c>
      <c r="P183" s="34">
        <v>1.0528572606304301</v>
      </c>
      <c r="Q183" s="34">
        <v>1.05499623489021</v>
      </c>
      <c r="R183" s="33">
        <v>66.053015106724203</v>
      </c>
      <c r="S183" s="33">
        <v>65.671501557738907</v>
      </c>
      <c r="T183" s="33">
        <v>65.815031783058203</v>
      </c>
      <c r="U183" s="15">
        <v>4.4459280312836996E-3</v>
      </c>
      <c r="V183" s="15">
        <v>-1.34668560561191E-3</v>
      </c>
      <c r="W183" s="15">
        <v>8.3650804444366296E-4</v>
      </c>
      <c r="X183" s="34">
        <v>1.0543530543530499</v>
      </c>
      <c r="Y183" s="34">
        <v>1.0594170994200001</v>
      </c>
      <c r="Z183" s="34">
        <v>1.0552908267051799</v>
      </c>
      <c r="AA183" s="34">
        <v>1.0562130179275899</v>
      </c>
      <c r="AB183" s="33">
        <v>66.075844490825801</v>
      </c>
      <c r="AC183" s="33">
        <v>65.823283073820704</v>
      </c>
      <c r="AD183" s="33">
        <v>65.890922541099101</v>
      </c>
      <c r="AE183" s="15">
        <v>4.7914904526702501E-3</v>
      </c>
      <c r="AF183" s="15">
        <v>9.6187110127570299E-4</v>
      </c>
      <c r="AG183" s="15">
        <v>1.9889353106134302E-3</v>
      </c>
      <c r="AJ183">
        <f t="shared" si="64"/>
        <v>0</v>
      </c>
      <c r="AK183">
        <f t="shared" si="65"/>
        <v>1</v>
      </c>
      <c r="AL183">
        <f t="shared" si="66"/>
        <v>0</v>
      </c>
      <c r="AM183">
        <f t="shared" si="67"/>
        <v>1</v>
      </c>
      <c r="AN183">
        <f t="shared" si="68"/>
        <v>0</v>
      </c>
      <c r="AO183" s="28">
        <f t="shared" si="69"/>
        <v>0</v>
      </c>
      <c r="AP183" s="28">
        <f t="shared" si="70"/>
        <v>0</v>
      </c>
      <c r="AQ183" s="28">
        <f t="shared" si="71"/>
        <v>0</v>
      </c>
      <c r="AR183" s="29">
        <f t="shared" si="72"/>
        <v>1.0889479638445911E-2</v>
      </c>
      <c r="AU183">
        <f t="shared" si="73"/>
        <v>0</v>
      </c>
      <c r="AV183">
        <f t="shared" si="74"/>
        <v>1</v>
      </c>
      <c r="AW183">
        <f t="shared" si="75"/>
        <v>0</v>
      </c>
      <c r="AX183">
        <f t="shared" si="76"/>
        <v>1</v>
      </c>
      <c r="AY183">
        <f t="shared" si="77"/>
        <v>0</v>
      </c>
      <c r="AZ183" s="28">
        <f t="shared" si="78"/>
        <v>0</v>
      </c>
      <c r="BA183" s="28">
        <f t="shared" si="79"/>
        <v>0</v>
      </c>
      <c r="BB183" s="28">
        <f t="shared" si="80"/>
        <v>0</v>
      </c>
      <c r="BC183" s="29">
        <f t="shared" si="81"/>
        <v>4.1255980189731844E-3</v>
      </c>
      <c r="BE183" s="29">
        <f t="shared" si="82"/>
        <v>0</v>
      </c>
      <c r="BF183" s="29">
        <f t="shared" si="83"/>
        <v>1.5015077657419097E-2</v>
      </c>
    </row>
    <row r="184" spans="1:100" x14ac:dyDescent="0.3">
      <c r="A184" s="1">
        <v>46289</v>
      </c>
      <c r="B184" s="33">
        <v>62.6</v>
      </c>
      <c r="C184" s="33">
        <v>65.97</v>
      </c>
      <c r="D184" s="15">
        <v>3.6808875680217198E-3</v>
      </c>
      <c r="E184" s="15">
        <v>3.1883424868548401E-3</v>
      </c>
      <c r="F184" s="33">
        <v>0</v>
      </c>
      <c r="G184" s="33">
        <v>1.1503369999999999</v>
      </c>
      <c r="H184" s="33">
        <v>0</v>
      </c>
      <c r="I184" s="33">
        <v>1.00932</v>
      </c>
      <c r="J184" s="33">
        <v>0</v>
      </c>
      <c r="K184" s="33">
        <v>0</v>
      </c>
      <c r="L184" s="33">
        <v>62.6</v>
      </c>
      <c r="M184" s="33">
        <v>65.97</v>
      </c>
      <c r="N184" s="34">
        <v>1.05383386581469</v>
      </c>
      <c r="O184" s="34">
        <v>1.05905106792887</v>
      </c>
      <c r="P184" s="34">
        <v>1.05257300513582</v>
      </c>
      <c r="Q184" s="34">
        <v>1.05478868102413</v>
      </c>
      <c r="R184" s="33">
        <v>66.296596852347804</v>
      </c>
      <c r="S184" s="33">
        <v>65.908864515465197</v>
      </c>
      <c r="T184" s="33">
        <v>66.042764304127701</v>
      </c>
      <c r="U184" s="15">
        <v>4.9384731124504002E-3</v>
      </c>
      <c r="V184" s="15">
        <v>-9.2714612214277799E-4</v>
      </c>
      <c r="W184" s="15">
        <v>1.10238296849868E-3</v>
      </c>
      <c r="X184" s="34">
        <v>1.05383386581469</v>
      </c>
      <c r="Y184" s="34">
        <v>1.0594170994200001</v>
      </c>
      <c r="Z184" s="34">
        <v>1.0550065712105601</v>
      </c>
      <c r="AA184" s="34">
        <v>1.05600546406151</v>
      </c>
      <c r="AB184" s="33">
        <v>66.319510423692407</v>
      </c>
      <c r="AC184" s="33">
        <v>66.061205751744296</v>
      </c>
      <c r="AD184" s="33">
        <v>66.118934922267201</v>
      </c>
      <c r="AE184" s="15">
        <v>5.2840355338368197E-3</v>
      </c>
      <c r="AF184" s="15">
        <v>1.3815789340481E-3</v>
      </c>
      <c r="AG184" s="15">
        <v>2.2550713346336602E-3</v>
      </c>
      <c r="AJ184">
        <f t="shared" si="64"/>
        <v>0</v>
      </c>
      <c r="AK184">
        <f t="shared" si="65"/>
        <v>1</v>
      </c>
      <c r="AL184">
        <f t="shared" si="66"/>
        <v>0</v>
      </c>
      <c r="AM184">
        <f t="shared" si="67"/>
        <v>1</v>
      </c>
      <c r="AN184">
        <f t="shared" si="68"/>
        <v>0</v>
      </c>
      <c r="AO184" s="28">
        <f t="shared" si="69"/>
        <v>0</v>
      </c>
      <c r="AP184" s="28">
        <f t="shared" si="70"/>
        <v>0</v>
      </c>
      <c r="AQ184" s="28">
        <f t="shared" si="71"/>
        <v>0</v>
      </c>
      <c r="AR184" s="29">
        <f t="shared" si="72"/>
        <v>1.0889479638445911E-2</v>
      </c>
      <c r="AU184">
        <f t="shared" si="73"/>
        <v>0</v>
      </c>
      <c r="AV184">
        <f t="shared" si="74"/>
        <v>0</v>
      </c>
      <c r="AW184">
        <f t="shared" si="75"/>
        <v>0</v>
      </c>
      <c r="AX184">
        <f t="shared" si="76"/>
        <v>1</v>
      </c>
      <c r="AY184">
        <f t="shared" si="77"/>
        <v>0</v>
      </c>
      <c r="AZ184" s="28">
        <f t="shared" si="78"/>
        <v>0</v>
      </c>
      <c r="BA184" s="28">
        <f t="shared" si="79"/>
        <v>0</v>
      </c>
      <c r="BB184" s="28">
        <f t="shared" si="80"/>
        <v>0</v>
      </c>
      <c r="BC184" s="29">
        <f t="shared" si="81"/>
        <v>4.1255980189731844E-3</v>
      </c>
      <c r="BE184" s="29">
        <f t="shared" si="82"/>
        <v>0</v>
      </c>
      <c r="BF184" s="29">
        <f t="shared" si="83"/>
        <v>1.5015077657419097E-2</v>
      </c>
    </row>
    <row r="185" spans="1:100" x14ac:dyDescent="0.3">
      <c r="A185" s="1">
        <v>46290</v>
      </c>
      <c r="B185" s="33">
        <v>62.04</v>
      </c>
      <c r="C185" s="33">
        <v>65.38</v>
      </c>
      <c r="D185" s="15">
        <v>-8.9859397977148404E-3</v>
      </c>
      <c r="E185" s="15">
        <v>-8.9836919387150105E-3</v>
      </c>
      <c r="F185" s="33">
        <v>0</v>
      </c>
      <c r="G185" s="33">
        <v>1.1503369999999999</v>
      </c>
      <c r="H185" s="33">
        <v>0</v>
      </c>
      <c r="I185" s="33">
        <v>1.00932</v>
      </c>
      <c r="J185" s="33">
        <v>0</v>
      </c>
      <c r="K185" s="33">
        <v>0</v>
      </c>
      <c r="L185" s="33">
        <v>62.04</v>
      </c>
      <c r="M185" s="33">
        <v>65.38</v>
      </c>
      <c r="N185" s="34">
        <v>1.05383623468729</v>
      </c>
      <c r="O185" s="34">
        <v>1.05905106792887</v>
      </c>
      <c r="P185" s="34">
        <v>1.0523072580181201</v>
      </c>
      <c r="Q185" s="34">
        <v>1.0545586754523499</v>
      </c>
      <c r="R185" s="33">
        <v>65.703528254307599</v>
      </c>
      <c r="S185" s="33">
        <v>65.301629238626404</v>
      </c>
      <c r="T185" s="33">
        <v>65.439089770737596</v>
      </c>
      <c r="U185" s="15">
        <v>4.9362252534505997E-3</v>
      </c>
      <c r="V185" s="15">
        <v>-1.19941526939076E-3</v>
      </c>
      <c r="W185" s="15">
        <v>9.0338153032165603E-4</v>
      </c>
      <c r="X185" s="34">
        <v>1.05383623468729</v>
      </c>
      <c r="Y185" s="34">
        <v>1.0594170994200001</v>
      </c>
      <c r="Z185" s="34">
        <v>1.05474082409286</v>
      </c>
      <c r="AA185" s="34">
        <v>1.0557754584897201</v>
      </c>
      <c r="AB185" s="33">
        <v>65.726236848017194</v>
      </c>
      <c r="AC185" s="33">
        <v>65.4526076779036</v>
      </c>
      <c r="AD185" s="33">
        <v>65.514578990376094</v>
      </c>
      <c r="AE185" s="15">
        <v>5.2817876748371901E-3</v>
      </c>
      <c r="AF185" s="15">
        <v>1.1099325565150299E-3</v>
      </c>
      <c r="AG185" s="15">
        <v>2.0562965836302301E-3</v>
      </c>
      <c r="AJ185">
        <f t="shared" si="64"/>
        <v>0</v>
      </c>
      <c r="AK185">
        <f t="shared" si="65"/>
        <v>1</v>
      </c>
      <c r="AL185">
        <f t="shared" si="66"/>
        <v>0</v>
      </c>
      <c r="AM185">
        <f t="shared" si="67"/>
        <v>1</v>
      </c>
      <c r="AN185">
        <f t="shared" si="68"/>
        <v>0</v>
      </c>
      <c r="AO185" s="28">
        <f t="shared" si="69"/>
        <v>0</v>
      </c>
      <c r="AP185" s="28">
        <f t="shared" si="70"/>
        <v>0</v>
      </c>
      <c r="AQ185" s="28">
        <f t="shared" si="71"/>
        <v>0</v>
      </c>
      <c r="AR185" s="29">
        <f t="shared" si="72"/>
        <v>1.0889479638445911E-2</v>
      </c>
      <c r="AU185">
        <f t="shared" si="73"/>
        <v>0</v>
      </c>
      <c r="AV185">
        <f t="shared" si="74"/>
        <v>0</v>
      </c>
      <c r="AW185">
        <f t="shared" si="75"/>
        <v>0</v>
      </c>
      <c r="AX185">
        <f t="shared" si="76"/>
        <v>1</v>
      </c>
      <c r="AY185">
        <f t="shared" si="77"/>
        <v>0</v>
      </c>
      <c r="AZ185" s="28">
        <f t="shared" si="78"/>
        <v>0</v>
      </c>
      <c r="BA185" s="28">
        <f t="shared" si="79"/>
        <v>0</v>
      </c>
      <c r="BB185" s="28">
        <f t="shared" si="80"/>
        <v>0</v>
      </c>
      <c r="BC185" s="29">
        <f t="shared" si="81"/>
        <v>4.1255980189731844E-3</v>
      </c>
      <c r="BE185" s="29">
        <f t="shared" si="82"/>
        <v>0</v>
      </c>
      <c r="BF185" s="29">
        <f t="shared" si="83"/>
        <v>1.5015077657419097E-2</v>
      </c>
    </row>
    <row r="186" spans="1:100" x14ac:dyDescent="0.3">
      <c r="A186" s="1">
        <v>46293</v>
      </c>
      <c r="B186" s="33">
        <v>62.1</v>
      </c>
      <c r="C186" s="33">
        <v>65.37</v>
      </c>
      <c r="D186" s="15">
        <v>9.6665063109497402E-4</v>
      </c>
      <c r="E186" s="15">
        <v>-1.5296367142620101E-4</v>
      </c>
      <c r="F186" s="33">
        <v>0</v>
      </c>
      <c r="G186" s="33">
        <v>1.1503369999999999</v>
      </c>
      <c r="H186" s="33">
        <v>0</v>
      </c>
      <c r="I186" s="33">
        <v>1.00932</v>
      </c>
      <c r="J186" s="33">
        <v>0</v>
      </c>
      <c r="K186" s="33">
        <v>0</v>
      </c>
      <c r="L186" s="33">
        <v>62.1</v>
      </c>
      <c r="M186" s="33">
        <v>65.37</v>
      </c>
      <c r="N186" s="34">
        <v>1.0526570048309101</v>
      </c>
      <c r="O186" s="34">
        <v>1.05905106792887</v>
      </c>
      <c r="P186" s="34">
        <v>1.0519166746022499</v>
      </c>
      <c r="Q186" s="34">
        <v>1.05434372735312</v>
      </c>
      <c r="R186" s="33">
        <v>65.767071318383401</v>
      </c>
      <c r="S186" s="33">
        <v>65.348280722925495</v>
      </c>
      <c r="T186" s="33">
        <v>65.4880937455912</v>
      </c>
      <c r="U186" s="15">
        <v>6.0558395559719997E-3</v>
      </c>
      <c r="V186" s="15">
        <v>-3.32306654497924E-4</v>
      </c>
      <c r="W186" s="15">
        <v>1.8049136170432999E-3</v>
      </c>
      <c r="X186" s="34">
        <v>1.0526570048309101</v>
      </c>
      <c r="Y186" s="34">
        <v>1.0594170994200001</v>
      </c>
      <c r="Z186" s="34">
        <v>1.05435024067699</v>
      </c>
      <c r="AA186" s="34">
        <v>1.0555605103904899</v>
      </c>
      <c r="AB186" s="33">
        <v>65.789801873982398</v>
      </c>
      <c r="AC186" s="33">
        <v>65.499405176167102</v>
      </c>
      <c r="AD186" s="33">
        <v>65.563655972212004</v>
      </c>
      <c r="AE186" s="15">
        <v>6.4014019773584001E-3</v>
      </c>
      <c r="AF186" s="15">
        <v>1.9776236954419501E-3</v>
      </c>
      <c r="AG186" s="15">
        <v>2.95807998310942E-3</v>
      </c>
      <c r="AJ186">
        <f t="shared" si="64"/>
        <v>0</v>
      </c>
      <c r="AK186">
        <f t="shared" si="65"/>
        <v>1</v>
      </c>
      <c r="AL186">
        <f t="shared" si="66"/>
        <v>0</v>
      </c>
      <c r="AM186">
        <f t="shared" si="67"/>
        <v>1</v>
      </c>
      <c r="AN186">
        <f t="shared" si="68"/>
        <v>0</v>
      </c>
      <c r="AO186" s="28">
        <f t="shared" si="69"/>
        <v>0</v>
      </c>
      <c r="AP186" s="28">
        <f t="shared" si="70"/>
        <v>0</v>
      </c>
      <c r="AQ186" s="28">
        <f t="shared" si="71"/>
        <v>0</v>
      </c>
      <c r="AR186" s="29">
        <f t="shared" si="72"/>
        <v>1.0889479638445911E-2</v>
      </c>
      <c r="AU186">
        <f t="shared" si="73"/>
        <v>0</v>
      </c>
      <c r="AV186">
        <f t="shared" si="74"/>
        <v>0</v>
      </c>
      <c r="AW186">
        <f t="shared" si="75"/>
        <v>0</v>
      </c>
      <c r="AX186">
        <f t="shared" si="76"/>
        <v>1</v>
      </c>
      <c r="AY186">
        <f t="shared" si="77"/>
        <v>0</v>
      </c>
      <c r="AZ186" s="28">
        <f t="shared" si="78"/>
        <v>0</v>
      </c>
      <c r="BA186" s="28">
        <f t="shared" si="79"/>
        <v>0</v>
      </c>
      <c r="BB186" s="28">
        <f t="shared" si="80"/>
        <v>0</v>
      </c>
      <c r="BC186" s="29">
        <f t="shared" si="81"/>
        <v>4.1255980189731844E-3</v>
      </c>
      <c r="BE186" s="29">
        <f t="shared" si="82"/>
        <v>0</v>
      </c>
      <c r="BF186" s="29">
        <f t="shared" si="83"/>
        <v>1.5015077657419097E-2</v>
      </c>
    </row>
    <row r="188" spans="1:100" x14ac:dyDescent="0.3">
      <c r="AU188" s="7"/>
      <c r="AV188" s="7"/>
      <c r="AW188" s="7"/>
      <c r="AX188" s="7"/>
      <c r="AY188" s="7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2026-09-29T14:16:04Z</dcterms:created>
  <dcterms:modified xsi:type="dcterms:W3CDTF">2026-09-29T16:40:19Z</dcterms:modified>
</cp:coreProperties>
</file>