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1230D695-3927-45AF-BC50-1801F7269FBE}" xr6:coauthVersionLast="47" xr6:coauthVersionMax="47" xr10:uidLastSave="{00000000-0000-0000-0000-000000000000}"/>
  <bookViews>
    <workbookView xWindow="-108" yWindow="-108" windowWidth="23256" windowHeight="12456" xr2:uid="{76C5E208-A2A3-4E93-870C-80203AE6D060}"/>
  </bookViews>
  <sheets>
    <sheet name="XLE_IYE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R167" i="1" s="1"/>
  <c r="BS167" i="1" s="1"/>
  <c r="BO166" i="1"/>
  <c r="BN166" i="1"/>
  <c r="BE166" i="1"/>
  <c r="BC166" i="1"/>
  <c r="BB166" i="1"/>
  <c r="BQ165" i="1"/>
  <c r="BR166" i="1" s="1"/>
  <c r="BO165" i="1"/>
  <c r="BN165" i="1"/>
  <c r="BE165" i="1"/>
  <c r="BC165" i="1"/>
  <c r="BB165" i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Q162" i="1"/>
  <c r="BO162" i="1"/>
  <c r="BN162" i="1"/>
  <c r="BR163" i="1" s="1"/>
  <c r="BE162" i="1"/>
  <c r="BC162" i="1"/>
  <c r="BB162" i="1"/>
  <c r="BQ161" i="1"/>
  <c r="BR162" i="1" s="1"/>
  <c r="BO161" i="1"/>
  <c r="BN161" i="1"/>
  <c r="BE161" i="1"/>
  <c r="BC161" i="1"/>
  <c r="BB161" i="1"/>
  <c r="BQ160" i="1"/>
  <c r="BO160" i="1"/>
  <c r="BN160" i="1"/>
  <c r="BE160" i="1"/>
  <c r="BC160" i="1"/>
  <c r="BF161" i="1" s="1"/>
  <c r="BG161" i="1" s="1"/>
  <c r="BB160" i="1"/>
  <c r="BQ159" i="1"/>
  <c r="BO159" i="1"/>
  <c r="BN159" i="1"/>
  <c r="BR160" i="1" s="1"/>
  <c r="BE159" i="1"/>
  <c r="BC159" i="1"/>
  <c r="BB159" i="1"/>
  <c r="BF160" i="1" s="1"/>
  <c r="BD160" i="1" s="1"/>
  <c r="BQ158" i="1"/>
  <c r="BO158" i="1"/>
  <c r="BN158" i="1"/>
  <c r="BR159" i="1" s="1"/>
  <c r="BP159" i="1" s="1"/>
  <c r="BE158" i="1"/>
  <c r="BC158" i="1"/>
  <c r="BB158" i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H154" i="1"/>
  <c r="BE154" i="1"/>
  <c r="BC154" i="1"/>
  <c r="BB154" i="1"/>
  <c r="BR153" i="1"/>
  <c r="BT153" i="1" s="1"/>
  <c r="BQ153" i="1"/>
  <c r="BO153" i="1"/>
  <c r="BN153" i="1"/>
  <c r="BE153" i="1"/>
  <c r="BC153" i="1"/>
  <c r="BF154" i="1" s="1"/>
  <c r="BD154" i="1" s="1"/>
  <c r="BB153" i="1"/>
  <c r="BQ152" i="1"/>
  <c r="BO152" i="1"/>
  <c r="BN152" i="1"/>
  <c r="BE152" i="1"/>
  <c r="BC152" i="1"/>
  <c r="BB152" i="1"/>
  <c r="BQ151" i="1"/>
  <c r="BR152" i="1" s="1"/>
  <c r="BO151" i="1"/>
  <c r="BN151" i="1"/>
  <c r="BE151" i="1"/>
  <c r="BC151" i="1"/>
  <c r="BB151" i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F148" i="1"/>
  <c r="BE148" i="1"/>
  <c r="BC148" i="1"/>
  <c r="BB148" i="1"/>
  <c r="BQ147" i="1"/>
  <c r="BO147" i="1"/>
  <c r="BN147" i="1"/>
  <c r="BE147" i="1"/>
  <c r="BC147" i="1"/>
  <c r="BB147" i="1"/>
  <c r="BQ146" i="1"/>
  <c r="BO146" i="1"/>
  <c r="BN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R145" i="1" s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Q141" i="1"/>
  <c r="BO141" i="1"/>
  <c r="BN141" i="1"/>
  <c r="BE141" i="1"/>
  <c r="BC141" i="1"/>
  <c r="BB141" i="1"/>
  <c r="BQ140" i="1"/>
  <c r="BO140" i="1"/>
  <c r="BN140" i="1"/>
  <c r="BR141" i="1" s="1"/>
  <c r="BE140" i="1"/>
  <c r="BC140" i="1"/>
  <c r="BB140" i="1"/>
  <c r="BQ139" i="1"/>
  <c r="BO139" i="1"/>
  <c r="BN139" i="1"/>
  <c r="BE139" i="1"/>
  <c r="BC139" i="1"/>
  <c r="BB139" i="1"/>
  <c r="BF140" i="1" s="1"/>
  <c r="BQ138" i="1"/>
  <c r="BO138" i="1"/>
  <c r="BN138" i="1"/>
  <c r="BE138" i="1"/>
  <c r="BC138" i="1"/>
  <c r="BB138" i="1"/>
  <c r="BQ137" i="1"/>
  <c r="BO137" i="1"/>
  <c r="BN137" i="1"/>
  <c r="BE137" i="1"/>
  <c r="BC137" i="1"/>
  <c r="BB137" i="1"/>
  <c r="BQ136" i="1"/>
  <c r="BO136" i="1"/>
  <c r="BN136" i="1"/>
  <c r="BE136" i="1"/>
  <c r="BC136" i="1"/>
  <c r="BB136" i="1"/>
  <c r="BF137" i="1" s="1"/>
  <c r="BQ135" i="1"/>
  <c r="BO135" i="1"/>
  <c r="BN135" i="1"/>
  <c r="BE135" i="1"/>
  <c r="BC135" i="1"/>
  <c r="BB135" i="1"/>
  <c r="BQ134" i="1"/>
  <c r="BO134" i="1"/>
  <c r="BN134" i="1"/>
  <c r="BE134" i="1"/>
  <c r="BC134" i="1"/>
  <c r="BB134" i="1"/>
  <c r="BF135" i="1" s="1"/>
  <c r="BD135" i="1" s="1"/>
  <c r="BQ133" i="1"/>
  <c r="BO133" i="1"/>
  <c r="BN133" i="1"/>
  <c r="BF133" i="1"/>
  <c r="BD133" i="1" s="1"/>
  <c r="BE133" i="1"/>
  <c r="BC133" i="1"/>
  <c r="BB133" i="1"/>
  <c r="BF134" i="1" s="1"/>
  <c r="BQ132" i="1"/>
  <c r="BO132" i="1"/>
  <c r="BN132" i="1"/>
  <c r="BE132" i="1"/>
  <c r="BC132" i="1"/>
  <c r="BB132" i="1"/>
  <c r="BQ131" i="1"/>
  <c r="BR132" i="1" s="1"/>
  <c r="BO131" i="1"/>
  <c r="BN131" i="1"/>
  <c r="BE131" i="1"/>
  <c r="BC131" i="1"/>
  <c r="BB131" i="1"/>
  <c r="BQ130" i="1"/>
  <c r="BO130" i="1"/>
  <c r="BN130" i="1"/>
  <c r="BE130" i="1"/>
  <c r="BC130" i="1"/>
  <c r="BB130" i="1"/>
  <c r="BQ129" i="1"/>
  <c r="BO129" i="1"/>
  <c r="BN129" i="1"/>
  <c r="BR130" i="1" s="1"/>
  <c r="BG129" i="1"/>
  <c r="BI129" i="1" s="1"/>
  <c r="BE129" i="1"/>
  <c r="BC129" i="1"/>
  <c r="BB129" i="1"/>
  <c r="BQ128" i="1"/>
  <c r="BR129" i="1" s="1"/>
  <c r="BO128" i="1"/>
  <c r="BN128" i="1"/>
  <c r="BE128" i="1"/>
  <c r="BF129" i="1" s="1"/>
  <c r="BH129" i="1" s="1"/>
  <c r="BC128" i="1"/>
  <c r="BB128" i="1"/>
  <c r="BQ127" i="1"/>
  <c r="BO127" i="1"/>
  <c r="BN127" i="1"/>
  <c r="BE127" i="1"/>
  <c r="BC127" i="1"/>
  <c r="BB127" i="1"/>
  <c r="BF128" i="1" s="1"/>
  <c r="BQ126" i="1"/>
  <c r="BO126" i="1"/>
  <c r="BN126" i="1"/>
  <c r="BE126" i="1"/>
  <c r="BC126" i="1"/>
  <c r="BB126" i="1"/>
  <c r="BF127" i="1" s="1"/>
  <c r="BQ125" i="1"/>
  <c r="BO125" i="1"/>
  <c r="BN125" i="1"/>
  <c r="BE125" i="1"/>
  <c r="BC125" i="1"/>
  <c r="BB125" i="1"/>
  <c r="BF126" i="1" s="1"/>
  <c r="BQ124" i="1"/>
  <c r="BO124" i="1"/>
  <c r="BN124" i="1"/>
  <c r="BE124" i="1"/>
  <c r="BC124" i="1"/>
  <c r="BB124" i="1"/>
  <c r="BQ123" i="1"/>
  <c r="BO123" i="1"/>
  <c r="BN123" i="1"/>
  <c r="BE123" i="1"/>
  <c r="BC123" i="1"/>
  <c r="BB123" i="1"/>
  <c r="BQ122" i="1"/>
  <c r="BP122" i="1"/>
  <c r="BO122" i="1"/>
  <c r="BN122" i="1"/>
  <c r="BE122" i="1"/>
  <c r="BC122" i="1"/>
  <c r="BB122" i="1"/>
  <c r="BQ121" i="1"/>
  <c r="BO121" i="1"/>
  <c r="BN121" i="1"/>
  <c r="BR122" i="1" s="1"/>
  <c r="BS122" i="1" s="1"/>
  <c r="BE121" i="1"/>
  <c r="BC121" i="1"/>
  <c r="BB121" i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E117" i="1"/>
  <c r="BC117" i="1"/>
  <c r="BB117" i="1"/>
  <c r="BQ116" i="1"/>
  <c r="BO116" i="1"/>
  <c r="BN116" i="1"/>
  <c r="BF116" i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R115" i="1" s="1"/>
  <c r="BS115" i="1" s="1"/>
  <c r="BH114" i="1"/>
  <c r="BE114" i="1"/>
  <c r="BC114" i="1"/>
  <c r="BB114" i="1"/>
  <c r="BQ113" i="1"/>
  <c r="BO113" i="1"/>
  <c r="BN113" i="1"/>
  <c r="BE113" i="1"/>
  <c r="BF114" i="1" s="1"/>
  <c r="BG114" i="1" s="1"/>
  <c r="BC113" i="1"/>
  <c r="BB113" i="1"/>
  <c r="BQ112" i="1"/>
  <c r="BO112" i="1"/>
  <c r="BN112" i="1"/>
  <c r="BE112" i="1"/>
  <c r="BF113" i="1" s="1"/>
  <c r="BH113" i="1" s="1"/>
  <c r="BC112" i="1"/>
  <c r="BB112" i="1"/>
  <c r="BQ111" i="1"/>
  <c r="BO111" i="1"/>
  <c r="BN111" i="1"/>
  <c r="BE111" i="1"/>
  <c r="BC111" i="1"/>
  <c r="BB111" i="1"/>
  <c r="BQ110" i="1"/>
  <c r="BO110" i="1"/>
  <c r="BN110" i="1"/>
  <c r="BF110" i="1"/>
  <c r="BH110" i="1" s="1"/>
  <c r="BE110" i="1"/>
  <c r="BC110" i="1"/>
  <c r="BB110" i="1"/>
  <c r="BQ109" i="1"/>
  <c r="BO109" i="1"/>
  <c r="BN109" i="1"/>
  <c r="BE109" i="1"/>
  <c r="BC109" i="1"/>
  <c r="BB109" i="1"/>
  <c r="BQ108" i="1"/>
  <c r="BO108" i="1"/>
  <c r="BN108" i="1"/>
  <c r="BE108" i="1"/>
  <c r="BF109" i="1" s="1"/>
  <c r="BG109" i="1" s="1"/>
  <c r="BC108" i="1"/>
  <c r="BB108" i="1"/>
  <c r="BQ107" i="1"/>
  <c r="BO107" i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R106" i="1" s="1"/>
  <c r="BP106" i="1" s="1"/>
  <c r="BE105" i="1"/>
  <c r="BC105" i="1"/>
  <c r="BB105" i="1"/>
  <c r="BQ104" i="1"/>
  <c r="BO104" i="1"/>
  <c r="BN104" i="1"/>
  <c r="BE104" i="1"/>
  <c r="BC104" i="1"/>
  <c r="BB104" i="1"/>
  <c r="BQ103" i="1"/>
  <c r="BO103" i="1"/>
  <c r="BN103" i="1"/>
  <c r="BR104" i="1" s="1"/>
  <c r="BE103" i="1"/>
  <c r="BC103" i="1"/>
  <c r="BB103" i="1"/>
  <c r="BQ102" i="1"/>
  <c r="BO102" i="1"/>
  <c r="BN102" i="1"/>
  <c r="BR103" i="1" s="1"/>
  <c r="BS103" i="1" s="1"/>
  <c r="BE102" i="1"/>
  <c r="BC102" i="1"/>
  <c r="BB102" i="1"/>
  <c r="BQ101" i="1"/>
  <c r="BO101" i="1"/>
  <c r="BN101" i="1"/>
  <c r="BE101" i="1"/>
  <c r="BC101" i="1"/>
  <c r="BB101" i="1"/>
  <c r="BQ100" i="1"/>
  <c r="BO100" i="1"/>
  <c r="BN100" i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F99" i="1" s="1"/>
  <c r="BQ97" i="1"/>
  <c r="BO97" i="1"/>
  <c r="BN97" i="1"/>
  <c r="BE97" i="1"/>
  <c r="BC97" i="1"/>
  <c r="BB97" i="1"/>
  <c r="BQ96" i="1"/>
  <c r="BO96" i="1"/>
  <c r="BN96" i="1"/>
  <c r="BE96" i="1"/>
  <c r="BC96" i="1"/>
  <c r="BB96" i="1"/>
  <c r="BQ95" i="1"/>
  <c r="BO95" i="1"/>
  <c r="BN95" i="1"/>
  <c r="BE95" i="1"/>
  <c r="BC95" i="1"/>
  <c r="BB95" i="1"/>
  <c r="BQ94" i="1"/>
  <c r="BO94" i="1"/>
  <c r="BN94" i="1"/>
  <c r="BE94" i="1"/>
  <c r="BC94" i="1"/>
  <c r="BB94" i="1"/>
  <c r="BF95" i="1" s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R86" i="1"/>
  <c r="BS86" i="1" s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R85" i="1" s="1"/>
  <c r="BN84" i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E78" i="1"/>
  <c r="BC78" i="1"/>
  <c r="BB78" i="1"/>
  <c r="BF79" i="1" s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O75" i="1"/>
  <c r="BN75" i="1"/>
  <c r="BR76" i="1" s="1"/>
  <c r="BE75" i="1"/>
  <c r="BC75" i="1"/>
  <c r="BB75" i="1"/>
  <c r="BQ74" i="1"/>
  <c r="BO74" i="1"/>
  <c r="BN74" i="1"/>
  <c r="BR75" i="1" s="1"/>
  <c r="BE74" i="1"/>
  <c r="BC74" i="1"/>
  <c r="BB74" i="1"/>
  <c r="BQ73" i="1"/>
  <c r="BO73" i="1"/>
  <c r="BN73" i="1"/>
  <c r="BE73" i="1"/>
  <c r="BC73" i="1"/>
  <c r="BB73" i="1"/>
  <c r="BF74" i="1" s="1"/>
  <c r="BQ72" i="1"/>
  <c r="BO72" i="1"/>
  <c r="BN72" i="1"/>
  <c r="BR73" i="1" s="1"/>
  <c r="BE72" i="1"/>
  <c r="BC72" i="1"/>
  <c r="BB72" i="1"/>
  <c r="BQ71" i="1"/>
  <c r="BO71" i="1"/>
  <c r="BN71" i="1"/>
  <c r="BE71" i="1"/>
  <c r="BC71" i="1"/>
  <c r="BB71" i="1"/>
  <c r="BR70" i="1"/>
  <c r="BT70" i="1" s="1"/>
  <c r="BQ70" i="1"/>
  <c r="BO70" i="1"/>
  <c r="BN70" i="1"/>
  <c r="BE70" i="1"/>
  <c r="BC70" i="1"/>
  <c r="BB70" i="1"/>
  <c r="BF71" i="1" s="1"/>
  <c r="BH71" i="1" s="1"/>
  <c r="BQ69" i="1"/>
  <c r="BO69" i="1"/>
  <c r="BN69" i="1"/>
  <c r="BE69" i="1"/>
  <c r="BC69" i="1"/>
  <c r="BB69" i="1"/>
  <c r="BF70" i="1" s="1"/>
  <c r="BR68" i="1"/>
  <c r="BQ68" i="1"/>
  <c r="BO68" i="1"/>
  <c r="BN68" i="1"/>
  <c r="BE68" i="1"/>
  <c r="BC68" i="1"/>
  <c r="BB68" i="1"/>
  <c r="BF69" i="1" s="1"/>
  <c r="BH69" i="1" s="1"/>
  <c r="BR67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F65" i="1" s="1"/>
  <c r="BH65" i="1" s="1"/>
  <c r="BQ63" i="1"/>
  <c r="BO63" i="1"/>
  <c r="BN63" i="1"/>
  <c r="BE63" i="1"/>
  <c r="BC63" i="1"/>
  <c r="BB63" i="1"/>
  <c r="BQ62" i="1"/>
  <c r="BO62" i="1"/>
  <c r="BN62" i="1"/>
  <c r="BR63" i="1" s="1"/>
  <c r="BE62" i="1"/>
  <c r="BC62" i="1"/>
  <c r="BB62" i="1"/>
  <c r="BQ61" i="1"/>
  <c r="BO61" i="1"/>
  <c r="BN61" i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F59" i="1" s="1"/>
  <c r="BD59" i="1" s="1"/>
  <c r="BQ57" i="1"/>
  <c r="BO57" i="1"/>
  <c r="BN57" i="1"/>
  <c r="BE57" i="1"/>
  <c r="BC57" i="1"/>
  <c r="BB57" i="1"/>
  <c r="BF58" i="1" s="1"/>
  <c r="BQ56" i="1"/>
  <c r="BO56" i="1"/>
  <c r="BR57" i="1" s="1"/>
  <c r="BN56" i="1"/>
  <c r="BE56" i="1"/>
  <c r="BC56" i="1"/>
  <c r="BB56" i="1"/>
  <c r="BQ55" i="1"/>
  <c r="BO55" i="1"/>
  <c r="BN55" i="1"/>
  <c r="BR56" i="1" s="1"/>
  <c r="BE55" i="1"/>
  <c r="BC55" i="1"/>
  <c r="BB55" i="1"/>
  <c r="BQ54" i="1"/>
  <c r="BO54" i="1"/>
  <c r="BN54" i="1"/>
  <c r="BR55" i="1" s="1"/>
  <c r="BE54" i="1"/>
  <c r="BC54" i="1"/>
  <c r="BB54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F53" i="1" s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F50" i="1" s="1"/>
  <c r="BQ48" i="1"/>
  <c r="BO48" i="1"/>
  <c r="BN48" i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F47" i="1" s="1"/>
  <c r="BG47" i="1" s="1"/>
  <c r="BC46" i="1"/>
  <c r="BB46" i="1"/>
  <c r="BQ45" i="1"/>
  <c r="BO45" i="1"/>
  <c r="BN45" i="1"/>
  <c r="BE45" i="1"/>
  <c r="BC45" i="1"/>
  <c r="BB45" i="1"/>
  <c r="BQ44" i="1"/>
  <c r="BO44" i="1"/>
  <c r="BN44" i="1"/>
  <c r="BR45" i="1" s="1"/>
  <c r="BS45" i="1" s="1"/>
  <c r="BF44" i="1"/>
  <c r="BE44" i="1"/>
  <c r="BC44" i="1"/>
  <c r="BB44" i="1"/>
  <c r="BQ43" i="1"/>
  <c r="BO43" i="1"/>
  <c r="BN43" i="1"/>
  <c r="BE43" i="1"/>
  <c r="BC43" i="1"/>
  <c r="BB43" i="1"/>
  <c r="BR42" i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Q40" i="1"/>
  <c r="BO40" i="1"/>
  <c r="BN40" i="1"/>
  <c r="BE40" i="1"/>
  <c r="BC40" i="1"/>
  <c r="BB40" i="1"/>
  <c r="BF41" i="1" s="1"/>
  <c r="BQ39" i="1"/>
  <c r="BO39" i="1"/>
  <c r="BN39" i="1"/>
  <c r="BE39" i="1"/>
  <c r="BC39" i="1"/>
  <c r="BB39" i="1"/>
  <c r="BQ38" i="1"/>
  <c r="BO38" i="1"/>
  <c r="BN38" i="1"/>
  <c r="BE38" i="1"/>
  <c r="BC38" i="1"/>
  <c r="BB38" i="1"/>
  <c r="BF39" i="1" s="1"/>
  <c r="BQ37" i="1"/>
  <c r="BO37" i="1"/>
  <c r="BN37" i="1"/>
  <c r="BE37" i="1"/>
  <c r="BC37" i="1"/>
  <c r="BB37" i="1"/>
  <c r="BQ36" i="1"/>
  <c r="BO36" i="1"/>
  <c r="BN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E32" i="1"/>
  <c r="BF33" i="1" s="1"/>
  <c r="BH33" i="1" s="1"/>
  <c r="BD32" i="1"/>
  <c r="BC32" i="1"/>
  <c r="BB32" i="1"/>
  <c r="BQ31" i="1"/>
  <c r="BO31" i="1"/>
  <c r="BN31" i="1"/>
  <c r="BE31" i="1"/>
  <c r="BC31" i="1"/>
  <c r="BB31" i="1"/>
  <c r="BF32" i="1" s="1"/>
  <c r="BH32" i="1" s="1"/>
  <c r="BQ30" i="1"/>
  <c r="BO30" i="1"/>
  <c r="BN30" i="1"/>
  <c r="BE30" i="1"/>
  <c r="BC30" i="1"/>
  <c r="BB30" i="1"/>
  <c r="BQ29" i="1"/>
  <c r="BO29" i="1"/>
  <c r="BN29" i="1"/>
  <c r="BE29" i="1"/>
  <c r="BF30" i="1" s="1"/>
  <c r="BC29" i="1"/>
  <c r="BB29" i="1"/>
  <c r="BQ28" i="1"/>
  <c r="BO28" i="1"/>
  <c r="BN28" i="1"/>
  <c r="BE28" i="1"/>
  <c r="BC28" i="1"/>
  <c r="BF29" i="1" s="1"/>
  <c r="BB28" i="1"/>
  <c r="BQ27" i="1"/>
  <c r="BO27" i="1"/>
  <c r="BN27" i="1"/>
  <c r="BE27" i="1"/>
  <c r="BC27" i="1"/>
  <c r="BB27" i="1"/>
  <c r="BF28" i="1" s="1"/>
  <c r="BQ26" i="1"/>
  <c r="BO26" i="1"/>
  <c r="BN26" i="1"/>
  <c r="BR27" i="1" s="1"/>
  <c r="BE26" i="1"/>
  <c r="BC26" i="1"/>
  <c r="BB26" i="1"/>
  <c r="BQ25" i="1"/>
  <c r="BO25" i="1"/>
  <c r="BN25" i="1"/>
  <c r="BE25" i="1"/>
  <c r="BC25" i="1"/>
  <c r="BB25" i="1"/>
  <c r="BQ24" i="1"/>
  <c r="BO24" i="1"/>
  <c r="BN24" i="1"/>
  <c r="BE24" i="1"/>
  <c r="BC24" i="1"/>
  <c r="BB24" i="1"/>
  <c r="BQ23" i="1"/>
  <c r="BO23" i="1"/>
  <c r="BN23" i="1"/>
  <c r="BE23" i="1"/>
  <c r="BC23" i="1"/>
  <c r="BB23" i="1"/>
  <c r="BF24" i="1" s="1"/>
  <c r="BH24" i="1" s="1"/>
  <c r="BQ22" i="1"/>
  <c r="BR23" i="1" s="1"/>
  <c r="BS23" i="1" s="1"/>
  <c r="BP22" i="1"/>
  <c r="BO22" i="1"/>
  <c r="BN22" i="1"/>
  <c r="BE22" i="1"/>
  <c r="BD22" i="1"/>
  <c r="BC22" i="1"/>
  <c r="BB22" i="1"/>
  <c r="BQ21" i="1"/>
  <c r="BR22" i="1" s="1"/>
  <c r="BS22" i="1" s="1"/>
  <c r="BE21" i="1"/>
  <c r="BF22" i="1" s="1"/>
  <c r="BT20" i="1"/>
  <c r="BS20" i="1"/>
  <c r="BH20" i="1"/>
  <c r="BG20" i="1"/>
  <c r="BD128" i="1" l="1"/>
  <c r="BH128" i="1"/>
  <c r="BG128" i="1"/>
  <c r="BS160" i="1"/>
  <c r="BT160" i="1"/>
  <c r="BP160" i="1"/>
  <c r="BG58" i="1"/>
  <c r="BH58" i="1"/>
  <c r="BI58" i="1" s="1"/>
  <c r="BD58" i="1"/>
  <c r="BD95" i="1"/>
  <c r="BH95" i="1"/>
  <c r="BG95" i="1"/>
  <c r="BI95" i="1" s="1"/>
  <c r="BT104" i="1"/>
  <c r="BS104" i="1"/>
  <c r="BP104" i="1"/>
  <c r="BP56" i="1"/>
  <c r="BT56" i="1"/>
  <c r="BS56" i="1"/>
  <c r="BU56" i="1" s="1"/>
  <c r="BU103" i="1"/>
  <c r="BF60" i="1"/>
  <c r="BD60" i="1" s="1"/>
  <c r="BF61" i="1" s="1"/>
  <c r="BF142" i="1"/>
  <c r="BF94" i="1"/>
  <c r="BR146" i="1"/>
  <c r="BF155" i="1"/>
  <c r="BG155" i="1" s="1"/>
  <c r="BR161" i="1"/>
  <c r="BF165" i="1"/>
  <c r="BD165" i="1" s="1"/>
  <c r="BF31" i="1"/>
  <c r="BD31" i="1" s="1"/>
  <c r="BF37" i="1"/>
  <c r="BR58" i="1"/>
  <c r="BR81" i="1"/>
  <c r="BR107" i="1"/>
  <c r="BR117" i="1"/>
  <c r="BT117" i="1" s="1"/>
  <c r="BD129" i="1"/>
  <c r="BF130" i="1" s="1"/>
  <c r="BF138" i="1"/>
  <c r="BF157" i="1"/>
  <c r="BR121" i="1"/>
  <c r="BT121" i="1" s="1"/>
  <c r="BT86" i="1"/>
  <c r="BU86" i="1" s="1"/>
  <c r="BF96" i="1"/>
  <c r="BH96" i="1" s="1"/>
  <c r="BR66" i="1"/>
  <c r="BT66" i="1" s="1"/>
  <c r="BR72" i="1"/>
  <c r="BF84" i="1"/>
  <c r="BH84" i="1" s="1"/>
  <c r="BR101" i="1"/>
  <c r="BS101" i="1" s="1"/>
  <c r="BF136" i="1"/>
  <c r="BF147" i="1"/>
  <c r="BG147" i="1" s="1"/>
  <c r="BG154" i="1"/>
  <c r="BI154" i="1" s="1"/>
  <c r="BF163" i="1"/>
  <c r="BD163" i="1" s="1"/>
  <c r="BR165" i="1"/>
  <c r="BT23" i="1"/>
  <c r="BU23" i="1" s="1"/>
  <c r="BR31" i="1"/>
  <c r="BD47" i="1"/>
  <c r="BF48" i="1" s="1"/>
  <c r="BR60" i="1"/>
  <c r="BT60" i="1" s="1"/>
  <c r="BR96" i="1"/>
  <c r="BP96" i="1" s="1"/>
  <c r="BR147" i="1"/>
  <c r="BP147" i="1" s="1"/>
  <c r="BR148" i="1" s="1"/>
  <c r="BI114" i="1"/>
  <c r="BF27" i="1"/>
  <c r="BG27" i="1" s="1"/>
  <c r="BF46" i="1"/>
  <c r="BF23" i="1"/>
  <c r="BG32" i="1"/>
  <c r="BI32" i="1" s="1"/>
  <c r="BF40" i="1"/>
  <c r="BR77" i="1"/>
  <c r="BP77" i="1" s="1"/>
  <c r="BR88" i="1"/>
  <c r="BT88" i="1" s="1"/>
  <c r="BR90" i="1"/>
  <c r="BT90" i="1" s="1"/>
  <c r="BR120" i="1"/>
  <c r="BP120" i="1" s="1"/>
  <c r="BR126" i="1"/>
  <c r="BP126" i="1" s="1"/>
  <c r="BF143" i="1"/>
  <c r="BF145" i="1"/>
  <c r="BG145" i="1" s="1"/>
  <c r="BF25" i="1"/>
  <c r="BG25" i="1" s="1"/>
  <c r="BI25" i="1" s="1"/>
  <c r="BR62" i="1"/>
  <c r="BS62" i="1" s="1"/>
  <c r="BF91" i="1"/>
  <c r="BF93" i="1"/>
  <c r="BR102" i="1"/>
  <c r="BR48" i="1"/>
  <c r="BR82" i="1"/>
  <c r="BR118" i="1"/>
  <c r="BP118" i="1" s="1"/>
  <c r="BF152" i="1"/>
  <c r="BR38" i="1"/>
  <c r="BT45" i="1"/>
  <c r="BF51" i="1"/>
  <c r="BR65" i="1"/>
  <c r="BS65" i="1" s="1"/>
  <c r="BR69" i="1"/>
  <c r="BP69" i="1" s="1"/>
  <c r="BF146" i="1"/>
  <c r="BF156" i="1"/>
  <c r="BS159" i="1"/>
  <c r="BU159" i="1" s="1"/>
  <c r="BF159" i="1"/>
  <c r="BD159" i="1" s="1"/>
  <c r="BT103" i="1"/>
  <c r="BR59" i="1"/>
  <c r="BR61" i="1"/>
  <c r="BP61" i="1" s="1"/>
  <c r="BR89" i="1"/>
  <c r="BS89" i="1" s="1"/>
  <c r="BR97" i="1"/>
  <c r="BD114" i="1"/>
  <c r="BF119" i="1"/>
  <c r="BH119" i="1" s="1"/>
  <c r="BR123" i="1"/>
  <c r="BR127" i="1"/>
  <c r="BS127" i="1" s="1"/>
  <c r="BT159" i="1"/>
  <c r="BP167" i="1"/>
  <c r="BR36" i="1"/>
  <c r="BF43" i="1"/>
  <c r="BF68" i="1"/>
  <c r="BD68" i="1" s="1"/>
  <c r="BR78" i="1"/>
  <c r="BP86" i="1"/>
  <c r="BR150" i="1"/>
  <c r="BS57" i="1"/>
  <c r="BP57" i="1"/>
  <c r="BT57" i="1"/>
  <c r="BS69" i="1"/>
  <c r="BG79" i="1"/>
  <c r="BD79" i="1"/>
  <c r="BH79" i="1"/>
  <c r="BP55" i="1"/>
  <c r="BT55" i="1"/>
  <c r="BS55" i="1"/>
  <c r="BU55" i="1" s="1"/>
  <c r="BP62" i="1"/>
  <c r="BT62" i="1"/>
  <c r="BS63" i="1"/>
  <c r="BT63" i="1"/>
  <c r="BP63" i="1"/>
  <c r="BG50" i="1"/>
  <c r="BH50" i="1"/>
  <c r="BD50" i="1"/>
  <c r="BG23" i="1"/>
  <c r="BD23" i="1"/>
  <c r="BH23" i="1"/>
  <c r="BP36" i="1"/>
  <c r="BR37" i="1" s="1"/>
  <c r="BS36" i="1"/>
  <c r="BT36" i="1"/>
  <c r="BD140" i="1"/>
  <c r="BF141" i="1" s="1"/>
  <c r="BH140" i="1"/>
  <c r="BG140" i="1"/>
  <c r="BH39" i="1"/>
  <c r="BG39" i="1"/>
  <c r="BI39" i="1" s="1"/>
  <c r="BD39" i="1"/>
  <c r="BD53" i="1"/>
  <c r="BF54" i="1" s="1"/>
  <c r="BH53" i="1"/>
  <c r="BG53" i="1"/>
  <c r="BH43" i="1"/>
  <c r="BG43" i="1"/>
  <c r="BI43" i="1" s="1"/>
  <c r="BD43" i="1"/>
  <c r="BT58" i="1"/>
  <c r="BS58" i="1"/>
  <c r="BP58" i="1"/>
  <c r="BH29" i="1"/>
  <c r="BD29" i="1"/>
  <c r="BG29" i="1"/>
  <c r="BI29" i="1" s="1"/>
  <c r="BH46" i="1"/>
  <c r="BG46" i="1"/>
  <c r="BD46" i="1"/>
  <c r="BS163" i="1"/>
  <c r="BT163" i="1"/>
  <c r="BP163" i="1"/>
  <c r="BR164" i="1" s="1"/>
  <c r="BD33" i="1"/>
  <c r="BG33" i="1"/>
  <c r="BI33" i="1" s="1"/>
  <c r="BS102" i="1"/>
  <c r="BP102" i="1"/>
  <c r="BT102" i="1"/>
  <c r="BT48" i="1"/>
  <c r="BS48" i="1"/>
  <c r="BU48" i="1" s="1"/>
  <c r="BP48" i="1"/>
  <c r="BD27" i="1"/>
  <c r="BP145" i="1"/>
  <c r="BT145" i="1"/>
  <c r="BH25" i="1"/>
  <c r="BD25" i="1"/>
  <c r="BG37" i="1"/>
  <c r="BD37" i="1"/>
  <c r="BF38" i="1" s="1"/>
  <c r="BH37" i="1"/>
  <c r="BP27" i="1"/>
  <c r="BR28" i="1" s="1"/>
  <c r="BT27" i="1"/>
  <c r="BS27" i="1"/>
  <c r="BU27" i="1" s="1"/>
  <c r="BH41" i="1"/>
  <c r="BD41" i="1"/>
  <c r="BF42" i="1" s="1"/>
  <c r="BG41" i="1"/>
  <c r="BD116" i="1"/>
  <c r="BF117" i="1" s="1"/>
  <c r="BH116" i="1"/>
  <c r="BG116" i="1"/>
  <c r="BI116" i="1" s="1"/>
  <c r="BT22" i="1"/>
  <c r="BU22" i="1" s="1"/>
  <c r="BF26" i="1"/>
  <c r="BT82" i="1"/>
  <c r="BS82" i="1"/>
  <c r="BU82" i="1" s="1"/>
  <c r="BP82" i="1"/>
  <c r="BR83" i="1" s="1"/>
  <c r="BD130" i="1"/>
  <c r="BF131" i="1" s="1"/>
  <c r="BG130" i="1"/>
  <c r="BH130" i="1"/>
  <c r="BS130" i="1"/>
  <c r="BT130" i="1"/>
  <c r="BP130" i="1"/>
  <c r="BG30" i="1"/>
  <c r="BD30" i="1"/>
  <c r="BH30" i="1"/>
  <c r="BS78" i="1"/>
  <c r="BT78" i="1"/>
  <c r="BP78" i="1"/>
  <c r="BD137" i="1"/>
  <c r="BH137" i="1"/>
  <c r="BG137" i="1"/>
  <c r="BI137" i="1" s="1"/>
  <c r="BH22" i="1"/>
  <c r="BG22" i="1"/>
  <c r="BI22" i="1" s="1"/>
  <c r="BD40" i="1"/>
  <c r="BH40" i="1"/>
  <c r="BG40" i="1"/>
  <c r="BI40" i="1" s="1"/>
  <c r="BP42" i="1"/>
  <c r="BR43" i="1" s="1"/>
  <c r="BS42" i="1"/>
  <c r="BT42" i="1"/>
  <c r="BG51" i="1"/>
  <c r="BD51" i="1"/>
  <c r="BH51" i="1"/>
  <c r="BS88" i="1"/>
  <c r="BU88" i="1" s="1"/>
  <c r="BP88" i="1"/>
  <c r="BS120" i="1"/>
  <c r="BS145" i="1"/>
  <c r="BD24" i="1"/>
  <c r="BH28" i="1"/>
  <c r="BG28" i="1"/>
  <c r="BI28" i="1" s="1"/>
  <c r="BD28" i="1"/>
  <c r="BS70" i="1"/>
  <c r="BU70" i="1" s="1"/>
  <c r="BR74" i="1"/>
  <c r="BS81" i="1"/>
  <c r="BP81" i="1"/>
  <c r="BT81" i="1"/>
  <c r="BH127" i="1"/>
  <c r="BD127" i="1"/>
  <c r="BG138" i="1"/>
  <c r="BD138" i="1"/>
  <c r="BH155" i="1"/>
  <c r="BR54" i="1"/>
  <c r="BG59" i="1"/>
  <c r="BT68" i="1"/>
  <c r="BS68" i="1"/>
  <c r="BU68" i="1" s="1"/>
  <c r="BP68" i="1"/>
  <c r="BS77" i="1"/>
  <c r="BT77" i="1"/>
  <c r="BT85" i="1"/>
  <c r="BP85" i="1"/>
  <c r="BS85" i="1"/>
  <c r="BH134" i="1"/>
  <c r="BG134" i="1"/>
  <c r="BI134" i="1" s="1"/>
  <c r="BD134" i="1"/>
  <c r="BT150" i="1"/>
  <c r="BP150" i="1"/>
  <c r="BS150" i="1"/>
  <c r="BU150" i="1" s="1"/>
  <c r="BP152" i="1"/>
  <c r="BT152" i="1"/>
  <c r="BS152" i="1"/>
  <c r="BS166" i="1"/>
  <c r="BP166" i="1"/>
  <c r="BT166" i="1"/>
  <c r="BT106" i="1"/>
  <c r="BS106" i="1"/>
  <c r="BU106" i="1" s="1"/>
  <c r="BP73" i="1"/>
  <c r="BT73" i="1"/>
  <c r="BS73" i="1"/>
  <c r="BD157" i="1"/>
  <c r="BH157" i="1"/>
  <c r="BG157" i="1"/>
  <c r="BI157" i="1" s="1"/>
  <c r="BS96" i="1"/>
  <c r="BG44" i="1"/>
  <c r="BD44" i="1"/>
  <c r="BF45" i="1" s="1"/>
  <c r="BP67" i="1"/>
  <c r="BT67" i="1"/>
  <c r="BH44" i="1"/>
  <c r="BS67" i="1"/>
  <c r="BH70" i="1"/>
  <c r="BG70" i="1"/>
  <c r="BH74" i="1"/>
  <c r="BD74" i="1"/>
  <c r="BF75" i="1" s="1"/>
  <c r="BT76" i="1"/>
  <c r="BS76" i="1"/>
  <c r="BU76" i="1" s="1"/>
  <c r="BP76" i="1"/>
  <c r="BD93" i="1"/>
  <c r="BG93" i="1"/>
  <c r="BH93" i="1"/>
  <c r="BH126" i="1"/>
  <c r="BG126" i="1"/>
  <c r="BD126" i="1"/>
  <c r="BP129" i="1"/>
  <c r="BT129" i="1"/>
  <c r="BS129" i="1"/>
  <c r="BU129" i="1" s="1"/>
  <c r="BX129" i="1" s="1"/>
  <c r="BR49" i="1"/>
  <c r="BS66" i="1"/>
  <c r="BP66" i="1"/>
  <c r="BD70" i="1"/>
  <c r="BG74" i="1"/>
  <c r="BI74" i="1" s="1"/>
  <c r="BR108" i="1"/>
  <c r="BD110" i="1"/>
  <c r="BG110" i="1"/>
  <c r="BI110" i="1" s="1"/>
  <c r="BG133" i="1"/>
  <c r="BH142" i="1"/>
  <c r="BG142" i="1"/>
  <c r="BI142" i="1" s="1"/>
  <c r="BD142" i="1"/>
  <c r="BG24" i="1"/>
  <c r="BI24" i="1" s="1"/>
  <c r="BH47" i="1"/>
  <c r="BI47" i="1" s="1"/>
  <c r="BH59" i="1"/>
  <c r="BG65" i="1"/>
  <c r="BI65" i="1" s="1"/>
  <c r="BD65" i="1"/>
  <c r="BF66" i="1" s="1"/>
  <c r="BD71" i="1"/>
  <c r="BF72" i="1" s="1"/>
  <c r="BG71" i="1"/>
  <c r="BI71" i="1" s="1"/>
  <c r="BU45" i="1"/>
  <c r="BR124" i="1"/>
  <c r="BP72" i="1"/>
  <c r="BT72" i="1"/>
  <c r="BS72" i="1"/>
  <c r="BU72" i="1" s="1"/>
  <c r="BH99" i="1"/>
  <c r="BG99" i="1"/>
  <c r="BI99" i="1" s="1"/>
  <c r="BD99" i="1"/>
  <c r="BP23" i="1"/>
  <c r="BR24" i="1" s="1"/>
  <c r="BP45" i="1"/>
  <c r="BR46" i="1" s="1"/>
  <c r="BS59" i="1"/>
  <c r="BT59" i="1"/>
  <c r="BP59" i="1"/>
  <c r="BR71" i="1"/>
  <c r="BS75" i="1"/>
  <c r="BT75" i="1"/>
  <c r="BP75" i="1"/>
  <c r="BR79" i="1"/>
  <c r="BR87" i="1"/>
  <c r="BF92" i="1"/>
  <c r="BH148" i="1"/>
  <c r="BG148" i="1"/>
  <c r="BD148" i="1"/>
  <c r="BF149" i="1" s="1"/>
  <c r="BH133" i="1"/>
  <c r="BF35" i="1"/>
  <c r="BS90" i="1"/>
  <c r="BU90" i="1" s="1"/>
  <c r="BD109" i="1"/>
  <c r="BH109" i="1"/>
  <c r="BI109" i="1" s="1"/>
  <c r="BH138" i="1"/>
  <c r="BR149" i="1"/>
  <c r="BG163" i="1"/>
  <c r="BF52" i="1"/>
  <c r="BR64" i="1"/>
  <c r="BH68" i="1"/>
  <c r="BG68" i="1"/>
  <c r="BP70" i="1"/>
  <c r="BT101" i="1"/>
  <c r="BU101" i="1" s="1"/>
  <c r="BP101" i="1"/>
  <c r="BT118" i="1"/>
  <c r="BS118" i="1"/>
  <c r="BG127" i="1"/>
  <c r="BH156" i="1"/>
  <c r="BD156" i="1"/>
  <c r="BG156" i="1"/>
  <c r="BI156" i="1" s="1"/>
  <c r="BF34" i="1"/>
  <c r="BT38" i="1"/>
  <c r="BF80" i="1"/>
  <c r="BR119" i="1"/>
  <c r="BR131" i="1"/>
  <c r="BR144" i="1"/>
  <c r="BD147" i="1"/>
  <c r="BH147" i="1"/>
  <c r="BI147" i="1" s="1"/>
  <c r="BF162" i="1"/>
  <c r="BT162" i="1"/>
  <c r="BS162" i="1"/>
  <c r="BU162" i="1" s="1"/>
  <c r="BP162" i="1"/>
  <c r="BS165" i="1"/>
  <c r="BF115" i="1"/>
  <c r="BP141" i="1"/>
  <c r="BS141" i="1"/>
  <c r="BT141" i="1"/>
  <c r="BD69" i="1"/>
  <c r="BT107" i="1"/>
  <c r="BD113" i="1"/>
  <c r="BR116" i="1"/>
  <c r="BT122" i="1"/>
  <c r="BU122" i="1" s="1"/>
  <c r="BH136" i="1"/>
  <c r="BH146" i="1"/>
  <c r="BG146" i="1"/>
  <c r="BI146" i="1" s="1"/>
  <c r="BD146" i="1"/>
  <c r="BP103" i="1"/>
  <c r="BH135" i="1"/>
  <c r="BG135" i="1"/>
  <c r="BI135" i="1" s="1"/>
  <c r="BG69" i="1"/>
  <c r="BI69" i="1" s="1"/>
  <c r="BG113" i="1"/>
  <c r="BI113" i="1" s="1"/>
  <c r="BT115" i="1"/>
  <c r="BP115" i="1"/>
  <c r="BD152" i="1"/>
  <c r="BF153" i="1" s="1"/>
  <c r="BR158" i="1"/>
  <c r="BF164" i="1"/>
  <c r="BF98" i="1"/>
  <c r="BU115" i="1"/>
  <c r="BS121" i="1"/>
  <c r="BU121" i="1" s="1"/>
  <c r="BP121" i="1"/>
  <c r="BR125" i="1"/>
  <c r="BG160" i="1"/>
  <c r="BH160" i="1"/>
  <c r="BF97" i="1"/>
  <c r="BF104" i="1"/>
  <c r="BS147" i="1"/>
  <c r="BS161" i="1"/>
  <c r="BF125" i="1"/>
  <c r="BT132" i="1"/>
  <c r="BS132" i="1"/>
  <c r="BU132" i="1" s="1"/>
  <c r="BP132" i="1"/>
  <c r="BR133" i="1" s="1"/>
  <c r="BR142" i="1"/>
  <c r="BF111" i="1"/>
  <c r="BR80" i="1"/>
  <c r="BF83" i="1"/>
  <c r="BF112" i="1"/>
  <c r="BR128" i="1"/>
  <c r="BF144" i="1"/>
  <c r="BF158" i="1"/>
  <c r="BF100" i="1"/>
  <c r="BF107" i="1"/>
  <c r="BR151" i="1"/>
  <c r="BP153" i="1"/>
  <c r="BR154" i="1" s="1"/>
  <c r="BD161" i="1"/>
  <c r="BH161" i="1"/>
  <c r="BI161" i="1" s="1"/>
  <c r="BH159" i="1"/>
  <c r="BG159" i="1"/>
  <c r="BI159" i="1" s="1"/>
  <c r="BR105" i="1"/>
  <c r="BF139" i="1"/>
  <c r="BS153" i="1"/>
  <c r="BU153" i="1" s="1"/>
  <c r="BF166" i="1"/>
  <c r="BT167" i="1"/>
  <c r="BU167" i="1" s="1"/>
  <c r="BF167" i="1"/>
  <c r="BH145" i="1" l="1"/>
  <c r="BI145" i="1" s="1"/>
  <c r="BX145" i="1" s="1"/>
  <c r="BT127" i="1"/>
  <c r="BU127" i="1" s="1"/>
  <c r="BH91" i="1"/>
  <c r="BD91" i="1"/>
  <c r="BI160" i="1"/>
  <c r="BD155" i="1"/>
  <c r="BH27" i="1"/>
  <c r="BI27" i="1" s="1"/>
  <c r="BX27" i="1" s="1"/>
  <c r="BU36" i="1"/>
  <c r="BI46" i="1"/>
  <c r="BT69" i="1"/>
  <c r="BP161" i="1"/>
  <c r="BT161" i="1"/>
  <c r="BD94" i="1"/>
  <c r="BG94" i="1"/>
  <c r="BH94" i="1"/>
  <c r="BD145" i="1"/>
  <c r="BG91" i="1"/>
  <c r="BI91" i="1" s="1"/>
  <c r="BD96" i="1"/>
  <c r="BP90" i="1"/>
  <c r="BR91" i="1" s="1"/>
  <c r="BT91" i="1" s="1"/>
  <c r="BP60" i="1"/>
  <c r="BI37" i="1"/>
  <c r="BT31" i="1"/>
  <c r="BP31" i="1"/>
  <c r="BR32" i="1" s="1"/>
  <c r="BU96" i="1"/>
  <c r="BG96" i="1"/>
  <c r="BI96" i="1" s="1"/>
  <c r="BX96" i="1" s="1"/>
  <c r="BI138" i="1"/>
  <c r="BU161" i="1"/>
  <c r="BX161" i="1" s="1"/>
  <c r="BI68" i="1"/>
  <c r="BG119" i="1"/>
  <c r="BI119" i="1" s="1"/>
  <c r="BI50" i="1"/>
  <c r="BG152" i="1"/>
  <c r="BH152" i="1"/>
  <c r="BI152" i="1" s="1"/>
  <c r="BT165" i="1"/>
  <c r="BP165" i="1"/>
  <c r="BU160" i="1"/>
  <c r="BT96" i="1"/>
  <c r="BD143" i="1"/>
  <c r="BG143" i="1"/>
  <c r="BH143" i="1"/>
  <c r="BD119" i="1"/>
  <c r="BF120" i="1" s="1"/>
  <c r="BP65" i="1"/>
  <c r="BG84" i="1"/>
  <c r="BI84" i="1" s="1"/>
  <c r="BS107" i="1"/>
  <c r="BU107" i="1" s="1"/>
  <c r="BP107" i="1"/>
  <c r="BS123" i="1"/>
  <c r="BU123" i="1" s="1"/>
  <c r="BT123" i="1"/>
  <c r="BP123" i="1"/>
  <c r="BU38" i="1"/>
  <c r="BU66" i="1"/>
  <c r="BU102" i="1"/>
  <c r="BP117" i="1"/>
  <c r="BS117" i="1"/>
  <c r="BU117" i="1" s="1"/>
  <c r="BT147" i="1"/>
  <c r="BU147" i="1" s="1"/>
  <c r="BX147" i="1" s="1"/>
  <c r="BS126" i="1"/>
  <c r="BI133" i="1"/>
  <c r="BS31" i="1"/>
  <c r="BI30" i="1"/>
  <c r="BG165" i="1"/>
  <c r="BI165" i="1" s="1"/>
  <c r="BT65" i="1"/>
  <c r="BD84" i="1"/>
  <c r="BF85" i="1" s="1"/>
  <c r="BG85" i="1" s="1"/>
  <c r="BI128" i="1"/>
  <c r="BT146" i="1"/>
  <c r="BP146" i="1"/>
  <c r="BP97" i="1"/>
  <c r="BR98" i="1" s="1"/>
  <c r="BT97" i="1"/>
  <c r="BS97" i="1"/>
  <c r="BH163" i="1"/>
  <c r="BI163" i="1" s="1"/>
  <c r="BS61" i="1"/>
  <c r="BU61" i="1" s="1"/>
  <c r="BT120" i="1"/>
  <c r="BU120" i="1" s="1"/>
  <c r="BP89" i="1"/>
  <c r="BH165" i="1"/>
  <c r="BD136" i="1"/>
  <c r="BG136" i="1"/>
  <c r="BI136" i="1" s="1"/>
  <c r="BU165" i="1"/>
  <c r="BS60" i="1"/>
  <c r="BU60" i="1" s="1"/>
  <c r="BS38" i="1"/>
  <c r="BP38" i="1"/>
  <c r="BR39" i="1" s="1"/>
  <c r="BG60" i="1"/>
  <c r="BH60" i="1"/>
  <c r="BU59" i="1"/>
  <c r="BX159" i="1"/>
  <c r="BT126" i="1"/>
  <c r="BG31" i="1"/>
  <c r="BP127" i="1"/>
  <c r="BI41" i="1"/>
  <c r="BS146" i="1"/>
  <c r="BU146" i="1" s="1"/>
  <c r="BX146" i="1" s="1"/>
  <c r="BH31" i="1"/>
  <c r="BI126" i="1"/>
  <c r="BT61" i="1"/>
  <c r="BT89" i="1"/>
  <c r="BU89" i="1" s="1"/>
  <c r="BU104" i="1"/>
  <c r="BV22" i="1"/>
  <c r="BV23" i="1" s="1"/>
  <c r="BT46" i="1"/>
  <c r="BP46" i="1"/>
  <c r="BR47" i="1" s="1"/>
  <c r="BS46" i="1"/>
  <c r="BU46" i="1" s="1"/>
  <c r="BX46" i="1" s="1"/>
  <c r="BT164" i="1"/>
  <c r="BS164" i="1"/>
  <c r="BU164" i="1" s="1"/>
  <c r="BP164" i="1"/>
  <c r="BH42" i="1"/>
  <c r="BG42" i="1"/>
  <c r="BI42" i="1" s="1"/>
  <c r="BD42" i="1"/>
  <c r="BH45" i="1"/>
  <c r="BG45" i="1"/>
  <c r="BI45" i="1" s="1"/>
  <c r="BX45" i="1" s="1"/>
  <c r="BD45" i="1"/>
  <c r="BD54" i="1"/>
  <c r="BF55" i="1" s="1"/>
  <c r="BG54" i="1"/>
  <c r="BH54" i="1"/>
  <c r="BT37" i="1"/>
  <c r="BS37" i="1"/>
  <c r="BP37" i="1"/>
  <c r="BP154" i="1"/>
  <c r="BR155" i="1" s="1"/>
  <c r="BT154" i="1"/>
  <c r="BS154" i="1"/>
  <c r="BU154" i="1" s="1"/>
  <c r="BX154" i="1" s="1"/>
  <c r="BP133" i="1"/>
  <c r="BR134" i="1" s="1"/>
  <c r="BT133" i="1"/>
  <c r="BS133" i="1"/>
  <c r="BH38" i="1"/>
  <c r="BG38" i="1"/>
  <c r="BI38" i="1" s="1"/>
  <c r="BD38" i="1"/>
  <c r="BH153" i="1"/>
  <c r="BG153" i="1"/>
  <c r="BI153" i="1" s="1"/>
  <c r="BX153" i="1" s="1"/>
  <c r="BD153" i="1"/>
  <c r="BH141" i="1"/>
  <c r="BG141" i="1"/>
  <c r="BD141" i="1"/>
  <c r="BH112" i="1"/>
  <c r="BG112" i="1"/>
  <c r="BI112" i="1" s="1"/>
  <c r="BD112" i="1"/>
  <c r="BI51" i="1"/>
  <c r="BI130" i="1"/>
  <c r="BU163" i="1"/>
  <c r="BI53" i="1"/>
  <c r="BU63" i="1"/>
  <c r="BG131" i="1"/>
  <c r="BH131" i="1"/>
  <c r="BD131" i="1"/>
  <c r="BF132" i="1" s="1"/>
  <c r="BD158" i="1"/>
  <c r="BH158" i="1"/>
  <c r="BG158" i="1"/>
  <c r="BP125" i="1"/>
  <c r="BT125" i="1"/>
  <c r="BS125" i="1"/>
  <c r="BU125" i="1" s="1"/>
  <c r="BH125" i="1"/>
  <c r="BG125" i="1"/>
  <c r="BD125" i="1"/>
  <c r="BH162" i="1"/>
  <c r="BG162" i="1"/>
  <c r="BD162" i="1"/>
  <c r="BG34" i="1"/>
  <c r="BD34" i="1"/>
  <c r="BH34" i="1"/>
  <c r="BT87" i="1"/>
  <c r="BS87" i="1"/>
  <c r="BP87" i="1"/>
  <c r="BI93" i="1"/>
  <c r="BH98" i="1"/>
  <c r="BD98" i="1"/>
  <c r="BG98" i="1"/>
  <c r="BP79" i="1"/>
  <c r="BT79" i="1"/>
  <c r="BS79" i="1"/>
  <c r="BI127" i="1"/>
  <c r="BD35" i="1"/>
  <c r="BF36" i="1" s="1"/>
  <c r="BH35" i="1"/>
  <c r="BG35" i="1"/>
  <c r="BT49" i="1"/>
  <c r="BP49" i="1"/>
  <c r="BR50" i="1" s="1"/>
  <c r="BS49" i="1"/>
  <c r="BU49" i="1" s="1"/>
  <c r="BU69" i="1"/>
  <c r="BX69" i="1" s="1"/>
  <c r="BT151" i="1"/>
  <c r="BP151" i="1"/>
  <c r="BS151" i="1"/>
  <c r="BU141" i="1"/>
  <c r="BS64" i="1"/>
  <c r="BP64" i="1"/>
  <c r="BT64" i="1"/>
  <c r="BI59" i="1"/>
  <c r="BX59" i="1" s="1"/>
  <c r="BD104" i="1"/>
  <c r="BF105" i="1" s="1"/>
  <c r="BH104" i="1"/>
  <c r="BG104" i="1"/>
  <c r="BI104" i="1" s="1"/>
  <c r="BX104" i="1" s="1"/>
  <c r="BH52" i="1"/>
  <c r="BD52" i="1"/>
  <c r="BG52" i="1"/>
  <c r="BT54" i="1"/>
  <c r="BS54" i="1"/>
  <c r="BP54" i="1"/>
  <c r="BT74" i="1"/>
  <c r="BS74" i="1"/>
  <c r="BP74" i="1"/>
  <c r="BD107" i="1"/>
  <c r="BF108" i="1" s="1"/>
  <c r="BG107" i="1"/>
  <c r="BH107" i="1"/>
  <c r="BD97" i="1"/>
  <c r="BH97" i="1"/>
  <c r="BG97" i="1"/>
  <c r="BI97" i="1" s="1"/>
  <c r="BP131" i="1"/>
  <c r="BS131" i="1"/>
  <c r="BT131" i="1"/>
  <c r="BT108" i="1"/>
  <c r="BP108" i="1"/>
  <c r="BR109" i="1" s="1"/>
  <c r="BS108" i="1"/>
  <c r="BU108" i="1" s="1"/>
  <c r="BI70" i="1"/>
  <c r="BX70" i="1" s="1"/>
  <c r="BU85" i="1"/>
  <c r="BU145" i="1"/>
  <c r="BG80" i="1"/>
  <c r="BH80" i="1"/>
  <c r="BD80" i="1"/>
  <c r="BF81" i="1" s="1"/>
  <c r="BP83" i="1"/>
  <c r="BR84" i="1" s="1"/>
  <c r="BT83" i="1"/>
  <c r="BS83" i="1"/>
  <c r="BU83" i="1" s="1"/>
  <c r="BS105" i="1"/>
  <c r="BT105" i="1"/>
  <c r="BP105" i="1"/>
  <c r="BD144" i="1"/>
  <c r="BH144" i="1"/>
  <c r="BG144" i="1"/>
  <c r="BS116" i="1"/>
  <c r="BP116" i="1"/>
  <c r="BT116" i="1"/>
  <c r="BH61" i="1"/>
  <c r="BD61" i="1"/>
  <c r="BF62" i="1" s="1"/>
  <c r="BG61" i="1"/>
  <c r="BI61" i="1" s="1"/>
  <c r="BX61" i="1" s="1"/>
  <c r="BH120" i="1"/>
  <c r="BG120" i="1"/>
  <c r="BI120" i="1" s="1"/>
  <c r="BD120" i="1"/>
  <c r="BF121" i="1" s="1"/>
  <c r="BS24" i="1"/>
  <c r="BT24" i="1"/>
  <c r="BP24" i="1"/>
  <c r="BR25" i="1" s="1"/>
  <c r="BU77" i="1"/>
  <c r="BX22" i="1"/>
  <c r="BJ22" i="1"/>
  <c r="BU65" i="1"/>
  <c r="BX65" i="1" s="1"/>
  <c r="BS128" i="1"/>
  <c r="BP128" i="1"/>
  <c r="BT128" i="1"/>
  <c r="BH92" i="1"/>
  <c r="BG92" i="1"/>
  <c r="BI92" i="1" s="1"/>
  <c r="BD92" i="1"/>
  <c r="BD75" i="1"/>
  <c r="BF76" i="1" s="1"/>
  <c r="BH75" i="1"/>
  <c r="BG75" i="1"/>
  <c r="BI75" i="1" s="1"/>
  <c r="BU130" i="1"/>
  <c r="BH117" i="1"/>
  <c r="BG117" i="1"/>
  <c r="BD117" i="1"/>
  <c r="BF118" i="1" s="1"/>
  <c r="BI23" i="1"/>
  <c r="BX23" i="1" s="1"/>
  <c r="BP148" i="1"/>
  <c r="BS148" i="1"/>
  <c r="BT148" i="1"/>
  <c r="BD83" i="1"/>
  <c r="BH83" i="1"/>
  <c r="BG83" i="1"/>
  <c r="BI83" i="1" s="1"/>
  <c r="BI44" i="1"/>
  <c r="BI79" i="1"/>
  <c r="BH167" i="1"/>
  <c r="BG167" i="1"/>
  <c r="BD167" i="1"/>
  <c r="BT80" i="1"/>
  <c r="BS80" i="1"/>
  <c r="BP80" i="1"/>
  <c r="BD164" i="1"/>
  <c r="BG164" i="1"/>
  <c r="BH164" i="1"/>
  <c r="BX68" i="1"/>
  <c r="BU42" i="1"/>
  <c r="BX165" i="1"/>
  <c r="BD111" i="1"/>
  <c r="BH111" i="1"/>
  <c r="BG111" i="1"/>
  <c r="BI111" i="1" s="1"/>
  <c r="BT158" i="1"/>
  <c r="BP158" i="1"/>
  <c r="BS158" i="1"/>
  <c r="BT144" i="1"/>
  <c r="BP144" i="1"/>
  <c r="BS144" i="1"/>
  <c r="BU144" i="1" s="1"/>
  <c r="BU75" i="1"/>
  <c r="BP43" i="1"/>
  <c r="BR44" i="1" s="1"/>
  <c r="BT43" i="1"/>
  <c r="BS43" i="1"/>
  <c r="BU43" i="1" s="1"/>
  <c r="BX43" i="1" s="1"/>
  <c r="BH166" i="1"/>
  <c r="BD166" i="1"/>
  <c r="BG166" i="1"/>
  <c r="BH149" i="1"/>
  <c r="BG149" i="1"/>
  <c r="BI149" i="1" s="1"/>
  <c r="BD149" i="1"/>
  <c r="BF150" i="1" s="1"/>
  <c r="BS71" i="1"/>
  <c r="BT71" i="1"/>
  <c r="BP71" i="1"/>
  <c r="BU81" i="1"/>
  <c r="BU78" i="1"/>
  <c r="BU62" i="1"/>
  <c r="BH139" i="1"/>
  <c r="BG139" i="1"/>
  <c r="BI139" i="1" s="1"/>
  <c r="BD139" i="1"/>
  <c r="BG100" i="1"/>
  <c r="BD100" i="1"/>
  <c r="BF101" i="1" s="1"/>
  <c r="BH100" i="1"/>
  <c r="BS119" i="1"/>
  <c r="BT119" i="1"/>
  <c r="BP119" i="1"/>
  <c r="BU118" i="1"/>
  <c r="BH72" i="1"/>
  <c r="BG72" i="1"/>
  <c r="BI72" i="1" s="1"/>
  <c r="BX72" i="1" s="1"/>
  <c r="BD72" i="1"/>
  <c r="BF73" i="1" s="1"/>
  <c r="BU73" i="1"/>
  <c r="BU166" i="1"/>
  <c r="BI155" i="1"/>
  <c r="BD26" i="1"/>
  <c r="BH26" i="1"/>
  <c r="BG26" i="1"/>
  <c r="BI26" i="1" s="1"/>
  <c r="BU57" i="1"/>
  <c r="BS149" i="1"/>
  <c r="BP149" i="1"/>
  <c r="BT149" i="1"/>
  <c r="BS142" i="1"/>
  <c r="BP142" i="1"/>
  <c r="BR143" i="1" s="1"/>
  <c r="BT142" i="1"/>
  <c r="BH115" i="1"/>
  <c r="BG115" i="1"/>
  <c r="BI115" i="1" s="1"/>
  <c r="BX115" i="1" s="1"/>
  <c r="BD115" i="1"/>
  <c r="BS91" i="1"/>
  <c r="BP91" i="1"/>
  <c r="BR92" i="1" s="1"/>
  <c r="BI148" i="1"/>
  <c r="BP124" i="1"/>
  <c r="BT124" i="1"/>
  <c r="BS124" i="1"/>
  <c r="BU124" i="1" s="1"/>
  <c r="BD66" i="1"/>
  <c r="BF67" i="1" s="1"/>
  <c r="BG66" i="1"/>
  <c r="BH66" i="1"/>
  <c r="BU67" i="1"/>
  <c r="BU152" i="1"/>
  <c r="BG48" i="1"/>
  <c r="BD48" i="1"/>
  <c r="BF49" i="1" s="1"/>
  <c r="BH48" i="1"/>
  <c r="BU58" i="1"/>
  <c r="BX58" i="1" s="1"/>
  <c r="BI140" i="1"/>
  <c r="BT28" i="1"/>
  <c r="BS28" i="1"/>
  <c r="BP28" i="1"/>
  <c r="BR29" i="1" s="1"/>
  <c r="BU54" i="1" l="1"/>
  <c r="BU151" i="1"/>
  <c r="BX160" i="1"/>
  <c r="BX163" i="1"/>
  <c r="BD85" i="1"/>
  <c r="BF86" i="1" s="1"/>
  <c r="BG86" i="1" s="1"/>
  <c r="BU31" i="1"/>
  <c r="BX120" i="1"/>
  <c r="BI80" i="1"/>
  <c r="BH85" i="1"/>
  <c r="BU91" i="1"/>
  <c r="BX91" i="1" s="1"/>
  <c r="BX97" i="1"/>
  <c r="BU126" i="1"/>
  <c r="BX152" i="1"/>
  <c r="BX38" i="1"/>
  <c r="BU128" i="1"/>
  <c r="BX128" i="1" s="1"/>
  <c r="BU71" i="1"/>
  <c r="BX71" i="1" s="1"/>
  <c r="BI117" i="1"/>
  <c r="BX117" i="1" s="1"/>
  <c r="BJ23" i="1"/>
  <c r="BJ24" i="1" s="1"/>
  <c r="BJ25" i="1" s="1"/>
  <c r="BU97" i="1"/>
  <c r="BI94" i="1"/>
  <c r="BI167" i="1"/>
  <c r="BX167" i="1" s="1"/>
  <c r="BI60" i="1"/>
  <c r="BX60" i="1" s="1"/>
  <c r="BP98" i="1"/>
  <c r="BR99" i="1" s="1"/>
  <c r="BS98" i="1"/>
  <c r="BT98" i="1"/>
  <c r="BI143" i="1"/>
  <c r="BI48" i="1"/>
  <c r="BX48" i="1" s="1"/>
  <c r="BP39" i="1"/>
  <c r="BR40" i="1" s="1"/>
  <c r="BT39" i="1"/>
  <c r="BS39" i="1"/>
  <c r="BU39" i="1" s="1"/>
  <c r="BX39" i="1" s="1"/>
  <c r="BI31" i="1"/>
  <c r="BX31" i="1" s="1"/>
  <c r="BI166" i="1"/>
  <c r="BX166" i="1" s="1"/>
  <c r="BX127" i="1"/>
  <c r="BI100" i="1"/>
  <c r="BU74" i="1"/>
  <c r="BX74" i="1" s="1"/>
  <c r="BU79" i="1"/>
  <c r="BX79" i="1" s="1"/>
  <c r="BI162" i="1"/>
  <c r="BX162" i="1" s="1"/>
  <c r="BU37" i="1"/>
  <c r="BX37" i="1" s="1"/>
  <c r="BX126" i="1"/>
  <c r="BP32" i="1"/>
  <c r="BR33" i="1" s="1"/>
  <c r="BS32" i="1"/>
  <c r="BU32" i="1" s="1"/>
  <c r="BX32" i="1" s="1"/>
  <c r="BT32" i="1"/>
  <c r="BD36" i="1"/>
  <c r="BH36" i="1"/>
  <c r="BG36" i="1"/>
  <c r="BI36" i="1" s="1"/>
  <c r="BX36" i="1" s="1"/>
  <c r="BI131" i="1"/>
  <c r="BU105" i="1"/>
  <c r="BG62" i="1"/>
  <c r="BH62" i="1"/>
  <c r="BD62" i="1"/>
  <c r="BF63" i="1" s="1"/>
  <c r="BX44" i="1"/>
  <c r="BU131" i="1"/>
  <c r="BG55" i="1"/>
  <c r="BD55" i="1"/>
  <c r="BF56" i="1" s="1"/>
  <c r="BH55" i="1"/>
  <c r="BG67" i="1"/>
  <c r="BD67" i="1"/>
  <c r="BH67" i="1"/>
  <c r="BD73" i="1"/>
  <c r="BH73" i="1"/>
  <c r="BG73" i="1"/>
  <c r="BI73" i="1" s="1"/>
  <c r="BX73" i="1" s="1"/>
  <c r="BT84" i="1"/>
  <c r="BS84" i="1"/>
  <c r="BU84" i="1" s="1"/>
  <c r="BX84" i="1" s="1"/>
  <c r="BP84" i="1"/>
  <c r="BX130" i="1"/>
  <c r="BT47" i="1"/>
  <c r="BP47" i="1"/>
  <c r="BS47" i="1"/>
  <c r="BP29" i="1"/>
  <c r="BR30" i="1" s="1"/>
  <c r="BT29" i="1"/>
  <c r="BS29" i="1"/>
  <c r="BU29" i="1" s="1"/>
  <c r="BX29" i="1" s="1"/>
  <c r="BT143" i="1"/>
  <c r="BP143" i="1"/>
  <c r="BS143" i="1"/>
  <c r="BU143" i="1" s="1"/>
  <c r="BX83" i="1"/>
  <c r="BX75" i="1"/>
  <c r="BJ26" i="1"/>
  <c r="BJ27" i="1" s="1"/>
  <c r="BJ28" i="1" s="1"/>
  <c r="BJ29" i="1" s="1"/>
  <c r="BJ30" i="1" s="1"/>
  <c r="BJ31" i="1" s="1"/>
  <c r="BJ32" i="1" s="1"/>
  <c r="BJ33" i="1" s="1"/>
  <c r="BJ34" i="1" s="1"/>
  <c r="BU116" i="1"/>
  <c r="BX116" i="1" s="1"/>
  <c r="BD81" i="1"/>
  <c r="BF82" i="1" s="1"/>
  <c r="BH81" i="1"/>
  <c r="BG81" i="1"/>
  <c r="BI52" i="1"/>
  <c r="BU28" i="1"/>
  <c r="BX28" i="1" s="1"/>
  <c r="BU142" i="1"/>
  <c r="BX142" i="1" s="1"/>
  <c r="BP44" i="1"/>
  <c r="BT44" i="1"/>
  <c r="BS44" i="1"/>
  <c r="BU44" i="1" s="1"/>
  <c r="BY22" i="1"/>
  <c r="BY23" i="1" s="1"/>
  <c r="BI144" i="1"/>
  <c r="BX144" i="1" s="1"/>
  <c r="BI98" i="1"/>
  <c r="BI125" i="1"/>
  <c r="BX125" i="1" s="1"/>
  <c r="BI158" i="1"/>
  <c r="BU133" i="1"/>
  <c r="BX133" i="1" s="1"/>
  <c r="BP109" i="1"/>
  <c r="BR110" i="1" s="1"/>
  <c r="BS109" i="1"/>
  <c r="BT109" i="1"/>
  <c r="BI54" i="1"/>
  <c r="BX54" i="1" s="1"/>
  <c r="BI107" i="1"/>
  <c r="BX107" i="1" s="1"/>
  <c r="BX42" i="1"/>
  <c r="BD150" i="1"/>
  <c r="BF151" i="1" s="1"/>
  <c r="BH150" i="1"/>
  <c r="BG150" i="1"/>
  <c r="BI150" i="1" s="1"/>
  <c r="BX150" i="1" s="1"/>
  <c r="BU64" i="1"/>
  <c r="BI66" i="1"/>
  <c r="BX66" i="1" s="1"/>
  <c r="BG76" i="1"/>
  <c r="BD76" i="1"/>
  <c r="BF77" i="1" s="1"/>
  <c r="BH76" i="1"/>
  <c r="BV24" i="1"/>
  <c r="BV25" i="1" s="1"/>
  <c r="BU119" i="1"/>
  <c r="BX119" i="1" s="1"/>
  <c r="BU24" i="1"/>
  <c r="BD108" i="1"/>
  <c r="BH108" i="1"/>
  <c r="BG108" i="1"/>
  <c r="BI108" i="1" s="1"/>
  <c r="BX108" i="1" s="1"/>
  <c r="BH105" i="1"/>
  <c r="BD105" i="1"/>
  <c r="BF106" i="1" s="1"/>
  <c r="BG105" i="1"/>
  <c r="BI105" i="1" s="1"/>
  <c r="BI85" i="1"/>
  <c r="BX85" i="1" s="1"/>
  <c r="BI141" i="1"/>
  <c r="BX141" i="1" s="1"/>
  <c r="BH49" i="1"/>
  <c r="BD49" i="1"/>
  <c r="BG49" i="1"/>
  <c r="BI49" i="1" s="1"/>
  <c r="BX49" i="1" s="1"/>
  <c r="BD101" i="1"/>
  <c r="BF102" i="1" s="1"/>
  <c r="BG101" i="1"/>
  <c r="BH101" i="1"/>
  <c r="BD118" i="1"/>
  <c r="BH118" i="1"/>
  <c r="BG118" i="1"/>
  <c r="BI118" i="1" s="1"/>
  <c r="BX118" i="1" s="1"/>
  <c r="BI34" i="1"/>
  <c r="BX148" i="1"/>
  <c r="BI164" i="1"/>
  <c r="BX164" i="1" s="1"/>
  <c r="BP25" i="1"/>
  <c r="BR26" i="1" s="1"/>
  <c r="BT25" i="1"/>
  <c r="BS25" i="1"/>
  <c r="BU25" i="1" s="1"/>
  <c r="BX25" i="1" s="1"/>
  <c r="BP50" i="1"/>
  <c r="BR51" i="1" s="1"/>
  <c r="BS50" i="1"/>
  <c r="BT50" i="1"/>
  <c r="BP134" i="1"/>
  <c r="BR135" i="1" s="1"/>
  <c r="BS134" i="1"/>
  <c r="BT134" i="1"/>
  <c r="BU149" i="1"/>
  <c r="BX149" i="1" s="1"/>
  <c r="BU148" i="1"/>
  <c r="BP92" i="1"/>
  <c r="BR93" i="1" s="1"/>
  <c r="BT92" i="1"/>
  <c r="BS92" i="1"/>
  <c r="BU158" i="1"/>
  <c r="BU80" i="1"/>
  <c r="BX80" i="1" s="1"/>
  <c r="BD121" i="1"/>
  <c r="BF122" i="1" s="1"/>
  <c r="BG121" i="1"/>
  <c r="BH121" i="1"/>
  <c r="BI35" i="1"/>
  <c r="BU87" i="1"/>
  <c r="BH132" i="1"/>
  <c r="BD132" i="1"/>
  <c r="BG132" i="1"/>
  <c r="BP155" i="1"/>
  <c r="BR156" i="1" s="1"/>
  <c r="BS155" i="1"/>
  <c r="BT155" i="1"/>
  <c r="BX131" i="1" l="1"/>
  <c r="BT33" i="1"/>
  <c r="BP33" i="1"/>
  <c r="BR34" i="1" s="1"/>
  <c r="BS33" i="1"/>
  <c r="BU33" i="1" s="1"/>
  <c r="BX33" i="1" s="1"/>
  <c r="BS40" i="1"/>
  <c r="BT40" i="1"/>
  <c r="BP40" i="1"/>
  <c r="BR41" i="1" s="1"/>
  <c r="BT99" i="1"/>
  <c r="BS99" i="1"/>
  <c r="BU99" i="1" s="1"/>
  <c r="BX99" i="1" s="1"/>
  <c r="BP99" i="1"/>
  <c r="BR100" i="1" s="1"/>
  <c r="BJ35" i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X143" i="1"/>
  <c r="BD86" i="1"/>
  <c r="BF87" i="1" s="1"/>
  <c r="BX105" i="1"/>
  <c r="BU98" i="1"/>
  <c r="BX98" i="1" s="1"/>
  <c r="BH86" i="1"/>
  <c r="BU47" i="1"/>
  <c r="BX47" i="1" s="1"/>
  <c r="BU50" i="1"/>
  <c r="BX50" i="1" s="1"/>
  <c r="BI132" i="1"/>
  <c r="BX132" i="1" s="1"/>
  <c r="BI101" i="1"/>
  <c r="BX101" i="1" s="1"/>
  <c r="BI81" i="1"/>
  <c r="BX81" i="1" s="1"/>
  <c r="BP51" i="1"/>
  <c r="BR52" i="1" s="1"/>
  <c r="BT51" i="1"/>
  <c r="BS51" i="1"/>
  <c r="BU51" i="1" s="1"/>
  <c r="BX51" i="1" s="1"/>
  <c r="BD122" i="1"/>
  <c r="BF123" i="1" s="1"/>
  <c r="BH122" i="1"/>
  <c r="BG122" i="1"/>
  <c r="BH63" i="1"/>
  <c r="BG63" i="1"/>
  <c r="BI63" i="1" s="1"/>
  <c r="BX63" i="1" s="1"/>
  <c r="BD63" i="1"/>
  <c r="BF64" i="1" s="1"/>
  <c r="BU155" i="1"/>
  <c r="BX155" i="1" s="1"/>
  <c r="BT26" i="1"/>
  <c r="BS26" i="1"/>
  <c r="BU26" i="1" s="1"/>
  <c r="BX26" i="1" s="1"/>
  <c r="BP26" i="1"/>
  <c r="BH77" i="1"/>
  <c r="BD77" i="1"/>
  <c r="BF78" i="1" s="1"/>
  <c r="BG77" i="1"/>
  <c r="BI77" i="1" s="1"/>
  <c r="BX77" i="1" s="1"/>
  <c r="BI62" i="1"/>
  <c r="BX62" i="1" s="1"/>
  <c r="BS156" i="1"/>
  <c r="BP156" i="1"/>
  <c r="BR157" i="1" s="1"/>
  <c r="BT156" i="1"/>
  <c r="BU92" i="1"/>
  <c r="BX92" i="1" s="1"/>
  <c r="BI76" i="1"/>
  <c r="BX76" i="1" s="1"/>
  <c r="BH106" i="1"/>
  <c r="BD106" i="1"/>
  <c r="BG106" i="1"/>
  <c r="BI106" i="1" s="1"/>
  <c r="BX106" i="1" s="1"/>
  <c r="BH87" i="1"/>
  <c r="BD87" i="1"/>
  <c r="BF88" i="1" s="1"/>
  <c r="BG87" i="1"/>
  <c r="BI87" i="1" s="1"/>
  <c r="BX87" i="1" s="1"/>
  <c r="BD102" i="1"/>
  <c r="BF103" i="1" s="1"/>
  <c r="BG102" i="1"/>
  <c r="BH102" i="1"/>
  <c r="BS93" i="1"/>
  <c r="BP93" i="1"/>
  <c r="BR94" i="1" s="1"/>
  <c r="BT93" i="1"/>
  <c r="BP30" i="1"/>
  <c r="BT30" i="1"/>
  <c r="BS30" i="1"/>
  <c r="BU30" i="1" s="1"/>
  <c r="BX30" i="1" s="1"/>
  <c r="BU134" i="1"/>
  <c r="BX134" i="1" s="1"/>
  <c r="BI55" i="1"/>
  <c r="BX55" i="1" s="1"/>
  <c r="BI121" i="1"/>
  <c r="BX121" i="1" s="1"/>
  <c r="BT110" i="1"/>
  <c r="BP110" i="1"/>
  <c r="BR111" i="1" s="1"/>
  <c r="BS110" i="1"/>
  <c r="BU110" i="1" s="1"/>
  <c r="BX110" i="1" s="1"/>
  <c r="BI67" i="1"/>
  <c r="BX67" i="1" s="1"/>
  <c r="BX158" i="1"/>
  <c r="BH56" i="1"/>
  <c r="BG56" i="1"/>
  <c r="BI56" i="1" s="1"/>
  <c r="BX56" i="1" s="1"/>
  <c r="BD56" i="1"/>
  <c r="BF57" i="1" s="1"/>
  <c r="BI86" i="1"/>
  <c r="BX86" i="1" s="1"/>
  <c r="BS135" i="1"/>
  <c r="BP135" i="1"/>
  <c r="BR136" i="1" s="1"/>
  <c r="BT135" i="1"/>
  <c r="BX24" i="1"/>
  <c r="BY24" i="1" s="1"/>
  <c r="BY25" i="1" s="1"/>
  <c r="BY26" i="1" s="1"/>
  <c r="BY27" i="1" s="1"/>
  <c r="BY28" i="1" s="1"/>
  <c r="BY29" i="1" s="1"/>
  <c r="BY30" i="1" s="1"/>
  <c r="BY31" i="1" s="1"/>
  <c r="BY32" i="1" s="1"/>
  <c r="BY33" i="1" s="1"/>
  <c r="BH82" i="1"/>
  <c r="BG82" i="1"/>
  <c r="BI82" i="1" s="1"/>
  <c r="BX82" i="1" s="1"/>
  <c r="BD82" i="1"/>
  <c r="BU109" i="1"/>
  <c r="BX109" i="1" s="1"/>
  <c r="BD151" i="1"/>
  <c r="BH151" i="1"/>
  <c r="BG151" i="1"/>
  <c r="BI151" i="1" s="1"/>
  <c r="BX151" i="1" s="1"/>
  <c r="BP41" i="1" l="1"/>
  <c r="BT41" i="1"/>
  <c r="BS41" i="1"/>
  <c r="BU41" i="1" s="1"/>
  <c r="BX41" i="1" s="1"/>
  <c r="BS100" i="1"/>
  <c r="BP100" i="1"/>
  <c r="BT100" i="1"/>
  <c r="BU40" i="1"/>
  <c r="BX40" i="1" s="1"/>
  <c r="BP34" i="1"/>
  <c r="BR35" i="1" s="1"/>
  <c r="BS34" i="1"/>
  <c r="BU34" i="1" s="1"/>
  <c r="BX34" i="1" s="1"/>
  <c r="BY34" i="1" s="1"/>
  <c r="BT34" i="1"/>
  <c r="BI122" i="1"/>
  <c r="BX122" i="1" s="1"/>
  <c r="BV26" i="1"/>
  <c r="BV27" i="1" s="1"/>
  <c r="BV28" i="1" s="1"/>
  <c r="BV29" i="1" s="1"/>
  <c r="BV30" i="1" s="1"/>
  <c r="BV31" i="1" s="1"/>
  <c r="BV32" i="1" s="1"/>
  <c r="BV33" i="1" s="1"/>
  <c r="BV34" i="1" s="1"/>
  <c r="BD123" i="1"/>
  <c r="BF124" i="1" s="1"/>
  <c r="BG123" i="1"/>
  <c r="BH123" i="1"/>
  <c r="BD103" i="1"/>
  <c r="BH103" i="1"/>
  <c r="BG103" i="1"/>
  <c r="BI103" i="1" s="1"/>
  <c r="BX103" i="1" s="1"/>
  <c r="BT94" i="1"/>
  <c r="BP94" i="1"/>
  <c r="BR95" i="1" s="1"/>
  <c r="BS94" i="1"/>
  <c r="BU94" i="1" s="1"/>
  <c r="BX94" i="1" s="1"/>
  <c r="BP111" i="1"/>
  <c r="BR112" i="1" s="1"/>
  <c r="BT111" i="1"/>
  <c r="BS111" i="1"/>
  <c r="BU111" i="1" s="1"/>
  <c r="BX111" i="1" s="1"/>
  <c r="BD57" i="1"/>
  <c r="BH57" i="1"/>
  <c r="BG57" i="1"/>
  <c r="BI57" i="1" s="1"/>
  <c r="BX57" i="1" s="1"/>
  <c r="BG64" i="1"/>
  <c r="BH64" i="1"/>
  <c r="BD64" i="1"/>
  <c r="BU93" i="1"/>
  <c r="BX93" i="1" s="1"/>
  <c r="BT157" i="1"/>
  <c r="BP157" i="1"/>
  <c r="BS157" i="1"/>
  <c r="BU157" i="1" s="1"/>
  <c r="BX157" i="1" s="1"/>
  <c r="BU156" i="1"/>
  <c r="BX156" i="1" s="1"/>
  <c r="BI102" i="1"/>
  <c r="BX102" i="1" s="1"/>
  <c r="BH78" i="1"/>
  <c r="BG78" i="1"/>
  <c r="BI78" i="1" s="1"/>
  <c r="BX78" i="1" s="1"/>
  <c r="BD78" i="1"/>
  <c r="BS52" i="1"/>
  <c r="BT52" i="1"/>
  <c r="BP52" i="1"/>
  <c r="BR53" i="1" s="1"/>
  <c r="BT136" i="1"/>
  <c r="BP136" i="1"/>
  <c r="BR137" i="1" s="1"/>
  <c r="BS136" i="1"/>
  <c r="BU136" i="1" s="1"/>
  <c r="BX136" i="1" s="1"/>
  <c r="BJ55" i="1"/>
  <c r="BJ56" i="1" s="1"/>
  <c r="BD88" i="1"/>
  <c r="BF89" i="1" s="1"/>
  <c r="BG88" i="1"/>
  <c r="BH88" i="1"/>
  <c r="BU135" i="1"/>
  <c r="BX135" i="1" s="1"/>
  <c r="BP35" i="1" l="1"/>
  <c r="BS35" i="1"/>
  <c r="BT35" i="1"/>
  <c r="BJ57" i="1"/>
  <c r="BJ58" i="1" s="1"/>
  <c r="BJ59" i="1" s="1"/>
  <c r="BJ60" i="1" s="1"/>
  <c r="BJ61" i="1" s="1"/>
  <c r="BJ62" i="1" s="1"/>
  <c r="BJ63" i="1" s="1"/>
  <c r="BI88" i="1"/>
  <c r="BX88" i="1" s="1"/>
  <c r="BU100" i="1"/>
  <c r="BX100" i="1" s="1"/>
  <c r="BD89" i="1"/>
  <c r="BF90" i="1" s="1"/>
  <c r="BH89" i="1"/>
  <c r="BG89" i="1"/>
  <c r="BI89" i="1" s="1"/>
  <c r="BX89" i="1" s="1"/>
  <c r="BT112" i="1"/>
  <c r="BS112" i="1"/>
  <c r="BP112" i="1"/>
  <c r="BR113" i="1" s="1"/>
  <c r="BT137" i="1"/>
  <c r="BP137" i="1"/>
  <c r="BR138" i="1" s="1"/>
  <c r="BS137" i="1"/>
  <c r="BU137" i="1" s="1"/>
  <c r="BX137" i="1" s="1"/>
  <c r="BP95" i="1"/>
  <c r="BS95" i="1"/>
  <c r="BT95" i="1"/>
  <c r="BT53" i="1"/>
  <c r="BS53" i="1"/>
  <c r="BU53" i="1" s="1"/>
  <c r="BX53" i="1" s="1"/>
  <c r="BP53" i="1"/>
  <c r="BU52" i="1"/>
  <c r="BI64" i="1"/>
  <c r="BX64" i="1" s="1"/>
  <c r="BI123" i="1"/>
  <c r="BX123" i="1" s="1"/>
  <c r="BD124" i="1"/>
  <c r="BG124" i="1"/>
  <c r="BH124" i="1"/>
  <c r="BU35" i="1" l="1"/>
  <c r="BX52" i="1"/>
  <c r="BU95" i="1"/>
  <c r="BX95" i="1" s="1"/>
  <c r="BP138" i="1"/>
  <c r="BR139" i="1" s="1"/>
  <c r="BS138" i="1"/>
  <c r="BT138" i="1"/>
  <c r="BI124" i="1"/>
  <c r="BD90" i="1"/>
  <c r="BH90" i="1"/>
  <c r="BG90" i="1"/>
  <c r="BI90" i="1" s="1"/>
  <c r="BX90" i="1" s="1"/>
  <c r="BT113" i="1"/>
  <c r="BP113" i="1"/>
  <c r="BR114" i="1" s="1"/>
  <c r="BS113" i="1"/>
  <c r="BU113" i="1" s="1"/>
  <c r="BX113" i="1" s="1"/>
  <c r="BJ64" i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U112" i="1"/>
  <c r="BX112" i="1" s="1"/>
  <c r="BU138" i="1" l="1"/>
  <c r="BX138" i="1" s="1"/>
  <c r="BJ90" i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X35" i="1"/>
  <c r="BY35" i="1" s="1"/>
  <c r="BY36" i="1" s="1"/>
  <c r="BY37" i="1" s="1"/>
  <c r="BY38" i="1" s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Y49" i="1" s="1"/>
  <c r="BY50" i="1" s="1"/>
  <c r="BY51" i="1" s="1"/>
  <c r="BV35" i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S114" i="1"/>
  <c r="BP114" i="1"/>
  <c r="BT114" i="1"/>
  <c r="BX124" i="1"/>
  <c r="BJ9" i="1"/>
  <c r="BJ10" i="1"/>
  <c r="BT139" i="1"/>
  <c r="BS139" i="1"/>
  <c r="BU139" i="1" s="1"/>
  <c r="BX139" i="1" s="1"/>
  <c r="BP139" i="1"/>
  <c r="BR140" i="1" s="1"/>
  <c r="BY52" i="1"/>
  <c r="BY53" i="1" s="1"/>
  <c r="BY54" i="1" s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U114" i="1" l="1"/>
  <c r="BX114" i="1"/>
  <c r="BP140" i="1"/>
  <c r="BT140" i="1"/>
  <c r="BS140" i="1"/>
  <c r="BU140" i="1" s="1"/>
  <c r="BV9" i="1" s="1"/>
  <c r="BJ11" i="1"/>
  <c r="BV114" i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Y114" i="1" l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X140" i="1"/>
  <c r="BY10" i="1" s="1"/>
  <c r="BV10" i="1"/>
  <c r="BV11" i="1" s="1"/>
  <c r="BY9" i="1" l="1"/>
  <c r="BY11" i="1" s="1"/>
  <c r="BY140" i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</calcChain>
</file>

<file path=xl/sharedStrings.xml><?xml version="1.0" encoding="utf-8"?>
<sst xmlns="http://schemas.openxmlformats.org/spreadsheetml/2006/main" count="53" uniqueCount="42">
  <si>
    <t>date</t>
  </si>
  <si>
    <t>XLE</t>
  </si>
  <si>
    <t>IYE</t>
  </si>
  <si>
    <t>XLE log rtn</t>
  </si>
  <si>
    <t>IYE log rtn</t>
  </si>
  <si>
    <t>XLE div</t>
  </si>
  <si>
    <t>XLE div cumsum</t>
  </si>
  <si>
    <t>IYE div</t>
  </si>
  <si>
    <t>IYE div cumsum</t>
  </si>
  <si>
    <t>XLE div adjustment</t>
  </si>
  <si>
    <t>IYE div adjustment</t>
  </si>
  <si>
    <t>XLE*</t>
  </si>
  <si>
    <t>IYE*</t>
  </si>
  <si>
    <t>IYE/XLE</t>
  </si>
  <si>
    <t>IYE/XLE avg</t>
  </si>
  <si>
    <t>IYE/XLE 10 dma</t>
  </si>
  <si>
    <t>IYE/XLE 20 dma</t>
  </si>
  <si>
    <t>XLE x avg</t>
  </si>
  <si>
    <t>XLE x 10 dma</t>
  </si>
  <si>
    <t>XLE x 20 dma</t>
  </si>
  <si>
    <t>log diff XLE x avg / IYE</t>
  </si>
  <si>
    <t>log diff XLE x 10 dma / IYE</t>
  </si>
  <si>
    <t>log diff XLE x 20 dma / IYE</t>
  </si>
  <si>
    <t>IYE*/XLE*</t>
  </si>
  <si>
    <t>IYE*/XLE* avg</t>
  </si>
  <si>
    <t>IYE*/XLE* 10 dma</t>
  </si>
  <si>
    <t>IYE*/XLE* 20 dma</t>
  </si>
  <si>
    <t>XLE* x avg</t>
  </si>
  <si>
    <t>XLE* x 10 dma</t>
  </si>
  <si>
    <t>XLE* x 20 dma</t>
  </si>
  <si>
    <t>log diff XLE* x avg / IYE*</t>
  </si>
  <si>
    <t>log diff XLE* x 10 dma / IYE*</t>
  </si>
  <si>
    <t>log diff XLE* x 20 dma / IYE*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</si>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</sst>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44" fontId="0" fillId="0" borderId="0" xfId="2" applyFont="1"/>
    <xf numFmtId="10" fontId="0" fillId="0" borderId="0" xfId="0" applyNumberForma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XLE_IYE_1!$O$1</c:f>
              <c:strCache>
                <c:ptCount val="1"/>
                <c:pt idx="0">
                  <c:v> IYE/XLE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XLE_IYE_1!$O$2:$O$167</c:f>
              <c:numCache>
                <c:formatCode>_(* #,##0.0000_);_(* \(#,##0.0000\);_(* "-"??_);_(@_)</c:formatCode>
                <c:ptCount val="166"/>
                <c:pt idx="0">
                  <c:v>1.0596043809708899</c:v>
                </c:pt>
                <c:pt idx="1">
                  <c:v>1.0596043809708899</c:v>
                </c:pt>
                <c:pt idx="2">
                  <c:v>1.0596043809708899</c:v>
                </c:pt>
                <c:pt idx="3">
                  <c:v>1.0596043809708899</c:v>
                </c:pt>
                <c:pt idx="4">
                  <c:v>1.0596043809708899</c:v>
                </c:pt>
                <c:pt idx="5">
                  <c:v>1.0596043809708899</c:v>
                </c:pt>
                <c:pt idx="6">
                  <c:v>1.0596043809708899</c:v>
                </c:pt>
                <c:pt idx="7">
                  <c:v>1.0596043809708899</c:v>
                </c:pt>
                <c:pt idx="8">
                  <c:v>1.0596043809708899</c:v>
                </c:pt>
                <c:pt idx="9">
                  <c:v>1.0596043809708899</c:v>
                </c:pt>
                <c:pt idx="10">
                  <c:v>1.0596043809708899</c:v>
                </c:pt>
                <c:pt idx="11">
                  <c:v>1.0596043809708899</c:v>
                </c:pt>
                <c:pt idx="12">
                  <c:v>1.0596043809708899</c:v>
                </c:pt>
                <c:pt idx="13">
                  <c:v>1.0596043809708899</c:v>
                </c:pt>
                <c:pt idx="14">
                  <c:v>1.0596043809708899</c:v>
                </c:pt>
                <c:pt idx="15">
                  <c:v>1.0596043809708899</c:v>
                </c:pt>
                <c:pt idx="16">
                  <c:v>1.0596043809708899</c:v>
                </c:pt>
                <c:pt idx="17">
                  <c:v>1.0596043809708899</c:v>
                </c:pt>
                <c:pt idx="18">
                  <c:v>1.0596043809708899</c:v>
                </c:pt>
                <c:pt idx="19">
                  <c:v>1.0596043809708899</c:v>
                </c:pt>
                <c:pt idx="20">
                  <c:v>1.0596043809708899</c:v>
                </c:pt>
                <c:pt idx="21">
                  <c:v>1.0596043809708899</c:v>
                </c:pt>
                <c:pt idx="22">
                  <c:v>1.0596043809708899</c:v>
                </c:pt>
                <c:pt idx="23">
                  <c:v>1.0596043809708899</c:v>
                </c:pt>
                <c:pt idx="24">
                  <c:v>1.0596043809708899</c:v>
                </c:pt>
                <c:pt idx="25">
                  <c:v>1.0596043809708899</c:v>
                </c:pt>
                <c:pt idx="26">
                  <c:v>1.0596043809708899</c:v>
                </c:pt>
                <c:pt idx="27">
                  <c:v>1.0596043809708899</c:v>
                </c:pt>
                <c:pt idx="28">
                  <c:v>1.0596043809708899</c:v>
                </c:pt>
                <c:pt idx="29">
                  <c:v>1.0596043809708899</c:v>
                </c:pt>
                <c:pt idx="30">
                  <c:v>1.0596043809708899</c:v>
                </c:pt>
                <c:pt idx="31">
                  <c:v>1.0596043809708899</c:v>
                </c:pt>
                <c:pt idx="32">
                  <c:v>1.0596043809708899</c:v>
                </c:pt>
                <c:pt idx="33">
                  <c:v>1.0596043809708899</c:v>
                </c:pt>
                <c:pt idx="34">
                  <c:v>1.0596043809708899</c:v>
                </c:pt>
                <c:pt idx="35">
                  <c:v>1.0596043809708899</c:v>
                </c:pt>
                <c:pt idx="36">
                  <c:v>1.0596043809708899</c:v>
                </c:pt>
                <c:pt idx="37">
                  <c:v>1.0596043809708899</c:v>
                </c:pt>
                <c:pt idx="38">
                  <c:v>1.0596043809708899</c:v>
                </c:pt>
                <c:pt idx="39">
                  <c:v>1.0596043809708899</c:v>
                </c:pt>
                <c:pt idx="40">
                  <c:v>1.0596043809708899</c:v>
                </c:pt>
                <c:pt idx="41">
                  <c:v>1.0596043809708899</c:v>
                </c:pt>
                <c:pt idx="42">
                  <c:v>1.0596043809708899</c:v>
                </c:pt>
                <c:pt idx="43">
                  <c:v>1.0596043809708899</c:v>
                </c:pt>
                <c:pt idx="44">
                  <c:v>1.0596043809708899</c:v>
                </c:pt>
                <c:pt idx="45">
                  <c:v>1.0596043809708899</c:v>
                </c:pt>
                <c:pt idx="46">
                  <c:v>1.0596043809708899</c:v>
                </c:pt>
                <c:pt idx="47">
                  <c:v>1.0596043809708899</c:v>
                </c:pt>
                <c:pt idx="48">
                  <c:v>1.0596043809708899</c:v>
                </c:pt>
                <c:pt idx="49">
                  <c:v>1.0596043809708899</c:v>
                </c:pt>
                <c:pt idx="50">
                  <c:v>1.0596043809708899</c:v>
                </c:pt>
                <c:pt idx="51">
                  <c:v>1.0596043809708899</c:v>
                </c:pt>
                <c:pt idx="52">
                  <c:v>1.0596043809708899</c:v>
                </c:pt>
                <c:pt idx="53">
                  <c:v>1.0596043809708899</c:v>
                </c:pt>
                <c:pt idx="54">
                  <c:v>1.0596043809708899</c:v>
                </c:pt>
                <c:pt idx="55">
                  <c:v>1.0596043809708899</c:v>
                </c:pt>
                <c:pt idx="56">
                  <c:v>1.0596043809708899</c:v>
                </c:pt>
                <c:pt idx="57">
                  <c:v>1.0596043809708899</c:v>
                </c:pt>
                <c:pt idx="58">
                  <c:v>1.0596043809708899</c:v>
                </c:pt>
                <c:pt idx="59">
                  <c:v>1.0596043809708899</c:v>
                </c:pt>
                <c:pt idx="60">
                  <c:v>1.0596043809708899</c:v>
                </c:pt>
                <c:pt idx="61">
                  <c:v>1.0596043809708899</c:v>
                </c:pt>
                <c:pt idx="62">
                  <c:v>1.0596043809708899</c:v>
                </c:pt>
                <c:pt idx="63">
                  <c:v>1.0596043809708899</c:v>
                </c:pt>
                <c:pt idx="64">
                  <c:v>1.0596043809708899</c:v>
                </c:pt>
                <c:pt idx="65">
                  <c:v>1.0596043809708899</c:v>
                </c:pt>
                <c:pt idx="66">
                  <c:v>1.0596043809708899</c:v>
                </c:pt>
                <c:pt idx="67">
                  <c:v>1.0596043809708899</c:v>
                </c:pt>
                <c:pt idx="68">
                  <c:v>1.0596043809708899</c:v>
                </c:pt>
                <c:pt idx="69">
                  <c:v>1.0596043809708899</c:v>
                </c:pt>
                <c:pt idx="70">
                  <c:v>1.0596043809708899</c:v>
                </c:pt>
                <c:pt idx="71">
                  <c:v>1.0596043809708899</c:v>
                </c:pt>
                <c:pt idx="72">
                  <c:v>1.0596043809708899</c:v>
                </c:pt>
                <c:pt idx="73">
                  <c:v>1.0596043809708899</c:v>
                </c:pt>
                <c:pt idx="74">
                  <c:v>1.0596043809708899</c:v>
                </c:pt>
                <c:pt idx="75">
                  <c:v>1.0596043809708899</c:v>
                </c:pt>
                <c:pt idx="76">
                  <c:v>1.0596043809708899</c:v>
                </c:pt>
                <c:pt idx="77">
                  <c:v>1.0596043809708899</c:v>
                </c:pt>
                <c:pt idx="78">
                  <c:v>1.0596043809708899</c:v>
                </c:pt>
                <c:pt idx="79">
                  <c:v>1.0596043809708899</c:v>
                </c:pt>
                <c:pt idx="80">
                  <c:v>1.0596043809708899</c:v>
                </c:pt>
                <c:pt idx="81">
                  <c:v>1.0596043809708899</c:v>
                </c:pt>
                <c:pt idx="82">
                  <c:v>1.0596043809708899</c:v>
                </c:pt>
                <c:pt idx="83">
                  <c:v>1.0596043809708899</c:v>
                </c:pt>
                <c:pt idx="84">
                  <c:v>1.0596043809708899</c:v>
                </c:pt>
                <c:pt idx="85">
                  <c:v>1.0596043809708899</c:v>
                </c:pt>
                <c:pt idx="86">
                  <c:v>1.0596043809708899</c:v>
                </c:pt>
                <c:pt idx="87">
                  <c:v>1.0596043809708899</c:v>
                </c:pt>
                <c:pt idx="88">
                  <c:v>1.0596043809708899</c:v>
                </c:pt>
                <c:pt idx="89">
                  <c:v>1.0596043809708899</c:v>
                </c:pt>
                <c:pt idx="90">
                  <c:v>1.0596043809708899</c:v>
                </c:pt>
                <c:pt idx="91">
                  <c:v>1.0596043809708899</c:v>
                </c:pt>
                <c:pt idx="92">
                  <c:v>1.0596043809708899</c:v>
                </c:pt>
                <c:pt idx="93">
                  <c:v>1.0596043809708899</c:v>
                </c:pt>
                <c:pt idx="94">
                  <c:v>1.0596043809708899</c:v>
                </c:pt>
                <c:pt idx="95">
                  <c:v>1.0596043809708899</c:v>
                </c:pt>
                <c:pt idx="96">
                  <c:v>1.0596043809708899</c:v>
                </c:pt>
                <c:pt idx="97">
                  <c:v>1.0596043809708899</c:v>
                </c:pt>
                <c:pt idx="98">
                  <c:v>1.0596043809708899</c:v>
                </c:pt>
                <c:pt idx="99">
                  <c:v>1.0596043809708899</c:v>
                </c:pt>
                <c:pt idx="100">
                  <c:v>1.0596043809708899</c:v>
                </c:pt>
                <c:pt idx="101">
                  <c:v>1.0596043809708899</c:v>
                </c:pt>
                <c:pt idx="102">
                  <c:v>1.0596043809708899</c:v>
                </c:pt>
                <c:pt idx="103">
                  <c:v>1.0596043809708899</c:v>
                </c:pt>
                <c:pt idx="104">
                  <c:v>1.0596043809708899</c:v>
                </c:pt>
                <c:pt idx="105">
                  <c:v>1.0596043809708899</c:v>
                </c:pt>
                <c:pt idx="106">
                  <c:v>1.0596043809708899</c:v>
                </c:pt>
                <c:pt idx="107">
                  <c:v>1.0596043809708899</c:v>
                </c:pt>
                <c:pt idx="108">
                  <c:v>1.0596043809708899</c:v>
                </c:pt>
                <c:pt idx="109">
                  <c:v>1.0596043809708899</c:v>
                </c:pt>
                <c:pt idx="110">
                  <c:v>1.0596043809708899</c:v>
                </c:pt>
                <c:pt idx="111">
                  <c:v>1.0596043809708899</c:v>
                </c:pt>
                <c:pt idx="112">
                  <c:v>1.0596043809708899</c:v>
                </c:pt>
                <c:pt idx="113">
                  <c:v>1.0596043809708899</c:v>
                </c:pt>
                <c:pt idx="114">
                  <c:v>1.0596043809708899</c:v>
                </c:pt>
                <c:pt idx="115">
                  <c:v>1.0596043809708899</c:v>
                </c:pt>
                <c:pt idx="116">
                  <c:v>1.0596043809708899</c:v>
                </c:pt>
                <c:pt idx="117">
                  <c:v>1.0596043809708899</c:v>
                </c:pt>
                <c:pt idx="118">
                  <c:v>1.0596043809708899</c:v>
                </c:pt>
                <c:pt idx="119">
                  <c:v>1.0596043809708899</c:v>
                </c:pt>
                <c:pt idx="120">
                  <c:v>1.0596043809708899</c:v>
                </c:pt>
                <c:pt idx="121">
                  <c:v>1.0596043809708899</c:v>
                </c:pt>
                <c:pt idx="122">
                  <c:v>1.0596043809708899</c:v>
                </c:pt>
                <c:pt idx="123">
                  <c:v>1.0596043809708899</c:v>
                </c:pt>
                <c:pt idx="124">
                  <c:v>1.0596043809708899</c:v>
                </c:pt>
                <c:pt idx="125">
                  <c:v>1.0596043809708899</c:v>
                </c:pt>
                <c:pt idx="126">
                  <c:v>1.0596043809708899</c:v>
                </c:pt>
                <c:pt idx="127">
                  <c:v>1.0596043809708899</c:v>
                </c:pt>
                <c:pt idx="128">
                  <c:v>1.0596043809708899</c:v>
                </c:pt>
                <c:pt idx="129">
                  <c:v>1.0596043809708899</c:v>
                </c:pt>
                <c:pt idx="130">
                  <c:v>1.0596043809708899</c:v>
                </c:pt>
                <c:pt idx="131">
                  <c:v>1.0596043809708899</c:v>
                </c:pt>
                <c:pt idx="132">
                  <c:v>1.0596043809708899</c:v>
                </c:pt>
                <c:pt idx="133">
                  <c:v>1.0596043809708899</c:v>
                </c:pt>
                <c:pt idx="134">
                  <c:v>1.0596043809708899</c:v>
                </c:pt>
                <c:pt idx="135">
                  <c:v>1.0596043809708899</c:v>
                </c:pt>
                <c:pt idx="136">
                  <c:v>1.0596043809708899</c:v>
                </c:pt>
                <c:pt idx="137">
                  <c:v>1.0596043809708899</c:v>
                </c:pt>
                <c:pt idx="138">
                  <c:v>1.0596043809708899</c:v>
                </c:pt>
                <c:pt idx="139">
                  <c:v>1.0596043809708899</c:v>
                </c:pt>
                <c:pt idx="140">
                  <c:v>1.0596043809708899</c:v>
                </c:pt>
                <c:pt idx="141">
                  <c:v>1.0596043809708899</c:v>
                </c:pt>
                <c:pt idx="142">
                  <c:v>1.0596043809708899</c:v>
                </c:pt>
                <c:pt idx="143">
                  <c:v>1.0596043809708899</c:v>
                </c:pt>
                <c:pt idx="144">
                  <c:v>1.0596043809708899</c:v>
                </c:pt>
                <c:pt idx="145">
                  <c:v>1.0596043809708899</c:v>
                </c:pt>
                <c:pt idx="146">
                  <c:v>1.0596043809708899</c:v>
                </c:pt>
                <c:pt idx="147">
                  <c:v>1.0596043809708899</c:v>
                </c:pt>
                <c:pt idx="148">
                  <c:v>1.0596043809708899</c:v>
                </c:pt>
                <c:pt idx="149">
                  <c:v>1.0596043809708899</c:v>
                </c:pt>
                <c:pt idx="150">
                  <c:v>1.0596043809708899</c:v>
                </c:pt>
                <c:pt idx="151">
                  <c:v>1.0596043809708899</c:v>
                </c:pt>
                <c:pt idx="152">
                  <c:v>1.0596043809708899</c:v>
                </c:pt>
                <c:pt idx="153">
                  <c:v>1.0596043809708899</c:v>
                </c:pt>
                <c:pt idx="154">
                  <c:v>1.0596043809708899</c:v>
                </c:pt>
                <c:pt idx="155">
                  <c:v>1.0596043809708899</c:v>
                </c:pt>
                <c:pt idx="156">
                  <c:v>1.0596043809708899</c:v>
                </c:pt>
                <c:pt idx="157">
                  <c:v>1.0596043809708899</c:v>
                </c:pt>
                <c:pt idx="158">
                  <c:v>1.0596043809708899</c:v>
                </c:pt>
                <c:pt idx="159">
                  <c:v>1.0596043809708899</c:v>
                </c:pt>
                <c:pt idx="160">
                  <c:v>1.0596043809708899</c:v>
                </c:pt>
                <c:pt idx="161">
                  <c:v>1.0596043809708899</c:v>
                </c:pt>
                <c:pt idx="162">
                  <c:v>1.0596043809708899</c:v>
                </c:pt>
                <c:pt idx="163">
                  <c:v>1.0596043809708899</c:v>
                </c:pt>
                <c:pt idx="164">
                  <c:v>1.0596043809708899</c:v>
                </c:pt>
                <c:pt idx="165">
                  <c:v>1.0596043809708899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BA-42C6-A8CA-2D32E600331B}"/>
            </c:ext>
          </c:extLst>
        </c:ser>
        <c:ser>
          <c:idx val="1"/>
          <c:order val="1"/>
          <c:tx>
            <c:strRef>
              <c:f>XLE_IYE_1!$P$1</c:f>
              <c:strCache>
                <c:ptCount val="1"/>
                <c:pt idx="0">
                  <c:v> IYE/XLE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XLE_IYE_1!$P$2:$P$167</c:f>
              <c:numCache>
                <c:formatCode>_(* #,##0.0000_);_(* \(#,##0.0000\);_(* "-"??_);_(@_)</c:formatCode>
                <c:ptCount val="166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1.0557981826942699</c:v>
                </c:pt>
                <c:pt idx="51">
                  <c:v>1.0553073904850001</c:v>
                </c:pt>
                <c:pt idx="52">
                  <c:v>1.0548977327954201</c:v>
                </c:pt>
                <c:pt idx="53">
                  <c:v>1.05452001385824</c:v>
                </c:pt>
                <c:pt idx="54">
                  <c:v>1.05472646571857</c:v>
                </c:pt>
                <c:pt idx="55">
                  <c:v>1.0548913279116601</c:v>
                </c:pt>
                <c:pt idx="56">
                  <c:v>1.05513318900047</c:v>
                </c:pt>
                <c:pt idx="57">
                  <c:v>1.05542069483143</c:v>
                </c:pt>
                <c:pt idx="58">
                  <c:v>1.0556411888763799</c:v>
                </c:pt>
                <c:pt idx="59">
                  <c:v>1.05572415510006</c:v>
                </c:pt>
                <c:pt idx="60">
                  <c:v>1.0564290497989901</c:v>
                </c:pt>
                <c:pt idx="61">
                  <c:v>1.05717873553744</c:v>
                </c:pt>
                <c:pt idx="62">
                  <c:v>1.05796486494024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1.0597559473821301</c:v>
                </c:pt>
                <c:pt idx="113">
                  <c:v>1.05898190598623</c:v>
                </c:pt>
                <c:pt idx="114">
                  <c:v>1.05829147797819</c:v>
                </c:pt>
                <c:pt idx="115">
                  <c:v>1.05765803134378</c:v>
                </c:pt>
                <c:pt idx="116">
                  <c:v>1.05814653222981</c:v>
                </c:pt>
                <c:pt idx="117">
                  <c:v>1.05850931042287</c:v>
                </c:pt>
                <c:pt idx="118">
                  <c:v>1.05881976628257</c:v>
                </c:pt>
                <c:pt idx="119">
                  <c:v>1.0592699966647801</c:v>
                </c:pt>
                <c:pt idx="120">
                  <c:v>1.0595779690364899</c:v>
                </c:pt>
                <c:pt idx="121">
                  <c:v>1.0599275457714601</c:v>
                </c:pt>
                <c:pt idx="122">
                  <c:v>1.0609354296515401</c:v>
                </c:pt>
                <c:pt idx="123">
                  <c:v>1.0620879519722599</c:v>
                </c:pt>
                <c:pt idx="124">
                  <c:v>1.0631601602209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1.06254256403402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  <c:pt idx="155">
                  <c:v>1.0622503342365099</c:v>
                </c:pt>
                <c:pt idx="156">
                  <c:v>1.0615768218523001</c:v>
                </c:pt>
                <c:pt idx="157">
                  <c:v>1.0611303639009799</c:v>
                </c:pt>
                <c:pt idx="158">
                  <c:v>1.0605336138942401</c:v>
                </c:pt>
                <c:pt idx="159">
                  <c:v>1.05989203763648</c:v>
                </c:pt>
                <c:pt idx="160">
                  <c:v>1.0594238099316999</c:v>
                </c:pt>
                <c:pt idx="161">
                  <c:v>1.0591992505336201</c:v>
                </c:pt>
                <c:pt idx="162">
                  <c:v>1.0588204549898099</c:v>
                </c:pt>
                <c:pt idx="163">
                  <c:v>1.05858809877341</c:v>
                </c:pt>
                <c:pt idx="164">
                  <c:v>1.0582265156778701</c:v>
                </c:pt>
                <c:pt idx="165">
                  <c:v>1.05802146482214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BA-42C6-A8CA-2D32E600331B}"/>
            </c:ext>
          </c:extLst>
        </c:ser>
        <c:ser>
          <c:idx val="2"/>
          <c:order val="2"/>
          <c:tx>
            <c:strRef>
              <c:f>XLE_IYE_1!$Q$1</c:f>
              <c:strCache>
                <c:ptCount val="1"/>
                <c:pt idx="0">
                  <c:v> IYE/XLE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XLE_IYE_1!$Q$2:$Q$167</c:f>
              <c:numCache>
                <c:formatCode>_(* #,##0.0000_);_(* \(#,##0.0000\);_(* "-"??_);_(@_)</c:formatCode>
                <c:ptCount val="166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1.0562773077810099</c:v>
                </c:pt>
                <c:pt idx="51">
                  <c:v>1.05601384201872</c:v>
                </c:pt>
                <c:pt idx="52">
                  <c:v>1.05582382434561</c:v>
                </c:pt>
                <c:pt idx="53">
                  <c:v>1.05554841159362</c:v>
                </c:pt>
                <c:pt idx="54">
                  <c:v>1.05562800942789</c:v>
                </c:pt>
                <c:pt idx="55">
                  <c:v>1.0556844903227101</c:v>
                </c:pt>
                <c:pt idx="56">
                  <c:v>1.0558513397347999</c:v>
                </c:pt>
                <c:pt idx="57">
                  <c:v>1.0559525126843201</c:v>
                </c:pt>
                <c:pt idx="58">
                  <c:v>1.0560541375850701</c:v>
                </c:pt>
                <c:pt idx="59">
                  <c:v>1.05606194133486</c:v>
                </c:pt>
                <c:pt idx="60">
                  <c:v>1.05611361624663</c:v>
                </c:pt>
                <c:pt idx="61">
                  <c:v>1.0562430630112201</c:v>
                </c:pt>
                <c:pt idx="62">
                  <c:v>1.0564312988678299</c:v>
                </c:pt>
                <c:pt idx="63">
                  <c:v>1.0565864395249001</c:v>
                </c:pt>
                <c:pt idx="64">
                  <c:v>1.0567303738817699</c:v>
                </c:pt>
                <c:pt idx="65">
                  <c:v>1.0568939174655001</c:v>
                </c:pt>
                <c:pt idx="66">
                  <c:v>1.05710337124639</c:v>
                </c:pt>
                <c:pt idx="67">
                  <c:v>1.0573946570061901</c:v>
                </c:pt>
                <c:pt idx="68">
                  <c:v>1.05765120378402</c:v>
                </c:pt>
                <c:pt idx="69">
                  <c:v>1.0578297495803699</c:v>
                </c:pt>
                <c:pt idx="70">
                  <c:v>1.05834820502104</c:v>
                </c:pt>
                <c:pt idx="71">
                  <c:v>1.0588303707059299</c:v>
                </c:pt>
                <c:pt idx="72">
                  <c:v>1.0591921602438701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1.0598370987719501</c:v>
                </c:pt>
                <c:pt idx="113">
                  <c:v>1.05965867242796</c:v>
                </c:pt>
                <c:pt idx="114">
                  <c:v>1.05964081807928</c:v>
                </c:pt>
                <c:pt idx="115">
                  <c:v>1.0595207787441401</c:v>
                </c:pt>
                <c:pt idx="116">
                  <c:v>1.05972831540268</c:v>
                </c:pt>
                <c:pt idx="117">
                  <c:v>1.05991660641367</c:v>
                </c:pt>
                <c:pt idx="118">
                  <c:v>1.0599743858858901</c:v>
                </c:pt>
                <c:pt idx="119">
                  <c:v>1.0601084663574001</c:v>
                </c:pt>
                <c:pt idx="120">
                  <c:v>1.0601657459501701</c:v>
                </c:pt>
                <c:pt idx="121">
                  <c:v>1.0601759265916499</c:v>
                </c:pt>
                <c:pt idx="122">
                  <c:v>1.0603456885168301</c:v>
                </c:pt>
                <c:pt idx="123">
                  <c:v>1.0605349289792401</c:v>
                </c:pt>
                <c:pt idx="124">
                  <c:v>1.0607258190995399</c:v>
                </c:pt>
                <c:pt idx="125">
                  <c:v>1.06095088727836</c:v>
                </c:pt>
                <c:pt idx="126">
                  <c:v>1.0612525782367399</c:v>
                </c:pt>
                <c:pt idx="127">
                  <c:v>1.06147787785303</c:v>
                </c:pt>
                <c:pt idx="128">
                  <c:v>1.06170795491494</c:v>
                </c:pt>
                <c:pt idx="129">
                  <c:v>1.0619762685032901</c:v>
                </c:pt>
                <c:pt idx="130">
                  <c:v>1.06210200482179</c:v>
                </c:pt>
                <c:pt idx="131">
                  <c:v>1.06223006844399</c:v>
                </c:pt>
                <c:pt idx="132">
                  <c:v>1.06257283546405</c:v>
                </c:pt>
                <c:pt idx="133">
                  <c:v>1.0629321335148301</c:v>
                </c:pt>
                <c:pt idx="134">
                  <c:v>1.06324647543573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  <c:pt idx="155">
                  <c:v>1.06227540803267</c:v>
                </c:pt>
                <c:pt idx="156">
                  <c:v>1.06198029732958</c:v>
                </c:pt>
                <c:pt idx="157">
                  <c:v>1.06173909769175</c:v>
                </c:pt>
                <c:pt idx="158">
                  <c:v>1.06142275562107</c:v>
                </c:pt>
                <c:pt idx="159">
                  <c:v>1.0612173008352499</c:v>
                </c:pt>
                <c:pt idx="160">
                  <c:v>1.0609958460584099</c:v>
                </c:pt>
                <c:pt idx="161">
                  <c:v>1.06088682914387</c:v>
                </c:pt>
                <c:pt idx="162">
                  <c:v>1.0607255477414299</c:v>
                </c:pt>
                <c:pt idx="163">
                  <c:v>1.06059444781556</c:v>
                </c:pt>
                <c:pt idx="164">
                  <c:v>1.06042797243677</c:v>
                </c:pt>
                <c:pt idx="165">
                  <c:v>1.06013589952932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BA-42C6-A8CA-2D32E6003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XLE_IYE_1!$AE$1</c:f>
              <c:strCache>
                <c:ptCount val="1"/>
                <c:pt idx="0">
                  <c:v>log diff XLE* x avg / IYE*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XLE_IYE_1!$AE$2:$AE$167</c:f>
              <c:numCache>
                <c:formatCode>0.00%</c:formatCode>
                <c:ptCount val="166"/>
                <c:pt idx="1">
                  <c:v>-6.6173706044533995E-4</c:v>
                </c:pt>
                <c:pt idx="2">
                  <c:v>-1.3991911263097599E-3</c:v>
                </c:pt>
                <c:pt idx="3">
                  <c:v>-7.9958700080103202E-4</c:v>
                </c:pt>
                <c:pt idx="4">
                  <c:v>9.4798557049640601E-4</c:v>
                </c:pt>
                <c:pt idx="5">
                  <c:v>1.4957879738976101E-3</c:v>
                </c:pt>
                <c:pt idx="6">
                  <c:v>8.9987146712494398E-4</c:v>
                </c:pt>
                <c:pt idx="7">
                  <c:v>8.7741140430237004E-4</c:v>
                </c:pt>
                <c:pt idx="8">
                  <c:v>1.90898655177616E-3</c:v>
                </c:pt>
                <c:pt idx="9">
                  <c:v>5.98789682500199E-4</c:v>
                </c:pt>
                <c:pt idx="10">
                  <c:v>-9.9010591640648002E-5</c:v>
                </c:pt>
                <c:pt idx="11">
                  <c:v>5.8704204230745503E-4</c:v>
                </c:pt>
                <c:pt idx="12">
                  <c:v>7.4450111700512895E-4</c:v>
                </c:pt>
                <c:pt idx="13">
                  <c:v>1.31324620216249E-3</c:v>
                </c:pt>
                <c:pt idx="14">
                  <c:v>1.4356538055356699E-3</c:v>
                </c:pt>
                <c:pt idx="15">
                  <c:v>1.46925577051633E-3</c:v>
                </c:pt>
                <c:pt idx="16">
                  <c:v>1.3977168526091801E-3</c:v>
                </c:pt>
                <c:pt idx="17">
                  <c:v>1.2502244820127701E-3</c:v>
                </c:pt>
                <c:pt idx="18">
                  <c:v>1.3798283338949801E-3</c:v>
                </c:pt>
                <c:pt idx="19">
                  <c:v>2.51941054482995E-3</c:v>
                </c:pt>
                <c:pt idx="20">
                  <c:v>1.2502244820127701E-3</c:v>
                </c:pt>
                <c:pt idx="21">
                  <c:v>2.6194288182411298E-3</c:v>
                </c:pt>
                <c:pt idx="22">
                  <c:v>2.9100544186619701E-3</c:v>
                </c:pt>
                <c:pt idx="23">
                  <c:v>2.6344725357579199E-3</c:v>
                </c:pt>
                <c:pt idx="24">
                  <c:v>3.51175965183167E-3</c:v>
                </c:pt>
                <c:pt idx="25">
                  <c:v>2.8394326419722798E-3</c:v>
                </c:pt>
                <c:pt idx="26">
                  <c:v>2.6026172957050401E-3</c:v>
                </c:pt>
                <c:pt idx="27">
                  <c:v>3.4625059178477E-3</c:v>
                </c:pt>
                <c:pt idx="28">
                  <c:v>4.0554810848032596E-3</c:v>
                </c:pt>
                <c:pt idx="29">
                  <c:v>3.3683119523798899E-3</c:v>
                </c:pt>
                <c:pt idx="30">
                  <c:v>3.1256156831376502E-3</c:v>
                </c:pt>
                <c:pt idx="31">
                  <c:v>2.7499818206893202E-3</c:v>
                </c:pt>
                <c:pt idx="32">
                  <c:v>3.3122192963884801E-3</c:v>
                </c:pt>
                <c:pt idx="33">
                  <c:v>1.8142273858527201E-3</c:v>
                </c:pt>
                <c:pt idx="34">
                  <c:v>2.7683962067596799E-3</c:v>
                </c:pt>
                <c:pt idx="35">
                  <c:v>2.0329373965715801E-3</c:v>
                </c:pt>
                <c:pt idx="36">
                  <c:v>3.8735685270580599E-3</c:v>
                </c:pt>
                <c:pt idx="37">
                  <c:v>3.1862325081317201E-3</c:v>
                </c:pt>
                <c:pt idx="38">
                  <c:v>3.5104241744849901E-3</c:v>
                </c:pt>
                <c:pt idx="39">
                  <c:v>2.7287261694329602E-3</c:v>
                </c:pt>
                <c:pt idx="40">
                  <c:v>3.4047399824770502E-3</c:v>
                </c:pt>
                <c:pt idx="41">
                  <c:v>3.0919594062294399E-3</c:v>
                </c:pt>
                <c:pt idx="42">
                  <c:v>3.0318398541878499E-3</c:v>
                </c:pt>
                <c:pt idx="43">
                  <c:v>3.4518211081509798E-3</c:v>
                </c:pt>
                <c:pt idx="44">
                  <c:v>3.21560186290972E-3</c:v>
                </c:pt>
                <c:pt idx="45">
                  <c:v>2.5237428304722199E-3</c:v>
                </c:pt>
                <c:pt idx="46">
                  <c:v>3.0040801581123901E-3</c:v>
                </c:pt>
                <c:pt idx="47">
                  <c:v>3.9926191480267204E-3</c:v>
                </c:pt>
                <c:pt idx="48">
                  <c:v>3.6737118183576699E-3</c:v>
                </c:pt>
                <c:pt idx="49">
                  <c:v>3.3662060827949099E-3</c:v>
                </c:pt>
                <c:pt idx="50">
                  <c:v>4.1374107183922097E-3</c:v>
                </c:pt>
                <c:pt idx="51">
                  <c:v>2.76918748459319E-3</c:v>
                </c:pt>
                <c:pt idx="52">
                  <c:v>2.0195338184486899E-3</c:v>
                </c:pt>
                <c:pt idx="53">
                  <c:v>2.1329340988727702E-3</c:v>
                </c:pt>
                <c:pt idx="54">
                  <c:v>1.26332916210257E-3</c:v>
                </c:pt>
                <c:pt idx="55">
                  <c:v>9.6552605274612601E-4</c:v>
                </c:pt>
                <c:pt idx="56">
                  <c:v>7.1783249591697302E-4</c:v>
                </c:pt>
                <c:pt idx="57">
                  <c:v>1.27280606781055E-3</c:v>
                </c:pt>
                <c:pt idx="58">
                  <c:v>1.58783585879983E-3</c:v>
                </c:pt>
                <c:pt idx="59">
                  <c:v>2.58107547216833E-3</c:v>
                </c:pt>
                <c:pt idx="60">
                  <c:v>2.4267707745103499E-3</c:v>
                </c:pt>
                <c:pt idx="61">
                  <c:v>6.44690722186899E-4</c:v>
                </c:pt>
                <c:pt idx="62">
                  <c:v>-5.2468383490831096E-4</c:v>
                </c:pt>
                <c:pt idx="63">
                  <c:v>5.1845167274058098E-4</c:v>
                </c:pt>
                <c:pt idx="64">
                  <c:v>4.9447288008837504E-4</c:v>
                </c:pt>
                <c:pt idx="65">
                  <c:v>-5.6539826207133105E-4</c:v>
                </c:pt>
                <c:pt idx="66">
                  <c:v>-9.5243276422043695E-4</c:v>
                </c:pt>
                <c:pt idx="67">
                  <c:v>-1.51085298994052E-3</c:v>
                </c:pt>
                <c:pt idx="68">
                  <c:v>-1.1734578337905201E-3</c:v>
                </c:pt>
                <c:pt idx="69">
                  <c:v>-8.6686810386215093E-6</c:v>
                </c:pt>
                <c:pt idx="70">
                  <c:v>-7.0854540735589E-4</c:v>
                </c:pt>
                <c:pt idx="71">
                  <c:v>-1.37978008786465E-3</c:v>
                </c:pt>
                <c:pt idx="72">
                  <c:v>6.5352827070538203E-5</c:v>
                </c:pt>
                <c:pt idx="73">
                  <c:v>-1.25328104340177E-3</c:v>
                </c:pt>
                <c:pt idx="74">
                  <c:v>-5.9601397947649205E-4</c:v>
                </c:pt>
                <c:pt idx="75">
                  <c:v>-4.2032664337227202E-4</c:v>
                </c:pt>
                <c:pt idx="76">
                  <c:v>3.50238826134189E-4</c:v>
                </c:pt>
                <c:pt idx="77">
                  <c:v>-5.87763579480396E-4</c:v>
                </c:pt>
                <c:pt idx="78">
                  <c:v>-1.51831395481344E-3</c:v>
                </c:pt>
                <c:pt idx="79">
                  <c:v>-9.0126222968469098E-4</c:v>
                </c:pt>
                <c:pt idx="80">
                  <c:v>-2.5774642343125002E-4</c:v>
                </c:pt>
                <c:pt idx="81">
                  <c:v>1.7383462442440101E-4</c:v>
                </c:pt>
                <c:pt idx="82">
                  <c:v>-1.5524052344859599E-3</c:v>
                </c:pt>
                <c:pt idx="83">
                  <c:v>-1.1840717366529601E-3</c:v>
                </c:pt>
                <c:pt idx="84">
                  <c:v>-1.28445268122061E-3</c:v>
                </c:pt>
                <c:pt idx="85">
                  <c:v>-2.4411387299364401E-3</c:v>
                </c:pt>
                <c:pt idx="86">
                  <c:v>-1.6935890459581801E-3</c:v>
                </c:pt>
                <c:pt idx="87">
                  <c:v>-9.3935585963821305E-4</c:v>
                </c:pt>
                <c:pt idx="88">
                  <c:v>-6.1833224305269795E-4</c:v>
                </c:pt>
                <c:pt idx="89">
                  <c:v>-5.7878036098690901E-5</c:v>
                </c:pt>
                <c:pt idx="90">
                  <c:v>-3.26398164267864E-4</c:v>
                </c:pt>
                <c:pt idx="91">
                  <c:v>-2.2092702201317901E-4</c:v>
                </c:pt>
                <c:pt idx="92">
                  <c:v>6.0999886506258E-4</c:v>
                </c:pt>
                <c:pt idx="93">
                  <c:v>1.8186626476624499E-3</c:v>
                </c:pt>
                <c:pt idx="94">
                  <c:v>3.6886273121109598E-3</c:v>
                </c:pt>
                <c:pt idx="95">
                  <c:v>1.57854006189423E-3</c:v>
                </c:pt>
                <c:pt idx="96">
                  <c:v>-1.6180509037466999E-4</c:v>
                </c:pt>
                <c:pt idx="97">
                  <c:v>1.13321809164253E-3</c:v>
                </c:pt>
                <c:pt idx="98">
                  <c:v>-1.25129923501271E-3</c:v>
                </c:pt>
                <c:pt idx="99">
                  <c:v>-4.6765396185218498E-4</c:v>
                </c:pt>
                <c:pt idx="100">
                  <c:v>-1.6660968934139599E-3</c:v>
                </c:pt>
                <c:pt idx="101">
                  <c:v>-3.0152316255799201E-3</c:v>
                </c:pt>
                <c:pt idx="102">
                  <c:v>-2.13331818342448E-3</c:v>
                </c:pt>
                <c:pt idx="103">
                  <c:v>-2.1169889534900601E-3</c:v>
                </c:pt>
                <c:pt idx="104">
                  <c:v>-2.4924385388559399E-3</c:v>
                </c:pt>
                <c:pt idx="105">
                  <c:v>-2.13191978640689E-3</c:v>
                </c:pt>
                <c:pt idx="106">
                  <c:v>5.3112353035251797E-4</c:v>
                </c:pt>
                <c:pt idx="107">
                  <c:v>1.0028376137322999E-3</c:v>
                </c:pt>
                <c:pt idx="108">
                  <c:v>5.8697292434679101E-4</c:v>
                </c:pt>
                <c:pt idx="109">
                  <c:v>1.2508725525125601E-3</c:v>
                </c:pt>
                <c:pt idx="110">
                  <c:v>1.57410692439922E-4</c:v>
                </c:pt>
                <c:pt idx="111">
                  <c:v>8.6421424233437596E-5</c:v>
                </c:pt>
                <c:pt idx="112">
                  <c:v>-1.0789887767553E-3</c:v>
                </c:pt>
                <c:pt idx="113">
                  <c:v>-8.41018597277655E-5</c:v>
                </c:pt>
                <c:pt idx="114">
                  <c:v>-1.3149512088818701E-3</c:v>
                </c:pt>
                <c:pt idx="115">
                  <c:v>-1.58013175395785E-3</c:v>
                </c:pt>
                <c:pt idx="116">
                  <c:v>-4.0698074621937997E-3</c:v>
                </c:pt>
                <c:pt idx="117">
                  <c:v>-2.41760973766863E-3</c:v>
                </c:pt>
                <c:pt idx="118">
                  <c:v>-2.3396601574567398E-3</c:v>
                </c:pt>
                <c:pt idx="119">
                  <c:v>-2.9934193552622499E-3</c:v>
                </c:pt>
                <c:pt idx="120">
                  <c:v>-2.7445997207849698E-3</c:v>
                </c:pt>
                <c:pt idx="121">
                  <c:v>-3.2067468111348198E-3</c:v>
                </c:pt>
                <c:pt idx="122">
                  <c:v>-5.3248541554179896E-3</c:v>
                </c:pt>
                <c:pt idx="123">
                  <c:v>-5.6741301923865497E-3</c:v>
                </c:pt>
                <c:pt idx="124">
                  <c:v>-6.0791882472621701E-3</c:v>
                </c:pt>
                <c:pt idx="125">
                  <c:v>-6.36102715396913E-3</c:v>
                </c:pt>
                <c:pt idx="126">
                  <c:v>-5.1487434564028304E-3</c:v>
                </c:pt>
                <c:pt idx="127">
                  <c:v>-3.2438728187028799E-3</c:v>
                </c:pt>
                <c:pt idx="128">
                  <c:v>-3.74779426105624E-3</c:v>
                </c:pt>
                <c:pt idx="129">
                  <c:v>-3.8058201578061702E-3</c:v>
                </c:pt>
                <c:pt idx="130">
                  <c:v>-2.2128355495407001E-3</c:v>
                </c:pt>
                <c:pt idx="131">
                  <c:v>-2.32747257889783E-3</c:v>
                </c:pt>
                <c:pt idx="132">
                  <c:v>-2.2949992951190302E-3</c:v>
                </c:pt>
                <c:pt idx="133">
                  <c:v>-1.5948238543630399E-3</c:v>
                </c:pt>
                <c:pt idx="134">
                  <c:v>-1.9111538834360199E-3</c:v>
                </c:pt>
                <c:pt idx="135">
                  <c:v>-1.97466584648781E-3</c:v>
                </c:pt>
                <c:pt idx="136">
                  <c:v>-2.8644478280902201E-3</c:v>
                </c:pt>
                <c:pt idx="137">
                  <c:v>-3.1181471815939299E-3</c:v>
                </c:pt>
                <c:pt idx="138">
                  <c:v>-4.6792001702013197E-3</c:v>
                </c:pt>
                <c:pt idx="139">
                  <c:v>-2.5416159525159699E-3</c:v>
                </c:pt>
                <c:pt idx="140">
                  <c:v>-3.0064120890464E-3</c:v>
                </c:pt>
                <c:pt idx="141">
                  <c:v>-1.3680649251247301E-3</c:v>
                </c:pt>
                <c:pt idx="142">
                  <c:v>-1.2681022059450001E-3</c:v>
                </c:pt>
                <c:pt idx="143">
                  <c:v>-1.1246457912677101E-3</c:v>
                </c:pt>
                <c:pt idx="144">
                  <c:v>-3.9598476382983E-4</c:v>
                </c:pt>
                <c:pt idx="145">
                  <c:v>-2.5724665266082E-3</c:v>
                </c:pt>
                <c:pt idx="146">
                  <c:v>-3.6477566281865599E-3</c:v>
                </c:pt>
                <c:pt idx="147">
                  <c:v>-2.7800337200403402E-3</c:v>
                </c:pt>
                <c:pt idx="148">
                  <c:v>-4.34168174117014E-3</c:v>
                </c:pt>
                <c:pt idx="149">
                  <c:v>-4.7101151218515202E-3</c:v>
                </c:pt>
                <c:pt idx="150">
                  <c:v>-3.2445473847630499E-3</c:v>
                </c:pt>
                <c:pt idx="151">
                  <c:v>-1.4295486333917001E-3</c:v>
                </c:pt>
                <c:pt idx="152">
                  <c:v>-1.7978542371185899E-3</c:v>
                </c:pt>
                <c:pt idx="153">
                  <c:v>-8.4334332338705496E-4</c:v>
                </c:pt>
                <c:pt idx="154">
                  <c:v>-6.6599197759906995E-4</c:v>
                </c:pt>
                <c:pt idx="155">
                  <c:v>1.00154393369292E-3</c:v>
                </c:pt>
                <c:pt idx="156">
                  <c:v>2.7039300782125699E-3</c:v>
                </c:pt>
                <c:pt idx="157">
                  <c:v>1.4295208471367101E-3</c:v>
                </c:pt>
                <c:pt idx="158">
                  <c:v>1.28012892547472E-3</c:v>
                </c:pt>
                <c:pt idx="159">
                  <c:v>1.3330361002216399E-3</c:v>
                </c:pt>
                <c:pt idx="160">
                  <c:v>1.1686682234691101E-3</c:v>
                </c:pt>
                <c:pt idx="161">
                  <c:v>6.8841930945591804E-4</c:v>
                </c:pt>
                <c:pt idx="162">
                  <c:v>1.7761006700252901E-3</c:v>
                </c:pt>
                <c:pt idx="163">
                  <c:v>1.3495287055524899E-3</c:v>
                </c:pt>
                <c:pt idx="164">
                  <c:v>2.7491551861953002E-3</c:v>
                </c:pt>
                <c:pt idx="165">
                  <c:v>2.9400474181973698E-3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52-492E-9FB0-53753523607E}"/>
            </c:ext>
          </c:extLst>
        </c:ser>
        <c:ser>
          <c:idx val="1"/>
          <c:order val="1"/>
          <c:tx>
            <c:strRef>
              <c:f>XLE_IYE_1!$AF$1</c:f>
              <c:strCache>
                <c:ptCount val="1"/>
                <c:pt idx="0">
                  <c:v>log diff XLE* x 10 dma / IYE*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XLE_IYE_1!$AF$2:$AF$167</c:f>
              <c:numCache>
                <c:formatCode>0.00%</c:formatCode>
                <c:ptCount val="166"/>
                <c:pt idx="10">
                  <c:v>-1.3982188789256E-4</c:v>
                </c:pt>
                <c:pt idx="11">
                  <c:v>2.1062852829257001E-4</c:v>
                </c:pt>
                <c:pt idx="12">
                  <c:v>2.43150199942488E-4</c:v>
                </c:pt>
                <c:pt idx="13">
                  <c:v>5.9732528066115502E-4</c:v>
                </c:pt>
                <c:pt idx="14">
                  <c:v>5.0833015983181898E-4</c:v>
                </c:pt>
                <c:pt idx="15">
                  <c:v>4.9317700924003899E-4</c:v>
                </c:pt>
                <c:pt idx="16">
                  <c:v>4.2428996478992401E-4</c:v>
                </c:pt>
                <c:pt idx="17">
                  <c:v>2.2702054608750199E-4</c:v>
                </c:pt>
                <c:pt idx="18">
                  <c:v>3.1934390918656499E-4</c:v>
                </c:pt>
                <c:pt idx="19">
                  <c:v>1.51180965442101E-3</c:v>
                </c:pt>
                <c:pt idx="20">
                  <c:v>5.06489428024264E-5</c:v>
                </c:pt>
                <c:pt idx="21">
                  <c:v>1.28483643275847E-3</c:v>
                </c:pt>
                <c:pt idx="22">
                  <c:v>1.37225726725055E-3</c:v>
                </c:pt>
                <c:pt idx="23">
                  <c:v>8.80159253449712E-4</c:v>
                </c:pt>
                <c:pt idx="24">
                  <c:v>1.62534400524625E-3</c:v>
                </c:pt>
                <c:pt idx="25">
                  <c:v>7.4550673677768904E-4</c:v>
                </c:pt>
                <c:pt idx="26">
                  <c:v>3.7167258412520998E-4</c:v>
                </c:pt>
                <c:pt idx="27">
                  <c:v>1.11103608219066E-3</c:v>
                </c:pt>
                <c:pt idx="28">
                  <c:v>1.48275966911257E-3</c:v>
                </c:pt>
                <c:pt idx="29">
                  <c:v>5.2802816648407495E-4</c:v>
                </c:pt>
                <c:pt idx="30">
                  <c:v>2.0044694356285099E-4</c:v>
                </c:pt>
                <c:pt idx="31">
                  <c:v>-3.6288199406410502E-4</c:v>
                </c:pt>
                <c:pt idx="32">
                  <c:v>1.86294505152093E-4</c:v>
                </c:pt>
                <c:pt idx="33">
                  <c:v>-1.35191529687878E-3</c:v>
                </c:pt>
                <c:pt idx="34">
                  <c:v>-3.1564804236886501E-4</c:v>
                </c:pt>
                <c:pt idx="35">
                  <c:v>-9.7677743406065294E-4</c:v>
                </c:pt>
                <c:pt idx="36">
                  <c:v>9.4454623559598802E-4</c:v>
                </c:pt>
                <c:pt idx="37">
                  <c:v>1.3014628800263599E-4</c:v>
                </c:pt>
                <c:pt idx="38">
                  <c:v>4.81957503040465E-4</c:v>
                </c:pt>
                <c:pt idx="39">
                  <c:v>-2.4527740171561701E-4</c:v>
                </c:pt>
                <c:pt idx="40">
                  <c:v>4.9468818002777997E-4</c:v>
                </c:pt>
                <c:pt idx="41">
                  <c:v>1.5400469514392399E-4</c:v>
                </c:pt>
                <c:pt idx="42">
                  <c:v>5.9686218782064199E-5</c:v>
                </c:pt>
                <c:pt idx="43">
                  <c:v>5.0769942060782799E-4</c:v>
                </c:pt>
                <c:pt idx="44">
                  <c:v>1.0765641340620499E-4</c:v>
                </c:pt>
                <c:pt idx="45">
                  <c:v>-6.2892937073513104E-4</c:v>
                </c:pt>
                <c:pt idx="46">
                  <c:v>-1.9771672503477E-4</c:v>
                </c:pt>
                <c:pt idx="47">
                  <c:v>8.7774671965303096E-4</c:v>
                </c:pt>
                <c:pt idx="48">
                  <c:v>4.7823573369659602E-4</c:v>
                </c:pt>
                <c:pt idx="49">
                  <c:v>1.5440757509027801E-4</c:v>
                </c:pt>
                <c:pt idx="50">
                  <c:v>8.6185170889416002E-4</c:v>
                </c:pt>
                <c:pt idx="51">
                  <c:v>-5.7960498559995501E-4</c:v>
                </c:pt>
                <c:pt idx="52">
                  <c:v>-1.2969684790147401E-3</c:v>
                </c:pt>
                <c:pt idx="53">
                  <c:v>-1.08226263588357E-3</c:v>
                </c:pt>
                <c:pt idx="54">
                  <c:v>-1.81993178921434E-3</c:v>
                </c:pt>
                <c:pt idx="55">
                  <c:v>-1.9223618826115999E-3</c:v>
                </c:pt>
                <c:pt idx="56">
                  <c:v>-2.0140676670628902E-3</c:v>
                </c:pt>
                <c:pt idx="57">
                  <c:v>-1.2302962492711301E-3</c:v>
                </c:pt>
                <c:pt idx="58">
                  <c:v>-6.4335728638149003E-4</c:v>
                </c:pt>
                <c:pt idx="59">
                  <c:v>5.5836489581436799E-4</c:v>
                </c:pt>
                <c:pt idx="60">
                  <c:v>4.8249556014641801E-4</c:v>
                </c:pt>
                <c:pt idx="61">
                  <c:v>-1.1287637667061199E-3</c:v>
                </c:pt>
                <c:pt idx="62">
                  <c:v>-2.0856970432091399E-3</c:v>
                </c:pt>
                <c:pt idx="63">
                  <c:v>-7.8796503521099098E-4</c:v>
                </c:pt>
                <c:pt idx="64">
                  <c:v>-6.5051171065638302E-4</c:v>
                </c:pt>
                <c:pt idx="65">
                  <c:v>-1.6334797191176499E-3</c:v>
                </c:pt>
                <c:pt idx="66">
                  <c:v>-1.86730056802345E-3</c:v>
                </c:pt>
                <c:pt idx="67">
                  <c:v>-2.2585357360665899E-3</c:v>
                </c:pt>
                <c:pt idx="68">
                  <c:v>-1.64257202197271E-3</c:v>
                </c:pt>
                <c:pt idx="69">
                  <c:v>-2.0161921419967999E-4</c:v>
                </c:pt>
                <c:pt idx="70">
                  <c:v>-6.4283787760013595E-4</c:v>
                </c:pt>
                <c:pt idx="71">
                  <c:v>-1.0008796879671E-3</c:v>
                </c:pt>
                <c:pt idx="72">
                  <c:v>6.46677554439445E-4</c:v>
                </c:pt>
                <c:pt idx="73">
                  <c:v>-7.30940977111747E-4</c:v>
                </c:pt>
                <c:pt idx="74">
                  <c:v>1.0345624661343199E-4</c:v>
                </c:pt>
                <c:pt idx="75">
                  <c:v>3.8811561949821002E-4</c:v>
                </c:pt>
                <c:pt idx="76">
                  <c:v>1.1441783994035901E-3</c:v>
                </c:pt>
                <c:pt idx="77">
                  <c:v>7.5964533791006195E-5</c:v>
                </c:pt>
                <c:pt idx="78">
                  <c:v>-9.4693464924665001E-4</c:v>
                </c:pt>
                <c:pt idx="79">
                  <c:v>-2.9537118770157298E-4</c:v>
                </c:pt>
                <c:pt idx="80">
                  <c:v>4.3738652369766998E-4</c:v>
                </c:pt>
                <c:pt idx="81">
                  <c:v>8.2389621242206904E-4</c:v>
                </c:pt>
                <c:pt idx="82">
                  <c:v>-1.05770988642919E-3</c:v>
                </c:pt>
                <c:pt idx="83">
                  <c:v>-5.2757339578424103E-4</c:v>
                </c:pt>
                <c:pt idx="84">
                  <c:v>-6.34879186893706E-4</c:v>
                </c:pt>
                <c:pt idx="85">
                  <c:v>-1.7227037220275401E-3</c:v>
                </c:pt>
                <c:pt idx="86">
                  <c:v>-7.7294924649753505E-4</c:v>
                </c:pt>
                <c:pt idx="87">
                  <c:v>1.8559501190401799E-4</c:v>
                </c:pt>
                <c:pt idx="88">
                  <c:v>5.4176453512329997E-4</c:v>
                </c:pt>
                <c:pt idx="89">
                  <c:v>1.01222477761323E-3</c:v>
                </c:pt>
                <c:pt idx="90">
                  <c:v>6.5941246499090099E-4</c:v>
                </c:pt>
                <c:pt idx="91">
                  <c:v>7.7174399681530996E-4</c:v>
                </c:pt>
                <c:pt idx="92">
                  <c:v>1.64210703233781E-3</c:v>
                </c:pt>
                <c:pt idx="93">
                  <c:v>2.6346282620703099E-3</c:v>
                </c:pt>
                <c:pt idx="94">
                  <c:v>4.2046144818253996E-3</c:v>
                </c:pt>
                <c:pt idx="95">
                  <c:v>1.5979491248201199E-3</c:v>
                </c:pt>
                <c:pt idx="96">
                  <c:v>-5.4461065558601099E-4</c:v>
                </c:pt>
                <c:pt idx="97">
                  <c:v>5.9702147978872599E-4</c:v>
                </c:pt>
                <c:pt idx="98">
                  <c:v>-1.9948658397979302E-3</c:v>
                </c:pt>
                <c:pt idx="99">
                  <c:v>-1.1478195510052499E-3</c:v>
                </c:pt>
                <c:pt idx="100">
                  <c:v>-2.30524707355895E-3</c:v>
                </c:pt>
                <c:pt idx="101">
                  <c:v>-3.5202016520607098E-3</c:v>
                </c:pt>
                <c:pt idx="102">
                  <c:v>-2.3583029831207602E-3</c:v>
                </c:pt>
                <c:pt idx="103">
                  <c:v>-2.0674088571933499E-3</c:v>
                </c:pt>
                <c:pt idx="104">
                  <c:v>-2.0493312760161099E-3</c:v>
                </c:pt>
                <c:pt idx="105">
                  <c:v>-1.07153874686162E-3</c:v>
                </c:pt>
                <c:pt idx="106">
                  <c:v>1.9621913830122099E-3</c:v>
                </c:pt>
                <c:pt idx="107">
                  <c:v>2.3647220777747399E-3</c:v>
                </c:pt>
                <c:pt idx="108">
                  <c:v>1.96186370875429E-3</c:v>
                </c:pt>
                <c:pt idx="109">
                  <c:v>2.4421108138513001E-3</c:v>
                </c:pt>
                <c:pt idx="110">
                  <c:v>1.17705336092924E-3</c:v>
                </c:pt>
                <c:pt idx="111">
                  <c:v>9.2374506093556997E-4</c:v>
                </c:pt>
                <c:pt idx="112">
                  <c:v>-5.5207330097874403E-4</c:v>
                </c:pt>
                <c:pt idx="113">
                  <c:v>3.3726125137807802E-4</c:v>
                </c:pt>
                <c:pt idx="114">
                  <c:v>-1.09703565322141E-3</c:v>
                </c:pt>
                <c:pt idx="115">
                  <c:v>-1.4801705602359601E-3</c:v>
                </c:pt>
                <c:pt idx="116">
                  <c:v>-4.0251235828514002E-3</c:v>
                </c:pt>
                <c:pt idx="117">
                  <c:v>-1.9121443407304E-3</c:v>
                </c:pt>
                <c:pt idx="118">
                  <c:v>-1.49213929337375E-3</c:v>
                </c:pt>
                <c:pt idx="119">
                  <c:v>-1.8532694631166701E-3</c:v>
                </c:pt>
                <c:pt idx="120">
                  <c:v>-1.1802244193933999E-3</c:v>
                </c:pt>
                <c:pt idx="121">
                  <c:v>-1.3522910142595599E-3</c:v>
                </c:pt>
                <c:pt idx="122">
                  <c:v>-3.1412324686870101E-3</c:v>
                </c:pt>
                <c:pt idx="123">
                  <c:v>-3.0655793671288999E-3</c:v>
                </c:pt>
                <c:pt idx="124">
                  <c:v>-2.91163886234481E-3</c:v>
                </c:pt>
                <c:pt idx="125">
                  <c:v>-2.7169148457015899E-3</c:v>
                </c:pt>
                <c:pt idx="126">
                  <c:v>-1.0264993698761E-3</c:v>
                </c:pt>
                <c:pt idx="127">
                  <c:v>9.8631160707875502E-4</c:v>
                </c:pt>
                <c:pt idx="128">
                  <c:v>5.6489752140094799E-4</c:v>
                </c:pt>
                <c:pt idx="129">
                  <c:v>6.4749658457398103E-4</c:v>
                </c:pt>
                <c:pt idx="130">
                  <c:v>2.3216324251310598E-3</c:v>
                </c:pt>
                <c:pt idx="131">
                  <c:v>2.1539267750596502E-3</c:v>
                </c:pt>
                <c:pt idx="132">
                  <c:v>2.0986193841224998E-3</c:v>
                </c:pt>
                <c:pt idx="133">
                  <c:v>2.4959401657681799E-3</c:v>
                </c:pt>
                <c:pt idx="134">
                  <c:v>1.77178216063775E-3</c:v>
                </c:pt>
                <c:pt idx="135">
                  <c:v>1.29124935734999E-3</c:v>
                </c:pt>
                <c:pt idx="136">
                  <c:v>-3.7661307968002002E-5</c:v>
                </c:pt>
                <c:pt idx="137">
                  <c:v>-5.2008609201919501E-4</c:v>
                </c:pt>
                <c:pt idx="138">
                  <c:v>-2.0937190547721E-3</c:v>
                </c:pt>
                <c:pt idx="139">
                  <c:v>1.37153163619388E-4</c:v>
                </c:pt>
                <c:pt idx="140">
                  <c:v>-4.5413398865484702E-4</c:v>
                </c:pt>
                <c:pt idx="141">
                  <c:v>1.2635722332388201E-3</c:v>
                </c:pt>
                <c:pt idx="142">
                  <c:v>1.26766476343204E-3</c:v>
                </c:pt>
                <c:pt idx="143">
                  <c:v>1.30850362072594E-3</c:v>
                </c:pt>
                <c:pt idx="144">
                  <c:v>1.99019618094224E-3</c:v>
                </c:pt>
                <c:pt idx="145">
                  <c:v>-3.3762731340305802E-4</c:v>
                </c:pt>
                <c:pt idx="146">
                  <c:v>-1.35313681782876E-3</c:v>
                </c:pt>
                <c:pt idx="147">
                  <c:v>-4.0701075129460701E-4</c:v>
                </c:pt>
                <c:pt idx="148">
                  <c:v>-2.0024901742443399E-3</c:v>
                </c:pt>
                <c:pt idx="149">
                  <c:v>-2.4047493333591301E-3</c:v>
                </c:pt>
                <c:pt idx="150">
                  <c:v>-7.2206866810356702E-4</c:v>
                </c:pt>
                <c:pt idx="151">
                  <c:v>1.11675769292872E-3</c:v>
                </c:pt>
                <c:pt idx="152">
                  <c:v>7.5459338996541599E-4</c:v>
                </c:pt>
                <c:pt idx="153">
                  <c:v>1.7620241280752E-3</c:v>
                </c:pt>
                <c:pt idx="154">
                  <c:v>1.91129040526511E-3</c:v>
                </c:pt>
                <c:pt idx="155">
                  <c:v>3.6057714800690399E-3</c:v>
                </c:pt>
                <c:pt idx="156">
                  <c:v>4.9513421758158298E-3</c:v>
                </c:pt>
                <c:pt idx="157">
                  <c:v>3.0426888586799501E-3</c:v>
                </c:pt>
                <c:pt idx="158">
                  <c:v>2.47264734304417E-3</c:v>
                </c:pt>
                <c:pt idx="159">
                  <c:v>1.9630243257112E-3</c:v>
                </c:pt>
                <c:pt idx="160">
                  <c:v>1.1935173092112799E-3</c:v>
                </c:pt>
                <c:pt idx="161">
                  <c:v>2.7140154185955402E-4</c:v>
                </c:pt>
                <c:pt idx="162">
                  <c:v>1.1470967279065499E-3</c:v>
                </c:pt>
                <c:pt idx="163">
                  <c:v>3.62836355845681E-4</c:v>
                </c:pt>
                <c:pt idx="164">
                  <c:v>1.54299057931319E-3</c:v>
                </c:pt>
                <c:pt idx="165">
                  <c:v>1.3922533681066699E-3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52-492E-9FB0-53753523607E}"/>
            </c:ext>
          </c:extLst>
        </c:ser>
        <c:ser>
          <c:idx val="2"/>
          <c:order val="2"/>
          <c:tx>
            <c:strRef>
              <c:f>XLE_IYE_1!$AG$1</c:f>
              <c:strCache>
                <c:ptCount val="1"/>
                <c:pt idx="0">
                  <c:v>log diff XLE* x 20 dma / IYE*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XLE_IYE_1!$AG$2:$AG$167</c:f>
              <c:numCache>
                <c:formatCode>0.00%</c:formatCode>
                <c:ptCount val="166"/>
                <c:pt idx="20">
                  <c:v>6.3019890609357495E-4</c:v>
                </c:pt>
                <c:pt idx="21">
                  <c:v>1.7640406318320801E-3</c:v>
                </c:pt>
                <c:pt idx="22">
                  <c:v>1.89061466201886E-3</c:v>
                </c:pt>
                <c:pt idx="23">
                  <c:v>1.3994902161839999E-3</c:v>
                </c:pt>
                <c:pt idx="24">
                  <c:v>2.10500498786569E-3</c:v>
                </c:pt>
                <c:pt idx="25">
                  <c:v>1.3045865065083599E-3</c:v>
                </c:pt>
                <c:pt idx="26">
                  <c:v>1.0006291648773E-3</c:v>
                </c:pt>
                <c:pt idx="27">
                  <c:v>1.77538956832815E-3</c:v>
                </c:pt>
                <c:pt idx="28">
                  <c:v>2.2391640221659198E-3</c:v>
                </c:pt>
                <c:pt idx="29">
                  <c:v>1.4447894549931401E-3</c:v>
                </c:pt>
                <c:pt idx="30">
                  <c:v>1.0636157526855801E-3</c:v>
                </c:pt>
                <c:pt idx="31">
                  <c:v>5.2664900167891798E-4</c:v>
                </c:pt>
                <c:pt idx="32">
                  <c:v>9.8067359370630704E-4</c:v>
                </c:pt>
                <c:pt idx="33">
                  <c:v>-6.4575143890585E-4</c:v>
                </c:pt>
                <c:pt idx="34">
                  <c:v>2.8334554817569402E-4</c:v>
                </c:pt>
                <c:pt idx="35">
                  <c:v>-5.1877813767597296E-4</c:v>
                </c:pt>
                <c:pt idx="36">
                  <c:v>1.29364593957422E-3</c:v>
                </c:pt>
                <c:pt idx="37">
                  <c:v>4.8251654076850501E-4</c:v>
                </c:pt>
                <c:pt idx="38">
                  <c:v>7.09856093884698E-4</c:v>
                </c:pt>
                <c:pt idx="39">
                  <c:v>-1.78415273966547E-4</c:v>
                </c:pt>
                <c:pt idx="40">
                  <c:v>4.8712974003022898E-4</c:v>
                </c:pt>
                <c:pt idx="41">
                  <c:v>6.65539674590836E-5</c:v>
                </c:pt>
                <c:pt idx="42">
                  <c:v>-1.7196403437130199E-5</c:v>
                </c:pt>
                <c:pt idx="43">
                  <c:v>3.9669508467890698E-4</c:v>
                </c:pt>
                <c:pt idx="44">
                  <c:v>1.19607085001913E-4</c:v>
                </c:pt>
                <c:pt idx="45">
                  <c:v>-5.5744813084627597E-4</c:v>
                </c:pt>
                <c:pt idx="46">
                  <c:v>-6.1320128444810901E-5</c:v>
                </c:pt>
                <c:pt idx="47">
                  <c:v>9.0714025575243298E-4</c:v>
                </c:pt>
                <c:pt idx="48">
                  <c:v>5.6174392682300004E-4</c:v>
                </c:pt>
                <c:pt idx="49">
                  <c:v>2.7331211167223499E-4</c:v>
                </c:pt>
                <c:pt idx="50">
                  <c:v>1.0446220118583401E-3</c:v>
                </c:pt>
                <c:pt idx="51">
                  <c:v>-3.7416500758825401E-4</c:v>
                </c:pt>
                <c:pt idx="52">
                  <c:v>-1.12477932598604E-3</c:v>
                </c:pt>
                <c:pt idx="53">
                  <c:v>-9.4671592706691205E-4</c:v>
                </c:pt>
                <c:pt idx="54">
                  <c:v>-1.83227396214198E-3</c:v>
                </c:pt>
                <c:pt idx="55">
                  <c:v>-2.0547452516979999E-3</c:v>
                </c:pt>
                <c:pt idx="56">
                  <c:v>-2.2489884267810701E-3</c:v>
                </c:pt>
                <c:pt idx="57">
                  <c:v>-1.53613452208459E-3</c:v>
                </c:pt>
                <c:pt idx="58">
                  <c:v>-1.1253825259273801E-3</c:v>
                </c:pt>
                <c:pt idx="59">
                  <c:v>-3.6002328607693897E-5</c:v>
                </c:pt>
                <c:pt idx="60">
                  <c:v>-1.8292479786908601E-4</c:v>
                </c:pt>
                <c:pt idx="61">
                  <c:v>-1.9161225461685901E-3</c:v>
                </c:pt>
                <c:pt idx="62">
                  <c:v>-2.9630563700972102E-3</c:v>
                </c:pt>
                <c:pt idx="63">
                  <c:v>-1.7418996185337399E-3</c:v>
                </c:pt>
                <c:pt idx="64">
                  <c:v>-1.61918027660979E-3</c:v>
                </c:pt>
                <c:pt idx="65">
                  <c:v>-2.5429689963781901E-3</c:v>
                </c:pt>
                <c:pt idx="66">
                  <c:v>-2.7754040468445998E-3</c:v>
                </c:pt>
                <c:pt idx="67">
                  <c:v>-3.1358603343601302E-3</c:v>
                </c:pt>
                <c:pt idx="68">
                  <c:v>-2.5232233852413399E-3</c:v>
                </c:pt>
                <c:pt idx="69">
                  <c:v>-1.1160807331277701E-3</c:v>
                </c:pt>
                <c:pt idx="70">
                  <c:v>-1.64732424591614E-3</c:v>
                </c:pt>
                <c:pt idx="71">
                  <c:v>-2.0764780535283299E-3</c:v>
                </c:pt>
                <c:pt idx="72">
                  <c:v>-4.2391771202618302E-4</c:v>
                </c:pt>
                <c:pt idx="73">
                  <c:v>-1.64490132037356E-3</c:v>
                </c:pt>
                <c:pt idx="74">
                  <c:v>-8.1834591016763001E-4</c:v>
                </c:pt>
                <c:pt idx="75">
                  <c:v>-5.4970607286603695E-4</c:v>
                </c:pt>
                <c:pt idx="76">
                  <c:v>2.9013971365462798E-4</c:v>
                </c:pt>
                <c:pt idx="77">
                  <c:v>-6.2949188585170301E-4</c:v>
                </c:pt>
                <c:pt idx="78">
                  <c:v>-1.46704606778846E-3</c:v>
                </c:pt>
                <c:pt idx="79">
                  <c:v>-6.9471220679288804E-4</c:v>
                </c:pt>
                <c:pt idx="80">
                  <c:v>1.22723337054495E-4</c:v>
                </c:pt>
                <c:pt idx="81">
                  <c:v>6.8832480942064198E-4</c:v>
                </c:pt>
                <c:pt idx="82">
                  <c:v>-1.0143942586921201E-3</c:v>
                </c:pt>
                <c:pt idx="83">
                  <c:v>-5.9465028326831197E-4</c:v>
                </c:pt>
                <c:pt idx="84">
                  <c:v>-6.0993050980176499E-4</c:v>
                </c:pt>
                <c:pt idx="85">
                  <c:v>-1.67769908188354E-3</c:v>
                </c:pt>
                <c:pt idx="86">
                  <c:v>-8.3629735297468296E-4</c:v>
                </c:pt>
                <c:pt idx="87">
                  <c:v>-4.4989776427545798E-5</c:v>
                </c:pt>
                <c:pt idx="88">
                  <c:v>2.47449122351121E-4</c:v>
                </c:pt>
                <c:pt idx="89">
                  <c:v>7.8014582831977301E-4</c:v>
                </c:pt>
                <c:pt idx="90">
                  <c:v>5.1408418561530399E-4</c:v>
                </c:pt>
                <c:pt idx="91">
                  <c:v>6.0045395405259195E-4</c:v>
                </c:pt>
                <c:pt idx="92">
                  <c:v>1.3734367242953099E-3</c:v>
                </c:pt>
                <c:pt idx="93">
                  <c:v>2.5548978040271001E-3</c:v>
                </c:pt>
                <c:pt idx="94">
                  <c:v>4.2714098747945401E-3</c:v>
                </c:pt>
                <c:pt idx="95">
                  <c:v>1.9475231769695699E-3</c:v>
                </c:pt>
                <c:pt idx="96">
                  <c:v>1.0732439796223199E-4</c:v>
                </c:pt>
                <c:pt idx="97">
                  <c:v>1.4279401478174E-3</c:v>
                </c:pt>
                <c:pt idx="98">
                  <c:v>-1.04258115660121E-3</c:v>
                </c:pt>
                <c:pt idx="99">
                  <c:v>-2.7230241968632902E-4</c:v>
                </c:pt>
                <c:pt idx="100">
                  <c:v>-1.4924366066892199E-3</c:v>
                </c:pt>
                <c:pt idx="101">
                  <c:v>-2.7711007633445298E-3</c:v>
                </c:pt>
                <c:pt idx="102">
                  <c:v>-1.7295589643070599E-3</c:v>
                </c:pt>
                <c:pt idx="103">
                  <c:v>-1.6841426797941899E-3</c:v>
                </c:pt>
                <c:pt idx="104">
                  <c:v>-2.0128906586436902E-3</c:v>
                </c:pt>
                <c:pt idx="105">
                  <c:v>-1.59188928234524E-3</c:v>
                </c:pt>
                <c:pt idx="106">
                  <c:v>1.0556659411173001E-3</c:v>
                </c:pt>
                <c:pt idx="107">
                  <c:v>1.4161318787304499E-3</c:v>
                </c:pt>
                <c:pt idx="108">
                  <c:v>9.031959967669E-4</c:v>
                </c:pt>
                <c:pt idx="109">
                  <c:v>1.5068466575879E-3</c:v>
                </c:pt>
                <c:pt idx="110">
                  <c:v>3.48000885786723E-4</c:v>
                </c:pt>
                <c:pt idx="111">
                  <c:v>2.5282344836199402E-4</c:v>
                </c:pt>
                <c:pt idx="112">
                  <c:v>-9.2795276946365903E-4</c:v>
                </c:pt>
                <c:pt idx="113">
                  <c:v>1.51387021799994E-4</c:v>
                </c:pt>
                <c:pt idx="114">
                  <c:v>-9.8443346071864905E-4</c:v>
                </c:pt>
                <c:pt idx="115">
                  <c:v>-9.9984533654363396E-4</c:v>
                </c:pt>
                <c:pt idx="116">
                  <c:v>-3.3316913386464602E-3</c:v>
                </c:pt>
                <c:pt idx="117">
                  <c:v>-1.48384312547889E-3</c:v>
                </c:pt>
                <c:pt idx="118">
                  <c:v>-1.2284195683327801E-3</c:v>
                </c:pt>
                <c:pt idx="119">
                  <c:v>-1.8277249522674001E-3</c:v>
                </c:pt>
                <c:pt idx="120">
                  <c:v>-1.4525536441395901E-3</c:v>
                </c:pt>
                <c:pt idx="121">
                  <c:v>-1.86072777462268E-3</c:v>
                </c:pt>
                <c:pt idx="122">
                  <c:v>-3.9692424897696801E-3</c:v>
                </c:pt>
                <c:pt idx="123">
                  <c:v>-4.1585752505620098E-3</c:v>
                </c:pt>
                <c:pt idx="124">
                  <c:v>-4.3853682349018199E-3</c:v>
                </c:pt>
                <c:pt idx="125">
                  <c:v>-4.4874202779059602E-3</c:v>
                </c:pt>
                <c:pt idx="126">
                  <c:v>-3.0632011627527598E-3</c:v>
                </c:pt>
                <c:pt idx="127">
                  <c:v>-8.7431371686487501E-4</c:v>
                </c:pt>
                <c:pt idx="128">
                  <c:v>-1.1661870123504E-3</c:v>
                </c:pt>
                <c:pt idx="129">
                  <c:v>-1.00771470684889E-3</c:v>
                </c:pt>
                <c:pt idx="130">
                  <c:v>8.3768876939662601E-4</c:v>
                </c:pt>
                <c:pt idx="131">
                  <c:v>8.4131760032713702E-4</c:v>
                </c:pt>
                <c:pt idx="132">
                  <c:v>9.9423139858124E-4</c:v>
                </c:pt>
                <c:pt idx="133">
                  <c:v>1.75510818780076E-3</c:v>
                </c:pt>
                <c:pt idx="134">
                  <c:v>1.5141220339851601E-3</c:v>
                </c:pt>
                <c:pt idx="135">
                  <c:v>1.48036578869601E-3</c:v>
                </c:pt>
                <c:pt idx="136">
                  <c:v>6.1027725150768295E-4</c:v>
                </c:pt>
                <c:pt idx="137">
                  <c:v>2.9630855437040799E-4</c:v>
                </c:pt>
                <c:pt idx="138">
                  <c:v>-1.2297408142182701E-3</c:v>
                </c:pt>
                <c:pt idx="139">
                  <c:v>1.0248206040997E-3</c:v>
                </c:pt>
                <c:pt idx="140">
                  <c:v>5.3745208299191705E-4</c:v>
                </c:pt>
                <c:pt idx="141">
                  <c:v>2.1888810334974198E-3</c:v>
                </c:pt>
                <c:pt idx="142">
                  <c:v>2.1970220699240499E-3</c:v>
                </c:pt>
                <c:pt idx="143">
                  <c:v>2.1376543855291101E-3</c:v>
                </c:pt>
                <c:pt idx="144">
                  <c:v>2.6387839273016699E-3</c:v>
                </c:pt>
                <c:pt idx="145">
                  <c:v>1.7804357161968899E-4</c:v>
                </c:pt>
                <c:pt idx="146">
                  <c:v>-1.0870180627711599E-3</c:v>
                </c:pt>
                <c:pt idx="147">
                  <c:v>-2.9448536061056402E-4</c:v>
                </c:pt>
                <c:pt idx="148">
                  <c:v>-1.8793378176751401E-3</c:v>
                </c:pt>
                <c:pt idx="149">
                  <c:v>-2.2180302407822901E-3</c:v>
                </c:pt>
                <c:pt idx="150">
                  <c:v>-7.0716886523717205E-4</c:v>
                </c:pt>
                <c:pt idx="151">
                  <c:v>1.1594240191192E-3</c:v>
                </c:pt>
                <c:pt idx="152">
                  <c:v>7.4625309589256396E-4</c:v>
                </c:pt>
                <c:pt idx="153">
                  <c:v>1.67591881572264E-3</c:v>
                </c:pt>
                <c:pt idx="154">
                  <c:v>1.81574425118904E-3</c:v>
                </c:pt>
                <c:pt idx="155">
                  <c:v>3.4210943694509802E-3</c:v>
                </c:pt>
                <c:pt idx="156">
                  <c:v>4.9749463107642798E-3</c:v>
                </c:pt>
                <c:pt idx="157">
                  <c:v>3.4226885097240999E-3</c:v>
                </c:pt>
                <c:pt idx="158">
                  <c:v>3.0461482751271501E-3</c:v>
                </c:pt>
                <c:pt idx="159">
                  <c:v>2.80106396841892E-3</c:v>
                </c:pt>
                <c:pt idx="160">
                  <c:v>2.4431118936885802E-3</c:v>
                </c:pt>
                <c:pt idx="161">
                  <c:v>1.75416124962717E-3</c:v>
                </c:pt>
                <c:pt idx="162">
                  <c:v>2.7390877162350499E-3</c:v>
                </c:pt>
                <c:pt idx="163">
                  <c:v>2.1604791172650101E-3</c:v>
                </c:pt>
                <c:pt idx="164">
                  <c:v>3.4365033820094502E-3</c:v>
                </c:pt>
                <c:pt idx="165">
                  <c:v>3.47041907520927E-3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52-492E-9FB0-537535236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XLE_IYE_1!$Y$1</c:f>
              <c:strCache>
                <c:ptCount val="1"/>
                <c:pt idx="0">
                  <c:v> IYE*/XLE*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XLE_IYE_1!$Y$2:$Y$167</c:f>
              <c:numCache>
                <c:formatCode>_(* #,##0.0000_);_(* \(#,##0.0000\);_(* "-"??_);_(@_)</c:formatCode>
                <c:ptCount val="166"/>
                <c:pt idx="0">
                  <c:v>1.05986570061559</c:v>
                </c:pt>
                <c:pt idx="1">
                  <c:v>1.05986570061559</c:v>
                </c:pt>
                <c:pt idx="2">
                  <c:v>1.05986570061559</c:v>
                </c:pt>
                <c:pt idx="3">
                  <c:v>1.05986570061559</c:v>
                </c:pt>
                <c:pt idx="4">
                  <c:v>1.05986570061559</c:v>
                </c:pt>
                <c:pt idx="5">
                  <c:v>1.05986570061559</c:v>
                </c:pt>
                <c:pt idx="6">
                  <c:v>1.05986570061559</c:v>
                </c:pt>
                <c:pt idx="7">
                  <c:v>1.05986570061559</c:v>
                </c:pt>
                <c:pt idx="8">
                  <c:v>1.05986570061559</c:v>
                </c:pt>
                <c:pt idx="9">
                  <c:v>1.05986570061559</c:v>
                </c:pt>
                <c:pt idx="10">
                  <c:v>1.05986570061559</c:v>
                </c:pt>
                <c:pt idx="11">
                  <c:v>1.05986570061559</c:v>
                </c:pt>
                <c:pt idx="12">
                  <c:v>1.05986570061559</c:v>
                </c:pt>
                <c:pt idx="13">
                  <c:v>1.05986570061559</c:v>
                </c:pt>
                <c:pt idx="14">
                  <c:v>1.05986570061559</c:v>
                </c:pt>
                <c:pt idx="15">
                  <c:v>1.05986570061559</c:v>
                </c:pt>
                <c:pt idx="16">
                  <c:v>1.05986570061559</c:v>
                </c:pt>
                <c:pt idx="17">
                  <c:v>1.05986570061559</c:v>
                </c:pt>
                <c:pt idx="18">
                  <c:v>1.05986570061559</c:v>
                </c:pt>
                <c:pt idx="19">
                  <c:v>1.05986570061559</c:v>
                </c:pt>
                <c:pt idx="20">
                  <c:v>1.05986570061559</c:v>
                </c:pt>
                <c:pt idx="21">
                  <c:v>1.05986570061559</c:v>
                </c:pt>
                <c:pt idx="22">
                  <c:v>1.05986570061559</c:v>
                </c:pt>
                <c:pt idx="23">
                  <c:v>1.05986570061559</c:v>
                </c:pt>
                <c:pt idx="24">
                  <c:v>1.05986570061559</c:v>
                </c:pt>
                <c:pt idx="25">
                  <c:v>1.05986570061559</c:v>
                </c:pt>
                <c:pt idx="26">
                  <c:v>1.05986570061559</c:v>
                </c:pt>
                <c:pt idx="27">
                  <c:v>1.05986570061559</c:v>
                </c:pt>
                <c:pt idx="28">
                  <c:v>1.05986570061559</c:v>
                </c:pt>
                <c:pt idx="29">
                  <c:v>1.05986570061559</c:v>
                </c:pt>
                <c:pt idx="30">
                  <c:v>1.05986570061559</c:v>
                </c:pt>
                <c:pt idx="31">
                  <c:v>1.05986570061559</c:v>
                </c:pt>
                <c:pt idx="32">
                  <c:v>1.05986570061559</c:v>
                </c:pt>
                <c:pt idx="33">
                  <c:v>1.05986570061559</c:v>
                </c:pt>
                <c:pt idx="34">
                  <c:v>1.05986570061559</c:v>
                </c:pt>
                <c:pt idx="35">
                  <c:v>1.05986570061559</c:v>
                </c:pt>
                <c:pt idx="36">
                  <c:v>1.05986570061559</c:v>
                </c:pt>
                <c:pt idx="37">
                  <c:v>1.05986570061559</c:v>
                </c:pt>
                <c:pt idx="38">
                  <c:v>1.05986570061559</c:v>
                </c:pt>
                <c:pt idx="39">
                  <c:v>1.05986570061559</c:v>
                </c:pt>
                <c:pt idx="40">
                  <c:v>1.05986570061559</c:v>
                </c:pt>
                <c:pt idx="41">
                  <c:v>1.05986570061559</c:v>
                </c:pt>
                <c:pt idx="42">
                  <c:v>1.05986570061559</c:v>
                </c:pt>
                <c:pt idx="43">
                  <c:v>1.05986570061559</c:v>
                </c:pt>
                <c:pt idx="44">
                  <c:v>1.05986570061559</c:v>
                </c:pt>
                <c:pt idx="45">
                  <c:v>1.05986570061559</c:v>
                </c:pt>
                <c:pt idx="46">
                  <c:v>1.05986570061559</c:v>
                </c:pt>
                <c:pt idx="47">
                  <c:v>1.05986570061559</c:v>
                </c:pt>
                <c:pt idx="48">
                  <c:v>1.05986570061559</c:v>
                </c:pt>
                <c:pt idx="49">
                  <c:v>1.05986570061559</c:v>
                </c:pt>
                <c:pt idx="50">
                  <c:v>1.05986570061559</c:v>
                </c:pt>
                <c:pt idx="51">
                  <c:v>1.05986570061559</c:v>
                </c:pt>
                <c:pt idx="52">
                  <c:v>1.05986570061559</c:v>
                </c:pt>
                <c:pt idx="53">
                  <c:v>1.05986570061559</c:v>
                </c:pt>
                <c:pt idx="54">
                  <c:v>1.05986570061559</c:v>
                </c:pt>
                <c:pt idx="55">
                  <c:v>1.05986570061559</c:v>
                </c:pt>
                <c:pt idx="56">
                  <c:v>1.05986570061559</c:v>
                </c:pt>
                <c:pt idx="57">
                  <c:v>1.05986570061559</c:v>
                </c:pt>
                <c:pt idx="58">
                  <c:v>1.05986570061559</c:v>
                </c:pt>
                <c:pt idx="59">
                  <c:v>1.05986570061559</c:v>
                </c:pt>
                <c:pt idx="60">
                  <c:v>1.05986570061559</c:v>
                </c:pt>
                <c:pt idx="61">
                  <c:v>1.05986570061559</c:v>
                </c:pt>
                <c:pt idx="62">
                  <c:v>1.05986570061559</c:v>
                </c:pt>
                <c:pt idx="63">
                  <c:v>1.05986570061559</c:v>
                </c:pt>
                <c:pt idx="64">
                  <c:v>1.05986570061559</c:v>
                </c:pt>
                <c:pt idx="65">
                  <c:v>1.05986570061559</c:v>
                </c:pt>
                <c:pt idx="66">
                  <c:v>1.05986570061559</c:v>
                </c:pt>
                <c:pt idx="67">
                  <c:v>1.05986570061559</c:v>
                </c:pt>
                <c:pt idx="68">
                  <c:v>1.05986570061559</c:v>
                </c:pt>
                <c:pt idx="69">
                  <c:v>1.05986570061559</c:v>
                </c:pt>
                <c:pt idx="70">
                  <c:v>1.05986570061559</c:v>
                </c:pt>
                <c:pt idx="71">
                  <c:v>1.05986570061559</c:v>
                </c:pt>
                <c:pt idx="72">
                  <c:v>1.05986570061559</c:v>
                </c:pt>
                <c:pt idx="73">
                  <c:v>1.05986570061559</c:v>
                </c:pt>
                <c:pt idx="74">
                  <c:v>1.05986570061559</c:v>
                </c:pt>
                <c:pt idx="75">
                  <c:v>1.05986570061559</c:v>
                </c:pt>
                <c:pt idx="76">
                  <c:v>1.05986570061559</c:v>
                </c:pt>
                <c:pt idx="77">
                  <c:v>1.05986570061559</c:v>
                </c:pt>
                <c:pt idx="78">
                  <c:v>1.05986570061559</c:v>
                </c:pt>
                <c:pt idx="79">
                  <c:v>1.05986570061559</c:v>
                </c:pt>
                <c:pt idx="80">
                  <c:v>1.05986570061559</c:v>
                </c:pt>
                <c:pt idx="81">
                  <c:v>1.05986570061559</c:v>
                </c:pt>
                <c:pt idx="82">
                  <c:v>1.05986570061559</c:v>
                </c:pt>
                <c:pt idx="83">
                  <c:v>1.05986570061559</c:v>
                </c:pt>
                <c:pt idx="84">
                  <c:v>1.05986570061559</c:v>
                </c:pt>
                <c:pt idx="85">
                  <c:v>1.05986570061559</c:v>
                </c:pt>
                <c:pt idx="86">
                  <c:v>1.05986570061559</c:v>
                </c:pt>
                <c:pt idx="87">
                  <c:v>1.05986570061559</c:v>
                </c:pt>
                <c:pt idx="88">
                  <c:v>1.05986570061559</c:v>
                </c:pt>
                <c:pt idx="89">
                  <c:v>1.05986570061559</c:v>
                </c:pt>
                <c:pt idx="90">
                  <c:v>1.05986570061559</c:v>
                </c:pt>
                <c:pt idx="91">
                  <c:v>1.05986570061559</c:v>
                </c:pt>
                <c:pt idx="92">
                  <c:v>1.05986570061559</c:v>
                </c:pt>
                <c:pt idx="93">
                  <c:v>1.05986570061559</c:v>
                </c:pt>
                <c:pt idx="94">
                  <c:v>1.05986570061559</c:v>
                </c:pt>
                <c:pt idx="95">
                  <c:v>1.05986570061559</c:v>
                </c:pt>
                <c:pt idx="96">
                  <c:v>1.05986570061559</c:v>
                </c:pt>
                <c:pt idx="97">
                  <c:v>1.05986570061559</c:v>
                </c:pt>
                <c:pt idx="98">
                  <c:v>1.05986570061559</c:v>
                </c:pt>
                <c:pt idx="99">
                  <c:v>1.05986570061559</c:v>
                </c:pt>
                <c:pt idx="100">
                  <c:v>1.05986570061559</c:v>
                </c:pt>
                <c:pt idx="101">
                  <c:v>1.05986570061559</c:v>
                </c:pt>
                <c:pt idx="102">
                  <c:v>1.05986570061559</c:v>
                </c:pt>
                <c:pt idx="103">
                  <c:v>1.05986570061559</c:v>
                </c:pt>
                <c:pt idx="104">
                  <c:v>1.05986570061559</c:v>
                </c:pt>
                <c:pt idx="105">
                  <c:v>1.05986570061559</c:v>
                </c:pt>
                <c:pt idx="106">
                  <c:v>1.05986570061559</c:v>
                </c:pt>
                <c:pt idx="107">
                  <c:v>1.05986570061559</c:v>
                </c:pt>
                <c:pt idx="108">
                  <c:v>1.05986570061559</c:v>
                </c:pt>
                <c:pt idx="109">
                  <c:v>1.05986570061559</c:v>
                </c:pt>
                <c:pt idx="110">
                  <c:v>1.05986570061559</c:v>
                </c:pt>
                <c:pt idx="111">
                  <c:v>1.05986570061559</c:v>
                </c:pt>
                <c:pt idx="112">
                  <c:v>1.05986570061559</c:v>
                </c:pt>
                <c:pt idx="113">
                  <c:v>1.05986570061559</c:v>
                </c:pt>
                <c:pt idx="114">
                  <c:v>1.05986570061559</c:v>
                </c:pt>
                <c:pt idx="115">
                  <c:v>1.05986570061559</c:v>
                </c:pt>
                <c:pt idx="116">
                  <c:v>1.05986570061559</c:v>
                </c:pt>
                <c:pt idx="117">
                  <c:v>1.05986570061559</c:v>
                </c:pt>
                <c:pt idx="118">
                  <c:v>1.05986570061559</c:v>
                </c:pt>
                <c:pt idx="119">
                  <c:v>1.05986570061559</c:v>
                </c:pt>
                <c:pt idx="120">
                  <c:v>1.05986570061559</c:v>
                </c:pt>
                <c:pt idx="121">
                  <c:v>1.05986570061559</c:v>
                </c:pt>
                <c:pt idx="122">
                  <c:v>1.05986570061559</c:v>
                </c:pt>
                <c:pt idx="123">
                  <c:v>1.05986570061559</c:v>
                </c:pt>
                <c:pt idx="124">
                  <c:v>1.05986570061559</c:v>
                </c:pt>
                <c:pt idx="125">
                  <c:v>1.05986570061559</c:v>
                </c:pt>
                <c:pt idx="126">
                  <c:v>1.05986570061559</c:v>
                </c:pt>
                <c:pt idx="127">
                  <c:v>1.05986570061559</c:v>
                </c:pt>
                <c:pt idx="128">
                  <c:v>1.05986570061559</c:v>
                </c:pt>
                <c:pt idx="129">
                  <c:v>1.05986570061559</c:v>
                </c:pt>
                <c:pt idx="130">
                  <c:v>1.05986570061559</c:v>
                </c:pt>
                <c:pt idx="131">
                  <c:v>1.05986570061559</c:v>
                </c:pt>
                <c:pt idx="132">
                  <c:v>1.05986570061559</c:v>
                </c:pt>
                <c:pt idx="133">
                  <c:v>1.05986570061559</c:v>
                </c:pt>
                <c:pt idx="134">
                  <c:v>1.05986570061559</c:v>
                </c:pt>
                <c:pt idx="135">
                  <c:v>1.05986570061559</c:v>
                </c:pt>
                <c:pt idx="136">
                  <c:v>1.05986570061559</c:v>
                </c:pt>
                <c:pt idx="137">
                  <c:v>1.05986570061559</c:v>
                </c:pt>
                <c:pt idx="138">
                  <c:v>1.05986570061559</c:v>
                </c:pt>
                <c:pt idx="139">
                  <c:v>1.05986570061559</c:v>
                </c:pt>
                <c:pt idx="140">
                  <c:v>1.05986570061559</c:v>
                </c:pt>
                <c:pt idx="141">
                  <c:v>1.05986570061559</c:v>
                </c:pt>
                <c:pt idx="142">
                  <c:v>1.05986570061559</c:v>
                </c:pt>
                <c:pt idx="143">
                  <c:v>1.05986570061559</c:v>
                </c:pt>
                <c:pt idx="144">
                  <c:v>1.05986570061559</c:v>
                </c:pt>
                <c:pt idx="145">
                  <c:v>1.05986570061559</c:v>
                </c:pt>
                <c:pt idx="146">
                  <c:v>1.05986570061559</c:v>
                </c:pt>
                <c:pt idx="147">
                  <c:v>1.05986570061559</c:v>
                </c:pt>
                <c:pt idx="148">
                  <c:v>1.05986570061559</c:v>
                </c:pt>
                <c:pt idx="149">
                  <c:v>1.05986570061559</c:v>
                </c:pt>
                <c:pt idx="150">
                  <c:v>1.05986570061559</c:v>
                </c:pt>
                <c:pt idx="151">
                  <c:v>1.05986570061559</c:v>
                </c:pt>
                <c:pt idx="152">
                  <c:v>1.05986570061559</c:v>
                </c:pt>
                <c:pt idx="153">
                  <c:v>1.05986570061559</c:v>
                </c:pt>
                <c:pt idx="154">
                  <c:v>1.05986570061559</c:v>
                </c:pt>
                <c:pt idx="155">
                  <c:v>1.05986570061559</c:v>
                </c:pt>
                <c:pt idx="156">
                  <c:v>1.05986570061559</c:v>
                </c:pt>
                <c:pt idx="157">
                  <c:v>1.05986570061559</c:v>
                </c:pt>
                <c:pt idx="158">
                  <c:v>1.05986570061559</c:v>
                </c:pt>
                <c:pt idx="159">
                  <c:v>1.05986570061559</c:v>
                </c:pt>
                <c:pt idx="160">
                  <c:v>1.05986570061559</c:v>
                </c:pt>
                <c:pt idx="161">
                  <c:v>1.05986570061559</c:v>
                </c:pt>
                <c:pt idx="162">
                  <c:v>1.05986570061559</c:v>
                </c:pt>
                <c:pt idx="163">
                  <c:v>1.05986570061559</c:v>
                </c:pt>
                <c:pt idx="164">
                  <c:v>1.05986570061559</c:v>
                </c:pt>
                <c:pt idx="165">
                  <c:v>1.05986570061559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5E-4EDC-BDBB-185E6250CAF4}"/>
            </c:ext>
          </c:extLst>
        </c:ser>
        <c:ser>
          <c:idx val="1"/>
          <c:order val="1"/>
          <c:tx>
            <c:strRef>
              <c:f>XLE_IYE_1!$Z$1</c:f>
              <c:strCache>
                <c:ptCount val="1"/>
                <c:pt idx="0">
                  <c:v> IYE*/XLE*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XLE_IYE_1!$Z$2:$Z$167</c:f>
              <c:numCache>
                <c:formatCode>_(* #,##0.0000_);_(* \(#,##0.0000\);_(* "-"??_);_(@_)</c:formatCode>
                <c:ptCount val="166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1.0563223665944601</c:v>
                </c:pt>
                <c:pt idx="51">
                  <c:v>1.05635647597683</c:v>
                </c:pt>
                <c:pt idx="52">
                  <c:v>1.05646349618483</c:v>
                </c:pt>
                <c:pt idx="53">
                  <c:v>1.05660289071924</c:v>
                </c:pt>
                <c:pt idx="54">
                  <c:v>1.0568093425795699</c:v>
                </c:pt>
                <c:pt idx="55">
                  <c:v>1.05697420477266</c:v>
                </c:pt>
                <c:pt idx="56">
                  <c:v>1.05721606586147</c:v>
                </c:pt>
                <c:pt idx="57">
                  <c:v>1.0575035716924299</c:v>
                </c:pt>
                <c:pt idx="58">
                  <c:v>1.0577240657373801</c:v>
                </c:pt>
                <c:pt idx="59">
                  <c:v>1.05780703196106</c:v>
                </c:pt>
                <c:pt idx="60">
                  <c:v>1.0579877427598099</c:v>
                </c:pt>
                <c:pt idx="61">
                  <c:v>1.0582125269066001</c:v>
                </c:pt>
                <c:pt idx="62">
                  <c:v>1.05848197841183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1.06031238302569</c:v>
                </c:pt>
                <c:pt idx="113">
                  <c:v>1.06009668700551</c:v>
                </c:pt>
                <c:pt idx="114">
                  <c:v>1.0599716513516</c:v>
                </c:pt>
                <c:pt idx="115">
                  <c:v>1.05991306058478</c:v>
                </c:pt>
                <c:pt idx="116">
                  <c:v>1.0604015614708</c:v>
                </c:pt>
                <c:pt idx="117">
                  <c:v>1.06076433966387</c:v>
                </c:pt>
                <c:pt idx="118">
                  <c:v>1.06107479552357</c:v>
                </c:pt>
                <c:pt idx="119">
                  <c:v>1.06152502590577</c:v>
                </c:pt>
                <c:pt idx="120">
                  <c:v>1.0618329982774899</c:v>
                </c:pt>
                <c:pt idx="121">
                  <c:v>1.0621825750124501</c:v>
                </c:pt>
                <c:pt idx="122">
                  <c:v>1.0626340232489699</c:v>
                </c:pt>
                <c:pt idx="123">
                  <c:v>1.0632282001939699</c:v>
                </c:pt>
                <c:pt idx="124">
                  <c:v>1.06373501608848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1.06254256403403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  <c:pt idx="155">
                  <c:v>1.0622503342365099</c:v>
                </c:pt>
                <c:pt idx="156">
                  <c:v>1.0615768218523001</c:v>
                </c:pt>
                <c:pt idx="157">
                  <c:v>1.0611303639009799</c:v>
                </c:pt>
                <c:pt idx="158">
                  <c:v>1.0605336138942401</c:v>
                </c:pt>
                <c:pt idx="159">
                  <c:v>1.05989203763648</c:v>
                </c:pt>
                <c:pt idx="160">
                  <c:v>1.0594238099316999</c:v>
                </c:pt>
                <c:pt idx="161">
                  <c:v>1.0591992505336201</c:v>
                </c:pt>
                <c:pt idx="162">
                  <c:v>1.0588204549898099</c:v>
                </c:pt>
                <c:pt idx="163">
                  <c:v>1.05858809877341</c:v>
                </c:pt>
                <c:pt idx="164">
                  <c:v>1.0582265156778701</c:v>
                </c:pt>
                <c:pt idx="165">
                  <c:v>1.05802146482214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5E-4EDC-BDBB-185E6250CAF4}"/>
            </c:ext>
          </c:extLst>
        </c:ser>
        <c:ser>
          <c:idx val="2"/>
          <c:order val="2"/>
          <c:tx>
            <c:strRef>
              <c:f>XLE_IYE_1!$AA$1</c:f>
              <c:strCache>
                <c:ptCount val="1"/>
                <c:pt idx="0">
                  <c:v> IYE*/XLE*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XLE_IYE_1!$AA$2:$AA$167</c:f>
              <c:numCache>
                <c:formatCode>_(* #,##0.0000_);_(* \(#,##0.0000\);_(* "-"??_);_(@_)</c:formatCode>
                <c:ptCount val="166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1.0565393997311101</c:v>
                </c:pt>
                <c:pt idx="51">
                  <c:v>1.0565383847646399</c:v>
                </c:pt>
                <c:pt idx="52">
                  <c:v>1.0566067060403199</c:v>
                </c:pt>
                <c:pt idx="53">
                  <c:v>1.05658985002412</c:v>
                </c:pt>
                <c:pt idx="54">
                  <c:v>1.05666944785839</c:v>
                </c:pt>
                <c:pt idx="55">
                  <c:v>1.05672592875321</c:v>
                </c:pt>
                <c:pt idx="56">
                  <c:v>1.0568927781652999</c:v>
                </c:pt>
                <c:pt idx="57">
                  <c:v>1.0569939511148201</c:v>
                </c:pt>
                <c:pt idx="58">
                  <c:v>1.05709557601557</c:v>
                </c:pt>
                <c:pt idx="59">
                  <c:v>1.05710337976536</c:v>
                </c:pt>
                <c:pt idx="60">
                  <c:v>1.05715505467713</c:v>
                </c:pt>
                <c:pt idx="61">
                  <c:v>1.05728450144172</c:v>
                </c:pt>
                <c:pt idx="62">
                  <c:v>1.0574727372983299</c:v>
                </c:pt>
                <c:pt idx="63">
                  <c:v>1.0576278779554</c:v>
                </c:pt>
                <c:pt idx="64">
                  <c:v>1.0577718123122699</c:v>
                </c:pt>
                <c:pt idx="65">
                  <c:v>1.0579353558960001</c:v>
                </c:pt>
                <c:pt idx="66">
                  <c:v>1.05814480967689</c:v>
                </c:pt>
                <c:pt idx="67">
                  <c:v>1.05843609543669</c:v>
                </c:pt>
                <c:pt idx="68">
                  <c:v>1.05869264221452</c:v>
                </c:pt>
                <c:pt idx="69">
                  <c:v>1.0588711880108701</c:v>
                </c:pt>
                <c:pt idx="70">
                  <c:v>1.05912755150144</c:v>
                </c:pt>
                <c:pt idx="71">
                  <c:v>1.0593472663905199</c:v>
                </c:pt>
                <c:pt idx="72">
                  <c:v>1.0594507169796701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1.06011531659374</c:v>
                </c:pt>
                <c:pt idx="113">
                  <c:v>1.0602160629376101</c:v>
                </c:pt>
                <c:pt idx="114">
                  <c:v>1.06048090476598</c:v>
                </c:pt>
                <c:pt idx="115">
                  <c:v>1.0606482933646399</c:v>
                </c:pt>
                <c:pt idx="116">
                  <c:v>1.0608558300231801</c:v>
                </c:pt>
                <c:pt idx="117">
                  <c:v>1.0610441210341699</c:v>
                </c:pt>
                <c:pt idx="118">
                  <c:v>1.06110190050639</c:v>
                </c:pt>
                <c:pt idx="119">
                  <c:v>1.0612359809779</c:v>
                </c:pt>
                <c:pt idx="120">
                  <c:v>1.06129326057067</c:v>
                </c:pt>
                <c:pt idx="121">
                  <c:v>1.06130344121215</c:v>
                </c:pt>
                <c:pt idx="122">
                  <c:v>1.06147320313733</c:v>
                </c:pt>
                <c:pt idx="123">
                  <c:v>1.0616624435997399</c:v>
                </c:pt>
                <c:pt idx="124">
                  <c:v>1.06185333372004</c:v>
                </c:pt>
                <c:pt idx="125">
                  <c:v>1.06207840189886</c:v>
                </c:pt>
                <c:pt idx="126">
                  <c:v>1.06238009285723</c:v>
                </c:pt>
                <c:pt idx="127">
                  <c:v>1.0626053924735299</c:v>
                </c:pt>
                <c:pt idx="128">
                  <c:v>1.0628354695354401</c:v>
                </c:pt>
                <c:pt idx="129">
                  <c:v>1.0631037831237899</c:v>
                </c:pt>
                <c:pt idx="130">
                  <c:v>1.06322951944229</c:v>
                </c:pt>
                <c:pt idx="131">
                  <c:v>1.0633575830644899</c:v>
                </c:pt>
                <c:pt idx="132">
                  <c:v>1.0634221322627699</c:v>
                </c:pt>
                <c:pt idx="133">
                  <c:v>1.0635022576256901</c:v>
                </c:pt>
                <c:pt idx="134">
                  <c:v>1.0635339033695199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  <c:pt idx="155">
                  <c:v>1.06227540803267</c:v>
                </c:pt>
                <c:pt idx="156">
                  <c:v>1.06198029732958</c:v>
                </c:pt>
                <c:pt idx="157">
                  <c:v>1.06173909769175</c:v>
                </c:pt>
                <c:pt idx="158">
                  <c:v>1.06142275562107</c:v>
                </c:pt>
                <c:pt idx="159">
                  <c:v>1.0612173008352499</c:v>
                </c:pt>
                <c:pt idx="160">
                  <c:v>1.0609958460584099</c:v>
                </c:pt>
                <c:pt idx="161">
                  <c:v>1.06088682914387</c:v>
                </c:pt>
                <c:pt idx="162">
                  <c:v>1.0607255477414299</c:v>
                </c:pt>
                <c:pt idx="163">
                  <c:v>1.06059444781556</c:v>
                </c:pt>
                <c:pt idx="164">
                  <c:v>1.06042797243677</c:v>
                </c:pt>
                <c:pt idx="165">
                  <c:v>1.06013589952932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5E-4EDC-BDBB-185E6250C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XLE_IYE_1!$U$1</c:f>
              <c:strCache>
                <c:ptCount val="1"/>
                <c:pt idx="0">
                  <c:v>log diff XLE x avg / IYE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XLE_IYE_1!$U$2:$U$167</c:f>
              <c:numCache>
                <c:formatCode>0.00%</c:formatCode>
                <c:ptCount val="166"/>
                <c:pt idx="1">
                  <c:v>-9.0832666630280903E-4</c:v>
                </c:pt>
                <c:pt idx="2">
                  <c:v>-1.64578073216714E-3</c:v>
                </c:pt>
                <c:pt idx="3">
                  <c:v>-1.0461766066583199E-3</c:v>
                </c:pt>
                <c:pt idx="4">
                  <c:v>7.01395964639037E-4</c:v>
                </c:pt>
                <c:pt idx="5">
                  <c:v>1.2491983680400301E-3</c:v>
                </c:pt>
                <c:pt idx="6">
                  <c:v>6.5328186126760402E-4</c:v>
                </c:pt>
                <c:pt idx="7">
                  <c:v>6.3082179844509904E-4</c:v>
                </c:pt>
                <c:pt idx="8">
                  <c:v>1.6623969459187999E-3</c:v>
                </c:pt>
                <c:pt idx="9">
                  <c:v>3.52200076642776E-4</c:v>
                </c:pt>
                <c:pt idx="10">
                  <c:v>-3.4560019749811102E-4</c:v>
                </c:pt>
                <c:pt idx="11">
                  <c:v>3.40452436449883E-4</c:v>
                </c:pt>
                <c:pt idx="12">
                  <c:v>4.9791151114759796E-4</c:v>
                </c:pt>
                <c:pt idx="13">
                  <c:v>1.0666565963050401E-3</c:v>
                </c:pt>
                <c:pt idx="14">
                  <c:v>1.1890641996784401E-3</c:v>
                </c:pt>
                <c:pt idx="15">
                  <c:v>1.2226661646589801E-3</c:v>
                </c:pt>
                <c:pt idx="16">
                  <c:v>1.1511272467517699E-3</c:v>
                </c:pt>
                <c:pt idx="17">
                  <c:v>1.00363487615523E-3</c:v>
                </c:pt>
                <c:pt idx="18">
                  <c:v>1.1332387280376199E-3</c:v>
                </c:pt>
                <c:pt idx="19">
                  <c:v>2.2728209389725499E-3</c:v>
                </c:pt>
                <c:pt idx="20">
                  <c:v>1.00363487615523E-3</c:v>
                </c:pt>
                <c:pt idx="21">
                  <c:v>2.3728392123836899E-3</c:v>
                </c:pt>
                <c:pt idx="22">
                  <c:v>2.6634648128048498E-3</c:v>
                </c:pt>
                <c:pt idx="23">
                  <c:v>2.3878829299004999E-3</c:v>
                </c:pt>
                <c:pt idx="24">
                  <c:v>3.26517004597443E-3</c:v>
                </c:pt>
                <c:pt idx="25">
                  <c:v>2.5928430361148499E-3</c:v>
                </c:pt>
                <c:pt idx="26">
                  <c:v>2.3560276898475698E-3</c:v>
                </c:pt>
                <c:pt idx="27">
                  <c:v>3.2159163119904401E-3</c:v>
                </c:pt>
                <c:pt idx="28">
                  <c:v>3.8088914789457299E-3</c:v>
                </c:pt>
                <c:pt idx="29">
                  <c:v>3.1217223465224899E-3</c:v>
                </c:pt>
                <c:pt idx="30">
                  <c:v>2.8790260772803299E-3</c:v>
                </c:pt>
                <c:pt idx="31">
                  <c:v>2.5033922148319601E-3</c:v>
                </c:pt>
                <c:pt idx="32">
                  <c:v>3.0656296905309799E-3</c:v>
                </c:pt>
                <c:pt idx="33">
                  <c:v>1.56763777999532E-3</c:v>
                </c:pt>
                <c:pt idx="34">
                  <c:v>2.5218066009023402E-3</c:v>
                </c:pt>
                <c:pt idx="35">
                  <c:v>1.7863477907139799E-3</c:v>
                </c:pt>
                <c:pt idx="36">
                  <c:v>3.62697892120047E-3</c:v>
                </c:pt>
                <c:pt idx="37">
                  <c:v>2.93964290227434E-3</c:v>
                </c:pt>
                <c:pt idx="38">
                  <c:v>3.2638345686274899E-3</c:v>
                </c:pt>
                <c:pt idx="39">
                  <c:v>2.48213656357563E-3</c:v>
                </c:pt>
                <c:pt idx="40">
                  <c:v>3.1581503766196302E-3</c:v>
                </c:pt>
                <c:pt idx="41">
                  <c:v>2.8453698003720702E-3</c:v>
                </c:pt>
                <c:pt idx="42">
                  <c:v>2.7852502483304399E-3</c:v>
                </c:pt>
                <c:pt idx="43">
                  <c:v>3.20523150229367E-3</c:v>
                </c:pt>
                <c:pt idx="44">
                  <c:v>2.9690122570522198E-3</c:v>
                </c:pt>
                <c:pt idx="45">
                  <c:v>2.2771532246147401E-3</c:v>
                </c:pt>
                <c:pt idx="46">
                  <c:v>2.7574905522550798E-3</c:v>
                </c:pt>
                <c:pt idx="47">
                  <c:v>3.74602954216946E-3</c:v>
                </c:pt>
                <c:pt idx="48">
                  <c:v>3.4271222125003701E-3</c:v>
                </c:pt>
                <c:pt idx="49">
                  <c:v>3.1196164769374999E-3</c:v>
                </c:pt>
                <c:pt idx="50">
                  <c:v>8.8694567469502199E-3</c:v>
                </c:pt>
                <c:pt idx="51">
                  <c:v>7.5012335131511001E-3</c:v>
                </c:pt>
                <c:pt idx="52">
                  <c:v>6.6697062865438399E-3</c:v>
                </c:pt>
                <c:pt idx="53">
                  <c:v>6.7878019668512002E-3</c:v>
                </c:pt>
                <c:pt idx="54">
                  <c:v>1.01673955624523E-3</c:v>
                </c:pt>
                <c:pt idx="55">
                  <c:v>7.18936446888833E-4</c:v>
                </c:pt>
                <c:pt idx="56">
                  <c:v>4.7124289005967101E-4</c:v>
                </c:pt>
                <c:pt idx="57">
                  <c:v>1.0262164619530001E-3</c:v>
                </c:pt>
                <c:pt idx="58">
                  <c:v>1.34124625294251E-3</c:v>
                </c:pt>
                <c:pt idx="59">
                  <c:v>2.3344858663109599E-3</c:v>
                </c:pt>
                <c:pt idx="60">
                  <c:v>2.1801811686529399E-3</c:v>
                </c:pt>
                <c:pt idx="61">
                  <c:v>3.9810111632962301E-4</c:v>
                </c:pt>
                <c:pt idx="62">
                  <c:v>-7.7127344076573104E-4</c:v>
                </c:pt>
                <c:pt idx="63">
                  <c:v>2.7186206688313498E-4</c:v>
                </c:pt>
                <c:pt idx="64">
                  <c:v>2.4788327423104001E-4</c:v>
                </c:pt>
                <c:pt idx="65">
                  <c:v>-8.1198786792868998E-4</c:v>
                </c:pt>
                <c:pt idx="66">
                  <c:v>-1.19902237007794E-3</c:v>
                </c:pt>
                <c:pt idx="67">
                  <c:v>-1.7574425957980601E-3</c:v>
                </c:pt>
                <c:pt idx="68">
                  <c:v>-1.4200474396479301E-3</c:v>
                </c:pt>
                <c:pt idx="69">
                  <c:v>-2.5525828689606801E-4</c:v>
                </c:pt>
                <c:pt idx="70">
                  <c:v>-9.5513501321340798E-4</c:v>
                </c:pt>
                <c:pt idx="71">
                  <c:v>-1.62636969372206E-3</c:v>
                </c:pt>
                <c:pt idx="72">
                  <c:v>-1.8123677878676E-4</c:v>
                </c:pt>
                <c:pt idx="73">
                  <c:v>-1.4998706492591401E-3</c:v>
                </c:pt>
                <c:pt idx="74">
                  <c:v>-8.4260358533385499E-4</c:v>
                </c:pt>
                <c:pt idx="75">
                  <c:v>-6.6691624922973097E-4</c:v>
                </c:pt>
                <c:pt idx="76">
                  <c:v>1.0364922027673299E-4</c:v>
                </c:pt>
                <c:pt idx="77">
                  <c:v>-8.3435318533779397E-4</c:v>
                </c:pt>
                <c:pt idx="78">
                  <c:v>-1.76490356067086E-3</c:v>
                </c:pt>
                <c:pt idx="79">
                  <c:v>-1.147851835542E-3</c:v>
                </c:pt>
                <c:pt idx="80">
                  <c:v>-5.0433602928861903E-4</c:v>
                </c:pt>
                <c:pt idx="81">
                  <c:v>-7.2754981432964806E-5</c:v>
                </c:pt>
                <c:pt idx="82">
                  <c:v>-1.79899484034335E-3</c:v>
                </c:pt>
                <c:pt idx="83">
                  <c:v>-1.43066134251041E-3</c:v>
                </c:pt>
                <c:pt idx="84">
                  <c:v>-1.5310422870779799E-3</c:v>
                </c:pt>
                <c:pt idx="85">
                  <c:v>-2.6877283357939498E-3</c:v>
                </c:pt>
                <c:pt idx="86">
                  <c:v>-1.9401786518154899E-3</c:v>
                </c:pt>
                <c:pt idx="87">
                  <c:v>-1.1859454654955101E-3</c:v>
                </c:pt>
                <c:pt idx="88">
                  <c:v>-8.6492184891002598E-4</c:v>
                </c:pt>
                <c:pt idx="89">
                  <c:v>-3.0446764195599601E-4</c:v>
                </c:pt>
                <c:pt idx="90">
                  <c:v>-5.7298777012524695E-4</c:v>
                </c:pt>
                <c:pt idx="91">
                  <c:v>-4.6751662787063701E-4</c:v>
                </c:pt>
                <c:pt idx="92">
                  <c:v>3.6340925920527397E-4</c:v>
                </c:pt>
                <c:pt idx="93">
                  <c:v>1.5720730418048801E-3</c:v>
                </c:pt>
                <c:pt idx="94">
                  <c:v>3.4420377062533902E-3</c:v>
                </c:pt>
                <c:pt idx="95">
                  <c:v>1.3319504560368399E-3</c:v>
                </c:pt>
                <c:pt idx="96">
                  <c:v>-4.08394696232068E-4</c:v>
                </c:pt>
                <c:pt idx="97">
                  <c:v>8.8662848578512402E-4</c:v>
                </c:pt>
                <c:pt idx="98">
                  <c:v>-1.4978888408700201E-3</c:v>
                </c:pt>
                <c:pt idx="99">
                  <c:v>-7.1424356770964995E-4</c:v>
                </c:pt>
                <c:pt idx="100">
                  <c:v>-1.9126864992713901E-3</c:v>
                </c:pt>
                <c:pt idx="101">
                  <c:v>-3.2618212314372702E-3</c:v>
                </c:pt>
                <c:pt idx="102">
                  <c:v>-2.3799077892818102E-3</c:v>
                </c:pt>
                <c:pt idx="103">
                  <c:v>-2.36357855934753E-3</c:v>
                </c:pt>
                <c:pt idx="104">
                  <c:v>-2.73902814471331E-3</c:v>
                </c:pt>
                <c:pt idx="105">
                  <c:v>-2.3785093922641999E-3</c:v>
                </c:pt>
                <c:pt idx="106">
                  <c:v>2.84533924495035E-4</c:v>
                </c:pt>
                <c:pt idx="107">
                  <c:v>7.5624800787481002E-4</c:v>
                </c:pt>
                <c:pt idx="108">
                  <c:v>3.4038331848945799E-4</c:v>
                </c:pt>
                <c:pt idx="109">
                  <c:v>1.0042829466551299E-3</c:v>
                </c:pt>
                <c:pt idx="110">
                  <c:v>-8.9178913417578098E-5</c:v>
                </c:pt>
                <c:pt idx="111">
                  <c:v>-1.60168181624124E-4</c:v>
                </c:pt>
                <c:pt idx="112">
                  <c:v>3.9326180683644796E-3</c:v>
                </c:pt>
                <c:pt idx="113">
                  <c:v>4.9508650525637403E-3</c:v>
                </c:pt>
                <c:pt idx="114">
                  <c:v>3.7802571428823201E-3</c:v>
                </c:pt>
                <c:pt idx="115">
                  <c:v>3.6032865978012502E-3</c:v>
                </c:pt>
                <c:pt idx="116">
                  <c:v>-4.3163970680511702E-3</c:v>
                </c:pt>
                <c:pt idx="117">
                  <c:v>-2.6641993435261601E-3</c:v>
                </c:pt>
                <c:pt idx="118">
                  <c:v>-2.5862497633141598E-3</c:v>
                </c:pt>
                <c:pt idx="119">
                  <c:v>-3.2400089611198E-3</c:v>
                </c:pt>
                <c:pt idx="120">
                  <c:v>-2.9911893266423399E-3</c:v>
                </c:pt>
                <c:pt idx="121">
                  <c:v>-3.4533364169922298E-3</c:v>
                </c:pt>
                <c:pt idx="122">
                  <c:v>-5.5714437612753402E-3</c:v>
                </c:pt>
                <c:pt idx="123">
                  <c:v>-5.9207197982440304E-3</c:v>
                </c:pt>
                <c:pt idx="124">
                  <c:v>-6.3257778531195102E-3</c:v>
                </c:pt>
                <c:pt idx="125">
                  <c:v>-6.6076167598266402E-3</c:v>
                </c:pt>
                <c:pt idx="126">
                  <c:v>-5.39533306226022E-3</c:v>
                </c:pt>
                <c:pt idx="127">
                  <c:v>-3.4904624245602799E-3</c:v>
                </c:pt>
                <c:pt idx="128">
                  <c:v>-3.9943838669136197E-3</c:v>
                </c:pt>
                <c:pt idx="129">
                  <c:v>-4.0524097636634804E-3</c:v>
                </c:pt>
                <c:pt idx="130">
                  <c:v>-2.45942515539814E-3</c:v>
                </c:pt>
                <c:pt idx="131">
                  <c:v>-2.5740621847552101E-3</c:v>
                </c:pt>
                <c:pt idx="132">
                  <c:v>-2.54158890097652E-3</c:v>
                </c:pt>
                <c:pt idx="133">
                  <c:v>-1.8414134602205399E-3</c:v>
                </c:pt>
                <c:pt idx="134">
                  <c:v>-2.1577434892933699E-3</c:v>
                </c:pt>
                <c:pt idx="135">
                  <c:v>-2.2212554523453102E-3</c:v>
                </c:pt>
                <c:pt idx="136">
                  <c:v>-3.1110374339475902E-3</c:v>
                </c:pt>
                <c:pt idx="137">
                  <c:v>-3.3647367874514002E-3</c:v>
                </c:pt>
                <c:pt idx="138">
                  <c:v>-4.9257897760587102E-3</c:v>
                </c:pt>
                <c:pt idx="139">
                  <c:v>-2.78820555837348E-3</c:v>
                </c:pt>
                <c:pt idx="140">
                  <c:v>-3.2530016949038E-3</c:v>
                </c:pt>
                <c:pt idx="141">
                  <c:v>-1.6146545309820501E-3</c:v>
                </c:pt>
                <c:pt idx="142">
                  <c:v>-1.5146918118023999E-3</c:v>
                </c:pt>
                <c:pt idx="143">
                  <c:v>-1.37123539712513E-3</c:v>
                </c:pt>
                <c:pt idx="144">
                  <c:v>-6.4257436968725805E-4</c:v>
                </c:pt>
                <c:pt idx="145">
                  <c:v>-2.81905613246561E-3</c:v>
                </c:pt>
                <c:pt idx="146">
                  <c:v>-3.8943462340440098E-3</c:v>
                </c:pt>
                <c:pt idx="147">
                  <c:v>-3.0266233258977701E-3</c:v>
                </c:pt>
                <c:pt idx="148">
                  <c:v>-4.5882713470275097E-3</c:v>
                </c:pt>
                <c:pt idx="149">
                  <c:v>-4.9567047277089896E-3</c:v>
                </c:pt>
                <c:pt idx="150">
                  <c:v>-3.4911369906204998E-3</c:v>
                </c:pt>
                <c:pt idx="151">
                  <c:v>-1.6761382392491201E-3</c:v>
                </c:pt>
                <c:pt idx="152">
                  <c:v>-2.0444438429760999E-3</c:v>
                </c:pt>
                <c:pt idx="153">
                  <c:v>-1.08993292924432E-3</c:v>
                </c:pt>
                <c:pt idx="154">
                  <c:v>-9.1258158345660203E-4</c:v>
                </c:pt>
                <c:pt idx="155">
                  <c:v>7.5495432783547996E-4</c:v>
                </c:pt>
                <c:pt idx="156">
                  <c:v>2.4573404723553199E-3</c:v>
                </c:pt>
                <c:pt idx="157">
                  <c:v>1.18293124127922E-3</c:v>
                </c:pt>
                <c:pt idx="158">
                  <c:v>1.0335393196174E-3</c:v>
                </c:pt>
                <c:pt idx="159">
                  <c:v>1.0864464943641499E-3</c:v>
                </c:pt>
                <c:pt idx="160">
                  <c:v>9.2207861761148605E-4</c:v>
                </c:pt>
                <c:pt idx="161">
                  <c:v>4.4182970359866102E-4</c:v>
                </c:pt>
                <c:pt idx="162">
                  <c:v>1.52951106416766E-3</c:v>
                </c:pt>
                <c:pt idx="163">
                  <c:v>1.1029390996950101E-3</c:v>
                </c:pt>
                <c:pt idx="164">
                  <c:v>2.5025655803378299E-3</c:v>
                </c:pt>
                <c:pt idx="165">
                  <c:v>2.69345781233992E-3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B4-4E56-BC48-E436BC154371}"/>
            </c:ext>
          </c:extLst>
        </c:ser>
        <c:ser>
          <c:idx val="1"/>
          <c:order val="1"/>
          <c:tx>
            <c:strRef>
              <c:f>XLE_IYE_1!$V$1</c:f>
              <c:strCache>
                <c:ptCount val="1"/>
                <c:pt idx="0">
                  <c:v>log diff XLE x 10 dma / IYE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XLE_IYE_1!$V$2:$V$167</c:f>
              <c:numCache>
                <c:formatCode>0.00%</c:formatCode>
                <c:ptCount val="166"/>
                <c:pt idx="10">
                  <c:v>-1.3982188789256E-4</c:v>
                </c:pt>
                <c:pt idx="11">
                  <c:v>2.1062852829257001E-4</c:v>
                </c:pt>
                <c:pt idx="12">
                  <c:v>2.43150199942488E-4</c:v>
                </c:pt>
                <c:pt idx="13">
                  <c:v>5.9732528066115502E-4</c:v>
                </c:pt>
                <c:pt idx="14">
                  <c:v>5.0833015983181898E-4</c:v>
                </c:pt>
                <c:pt idx="15">
                  <c:v>4.9317700924003899E-4</c:v>
                </c:pt>
                <c:pt idx="16">
                  <c:v>4.2428996478992401E-4</c:v>
                </c:pt>
                <c:pt idx="17">
                  <c:v>2.2702054608750199E-4</c:v>
                </c:pt>
                <c:pt idx="18">
                  <c:v>3.1934390918656499E-4</c:v>
                </c:pt>
                <c:pt idx="19">
                  <c:v>1.51180965442101E-3</c:v>
                </c:pt>
                <c:pt idx="20">
                  <c:v>5.06489428024264E-5</c:v>
                </c:pt>
                <c:pt idx="21">
                  <c:v>1.28483643275847E-3</c:v>
                </c:pt>
                <c:pt idx="22">
                  <c:v>1.37225726725055E-3</c:v>
                </c:pt>
                <c:pt idx="23">
                  <c:v>8.80159253449712E-4</c:v>
                </c:pt>
                <c:pt idx="24">
                  <c:v>1.62534400524625E-3</c:v>
                </c:pt>
                <c:pt idx="25">
                  <c:v>7.4550673677768904E-4</c:v>
                </c:pt>
                <c:pt idx="26">
                  <c:v>3.7167258412520998E-4</c:v>
                </c:pt>
                <c:pt idx="27">
                  <c:v>1.11103608219066E-3</c:v>
                </c:pt>
                <c:pt idx="28">
                  <c:v>1.48275966911257E-3</c:v>
                </c:pt>
                <c:pt idx="29">
                  <c:v>5.2802816648407495E-4</c:v>
                </c:pt>
                <c:pt idx="30">
                  <c:v>2.0044694356285099E-4</c:v>
                </c:pt>
                <c:pt idx="31">
                  <c:v>-3.6288199406410502E-4</c:v>
                </c:pt>
                <c:pt idx="32">
                  <c:v>1.86294505152093E-4</c:v>
                </c:pt>
                <c:pt idx="33">
                  <c:v>-1.35191529687878E-3</c:v>
                </c:pt>
                <c:pt idx="34">
                  <c:v>-3.1564804236886501E-4</c:v>
                </c:pt>
                <c:pt idx="35">
                  <c:v>-9.7677743406065294E-4</c:v>
                </c:pt>
                <c:pt idx="36">
                  <c:v>9.4454623559598802E-4</c:v>
                </c:pt>
                <c:pt idx="37">
                  <c:v>1.3014628800263599E-4</c:v>
                </c:pt>
                <c:pt idx="38">
                  <c:v>4.81957503040465E-4</c:v>
                </c:pt>
                <c:pt idx="39">
                  <c:v>-2.4527740171561701E-4</c:v>
                </c:pt>
                <c:pt idx="40">
                  <c:v>4.9468818002777997E-4</c:v>
                </c:pt>
                <c:pt idx="41">
                  <c:v>1.5400469514392399E-4</c:v>
                </c:pt>
                <c:pt idx="42">
                  <c:v>5.9686218782064199E-5</c:v>
                </c:pt>
                <c:pt idx="43">
                  <c:v>5.0769942060782799E-4</c:v>
                </c:pt>
                <c:pt idx="44">
                  <c:v>1.0765641340620499E-4</c:v>
                </c:pt>
                <c:pt idx="45">
                  <c:v>-6.2892937073513104E-4</c:v>
                </c:pt>
                <c:pt idx="46">
                  <c:v>-1.9771672503477E-4</c:v>
                </c:pt>
                <c:pt idx="47">
                  <c:v>8.7774671965303096E-4</c:v>
                </c:pt>
                <c:pt idx="48">
                  <c:v>4.7823573369659602E-4</c:v>
                </c:pt>
                <c:pt idx="49">
                  <c:v>1.5440757509027801E-4</c:v>
                </c:pt>
                <c:pt idx="50">
                  <c:v>5.8404873433095901E-3</c:v>
                </c:pt>
                <c:pt idx="51">
                  <c:v>3.9026727007557098E-3</c:v>
                </c:pt>
                <c:pt idx="52">
                  <c:v>2.6061832057012102E-3</c:v>
                </c:pt>
                <c:pt idx="53">
                  <c:v>2.3360154985266101E-3</c:v>
                </c:pt>
                <c:pt idx="54">
                  <c:v>-3.7931731692610001E-3</c:v>
                </c:pt>
                <c:pt idx="55">
                  <c:v>-3.8952174016975301E-3</c:v>
                </c:pt>
                <c:pt idx="56">
                  <c:v>-3.9866151651185297E-3</c:v>
                </c:pt>
                <c:pt idx="57">
                  <c:v>-3.2023920390749799E-3</c:v>
                </c:pt>
                <c:pt idx="58">
                  <c:v>-2.6149163892672401E-3</c:v>
                </c:pt>
                <c:pt idx="59">
                  <c:v>-1.41278280887894E-3</c:v>
                </c:pt>
                <c:pt idx="60">
                  <c:v>-1.4884973904665999E-3</c:v>
                </c:pt>
                <c:pt idx="61">
                  <c:v>-2.6031119166472498E-3</c:v>
                </c:pt>
                <c:pt idx="62">
                  <c:v>-3.06309679881644E-3</c:v>
                </c:pt>
                <c:pt idx="63">
                  <c:v>-1.27662694845909E-3</c:v>
                </c:pt>
                <c:pt idx="64">
                  <c:v>-6.5051171065638302E-4</c:v>
                </c:pt>
                <c:pt idx="65">
                  <c:v>-1.6334797191176499E-3</c:v>
                </c:pt>
                <c:pt idx="66">
                  <c:v>-1.86730056802345E-3</c:v>
                </c:pt>
                <c:pt idx="67">
                  <c:v>-2.2585357360665899E-3</c:v>
                </c:pt>
                <c:pt idx="68">
                  <c:v>-1.64257202197271E-3</c:v>
                </c:pt>
                <c:pt idx="69">
                  <c:v>-2.0161921419967999E-4</c:v>
                </c:pt>
                <c:pt idx="70">
                  <c:v>-6.4283787760013595E-4</c:v>
                </c:pt>
                <c:pt idx="71">
                  <c:v>-1.0008796879671E-3</c:v>
                </c:pt>
                <c:pt idx="72">
                  <c:v>6.46677554439445E-4</c:v>
                </c:pt>
                <c:pt idx="73">
                  <c:v>-7.30940977111747E-4</c:v>
                </c:pt>
                <c:pt idx="74">
                  <c:v>1.0345624661343199E-4</c:v>
                </c:pt>
                <c:pt idx="75">
                  <c:v>3.8811561949776599E-4</c:v>
                </c:pt>
                <c:pt idx="76">
                  <c:v>1.1441783994035901E-3</c:v>
                </c:pt>
                <c:pt idx="77">
                  <c:v>7.5964533791006195E-5</c:v>
                </c:pt>
                <c:pt idx="78">
                  <c:v>-9.4693464924665001E-4</c:v>
                </c:pt>
                <c:pt idx="79">
                  <c:v>-2.9537118770157298E-4</c:v>
                </c:pt>
                <c:pt idx="80">
                  <c:v>4.3738652369766998E-4</c:v>
                </c:pt>
                <c:pt idx="81">
                  <c:v>8.2389621242206904E-4</c:v>
                </c:pt>
                <c:pt idx="82">
                  <c:v>-1.05770988642919E-3</c:v>
                </c:pt>
                <c:pt idx="83">
                  <c:v>-5.2757339578424103E-4</c:v>
                </c:pt>
                <c:pt idx="84">
                  <c:v>-6.34879186893706E-4</c:v>
                </c:pt>
                <c:pt idx="85">
                  <c:v>-1.7227037220275401E-3</c:v>
                </c:pt>
                <c:pt idx="86">
                  <c:v>-7.7294924649753505E-4</c:v>
                </c:pt>
                <c:pt idx="87">
                  <c:v>1.8559501190401799E-4</c:v>
                </c:pt>
                <c:pt idx="88">
                  <c:v>5.4176453512329997E-4</c:v>
                </c:pt>
                <c:pt idx="89">
                  <c:v>1.01222477761323E-3</c:v>
                </c:pt>
                <c:pt idx="90">
                  <c:v>6.5941246499090099E-4</c:v>
                </c:pt>
                <c:pt idx="91">
                  <c:v>7.7174399681530996E-4</c:v>
                </c:pt>
                <c:pt idx="92">
                  <c:v>1.64210703233781E-3</c:v>
                </c:pt>
                <c:pt idx="93">
                  <c:v>2.6346282620703099E-3</c:v>
                </c:pt>
                <c:pt idx="94">
                  <c:v>4.2046144818253996E-3</c:v>
                </c:pt>
                <c:pt idx="95">
                  <c:v>1.59794912482034E-3</c:v>
                </c:pt>
                <c:pt idx="96">
                  <c:v>-5.4461065558601099E-4</c:v>
                </c:pt>
                <c:pt idx="97">
                  <c:v>5.9702147978872599E-4</c:v>
                </c:pt>
                <c:pt idx="98">
                  <c:v>-1.9948658397977099E-3</c:v>
                </c:pt>
                <c:pt idx="99">
                  <c:v>-1.1478195510052499E-3</c:v>
                </c:pt>
                <c:pt idx="100">
                  <c:v>-2.30524707355895E-3</c:v>
                </c:pt>
                <c:pt idx="101">
                  <c:v>-3.5202016520607098E-3</c:v>
                </c:pt>
                <c:pt idx="102">
                  <c:v>-2.3583029831205399E-3</c:v>
                </c:pt>
                <c:pt idx="103">
                  <c:v>-2.0674088571935702E-3</c:v>
                </c:pt>
                <c:pt idx="104">
                  <c:v>-2.0493312760161099E-3</c:v>
                </c:pt>
                <c:pt idx="105">
                  <c:v>-1.07153874686128E-3</c:v>
                </c:pt>
                <c:pt idx="106">
                  <c:v>1.9621913830124302E-3</c:v>
                </c:pt>
                <c:pt idx="107">
                  <c:v>2.3647220777747399E-3</c:v>
                </c:pt>
                <c:pt idx="108">
                  <c:v>1.96186370875429E-3</c:v>
                </c:pt>
                <c:pt idx="109">
                  <c:v>2.44211081385152E-3</c:v>
                </c:pt>
                <c:pt idx="110">
                  <c:v>1.17705336092924E-3</c:v>
                </c:pt>
                <c:pt idx="111">
                  <c:v>9.2374506093556997E-4</c:v>
                </c:pt>
                <c:pt idx="112">
                  <c:v>4.7061231499985002E-3</c:v>
                </c:pt>
                <c:pt idx="113">
                  <c:v>5.0938953900357201E-3</c:v>
                </c:pt>
                <c:pt idx="114">
                  <c:v>3.1926247142116202E-3</c:v>
                </c:pt>
                <c:pt idx="115">
                  <c:v>2.3634681663782298E-3</c:v>
                </c:pt>
                <c:pt idx="116">
                  <c:v>-6.1549506304748001E-3</c:v>
                </c:pt>
                <c:pt idx="117">
                  <c:v>-4.0409891843725997E-3</c:v>
                </c:pt>
                <c:pt idx="118">
                  <c:v>-3.62025530327735E-3</c:v>
                </c:pt>
                <c:pt idx="119">
                  <c:v>-3.9807621527893798E-3</c:v>
                </c:pt>
                <c:pt idx="120">
                  <c:v>-3.3068138038823201E-3</c:v>
                </c:pt>
                <c:pt idx="121">
                  <c:v>-3.4782629500032798E-3</c:v>
                </c:pt>
                <c:pt idx="122">
                  <c:v>-5.2665039781142403E-3</c:v>
                </c:pt>
                <c:pt idx="123">
                  <c:v>-4.6653329870225196E-3</c:v>
                </c:pt>
                <c:pt idx="124">
                  <c:v>-3.98465412169799E-3</c:v>
                </c:pt>
                <c:pt idx="125">
                  <c:v>-3.25747357937625E-3</c:v>
                </c:pt>
                <c:pt idx="126">
                  <c:v>-1.0264993698761E-3</c:v>
                </c:pt>
                <c:pt idx="127">
                  <c:v>9.8631160707853298E-4</c:v>
                </c:pt>
                <c:pt idx="128">
                  <c:v>5.6489752140094799E-4</c:v>
                </c:pt>
                <c:pt idx="129">
                  <c:v>6.4749658457398103E-4</c:v>
                </c:pt>
                <c:pt idx="130">
                  <c:v>2.3216324251310598E-3</c:v>
                </c:pt>
                <c:pt idx="131">
                  <c:v>2.1539267750596502E-3</c:v>
                </c:pt>
                <c:pt idx="132">
                  <c:v>2.0986193841224998E-3</c:v>
                </c:pt>
                <c:pt idx="133">
                  <c:v>2.4959401657681799E-3</c:v>
                </c:pt>
                <c:pt idx="134">
                  <c:v>1.7717821606379801E-3</c:v>
                </c:pt>
                <c:pt idx="135">
                  <c:v>1.29124935734999E-3</c:v>
                </c:pt>
                <c:pt idx="136">
                  <c:v>-3.7661307968112997E-5</c:v>
                </c:pt>
                <c:pt idx="137">
                  <c:v>-5.2008609201919501E-4</c:v>
                </c:pt>
                <c:pt idx="138">
                  <c:v>-2.0937190547721E-3</c:v>
                </c:pt>
                <c:pt idx="139">
                  <c:v>1.37153163619388E-4</c:v>
                </c:pt>
                <c:pt idx="140">
                  <c:v>-4.5413398865484702E-4</c:v>
                </c:pt>
                <c:pt idx="141">
                  <c:v>1.2635722332388201E-3</c:v>
                </c:pt>
                <c:pt idx="142">
                  <c:v>1.26766476343204E-3</c:v>
                </c:pt>
                <c:pt idx="143">
                  <c:v>1.30850362072594E-3</c:v>
                </c:pt>
                <c:pt idx="144">
                  <c:v>1.99019618094224E-3</c:v>
                </c:pt>
                <c:pt idx="145">
                  <c:v>-3.3762731340305802E-4</c:v>
                </c:pt>
                <c:pt idx="146">
                  <c:v>-1.35313681782876E-3</c:v>
                </c:pt>
                <c:pt idx="147">
                  <c:v>-4.0701075129438502E-4</c:v>
                </c:pt>
                <c:pt idx="148">
                  <c:v>-2.0024901742443399E-3</c:v>
                </c:pt>
                <c:pt idx="149">
                  <c:v>-2.4047493333591301E-3</c:v>
                </c:pt>
                <c:pt idx="150">
                  <c:v>-7.2206866810378895E-4</c:v>
                </c:pt>
                <c:pt idx="151">
                  <c:v>1.11675769292872E-3</c:v>
                </c:pt>
                <c:pt idx="152">
                  <c:v>7.5459338996541599E-4</c:v>
                </c:pt>
                <c:pt idx="153">
                  <c:v>1.7620241280754199E-3</c:v>
                </c:pt>
                <c:pt idx="154">
                  <c:v>1.91129040526511E-3</c:v>
                </c:pt>
                <c:pt idx="155">
                  <c:v>3.6057714800690399E-3</c:v>
                </c:pt>
                <c:pt idx="156">
                  <c:v>4.9513421758158298E-3</c:v>
                </c:pt>
                <c:pt idx="157">
                  <c:v>3.0426888586797302E-3</c:v>
                </c:pt>
                <c:pt idx="158">
                  <c:v>2.47264734304417E-3</c:v>
                </c:pt>
                <c:pt idx="159">
                  <c:v>1.9630243257112E-3</c:v>
                </c:pt>
                <c:pt idx="160">
                  <c:v>1.1935173092112799E-3</c:v>
                </c:pt>
                <c:pt idx="161">
                  <c:v>2.7140154185955402E-4</c:v>
                </c:pt>
                <c:pt idx="162">
                  <c:v>1.1470967279065499E-3</c:v>
                </c:pt>
                <c:pt idx="163">
                  <c:v>3.62836355845681E-4</c:v>
                </c:pt>
                <c:pt idx="164">
                  <c:v>1.54299057931319E-3</c:v>
                </c:pt>
                <c:pt idx="165">
                  <c:v>1.3922533681066699E-3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B4-4E56-BC48-E436BC154371}"/>
            </c:ext>
          </c:extLst>
        </c:ser>
        <c:ser>
          <c:idx val="2"/>
          <c:order val="2"/>
          <c:tx>
            <c:strRef>
              <c:f>XLE_IYE_1!$W$1</c:f>
              <c:strCache>
                <c:ptCount val="1"/>
                <c:pt idx="0">
                  <c:v>log diff XLE x 20 dma / IYE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XLE_IYE_1!$W$2:$W$167</c:f>
              <c:numCache>
                <c:formatCode>0.00%</c:formatCode>
                <c:ptCount val="166"/>
                <c:pt idx="20">
                  <c:v>6.3019890609357495E-4</c:v>
                </c:pt>
                <c:pt idx="21">
                  <c:v>1.7640406318320801E-3</c:v>
                </c:pt>
                <c:pt idx="22">
                  <c:v>1.89061466201886E-3</c:v>
                </c:pt>
                <c:pt idx="23">
                  <c:v>1.3994902161839999E-3</c:v>
                </c:pt>
                <c:pt idx="24">
                  <c:v>2.10500498786569E-3</c:v>
                </c:pt>
                <c:pt idx="25">
                  <c:v>1.3045865065083599E-3</c:v>
                </c:pt>
                <c:pt idx="26">
                  <c:v>1.0006291648773E-3</c:v>
                </c:pt>
                <c:pt idx="27">
                  <c:v>1.77538956832815E-3</c:v>
                </c:pt>
                <c:pt idx="28">
                  <c:v>2.2391640221659198E-3</c:v>
                </c:pt>
                <c:pt idx="29">
                  <c:v>1.4447894549931401E-3</c:v>
                </c:pt>
                <c:pt idx="30">
                  <c:v>1.0636157526855801E-3</c:v>
                </c:pt>
                <c:pt idx="31">
                  <c:v>5.2664900167891798E-4</c:v>
                </c:pt>
                <c:pt idx="32">
                  <c:v>9.8067359370630704E-4</c:v>
                </c:pt>
                <c:pt idx="33">
                  <c:v>-6.4575143890585E-4</c:v>
                </c:pt>
                <c:pt idx="34">
                  <c:v>2.8334554817569402E-4</c:v>
                </c:pt>
                <c:pt idx="35">
                  <c:v>-5.1877813767597296E-4</c:v>
                </c:pt>
                <c:pt idx="36">
                  <c:v>1.29364593957422E-3</c:v>
                </c:pt>
                <c:pt idx="37">
                  <c:v>4.8251654076850501E-4</c:v>
                </c:pt>
                <c:pt idx="38">
                  <c:v>7.09856093884698E-4</c:v>
                </c:pt>
                <c:pt idx="39">
                  <c:v>-1.78415273966547E-4</c:v>
                </c:pt>
                <c:pt idx="40">
                  <c:v>4.8712974003022898E-4</c:v>
                </c:pt>
                <c:pt idx="41">
                  <c:v>6.65539674590836E-5</c:v>
                </c:pt>
                <c:pt idx="42">
                  <c:v>-1.7196403437130199E-5</c:v>
                </c:pt>
                <c:pt idx="43">
                  <c:v>3.9669508467890698E-4</c:v>
                </c:pt>
                <c:pt idx="44">
                  <c:v>1.19607085001913E-4</c:v>
                </c:pt>
                <c:pt idx="45">
                  <c:v>-5.5744813084627597E-4</c:v>
                </c:pt>
                <c:pt idx="46">
                  <c:v>-6.1320128444810901E-5</c:v>
                </c:pt>
                <c:pt idx="47">
                  <c:v>9.0714025575243298E-4</c:v>
                </c:pt>
                <c:pt idx="48">
                  <c:v>5.6174392682300004E-4</c:v>
                </c:pt>
                <c:pt idx="49">
                  <c:v>2.7331211167223499E-4</c:v>
                </c:pt>
                <c:pt idx="50">
                  <c:v>6.0232576462737504E-3</c:v>
                </c:pt>
                <c:pt idx="51">
                  <c:v>4.3563734298419296E-3</c:v>
                </c:pt>
                <c:pt idx="52">
                  <c:v>3.2753864981343202E-3</c:v>
                </c:pt>
                <c:pt idx="53">
                  <c:v>3.2135273678533401E-3</c:v>
                </c:pt>
                <c:pt idx="54">
                  <c:v>-2.8184201191658901E-3</c:v>
                </c:pt>
                <c:pt idx="55">
                  <c:v>-3.04081708669794E-3</c:v>
                </c:pt>
                <c:pt idx="56">
                  <c:v>-3.2350075312809401E-3</c:v>
                </c:pt>
                <c:pt idx="57">
                  <c:v>-2.5219978890931301E-3</c:v>
                </c:pt>
                <c:pt idx="58">
                  <c:v>-2.1111514819106502E-3</c:v>
                </c:pt>
                <c:pt idx="59">
                  <c:v>-1.0216764700232499E-3</c:v>
                </c:pt>
                <c:pt idx="60">
                  <c:v>-1.1685916592526599E-3</c:v>
                </c:pt>
                <c:pt idx="61">
                  <c:v>-2.9017412033109698E-3</c:v>
                </c:pt>
                <c:pt idx="62">
                  <c:v>-3.9485542952753996E-3</c:v>
                </c:pt>
                <c:pt idx="63">
                  <c:v>-2.7272220333076302E-3</c:v>
                </c:pt>
                <c:pt idx="64">
                  <c:v>-2.6043580858057598E-3</c:v>
                </c:pt>
                <c:pt idx="65">
                  <c:v>-3.5280126832654499E-3</c:v>
                </c:pt>
                <c:pt idx="66">
                  <c:v>-3.7602953832770402E-3</c:v>
                </c:pt>
                <c:pt idx="67">
                  <c:v>-4.1205566211061501E-3</c:v>
                </c:pt>
                <c:pt idx="68">
                  <c:v>-3.5076485462819402E-3</c:v>
                </c:pt>
                <c:pt idx="69">
                  <c:v>-2.10026722676633E-3</c:v>
                </c:pt>
                <c:pt idx="70">
                  <c:v>-2.6313447053395301E-3</c:v>
                </c:pt>
                <c:pt idx="71">
                  <c:v>-2.8125870863674801E-3</c:v>
                </c:pt>
                <c:pt idx="72">
                  <c:v>-9.1197469628475595E-4</c:v>
                </c:pt>
                <c:pt idx="73">
                  <c:v>-1.88897901733528E-3</c:v>
                </c:pt>
                <c:pt idx="74">
                  <c:v>-8.1834591016763001E-4</c:v>
                </c:pt>
                <c:pt idx="75">
                  <c:v>-5.4970607286603695E-4</c:v>
                </c:pt>
                <c:pt idx="76">
                  <c:v>2.9013971365462798E-4</c:v>
                </c:pt>
                <c:pt idx="77">
                  <c:v>-6.2949188585170301E-4</c:v>
                </c:pt>
                <c:pt idx="78">
                  <c:v>-1.4670460677886799E-3</c:v>
                </c:pt>
                <c:pt idx="79">
                  <c:v>-6.9471220679288804E-4</c:v>
                </c:pt>
                <c:pt idx="80">
                  <c:v>1.2272333705471699E-4</c:v>
                </c:pt>
                <c:pt idx="81">
                  <c:v>6.8832480942086403E-4</c:v>
                </c:pt>
                <c:pt idx="82">
                  <c:v>-1.0143942586921201E-3</c:v>
                </c:pt>
                <c:pt idx="83">
                  <c:v>-5.9465028326831197E-4</c:v>
                </c:pt>
                <c:pt idx="84">
                  <c:v>-6.0993050980176499E-4</c:v>
                </c:pt>
                <c:pt idx="85">
                  <c:v>-1.67769908188354E-3</c:v>
                </c:pt>
                <c:pt idx="86">
                  <c:v>-8.3629735297468296E-4</c:v>
                </c:pt>
                <c:pt idx="87">
                  <c:v>-4.4989776427545798E-5</c:v>
                </c:pt>
                <c:pt idx="88">
                  <c:v>2.47449122351121E-4</c:v>
                </c:pt>
                <c:pt idx="89">
                  <c:v>7.8014582831977301E-4</c:v>
                </c:pt>
                <c:pt idx="90">
                  <c:v>5.1408418561530399E-4</c:v>
                </c:pt>
                <c:pt idx="91">
                  <c:v>6.0045395405259195E-4</c:v>
                </c:pt>
                <c:pt idx="92">
                  <c:v>1.3734367242953099E-3</c:v>
                </c:pt>
                <c:pt idx="93">
                  <c:v>2.5548978040271001E-3</c:v>
                </c:pt>
                <c:pt idx="94">
                  <c:v>4.2714098747947604E-3</c:v>
                </c:pt>
                <c:pt idx="95">
                  <c:v>1.9475231769695699E-3</c:v>
                </c:pt>
                <c:pt idx="96">
                  <c:v>1.0732439796201E-4</c:v>
                </c:pt>
                <c:pt idx="97">
                  <c:v>1.4279401478174E-3</c:v>
                </c:pt>
                <c:pt idx="98">
                  <c:v>-1.04258115660121E-3</c:v>
                </c:pt>
                <c:pt idx="99">
                  <c:v>-2.7230241968632902E-4</c:v>
                </c:pt>
                <c:pt idx="100">
                  <c:v>-1.4924366066892199E-3</c:v>
                </c:pt>
                <c:pt idx="101">
                  <c:v>-2.7711007633445298E-3</c:v>
                </c:pt>
                <c:pt idx="102">
                  <c:v>-1.7295589643070599E-3</c:v>
                </c:pt>
                <c:pt idx="103">
                  <c:v>-1.6841426797941899E-3</c:v>
                </c:pt>
                <c:pt idx="104">
                  <c:v>-2.0128906586436902E-3</c:v>
                </c:pt>
                <c:pt idx="105">
                  <c:v>-1.59188928234524E-3</c:v>
                </c:pt>
                <c:pt idx="106">
                  <c:v>1.0556659411173001E-3</c:v>
                </c:pt>
                <c:pt idx="107">
                  <c:v>1.4161318787304499E-3</c:v>
                </c:pt>
                <c:pt idx="108">
                  <c:v>9.031959967669E-4</c:v>
                </c:pt>
                <c:pt idx="109">
                  <c:v>1.5068466575879E-3</c:v>
                </c:pt>
                <c:pt idx="110">
                  <c:v>3.48000885786723E-4</c:v>
                </c:pt>
                <c:pt idx="111">
                  <c:v>2.5282344836199402E-4</c:v>
                </c:pt>
                <c:pt idx="112">
                  <c:v>4.33024368151362E-3</c:v>
                </c:pt>
                <c:pt idx="113">
                  <c:v>5.1704680038349203E-3</c:v>
                </c:pt>
                <c:pt idx="114">
                  <c:v>3.8314933091484699E-3</c:v>
                </c:pt>
                <c:pt idx="115">
                  <c:v>3.63767347139739E-3</c:v>
                </c:pt>
                <c:pt idx="116">
                  <c:v>-4.3952996533074499E-3</c:v>
                </c:pt>
                <c:pt idx="117">
                  <c:v>-2.5472432543358799E-3</c:v>
                </c:pt>
                <c:pt idx="118">
                  <c:v>-2.2916308877315599E-3</c:v>
                </c:pt>
                <c:pt idx="119">
                  <c:v>-2.8908783465450101E-3</c:v>
                </c:pt>
                <c:pt idx="120">
                  <c:v>-2.5155726442736598E-3</c:v>
                </c:pt>
                <c:pt idx="121">
                  <c:v>-2.92368937151976E-3</c:v>
                </c:pt>
                <c:pt idx="122">
                  <c:v>-5.0321938846981202E-3</c:v>
                </c:pt>
                <c:pt idx="123">
                  <c:v>-5.2213565567898702E-3</c:v>
                </c:pt>
                <c:pt idx="124">
                  <c:v>-5.4479600005466399E-3</c:v>
                </c:pt>
                <c:pt idx="125">
                  <c:v>-5.5498209191748001E-3</c:v>
                </c:pt>
                <c:pt idx="126">
                  <c:v>-4.12537654794627E-3</c:v>
                </c:pt>
                <c:pt idx="127">
                  <c:v>-1.9361873090276501E-3</c:v>
                </c:pt>
                <c:pt idx="128">
                  <c:v>-2.2278353405028898E-3</c:v>
                </c:pt>
                <c:pt idx="129">
                  <c:v>-2.0691330929147999E-3</c:v>
                </c:pt>
                <c:pt idx="130">
                  <c:v>-2.2346158626815701E-4</c:v>
                </c:pt>
                <c:pt idx="131">
                  <c:v>-2.1970719830097699E-4</c:v>
                </c:pt>
                <c:pt idx="132">
                  <c:v>-6.6665549563225195E-5</c:v>
                </c:pt>
                <c:pt idx="133">
                  <c:v>9.5614407284557996E-4</c:v>
                </c:pt>
                <c:pt idx="134">
                  <c:v>9.7789657893176908E-4</c:v>
                </c:pt>
                <c:pt idx="135">
                  <c:v>1.2100718378898099E-3</c:v>
                </c:pt>
                <c:pt idx="136">
                  <c:v>6.10277251507905E-4</c:v>
                </c:pt>
                <c:pt idx="137">
                  <c:v>2.96308554370186E-4</c:v>
                </c:pt>
                <c:pt idx="138">
                  <c:v>-1.2297408142184899E-3</c:v>
                </c:pt>
                <c:pt idx="139">
                  <c:v>1.0248206040997E-3</c:v>
                </c:pt>
                <c:pt idx="140">
                  <c:v>5.3745208299191705E-4</c:v>
                </c:pt>
                <c:pt idx="141">
                  <c:v>2.1888810334972E-3</c:v>
                </c:pt>
                <c:pt idx="142">
                  <c:v>2.1970220699240499E-3</c:v>
                </c:pt>
                <c:pt idx="143">
                  <c:v>2.1376543855291101E-3</c:v>
                </c:pt>
                <c:pt idx="144">
                  <c:v>2.6387839273016699E-3</c:v>
                </c:pt>
                <c:pt idx="145">
                  <c:v>1.7804357161991101E-4</c:v>
                </c:pt>
                <c:pt idx="146">
                  <c:v>-1.0870180627711599E-3</c:v>
                </c:pt>
                <c:pt idx="147">
                  <c:v>-2.9448536061056402E-4</c:v>
                </c:pt>
                <c:pt idx="148">
                  <c:v>-1.8793378176751401E-3</c:v>
                </c:pt>
                <c:pt idx="149">
                  <c:v>-2.2180302407823998E-3</c:v>
                </c:pt>
                <c:pt idx="150">
                  <c:v>-7.0716886523717205E-4</c:v>
                </c:pt>
                <c:pt idx="151">
                  <c:v>1.1594240191192E-3</c:v>
                </c:pt>
                <c:pt idx="152">
                  <c:v>7.4625309589234203E-4</c:v>
                </c:pt>
                <c:pt idx="153">
                  <c:v>1.67591881572264E-3</c:v>
                </c:pt>
                <c:pt idx="154">
                  <c:v>1.81574425118904E-3</c:v>
                </c:pt>
                <c:pt idx="155">
                  <c:v>3.4210943694512001E-3</c:v>
                </c:pt>
                <c:pt idx="156">
                  <c:v>4.9749463107640604E-3</c:v>
                </c:pt>
                <c:pt idx="157">
                  <c:v>3.4226885097240999E-3</c:v>
                </c:pt>
                <c:pt idx="158">
                  <c:v>3.0461482751271501E-3</c:v>
                </c:pt>
                <c:pt idx="159">
                  <c:v>2.80106396841892E-3</c:v>
                </c:pt>
                <c:pt idx="160">
                  <c:v>2.4431118936888E-3</c:v>
                </c:pt>
                <c:pt idx="161">
                  <c:v>1.75416124962717E-3</c:v>
                </c:pt>
                <c:pt idx="162">
                  <c:v>2.7390877162350499E-3</c:v>
                </c:pt>
                <c:pt idx="163">
                  <c:v>2.1604791172647902E-3</c:v>
                </c:pt>
                <c:pt idx="164">
                  <c:v>3.43650338200968E-3</c:v>
                </c:pt>
                <c:pt idx="165">
                  <c:v>3.4704190752094998E-3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B4-4E56-BC48-E436BC154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53A-4478-A311-AA7649127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XLE_IYE_1!$BY$22:$BY$167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6.7232700985947035E-4</c:v>
                </c:pt>
                <c:pt idx="6">
                  <c:v>9.0914235612663138E-4</c:v>
                </c:pt>
                <c:pt idx="7">
                  <c:v>4.9253733983832667E-5</c:v>
                </c:pt>
                <c:pt idx="8">
                  <c:v>-5.4372143297136606E-4</c:v>
                </c:pt>
                <c:pt idx="9">
                  <c:v>1.4344769945196368E-4</c:v>
                </c:pt>
                <c:pt idx="10">
                  <c:v>3.8614396869406336E-4</c:v>
                </c:pt>
                <c:pt idx="11">
                  <c:v>7.6177783114256509E-4</c:v>
                </c:pt>
                <c:pt idx="12">
                  <c:v>1.9954035544354483E-4</c:v>
                </c:pt>
                <c:pt idx="13">
                  <c:v>1.6975322659791247E-3</c:v>
                </c:pt>
                <c:pt idx="14">
                  <c:v>1.6975322659791247E-3</c:v>
                </c:pt>
                <c:pt idx="15">
                  <c:v>1.6975322659791247E-3</c:v>
                </c:pt>
                <c:pt idx="16">
                  <c:v>1.6975322659791247E-3</c:v>
                </c:pt>
                <c:pt idx="17">
                  <c:v>1.6975322659791247E-3</c:v>
                </c:pt>
                <c:pt idx="18">
                  <c:v>1.6975322659791247E-3</c:v>
                </c:pt>
                <c:pt idx="19">
                  <c:v>1.6975322659791247E-3</c:v>
                </c:pt>
                <c:pt idx="20">
                  <c:v>1.6975322659791247E-3</c:v>
                </c:pt>
                <c:pt idx="21">
                  <c:v>1.6975322659791247E-3</c:v>
                </c:pt>
                <c:pt idx="22">
                  <c:v>1.6975322659791247E-3</c:v>
                </c:pt>
                <c:pt idx="23">
                  <c:v>1.6975322659791247E-3</c:v>
                </c:pt>
                <c:pt idx="24">
                  <c:v>1.6975322659791247E-3</c:v>
                </c:pt>
                <c:pt idx="25">
                  <c:v>1.6975322659791247E-3</c:v>
                </c:pt>
                <c:pt idx="26">
                  <c:v>1.6975322659791247E-3</c:v>
                </c:pt>
                <c:pt idx="27">
                  <c:v>1.6975322659791247E-3</c:v>
                </c:pt>
                <c:pt idx="28">
                  <c:v>1.6975322659791247E-3</c:v>
                </c:pt>
                <c:pt idx="29">
                  <c:v>1.6975322659791247E-3</c:v>
                </c:pt>
                <c:pt idx="30">
                  <c:v>1.6975322659791247E-3</c:v>
                </c:pt>
                <c:pt idx="31">
                  <c:v>1.6975322659791247E-3</c:v>
                </c:pt>
                <c:pt idx="32">
                  <c:v>1.6975322659791247E-3</c:v>
                </c:pt>
                <c:pt idx="33">
                  <c:v>1.6975322659791247E-3</c:v>
                </c:pt>
                <c:pt idx="34">
                  <c:v>1.6975322659791247E-3</c:v>
                </c:pt>
                <c:pt idx="35">
                  <c:v>1.6975322659791247E-3</c:v>
                </c:pt>
                <c:pt idx="36">
                  <c:v>1.4498387091500746E-3</c:v>
                </c:pt>
                <c:pt idx="37">
                  <c:v>2.0048122810432745E-3</c:v>
                </c:pt>
                <c:pt idx="38">
                  <c:v>2.3198420720328726E-3</c:v>
                </c:pt>
                <c:pt idx="39">
                  <c:v>3.313081685401442E-3</c:v>
                </c:pt>
                <c:pt idx="40">
                  <c:v>3.1587769877433414E-3</c:v>
                </c:pt>
                <c:pt idx="41">
                  <c:v>1.3766969354199405E-3</c:v>
                </c:pt>
                <c:pt idx="42">
                  <c:v>2.0732237832468085E-4</c:v>
                </c:pt>
                <c:pt idx="43">
                  <c:v>1.2504578859735211E-3</c:v>
                </c:pt>
                <c:pt idx="44">
                  <c:v>1.2264790933214321E-3</c:v>
                </c:pt>
                <c:pt idx="45">
                  <c:v>1.6660795116183857E-4</c:v>
                </c:pt>
                <c:pt idx="46">
                  <c:v>-2.2042655098736177E-4</c:v>
                </c:pt>
                <c:pt idx="47">
                  <c:v>-7.7884677670737174E-4</c:v>
                </c:pt>
                <c:pt idx="48">
                  <c:v>-4.4145162055733147E-4</c:v>
                </c:pt>
                <c:pt idx="49">
                  <c:v>7.2333753219446873E-4</c:v>
                </c:pt>
                <c:pt idx="50">
                  <c:v>2.3460805877138346E-5</c:v>
                </c:pt>
                <c:pt idx="51">
                  <c:v>-6.4777387463166173E-4</c:v>
                </c:pt>
                <c:pt idx="52">
                  <c:v>7.9735904030363769E-4</c:v>
                </c:pt>
                <c:pt idx="53">
                  <c:v>-5.2127483016872127E-4</c:v>
                </c:pt>
                <c:pt idx="54">
                  <c:v>1.35992233756678E-4</c:v>
                </c:pt>
                <c:pt idx="55">
                  <c:v>3.1167956986107828E-4</c:v>
                </c:pt>
                <c:pt idx="56">
                  <c:v>1.0822450393674582E-3</c:v>
                </c:pt>
                <c:pt idx="57">
                  <c:v>1.0822450393674582E-3</c:v>
                </c:pt>
                <c:pt idx="58">
                  <c:v>1.0822450393674582E-3</c:v>
                </c:pt>
                <c:pt idx="59">
                  <c:v>1.0822450393674582E-3</c:v>
                </c:pt>
                <c:pt idx="60">
                  <c:v>1.0822450393674582E-3</c:v>
                </c:pt>
                <c:pt idx="61">
                  <c:v>1.0822450393674582E-3</c:v>
                </c:pt>
                <c:pt idx="62">
                  <c:v>1.0822450393674582E-3</c:v>
                </c:pt>
                <c:pt idx="63">
                  <c:v>1.0822450393674582E-3</c:v>
                </c:pt>
                <c:pt idx="64">
                  <c:v>1.0822450393674582E-3</c:v>
                </c:pt>
                <c:pt idx="65">
                  <c:v>1.0822450393674582E-3</c:v>
                </c:pt>
                <c:pt idx="66">
                  <c:v>1.0822450393674582E-3</c:v>
                </c:pt>
                <c:pt idx="67">
                  <c:v>1.0822450393674582E-3</c:v>
                </c:pt>
                <c:pt idx="68">
                  <c:v>1.0822450393674582E-3</c:v>
                </c:pt>
                <c:pt idx="69">
                  <c:v>1.0822450393674582E-3</c:v>
                </c:pt>
                <c:pt idx="70">
                  <c:v>1.0822450393674582E-3</c:v>
                </c:pt>
                <c:pt idx="71">
                  <c:v>1.0822450393674582E-3</c:v>
                </c:pt>
                <c:pt idx="72">
                  <c:v>1.0822450393674582E-3</c:v>
                </c:pt>
                <c:pt idx="73">
                  <c:v>1.0822450393674582E-3</c:v>
                </c:pt>
                <c:pt idx="74">
                  <c:v>-7.87719625081012E-4</c:v>
                </c:pt>
                <c:pt idx="75">
                  <c:v>1.322367625135589E-3</c:v>
                </c:pt>
                <c:pt idx="76">
                  <c:v>3.0627127774046584E-3</c:v>
                </c:pt>
                <c:pt idx="77">
                  <c:v>1.7676895953873577E-3</c:v>
                </c:pt>
                <c:pt idx="78">
                  <c:v>4.1522069220424592E-3</c:v>
                </c:pt>
                <c:pt idx="79">
                  <c:v>4.1522069220424592E-3</c:v>
                </c:pt>
                <c:pt idx="80">
                  <c:v>4.1522069220424592E-3</c:v>
                </c:pt>
                <c:pt idx="81">
                  <c:v>4.1522069220424592E-3</c:v>
                </c:pt>
                <c:pt idx="82">
                  <c:v>5.0341203641978598E-3</c:v>
                </c:pt>
                <c:pt idx="83">
                  <c:v>5.0504495941321595E-3</c:v>
                </c:pt>
                <c:pt idx="84">
                  <c:v>4.6750000087663586E-3</c:v>
                </c:pt>
                <c:pt idx="85">
                  <c:v>5.0355187612152897E-3</c:v>
                </c:pt>
                <c:pt idx="86">
                  <c:v>7.6985620779745894E-3</c:v>
                </c:pt>
                <c:pt idx="87">
                  <c:v>7.6985620779745894E-3</c:v>
                </c:pt>
                <c:pt idx="88">
                  <c:v>7.6985620779745894E-3</c:v>
                </c:pt>
                <c:pt idx="89">
                  <c:v>7.6985620779745894E-3</c:v>
                </c:pt>
                <c:pt idx="90">
                  <c:v>7.6985620779745894E-3</c:v>
                </c:pt>
                <c:pt idx="91">
                  <c:v>7.6985620779745894E-3</c:v>
                </c:pt>
                <c:pt idx="92">
                  <c:v>7.6985620779745894E-3</c:v>
                </c:pt>
                <c:pt idx="93">
                  <c:v>7.6985620779745894E-3</c:v>
                </c:pt>
                <c:pt idx="94">
                  <c:v>7.6985620779745894E-3</c:v>
                </c:pt>
                <c:pt idx="95">
                  <c:v>7.6985620779745894E-3</c:v>
                </c:pt>
                <c:pt idx="96">
                  <c:v>7.6985620779745894E-3</c:v>
                </c:pt>
                <c:pt idx="97">
                  <c:v>9.3507598024996884E-3</c:v>
                </c:pt>
                <c:pt idx="98">
                  <c:v>9.4287093827115885E-3</c:v>
                </c:pt>
                <c:pt idx="99">
                  <c:v>8.7749501849058772E-3</c:v>
                </c:pt>
                <c:pt idx="100">
                  <c:v>9.023769819383208E-3</c:v>
                </c:pt>
                <c:pt idx="101">
                  <c:v>8.5616227290334478E-3</c:v>
                </c:pt>
                <c:pt idx="102">
                  <c:v>6.4435153847501678E-3</c:v>
                </c:pt>
                <c:pt idx="103">
                  <c:v>6.094239347781508E-3</c:v>
                </c:pt>
                <c:pt idx="104">
                  <c:v>5.689181292905918E-3</c:v>
                </c:pt>
                <c:pt idx="105">
                  <c:v>5.4073423861989486E-3</c:v>
                </c:pt>
                <c:pt idx="106">
                  <c:v>6.6196260837655483E-3</c:v>
                </c:pt>
                <c:pt idx="107">
                  <c:v>8.5244967214655465E-3</c:v>
                </c:pt>
                <c:pt idx="108">
                  <c:v>8.0205752791120462E-3</c:v>
                </c:pt>
                <c:pt idx="109">
                  <c:v>7.9625493823620962E-3</c:v>
                </c:pt>
                <c:pt idx="110">
                  <c:v>9.5555339906274982E-3</c:v>
                </c:pt>
                <c:pt idx="111">
                  <c:v>9.5555339906274982E-3</c:v>
                </c:pt>
                <c:pt idx="112">
                  <c:v>9.5555339906274982E-3</c:v>
                </c:pt>
                <c:pt idx="113">
                  <c:v>9.5555339906274982E-3</c:v>
                </c:pt>
                <c:pt idx="114">
                  <c:v>9.5555339906274982E-3</c:v>
                </c:pt>
                <c:pt idx="115">
                  <c:v>9.5555339906274982E-3</c:v>
                </c:pt>
                <c:pt idx="116">
                  <c:v>9.5555339906274982E-3</c:v>
                </c:pt>
                <c:pt idx="117">
                  <c:v>9.5555339906274982E-3</c:v>
                </c:pt>
                <c:pt idx="118">
                  <c:v>9.5555339906274982E-3</c:v>
                </c:pt>
                <c:pt idx="119">
                  <c:v>9.5555339906274982E-3</c:v>
                </c:pt>
                <c:pt idx="120">
                  <c:v>9.5555339906274982E-3</c:v>
                </c:pt>
                <c:pt idx="121">
                  <c:v>9.5555339906274982E-3</c:v>
                </c:pt>
                <c:pt idx="122">
                  <c:v>9.4555712714478983E-3</c:v>
                </c:pt>
                <c:pt idx="123">
                  <c:v>9.3121148567706889E-3</c:v>
                </c:pt>
                <c:pt idx="124">
                  <c:v>8.5834538293327288E-3</c:v>
                </c:pt>
                <c:pt idx="125">
                  <c:v>1.0759935592111129E-2</c:v>
                </c:pt>
                <c:pt idx="126">
                  <c:v>1.1835225693689539E-2</c:v>
                </c:pt>
                <c:pt idx="127">
                  <c:v>1.1835225693689539E-2</c:v>
                </c:pt>
                <c:pt idx="128">
                  <c:v>1.1835225693689539E-2</c:v>
                </c:pt>
                <c:pt idx="129">
                  <c:v>1.1835225693689539E-2</c:v>
                </c:pt>
                <c:pt idx="130">
                  <c:v>1.3300793430777938E-2</c:v>
                </c:pt>
                <c:pt idx="131">
                  <c:v>1.5115792182149137E-2</c:v>
                </c:pt>
                <c:pt idx="132">
                  <c:v>1.5115792182149137E-2</c:v>
                </c:pt>
                <c:pt idx="133">
                  <c:v>1.5115792182149137E-2</c:v>
                </c:pt>
                <c:pt idx="134">
                  <c:v>1.5115792182149137E-2</c:v>
                </c:pt>
                <c:pt idx="135">
                  <c:v>1.5115792182149137E-2</c:v>
                </c:pt>
                <c:pt idx="136">
                  <c:v>1.3413406037629539E-2</c:v>
                </c:pt>
                <c:pt idx="137">
                  <c:v>1.4687815268705414E-2</c:v>
                </c:pt>
                <c:pt idx="138">
                  <c:v>1.4837207190367463E-2</c:v>
                </c:pt>
                <c:pt idx="139">
                  <c:v>1.4784300015620443E-2</c:v>
                </c:pt>
                <c:pt idx="140">
                  <c:v>1.4948667892373122E-2</c:v>
                </c:pt>
                <c:pt idx="141">
                  <c:v>1.5428916806386122E-2</c:v>
                </c:pt>
                <c:pt idx="142">
                  <c:v>1.4341235445816782E-2</c:v>
                </c:pt>
                <c:pt idx="143">
                  <c:v>1.4767807410289522E-2</c:v>
                </c:pt>
                <c:pt idx="144">
                  <c:v>1.3368180929646721E-2</c:v>
                </c:pt>
                <c:pt idx="145">
                  <c:v>1.317728869764432E-2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08-43A4-B91A-205A677A5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-2.476935568290501E-4</c:v>
                </c:pt>
                <c:pt idx="37">
                  <c:v>3.0728001506414963E-4</c:v>
                </c:pt>
                <c:pt idx="38">
                  <c:v>6.2230980605374776E-4</c:v>
                </c:pt>
                <c:pt idx="39">
                  <c:v>1.6155494194223172E-3</c:v>
                </c:pt>
                <c:pt idx="40">
                  <c:v>1.4612447217642165E-3</c:v>
                </c:pt>
                <c:pt idx="41">
                  <c:v>-3.2083533055918441E-4</c:v>
                </c:pt>
                <c:pt idx="42">
                  <c:v>-1.490209887654444E-3</c:v>
                </c:pt>
                <c:pt idx="43">
                  <c:v>-4.470743800056038E-4</c:v>
                </c:pt>
                <c:pt idx="44">
                  <c:v>-4.7105317265769275E-4</c:v>
                </c:pt>
                <c:pt idx="45">
                  <c:v>-1.5309243148172863E-3</c:v>
                </c:pt>
                <c:pt idx="46">
                  <c:v>-1.9179588169664866E-3</c:v>
                </c:pt>
                <c:pt idx="47">
                  <c:v>-2.4763790426864966E-3</c:v>
                </c:pt>
                <c:pt idx="48">
                  <c:v>-2.1389838865364563E-3</c:v>
                </c:pt>
                <c:pt idx="49">
                  <c:v>-9.7419473378465614E-4</c:v>
                </c:pt>
                <c:pt idx="50">
                  <c:v>-1.6740714601019865E-3</c:v>
                </c:pt>
                <c:pt idx="51">
                  <c:v>-2.3453061406107866E-3</c:v>
                </c:pt>
                <c:pt idx="52">
                  <c:v>-9.0017322567548718E-4</c:v>
                </c:pt>
                <c:pt idx="53">
                  <c:v>-2.2188070961478464E-3</c:v>
                </c:pt>
                <c:pt idx="54">
                  <c:v>-1.5615400322224471E-3</c:v>
                </c:pt>
                <c:pt idx="55">
                  <c:v>-1.3858526961180468E-3</c:v>
                </c:pt>
                <c:pt idx="56">
                  <c:v>-6.1528722661166688E-4</c:v>
                </c:pt>
                <c:pt idx="57">
                  <c:v>-6.1528722661166688E-4</c:v>
                </c:pt>
                <c:pt idx="58">
                  <c:v>-6.1528722661166688E-4</c:v>
                </c:pt>
                <c:pt idx="59">
                  <c:v>-6.1528722661166688E-4</c:v>
                </c:pt>
                <c:pt idx="60">
                  <c:v>-6.1528722661166688E-4</c:v>
                </c:pt>
                <c:pt idx="61">
                  <c:v>-6.1528722661166688E-4</c:v>
                </c:pt>
                <c:pt idx="62">
                  <c:v>-6.1528722661166688E-4</c:v>
                </c:pt>
                <c:pt idx="63">
                  <c:v>-6.1528722661166688E-4</c:v>
                </c:pt>
                <c:pt idx="64">
                  <c:v>-6.1528722661166688E-4</c:v>
                </c:pt>
                <c:pt idx="65">
                  <c:v>-6.1528722661166688E-4</c:v>
                </c:pt>
                <c:pt idx="66">
                  <c:v>-6.1528722661166688E-4</c:v>
                </c:pt>
                <c:pt idx="67">
                  <c:v>-6.1528722661166688E-4</c:v>
                </c:pt>
                <c:pt idx="68">
                  <c:v>-6.1528722661166688E-4</c:v>
                </c:pt>
                <c:pt idx="69">
                  <c:v>-6.1528722661166688E-4</c:v>
                </c:pt>
                <c:pt idx="70">
                  <c:v>-6.1528722661166688E-4</c:v>
                </c:pt>
                <c:pt idx="71">
                  <c:v>-6.1528722661166688E-4</c:v>
                </c:pt>
                <c:pt idx="72">
                  <c:v>-6.1528722661166688E-4</c:v>
                </c:pt>
                <c:pt idx="73">
                  <c:v>-6.1528722661166688E-4</c:v>
                </c:pt>
                <c:pt idx="74">
                  <c:v>-6.1528722661166688E-4</c:v>
                </c:pt>
                <c:pt idx="75">
                  <c:v>-6.1528722661166688E-4</c:v>
                </c:pt>
                <c:pt idx="76">
                  <c:v>-6.1528722661166688E-4</c:v>
                </c:pt>
                <c:pt idx="77">
                  <c:v>-6.1528722661166688E-4</c:v>
                </c:pt>
                <c:pt idx="78">
                  <c:v>-6.1528722661166688E-4</c:v>
                </c:pt>
                <c:pt idx="79">
                  <c:v>-6.1528722661166688E-4</c:v>
                </c:pt>
                <c:pt idx="80">
                  <c:v>-6.1528722661166688E-4</c:v>
                </c:pt>
                <c:pt idx="81">
                  <c:v>-6.1528722661166688E-4</c:v>
                </c:pt>
                <c:pt idx="82">
                  <c:v>2.6662621554373375E-4</c:v>
                </c:pt>
                <c:pt idx="83">
                  <c:v>2.8295544547803347E-4</c:v>
                </c:pt>
                <c:pt idx="84">
                  <c:v>-9.2494139887767425E-5</c:v>
                </c:pt>
                <c:pt idx="85">
                  <c:v>2.6802461256116358E-4</c:v>
                </c:pt>
                <c:pt idx="86">
                  <c:v>2.9310679293204633E-3</c:v>
                </c:pt>
                <c:pt idx="87">
                  <c:v>2.9310679293204633E-3</c:v>
                </c:pt>
                <c:pt idx="88">
                  <c:v>2.9310679293204633E-3</c:v>
                </c:pt>
                <c:pt idx="89">
                  <c:v>2.9310679293204633E-3</c:v>
                </c:pt>
                <c:pt idx="90">
                  <c:v>2.9310679293204633E-3</c:v>
                </c:pt>
                <c:pt idx="91">
                  <c:v>2.9310679293204633E-3</c:v>
                </c:pt>
                <c:pt idx="92">
                  <c:v>2.9310679293204633E-3</c:v>
                </c:pt>
                <c:pt idx="93">
                  <c:v>2.9310679293204633E-3</c:v>
                </c:pt>
                <c:pt idx="94">
                  <c:v>2.9310679293204633E-3</c:v>
                </c:pt>
                <c:pt idx="95">
                  <c:v>2.9310679293204633E-3</c:v>
                </c:pt>
                <c:pt idx="96">
                  <c:v>2.9310679293204633E-3</c:v>
                </c:pt>
                <c:pt idx="97">
                  <c:v>4.5832656538455632E-3</c:v>
                </c:pt>
                <c:pt idx="98">
                  <c:v>4.6612152340574633E-3</c:v>
                </c:pt>
                <c:pt idx="99">
                  <c:v>4.007456036251752E-3</c:v>
                </c:pt>
                <c:pt idx="100">
                  <c:v>4.256275670729082E-3</c:v>
                </c:pt>
                <c:pt idx="101">
                  <c:v>3.7941285803793218E-3</c:v>
                </c:pt>
                <c:pt idx="102">
                  <c:v>1.6760212360960418E-3</c:v>
                </c:pt>
                <c:pt idx="103">
                  <c:v>1.326745199127382E-3</c:v>
                </c:pt>
                <c:pt idx="104">
                  <c:v>9.2168714425179196E-4</c:v>
                </c:pt>
                <c:pt idx="105">
                  <c:v>6.3984823754482207E-4</c:v>
                </c:pt>
                <c:pt idx="106">
                  <c:v>1.8521319351114218E-3</c:v>
                </c:pt>
                <c:pt idx="107">
                  <c:v>3.75700257281142E-3</c:v>
                </c:pt>
                <c:pt idx="108">
                  <c:v>3.2530811304579198E-3</c:v>
                </c:pt>
                <c:pt idx="109">
                  <c:v>3.1950552337079697E-3</c:v>
                </c:pt>
                <c:pt idx="110">
                  <c:v>4.7880398419733721E-3</c:v>
                </c:pt>
                <c:pt idx="111">
                  <c:v>4.7880398419733721E-3</c:v>
                </c:pt>
                <c:pt idx="112">
                  <c:v>4.7880398419733721E-3</c:v>
                </c:pt>
                <c:pt idx="113">
                  <c:v>4.7880398419733721E-3</c:v>
                </c:pt>
                <c:pt idx="114">
                  <c:v>4.7880398419733721E-3</c:v>
                </c:pt>
                <c:pt idx="115">
                  <c:v>4.7880398419733721E-3</c:v>
                </c:pt>
                <c:pt idx="116">
                  <c:v>4.7880398419733721E-3</c:v>
                </c:pt>
                <c:pt idx="117">
                  <c:v>4.7880398419733721E-3</c:v>
                </c:pt>
                <c:pt idx="118">
                  <c:v>4.7880398419733721E-3</c:v>
                </c:pt>
                <c:pt idx="119">
                  <c:v>4.7880398419733721E-3</c:v>
                </c:pt>
                <c:pt idx="120">
                  <c:v>4.7880398419733721E-3</c:v>
                </c:pt>
                <c:pt idx="121">
                  <c:v>4.7880398419733721E-3</c:v>
                </c:pt>
                <c:pt idx="122">
                  <c:v>4.7880398419733721E-3</c:v>
                </c:pt>
                <c:pt idx="123">
                  <c:v>4.7880398419733721E-3</c:v>
                </c:pt>
                <c:pt idx="124">
                  <c:v>4.7880398419733721E-3</c:v>
                </c:pt>
                <c:pt idx="125">
                  <c:v>4.7880398419733721E-3</c:v>
                </c:pt>
                <c:pt idx="126">
                  <c:v>4.7880398419733721E-3</c:v>
                </c:pt>
                <c:pt idx="127">
                  <c:v>4.7880398419733721E-3</c:v>
                </c:pt>
                <c:pt idx="128">
                  <c:v>4.7880398419733721E-3</c:v>
                </c:pt>
                <c:pt idx="129">
                  <c:v>4.7880398419733721E-3</c:v>
                </c:pt>
                <c:pt idx="130">
                  <c:v>6.2536075790617703E-3</c:v>
                </c:pt>
                <c:pt idx="131">
                  <c:v>8.0686063304329699E-3</c:v>
                </c:pt>
                <c:pt idx="132">
                  <c:v>8.0686063304329699E-3</c:v>
                </c:pt>
                <c:pt idx="133">
                  <c:v>8.0686063304329699E-3</c:v>
                </c:pt>
                <c:pt idx="134">
                  <c:v>8.0686063304329699E-3</c:v>
                </c:pt>
                <c:pt idx="135">
                  <c:v>8.0686063304329699E-3</c:v>
                </c:pt>
                <c:pt idx="136">
                  <c:v>8.0686063304329699E-3</c:v>
                </c:pt>
                <c:pt idx="137">
                  <c:v>8.0686063304329699E-3</c:v>
                </c:pt>
                <c:pt idx="138">
                  <c:v>8.0686063304329699E-3</c:v>
                </c:pt>
                <c:pt idx="139">
                  <c:v>8.0686063304329699E-3</c:v>
                </c:pt>
                <c:pt idx="140">
                  <c:v>8.0686063304329699E-3</c:v>
                </c:pt>
                <c:pt idx="141">
                  <c:v>8.0686063304329699E-3</c:v>
                </c:pt>
                <c:pt idx="142">
                  <c:v>8.0686063304329699E-3</c:v>
                </c:pt>
                <c:pt idx="143">
                  <c:v>8.0686063304329699E-3</c:v>
                </c:pt>
                <c:pt idx="144">
                  <c:v>8.0686063304329699E-3</c:v>
                </c:pt>
                <c:pt idx="145">
                  <c:v>8.0686063304329699E-3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83-45EC-AC45-38AE01A77D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6.7232700985947035E-4</c:v>
                </c:pt>
                <c:pt idx="6">
                  <c:v>9.0914235612663138E-4</c:v>
                </c:pt>
                <c:pt idx="7">
                  <c:v>4.9253733983832667E-5</c:v>
                </c:pt>
                <c:pt idx="8">
                  <c:v>-5.4372143297136606E-4</c:v>
                </c:pt>
                <c:pt idx="9">
                  <c:v>1.4344769945196368E-4</c:v>
                </c:pt>
                <c:pt idx="10">
                  <c:v>3.8614396869406336E-4</c:v>
                </c:pt>
                <c:pt idx="11">
                  <c:v>7.6177783114256509E-4</c:v>
                </c:pt>
                <c:pt idx="12">
                  <c:v>1.9954035544354483E-4</c:v>
                </c:pt>
                <c:pt idx="13">
                  <c:v>1.6975322659791247E-3</c:v>
                </c:pt>
                <c:pt idx="14">
                  <c:v>1.6975322659791247E-3</c:v>
                </c:pt>
                <c:pt idx="15">
                  <c:v>1.6975322659791247E-3</c:v>
                </c:pt>
                <c:pt idx="16">
                  <c:v>1.6975322659791247E-3</c:v>
                </c:pt>
                <c:pt idx="17">
                  <c:v>1.6975322659791247E-3</c:v>
                </c:pt>
                <c:pt idx="18">
                  <c:v>1.6975322659791247E-3</c:v>
                </c:pt>
                <c:pt idx="19">
                  <c:v>1.6975322659791247E-3</c:v>
                </c:pt>
                <c:pt idx="20">
                  <c:v>1.6975322659791247E-3</c:v>
                </c:pt>
                <c:pt idx="21">
                  <c:v>1.6975322659791247E-3</c:v>
                </c:pt>
                <c:pt idx="22">
                  <c:v>1.6975322659791247E-3</c:v>
                </c:pt>
                <c:pt idx="23">
                  <c:v>1.6975322659791247E-3</c:v>
                </c:pt>
                <c:pt idx="24">
                  <c:v>1.6975322659791247E-3</c:v>
                </c:pt>
                <c:pt idx="25">
                  <c:v>1.6975322659791247E-3</c:v>
                </c:pt>
                <c:pt idx="26">
                  <c:v>1.6975322659791247E-3</c:v>
                </c:pt>
                <c:pt idx="27">
                  <c:v>1.6975322659791247E-3</c:v>
                </c:pt>
                <c:pt idx="28">
                  <c:v>1.6975322659791247E-3</c:v>
                </c:pt>
                <c:pt idx="29">
                  <c:v>1.6975322659791247E-3</c:v>
                </c:pt>
                <c:pt idx="30">
                  <c:v>1.6975322659791247E-3</c:v>
                </c:pt>
                <c:pt idx="31">
                  <c:v>1.6975322659791247E-3</c:v>
                </c:pt>
                <c:pt idx="32">
                  <c:v>1.6975322659791247E-3</c:v>
                </c:pt>
                <c:pt idx="33">
                  <c:v>1.6975322659791247E-3</c:v>
                </c:pt>
                <c:pt idx="34">
                  <c:v>1.6975322659791247E-3</c:v>
                </c:pt>
                <c:pt idx="35">
                  <c:v>1.6975322659791247E-3</c:v>
                </c:pt>
                <c:pt idx="36">
                  <c:v>1.6975322659791247E-3</c:v>
                </c:pt>
                <c:pt idx="37">
                  <c:v>1.6975322659791247E-3</c:v>
                </c:pt>
                <c:pt idx="38">
                  <c:v>1.6975322659791247E-3</c:v>
                </c:pt>
                <c:pt idx="39">
                  <c:v>1.6975322659791247E-3</c:v>
                </c:pt>
                <c:pt idx="40">
                  <c:v>1.6975322659791247E-3</c:v>
                </c:pt>
                <c:pt idx="41">
                  <c:v>1.6975322659791247E-3</c:v>
                </c:pt>
                <c:pt idx="42">
                  <c:v>1.6975322659791247E-3</c:v>
                </c:pt>
                <c:pt idx="43">
                  <c:v>1.6975322659791247E-3</c:v>
                </c:pt>
                <c:pt idx="44">
                  <c:v>1.6975322659791247E-3</c:v>
                </c:pt>
                <c:pt idx="45">
                  <c:v>1.6975322659791247E-3</c:v>
                </c:pt>
                <c:pt idx="46">
                  <c:v>1.6975322659791247E-3</c:v>
                </c:pt>
                <c:pt idx="47">
                  <c:v>1.6975322659791247E-3</c:v>
                </c:pt>
                <c:pt idx="48">
                  <c:v>1.6975322659791247E-3</c:v>
                </c:pt>
                <c:pt idx="49">
                  <c:v>1.6975322659791247E-3</c:v>
                </c:pt>
                <c:pt idx="50">
                  <c:v>1.6975322659791247E-3</c:v>
                </c:pt>
                <c:pt idx="51">
                  <c:v>1.6975322659791247E-3</c:v>
                </c:pt>
                <c:pt idx="52">
                  <c:v>1.6975322659791247E-3</c:v>
                </c:pt>
                <c:pt idx="53">
                  <c:v>1.6975322659791247E-3</c:v>
                </c:pt>
                <c:pt idx="54">
                  <c:v>1.6975322659791247E-3</c:v>
                </c:pt>
                <c:pt idx="55">
                  <c:v>1.6975322659791247E-3</c:v>
                </c:pt>
                <c:pt idx="56">
                  <c:v>1.6975322659791247E-3</c:v>
                </c:pt>
                <c:pt idx="57">
                  <c:v>1.6975322659791247E-3</c:v>
                </c:pt>
                <c:pt idx="58">
                  <c:v>1.6975322659791247E-3</c:v>
                </c:pt>
                <c:pt idx="59">
                  <c:v>1.6975322659791247E-3</c:v>
                </c:pt>
                <c:pt idx="60">
                  <c:v>1.6975322659791247E-3</c:v>
                </c:pt>
                <c:pt idx="61">
                  <c:v>1.6975322659791247E-3</c:v>
                </c:pt>
                <c:pt idx="62">
                  <c:v>1.6975322659791247E-3</c:v>
                </c:pt>
                <c:pt idx="63">
                  <c:v>1.6975322659791247E-3</c:v>
                </c:pt>
                <c:pt idx="64">
                  <c:v>1.6975322659791247E-3</c:v>
                </c:pt>
                <c:pt idx="65">
                  <c:v>1.6975322659791247E-3</c:v>
                </c:pt>
                <c:pt idx="66">
                  <c:v>1.6975322659791247E-3</c:v>
                </c:pt>
                <c:pt idx="67">
                  <c:v>1.6975322659791247E-3</c:v>
                </c:pt>
                <c:pt idx="68">
                  <c:v>1.6975322659791247E-3</c:v>
                </c:pt>
                <c:pt idx="69">
                  <c:v>1.6975322659791247E-3</c:v>
                </c:pt>
                <c:pt idx="70">
                  <c:v>1.6975322659791247E-3</c:v>
                </c:pt>
                <c:pt idx="71">
                  <c:v>1.6975322659791247E-3</c:v>
                </c:pt>
                <c:pt idx="72">
                  <c:v>1.6975322659791247E-3</c:v>
                </c:pt>
                <c:pt idx="73">
                  <c:v>1.6975322659791247E-3</c:v>
                </c:pt>
                <c:pt idx="74">
                  <c:v>-1.7243239846934555E-4</c:v>
                </c:pt>
                <c:pt idx="75">
                  <c:v>1.9376548517472554E-3</c:v>
                </c:pt>
                <c:pt idx="76">
                  <c:v>3.6780000040163253E-3</c:v>
                </c:pt>
                <c:pt idx="77">
                  <c:v>2.3829768219990246E-3</c:v>
                </c:pt>
                <c:pt idx="78">
                  <c:v>4.7674941486541261E-3</c:v>
                </c:pt>
                <c:pt idx="79">
                  <c:v>4.7674941486541261E-3</c:v>
                </c:pt>
                <c:pt idx="80">
                  <c:v>4.7674941486541261E-3</c:v>
                </c:pt>
                <c:pt idx="81">
                  <c:v>4.7674941486541261E-3</c:v>
                </c:pt>
                <c:pt idx="82">
                  <c:v>4.7674941486541261E-3</c:v>
                </c:pt>
                <c:pt idx="83">
                  <c:v>4.7674941486541261E-3</c:v>
                </c:pt>
                <c:pt idx="84">
                  <c:v>4.7674941486541261E-3</c:v>
                </c:pt>
                <c:pt idx="85">
                  <c:v>4.7674941486541261E-3</c:v>
                </c:pt>
                <c:pt idx="86">
                  <c:v>4.7674941486541261E-3</c:v>
                </c:pt>
                <c:pt idx="87">
                  <c:v>4.7674941486541261E-3</c:v>
                </c:pt>
                <c:pt idx="88">
                  <c:v>4.7674941486541261E-3</c:v>
                </c:pt>
                <c:pt idx="89">
                  <c:v>4.7674941486541261E-3</c:v>
                </c:pt>
                <c:pt idx="90">
                  <c:v>4.7674941486541261E-3</c:v>
                </c:pt>
                <c:pt idx="91">
                  <c:v>4.7674941486541261E-3</c:v>
                </c:pt>
                <c:pt idx="92">
                  <c:v>4.7674941486541261E-3</c:v>
                </c:pt>
                <c:pt idx="93">
                  <c:v>4.7674941486541261E-3</c:v>
                </c:pt>
                <c:pt idx="94">
                  <c:v>4.7674941486541261E-3</c:v>
                </c:pt>
                <c:pt idx="95">
                  <c:v>4.7674941486541261E-3</c:v>
                </c:pt>
                <c:pt idx="96">
                  <c:v>4.7674941486541261E-3</c:v>
                </c:pt>
                <c:pt idx="97">
                  <c:v>4.7674941486541261E-3</c:v>
                </c:pt>
                <c:pt idx="98">
                  <c:v>4.7674941486541261E-3</c:v>
                </c:pt>
                <c:pt idx="99">
                  <c:v>4.7674941486541261E-3</c:v>
                </c:pt>
                <c:pt idx="100">
                  <c:v>4.7674941486541261E-3</c:v>
                </c:pt>
                <c:pt idx="101">
                  <c:v>4.7674941486541261E-3</c:v>
                </c:pt>
                <c:pt idx="102">
                  <c:v>4.7674941486541261E-3</c:v>
                </c:pt>
                <c:pt idx="103">
                  <c:v>4.7674941486541261E-3</c:v>
                </c:pt>
                <c:pt idx="104">
                  <c:v>4.7674941486541261E-3</c:v>
                </c:pt>
                <c:pt idx="105">
                  <c:v>4.7674941486541261E-3</c:v>
                </c:pt>
                <c:pt idx="106">
                  <c:v>4.7674941486541261E-3</c:v>
                </c:pt>
                <c:pt idx="107">
                  <c:v>4.7674941486541261E-3</c:v>
                </c:pt>
                <c:pt idx="108">
                  <c:v>4.7674941486541261E-3</c:v>
                </c:pt>
                <c:pt idx="109">
                  <c:v>4.7674941486541261E-3</c:v>
                </c:pt>
                <c:pt idx="110">
                  <c:v>4.7674941486541261E-3</c:v>
                </c:pt>
                <c:pt idx="111">
                  <c:v>4.7674941486541261E-3</c:v>
                </c:pt>
                <c:pt idx="112">
                  <c:v>4.7674941486541261E-3</c:v>
                </c:pt>
                <c:pt idx="113">
                  <c:v>4.7674941486541261E-3</c:v>
                </c:pt>
                <c:pt idx="114">
                  <c:v>4.7674941486541261E-3</c:v>
                </c:pt>
                <c:pt idx="115">
                  <c:v>4.7674941486541261E-3</c:v>
                </c:pt>
                <c:pt idx="116">
                  <c:v>4.7674941486541261E-3</c:v>
                </c:pt>
                <c:pt idx="117">
                  <c:v>4.7674941486541261E-3</c:v>
                </c:pt>
                <c:pt idx="118">
                  <c:v>4.7674941486541261E-3</c:v>
                </c:pt>
                <c:pt idx="119">
                  <c:v>4.7674941486541261E-3</c:v>
                </c:pt>
                <c:pt idx="120">
                  <c:v>4.7674941486541261E-3</c:v>
                </c:pt>
                <c:pt idx="121">
                  <c:v>4.7674941486541261E-3</c:v>
                </c:pt>
                <c:pt idx="122">
                  <c:v>4.6675314294745262E-3</c:v>
                </c:pt>
                <c:pt idx="123">
                  <c:v>4.5240750147973159E-3</c:v>
                </c:pt>
                <c:pt idx="124">
                  <c:v>3.7954139873593558E-3</c:v>
                </c:pt>
                <c:pt idx="125">
                  <c:v>5.9718957501377562E-3</c:v>
                </c:pt>
                <c:pt idx="126">
                  <c:v>7.0471858517161656E-3</c:v>
                </c:pt>
                <c:pt idx="127">
                  <c:v>7.0471858517161656E-3</c:v>
                </c:pt>
                <c:pt idx="128">
                  <c:v>7.0471858517161656E-3</c:v>
                </c:pt>
                <c:pt idx="129">
                  <c:v>7.0471858517161656E-3</c:v>
                </c:pt>
                <c:pt idx="130">
                  <c:v>7.0471858517161656E-3</c:v>
                </c:pt>
                <c:pt idx="131">
                  <c:v>7.0471858517161656E-3</c:v>
                </c:pt>
                <c:pt idx="132">
                  <c:v>7.0471858517161656E-3</c:v>
                </c:pt>
                <c:pt idx="133">
                  <c:v>7.0471858517161656E-3</c:v>
                </c:pt>
                <c:pt idx="134">
                  <c:v>7.0471858517161656E-3</c:v>
                </c:pt>
                <c:pt idx="135">
                  <c:v>7.0471858517161656E-3</c:v>
                </c:pt>
                <c:pt idx="136">
                  <c:v>5.3447997071965677E-3</c:v>
                </c:pt>
                <c:pt idx="137">
                  <c:v>6.6192089382724421E-3</c:v>
                </c:pt>
                <c:pt idx="138">
                  <c:v>6.7686008599344922E-3</c:v>
                </c:pt>
                <c:pt idx="139">
                  <c:v>6.7156936851874719E-3</c:v>
                </c:pt>
                <c:pt idx="140">
                  <c:v>6.8800615619401513E-3</c:v>
                </c:pt>
                <c:pt idx="141">
                  <c:v>7.3603104759531511E-3</c:v>
                </c:pt>
                <c:pt idx="142">
                  <c:v>6.2726291153838111E-3</c:v>
                </c:pt>
                <c:pt idx="143">
                  <c:v>6.6992010798565512E-3</c:v>
                </c:pt>
                <c:pt idx="144">
                  <c:v>5.2995745992137511E-3</c:v>
                </c:pt>
                <c:pt idx="145">
                  <c:v>5.1086823672113497E-3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BF-4763-AE71-C1E40C7ED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05D674-A4C5-41EE-802F-DBF8070846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7BABA5-50DA-478C-964E-455D9C4DB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54C4AC-4F9D-4C5E-BBED-A2AB85118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BA71E4-4717-48A7-BD08-47D05EB2B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4EA055C-813A-4BAE-B2EF-91F563A1BF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54CAE-98EA-4BF1-807C-1FB088F47B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11BF84D-410C-445B-A181-26A163408F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C6EB0D-6DB0-4257-953F-3E0A7EF90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32111-EA19-48B9-B119-A684B479D82A}">
  <dimension ref="A1:BY167"/>
  <sheetViews>
    <sheetView tabSelected="1" topLeftCell="AF1" workbookViewId="0">
      <selection activeCell="AP13" sqref="AP13"/>
    </sheetView>
  </sheetViews>
  <sheetFormatPr defaultRowHeight="14.4" x14ac:dyDescent="0.3"/>
  <cols>
    <col min="1" max="1" width="9.33203125" bestFit="1" customWidth="1"/>
    <col min="2" max="3" width="10.6640625" style="8" bestFit="1" customWidth="1"/>
    <col min="4" max="5" width="10.6640625" style="9" customWidth="1"/>
    <col min="6" max="6" width="8.6640625" style="8" bestFit="1" customWidth="1"/>
    <col min="7" max="7" width="16.21875" style="8" bestFit="1" customWidth="1"/>
    <col min="8" max="8" width="9.33203125" style="8" bestFit="1" customWidth="1"/>
    <col min="9" max="9" width="17" style="8" bestFit="1" customWidth="1"/>
    <col min="10" max="10" width="18.6640625" style="8" bestFit="1" customWidth="1"/>
    <col min="11" max="11" width="19.44140625" style="8" bestFit="1" customWidth="1"/>
    <col min="12" max="13" width="10.6640625" style="8" bestFit="1" customWidth="1"/>
    <col min="14" max="14" width="10.44140625" style="10" bestFit="1" customWidth="1"/>
    <col min="15" max="15" width="13.6640625" style="10" bestFit="1" customWidth="1"/>
    <col min="16" max="17" width="17" style="10" bestFit="1" customWidth="1"/>
    <col min="18" max="18" width="10.6640625" style="8" bestFit="1" customWidth="1"/>
    <col min="19" max="20" width="13.44140625" style="8" bestFit="1" customWidth="1"/>
    <col min="21" max="21" width="20.21875" style="9" bestFit="1" customWidth="1"/>
    <col min="22" max="23" width="23.6640625" style="9" bestFit="1" customWidth="1"/>
    <col min="24" max="24" width="12.44140625" style="10" bestFit="1" customWidth="1"/>
    <col min="25" max="25" width="15.6640625" style="10" bestFit="1" customWidth="1"/>
    <col min="26" max="27" width="19.109375" style="10" bestFit="1" customWidth="1"/>
    <col min="28" max="28" width="11" style="8" bestFit="1" customWidth="1"/>
    <col min="29" max="30" width="14.44140625" style="8" bestFit="1" customWidth="1"/>
    <col min="31" max="31" width="22.33203125" style="9" bestFit="1" customWidth="1"/>
    <col min="32" max="33" width="25.77734375" style="9" bestFit="1" customWidth="1"/>
    <col min="52" max="53" width="8.88671875" style="11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11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2" customFormat="1" x14ac:dyDescent="0.3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BG1" s="6"/>
      <c r="BH1" s="6"/>
      <c r="BI1" s="6"/>
      <c r="BJ1" s="7">
        <f>BJ167</f>
        <v>8.0686063304329699E-3</v>
      </c>
      <c r="BS1" s="6"/>
      <c r="BT1" s="6"/>
      <c r="BU1" s="6"/>
      <c r="BV1" s="7">
        <f>BV167</f>
        <v>5.1086823672113497E-3</v>
      </c>
      <c r="BY1" s="7">
        <f>BY167</f>
        <v>1.317728869764432E-2</v>
      </c>
    </row>
    <row r="2" spans="1:77" x14ac:dyDescent="0.3">
      <c r="A2" s="1">
        <v>46024</v>
      </c>
      <c r="B2" s="8">
        <v>45.65</v>
      </c>
      <c r="C2" s="8">
        <v>48.55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45.65</v>
      </c>
      <c r="M2" s="8">
        <v>48.55</v>
      </c>
      <c r="N2" s="10">
        <v>1.0635268346111699</v>
      </c>
      <c r="O2" s="10">
        <v>1.0596043809708899</v>
      </c>
      <c r="X2" s="10">
        <v>1.0635268346111699</v>
      </c>
      <c r="Y2" s="10">
        <v>1.05986570061559</v>
      </c>
    </row>
    <row r="3" spans="1:77" x14ac:dyDescent="0.3">
      <c r="A3" s="1">
        <v>46027</v>
      </c>
      <c r="B3" s="8">
        <v>46.89</v>
      </c>
      <c r="C3" s="8">
        <v>49.73</v>
      </c>
      <c r="D3" s="9">
        <v>2.68008260605174E-2</v>
      </c>
      <c r="E3" s="9">
        <v>2.4014177989313198E-2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46.89</v>
      </c>
      <c r="M3" s="8">
        <v>49.73</v>
      </c>
      <c r="N3" s="10">
        <v>1.06056728513542</v>
      </c>
      <c r="O3" s="10">
        <v>1.0596043809708899</v>
      </c>
      <c r="R3" s="8">
        <v>49.684849423725197</v>
      </c>
      <c r="U3" s="9">
        <v>-9.0832666630280903E-4</v>
      </c>
      <c r="X3" s="10">
        <v>1.06056728513542</v>
      </c>
      <c r="Y3" s="10">
        <v>1.05986570061559</v>
      </c>
      <c r="AB3" s="8">
        <v>49.697102701865198</v>
      </c>
      <c r="AE3" s="9">
        <v>-6.6173706044533995E-4</v>
      </c>
    </row>
    <row r="4" spans="1:77" x14ac:dyDescent="0.3">
      <c r="A4" s="1">
        <v>46028</v>
      </c>
      <c r="B4" s="8">
        <v>45.64</v>
      </c>
      <c r="C4" s="8">
        <v>48.44</v>
      </c>
      <c r="D4" s="9">
        <v>-2.7019908107619998E-2</v>
      </c>
      <c r="E4" s="9">
        <v>-2.6282454041755599E-2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45.64</v>
      </c>
      <c r="M4" s="8">
        <v>48.44</v>
      </c>
      <c r="N4" s="10">
        <v>1.0613496932515301</v>
      </c>
      <c r="O4" s="10">
        <v>1.0596043809708899</v>
      </c>
      <c r="R4" s="8">
        <v>48.360343947511602</v>
      </c>
      <c r="U4" s="9">
        <v>-1.64578073216714E-3</v>
      </c>
      <c r="X4" s="10">
        <v>1.0613496932515301</v>
      </c>
      <c r="Y4" s="10">
        <v>1.05986570061559</v>
      </c>
      <c r="AB4" s="8">
        <v>48.372270576095701</v>
      </c>
      <c r="AE4" s="9">
        <v>-1.3991911263097599E-3</v>
      </c>
    </row>
    <row r="5" spans="1:77" x14ac:dyDescent="0.3">
      <c r="A5" s="1">
        <v>46029</v>
      </c>
      <c r="B5" s="8">
        <v>45.13</v>
      </c>
      <c r="C5" s="8">
        <v>47.87</v>
      </c>
      <c r="D5" s="9">
        <v>-1.12373111549649E-2</v>
      </c>
      <c r="E5" s="9">
        <v>-1.18369152804738E-2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45.13</v>
      </c>
      <c r="M5" s="8">
        <v>47.87</v>
      </c>
      <c r="N5" s="10">
        <v>1.0607134943496499</v>
      </c>
      <c r="O5" s="10">
        <v>1.0596043809708899</v>
      </c>
      <c r="R5" s="8">
        <v>47.819945713216498</v>
      </c>
      <c r="U5" s="9">
        <v>-1.0461766066583199E-3</v>
      </c>
      <c r="X5" s="10">
        <v>1.0607134943496499</v>
      </c>
      <c r="Y5" s="10">
        <v>1.05986570061559</v>
      </c>
      <c r="AB5" s="8">
        <v>47.831739068781701</v>
      </c>
      <c r="AE5" s="9">
        <v>-7.9958700080103202E-4</v>
      </c>
    </row>
    <row r="6" spans="1:77" x14ac:dyDescent="0.3">
      <c r="A6" s="1">
        <v>46030</v>
      </c>
      <c r="B6" s="8">
        <v>46.55</v>
      </c>
      <c r="C6" s="8">
        <v>49.29</v>
      </c>
      <c r="D6" s="9">
        <v>3.0979789884166001E-2</v>
      </c>
      <c r="E6" s="9">
        <v>2.9232217312868701E-2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46.55</v>
      </c>
      <c r="M6" s="8">
        <v>49.29</v>
      </c>
      <c r="N6" s="10">
        <v>1.0588614393125599</v>
      </c>
      <c r="O6" s="10">
        <v>1.0596043809708899</v>
      </c>
      <c r="R6" s="8">
        <v>49.324583934195097</v>
      </c>
      <c r="U6" s="9">
        <v>7.01395964639037E-4</v>
      </c>
      <c r="X6" s="10">
        <v>1.0588614393125599</v>
      </c>
      <c r="Y6" s="10">
        <v>1.05986570061559</v>
      </c>
      <c r="AB6" s="8">
        <v>49.336748363655801</v>
      </c>
      <c r="AE6" s="9">
        <v>9.4798557049640601E-4</v>
      </c>
    </row>
    <row r="7" spans="1:77" x14ac:dyDescent="0.3">
      <c r="A7" s="1">
        <v>46031</v>
      </c>
      <c r="B7" s="8">
        <v>46.67</v>
      </c>
      <c r="C7" s="8">
        <v>49.39</v>
      </c>
      <c r="D7" s="9">
        <v>2.5745562386483298E-3</v>
      </c>
      <c r="E7" s="9">
        <v>2.0267538352471198E-3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46.67</v>
      </c>
      <c r="M7" s="8">
        <v>49.39</v>
      </c>
      <c r="N7" s="10">
        <v>1.0582815513177599</v>
      </c>
      <c r="O7" s="10">
        <v>1.0596043809708899</v>
      </c>
      <c r="R7" s="8">
        <v>49.451736459911601</v>
      </c>
      <c r="U7" s="9">
        <v>1.2491983680400301E-3</v>
      </c>
      <c r="X7" s="10">
        <v>1.0582815513177599</v>
      </c>
      <c r="Y7" s="10">
        <v>1.05986570061559</v>
      </c>
      <c r="AB7" s="8">
        <v>49.463932247729701</v>
      </c>
      <c r="AE7" s="9">
        <v>1.4957879738976101E-3</v>
      </c>
    </row>
    <row r="8" spans="1:77" x14ac:dyDescent="0.3">
      <c r="A8" s="1">
        <v>46034</v>
      </c>
      <c r="B8" s="8">
        <v>46.34</v>
      </c>
      <c r="C8" s="8">
        <v>49.07</v>
      </c>
      <c r="D8" s="9">
        <v>-7.0960409574940897E-3</v>
      </c>
      <c r="E8" s="9">
        <v>-6.5001244507214197E-3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46.34</v>
      </c>
      <c r="M8" s="8">
        <v>49.07</v>
      </c>
      <c r="N8" s="10">
        <v>1.0589123867069401</v>
      </c>
      <c r="O8" s="10">
        <v>1.0596043809708899</v>
      </c>
      <c r="R8" s="8">
        <v>49.102067014191299</v>
      </c>
      <c r="U8" s="9">
        <v>6.5328186126760402E-4</v>
      </c>
      <c r="X8" s="10">
        <v>1.0589123867069401</v>
      </c>
      <c r="Y8" s="10">
        <v>1.05986570061559</v>
      </c>
      <c r="AB8" s="8">
        <v>49.114176566526602</v>
      </c>
      <c r="AE8" s="9">
        <v>8.9987146712494398E-4</v>
      </c>
    </row>
    <row r="9" spans="1:77" x14ac:dyDescent="0.3">
      <c r="A9" s="1">
        <v>46035</v>
      </c>
      <c r="B9" s="8">
        <v>47</v>
      </c>
      <c r="C9" s="8">
        <v>49.77</v>
      </c>
      <c r="D9" s="9">
        <v>1.4142082705828301E-2</v>
      </c>
      <c r="E9" s="9">
        <v>1.41645427686508E-2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47</v>
      </c>
      <c r="M9" s="8">
        <v>49.77</v>
      </c>
      <c r="N9" s="10">
        <v>1.05893617021276</v>
      </c>
      <c r="O9" s="10">
        <v>1.0596043809708899</v>
      </c>
      <c r="R9" s="8">
        <v>49.801405905632002</v>
      </c>
      <c r="U9" s="9">
        <v>6.3082179844509904E-4</v>
      </c>
      <c r="X9" s="10">
        <v>1.05893617021276</v>
      </c>
      <c r="Y9" s="10">
        <v>1.05986570061559</v>
      </c>
      <c r="AB9" s="8">
        <v>49.8136879289329</v>
      </c>
      <c r="AE9" s="9">
        <v>8.7741140430237004E-4</v>
      </c>
      <c r="BJ9" s="12">
        <f>AVERAGE(BI22:BI200)</f>
        <v>5.5264426920773769E-5</v>
      </c>
      <c r="BV9" s="12">
        <f>AVERAGE(BU22:BU200)</f>
        <v>3.4990975117885955E-5</v>
      </c>
      <c r="BY9" s="12">
        <f>AVERAGE(BX22:BX200)</f>
        <v>9.0255402038659724E-5</v>
      </c>
    </row>
    <row r="10" spans="1:77" x14ac:dyDescent="0.3">
      <c r="A10" s="1">
        <v>46036</v>
      </c>
      <c r="B10" s="8">
        <v>48.06</v>
      </c>
      <c r="C10" s="8">
        <v>50.84</v>
      </c>
      <c r="D10" s="9">
        <v>2.2302628598264301E-2</v>
      </c>
      <c r="E10" s="9">
        <v>2.12710534507904E-2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48.06</v>
      </c>
      <c r="M10" s="8">
        <v>50.84</v>
      </c>
      <c r="N10" s="10">
        <v>1.05784436121514</v>
      </c>
      <c r="O10" s="10">
        <v>1.0596043809708899</v>
      </c>
      <c r="R10" s="8">
        <v>50.924586549461203</v>
      </c>
      <c r="U10" s="9">
        <v>1.6623969459187999E-3</v>
      </c>
      <c r="X10" s="10">
        <v>1.05784436121514</v>
      </c>
      <c r="Y10" s="10">
        <v>1.05986570061559</v>
      </c>
      <c r="AB10" s="8">
        <v>50.937145571585397</v>
      </c>
      <c r="AE10" s="9">
        <v>1.90898655177616E-3</v>
      </c>
      <c r="AZ10" s="13"/>
      <c r="BJ10" s="12">
        <f>STDEV(BI22:BI200)</f>
        <v>5.5900944700666049E-4</v>
      </c>
      <c r="BL10" s="13"/>
      <c r="BV10" s="12">
        <f>STDEV(BU22:BU200)</f>
        <v>5.0931986261684118E-4</v>
      </c>
      <c r="BY10" s="12">
        <f>STDEV(BX22:BX200)</f>
        <v>7.5366046693787602E-4</v>
      </c>
    </row>
    <row r="11" spans="1:77" x14ac:dyDescent="0.3">
      <c r="A11" s="1">
        <v>46037</v>
      </c>
      <c r="B11" s="8">
        <v>47.61</v>
      </c>
      <c r="C11" s="8">
        <v>50.43</v>
      </c>
      <c r="D11" s="9">
        <v>-9.4074071018954795E-3</v>
      </c>
      <c r="E11" s="9">
        <v>-8.0972102326194693E-3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47.61</v>
      </c>
      <c r="M11" s="8">
        <v>50.43</v>
      </c>
      <c r="N11" s="10">
        <v>1.05923125393824</v>
      </c>
      <c r="O11" s="10">
        <v>1.0596043809708899</v>
      </c>
      <c r="P11" s="10">
        <v>1.0598224470051201</v>
      </c>
      <c r="R11" s="8">
        <v>50.447764578024298</v>
      </c>
      <c r="U11" s="9">
        <v>3.52200076642776E-4</v>
      </c>
      <c r="X11" s="10">
        <v>1.05923125393824</v>
      </c>
      <c r="Y11" s="10">
        <v>1.05986570061559</v>
      </c>
      <c r="Z11" s="10">
        <v>1.0598224470051201</v>
      </c>
      <c r="AB11" s="8">
        <v>50.460206006308397</v>
      </c>
      <c r="AE11" s="9">
        <v>5.98789682500199E-4</v>
      </c>
      <c r="BJ11">
        <f>SQRT(252)*BJ9/BJ10</f>
        <v>1.5693752307459126</v>
      </c>
      <c r="BV11">
        <f>SQRT(252)*BV9/BV10</f>
        <v>1.0906005253899251</v>
      </c>
      <c r="BY11">
        <f>SQRT(252)*BY9/BY10</f>
        <v>1.901068388883367</v>
      </c>
    </row>
    <row r="12" spans="1:77" x14ac:dyDescent="0.3">
      <c r="A12" s="1">
        <v>46038</v>
      </c>
      <c r="B12" s="8">
        <v>47.69</v>
      </c>
      <c r="C12" s="8">
        <v>50.55</v>
      </c>
      <c r="D12" s="9">
        <v>1.6789091037056399E-3</v>
      </c>
      <c r="E12" s="9">
        <v>2.3767093778465399E-3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47.69</v>
      </c>
      <c r="M12" s="8">
        <v>50.55</v>
      </c>
      <c r="N12" s="10">
        <v>1.0599706437408201</v>
      </c>
      <c r="O12" s="10">
        <v>1.0596043809708899</v>
      </c>
      <c r="P12" s="10">
        <v>1.0594668279180799</v>
      </c>
      <c r="R12" s="8">
        <v>50.532532928502</v>
      </c>
      <c r="S12" s="8">
        <v>50.5429324976743</v>
      </c>
      <c r="U12" s="9">
        <v>-3.4560019749811102E-4</v>
      </c>
      <c r="V12" s="9">
        <v>-1.3982188789256E-4</v>
      </c>
      <c r="X12" s="10">
        <v>1.0599706437408201</v>
      </c>
      <c r="Y12" s="10">
        <v>1.05986570061559</v>
      </c>
      <c r="Z12" s="10">
        <v>1.0594668279180799</v>
      </c>
      <c r="AB12" s="8">
        <v>50.544995262357602</v>
      </c>
      <c r="AC12" s="8">
        <v>50.5429324976743</v>
      </c>
      <c r="AE12" s="9">
        <v>-9.9010591640648002E-5</v>
      </c>
      <c r="AF12" s="9">
        <v>-1.3982188789256E-4</v>
      </c>
    </row>
    <row r="13" spans="1:77" x14ac:dyDescent="0.3">
      <c r="A13" s="1">
        <v>46042</v>
      </c>
      <c r="B13" s="8">
        <v>47.6</v>
      </c>
      <c r="C13" s="8">
        <v>50.42</v>
      </c>
      <c r="D13" s="9">
        <v>-1.8889710727585699E-3</v>
      </c>
      <c r="E13" s="9">
        <v>-2.57502370670658E-3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47.6</v>
      </c>
      <c r="M13" s="8">
        <v>50.42</v>
      </c>
      <c r="N13" s="10">
        <v>1.0592436974789901</v>
      </c>
      <c r="O13" s="10">
        <v>1.0596043809708899</v>
      </c>
      <c r="P13" s="10">
        <v>1.05933446915244</v>
      </c>
      <c r="R13" s="8">
        <v>50.437168534214599</v>
      </c>
      <c r="S13" s="8">
        <v>50.4306210089009</v>
      </c>
      <c r="U13" s="9">
        <v>3.40452436449883E-4</v>
      </c>
      <c r="V13" s="9">
        <v>2.1062852829257001E-4</v>
      </c>
      <c r="X13" s="10">
        <v>1.0592436974789901</v>
      </c>
      <c r="Y13" s="10">
        <v>1.05986570061559</v>
      </c>
      <c r="Z13" s="10">
        <v>1.05933446915244</v>
      </c>
      <c r="AB13" s="8">
        <v>50.449607349302198</v>
      </c>
      <c r="AC13" s="8">
        <v>50.4306210089009</v>
      </c>
      <c r="AE13" s="9">
        <v>5.8704204230745503E-4</v>
      </c>
      <c r="AF13" s="9">
        <v>2.1062852829257001E-4</v>
      </c>
    </row>
    <row r="14" spans="1:77" x14ac:dyDescent="0.3">
      <c r="A14" s="1">
        <v>46043</v>
      </c>
      <c r="B14" s="8">
        <v>48.75</v>
      </c>
      <c r="C14" s="8">
        <v>51.63</v>
      </c>
      <c r="D14" s="9">
        <v>2.38724362064817E-2</v>
      </c>
      <c r="E14" s="9">
        <v>2.3714977131783901E-2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48.75</v>
      </c>
      <c r="M14" s="8">
        <v>51.63</v>
      </c>
      <c r="N14" s="10">
        <v>1.0590769230769199</v>
      </c>
      <c r="O14" s="10">
        <v>1.0596043809708899</v>
      </c>
      <c r="P14" s="10">
        <v>1.0591071921349799</v>
      </c>
      <c r="R14" s="8">
        <v>51.655713572331102</v>
      </c>
      <c r="S14" s="8">
        <v>51.642555371181601</v>
      </c>
      <c r="U14" s="9">
        <v>4.9791151114759796E-4</v>
      </c>
      <c r="V14" s="9">
        <v>2.43150199942488E-4</v>
      </c>
      <c r="X14" s="10">
        <v>1.0590769230769199</v>
      </c>
      <c r="Y14" s="10">
        <v>1.05986570061559</v>
      </c>
      <c r="Z14" s="10">
        <v>1.0591071921349799</v>
      </c>
      <c r="AB14" s="8">
        <v>51.668452905010199</v>
      </c>
      <c r="AC14" s="8">
        <v>51.642555371181601</v>
      </c>
      <c r="AE14" s="9">
        <v>7.4450111700512895E-4</v>
      </c>
      <c r="AF14" s="9">
        <v>2.43150199942488E-4</v>
      </c>
    </row>
    <row r="15" spans="1:77" x14ac:dyDescent="0.3">
      <c r="A15" s="1">
        <v>46044</v>
      </c>
      <c r="B15" s="8">
        <v>48.91</v>
      </c>
      <c r="C15" s="8">
        <v>51.77</v>
      </c>
      <c r="D15" s="9">
        <v>3.2766771074096302E-3</v>
      </c>
      <c r="E15" s="9">
        <v>2.7079320222522601E-3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48.91</v>
      </c>
      <c r="M15" s="8">
        <v>51.77</v>
      </c>
      <c r="N15" s="10">
        <v>1.05847474953997</v>
      </c>
      <c r="O15" s="10">
        <v>1.0596043809708899</v>
      </c>
      <c r="P15" s="10">
        <v>1.05888331765401</v>
      </c>
      <c r="R15" s="8">
        <v>51.8252502732864</v>
      </c>
      <c r="S15" s="8">
        <v>51.800932767322003</v>
      </c>
      <c r="U15" s="9">
        <v>1.0666565963050401E-3</v>
      </c>
      <c r="V15" s="9">
        <v>5.9732528066115502E-4</v>
      </c>
      <c r="X15" s="10">
        <v>1.05847474953997</v>
      </c>
      <c r="Y15" s="10">
        <v>1.05986570061559</v>
      </c>
      <c r="Z15" s="10">
        <v>1.05888331765401</v>
      </c>
      <c r="AB15" s="8">
        <v>51.838031417108603</v>
      </c>
      <c r="AC15" s="8">
        <v>51.800932767322003</v>
      </c>
      <c r="AE15" s="9">
        <v>1.31324620216249E-3</v>
      </c>
      <c r="AF15" s="9">
        <v>5.9732528066115502E-4</v>
      </c>
    </row>
    <row r="16" spans="1:77" x14ac:dyDescent="0.3">
      <c r="A16" s="1">
        <v>46045</v>
      </c>
      <c r="B16" s="8">
        <v>49.19</v>
      </c>
      <c r="C16" s="8">
        <v>52.06</v>
      </c>
      <c r="D16" s="9">
        <v>5.7084762559826401E-3</v>
      </c>
      <c r="E16" s="9">
        <v>5.58606865260929E-3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49.19</v>
      </c>
      <c r="M16" s="8">
        <v>52.06</v>
      </c>
      <c r="N16" s="10">
        <v>1.05834519211221</v>
      </c>
      <c r="O16" s="10">
        <v>1.0596043809708899</v>
      </c>
      <c r="P16" s="10">
        <v>1.0588316929339801</v>
      </c>
      <c r="R16" s="8">
        <v>52.121939499958302</v>
      </c>
      <c r="S16" s="8">
        <v>52.086470395401001</v>
      </c>
      <c r="U16" s="9">
        <v>1.1890641996784401E-3</v>
      </c>
      <c r="V16" s="9">
        <v>5.0833015983181898E-4</v>
      </c>
      <c r="X16" s="10">
        <v>1.05834519211221</v>
      </c>
      <c r="Y16" s="10">
        <v>1.05986570061559</v>
      </c>
      <c r="Z16" s="10">
        <v>1.0588316929339801</v>
      </c>
      <c r="AB16" s="8">
        <v>52.134793813281</v>
      </c>
      <c r="AC16" s="8">
        <v>52.086470395401001</v>
      </c>
      <c r="AE16" s="9">
        <v>1.4356538055356699E-3</v>
      </c>
      <c r="AF16" s="9">
        <v>5.0833015983181898E-4</v>
      </c>
    </row>
    <row r="17" spans="1:77" x14ac:dyDescent="0.3">
      <c r="A17" s="1">
        <v>46048</v>
      </c>
      <c r="B17" s="8">
        <v>49.22</v>
      </c>
      <c r="C17" s="8">
        <v>52.09</v>
      </c>
      <c r="D17" s="9">
        <v>6.0969415566131005E-4</v>
      </c>
      <c r="E17" s="9">
        <v>5.7609219068078697E-4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49.22</v>
      </c>
      <c r="M17" s="8">
        <v>52.09</v>
      </c>
      <c r="N17" s="10">
        <v>1.05830963023161</v>
      </c>
      <c r="O17" s="10">
        <v>1.0596043809708899</v>
      </c>
      <c r="P17" s="10">
        <v>1.0588345008253599</v>
      </c>
      <c r="R17" s="8">
        <v>52.153727631387397</v>
      </c>
      <c r="S17" s="8">
        <v>52.115695926210499</v>
      </c>
      <c r="U17" s="9">
        <v>1.2226661646589801E-3</v>
      </c>
      <c r="V17" s="9">
        <v>4.9317700924003899E-4</v>
      </c>
      <c r="X17" s="10">
        <v>1.05830963023161</v>
      </c>
      <c r="Y17" s="10">
        <v>1.05986570061559</v>
      </c>
      <c r="Z17" s="10">
        <v>1.0588345008253599</v>
      </c>
      <c r="AB17" s="8">
        <v>52.166589784299497</v>
      </c>
      <c r="AC17" s="8">
        <v>52.115695926210499</v>
      </c>
      <c r="AE17" s="9">
        <v>1.46925577051633E-3</v>
      </c>
      <c r="AF17" s="9">
        <v>4.9317700924003899E-4</v>
      </c>
    </row>
    <row r="18" spans="1:77" x14ac:dyDescent="0.3">
      <c r="A18" s="1">
        <v>46049</v>
      </c>
      <c r="B18" s="8">
        <v>49.67</v>
      </c>
      <c r="C18" s="8">
        <v>52.57</v>
      </c>
      <c r="D18" s="9">
        <v>9.1010841563493906E-3</v>
      </c>
      <c r="E18" s="9">
        <v>9.1726230742564998E-3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49.67</v>
      </c>
      <c r="M18" s="8">
        <v>52.57</v>
      </c>
      <c r="N18" s="10">
        <v>1.0583853432655499</v>
      </c>
      <c r="O18" s="10">
        <v>1.0596043809708899</v>
      </c>
      <c r="P18" s="10">
        <v>1.0587817964812201</v>
      </c>
      <c r="R18" s="8">
        <v>52.630549602824303</v>
      </c>
      <c r="S18" s="8">
        <v>52.592309655995898</v>
      </c>
      <c r="U18" s="9">
        <v>1.1511272467517699E-3</v>
      </c>
      <c r="V18" s="9">
        <v>4.2428996478992401E-4</v>
      </c>
      <c r="X18" s="10">
        <v>1.0583853432655499</v>
      </c>
      <c r="Y18" s="10">
        <v>1.05986570061559</v>
      </c>
      <c r="Z18" s="10">
        <v>1.0587817964812201</v>
      </c>
      <c r="AB18" s="8">
        <v>52.643529349576497</v>
      </c>
      <c r="AC18" s="8">
        <v>52.592309655995898</v>
      </c>
      <c r="AE18" s="9">
        <v>1.3977168526091801E-3</v>
      </c>
      <c r="AF18" s="9">
        <v>4.2428996478992401E-4</v>
      </c>
    </row>
    <row r="19" spans="1:77" x14ac:dyDescent="0.3">
      <c r="A19" s="1">
        <v>46050</v>
      </c>
      <c r="B19" s="8">
        <v>50.05</v>
      </c>
      <c r="C19" s="8">
        <v>52.98</v>
      </c>
      <c r="D19" s="9">
        <v>7.62137664197041E-3</v>
      </c>
      <c r="E19" s="9">
        <v>7.7688690125669304E-3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50.05</v>
      </c>
      <c r="M19" s="8">
        <v>52.98</v>
      </c>
      <c r="N19" s="10">
        <v>1.0585414585414501</v>
      </c>
      <c r="O19" s="10">
        <v>1.0596043809708899</v>
      </c>
      <c r="P19" s="10">
        <v>1.05874232531409</v>
      </c>
      <c r="R19" s="8">
        <v>53.033199267593297</v>
      </c>
      <c r="S19" s="8">
        <v>52.992028913885299</v>
      </c>
      <c r="U19" s="9">
        <v>1.00363487615523E-3</v>
      </c>
      <c r="V19" s="9">
        <v>2.2702054608750199E-4</v>
      </c>
      <c r="X19" s="10">
        <v>1.0585414585414501</v>
      </c>
      <c r="Y19" s="10">
        <v>1.05986570061559</v>
      </c>
      <c r="Z19" s="10">
        <v>1.05874232531409</v>
      </c>
      <c r="AB19" s="8">
        <v>53.046278315810397</v>
      </c>
      <c r="AC19" s="8">
        <v>52.992028913885299</v>
      </c>
      <c r="AE19" s="9">
        <v>1.2502244820127701E-3</v>
      </c>
      <c r="AF19" s="9">
        <v>2.2702054608750199E-4</v>
      </c>
      <c r="BX19" s="6" t="s">
        <v>33</v>
      </c>
      <c r="BY19" s="6" t="s">
        <v>33</v>
      </c>
    </row>
    <row r="20" spans="1:77" x14ac:dyDescent="0.3">
      <c r="A20" s="1">
        <v>46051</v>
      </c>
      <c r="B20" s="8">
        <v>50.51</v>
      </c>
      <c r="C20" s="8">
        <v>53.46</v>
      </c>
      <c r="D20" s="9">
        <v>9.1488307187316993E-3</v>
      </c>
      <c r="E20" s="9">
        <v>9.0192268668494498E-3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50.51</v>
      </c>
      <c r="M20" s="8">
        <v>53.46</v>
      </c>
      <c r="N20" s="10">
        <v>1.0584042763809101</v>
      </c>
      <c r="O20" s="10">
        <v>1.0596043809708899</v>
      </c>
      <c r="P20" s="10">
        <v>1.05879831683067</v>
      </c>
      <c r="R20" s="8">
        <v>53.5206172828399</v>
      </c>
      <c r="S20" s="8">
        <v>53.477074851614901</v>
      </c>
      <c r="U20" s="9">
        <v>1.1332387280376199E-3</v>
      </c>
      <c r="V20" s="9">
        <v>3.1934390918656499E-4</v>
      </c>
      <c r="X20" s="10">
        <v>1.0584042763809101</v>
      </c>
      <c r="Y20" s="10">
        <v>1.05986570061559</v>
      </c>
      <c r="Z20" s="10">
        <v>1.05879831683067</v>
      </c>
      <c r="AB20" s="8">
        <v>53.533816538093603</v>
      </c>
      <c r="AC20" s="8">
        <v>53.477074851614901</v>
      </c>
      <c r="AE20" s="9">
        <v>1.3798283338949801E-3</v>
      </c>
      <c r="AF20" s="9">
        <v>3.1934390918656499E-4</v>
      </c>
      <c r="AZ20" s="14" t="s">
        <v>34</v>
      </c>
      <c r="BA20" s="15">
        <v>-2E-3</v>
      </c>
      <c r="BB20" s="6" t="s">
        <v>35</v>
      </c>
      <c r="BC20" s="6" t="s">
        <v>36</v>
      </c>
      <c r="BD20" s="6" t="s">
        <v>37</v>
      </c>
      <c r="BE20" s="6" t="s">
        <v>38</v>
      </c>
      <c r="BF20" s="6" t="s">
        <v>39</v>
      </c>
      <c r="BG20" s="6" t="str">
        <f>D1</f>
        <v>XLE log rtn</v>
      </c>
      <c r="BH20" s="6" t="str">
        <f>E1</f>
        <v>IYE log rtn</v>
      </c>
      <c r="BI20" s="6" t="s">
        <v>40</v>
      </c>
      <c r="BJ20" s="6" t="s">
        <v>41</v>
      </c>
      <c r="BL20" s="14" t="s">
        <v>34</v>
      </c>
      <c r="BM20" s="15">
        <v>2E-3</v>
      </c>
      <c r="BN20" s="6" t="s">
        <v>36</v>
      </c>
      <c r="BO20" s="6" t="s">
        <v>35</v>
      </c>
      <c r="BP20" s="6" t="s">
        <v>37</v>
      </c>
      <c r="BQ20" s="6" t="s">
        <v>38</v>
      </c>
      <c r="BR20" s="6" t="s">
        <v>39</v>
      </c>
      <c r="BS20" s="7" t="str">
        <f>D1</f>
        <v>XLE log rtn</v>
      </c>
      <c r="BT20" s="7" t="str">
        <f>E1</f>
        <v>IYE log rtn</v>
      </c>
      <c r="BU20" s="6" t="s">
        <v>40</v>
      </c>
      <c r="BV20" s="6" t="s">
        <v>41</v>
      </c>
      <c r="BX20" s="6" t="s">
        <v>40</v>
      </c>
      <c r="BY20" s="6" t="s">
        <v>41</v>
      </c>
    </row>
    <row r="21" spans="1:77" x14ac:dyDescent="0.3">
      <c r="A21" s="1">
        <v>46052</v>
      </c>
      <c r="B21" s="8">
        <v>51.05</v>
      </c>
      <c r="C21" s="8">
        <v>53.97</v>
      </c>
      <c r="D21" s="9">
        <v>1.06342081307132E-2</v>
      </c>
      <c r="E21" s="9">
        <v>9.4946259197783798E-3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51.05</v>
      </c>
      <c r="M21" s="8">
        <v>53.97</v>
      </c>
      <c r="N21" s="10">
        <v>1.0571988246816799</v>
      </c>
      <c r="O21" s="10">
        <v>1.0596043809708899</v>
      </c>
      <c r="P21" s="10">
        <v>1.0585950739050101</v>
      </c>
      <c r="Q21" s="10">
        <v>1.05920876045506</v>
      </c>
      <c r="R21" s="8">
        <v>54.0928036485642</v>
      </c>
      <c r="S21" s="8">
        <v>54.0516540742057</v>
      </c>
      <c r="U21" s="9">
        <v>2.2728209389725499E-3</v>
      </c>
      <c r="V21" s="9">
        <v>1.51180965442101E-3</v>
      </c>
      <c r="X21" s="10">
        <v>1.0571988246816799</v>
      </c>
      <c r="Y21" s="10">
        <v>1.05986570061559</v>
      </c>
      <c r="Z21" s="10">
        <v>1.0585950739050101</v>
      </c>
      <c r="AA21" s="10">
        <v>1.05920876045506</v>
      </c>
      <c r="AB21" s="8">
        <v>54.106144016426001</v>
      </c>
      <c r="AC21" s="8">
        <v>54.0516540742057</v>
      </c>
      <c r="AE21" s="9">
        <v>2.51941054482995E-3</v>
      </c>
      <c r="AF21" s="9">
        <v>1.51180965442101E-3</v>
      </c>
      <c r="BA21" s="15">
        <v>0</v>
      </c>
      <c r="BE21">
        <f>IF(F22+H22&gt;0,0,1)</f>
        <v>1</v>
      </c>
      <c r="BF21" s="16">
        <v>0</v>
      </c>
      <c r="BM21" s="15">
        <v>0</v>
      </c>
      <c r="BQ21">
        <f>IF(F22+H22&gt;0,0,1)</f>
        <v>1</v>
      </c>
      <c r="BR21" s="16">
        <v>0</v>
      </c>
    </row>
    <row r="22" spans="1:77" x14ac:dyDescent="0.3">
      <c r="A22" s="1">
        <v>46055</v>
      </c>
      <c r="B22" s="8">
        <v>50.05</v>
      </c>
      <c r="C22" s="8">
        <v>52.98</v>
      </c>
      <c r="D22" s="9">
        <v>-1.9783038849444899E-2</v>
      </c>
      <c r="E22" s="9">
        <v>-1.8513852786627798E-2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50.05</v>
      </c>
      <c r="M22" s="8">
        <v>52.98</v>
      </c>
      <c r="N22" s="10">
        <v>1.0585414585414501</v>
      </c>
      <c r="O22" s="10">
        <v>1.0596043809708899</v>
      </c>
      <c r="P22" s="10">
        <v>1.0584521553850701</v>
      </c>
      <c r="Q22" s="10">
        <v>1.0589594916515801</v>
      </c>
      <c r="R22" s="8">
        <v>53.033199267593297</v>
      </c>
      <c r="S22" s="8">
        <v>52.982683448945998</v>
      </c>
      <c r="T22" s="8">
        <v>53.013398460776202</v>
      </c>
      <c r="U22" s="9">
        <v>1.00363487615523E-3</v>
      </c>
      <c r="V22" s="9">
        <v>5.06489428024264E-5</v>
      </c>
      <c r="W22" s="9">
        <v>6.3019890609357495E-4</v>
      </c>
      <c r="X22" s="10">
        <v>1.0585414585414501</v>
      </c>
      <c r="Y22" s="10">
        <v>1.05986570061559</v>
      </c>
      <c r="Z22" s="10">
        <v>1.0584521553850701</v>
      </c>
      <c r="AA22" s="10">
        <v>1.0589594916515801</v>
      </c>
      <c r="AB22" s="8">
        <v>53.046278315810397</v>
      </c>
      <c r="AC22" s="8">
        <v>52.982683448945998</v>
      </c>
      <c r="AD22" s="8">
        <v>53.013398460776202</v>
      </c>
      <c r="AE22" s="9">
        <v>1.2502244820127701E-3</v>
      </c>
      <c r="AF22" s="9">
        <v>5.06489428024264E-5</v>
      </c>
      <c r="AG22" s="9">
        <v>6.3019890609357495E-4</v>
      </c>
      <c r="AZ22" s="9"/>
      <c r="BB22">
        <f>IF($AG22&lt;BA$20,1,0)</f>
        <v>0</v>
      </c>
      <c r="BC22">
        <f>IF($AG22&gt;BA$21,1,0)</f>
        <v>1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9">
        <f>BF22*D22</f>
        <v>0</v>
      </c>
      <c r="BH22" s="9">
        <f>-BF22*$E22</f>
        <v>0</v>
      </c>
      <c r="BI22" s="9">
        <f>BG22+BH22</f>
        <v>0</v>
      </c>
      <c r="BJ22" s="12">
        <f>BJ21+BI22</f>
        <v>0</v>
      </c>
      <c r="BL22" s="9"/>
      <c r="BN22">
        <f>IF($AG22&gt;BM$20,1,0)</f>
        <v>0</v>
      </c>
      <c r="BO22">
        <f>IF($AG22&lt;BM$21,1,0)</f>
        <v>0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9">
        <f>-BR22*D22</f>
        <v>0</v>
      </c>
      <c r="BT22" s="9">
        <f>BR22*$E22</f>
        <v>0</v>
      </c>
      <c r="BU22" s="9">
        <f>BS22+BT22</f>
        <v>0</v>
      </c>
      <c r="BV22" s="12">
        <f>BV21+BU22</f>
        <v>0</v>
      </c>
      <c r="BX22" s="12">
        <f>BI22+BU22</f>
        <v>0</v>
      </c>
      <c r="BY22" s="12">
        <f>BY21+BX22</f>
        <v>0</v>
      </c>
    </row>
    <row r="23" spans="1:77" x14ac:dyDescent="0.3">
      <c r="A23" s="1">
        <v>46056</v>
      </c>
      <c r="B23" s="8">
        <v>51.67</v>
      </c>
      <c r="C23" s="8">
        <v>54.62</v>
      </c>
      <c r="D23" s="9">
        <v>3.1854836537863702E-2</v>
      </c>
      <c r="E23" s="9">
        <v>3.04856322016352E-2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51.67</v>
      </c>
      <c r="M23" s="8">
        <v>54.62</v>
      </c>
      <c r="N23" s="10">
        <v>1.05709309076833</v>
      </c>
      <c r="O23" s="10">
        <v>1.0596043809708899</v>
      </c>
      <c r="P23" s="10">
        <v>1.0582370947140101</v>
      </c>
      <c r="Q23" s="10">
        <v>1.05878578193322</v>
      </c>
      <c r="R23" s="8">
        <v>54.749758364766102</v>
      </c>
      <c r="S23" s="8">
        <v>54.690222868747</v>
      </c>
      <c r="T23" s="8">
        <v>54.716436933637297</v>
      </c>
      <c r="U23" s="9">
        <v>2.3728392123836899E-3</v>
      </c>
      <c r="V23" s="9">
        <v>1.28483643275847E-3</v>
      </c>
      <c r="W23" s="9">
        <v>1.7640406318320801E-3</v>
      </c>
      <c r="X23" s="10">
        <v>1.05709309076833</v>
      </c>
      <c r="Y23" s="10">
        <v>1.05986570061559</v>
      </c>
      <c r="Z23" s="10">
        <v>1.0582370947140101</v>
      </c>
      <c r="AA23" s="10">
        <v>1.05878578193322</v>
      </c>
      <c r="AB23" s="8">
        <v>54.763260750807703</v>
      </c>
      <c r="AC23" s="8">
        <v>54.690222868747</v>
      </c>
      <c r="AD23" s="8">
        <v>54.716436933637297</v>
      </c>
      <c r="AE23" s="9">
        <v>2.6194288182411298E-3</v>
      </c>
      <c r="AF23" s="9">
        <v>1.28483643275847E-3</v>
      </c>
      <c r="AG23" s="9">
        <v>1.7640406318320801E-3</v>
      </c>
      <c r="AZ23" s="9"/>
      <c r="BB23">
        <f t="shared" ref="BB23:BB86" si="2">IF($AG23&lt;BA$20,1,0)</f>
        <v>0</v>
      </c>
      <c r="BC23">
        <f t="shared" ref="BC23:BC86" si="3">IF($AG23&gt;BA$21,1,0)</f>
        <v>1</v>
      </c>
      <c r="BD23">
        <f t="shared" ref="BD23:BD86" si="4">BF23</f>
        <v>0</v>
      </c>
      <c r="BE23">
        <f t="shared" si="0"/>
        <v>1</v>
      </c>
      <c r="BF23">
        <f t="shared" ref="BF23:BF86" si="5">IF(BB22,1,IF(BC22,0,BD22))*BE22</f>
        <v>0</v>
      </c>
      <c r="BG23" s="9">
        <f t="shared" ref="BG23:BG86" si="6">BF23*D23</f>
        <v>0</v>
      </c>
      <c r="BH23" s="9">
        <f t="shared" ref="BH23:BH86" si="7">-BF23*$E23</f>
        <v>0</v>
      </c>
      <c r="BI23" s="9">
        <f t="shared" ref="BI23:BI86" si="8">BG23+BH23</f>
        <v>0</v>
      </c>
      <c r="BJ23" s="12">
        <f t="shared" ref="BJ23:BJ86" si="9">BJ22+BI23</f>
        <v>0</v>
      </c>
      <c r="BL23" s="9"/>
      <c r="BN23">
        <f t="shared" ref="BN23:BN86" si="10">IF($AG23&gt;BM$20,1,0)</f>
        <v>0</v>
      </c>
      <c r="BO23">
        <f t="shared" ref="BO23:BO86" si="11">IF($AG23&lt;BM$21,1,0)</f>
        <v>0</v>
      </c>
      <c r="BP23">
        <f t="shared" ref="BP23:BP86" si="12">BR23</f>
        <v>0</v>
      </c>
      <c r="BQ23">
        <f t="shared" si="1"/>
        <v>1</v>
      </c>
      <c r="BR23">
        <f t="shared" ref="BR23:BR86" si="13">IF(BN22,1,IF(BO22,0,BP22))*BQ22</f>
        <v>0</v>
      </c>
      <c r="BS23" s="9">
        <f t="shared" ref="BS23:BS86" si="14">-BR23*D23</f>
        <v>0</v>
      </c>
      <c r="BT23" s="9">
        <f t="shared" ref="BT23:BT86" si="15">BR23*$E23</f>
        <v>0</v>
      </c>
      <c r="BU23" s="9">
        <f t="shared" ref="BU23:BU86" si="16">BS23+BT23</f>
        <v>0</v>
      </c>
      <c r="BV23" s="12">
        <f t="shared" ref="BV23:BV86" si="17">BV22+BU23</f>
        <v>0</v>
      </c>
      <c r="BX23" s="12">
        <f t="shared" ref="BX23:BX86" si="18">BI23+BU23</f>
        <v>0</v>
      </c>
      <c r="BY23" s="12">
        <f t="shared" ref="BY23:BY86" si="19">BY22+BX23</f>
        <v>0</v>
      </c>
    </row>
    <row r="24" spans="1:77" x14ac:dyDescent="0.3">
      <c r="A24" s="1">
        <v>46057</v>
      </c>
      <c r="B24" s="8">
        <v>52.83</v>
      </c>
      <c r="C24" s="8">
        <v>55.83</v>
      </c>
      <c r="D24" s="9">
        <v>2.22018688771311E-2</v>
      </c>
      <c r="E24" s="9">
        <v>2.19112432767102E-2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52.83</v>
      </c>
      <c r="M24" s="8">
        <v>55.83</v>
      </c>
      <c r="N24" s="10">
        <v>1.05678591709256</v>
      </c>
      <c r="O24" s="10">
        <v>1.0596043809708899</v>
      </c>
      <c r="P24" s="10">
        <v>1.05800799411557</v>
      </c>
      <c r="Q24" s="10">
        <v>1.05855759312528</v>
      </c>
      <c r="R24" s="8">
        <v>55.978899446692402</v>
      </c>
      <c r="S24" s="8">
        <v>55.906665713741297</v>
      </c>
      <c r="T24" s="8">
        <v>55.935652859532397</v>
      </c>
      <c r="U24" s="9">
        <v>2.6634648128048498E-3</v>
      </c>
      <c r="V24" s="9">
        <v>1.37225726725055E-3</v>
      </c>
      <c r="W24" s="9">
        <v>1.89061466201886E-3</v>
      </c>
      <c r="X24" s="10">
        <v>1.05678591709256</v>
      </c>
      <c r="Y24" s="10">
        <v>1.05986570061559</v>
      </c>
      <c r="Z24" s="10">
        <v>1.05800799411557</v>
      </c>
      <c r="AA24" s="10">
        <v>1.05855759312528</v>
      </c>
      <c r="AB24" s="8">
        <v>55.992704963521803</v>
      </c>
      <c r="AC24" s="8">
        <v>55.906665713741297</v>
      </c>
      <c r="AD24" s="8">
        <v>55.935652859532397</v>
      </c>
      <c r="AE24" s="9">
        <v>2.9100544186619701E-3</v>
      </c>
      <c r="AF24" s="9">
        <v>1.37225726725055E-3</v>
      </c>
      <c r="AG24" s="9">
        <v>1.89061466201886E-3</v>
      </c>
      <c r="AZ24" s="9"/>
      <c r="BB24">
        <f t="shared" si="2"/>
        <v>0</v>
      </c>
      <c r="BC24">
        <f t="shared" si="3"/>
        <v>1</v>
      </c>
      <c r="BD24">
        <f t="shared" si="4"/>
        <v>0</v>
      </c>
      <c r="BE24">
        <f t="shared" si="0"/>
        <v>1</v>
      </c>
      <c r="BF24">
        <f t="shared" si="5"/>
        <v>0</v>
      </c>
      <c r="BG24" s="9">
        <f t="shared" si="6"/>
        <v>0</v>
      </c>
      <c r="BH24" s="9">
        <f t="shared" si="7"/>
        <v>0</v>
      </c>
      <c r="BI24" s="9">
        <f t="shared" si="8"/>
        <v>0</v>
      </c>
      <c r="BJ24" s="12">
        <f t="shared" si="9"/>
        <v>0</v>
      </c>
      <c r="BL24" s="9"/>
      <c r="BN24">
        <f t="shared" si="10"/>
        <v>0</v>
      </c>
      <c r="BO24">
        <f t="shared" si="11"/>
        <v>0</v>
      </c>
      <c r="BP24">
        <f t="shared" si="12"/>
        <v>0</v>
      </c>
      <c r="BQ24">
        <f t="shared" si="1"/>
        <v>1</v>
      </c>
      <c r="BR24">
        <f t="shared" si="13"/>
        <v>0</v>
      </c>
      <c r="BS24" s="9">
        <f t="shared" si="14"/>
        <v>0</v>
      </c>
      <c r="BT24" s="9">
        <f t="shared" si="15"/>
        <v>0</v>
      </c>
      <c r="BU24" s="9">
        <f t="shared" si="16"/>
        <v>0</v>
      </c>
      <c r="BV24" s="12">
        <f t="shared" si="17"/>
        <v>0</v>
      </c>
      <c r="BX24" s="12">
        <f t="shared" si="18"/>
        <v>0</v>
      </c>
      <c r="BY24" s="12">
        <f t="shared" si="19"/>
        <v>0</v>
      </c>
    </row>
    <row r="25" spans="1:77" x14ac:dyDescent="0.3">
      <c r="A25" s="1">
        <v>46058</v>
      </c>
      <c r="B25" s="8">
        <v>52.21</v>
      </c>
      <c r="C25" s="8">
        <v>55.19</v>
      </c>
      <c r="D25" s="9">
        <v>-1.1805163753763399E-2</v>
      </c>
      <c r="E25" s="9">
        <v>-1.1529581870859101E-2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52.21</v>
      </c>
      <c r="M25" s="8">
        <v>55.19</v>
      </c>
      <c r="N25" s="10">
        <v>1.0570771882781</v>
      </c>
      <c r="O25" s="10">
        <v>1.0596043809708899</v>
      </c>
      <c r="P25" s="10">
        <v>1.05786823798939</v>
      </c>
      <c r="Q25" s="10">
        <v>1.0583757778217</v>
      </c>
      <c r="R25" s="8">
        <v>55.321944730490401</v>
      </c>
      <c r="S25" s="8">
        <v>55.238597372774201</v>
      </c>
      <c r="T25" s="8">
        <v>55.267291937070802</v>
      </c>
      <c r="U25" s="9">
        <v>2.3878829299004999E-3</v>
      </c>
      <c r="V25" s="9">
        <v>8.80159253449712E-4</v>
      </c>
      <c r="W25" s="9">
        <v>1.3994902161839999E-3</v>
      </c>
      <c r="X25" s="10">
        <v>1.0570771882781</v>
      </c>
      <c r="Y25" s="10">
        <v>1.05986570061559</v>
      </c>
      <c r="Z25" s="10">
        <v>1.05786823798939</v>
      </c>
      <c r="AA25" s="10">
        <v>1.0583757778217</v>
      </c>
      <c r="AB25" s="8">
        <v>55.3355882291401</v>
      </c>
      <c r="AC25" s="8">
        <v>55.238597372774201</v>
      </c>
      <c r="AD25" s="8">
        <v>55.267291937070802</v>
      </c>
      <c r="AE25" s="9">
        <v>2.6344725357579199E-3</v>
      </c>
      <c r="AF25" s="9">
        <v>8.80159253449712E-4</v>
      </c>
      <c r="AG25" s="9">
        <v>1.3994902161839999E-3</v>
      </c>
      <c r="AZ25" s="9"/>
      <c r="BB25">
        <f t="shared" si="2"/>
        <v>0</v>
      </c>
      <c r="BC25">
        <f t="shared" si="3"/>
        <v>1</v>
      </c>
      <c r="BD25">
        <f t="shared" si="4"/>
        <v>0</v>
      </c>
      <c r="BE25">
        <f t="shared" si="0"/>
        <v>1</v>
      </c>
      <c r="BF25">
        <f t="shared" si="5"/>
        <v>0</v>
      </c>
      <c r="BG25" s="9">
        <f t="shared" si="6"/>
        <v>0</v>
      </c>
      <c r="BH25" s="9">
        <f t="shared" si="7"/>
        <v>0</v>
      </c>
      <c r="BI25" s="9">
        <f t="shared" si="8"/>
        <v>0</v>
      </c>
      <c r="BJ25" s="12">
        <f t="shared" si="9"/>
        <v>0</v>
      </c>
      <c r="BL25" s="9"/>
      <c r="BN25">
        <f t="shared" si="10"/>
        <v>0</v>
      </c>
      <c r="BO25">
        <f t="shared" si="11"/>
        <v>0</v>
      </c>
      <c r="BP25">
        <f t="shared" si="12"/>
        <v>0</v>
      </c>
      <c r="BQ25">
        <f t="shared" si="1"/>
        <v>1</v>
      </c>
      <c r="BR25">
        <f t="shared" si="13"/>
        <v>0</v>
      </c>
      <c r="BS25" s="9">
        <f t="shared" si="14"/>
        <v>0</v>
      </c>
      <c r="BT25" s="9">
        <f t="shared" si="15"/>
        <v>0</v>
      </c>
      <c r="BU25" s="9">
        <f t="shared" si="16"/>
        <v>0</v>
      </c>
      <c r="BV25" s="12">
        <f t="shared" si="17"/>
        <v>0</v>
      </c>
      <c r="BX25" s="12">
        <f t="shared" si="18"/>
        <v>0</v>
      </c>
      <c r="BY25" s="12">
        <f t="shared" si="19"/>
        <v>0</v>
      </c>
    </row>
    <row r="26" spans="1:77" x14ac:dyDescent="0.3">
      <c r="A26" s="1">
        <v>46059</v>
      </c>
      <c r="B26" s="8">
        <v>53.25</v>
      </c>
      <c r="C26" s="8">
        <v>56.24</v>
      </c>
      <c r="D26" s="9">
        <v>1.9723757167073499E-2</v>
      </c>
      <c r="E26" s="9">
        <v>1.88464700509995E-2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53.25</v>
      </c>
      <c r="M26" s="8">
        <v>56.24</v>
      </c>
      <c r="N26" s="10">
        <v>1.0561502347417799</v>
      </c>
      <c r="O26" s="10">
        <v>1.0596043809708899</v>
      </c>
      <c r="P26" s="10">
        <v>1.05764874225234</v>
      </c>
      <c r="Q26" s="10">
        <v>1.05824021759316</v>
      </c>
      <c r="R26" s="8">
        <v>56.423933286700098</v>
      </c>
      <c r="S26" s="8">
        <v>56.331483672935001</v>
      </c>
      <c r="T26" s="8">
        <v>56.358510169005598</v>
      </c>
      <c r="U26" s="9">
        <v>3.26517004597443E-3</v>
      </c>
      <c r="V26" s="9">
        <v>1.62534400524625E-3</v>
      </c>
      <c r="W26" s="9">
        <v>2.10500498786569E-3</v>
      </c>
      <c r="X26" s="10">
        <v>1.0561502347417799</v>
      </c>
      <c r="Y26" s="10">
        <v>1.05986570061559</v>
      </c>
      <c r="Z26" s="10">
        <v>1.05764874225234</v>
      </c>
      <c r="AA26" s="10">
        <v>1.05824021759316</v>
      </c>
      <c r="AB26" s="8">
        <v>56.437848557780299</v>
      </c>
      <c r="AC26" s="8">
        <v>56.331483672935001</v>
      </c>
      <c r="AD26" s="8">
        <v>56.358510169005598</v>
      </c>
      <c r="AE26" s="9">
        <v>3.51175965183167E-3</v>
      </c>
      <c r="AF26" s="9">
        <v>1.62534400524625E-3</v>
      </c>
      <c r="AG26" s="9">
        <v>2.10500498786569E-3</v>
      </c>
      <c r="AZ26" s="9"/>
      <c r="BB26">
        <f t="shared" si="2"/>
        <v>0</v>
      </c>
      <c r="BC26">
        <f t="shared" si="3"/>
        <v>1</v>
      </c>
      <c r="BD26">
        <f t="shared" si="4"/>
        <v>0</v>
      </c>
      <c r="BE26">
        <f t="shared" si="0"/>
        <v>1</v>
      </c>
      <c r="BF26">
        <f t="shared" si="5"/>
        <v>0</v>
      </c>
      <c r="BG26" s="9">
        <f t="shared" si="6"/>
        <v>0</v>
      </c>
      <c r="BH26" s="9">
        <f t="shared" si="7"/>
        <v>0</v>
      </c>
      <c r="BI26" s="9">
        <f t="shared" si="8"/>
        <v>0</v>
      </c>
      <c r="BJ26" s="12">
        <f t="shared" si="9"/>
        <v>0</v>
      </c>
      <c r="BL26" s="9"/>
      <c r="BN26">
        <f t="shared" si="10"/>
        <v>1</v>
      </c>
      <c r="BO26">
        <f t="shared" si="11"/>
        <v>0</v>
      </c>
      <c r="BP26">
        <f t="shared" si="12"/>
        <v>0</v>
      </c>
      <c r="BQ26">
        <f t="shared" si="1"/>
        <v>1</v>
      </c>
      <c r="BR26">
        <f t="shared" si="13"/>
        <v>0</v>
      </c>
      <c r="BS26" s="9">
        <f t="shared" si="14"/>
        <v>0</v>
      </c>
      <c r="BT26" s="9">
        <f t="shared" si="15"/>
        <v>0</v>
      </c>
      <c r="BU26" s="9">
        <f t="shared" si="16"/>
        <v>0</v>
      </c>
      <c r="BV26" s="12">
        <f t="shared" si="17"/>
        <v>0</v>
      </c>
      <c r="BX26" s="12">
        <f t="shared" si="18"/>
        <v>0</v>
      </c>
      <c r="BY26" s="12">
        <f t="shared" si="19"/>
        <v>0</v>
      </c>
    </row>
    <row r="27" spans="1:77" x14ac:dyDescent="0.3">
      <c r="A27" s="1">
        <v>46062</v>
      </c>
      <c r="B27" s="8">
        <v>53.64</v>
      </c>
      <c r="C27" s="8">
        <v>56.69</v>
      </c>
      <c r="D27" s="9">
        <v>7.2972538239433104E-3</v>
      </c>
      <c r="E27" s="9">
        <v>7.9695808338027807E-3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53.64</v>
      </c>
      <c r="M27" s="8">
        <v>56.69</v>
      </c>
      <c r="N27" s="10">
        <v>1.05686055182699</v>
      </c>
      <c r="O27" s="10">
        <v>1.0596043809708899</v>
      </c>
      <c r="P27" s="10">
        <v>1.0575038344118799</v>
      </c>
      <c r="Q27" s="10">
        <v>1.05816916761862</v>
      </c>
      <c r="R27" s="8">
        <v>56.837178995278798</v>
      </c>
      <c r="S27" s="8">
        <v>56.732278534415897</v>
      </c>
      <c r="T27" s="8">
        <v>56.7640052716973</v>
      </c>
      <c r="U27" s="9">
        <v>2.5928430361148499E-3</v>
      </c>
      <c r="V27" s="9">
        <v>7.4550673677768904E-4</v>
      </c>
      <c r="W27" s="9">
        <v>1.3045865065083599E-3</v>
      </c>
      <c r="X27" s="10">
        <v>1.05686055182699</v>
      </c>
      <c r="Y27" s="10">
        <v>1.05986570061559</v>
      </c>
      <c r="Z27" s="10">
        <v>1.0575038344118799</v>
      </c>
      <c r="AA27" s="10">
        <v>1.05816916761862</v>
      </c>
      <c r="AB27" s="8">
        <v>56.851196181020399</v>
      </c>
      <c r="AC27" s="8">
        <v>56.732278534415897</v>
      </c>
      <c r="AD27" s="8">
        <v>56.7640052716973</v>
      </c>
      <c r="AE27" s="9">
        <v>2.8394326419722798E-3</v>
      </c>
      <c r="AF27" s="9">
        <v>7.4550673677768904E-4</v>
      </c>
      <c r="AG27" s="9">
        <v>1.3045865065083599E-3</v>
      </c>
      <c r="AZ27" s="9"/>
      <c r="BB27">
        <f t="shared" si="2"/>
        <v>0</v>
      </c>
      <c r="BC27">
        <f t="shared" si="3"/>
        <v>1</v>
      </c>
      <c r="BD27">
        <f t="shared" si="4"/>
        <v>0</v>
      </c>
      <c r="BE27">
        <f t="shared" si="0"/>
        <v>1</v>
      </c>
      <c r="BF27">
        <f t="shared" si="5"/>
        <v>0</v>
      </c>
      <c r="BG27" s="9">
        <f t="shared" si="6"/>
        <v>0</v>
      </c>
      <c r="BH27" s="9">
        <f t="shared" si="7"/>
        <v>0</v>
      </c>
      <c r="BI27" s="9">
        <f t="shared" si="8"/>
        <v>0</v>
      </c>
      <c r="BJ27" s="12">
        <f t="shared" si="9"/>
        <v>0</v>
      </c>
      <c r="BL27" s="9"/>
      <c r="BN27">
        <f t="shared" si="10"/>
        <v>0</v>
      </c>
      <c r="BO27">
        <f t="shared" si="11"/>
        <v>0</v>
      </c>
      <c r="BP27">
        <f t="shared" si="12"/>
        <v>1</v>
      </c>
      <c r="BQ27">
        <f t="shared" si="1"/>
        <v>1</v>
      </c>
      <c r="BR27">
        <f t="shared" si="13"/>
        <v>1</v>
      </c>
      <c r="BS27" s="9">
        <f t="shared" si="14"/>
        <v>-7.2972538239433104E-3</v>
      </c>
      <c r="BT27" s="9">
        <f t="shared" si="15"/>
        <v>7.9695808338027807E-3</v>
      </c>
      <c r="BU27" s="9">
        <f t="shared" si="16"/>
        <v>6.7232700985947035E-4</v>
      </c>
      <c r="BV27" s="12">
        <f t="shared" si="17"/>
        <v>6.7232700985947035E-4</v>
      </c>
      <c r="BX27" s="12">
        <f t="shared" si="18"/>
        <v>6.7232700985947035E-4</v>
      </c>
      <c r="BY27" s="12">
        <f t="shared" si="19"/>
        <v>6.7232700985947035E-4</v>
      </c>
    </row>
    <row r="28" spans="1:77" x14ac:dyDescent="0.3">
      <c r="A28" s="1">
        <v>46063</v>
      </c>
      <c r="B28" s="8">
        <v>53.58</v>
      </c>
      <c r="C28" s="8">
        <v>56.64</v>
      </c>
      <c r="D28" s="9">
        <v>-1.11919429701511E-3</v>
      </c>
      <c r="E28" s="9">
        <v>-8.8237895074794897E-4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53.58</v>
      </c>
      <c r="M28" s="8">
        <v>56.64</v>
      </c>
      <c r="N28" s="10">
        <v>1.05711086226203</v>
      </c>
      <c r="O28" s="10">
        <v>1.0596043809708899</v>
      </c>
      <c r="P28" s="10">
        <v>1.05737638631153</v>
      </c>
      <c r="Q28" s="10">
        <v>1.05807909139638</v>
      </c>
      <c r="R28" s="8">
        <v>56.7736027324205</v>
      </c>
      <c r="S28" s="8">
        <v>56.661055447788797</v>
      </c>
      <c r="T28" s="8">
        <v>56.696704001005898</v>
      </c>
      <c r="U28" s="9">
        <v>2.3560276898475698E-3</v>
      </c>
      <c r="V28" s="9">
        <v>3.7167258412520998E-4</v>
      </c>
      <c r="W28" s="9">
        <v>1.0006291648773E-3</v>
      </c>
      <c r="X28" s="10">
        <v>1.05711086226203</v>
      </c>
      <c r="Y28" s="10">
        <v>1.05986570061559</v>
      </c>
      <c r="Z28" s="10">
        <v>1.05737638631153</v>
      </c>
      <c r="AA28" s="10">
        <v>1.05807909139638</v>
      </c>
      <c r="AB28" s="8">
        <v>56.787604238983498</v>
      </c>
      <c r="AC28" s="8">
        <v>56.661055447788797</v>
      </c>
      <c r="AD28" s="8">
        <v>56.696704001005898</v>
      </c>
      <c r="AE28" s="9">
        <v>2.6026172957050401E-3</v>
      </c>
      <c r="AF28" s="9">
        <v>3.7167258412520998E-4</v>
      </c>
      <c r="AG28" s="9">
        <v>1.0006291648773E-3</v>
      </c>
      <c r="AZ28" s="9"/>
      <c r="BB28">
        <f t="shared" si="2"/>
        <v>0</v>
      </c>
      <c r="BC28">
        <f t="shared" si="3"/>
        <v>1</v>
      </c>
      <c r="BD28">
        <f t="shared" si="4"/>
        <v>0</v>
      </c>
      <c r="BE28">
        <f t="shared" si="0"/>
        <v>1</v>
      </c>
      <c r="BF28">
        <f t="shared" si="5"/>
        <v>0</v>
      </c>
      <c r="BG28" s="9">
        <f t="shared" si="6"/>
        <v>0</v>
      </c>
      <c r="BH28" s="9">
        <f t="shared" si="7"/>
        <v>0</v>
      </c>
      <c r="BI28" s="9">
        <f t="shared" si="8"/>
        <v>0</v>
      </c>
      <c r="BJ28" s="12">
        <f t="shared" si="9"/>
        <v>0</v>
      </c>
      <c r="BL28" s="9"/>
      <c r="BN28">
        <f t="shared" si="10"/>
        <v>0</v>
      </c>
      <c r="BO28">
        <f t="shared" si="11"/>
        <v>0</v>
      </c>
      <c r="BP28">
        <f t="shared" si="12"/>
        <v>1</v>
      </c>
      <c r="BQ28">
        <f t="shared" si="1"/>
        <v>1</v>
      </c>
      <c r="BR28">
        <f t="shared" si="13"/>
        <v>1</v>
      </c>
      <c r="BS28" s="9">
        <f t="shared" si="14"/>
        <v>1.11919429701511E-3</v>
      </c>
      <c r="BT28" s="9">
        <f t="shared" si="15"/>
        <v>-8.8237895074794897E-4</v>
      </c>
      <c r="BU28" s="9">
        <f t="shared" si="16"/>
        <v>2.3681534626716102E-4</v>
      </c>
      <c r="BV28" s="12">
        <f t="shared" si="17"/>
        <v>9.0914235612663138E-4</v>
      </c>
      <c r="BX28" s="12">
        <f t="shared" si="18"/>
        <v>2.3681534626716102E-4</v>
      </c>
      <c r="BY28" s="12">
        <f t="shared" si="19"/>
        <v>9.0914235612663138E-4</v>
      </c>
    </row>
    <row r="29" spans="1:77" x14ac:dyDescent="0.3">
      <c r="A29" s="1">
        <v>46064</v>
      </c>
      <c r="B29" s="8">
        <v>54.98</v>
      </c>
      <c r="C29" s="8">
        <v>58.07</v>
      </c>
      <c r="D29" s="9">
        <v>2.57936186206369E-2</v>
      </c>
      <c r="E29" s="9">
        <v>2.4933729998494102E-2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54.98</v>
      </c>
      <c r="M29" s="8">
        <v>58.07</v>
      </c>
      <c r="N29" s="10">
        <v>1.0562022553655801</v>
      </c>
      <c r="O29" s="10">
        <v>1.0596043809708899</v>
      </c>
      <c r="P29" s="10">
        <v>1.0571424659939399</v>
      </c>
      <c r="Q29" s="10">
        <v>1.0579423956540199</v>
      </c>
      <c r="R29" s="8">
        <v>58.257048865779801</v>
      </c>
      <c r="S29" s="8">
        <v>58.134553719408103</v>
      </c>
      <c r="T29" s="8">
        <v>58.173188444972901</v>
      </c>
      <c r="U29" s="9">
        <v>3.2159163119904401E-3</v>
      </c>
      <c r="V29" s="9">
        <v>1.11103608219066E-3</v>
      </c>
      <c r="W29" s="9">
        <v>1.77538956832815E-3</v>
      </c>
      <c r="X29" s="10">
        <v>1.0562022553655801</v>
      </c>
      <c r="Y29" s="10">
        <v>1.05986570061559</v>
      </c>
      <c r="Z29" s="10">
        <v>1.0571424659939399</v>
      </c>
      <c r="AA29" s="10">
        <v>1.0579423956540199</v>
      </c>
      <c r="AB29" s="8">
        <v>58.2714162198453</v>
      </c>
      <c r="AC29" s="8">
        <v>58.134553719408103</v>
      </c>
      <c r="AD29" s="8">
        <v>58.173188444972901</v>
      </c>
      <c r="AE29" s="9">
        <v>3.4625059178477E-3</v>
      </c>
      <c r="AF29" s="9">
        <v>1.11103608219066E-3</v>
      </c>
      <c r="AG29" s="9">
        <v>1.77538956832815E-3</v>
      </c>
      <c r="AZ29" s="9"/>
      <c r="BB29">
        <f t="shared" si="2"/>
        <v>0</v>
      </c>
      <c r="BC29">
        <f t="shared" si="3"/>
        <v>1</v>
      </c>
      <c r="BD29">
        <f t="shared" si="4"/>
        <v>0</v>
      </c>
      <c r="BE29">
        <f t="shared" si="0"/>
        <v>1</v>
      </c>
      <c r="BF29">
        <f t="shared" si="5"/>
        <v>0</v>
      </c>
      <c r="BG29" s="9">
        <f t="shared" si="6"/>
        <v>0</v>
      </c>
      <c r="BH29" s="9">
        <f t="shared" si="7"/>
        <v>0</v>
      </c>
      <c r="BI29" s="9">
        <f t="shared" si="8"/>
        <v>0</v>
      </c>
      <c r="BJ29" s="12">
        <f t="shared" si="9"/>
        <v>0</v>
      </c>
      <c r="BL29" s="9"/>
      <c r="BN29">
        <f t="shared" si="10"/>
        <v>0</v>
      </c>
      <c r="BO29">
        <f t="shared" si="11"/>
        <v>0</v>
      </c>
      <c r="BP29">
        <f t="shared" si="12"/>
        <v>1</v>
      </c>
      <c r="BQ29">
        <f t="shared" si="1"/>
        <v>1</v>
      </c>
      <c r="BR29">
        <f t="shared" si="13"/>
        <v>1</v>
      </c>
      <c r="BS29" s="9">
        <f t="shared" si="14"/>
        <v>-2.57936186206369E-2</v>
      </c>
      <c r="BT29" s="9">
        <f t="shared" si="15"/>
        <v>2.4933729998494102E-2</v>
      </c>
      <c r="BU29" s="9">
        <f t="shared" si="16"/>
        <v>-8.5988862214279871E-4</v>
      </c>
      <c r="BV29" s="12">
        <f t="shared" si="17"/>
        <v>4.9253733983832667E-5</v>
      </c>
      <c r="BX29" s="12">
        <f t="shared" si="18"/>
        <v>-8.5988862214279871E-4</v>
      </c>
      <c r="BY29" s="12">
        <f t="shared" si="19"/>
        <v>4.9253733983832667E-5</v>
      </c>
    </row>
    <row r="30" spans="1:77" x14ac:dyDescent="0.3">
      <c r="A30" s="1">
        <v>46065</v>
      </c>
      <c r="B30" s="8">
        <v>53.98</v>
      </c>
      <c r="C30" s="8">
        <v>56.98</v>
      </c>
      <c r="D30" s="9">
        <v>-1.8355875147241001E-2</v>
      </c>
      <c r="E30" s="9">
        <v>-1.89488503141962E-2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53.98</v>
      </c>
      <c r="M30" s="8">
        <v>56.98</v>
      </c>
      <c r="N30" s="10">
        <v>1.05557613931085</v>
      </c>
      <c r="O30" s="10">
        <v>1.0596043809708899</v>
      </c>
      <c r="P30" s="10">
        <v>1.05685965228694</v>
      </c>
      <c r="Q30" s="10">
        <v>1.0578289845588</v>
      </c>
      <c r="R30" s="8">
        <v>57.197444484808898</v>
      </c>
      <c r="S30" s="8">
        <v>57.064550314353198</v>
      </c>
      <c r="T30" s="8">
        <v>57.107730517404001</v>
      </c>
      <c r="U30" s="9">
        <v>3.8088914789457299E-3</v>
      </c>
      <c r="V30" s="9">
        <v>1.48275966911257E-3</v>
      </c>
      <c r="W30" s="9">
        <v>2.2391640221659198E-3</v>
      </c>
      <c r="X30" s="10">
        <v>1.05557613931085</v>
      </c>
      <c r="Y30" s="10">
        <v>1.05986570061559</v>
      </c>
      <c r="Z30" s="10">
        <v>1.05685965228694</v>
      </c>
      <c r="AA30" s="10">
        <v>1.0578289845588</v>
      </c>
      <c r="AB30" s="8">
        <v>57.211550519229696</v>
      </c>
      <c r="AC30" s="8">
        <v>57.064550314353198</v>
      </c>
      <c r="AD30" s="8">
        <v>57.107730517404001</v>
      </c>
      <c r="AE30" s="9">
        <v>4.0554810848032596E-3</v>
      </c>
      <c r="AF30" s="9">
        <v>1.48275966911257E-3</v>
      </c>
      <c r="AG30" s="9">
        <v>2.2391640221659198E-3</v>
      </c>
      <c r="AZ30" s="9"/>
      <c r="BB30">
        <f t="shared" si="2"/>
        <v>0</v>
      </c>
      <c r="BC30">
        <f t="shared" si="3"/>
        <v>1</v>
      </c>
      <c r="BD30">
        <f t="shared" si="4"/>
        <v>0</v>
      </c>
      <c r="BE30">
        <f t="shared" si="0"/>
        <v>1</v>
      </c>
      <c r="BF30">
        <f t="shared" si="5"/>
        <v>0</v>
      </c>
      <c r="BG30" s="9">
        <f t="shared" si="6"/>
        <v>0</v>
      </c>
      <c r="BH30" s="9">
        <f t="shared" si="7"/>
        <v>0</v>
      </c>
      <c r="BI30" s="9">
        <f t="shared" si="8"/>
        <v>0</v>
      </c>
      <c r="BJ30" s="12">
        <f t="shared" si="9"/>
        <v>0</v>
      </c>
      <c r="BL30" s="9"/>
      <c r="BN30">
        <f t="shared" si="10"/>
        <v>1</v>
      </c>
      <c r="BO30">
        <f t="shared" si="11"/>
        <v>0</v>
      </c>
      <c r="BP30">
        <f t="shared" si="12"/>
        <v>1</v>
      </c>
      <c r="BQ30">
        <f t="shared" si="1"/>
        <v>1</v>
      </c>
      <c r="BR30">
        <f t="shared" si="13"/>
        <v>1</v>
      </c>
      <c r="BS30" s="9">
        <f t="shared" si="14"/>
        <v>1.8355875147241001E-2</v>
      </c>
      <c r="BT30" s="9">
        <f t="shared" si="15"/>
        <v>-1.89488503141962E-2</v>
      </c>
      <c r="BU30" s="9">
        <f t="shared" si="16"/>
        <v>-5.9297516695519872E-4</v>
      </c>
      <c r="BV30" s="12">
        <f t="shared" si="17"/>
        <v>-5.4372143297136606E-4</v>
      </c>
      <c r="BX30" s="12">
        <f t="shared" si="18"/>
        <v>-5.9297516695519872E-4</v>
      </c>
      <c r="BY30" s="12">
        <f t="shared" si="19"/>
        <v>-5.4372143297136606E-4</v>
      </c>
    </row>
    <row r="31" spans="1:77" x14ac:dyDescent="0.3">
      <c r="A31" s="1">
        <v>46066</v>
      </c>
      <c r="B31" s="8">
        <v>54.35</v>
      </c>
      <c r="C31" s="8">
        <v>57.41</v>
      </c>
      <c r="D31" s="9">
        <v>6.8310059773598704E-3</v>
      </c>
      <c r="E31" s="9">
        <v>7.5181751097832001E-3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54.35</v>
      </c>
      <c r="M31" s="8">
        <v>57.41</v>
      </c>
      <c r="N31" s="10">
        <v>1.05630174793008</v>
      </c>
      <c r="O31" s="10">
        <v>1.0596043809708899</v>
      </c>
      <c r="P31" s="10">
        <v>1.05676994461178</v>
      </c>
      <c r="Q31" s="10">
        <v>1.0576825092583899</v>
      </c>
      <c r="R31" s="8">
        <v>57.589498105768101</v>
      </c>
      <c r="S31" s="8">
        <v>57.440322101795203</v>
      </c>
      <c r="T31" s="8">
        <v>57.493005310771103</v>
      </c>
      <c r="U31" s="9">
        <v>3.1217223465224899E-3</v>
      </c>
      <c r="V31" s="9">
        <v>5.2802816648407495E-4</v>
      </c>
      <c r="W31" s="9">
        <v>1.4447894549931401E-3</v>
      </c>
      <c r="X31" s="10">
        <v>1.05630174793008</v>
      </c>
      <c r="Y31" s="10">
        <v>1.05986570061559</v>
      </c>
      <c r="Z31" s="10">
        <v>1.05676994461178</v>
      </c>
      <c r="AA31" s="10">
        <v>1.0576825092583899</v>
      </c>
      <c r="AB31" s="8">
        <v>57.603700828457498</v>
      </c>
      <c r="AC31" s="8">
        <v>57.440322101795203</v>
      </c>
      <c r="AD31" s="8">
        <v>57.493005310771103</v>
      </c>
      <c r="AE31" s="9">
        <v>3.3683119523798899E-3</v>
      </c>
      <c r="AF31" s="9">
        <v>5.2802816648407495E-4</v>
      </c>
      <c r="AG31" s="9">
        <v>1.4447894549931401E-3</v>
      </c>
      <c r="AZ31" s="9"/>
      <c r="BB31">
        <f t="shared" si="2"/>
        <v>0</v>
      </c>
      <c r="BC31">
        <f t="shared" si="3"/>
        <v>1</v>
      </c>
      <c r="BD31">
        <f t="shared" si="4"/>
        <v>0</v>
      </c>
      <c r="BE31">
        <f t="shared" si="0"/>
        <v>1</v>
      </c>
      <c r="BF31">
        <f t="shared" si="5"/>
        <v>0</v>
      </c>
      <c r="BG31" s="9">
        <f t="shared" si="6"/>
        <v>0</v>
      </c>
      <c r="BH31" s="9">
        <f t="shared" si="7"/>
        <v>0</v>
      </c>
      <c r="BI31" s="9">
        <f t="shared" si="8"/>
        <v>0</v>
      </c>
      <c r="BJ31" s="12">
        <f t="shared" si="9"/>
        <v>0</v>
      </c>
      <c r="BL31" s="9"/>
      <c r="BN31">
        <f t="shared" si="10"/>
        <v>0</v>
      </c>
      <c r="BO31">
        <f t="shared" si="11"/>
        <v>0</v>
      </c>
      <c r="BP31">
        <f t="shared" si="12"/>
        <v>1</v>
      </c>
      <c r="BQ31">
        <f t="shared" si="1"/>
        <v>1</v>
      </c>
      <c r="BR31">
        <f t="shared" si="13"/>
        <v>1</v>
      </c>
      <c r="BS31" s="9">
        <f t="shared" si="14"/>
        <v>-6.8310059773598704E-3</v>
      </c>
      <c r="BT31" s="9">
        <f t="shared" si="15"/>
        <v>7.5181751097832001E-3</v>
      </c>
      <c r="BU31" s="9">
        <f t="shared" si="16"/>
        <v>6.8716913242332974E-4</v>
      </c>
      <c r="BV31" s="12">
        <f t="shared" si="17"/>
        <v>1.4344769945196368E-4</v>
      </c>
      <c r="BX31" s="12">
        <f t="shared" si="18"/>
        <v>6.8716913242332974E-4</v>
      </c>
      <c r="BY31" s="12">
        <f t="shared" si="19"/>
        <v>1.4344769945196368E-4</v>
      </c>
    </row>
    <row r="32" spans="1:77" x14ac:dyDescent="0.3">
      <c r="A32" s="1">
        <v>46070</v>
      </c>
      <c r="B32" s="8">
        <v>53.75</v>
      </c>
      <c r="C32" s="8">
        <v>56.79</v>
      </c>
      <c r="D32" s="9">
        <v>-1.11009465594463E-2</v>
      </c>
      <c r="E32" s="9">
        <v>-1.0858250290204201E-2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53.75</v>
      </c>
      <c r="M32" s="8">
        <v>56.79</v>
      </c>
      <c r="N32" s="10">
        <v>1.05655813953488</v>
      </c>
      <c r="O32" s="10">
        <v>1.0596043809708899</v>
      </c>
      <c r="P32" s="10">
        <v>1.05657161271112</v>
      </c>
      <c r="Q32" s="10">
        <v>1.0575118840480999</v>
      </c>
      <c r="R32" s="8">
        <v>56.953735477185603</v>
      </c>
      <c r="S32" s="8">
        <v>56.801384522883197</v>
      </c>
      <c r="T32" s="8">
        <v>56.8504348726389</v>
      </c>
      <c r="U32" s="9">
        <v>2.8790260772803299E-3</v>
      </c>
      <c r="V32" s="9">
        <v>2.0044694356285099E-4</v>
      </c>
      <c r="W32" s="9">
        <v>1.0636157526855801E-3</v>
      </c>
      <c r="X32" s="10">
        <v>1.05655813953488</v>
      </c>
      <c r="Y32" s="10">
        <v>1.05986570061559</v>
      </c>
      <c r="Z32" s="10">
        <v>1.05657161271112</v>
      </c>
      <c r="AA32" s="10">
        <v>1.0575118840480999</v>
      </c>
      <c r="AB32" s="8">
        <v>56.967781408088101</v>
      </c>
      <c r="AC32" s="8">
        <v>56.801384522883197</v>
      </c>
      <c r="AD32" s="8">
        <v>56.8504348726389</v>
      </c>
      <c r="AE32" s="9">
        <v>3.1256156831376502E-3</v>
      </c>
      <c r="AF32" s="9">
        <v>2.0044694356285099E-4</v>
      </c>
      <c r="AG32" s="9">
        <v>1.0636157526855801E-3</v>
      </c>
      <c r="AZ32" s="9"/>
      <c r="BB32">
        <f t="shared" si="2"/>
        <v>0</v>
      </c>
      <c r="BC32">
        <f t="shared" si="3"/>
        <v>1</v>
      </c>
      <c r="BD32">
        <f t="shared" si="4"/>
        <v>0</v>
      </c>
      <c r="BE32">
        <f t="shared" si="0"/>
        <v>1</v>
      </c>
      <c r="BF32">
        <f t="shared" si="5"/>
        <v>0</v>
      </c>
      <c r="BG32" s="9">
        <f t="shared" si="6"/>
        <v>0</v>
      </c>
      <c r="BH32" s="9">
        <f t="shared" si="7"/>
        <v>0</v>
      </c>
      <c r="BI32" s="9">
        <f t="shared" si="8"/>
        <v>0</v>
      </c>
      <c r="BJ32" s="12">
        <f t="shared" si="9"/>
        <v>0</v>
      </c>
      <c r="BL32" s="9"/>
      <c r="BN32">
        <f t="shared" si="10"/>
        <v>0</v>
      </c>
      <c r="BO32">
        <f t="shared" si="11"/>
        <v>0</v>
      </c>
      <c r="BP32">
        <f t="shared" si="12"/>
        <v>1</v>
      </c>
      <c r="BQ32">
        <f t="shared" si="1"/>
        <v>1</v>
      </c>
      <c r="BR32">
        <f t="shared" si="13"/>
        <v>1</v>
      </c>
      <c r="BS32" s="9">
        <f t="shared" si="14"/>
        <v>1.11009465594463E-2</v>
      </c>
      <c r="BT32" s="9">
        <f t="shared" si="15"/>
        <v>-1.0858250290204201E-2</v>
      </c>
      <c r="BU32" s="9">
        <f t="shared" si="16"/>
        <v>2.4269626924209968E-4</v>
      </c>
      <c r="BV32" s="12">
        <f t="shared" si="17"/>
        <v>3.8614396869406336E-4</v>
      </c>
      <c r="BX32" s="12">
        <f t="shared" si="18"/>
        <v>2.4269626924209968E-4</v>
      </c>
      <c r="BY32" s="12">
        <f t="shared" si="19"/>
        <v>3.8614396869406336E-4</v>
      </c>
    </row>
    <row r="33" spans="1:77" x14ac:dyDescent="0.3">
      <c r="A33" s="1">
        <v>46071</v>
      </c>
      <c r="B33" s="8">
        <v>54.78</v>
      </c>
      <c r="C33" s="8">
        <v>57.9</v>
      </c>
      <c r="D33" s="9">
        <v>1.8981496827159799E-2</v>
      </c>
      <c r="E33" s="9">
        <v>1.9357130689608301E-2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54.78</v>
      </c>
      <c r="M33" s="8">
        <v>57.9</v>
      </c>
      <c r="N33" s="10">
        <v>1.0569550930996701</v>
      </c>
      <c r="O33" s="10">
        <v>1.0596043809708899</v>
      </c>
      <c r="P33" s="10">
        <v>1.0565578129442501</v>
      </c>
      <c r="Q33" s="10">
        <v>1.05739745382913</v>
      </c>
      <c r="R33" s="8">
        <v>58.045127989585602</v>
      </c>
      <c r="S33" s="8">
        <v>57.8789929443153</v>
      </c>
      <c r="T33" s="8">
        <v>57.930501008154899</v>
      </c>
      <c r="U33" s="9">
        <v>2.5033922148319601E-3</v>
      </c>
      <c r="V33" s="9">
        <v>-3.6288199406410502E-4</v>
      </c>
      <c r="W33" s="9">
        <v>5.2664900167891798E-4</v>
      </c>
      <c r="X33" s="10">
        <v>1.0569550930996701</v>
      </c>
      <c r="Y33" s="10">
        <v>1.05986570061559</v>
      </c>
      <c r="Z33" s="10">
        <v>1.0565578129442501</v>
      </c>
      <c r="AA33" s="10">
        <v>1.05739745382913</v>
      </c>
      <c r="AB33" s="8">
        <v>58.0594430797222</v>
      </c>
      <c r="AC33" s="8">
        <v>57.8789929443153</v>
      </c>
      <c r="AD33" s="8">
        <v>57.930501008154899</v>
      </c>
      <c r="AE33" s="9">
        <v>2.7499818206893202E-3</v>
      </c>
      <c r="AF33" s="9">
        <v>-3.6288199406410502E-4</v>
      </c>
      <c r="AG33" s="9">
        <v>5.2664900167891798E-4</v>
      </c>
      <c r="AZ33" s="9"/>
      <c r="BB33">
        <f t="shared" si="2"/>
        <v>0</v>
      </c>
      <c r="BC33">
        <f t="shared" si="3"/>
        <v>1</v>
      </c>
      <c r="BD33">
        <f t="shared" si="4"/>
        <v>0</v>
      </c>
      <c r="BE33">
        <f t="shared" si="0"/>
        <v>1</v>
      </c>
      <c r="BF33">
        <f t="shared" si="5"/>
        <v>0</v>
      </c>
      <c r="BG33" s="9">
        <f t="shared" si="6"/>
        <v>0</v>
      </c>
      <c r="BH33" s="9">
        <f t="shared" si="7"/>
        <v>0</v>
      </c>
      <c r="BI33" s="9">
        <f t="shared" si="8"/>
        <v>0</v>
      </c>
      <c r="BJ33" s="12">
        <f t="shared" si="9"/>
        <v>0</v>
      </c>
      <c r="BL33" s="9"/>
      <c r="BN33">
        <f t="shared" si="10"/>
        <v>0</v>
      </c>
      <c r="BO33">
        <f t="shared" si="11"/>
        <v>0</v>
      </c>
      <c r="BP33">
        <f t="shared" si="12"/>
        <v>1</v>
      </c>
      <c r="BQ33">
        <f t="shared" si="1"/>
        <v>1</v>
      </c>
      <c r="BR33">
        <f t="shared" si="13"/>
        <v>1</v>
      </c>
      <c r="BS33" s="9">
        <f t="shared" si="14"/>
        <v>-1.8981496827159799E-2</v>
      </c>
      <c r="BT33" s="9">
        <f t="shared" si="15"/>
        <v>1.9357130689608301E-2</v>
      </c>
      <c r="BU33" s="9">
        <f t="shared" si="16"/>
        <v>3.7563386244850172E-4</v>
      </c>
      <c r="BV33" s="12">
        <f t="shared" si="17"/>
        <v>7.6177783114256509E-4</v>
      </c>
      <c r="BX33" s="12">
        <f t="shared" si="18"/>
        <v>3.7563386244850172E-4</v>
      </c>
      <c r="BY33" s="12">
        <f t="shared" si="19"/>
        <v>7.6177783114256509E-4</v>
      </c>
    </row>
    <row r="34" spans="1:77" x14ac:dyDescent="0.3">
      <c r="A34" s="1">
        <v>46072</v>
      </c>
      <c r="B34" s="8">
        <v>55.18</v>
      </c>
      <c r="C34" s="8">
        <v>58.29</v>
      </c>
      <c r="D34" s="9">
        <v>7.27540495420785E-3</v>
      </c>
      <c r="E34" s="9">
        <v>6.7131674785088297E-3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55.18</v>
      </c>
      <c r="M34" s="8">
        <v>58.29</v>
      </c>
      <c r="N34" s="10">
        <v>1.05636100036245</v>
      </c>
      <c r="O34" s="10">
        <v>1.0596043809708899</v>
      </c>
      <c r="P34" s="10">
        <v>1.0565153212712399</v>
      </c>
      <c r="Q34" s="10">
        <v>1.05726165769341</v>
      </c>
      <c r="R34" s="8">
        <v>58.468969741974</v>
      </c>
      <c r="S34" s="8">
        <v>58.300860118263998</v>
      </c>
      <c r="T34" s="8">
        <v>58.347191502291601</v>
      </c>
      <c r="U34" s="9">
        <v>3.0656296905309799E-3</v>
      </c>
      <c r="V34" s="9">
        <v>1.86294505152093E-4</v>
      </c>
      <c r="W34" s="9">
        <v>9.8067359370630704E-4</v>
      </c>
      <c r="X34" s="10">
        <v>1.05636100036245</v>
      </c>
      <c r="Y34" s="10">
        <v>1.05986570061559</v>
      </c>
      <c r="Z34" s="10">
        <v>1.0565153212712399</v>
      </c>
      <c r="AA34" s="10">
        <v>1.05726165769341</v>
      </c>
      <c r="AB34" s="8">
        <v>58.483389359968399</v>
      </c>
      <c r="AC34" s="8">
        <v>58.300860118263998</v>
      </c>
      <c r="AD34" s="8">
        <v>58.347191502291601</v>
      </c>
      <c r="AE34" s="9">
        <v>3.3122192963884801E-3</v>
      </c>
      <c r="AF34" s="9">
        <v>1.86294505152093E-4</v>
      </c>
      <c r="AG34" s="9">
        <v>9.8067359370630704E-4</v>
      </c>
      <c r="AZ34" s="9"/>
      <c r="BB34">
        <f t="shared" si="2"/>
        <v>0</v>
      </c>
      <c r="BC34">
        <f t="shared" si="3"/>
        <v>1</v>
      </c>
      <c r="BD34">
        <f t="shared" si="4"/>
        <v>0</v>
      </c>
      <c r="BE34">
        <f t="shared" si="0"/>
        <v>1</v>
      </c>
      <c r="BF34">
        <f t="shared" si="5"/>
        <v>0</v>
      </c>
      <c r="BG34" s="9">
        <f t="shared" si="6"/>
        <v>0</v>
      </c>
      <c r="BH34" s="9">
        <f t="shared" si="7"/>
        <v>0</v>
      </c>
      <c r="BI34" s="9">
        <f t="shared" si="8"/>
        <v>0</v>
      </c>
      <c r="BJ34" s="12">
        <f t="shared" si="9"/>
        <v>0</v>
      </c>
      <c r="BL34" s="9"/>
      <c r="BN34">
        <f t="shared" si="10"/>
        <v>0</v>
      </c>
      <c r="BO34">
        <f t="shared" si="11"/>
        <v>0</v>
      </c>
      <c r="BP34">
        <f t="shared" si="12"/>
        <v>1</v>
      </c>
      <c r="BQ34">
        <f t="shared" si="1"/>
        <v>1</v>
      </c>
      <c r="BR34">
        <f t="shared" si="13"/>
        <v>1</v>
      </c>
      <c r="BS34" s="9">
        <f t="shared" si="14"/>
        <v>-7.27540495420785E-3</v>
      </c>
      <c r="BT34" s="9">
        <f t="shared" si="15"/>
        <v>6.7131674785088297E-3</v>
      </c>
      <c r="BU34" s="9">
        <f t="shared" si="16"/>
        <v>-5.6223747569902026E-4</v>
      </c>
      <c r="BV34" s="12">
        <f t="shared" si="17"/>
        <v>1.9954035544354483E-4</v>
      </c>
      <c r="BX34" s="12">
        <f t="shared" si="18"/>
        <v>-5.6223747569902026E-4</v>
      </c>
      <c r="BY34" s="12">
        <f t="shared" si="19"/>
        <v>1.9954035544354483E-4</v>
      </c>
    </row>
    <row r="35" spans="1:77" x14ac:dyDescent="0.3">
      <c r="A35" s="1">
        <v>46073</v>
      </c>
      <c r="B35" s="8">
        <v>54.88</v>
      </c>
      <c r="C35" s="8">
        <v>58.06</v>
      </c>
      <c r="D35" s="9">
        <v>-5.45158537151015E-3</v>
      </c>
      <c r="E35" s="9">
        <v>-3.9535934609745702E-3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54.88</v>
      </c>
      <c r="M35" s="8">
        <v>58.06</v>
      </c>
      <c r="N35" s="10">
        <v>1.0579446064139899</v>
      </c>
      <c r="O35" s="10">
        <v>1.0596043809708899</v>
      </c>
      <c r="P35" s="10">
        <v>1.0566020630848301</v>
      </c>
      <c r="Q35" s="10">
        <v>1.05723515053711</v>
      </c>
      <c r="R35" s="8">
        <v>58.151088427682701</v>
      </c>
      <c r="S35" s="8">
        <v>57.981560831365897</v>
      </c>
      <c r="T35" s="8">
        <v>58.022519774214402</v>
      </c>
      <c r="U35" s="9">
        <v>1.56763777999532E-3</v>
      </c>
      <c r="V35" s="9">
        <v>-1.35191529687878E-3</v>
      </c>
      <c r="W35" s="9">
        <v>-6.4575143890585E-4</v>
      </c>
      <c r="X35" s="10">
        <v>1.0579446064139899</v>
      </c>
      <c r="Y35" s="10">
        <v>1.05986570061559</v>
      </c>
      <c r="Z35" s="10">
        <v>1.0566020630848301</v>
      </c>
      <c r="AA35" s="10">
        <v>1.05723515053711</v>
      </c>
      <c r="AB35" s="8">
        <v>58.165429649783697</v>
      </c>
      <c r="AC35" s="8">
        <v>57.981560831365897</v>
      </c>
      <c r="AD35" s="8">
        <v>58.022519774214402</v>
      </c>
      <c r="AE35" s="9">
        <v>1.8142273858527201E-3</v>
      </c>
      <c r="AF35" s="9">
        <v>-1.35191529687878E-3</v>
      </c>
      <c r="AG35" s="9">
        <v>-6.4575143890585E-4</v>
      </c>
      <c r="AZ35" s="9"/>
      <c r="BB35">
        <f t="shared" si="2"/>
        <v>0</v>
      </c>
      <c r="BC35">
        <f t="shared" si="3"/>
        <v>0</v>
      </c>
      <c r="BD35">
        <f t="shared" si="4"/>
        <v>0</v>
      </c>
      <c r="BE35">
        <f t="shared" si="0"/>
        <v>1</v>
      </c>
      <c r="BF35">
        <f t="shared" si="5"/>
        <v>0</v>
      </c>
      <c r="BG35" s="9">
        <f t="shared" si="6"/>
        <v>0</v>
      </c>
      <c r="BH35" s="9">
        <f t="shared" si="7"/>
        <v>0</v>
      </c>
      <c r="BI35" s="9">
        <f t="shared" si="8"/>
        <v>0</v>
      </c>
      <c r="BJ35" s="12">
        <f t="shared" si="9"/>
        <v>0</v>
      </c>
      <c r="BL35" s="9"/>
      <c r="BN35">
        <f t="shared" si="10"/>
        <v>0</v>
      </c>
      <c r="BO35">
        <f t="shared" si="11"/>
        <v>1</v>
      </c>
      <c r="BP35">
        <f t="shared" si="12"/>
        <v>1</v>
      </c>
      <c r="BQ35">
        <f t="shared" si="1"/>
        <v>1</v>
      </c>
      <c r="BR35">
        <f t="shared" si="13"/>
        <v>1</v>
      </c>
      <c r="BS35" s="9">
        <f t="shared" si="14"/>
        <v>5.45158537151015E-3</v>
      </c>
      <c r="BT35" s="9">
        <f t="shared" si="15"/>
        <v>-3.9535934609745702E-3</v>
      </c>
      <c r="BU35" s="9">
        <f t="shared" si="16"/>
        <v>1.4979919105355798E-3</v>
      </c>
      <c r="BV35" s="12">
        <f t="shared" si="17"/>
        <v>1.6975322659791247E-3</v>
      </c>
      <c r="BX35" s="12">
        <f t="shared" si="18"/>
        <v>1.4979919105355798E-3</v>
      </c>
      <c r="BY35" s="12">
        <f t="shared" si="19"/>
        <v>1.6975322659791247E-3</v>
      </c>
    </row>
    <row r="36" spans="1:77" x14ac:dyDescent="0.3">
      <c r="A36" s="1">
        <v>46076</v>
      </c>
      <c r="B36" s="8">
        <v>55.15</v>
      </c>
      <c r="C36" s="8">
        <v>58.29</v>
      </c>
      <c r="D36" s="9">
        <v>4.9077622818815203E-3</v>
      </c>
      <c r="E36" s="9">
        <v>3.9535934609745199E-3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55.15</v>
      </c>
      <c r="M36" s="8">
        <v>58.29</v>
      </c>
      <c r="N36" s="10">
        <v>1.0569356300997199</v>
      </c>
      <c r="O36" s="10">
        <v>1.0596043809708899</v>
      </c>
      <c r="P36" s="10">
        <v>1.0566806026206199</v>
      </c>
      <c r="Q36" s="10">
        <v>1.05716467243648</v>
      </c>
      <c r="R36" s="8">
        <v>58.437181610544798</v>
      </c>
      <c r="S36" s="8">
        <v>58.271603779128597</v>
      </c>
      <c r="T36" s="8">
        <v>58.306518552121702</v>
      </c>
      <c r="U36" s="9">
        <v>2.5218066009023402E-3</v>
      </c>
      <c r="V36" s="9">
        <v>-3.1564804236886501E-4</v>
      </c>
      <c r="W36" s="9">
        <v>2.8334554817569402E-4</v>
      </c>
      <c r="X36" s="10">
        <v>1.0569356300997199</v>
      </c>
      <c r="Y36" s="10">
        <v>1.05986570061559</v>
      </c>
      <c r="Z36" s="10">
        <v>1.0566806026206199</v>
      </c>
      <c r="AA36" s="10">
        <v>1.05716467243648</v>
      </c>
      <c r="AB36" s="8">
        <v>58.451593388949902</v>
      </c>
      <c r="AC36" s="8">
        <v>58.271603779128597</v>
      </c>
      <c r="AD36" s="8">
        <v>58.306518552121702</v>
      </c>
      <c r="AE36" s="9">
        <v>2.7683962067596799E-3</v>
      </c>
      <c r="AF36" s="9">
        <v>-3.1564804236886501E-4</v>
      </c>
      <c r="AG36" s="9">
        <v>2.8334554817569402E-4</v>
      </c>
      <c r="AZ36" s="9"/>
      <c r="BB36">
        <f t="shared" si="2"/>
        <v>0</v>
      </c>
      <c r="BC36">
        <f t="shared" si="3"/>
        <v>1</v>
      </c>
      <c r="BD36">
        <f t="shared" si="4"/>
        <v>0</v>
      </c>
      <c r="BE36">
        <f t="shared" si="0"/>
        <v>1</v>
      </c>
      <c r="BF36">
        <f t="shared" si="5"/>
        <v>0</v>
      </c>
      <c r="BG36" s="9">
        <f t="shared" si="6"/>
        <v>0</v>
      </c>
      <c r="BH36" s="9">
        <f t="shared" si="7"/>
        <v>0</v>
      </c>
      <c r="BI36" s="9">
        <f t="shared" si="8"/>
        <v>0</v>
      </c>
      <c r="BJ36" s="12">
        <f t="shared" si="9"/>
        <v>0</v>
      </c>
      <c r="BL36" s="9"/>
      <c r="BN36">
        <f t="shared" si="10"/>
        <v>0</v>
      </c>
      <c r="BO36">
        <f t="shared" si="11"/>
        <v>0</v>
      </c>
      <c r="BP36">
        <f t="shared" si="12"/>
        <v>0</v>
      </c>
      <c r="BQ36">
        <f t="shared" si="1"/>
        <v>1</v>
      </c>
      <c r="BR36">
        <f t="shared" si="13"/>
        <v>0</v>
      </c>
      <c r="BS36" s="9">
        <f t="shared" si="14"/>
        <v>0</v>
      </c>
      <c r="BT36" s="9">
        <f t="shared" si="15"/>
        <v>0</v>
      </c>
      <c r="BU36" s="9">
        <f t="shared" si="16"/>
        <v>0</v>
      </c>
      <c r="BV36" s="12">
        <f t="shared" si="17"/>
        <v>1.6975322659791247E-3</v>
      </c>
      <c r="BX36" s="12">
        <f t="shared" si="18"/>
        <v>0</v>
      </c>
      <c r="BY36" s="12">
        <f t="shared" si="19"/>
        <v>1.6975322659791247E-3</v>
      </c>
    </row>
    <row r="37" spans="1:77" x14ac:dyDescent="0.3">
      <c r="A37" s="1">
        <v>46077</v>
      </c>
      <c r="B37" s="8">
        <v>55.1</v>
      </c>
      <c r="C37" s="8">
        <v>58.28</v>
      </c>
      <c r="D37" s="9">
        <v>-9.0702954064261396E-4</v>
      </c>
      <c r="E37" s="9">
        <v>-1.7157073045426799E-4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55.1</v>
      </c>
      <c r="M37" s="8">
        <v>58.28</v>
      </c>
      <c r="N37" s="10">
        <v>1.0577132486388301</v>
      </c>
      <c r="O37" s="10">
        <v>1.0596043809708899</v>
      </c>
      <c r="P37" s="10">
        <v>1.0567658723018101</v>
      </c>
      <c r="Q37" s="10">
        <v>1.0571348533568401</v>
      </c>
      <c r="R37" s="8">
        <v>58.384201391496298</v>
      </c>
      <c r="S37" s="8">
        <v>58.223101204396599</v>
      </c>
      <c r="T37" s="8">
        <v>58.249773451250398</v>
      </c>
      <c r="U37" s="9">
        <v>1.7863477907139799E-3</v>
      </c>
      <c r="V37" s="9">
        <v>-9.7677743406065294E-4</v>
      </c>
      <c r="W37" s="9">
        <v>-5.1877813767597296E-4</v>
      </c>
      <c r="X37" s="10">
        <v>1.0577132486388301</v>
      </c>
      <c r="Y37" s="10">
        <v>1.05986570061559</v>
      </c>
      <c r="Z37" s="10">
        <v>1.0567658723018101</v>
      </c>
      <c r="AA37" s="10">
        <v>1.0571348533568401</v>
      </c>
      <c r="AB37" s="8">
        <v>58.3986001039192</v>
      </c>
      <c r="AC37" s="8">
        <v>58.223101204396599</v>
      </c>
      <c r="AD37" s="8">
        <v>58.249773451250398</v>
      </c>
      <c r="AE37" s="9">
        <v>2.0329373965715801E-3</v>
      </c>
      <c r="AF37" s="9">
        <v>-9.7677743406065294E-4</v>
      </c>
      <c r="AG37" s="9">
        <v>-5.1877813767597296E-4</v>
      </c>
      <c r="AZ37" s="9"/>
      <c r="BB37">
        <f t="shared" si="2"/>
        <v>0</v>
      </c>
      <c r="BC37">
        <f t="shared" si="3"/>
        <v>0</v>
      </c>
      <c r="BD37">
        <f t="shared" si="4"/>
        <v>0</v>
      </c>
      <c r="BE37">
        <f t="shared" si="0"/>
        <v>1</v>
      </c>
      <c r="BF37">
        <f t="shared" si="5"/>
        <v>0</v>
      </c>
      <c r="BG37" s="9">
        <f t="shared" si="6"/>
        <v>0</v>
      </c>
      <c r="BH37" s="9">
        <f t="shared" si="7"/>
        <v>0</v>
      </c>
      <c r="BI37" s="9">
        <f t="shared" si="8"/>
        <v>0</v>
      </c>
      <c r="BJ37" s="12">
        <f t="shared" si="9"/>
        <v>0</v>
      </c>
      <c r="BL37" s="9"/>
      <c r="BN37">
        <f t="shared" si="10"/>
        <v>0</v>
      </c>
      <c r="BO37">
        <f t="shared" si="11"/>
        <v>1</v>
      </c>
      <c r="BP37">
        <f t="shared" si="12"/>
        <v>0</v>
      </c>
      <c r="BQ37">
        <f t="shared" si="1"/>
        <v>1</v>
      </c>
      <c r="BR37">
        <f t="shared" si="13"/>
        <v>0</v>
      </c>
      <c r="BS37" s="9">
        <f t="shared" si="14"/>
        <v>0</v>
      </c>
      <c r="BT37" s="9">
        <f t="shared" si="15"/>
        <v>0</v>
      </c>
      <c r="BU37" s="9">
        <f t="shared" si="16"/>
        <v>0</v>
      </c>
      <c r="BV37" s="12">
        <f t="shared" si="17"/>
        <v>1.6975322659791247E-3</v>
      </c>
      <c r="BX37" s="12">
        <f t="shared" si="18"/>
        <v>0</v>
      </c>
      <c r="BY37" s="12">
        <f t="shared" si="19"/>
        <v>1.6975322659791247E-3</v>
      </c>
    </row>
    <row r="38" spans="1:77" x14ac:dyDescent="0.3">
      <c r="A38" s="1">
        <v>46078</v>
      </c>
      <c r="B38" s="8">
        <v>54.87</v>
      </c>
      <c r="C38" s="8">
        <v>57.93</v>
      </c>
      <c r="D38" s="9">
        <v>-4.1829650879848298E-3</v>
      </c>
      <c r="E38" s="9">
        <v>-6.0235962184713096E-3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54.87</v>
      </c>
      <c r="M38" s="8">
        <v>57.93</v>
      </c>
      <c r="N38" s="10">
        <v>1.0557681793329601</v>
      </c>
      <c r="O38" s="10">
        <v>1.0596043809708899</v>
      </c>
      <c r="P38" s="10">
        <v>1.0566316040089001</v>
      </c>
      <c r="Q38" s="10">
        <v>1.0570039951602199</v>
      </c>
      <c r="R38" s="8">
        <v>58.140492383873003</v>
      </c>
      <c r="S38" s="8">
        <v>57.984743413200398</v>
      </c>
      <c r="T38" s="8">
        <v>58.004989403690303</v>
      </c>
      <c r="U38" s="9">
        <v>3.62697892120047E-3</v>
      </c>
      <c r="V38" s="9">
        <v>9.4454623559598802E-4</v>
      </c>
      <c r="W38" s="9">
        <v>1.29364593957422E-3</v>
      </c>
      <c r="X38" s="10">
        <v>1.0557681793329601</v>
      </c>
      <c r="Y38" s="10">
        <v>1.05986570061559</v>
      </c>
      <c r="Z38" s="10">
        <v>1.0566316040089001</v>
      </c>
      <c r="AA38" s="10">
        <v>1.0570039951602199</v>
      </c>
      <c r="AB38" s="8">
        <v>58.154830992777597</v>
      </c>
      <c r="AC38" s="8">
        <v>57.984743413200398</v>
      </c>
      <c r="AD38" s="8">
        <v>58.004989403690303</v>
      </c>
      <c r="AE38" s="9">
        <v>3.8735685270580599E-3</v>
      </c>
      <c r="AF38" s="9">
        <v>9.4454623559598802E-4</v>
      </c>
      <c r="AG38" s="9">
        <v>1.29364593957422E-3</v>
      </c>
      <c r="AZ38" s="9"/>
      <c r="BB38">
        <f t="shared" si="2"/>
        <v>0</v>
      </c>
      <c r="BC38">
        <f t="shared" si="3"/>
        <v>1</v>
      </c>
      <c r="BD38">
        <f t="shared" si="4"/>
        <v>0</v>
      </c>
      <c r="BE38">
        <f t="shared" si="0"/>
        <v>1</v>
      </c>
      <c r="BF38">
        <f t="shared" si="5"/>
        <v>0</v>
      </c>
      <c r="BG38" s="9">
        <f t="shared" si="6"/>
        <v>0</v>
      </c>
      <c r="BH38" s="9">
        <f t="shared" si="7"/>
        <v>0</v>
      </c>
      <c r="BI38" s="9">
        <f t="shared" si="8"/>
        <v>0</v>
      </c>
      <c r="BJ38" s="12">
        <f t="shared" si="9"/>
        <v>0</v>
      </c>
      <c r="BL38" s="9"/>
      <c r="BN38">
        <f t="shared" si="10"/>
        <v>0</v>
      </c>
      <c r="BO38">
        <f t="shared" si="11"/>
        <v>0</v>
      </c>
      <c r="BP38">
        <f t="shared" si="12"/>
        <v>0</v>
      </c>
      <c r="BQ38">
        <f t="shared" si="1"/>
        <v>1</v>
      </c>
      <c r="BR38">
        <f t="shared" si="13"/>
        <v>0</v>
      </c>
      <c r="BS38" s="9">
        <f t="shared" si="14"/>
        <v>0</v>
      </c>
      <c r="BT38" s="9">
        <f t="shared" si="15"/>
        <v>0</v>
      </c>
      <c r="BU38" s="9">
        <f t="shared" si="16"/>
        <v>0</v>
      </c>
      <c r="BV38" s="12">
        <f t="shared" si="17"/>
        <v>1.6975322659791247E-3</v>
      </c>
      <c r="BX38" s="12">
        <f t="shared" si="18"/>
        <v>0</v>
      </c>
      <c r="BY38" s="12">
        <f t="shared" si="19"/>
        <v>1.6975322659791247E-3</v>
      </c>
    </row>
    <row r="39" spans="1:77" x14ac:dyDescent="0.3">
      <c r="A39" s="1">
        <v>46079</v>
      </c>
      <c r="B39" s="8">
        <v>55.05</v>
      </c>
      <c r="C39" s="8">
        <v>58.16</v>
      </c>
      <c r="D39" s="9">
        <v>3.2751120978050398E-3</v>
      </c>
      <c r="E39" s="9">
        <v>3.9624481167311199E-3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55.05</v>
      </c>
      <c r="M39" s="8">
        <v>58.16</v>
      </c>
      <c r="N39" s="10">
        <v>1.05649409627611</v>
      </c>
      <c r="O39" s="10">
        <v>1.0596043809708899</v>
      </c>
      <c r="P39" s="10">
        <v>1.0566607880999499</v>
      </c>
      <c r="Q39" s="10">
        <v>1.05690162704695</v>
      </c>
      <c r="R39" s="8">
        <v>58.331221172447698</v>
      </c>
      <c r="S39" s="8">
        <v>58.167569800690202</v>
      </c>
      <c r="T39" s="8">
        <v>58.188069933570098</v>
      </c>
      <c r="U39" s="9">
        <v>2.93964290227434E-3</v>
      </c>
      <c r="V39" s="9">
        <v>1.3014628800263599E-4</v>
      </c>
      <c r="W39" s="9">
        <v>4.8251654076850501E-4</v>
      </c>
      <c r="X39" s="10">
        <v>1.05649409627611</v>
      </c>
      <c r="Y39" s="10">
        <v>1.05986570061559</v>
      </c>
      <c r="Z39" s="10">
        <v>1.0566607880999499</v>
      </c>
      <c r="AA39" s="10">
        <v>1.05690162704695</v>
      </c>
      <c r="AB39" s="8">
        <v>58.345606818888399</v>
      </c>
      <c r="AC39" s="8">
        <v>58.167569800690202</v>
      </c>
      <c r="AD39" s="8">
        <v>58.188069933570098</v>
      </c>
      <c r="AE39" s="9">
        <v>3.1862325081317201E-3</v>
      </c>
      <c r="AF39" s="9">
        <v>1.3014628800263599E-4</v>
      </c>
      <c r="AG39" s="9">
        <v>4.8251654076850501E-4</v>
      </c>
      <c r="AZ39" s="9"/>
      <c r="BB39">
        <f t="shared" si="2"/>
        <v>0</v>
      </c>
      <c r="BC39">
        <f t="shared" si="3"/>
        <v>1</v>
      </c>
      <c r="BD39">
        <f t="shared" si="4"/>
        <v>0</v>
      </c>
      <c r="BE39">
        <f t="shared" si="0"/>
        <v>1</v>
      </c>
      <c r="BF39">
        <f t="shared" si="5"/>
        <v>0</v>
      </c>
      <c r="BG39" s="9">
        <f t="shared" si="6"/>
        <v>0</v>
      </c>
      <c r="BH39" s="9">
        <f t="shared" si="7"/>
        <v>0</v>
      </c>
      <c r="BI39" s="9">
        <f t="shared" si="8"/>
        <v>0</v>
      </c>
      <c r="BJ39" s="12">
        <f t="shared" si="9"/>
        <v>0</v>
      </c>
      <c r="BL39" s="9"/>
      <c r="BN39">
        <f t="shared" si="10"/>
        <v>0</v>
      </c>
      <c r="BO39">
        <f t="shared" si="11"/>
        <v>0</v>
      </c>
      <c r="BP39">
        <f t="shared" si="12"/>
        <v>0</v>
      </c>
      <c r="BQ39">
        <f t="shared" si="1"/>
        <v>1</v>
      </c>
      <c r="BR39">
        <f t="shared" si="13"/>
        <v>0</v>
      </c>
      <c r="BS39" s="9">
        <f t="shared" si="14"/>
        <v>0</v>
      </c>
      <c r="BT39" s="9">
        <f t="shared" si="15"/>
        <v>0</v>
      </c>
      <c r="BU39" s="9">
        <f t="shared" si="16"/>
        <v>0</v>
      </c>
      <c r="BV39" s="12">
        <f t="shared" si="17"/>
        <v>1.6975322659791247E-3</v>
      </c>
      <c r="BX39" s="12">
        <f t="shared" si="18"/>
        <v>0</v>
      </c>
      <c r="BY39" s="12">
        <f t="shared" si="19"/>
        <v>1.6975322659791247E-3</v>
      </c>
    </row>
    <row r="40" spans="1:77" x14ac:dyDescent="0.3">
      <c r="A40" s="1">
        <v>46080</v>
      </c>
      <c r="B40" s="8">
        <v>55.92</v>
      </c>
      <c r="C40" s="8">
        <v>59.06</v>
      </c>
      <c r="D40" s="9">
        <v>1.5680234756865901E-2</v>
      </c>
      <c r="E40" s="9">
        <v>1.5356043090512601E-2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55.92</v>
      </c>
      <c r="M40" s="8">
        <v>59.06</v>
      </c>
      <c r="N40" s="10">
        <v>1.05615164520743</v>
      </c>
      <c r="O40" s="10">
        <v>1.0596043809708899</v>
      </c>
      <c r="P40" s="10">
        <v>1.05671833868961</v>
      </c>
      <c r="Q40" s="10">
        <v>1.0567889954882701</v>
      </c>
      <c r="R40" s="8">
        <v>59.253076983892399</v>
      </c>
      <c r="S40" s="8">
        <v>59.088471270549597</v>
      </c>
      <c r="T40" s="8">
        <v>59.101938984465598</v>
      </c>
      <c r="U40" s="9">
        <v>3.2638345686274899E-3</v>
      </c>
      <c r="V40" s="9">
        <v>4.81957503040465E-4</v>
      </c>
      <c r="W40" s="9">
        <v>7.09856093884698E-4</v>
      </c>
      <c r="X40" s="10">
        <v>1.05615164520743</v>
      </c>
      <c r="Y40" s="10">
        <v>1.05986570061559</v>
      </c>
      <c r="Z40" s="10">
        <v>1.05671833868961</v>
      </c>
      <c r="AA40" s="10">
        <v>1.0567889954882701</v>
      </c>
      <c r="AB40" s="8">
        <v>59.267689978424002</v>
      </c>
      <c r="AC40" s="8">
        <v>59.088471270549597</v>
      </c>
      <c r="AD40" s="8">
        <v>59.101938984465598</v>
      </c>
      <c r="AE40" s="9">
        <v>3.5104241744849901E-3</v>
      </c>
      <c r="AF40" s="9">
        <v>4.81957503040465E-4</v>
      </c>
      <c r="AG40" s="9">
        <v>7.09856093884698E-4</v>
      </c>
      <c r="AZ40" s="9"/>
      <c r="BB40">
        <f t="shared" si="2"/>
        <v>0</v>
      </c>
      <c r="BC40">
        <f t="shared" si="3"/>
        <v>1</v>
      </c>
      <c r="BD40">
        <f t="shared" si="4"/>
        <v>0</v>
      </c>
      <c r="BE40">
        <f t="shared" si="0"/>
        <v>1</v>
      </c>
      <c r="BF40">
        <f t="shared" si="5"/>
        <v>0</v>
      </c>
      <c r="BG40" s="9">
        <f t="shared" si="6"/>
        <v>0</v>
      </c>
      <c r="BH40" s="9">
        <f t="shared" si="7"/>
        <v>0</v>
      </c>
      <c r="BI40" s="9">
        <f t="shared" si="8"/>
        <v>0</v>
      </c>
      <c r="BJ40" s="12">
        <f t="shared" si="9"/>
        <v>0</v>
      </c>
      <c r="BL40" s="9"/>
      <c r="BN40">
        <f t="shared" si="10"/>
        <v>0</v>
      </c>
      <c r="BO40">
        <f t="shared" si="11"/>
        <v>0</v>
      </c>
      <c r="BP40">
        <f t="shared" si="12"/>
        <v>0</v>
      </c>
      <c r="BQ40">
        <f t="shared" si="1"/>
        <v>1</v>
      </c>
      <c r="BR40">
        <f t="shared" si="13"/>
        <v>0</v>
      </c>
      <c r="BS40" s="9">
        <f t="shared" si="14"/>
        <v>0</v>
      </c>
      <c r="BT40" s="9">
        <f t="shared" si="15"/>
        <v>0</v>
      </c>
      <c r="BU40" s="9">
        <f t="shared" si="16"/>
        <v>0</v>
      </c>
      <c r="BV40" s="12">
        <f t="shared" si="17"/>
        <v>1.6975322659791247E-3</v>
      </c>
      <c r="BX40" s="12">
        <f t="shared" si="18"/>
        <v>0</v>
      </c>
      <c r="BY40" s="12">
        <f t="shared" si="19"/>
        <v>1.6975322659791247E-3</v>
      </c>
    </row>
    <row r="41" spans="1:77" x14ac:dyDescent="0.3">
      <c r="A41" s="1">
        <v>46083</v>
      </c>
      <c r="B41" s="8">
        <v>57.04</v>
      </c>
      <c r="C41" s="8">
        <v>60.29</v>
      </c>
      <c r="D41" s="9">
        <v>1.98306781804857E-2</v>
      </c>
      <c r="E41" s="9">
        <v>2.06123761855374E-2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57.04</v>
      </c>
      <c r="M41" s="8">
        <v>60.29</v>
      </c>
      <c r="N41" s="10">
        <v>1.0569775596072899</v>
      </c>
      <c r="O41" s="10">
        <v>1.0596043809708899</v>
      </c>
      <c r="P41" s="10">
        <v>1.0567859198573299</v>
      </c>
      <c r="Q41" s="10">
        <v>1.0567779322345501</v>
      </c>
      <c r="R41" s="8">
        <v>60.439833890579798</v>
      </c>
      <c r="S41" s="8">
        <v>60.275214038855701</v>
      </c>
      <c r="T41" s="8">
        <v>60.279244302651399</v>
      </c>
      <c r="U41" s="9">
        <v>2.48213656357563E-3</v>
      </c>
      <c r="V41" s="9">
        <v>-2.4527740171561701E-4</v>
      </c>
      <c r="W41" s="9">
        <v>-1.78415273966547E-4</v>
      </c>
      <c r="X41" s="10">
        <v>1.0569775596072899</v>
      </c>
      <c r="Y41" s="10">
        <v>1.05986570061559</v>
      </c>
      <c r="Z41" s="10">
        <v>1.0567859198573299</v>
      </c>
      <c r="AA41" s="10">
        <v>1.0567779322345501</v>
      </c>
      <c r="AB41" s="8">
        <v>60.454739563113399</v>
      </c>
      <c r="AC41" s="8">
        <v>60.275214038855701</v>
      </c>
      <c r="AD41" s="8">
        <v>60.279244302651399</v>
      </c>
      <c r="AE41" s="9">
        <v>2.7287261694329602E-3</v>
      </c>
      <c r="AF41" s="9">
        <v>-2.4527740171561701E-4</v>
      </c>
      <c r="AG41" s="9">
        <v>-1.78415273966547E-4</v>
      </c>
      <c r="AZ41" s="9"/>
      <c r="BB41">
        <f t="shared" si="2"/>
        <v>0</v>
      </c>
      <c r="BC41">
        <f t="shared" si="3"/>
        <v>0</v>
      </c>
      <c r="BD41">
        <f t="shared" si="4"/>
        <v>0</v>
      </c>
      <c r="BE41">
        <f t="shared" si="0"/>
        <v>1</v>
      </c>
      <c r="BF41">
        <f t="shared" si="5"/>
        <v>0</v>
      </c>
      <c r="BG41" s="9">
        <f t="shared" si="6"/>
        <v>0</v>
      </c>
      <c r="BH41" s="9">
        <f t="shared" si="7"/>
        <v>0</v>
      </c>
      <c r="BI41" s="9">
        <f t="shared" si="8"/>
        <v>0</v>
      </c>
      <c r="BJ41" s="12">
        <f t="shared" si="9"/>
        <v>0</v>
      </c>
      <c r="BL41" s="9"/>
      <c r="BN41">
        <f t="shared" si="10"/>
        <v>0</v>
      </c>
      <c r="BO41">
        <f t="shared" si="11"/>
        <v>1</v>
      </c>
      <c r="BP41">
        <f t="shared" si="12"/>
        <v>0</v>
      </c>
      <c r="BQ41">
        <f t="shared" si="1"/>
        <v>1</v>
      </c>
      <c r="BR41">
        <f t="shared" si="13"/>
        <v>0</v>
      </c>
      <c r="BS41" s="9">
        <f t="shared" si="14"/>
        <v>0</v>
      </c>
      <c r="BT41" s="9">
        <f t="shared" si="15"/>
        <v>0</v>
      </c>
      <c r="BU41" s="9">
        <f t="shared" si="16"/>
        <v>0</v>
      </c>
      <c r="BV41" s="12">
        <f t="shared" si="17"/>
        <v>1.6975322659791247E-3</v>
      </c>
      <c r="BX41" s="12">
        <f t="shared" si="18"/>
        <v>0</v>
      </c>
      <c r="BY41" s="12">
        <f t="shared" si="19"/>
        <v>1.6975322659791247E-3</v>
      </c>
    </row>
    <row r="42" spans="1:77" x14ac:dyDescent="0.3">
      <c r="A42" s="1">
        <v>46084</v>
      </c>
      <c r="B42" s="8">
        <v>56.52</v>
      </c>
      <c r="C42" s="8">
        <v>59.7</v>
      </c>
      <c r="D42" s="9">
        <v>-9.1582182897137591E-3</v>
      </c>
      <c r="E42" s="9">
        <v>-9.8342321027577104E-3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56.52</v>
      </c>
      <c r="M42" s="8">
        <v>59.7</v>
      </c>
      <c r="N42" s="10">
        <v>1.0562632696390599</v>
      </c>
      <c r="O42" s="10">
        <v>1.0596043809708899</v>
      </c>
      <c r="P42" s="10">
        <v>1.0567564328677499</v>
      </c>
      <c r="Q42" s="10">
        <v>1.0566640227894299</v>
      </c>
      <c r="R42" s="8">
        <v>59.888839612475003</v>
      </c>
      <c r="S42" s="8">
        <v>59.729540190336699</v>
      </c>
      <c r="T42" s="8">
        <v>59.729088729897299</v>
      </c>
      <c r="U42" s="9">
        <v>3.1581503766196302E-3</v>
      </c>
      <c r="V42" s="9">
        <v>4.9468818002777997E-4</v>
      </c>
      <c r="W42" s="9">
        <v>4.8712974003022898E-4</v>
      </c>
      <c r="X42" s="10">
        <v>1.0562632696390599</v>
      </c>
      <c r="Y42" s="10">
        <v>1.05986570061559</v>
      </c>
      <c r="Z42" s="10">
        <v>1.0567564328677499</v>
      </c>
      <c r="AA42" s="10">
        <v>1.0566640227894299</v>
      </c>
      <c r="AB42" s="8">
        <v>59.9036093987933</v>
      </c>
      <c r="AC42" s="8">
        <v>59.729540190336699</v>
      </c>
      <c r="AD42" s="8">
        <v>59.729088729897299</v>
      </c>
      <c r="AE42" s="9">
        <v>3.4047399824770502E-3</v>
      </c>
      <c r="AF42" s="9">
        <v>4.9468818002777997E-4</v>
      </c>
      <c r="AG42" s="9">
        <v>4.8712974003022898E-4</v>
      </c>
      <c r="AZ42" s="9"/>
      <c r="BB42">
        <f t="shared" si="2"/>
        <v>0</v>
      </c>
      <c r="BC42">
        <f t="shared" si="3"/>
        <v>1</v>
      </c>
      <c r="BD42">
        <f t="shared" si="4"/>
        <v>0</v>
      </c>
      <c r="BE42">
        <f t="shared" si="0"/>
        <v>1</v>
      </c>
      <c r="BF42">
        <f t="shared" si="5"/>
        <v>0</v>
      </c>
      <c r="BG42" s="9">
        <f t="shared" si="6"/>
        <v>0</v>
      </c>
      <c r="BH42" s="9">
        <f t="shared" si="7"/>
        <v>0</v>
      </c>
      <c r="BI42" s="9">
        <f t="shared" si="8"/>
        <v>0</v>
      </c>
      <c r="BJ42" s="12">
        <f t="shared" si="9"/>
        <v>0</v>
      </c>
      <c r="BL42" s="9"/>
      <c r="BN42">
        <f t="shared" si="10"/>
        <v>0</v>
      </c>
      <c r="BO42">
        <f t="shared" si="11"/>
        <v>0</v>
      </c>
      <c r="BP42">
        <f t="shared" si="12"/>
        <v>0</v>
      </c>
      <c r="BQ42">
        <f t="shared" si="1"/>
        <v>1</v>
      </c>
      <c r="BR42">
        <f t="shared" si="13"/>
        <v>0</v>
      </c>
      <c r="BS42" s="9">
        <f t="shared" si="14"/>
        <v>0</v>
      </c>
      <c r="BT42" s="9">
        <f t="shared" si="15"/>
        <v>0</v>
      </c>
      <c r="BU42" s="9">
        <f t="shared" si="16"/>
        <v>0</v>
      </c>
      <c r="BV42" s="12">
        <f t="shared" si="17"/>
        <v>1.6975322659791247E-3</v>
      </c>
      <c r="BX42" s="12">
        <f t="shared" si="18"/>
        <v>0</v>
      </c>
      <c r="BY42" s="12">
        <f t="shared" si="19"/>
        <v>1.6975322659791247E-3</v>
      </c>
    </row>
    <row r="43" spans="1:77" x14ac:dyDescent="0.3">
      <c r="A43" s="1">
        <v>46085</v>
      </c>
      <c r="B43" s="8">
        <v>56.19</v>
      </c>
      <c r="C43" s="8">
        <v>59.37</v>
      </c>
      <c r="D43" s="9">
        <v>-5.8557526922199E-3</v>
      </c>
      <c r="E43" s="9">
        <v>-5.5429721159723803E-3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56.19</v>
      </c>
      <c r="M43" s="8">
        <v>59.37</v>
      </c>
      <c r="N43" s="10">
        <v>1.0565936999465999</v>
      </c>
      <c r="O43" s="10">
        <v>1.0596043809708899</v>
      </c>
      <c r="P43" s="10">
        <v>1.05672029355245</v>
      </c>
      <c r="Q43" s="10">
        <v>1.0566390532483501</v>
      </c>
      <c r="R43" s="8">
        <v>59.539170166754602</v>
      </c>
      <c r="S43" s="8">
        <v>59.379143962839201</v>
      </c>
      <c r="T43" s="8">
        <v>59.373951440538598</v>
      </c>
      <c r="U43" s="9">
        <v>2.8453698003720702E-3</v>
      </c>
      <c r="V43" s="9">
        <v>1.5400469514392399E-4</v>
      </c>
      <c r="W43" s="9">
        <v>6.65539674590836E-5</v>
      </c>
      <c r="X43" s="10">
        <v>1.0565936999465999</v>
      </c>
      <c r="Y43" s="10">
        <v>1.05986570061559</v>
      </c>
      <c r="Z43" s="10">
        <v>1.05672029355245</v>
      </c>
      <c r="AA43" s="10">
        <v>1.0566390532483501</v>
      </c>
      <c r="AB43" s="8">
        <v>59.553853717590201</v>
      </c>
      <c r="AC43" s="8">
        <v>59.379143962839201</v>
      </c>
      <c r="AD43" s="8">
        <v>59.373951440538598</v>
      </c>
      <c r="AE43" s="9">
        <v>3.0919594062294399E-3</v>
      </c>
      <c r="AF43" s="9">
        <v>1.5400469514392399E-4</v>
      </c>
      <c r="AG43" s="9">
        <v>6.65539674590836E-5</v>
      </c>
      <c r="AZ43" s="9"/>
      <c r="BB43">
        <f t="shared" si="2"/>
        <v>0</v>
      </c>
      <c r="BC43">
        <f t="shared" si="3"/>
        <v>1</v>
      </c>
      <c r="BD43">
        <f t="shared" si="4"/>
        <v>0</v>
      </c>
      <c r="BE43">
        <f t="shared" si="0"/>
        <v>1</v>
      </c>
      <c r="BF43">
        <f t="shared" si="5"/>
        <v>0</v>
      </c>
      <c r="BG43" s="9">
        <f t="shared" si="6"/>
        <v>0</v>
      </c>
      <c r="BH43" s="9">
        <f t="shared" si="7"/>
        <v>0</v>
      </c>
      <c r="BI43" s="9">
        <f t="shared" si="8"/>
        <v>0</v>
      </c>
      <c r="BJ43" s="12">
        <f t="shared" si="9"/>
        <v>0</v>
      </c>
      <c r="BL43" s="9"/>
      <c r="BN43">
        <f t="shared" si="10"/>
        <v>0</v>
      </c>
      <c r="BO43">
        <f t="shared" si="11"/>
        <v>0</v>
      </c>
      <c r="BP43">
        <f t="shared" si="12"/>
        <v>0</v>
      </c>
      <c r="BQ43">
        <f t="shared" si="1"/>
        <v>1</v>
      </c>
      <c r="BR43">
        <f t="shared" si="13"/>
        <v>0</v>
      </c>
      <c r="BS43" s="9">
        <f t="shared" si="14"/>
        <v>0</v>
      </c>
      <c r="BT43" s="9">
        <f t="shared" si="15"/>
        <v>0</v>
      </c>
      <c r="BU43" s="9">
        <f t="shared" si="16"/>
        <v>0</v>
      </c>
      <c r="BV43" s="12">
        <f t="shared" si="17"/>
        <v>1.6975322659791247E-3</v>
      </c>
      <c r="BX43" s="12">
        <f t="shared" si="18"/>
        <v>0</v>
      </c>
      <c r="BY43" s="12">
        <f t="shared" si="19"/>
        <v>1.6975322659791247E-3</v>
      </c>
    </row>
    <row r="44" spans="1:77" x14ac:dyDescent="0.3">
      <c r="A44" s="1">
        <v>46086</v>
      </c>
      <c r="B44" s="8">
        <v>56.48</v>
      </c>
      <c r="C44" s="8">
        <v>59.68</v>
      </c>
      <c r="D44" s="9">
        <v>5.1477880608798102E-3</v>
      </c>
      <c r="E44" s="9">
        <v>5.20790761292147E-3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56.48</v>
      </c>
      <c r="M44" s="8">
        <v>59.68</v>
      </c>
      <c r="N44" s="10">
        <v>1.0566572237960301</v>
      </c>
      <c r="O44" s="10">
        <v>1.0596043809708899</v>
      </c>
      <c r="P44" s="10">
        <v>1.0567499158958</v>
      </c>
      <c r="Q44" s="10">
        <v>1.05663261858352</v>
      </c>
      <c r="R44" s="8">
        <v>59.846455437236102</v>
      </c>
      <c r="S44" s="8">
        <v>59.683562179842298</v>
      </c>
      <c r="T44" s="8">
        <v>59.678973727466897</v>
      </c>
      <c r="U44" s="9">
        <v>2.7852502483304399E-3</v>
      </c>
      <c r="V44" s="9">
        <v>5.9686218782064199E-5</v>
      </c>
      <c r="W44" s="9">
        <v>-1.7196403437130199E-5</v>
      </c>
      <c r="X44" s="10">
        <v>1.0566572237960301</v>
      </c>
      <c r="Y44" s="10">
        <v>1.05986570061559</v>
      </c>
      <c r="Z44" s="10">
        <v>1.0567499158958</v>
      </c>
      <c r="AA44" s="10">
        <v>1.05663261858352</v>
      </c>
      <c r="AB44" s="8">
        <v>59.861214770768697</v>
      </c>
      <c r="AC44" s="8">
        <v>59.683562179842298</v>
      </c>
      <c r="AD44" s="8">
        <v>59.678973727466897</v>
      </c>
      <c r="AE44" s="9">
        <v>3.0318398541878499E-3</v>
      </c>
      <c r="AF44" s="9">
        <v>5.9686218782064199E-5</v>
      </c>
      <c r="AG44" s="9">
        <v>-1.7196403437130199E-5</v>
      </c>
      <c r="AZ44" s="9"/>
      <c r="BB44">
        <f t="shared" si="2"/>
        <v>0</v>
      </c>
      <c r="BC44">
        <f t="shared" si="3"/>
        <v>0</v>
      </c>
      <c r="BD44">
        <f t="shared" si="4"/>
        <v>0</v>
      </c>
      <c r="BE44">
        <f t="shared" si="0"/>
        <v>1</v>
      </c>
      <c r="BF44">
        <f t="shared" si="5"/>
        <v>0</v>
      </c>
      <c r="BG44" s="9">
        <f t="shared" si="6"/>
        <v>0</v>
      </c>
      <c r="BH44" s="9">
        <f t="shared" si="7"/>
        <v>0</v>
      </c>
      <c r="BI44" s="9">
        <f t="shared" si="8"/>
        <v>0</v>
      </c>
      <c r="BJ44" s="12">
        <f t="shared" si="9"/>
        <v>0</v>
      </c>
      <c r="BL44" s="9"/>
      <c r="BN44">
        <f t="shared" si="10"/>
        <v>0</v>
      </c>
      <c r="BO44">
        <f t="shared" si="11"/>
        <v>1</v>
      </c>
      <c r="BP44">
        <f t="shared" si="12"/>
        <v>0</v>
      </c>
      <c r="BQ44">
        <f t="shared" si="1"/>
        <v>1</v>
      </c>
      <c r="BR44">
        <f t="shared" si="13"/>
        <v>0</v>
      </c>
      <c r="BS44" s="9">
        <f t="shared" si="14"/>
        <v>0</v>
      </c>
      <c r="BT44" s="9">
        <f t="shared" si="15"/>
        <v>0</v>
      </c>
      <c r="BU44" s="9">
        <f t="shared" si="16"/>
        <v>0</v>
      </c>
      <c r="BV44" s="12">
        <f t="shared" si="17"/>
        <v>1.6975322659791247E-3</v>
      </c>
      <c r="BX44" s="12">
        <f t="shared" si="18"/>
        <v>0</v>
      </c>
      <c r="BY44" s="12">
        <f t="shared" si="19"/>
        <v>1.6975322659791247E-3</v>
      </c>
    </row>
    <row r="45" spans="1:77" x14ac:dyDescent="0.3">
      <c r="A45" s="1">
        <v>46087</v>
      </c>
      <c r="B45" s="8">
        <v>56.57</v>
      </c>
      <c r="C45" s="8">
        <v>59.75</v>
      </c>
      <c r="D45" s="9">
        <v>1.59221617007778E-3</v>
      </c>
      <c r="E45" s="9">
        <v>1.17223491611462E-3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56.57</v>
      </c>
      <c r="M45" s="8">
        <v>59.75</v>
      </c>
      <c r="N45" s="10">
        <v>1.0562135407459701</v>
      </c>
      <c r="O45" s="10">
        <v>1.0596043809708899</v>
      </c>
      <c r="P45" s="10">
        <v>1.056576809329</v>
      </c>
      <c r="Q45" s="10">
        <v>1.0565894362069199</v>
      </c>
      <c r="R45" s="8">
        <v>59.941819831523503</v>
      </c>
      <c r="S45" s="8">
        <v>59.780342742225798</v>
      </c>
      <c r="T45" s="8">
        <v>59.773707233270102</v>
      </c>
      <c r="U45" s="9">
        <v>3.20523150229367E-3</v>
      </c>
      <c r="V45" s="9">
        <v>5.0769942060782799E-4</v>
      </c>
      <c r="W45" s="9">
        <v>3.9669508467890698E-4</v>
      </c>
      <c r="X45" s="10">
        <v>1.0562135407459701</v>
      </c>
      <c r="Y45" s="10">
        <v>1.05986570061559</v>
      </c>
      <c r="Z45" s="10">
        <v>1.056576809329</v>
      </c>
      <c r="AA45" s="10">
        <v>1.0565894362069199</v>
      </c>
      <c r="AB45" s="8">
        <v>59.956602683824102</v>
      </c>
      <c r="AC45" s="8">
        <v>59.780342742225798</v>
      </c>
      <c r="AD45" s="8">
        <v>59.773707233270102</v>
      </c>
      <c r="AE45" s="9">
        <v>3.4518211081509798E-3</v>
      </c>
      <c r="AF45" s="9">
        <v>5.0769942060782799E-4</v>
      </c>
      <c r="AG45" s="9">
        <v>3.9669508467890698E-4</v>
      </c>
      <c r="AZ45" s="9"/>
      <c r="BB45">
        <f t="shared" si="2"/>
        <v>0</v>
      </c>
      <c r="BC45">
        <f t="shared" si="3"/>
        <v>1</v>
      </c>
      <c r="BD45">
        <f t="shared" si="4"/>
        <v>0</v>
      </c>
      <c r="BE45">
        <f t="shared" si="0"/>
        <v>1</v>
      </c>
      <c r="BF45">
        <f t="shared" si="5"/>
        <v>0</v>
      </c>
      <c r="BG45" s="9">
        <f t="shared" si="6"/>
        <v>0</v>
      </c>
      <c r="BH45" s="9">
        <f t="shared" si="7"/>
        <v>0</v>
      </c>
      <c r="BI45" s="9">
        <f t="shared" si="8"/>
        <v>0</v>
      </c>
      <c r="BJ45" s="12">
        <f t="shared" si="9"/>
        <v>0</v>
      </c>
      <c r="BL45" s="9"/>
      <c r="BN45">
        <f t="shared" si="10"/>
        <v>0</v>
      </c>
      <c r="BO45">
        <f t="shared" si="11"/>
        <v>0</v>
      </c>
      <c r="BP45">
        <f t="shared" si="12"/>
        <v>0</v>
      </c>
      <c r="BQ45">
        <f t="shared" si="1"/>
        <v>1</v>
      </c>
      <c r="BR45">
        <f t="shared" si="13"/>
        <v>0</v>
      </c>
      <c r="BS45" s="9">
        <f t="shared" si="14"/>
        <v>0</v>
      </c>
      <c r="BT45" s="9">
        <f t="shared" si="15"/>
        <v>0</v>
      </c>
      <c r="BU45" s="9">
        <f t="shared" si="16"/>
        <v>0</v>
      </c>
      <c r="BV45" s="12">
        <f t="shared" si="17"/>
        <v>1.6975322659791247E-3</v>
      </c>
      <c r="BX45" s="12">
        <f t="shared" si="18"/>
        <v>0</v>
      </c>
      <c r="BY45" s="12">
        <f t="shared" si="19"/>
        <v>1.6975322659791247E-3</v>
      </c>
    </row>
    <row r="46" spans="1:77" x14ac:dyDescent="0.3">
      <c r="A46" s="1">
        <v>46090</v>
      </c>
      <c r="B46" s="8">
        <v>56.32</v>
      </c>
      <c r="C46" s="8">
        <v>59.5</v>
      </c>
      <c r="D46" s="9">
        <v>-4.4290975052774196E-3</v>
      </c>
      <c r="E46" s="9">
        <v>-4.1928782600359196E-3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56.32</v>
      </c>
      <c r="M46" s="8">
        <v>59.5</v>
      </c>
      <c r="N46" s="10">
        <v>1.0564630681818099</v>
      </c>
      <c r="O46" s="10">
        <v>1.0596043809708899</v>
      </c>
      <c r="P46" s="10">
        <v>1.0565295531372101</v>
      </c>
      <c r="Q46" s="10">
        <v>1.05660507787892</v>
      </c>
      <c r="R46" s="8">
        <v>59.676918736280797</v>
      </c>
      <c r="S46" s="8">
        <v>59.5064059014096</v>
      </c>
      <c r="T46" s="8">
        <v>59.507117047173701</v>
      </c>
      <c r="U46" s="9">
        <v>2.9690122570522198E-3</v>
      </c>
      <c r="V46" s="9">
        <v>1.0765641340620499E-4</v>
      </c>
      <c r="W46" s="9">
        <v>1.19607085001913E-4</v>
      </c>
      <c r="X46" s="10">
        <v>1.0564630681818099</v>
      </c>
      <c r="Y46" s="10">
        <v>1.05986570061559</v>
      </c>
      <c r="Z46" s="10">
        <v>1.0565295531372101</v>
      </c>
      <c r="AA46" s="10">
        <v>1.05660507787892</v>
      </c>
      <c r="AB46" s="8">
        <v>59.691636258670201</v>
      </c>
      <c r="AC46" s="8">
        <v>59.5064059014096</v>
      </c>
      <c r="AD46" s="8">
        <v>59.507117047173701</v>
      </c>
      <c r="AE46" s="9">
        <v>3.21560186290972E-3</v>
      </c>
      <c r="AF46" s="9">
        <v>1.0765641340620499E-4</v>
      </c>
      <c r="AG46" s="9">
        <v>1.19607085001913E-4</v>
      </c>
      <c r="AZ46" s="9"/>
      <c r="BB46">
        <f t="shared" si="2"/>
        <v>0</v>
      </c>
      <c r="BC46">
        <f t="shared" si="3"/>
        <v>1</v>
      </c>
      <c r="BD46">
        <f t="shared" si="4"/>
        <v>0</v>
      </c>
      <c r="BE46">
        <f t="shared" si="0"/>
        <v>1</v>
      </c>
      <c r="BF46">
        <f t="shared" si="5"/>
        <v>0</v>
      </c>
      <c r="BG46" s="9">
        <f t="shared" si="6"/>
        <v>0</v>
      </c>
      <c r="BH46" s="9">
        <f t="shared" si="7"/>
        <v>0</v>
      </c>
      <c r="BI46" s="9">
        <f t="shared" si="8"/>
        <v>0</v>
      </c>
      <c r="BJ46" s="12">
        <f t="shared" si="9"/>
        <v>0</v>
      </c>
      <c r="BL46" s="9"/>
      <c r="BN46">
        <f t="shared" si="10"/>
        <v>0</v>
      </c>
      <c r="BO46">
        <f t="shared" si="11"/>
        <v>0</v>
      </c>
      <c r="BP46">
        <f t="shared" si="12"/>
        <v>0</v>
      </c>
      <c r="BQ46">
        <f t="shared" si="1"/>
        <v>1</v>
      </c>
      <c r="BR46">
        <f t="shared" si="13"/>
        <v>0</v>
      </c>
      <c r="BS46" s="9">
        <f t="shared" si="14"/>
        <v>0</v>
      </c>
      <c r="BT46" s="9">
        <f t="shared" si="15"/>
        <v>0</v>
      </c>
      <c r="BU46" s="9">
        <f t="shared" si="16"/>
        <v>0</v>
      </c>
      <c r="BV46" s="12">
        <f t="shared" si="17"/>
        <v>1.6975322659791247E-3</v>
      </c>
      <c r="BX46" s="12">
        <f t="shared" si="18"/>
        <v>0</v>
      </c>
      <c r="BY46" s="12">
        <f t="shared" si="19"/>
        <v>1.6975322659791247E-3</v>
      </c>
    </row>
    <row r="47" spans="1:77" x14ac:dyDescent="0.3">
      <c r="A47" s="1">
        <v>46091</v>
      </c>
      <c r="B47" s="8">
        <v>55.6</v>
      </c>
      <c r="C47" s="8">
        <v>58.78</v>
      </c>
      <c r="D47" s="9">
        <v>-1.28665105932502E-2</v>
      </c>
      <c r="E47" s="9">
        <v>-1.21746515608127E-2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55.6</v>
      </c>
      <c r="M47" s="8">
        <v>58.78</v>
      </c>
      <c r="N47" s="10">
        <v>1.0571942446043101</v>
      </c>
      <c r="O47" s="10">
        <v>1.0596043809708899</v>
      </c>
      <c r="P47" s="10">
        <v>1.05647765273376</v>
      </c>
      <c r="Q47" s="10">
        <v>1.0566217625177801</v>
      </c>
      <c r="R47" s="8">
        <v>58.914003581981703</v>
      </c>
      <c r="S47" s="8">
        <v>58.743043154429202</v>
      </c>
      <c r="T47" s="8">
        <v>58.747242330067998</v>
      </c>
      <c r="U47" s="9">
        <v>2.2771532246147401E-3</v>
      </c>
      <c r="V47" s="9">
        <v>-6.2892937073513104E-4</v>
      </c>
      <c r="W47" s="9">
        <v>-5.5744813084627597E-4</v>
      </c>
      <c r="X47" s="10">
        <v>1.0571942446043101</v>
      </c>
      <c r="Y47" s="10">
        <v>1.05986570061559</v>
      </c>
      <c r="Z47" s="10">
        <v>1.05647765273376</v>
      </c>
      <c r="AA47" s="10">
        <v>1.0566217625177801</v>
      </c>
      <c r="AB47" s="8">
        <v>58.928532954227002</v>
      </c>
      <c r="AC47" s="8">
        <v>58.743043154429202</v>
      </c>
      <c r="AD47" s="8">
        <v>58.747242330067998</v>
      </c>
      <c r="AE47" s="9">
        <v>2.5237428304722199E-3</v>
      </c>
      <c r="AF47" s="9">
        <v>-6.2892937073513104E-4</v>
      </c>
      <c r="AG47" s="9">
        <v>-5.5744813084627597E-4</v>
      </c>
      <c r="AZ47" s="9"/>
      <c r="BB47">
        <f t="shared" si="2"/>
        <v>0</v>
      </c>
      <c r="BC47">
        <f t="shared" si="3"/>
        <v>0</v>
      </c>
      <c r="BD47">
        <f t="shared" si="4"/>
        <v>0</v>
      </c>
      <c r="BE47">
        <f t="shared" si="0"/>
        <v>1</v>
      </c>
      <c r="BF47">
        <f t="shared" si="5"/>
        <v>0</v>
      </c>
      <c r="BG47" s="9">
        <f t="shared" si="6"/>
        <v>0</v>
      </c>
      <c r="BH47" s="9">
        <f t="shared" si="7"/>
        <v>0</v>
      </c>
      <c r="BI47" s="9">
        <f t="shared" si="8"/>
        <v>0</v>
      </c>
      <c r="BJ47" s="12">
        <f t="shared" si="9"/>
        <v>0</v>
      </c>
      <c r="BL47" s="9"/>
      <c r="BN47">
        <f t="shared" si="10"/>
        <v>0</v>
      </c>
      <c r="BO47">
        <f t="shared" si="11"/>
        <v>1</v>
      </c>
      <c r="BP47">
        <f t="shared" si="12"/>
        <v>0</v>
      </c>
      <c r="BQ47">
        <f t="shared" si="1"/>
        <v>1</v>
      </c>
      <c r="BR47">
        <f t="shared" si="13"/>
        <v>0</v>
      </c>
      <c r="BS47" s="9">
        <f t="shared" si="14"/>
        <v>0</v>
      </c>
      <c r="BT47" s="9">
        <f t="shared" si="15"/>
        <v>0</v>
      </c>
      <c r="BU47" s="9">
        <f t="shared" si="16"/>
        <v>0</v>
      </c>
      <c r="BV47" s="12">
        <f t="shared" si="17"/>
        <v>1.6975322659791247E-3</v>
      </c>
      <c r="BX47" s="12">
        <f t="shared" si="18"/>
        <v>0</v>
      </c>
      <c r="BY47" s="12">
        <f t="shared" si="19"/>
        <v>1.6975322659791247E-3</v>
      </c>
    </row>
    <row r="48" spans="1:77" x14ac:dyDescent="0.3">
      <c r="A48" s="1">
        <v>46092</v>
      </c>
      <c r="B48" s="8">
        <v>56.98</v>
      </c>
      <c r="C48" s="8">
        <v>60.21</v>
      </c>
      <c r="D48" s="9">
        <v>2.45171278132255E-2</v>
      </c>
      <c r="E48" s="9">
        <v>2.4036790485585099E-2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56.98</v>
      </c>
      <c r="M48" s="8">
        <v>60.21</v>
      </c>
      <c r="N48" s="10">
        <v>1.05668655668655</v>
      </c>
      <c r="O48" s="10">
        <v>1.0596043809708899</v>
      </c>
      <c r="P48" s="10">
        <v>1.0565694904691201</v>
      </c>
      <c r="Q48" s="10">
        <v>1.0566005472390101</v>
      </c>
      <c r="R48" s="8">
        <v>60.3762576277216</v>
      </c>
      <c r="S48" s="8">
        <v>60.198096652769799</v>
      </c>
      <c r="T48" s="8">
        <v>60.2063080282635</v>
      </c>
      <c r="U48" s="9">
        <v>2.7574905522550798E-3</v>
      </c>
      <c r="V48" s="9">
        <v>-1.9771672503477E-4</v>
      </c>
      <c r="W48" s="9">
        <v>-6.1320128444810901E-5</v>
      </c>
      <c r="X48" s="10">
        <v>1.05668655668655</v>
      </c>
      <c r="Y48" s="10">
        <v>1.05986570061559</v>
      </c>
      <c r="Z48" s="10">
        <v>1.0565694904691201</v>
      </c>
      <c r="AA48" s="10">
        <v>1.0566005472390101</v>
      </c>
      <c r="AB48" s="8">
        <v>60.391147621076499</v>
      </c>
      <c r="AC48" s="8">
        <v>60.198096652769799</v>
      </c>
      <c r="AD48" s="8">
        <v>60.2063080282635</v>
      </c>
      <c r="AE48" s="9">
        <v>3.0040801581123901E-3</v>
      </c>
      <c r="AF48" s="9">
        <v>-1.9771672503477E-4</v>
      </c>
      <c r="AG48" s="9">
        <v>-6.1320128444810901E-5</v>
      </c>
      <c r="AZ48" s="9"/>
      <c r="BB48">
        <f t="shared" si="2"/>
        <v>0</v>
      </c>
      <c r="BC48">
        <f t="shared" si="3"/>
        <v>0</v>
      </c>
      <c r="BD48">
        <f t="shared" si="4"/>
        <v>0</v>
      </c>
      <c r="BE48">
        <f t="shared" si="0"/>
        <v>1</v>
      </c>
      <c r="BF48">
        <f t="shared" si="5"/>
        <v>0</v>
      </c>
      <c r="BG48" s="9">
        <f t="shared" si="6"/>
        <v>0</v>
      </c>
      <c r="BH48" s="9">
        <f t="shared" si="7"/>
        <v>0</v>
      </c>
      <c r="BI48" s="9">
        <f t="shared" si="8"/>
        <v>0</v>
      </c>
      <c r="BJ48" s="12">
        <f t="shared" si="9"/>
        <v>0</v>
      </c>
      <c r="BL48" s="9"/>
      <c r="BN48">
        <f t="shared" si="10"/>
        <v>0</v>
      </c>
      <c r="BO48">
        <f t="shared" si="11"/>
        <v>1</v>
      </c>
      <c r="BP48">
        <f t="shared" si="12"/>
        <v>0</v>
      </c>
      <c r="BQ48">
        <f t="shared" si="1"/>
        <v>1</v>
      </c>
      <c r="BR48">
        <f t="shared" si="13"/>
        <v>0</v>
      </c>
      <c r="BS48" s="9">
        <f t="shared" si="14"/>
        <v>0</v>
      </c>
      <c r="BT48" s="9">
        <f t="shared" si="15"/>
        <v>0</v>
      </c>
      <c r="BU48" s="9">
        <f t="shared" si="16"/>
        <v>0</v>
      </c>
      <c r="BV48" s="12">
        <f t="shared" si="17"/>
        <v>1.6975322659791247E-3</v>
      </c>
      <c r="BX48" s="12">
        <f t="shared" si="18"/>
        <v>0</v>
      </c>
      <c r="BY48" s="12">
        <f t="shared" si="19"/>
        <v>1.6975322659791247E-3</v>
      </c>
    </row>
    <row r="49" spans="1:77" x14ac:dyDescent="0.3">
      <c r="A49" s="1">
        <v>46093</v>
      </c>
      <c r="B49" s="8">
        <v>57.51</v>
      </c>
      <c r="C49" s="8">
        <v>60.71</v>
      </c>
      <c r="D49" s="9">
        <v>9.2585166559006893E-3</v>
      </c>
      <c r="E49" s="9">
        <v>8.2699776659861998E-3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57.51</v>
      </c>
      <c r="M49" s="8">
        <v>60.71</v>
      </c>
      <c r="N49" s="10">
        <v>1.0556424969570499</v>
      </c>
      <c r="O49" s="10">
        <v>1.0596043809708899</v>
      </c>
      <c r="P49" s="10">
        <v>1.05648433053721</v>
      </c>
      <c r="Q49" s="10">
        <v>1.05657255931858</v>
      </c>
      <c r="R49" s="8">
        <v>60.9378479496362</v>
      </c>
      <c r="S49" s="8">
        <v>60.763311396879203</v>
      </c>
      <c r="T49" s="8">
        <v>60.765097471715698</v>
      </c>
      <c r="U49" s="9">
        <v>3.74602954216946E-3</v>
      </c>
      <c r="V49" s="9">
        <v>8.7774671965303096E-4</v>
      </c>
      <c r="W49" s="9">
        <v>9.0714025575243298E-4</v>
      </c>
      <c r="X49" s="10">
        <v>1.0556424969570499</v>
      </c>
      <c r="Y49" s="10">
        <v>1.05986570061559</v>
      </c>
      <c r="Z49" s="10">
        <v>1.05648433053721</v>
      </c>
      <c r="AA49" s="10">
        <v>1.05657255931858</v>
      </c>
      <c r="AB49" s="8">
        <v>60.952876442402797</v>
      </c>
      <c r="AC49" s="8">
        <v>60.763311396879203</v>
      </c>
      <c r="AD49" s="8">
        <v>60.765097471715698</v>
      </c>
      <c r="AE49" s="9">
        <v>3.9926191480267204E-3</v>
      </c>
      <c r="AF49" s="9">
        <v>8.7774671965303096E-4</v>
      </c>
      <c r="AG49" s="9">
        <v>9.0714025575243298E-4</v>
      </c>
      <c r="AZ49" s="9"/>
      <c r="BB49">
        <f t="shared" si="2"/>
        <v>0</v>
      </c>
      <c r="BC49">
        <f t="shared" si="3"/>
        <v>1</v>
      </c>
      <c r="BD49">
        <f t="shared" si="4"/>
        <v>0</v>
      </c>
      <c r="BE49">
        <f t="shared" si="0"/>
        <v>1</v>
      </c>
      <c r="BF49">
        <f t="shared" si="5"/>
        <v>0</v>
      </c>
      <c r="BG49" s="9">
        <f t="shared" si="6"/>
        <v>0</v>
      </c>
      <c r="BH49" s="9">
        <f t="shared" si="7"/>
        <v>0</v>
      </c>
      <c r="BI49" s="9">
        <f t="shared" si="8"/>
        <v>0</v>
      </c>
      <c r="BJ49" s="12">
        <f t="shared" si="9"/>
        <v>0</v>
      </c>
      <c r="BL49" s="9"/>
      <c r="BN49">
        <f t="shared" si="10"/>
        <v>0</v>
      </c>
      <c r="BO49">
        <f t="shared" si="11"/>
        <v>0</v>
      </c>
      <c r="BP49">
        <f t="shared" si="12"/>
        <v>0</v>
      </c>
      <c r="BQ49">
        <f t="shared" si="1"/>
        <v>1</v>
      </c>
      <c r="BR49">
        <f t="shared" si="13"/>
        <v>0</v>
      </c>
      <c r="BS49" s="9">
        <f t="shared" si="14"/>
        <v>0</v>
      </c>
      <c r="BT49" s="9">
        <f t="shared" si="15"/>
        <v>0</v>
      </c>
      <c r="BU49" s="9">
        <f t="shared" si="16"/>
        <v>0</v>
      </c>
      <c r="BV49" s="12">
        <f t="shared" si="17"/>
        <v>1.6975322659791247E-3</v>
      </c>
      <c r="BX49" s="12">
        <f t="shared" si="18"/>
        <v>0</v>
      </c>
      <c r="BY49" s="12">
        <f t="shared" si="19"/>
        <v>1.6975322659791247E-3</v>
      </c>
    </row>
    <row r="50" spans="1:77" x14ac:dyDescent="0.3">
      <c r="A50" s="1">
        <v>46094</v>
      </c>
      <c r="B50" s="8">
        <v>57.7</v>
      </c>
      <c r="C50" s="8">
        <v>60.93</v>
      </c>
      <c r="D50" s="9">
        <v>3.2983277883912201E-3</v>
      </c>
      <c r="E50" s="9">
        <v>3.6172351180602698E-3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57.7</v>
      </c>
      <c r="M50" s="8">
        <v>60.93</v>
      </c>
      <c r="N50" s="10">
        <v>1.05597920277296</v>
      </c>
      <c r="O50" s="10">
        <v>1.0596043809708899</v>
      </c>
      <c r="P50" s="10">
        <v>1.05646708629376</v>
      </c>
      <c r="Q50" s="10">
        <v>1.0565927124916901</v>
      </c>
      <c r="R50" s="8">
        <v>61.139172782020601</v>
      </c>
      <c r="S50" s="8">
        <v>60.959145871997301</v>
      </c>
      <c r="T50" s="8">
        <v>60.964236672682503</v>
      </c>
      <c r="U50" s="9">
        <v>3.4271222125003701E-3</v>
      </c>
      <c r="V50" s="9">
        <v>4.7823573369659602E-4</v>
      </c>
      <c r="W50" s="9">
        <v>5.6174392682300004E-4</v>
      </c>
      <c r="X50" s="10">
        <v>1.05597920277296</v>
      </c>
      <c r="Y50" s="10">
        <v>1.05986570061559</v>
      </c>
      <c r="Z50" s="10">
        <v>1.05646708629376</v>
      </c>
      <c r="AA50" s="10">
        <v>1.0565927124916901</v>
      </c>
      <c r="AB50" s="8">
        <v>61.154250925519698</v>
      </c>
      <c r="AC50" s="8">
        <v>60.959145871997301</v>
      </c>
      <c r="AD50" s="8">
        <v>60.964236672682503</v>
      </c>
      <c r="AE50" s="9">
        <v>3.6737118183576699E-3</v>
      </c>
      <c r="AF50" s="9">
        <v>4.7823573369659602E-4</v>
      </c>
      <c r="AG50" s="9">
        <v>5.6174392682300004E-4</v>
      </c>
      <c r="AZ50" s="9"/>
      <c r="BB50">
        <f t="shared" si="2"/>
        <v>0</v>
      </c>
      <c r="BC50">
        <f t="shared" si="3"/>
        <v>1</v>
      </c>
      <c r="BD50">
        <f t="shared" si="4"/>
        <v>0</v>
      </c>
      <c r="BE50">
        <f t="shared" si="0"/>
        <v>1</v>
      </c>
      <c r="BF50">
        <f t="shared" si="5"/>
        <v>0</v>
      </c>
      <c r="BG50" s="9">
        <f t="shared" si="6"/>
        <v>0</v>
      </c>
      <c r="BH50" s="9">
        <f t="shared" si="7"/>
        <v>0</v>
      </c>
      <c r="BI50" s="9">
        <f t="shared" si="8"/>
        <v>0</v>
      </c>
      <c r="BJ50" s="12">
        <f t="shared" si="9"/>
        <v>0</v>
      </c>
      <c r="BL50" s="9"/>
      <c r="BN50">
        <f t="shared" si="10"/>
        <v>0</v>
      </c>
      <c r="BO50">
        <f t="shared" si="11"/>
        <v>0</v>
      </c>
      <c r="BP50">
        <f t="shared" si="12"/>
        <v>0</v>
      </c>
      <c r="BQ50">
        <f t="shared" si="1"/>
        <v>1</v>
      </c>
      <c r="BR50">
        <f t="shared" si="13"/>
        <v>0</v>
      </c>
      <c r="BS50" s="9">
        <f t="shared" si="14"/>
        <v>0</v>
      </c>
      <c r="BT50" s="9">
        <f t="shared" si="15"/>
        <v>0</v>
      </c>
      <c r="BU50" s="9">
        <f t="shared" si="16"/>
        <v>0</v>
      </c>
      <c r="BV50" s="12">
        <f t="shared" si="17"/>
        <v>1.6975322659791247E-3</v>
      </c>
      <c r="BX50" s="12">
        <f t="shared" si="18"/>
        <v>0</v>
      </c>
      <c r="BY50" s="12">
        <f t="shared" si="19"/>
        <v>1.6975322659791247E-3</v>
      </c>
    </row>
    <row r="51" spans="1:77" x14ac:dyDescent="0.3">
      <c r="A51" s="1">
        <v>46097</v>
      </c>
      <c r="B51" s="8">
        <v>57.9</v>
      </c>
      <c r="C51" s="8">
        <v>61.16</v>
      </c>
      <c r="D51" s="9">
        <v>3.46021106489565E-3</v>
      </c>
      <c r="E51" s="9">
        <v>3.7677168004584798E-3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57.9</v>
      </c>
      <c r="M51" s="8">
        <v>61.16</v>
      </c>
      <c r="N51" s="10">
        <v>1.05630397236614</v>
      </c>
      <c r="O51" s="10">
        <v>1.0596043809708899</v>
      </c>
      <c r="P51" s="10">
        <v>1.0563997275696499</v>
      </c>
      <c r="Q51" s="10">
        <v>1.0565928237134901</v>
      </c>
      <c r="R51" s="8">
        <v>61.351093658214801</v>
      </c>
      <c r="S51" s="8">
        <v>61.169444296409203</v>
      </c>
      <c r="T51" s="8">
        <v>61.176718053268999</v>
      </c>
      <c r="U51" s="9">
        <v>3.1196164769374999E-3</v>
      </c>
      <c r="V51" s="9">
        <v>1.5440757509027801E-4</v>
      </c>
      <c r="W51" s="9">
        <v>2.7331211167223499E-4</v>
      </c>
      <c r="X51" s="10">
        <v>1.05630397236614</v>
      </c>
      <c r="Y51" s="10">
        <v>1.05986570061559</v>
      </c>
      <c r="Z51" s="10">
        <v>1.0563997275696499</v>
      </c>
      <c r="AA51" s="10">
        <v>1.0565928237134901</v>
      </c>
      <c r="AB51" s="8">
        <v>61.366224065642797</v>
      </c>
      <c r="AC51" s="8">
        <v>61.169444296409203</v>
      </c>
      <c r="AD51" s="8">
        <v>61.176718053268999</v>
      </c>
      <c r="AE51" s="9">
        <v>3.3662060827949099E-3</v>
      </c>
      <c r="AF51" s="9">
        <v>1.5440757509027801E-4</v>
      </c>
      <c r="AG51" s="9">
        <v>2.7331211167223499E-4</v>
      </c>
      <c r="AZ51" s="9"/>
      <c r="BB51">
        <f t="shared" si="2"/>
        <v>0</v>
      </c>
      <c r="BC51">
        <f t="shared" si="3"/>
        <v>1</v>
      </c>
      <c r="BD51">
        <f t="shared" si="4"/>
        <v>0</v>
      </c>
      <c r="BE51">
        <f t="shared" si="0"/>
        <v>0</v>
      </c>
      <c r="BF51">
        <f t="shared" si="5"/>
        <v>0</v>
      </c>
      <c r="BG51" s="9">
        <f t="shared" si="6"/>
        <v>0</v>
      </c>
      <c r="BH51" s="9">
        <f t="shared" si="7"/>
        <v>0</v>
      </c>
      <c r="BI51" s="9">
        <f t="shared" si="8"/>
        <v>0</v>
      </c>
      <c r="BJ51" s="12">
        <f t="shared" si="9"/>
        <v>0</v>
      </c>
      <c r="BL51" s="9"/>
      <c r="BN51">
        <f t="shared" si="10"/>
        <v>0</v>
      </c>
      <c r="BO51">
        <f t="shared" si="11"/>
        <v>0</v>
      </c>
      <c r="BP51">
        <f t="shared" si="12"/>
        <v>0</v>
      </c>
      <c r="BQ51">
        <f t="shared" si="1"/>
        <v>0</v>
      </c>
      <c r="BR51">
        <f t="shared" si="13"/>
        <v>0</v>
      </c>
      <c r="BS51" s="9">
        <f t="shared" si="14"/>
        <v>0</v>
      </c>
      <c r="BT51" s="9">
        <f t="shared" si="15"/>
        <v>0</v>
      </c>
      <c r="BU51" s="9">
        <f t="shared" si="16"/>
        <v>0</v>
      </c>
      <c r="BV51" s="12">
        <f t="shared" si="17"/>
        <v>1.6975322659791247E-3</v>
      </c>
      <c r="BX51" s="12">
        <f t="shared" si="18"/>
        <v>0</v>
      </c>
      <c r="BY51" s="12">
        <f t="shared" si="19"/>
        <v>1.6975322659791247E-3</v>
      </c>
    </row>
    <row r="52" spans="1:77" x14ac:dyDescent="0.3">
      <c r="A52" s="1">
        <v>46098</v>
      </c>
      <c r="B52" s="8">
        <v>58.51</v>
      </c>
      <c r="C52" s="8">
        <v>61.45</v>
      </c>
      <c r="D52" s="9">
        <v>1.0480295221195099E-2</v>
      </c>
      <c r="E52" s="9">
        <v>4.7304549511823597E-3</v>
      </c>
      <c r="F52" s="8">
        <v>0</v>
      </c>
      <c r="G52" s="8">
        <v>0</v>
      </c>
      <c r="H52" s="8">
        <v>0.30669999999999997</v>
      </c>
      <c r="I52" s="8">
        <v>0.30669999999999997</v>
      </c>
      <c r="J52" s="8">
        <v>0</v>
      </c>
      <c r="K52" s="8">
        <v>0.30669999999999997</v>
      </c>
      <c r="L52" s="8">
        <v>58.51</v>
      </c>
      <c r="M52" s="8">
        <v>61.756700000000002</v>
      </c>
      <c r="N52" s="10">
        <v>1.0502478208853101</v>
      </c>
      <c r="O52" s="10">
        <v>1.0596043809708899</v>
      </c>
      <c r="P52" s="10">
        <v>1.0557981826942699</v>
      </c>
      <c r="Q52" s="10">
        <v>1.0562773077810099</v>
      </c>
      <c r="R52" s="8">
        <v>61.997452330606997</v>
      </c>
      <c r="S52" s="8">
        <v>61.809948060100403</v>
      </c>
      <c r="T52" s="8">
        <v>61.821246115476598</v>
      </c>
      <c r="U52" s="9">
        <v>8.8694567469502199E-3</v>
      </c>
      <c r="V52" s="9">
        <v>5.8404873433095901E-3</v>
      </c>
      <c r="W52" s="9">
        <v>6.0232576462737504E-3</v>
      </c>
      <c r="X52" s="10">
        <v>1.0554896598871899</v>
      </c>
      <c r="Y52" s="10">
        <v>1.05986570061559</v>
      </c>
      <c r="Z52" s="10">
        <v>1.0563223665944601</v>
      </c>
      <c r="AA52" s="10">
        <v>1.0565393997311101</v>
      </c>
      <c r="AB52" s="8">
        <v>62.012742143018301</v>
      </c>
      <c r="AC52" s="8">
        <v>61.809948060100403</v>
      </c>
      <c r="AD52" s="8">
        <v>61.821246115476598</v>
      </c>
      <c r="AE52" s="9">
        <v>4.1374107183922097E-3</v>
      </c>
      <c r="AF52" s="9">
        <v>8.6185170889416002E-4</v>
      </c>
      <c r="AG52" s="9">
        <v>1.0446220118583401E-3</v>
      </c>
      <c r="AZ52" s="9"/>
      <c r="BB52">
        <f t="shared" si="2"/>
        <v>0</v>
      </c>
      <c r="BC52">
        <f t="shared" si="3"/>
        <v>1</v>
      </c>
      <c r="BD52">
        <f t="shared" si="4"/>
        <v>0</v>
      </c>
      <c r="BE52">
        <f t="shared" si="0"/>
        <v>1</v>
      </c>
      <c r="BF52">
        <f t="shared" si="5"/>
        <v>0</v>
      </c>
      <c r="BG52" s="9">
        <f t="shared" si="6"/>
        <v>0</v>
      </c>
      <c r="BH52" s="9">
        <f t="shared" si="7"/>
        <v>0</v>
      </c>
      <c r="BI52" s="9">
        <f t="shared" si="8"/>
        <v>0</v>
      </c>
      <c r="BJ52" s="12">
        <f t="shared" si="9"/>
        <v>0</v>
      </c>
      <c r="BL52" s="9"/>
      <c r="BN52">
        <f t="shared" si="10"/>
        <v>0</v>
      </c>
      <c r="BO52">
        <f t="shared" si="11"/>
        <v>0</v>
      </c>
      <c r="BP52">
        <f t="shared" si="12"/>
        <v>0</v>
      </c>
      <c r="BQ52">
        <f t="shared" si="1"/>
        <v>1</v>
      </c>
      <c r="BR52">
        <f t="shared" si="13"/>
        <v>0</v>
      </c>
      <c r="BS52" s="9">
        <f t="shared" si="14"/>
        <v>0</v>
      </c>
      <c r="BT52" s="9">
        <f t="shared" si="15"/>
        <v>0</v>
      </c>
      <c r="BU52" s="9">
        <f t="shared" si="16"/>
        <v>0</v>
      </c>
      <c r="BV52" s="12">
        <f t="shared" si="17"/>
        <v>1.6975322659791247E-3</v>
      </c>
      <c r="BX52" s="12">
        <f t="shared" si="18"/>
        <v>0</v>
      </c>
      <c r="BY52" s="12">
        <f t="shared" si="19"/>
        <v>1.6975322659791247E-3</v>
      </c>
    </row>
    <row r="53" spans="1:77" x14ac:dyDescent="0.3">
      <c r="A53" s="1">
        <v>46099</v>
      </c>
      <c r="B53" s="8">
        <v>58.43</v>
      </c>
      <c r="C53" s="8">
        <v>61.45</v>
      </c>
      <c r="D53" s="9">
        <v>-1.3682232337990099E-3</v>
      </c>
      <c r="E53" s="9">
        <v>0</v>
      </c>
      <c r="F53" s="8">
        <v>0</v>
      </c>
      <c r="G53" s="8">
        <v>0</v>
      </c>
      <c r="H53" s="8">
        <v>0</v>
      </c>
      <c r="I53" s="8">
        <v>0.30669999999999997</v>
      </c>
      <c r="J53" s="8">
        <v>0</v>
      </c>
      <c r="K53" s="8">
        <v>0.30669999999999997</v>
      </c>
      <c r="L53" s="8">
        <v>58.43</v>
      </c>
      <c r="M53" s="8">
        <v>61.756700000000002</v>
      </c>
      <c r="N53" s="10">
        <v>1.05168577785384</v>
      </c>
      <c r="O53" s="10">
        <v>1.0596043809708899</v>
      </c>
      <c r="P53" s="10">
        <v>1.0553073904850001</v>
      </c>
      <c r="Q53" s="10">
        <v>1.05601384201872</v>
      </c>
      <c r="R53" s="8">
        <v>61.912683980129401</v>
      </c>
      <c r="S53" s="8">
        <v>61.690287814826704</v>
      </c>
      <c r="T53" s="8">
        <v>61.7182830936448</v>
      </c>
      <c r="U53" s="9">
        <v>7.5012335131511001E-3</v>
      </c>
      <c r="V53" s="9">
        <v>3.9026727007557098E-3</v>
      </c>
      <c r="W53" s="9">
        <v>4.3563734298419296E-3</v>
      </c>
      <c r="X53" s="10">
        <v>1.05693479377032</v>
      </c>
      <c r="Y53" s="10">
        <v>1.05986570061559</v>
      </c>
      <c r="Z53" s="10">
        <v>1.05635647597683</v>
      </c>
      <c r="AA53" s="10">
        <v>1.0565383847646399</v>
      </c>
      <c r="AB53" s="8">
        <v>61.927952886969102</v>
      </c>
      <c r="AC53" s="8">
        <v>61.720915880114703</v>
      </c>
      <c r="AD53" s="8">
        <v>61.733597126288799</v>
      </c>
      <c r="AE53" s="9">
        <v>2.76918748459319E-3</v>
      </c>
      <c r="AF53" s="9">
        <v>-5.7960498559995501E-4</v>
      </c>
      <c r="AG53" s="9">
        <v>-3.7416500758825401E-4</v>
      </c>
      <c r="AZ53" s="9"/>
      <c r="BB53">
        <f t="shared" si="2"/>
        <v>0</v>
      </c>
      <c r="BC53">
        <f t="shared" si="3"/>
        <v>0</v>
      </c>
      <c r="BD53">
        <f t="shared" si="4"/>
        <v>0</v>
      </c>
      <c r="BE53">
        <f t="shared" si="0"/>
        <v>1</v>
      </c>
      <c r="BF53">
        <f t="shared" si="5"/>
        <v>0</v>
      </c>
      <c r="BG53" s="9">
        <f t="shared" si="6"/>
        <v>0</v>
      </c>
      <c r="BH53" s="9">
        <f t="shared" si="7"/>
        <v>0</v>
      </c>
      <c r="BI53" s="9">
        <f t="shared" si="8"/>
        <v>0</v>
      </c>
      <c r="BJ53" s="12">
        <f t="shared" si="9"/>
        <v>0</v>
      </c>
      <c r="BL53" s="9"/>
      <c r="BN53">
        <f t="shared" si="10"/>
        <v>0</v>
      </c>
      <c r="BO53">
        <f t="shared" si="11"/>
        <v>1</v>
      </c>
      <c r="BP53">
        <f t="shared" si="12"/>
        <v>0</v>
      </c>
      <c r="BQ53">
        <f t="shared" si="1"/>
        <v>1</v>
      </c>
      <c r="BR53">
        <f t="shared" si="13"/>
        <v>0</v>
      </c>
      <c r="BS53" s="9">
        <f t="shared" si="14"/>
        <v>0</v>
      </c>
      <c r="BT53" s="9">
        <f t="shared" si="15"/>
        <v>0</v>
      </c>
      <c r="BU53" s="9">
        <f t="shared" si="16"/>
        <v>0</v>
      </c>
      <c r="BV53" s="12">
        <f t="shared" si="17"/>
        <v>1.6975322659791247E-3</v>
      </c>
      <c r="BX53" s="12">
        <f t="shared" si="18"/>
        <v>0</v>
      </c>
      <c r="BY53" s="12">
        <f t="shared" si="19"/>
        <v>1.6975322659791247E-3</v>
      </c>
    </row>
    <row r="54" spans="1:77" x14ac:dyDescent="0.3">
      <c r="A54" s="1">
        <v>46100</v>
      </c>
      <c r="B54" s="8">
        <v>59.36</v>
      </c>
      <c r="C54" s="8">
        <v>62.48</v>
      </c>
      <c r="D54" s="9">
        <v>1.5791142292779298E-2</v>
      </c>
      <c r="E54" s="9">
        <v>1.6622669519386599E-2</v>
      </c>
      <c r="F54" s="8">
        <v>0</v>
      </c>
      <c r="G54" s="8">
        <v>0</v>
      </c>
      <c r="H54" s="8">
        <v>0</v>
      </c>
      <c r="I54" s="8">
        <v>0.30669999999999997</v>
      </c>
      <c r="J54" s="8">
        <v>0</v>
      </c>
      <c r="K54" s="8">
        <v>0.30669999999999997</v>
      </c>
      <c r="L54" s="8">
        <v>59.36</v>
      </c>
      <c r="M54" s="8">
        <v>62.786699999999897</v>
      </c>
      <c r="N54" s="10">
        <v>1.05256064690026</v>
      </c>
      <c r="O54" s="10">
        <v>1.0596043809708899</v>
      </c>
      <c r="P54" s="10">
        <v>1.0548977327954201</v>
      </c>
      <c r="Q54" s="10">
        <v>1.05582382434561</v>
      </c>
      <c r="R54" s="8">
        <v>62.8981160544323</v>
      </c>
      <c r="S54" s="8">
        <v>62.643046699189703</v>
      </c>
      <c r="T54" s="8">
        <v>62.6849816622316</v>
      </c>
      <c r="U54" s="9">
        <v>6.6697062865438399E-3</v>
      </c>
      <c r="V54" s="9">
        <v>2.6061832057012102E-3</v>
      </c>
      <c r="W54" s="9">
        <v>3.2753864981343202E-3</v>
      </c>
      <c r="X54" s="10">
        <v>1.0577274258760101</v>
      </c>
      <c r="Y54" s="10">
        <v>1.05986570061559</v>
      </c>
      <c r="Z54" s="10">
        <v>1.05646349618483</v>
      </c>
      <c r="AA54" s="10">
        <v>1.0566067060403199</v>
      </c>
      <c r="AB54" s="8">
        <v>62.913627988541599</v>
      </c>
      <c r="AC54" s="8">
        <v>62.705320413985099</v>
      </c>
      <c r="AD54" s="8">
        <v>62.716118519629198</v>
      </c>
      <c r="AE54" s="9">
        <v>2.0195338184486899E-3</v>
      </c>
      <c r="AF54" s="9">
        <v>-1.2969684790147401E-3</v>
      </c>
      <c r="AG54" s="9">
        <v>-1.12477932598604E-3</v>
      </c>
      <c r="AZ54" s="9"/>
      <c r="BB54">
        <f t="shared" si="2"/>
        <v>0</v>
      </c>
      <c r="BC54">
        <f t="shared" si="3"/>
        <v>0</v>
      </c>
      <c r="BD54">
        <f t="shared" si="4"/>
        <v>0</v>
      </c>
      <c r="BE54">
        <f t="shared" si="0"/>
        <v>1</v>
      </c>
      <c r="BF54">
        <f t="shared" si="5"/>
        <v>0</v>
      </c>
      <c r="BG54" s="9">
        <f t="shared" si="6"/>
        <v>0</v>
      </c>
      <c r="BH54" s="9">
        <f t="shared" si="7"/>
        <v>0</v>
      </c>
      <c r="BI54" s="9">
        <f t="shared" si="8"/>
        <v>0</v>
      </c>
      <c r="BJ54" s="12">
        <f t="shared" si="9"/>
        <v>0</v>
      </c>
      <c r="BL54" s="9"/>
      <c r="BN54">
        <f t="shared" si="10"/>
        <v>0</v>
      </c>
      <c r="BO54">
        <f t="shared" si="11"/>
        <v>1</v>
      </c>
      <c r="BP54">
        <f t="shared" si="12"/>
        <v>0</v>
      </c>
      <c r="BQ54">
        <f t="shared" si="1"/>
        <v>1</v>
      </c>
      <c r="BR54">
        <f t="shared" si="13"/>
        <v>0</v>
      </c>
      <c r="BS54" s="9">
        <f t="shared" si="14"/>
        <v>0</v>
      </c>
      <c r="BT54" s="9">
        <f t="shared" si="15"/>
        <v>0</v>
      </c>
      <c r="BU54" s="9">
        <f t="shared" si="16"/>
        <v>0</v>
      </c>
      <c r="BV54" s="12">
        <f t="shared" si="17"/>
        <v>1.6975322659791247E-3</v>
      </c>
      <c r="BX54" s="12">
        <f t="shared" si="18"/>
        <v>0</v>
      </c>
      <c r="BY54" s="12">
        <f t="shared" si="19"/>
        <v>1.6975322659791247E-3</v>
      </c>
    </row>
    <row r="55" spans="1:77" x14ac:dyDescent="0.3">
      <c r="A55" s="1">
        <v>46101</v>
      </c>
      <c r="B55" s="8">
        <v>59.31</v>
      </c>
      <c r="C55" s="8">
        <v>62.42</v>
      </c>
      <c r="D55" s="9">
        <v>-8.42673008489713E-4</v>
      </c>
      <c r="E55" s="9">
        <v>-9.6076868879709204E-4</v>
      </c>
      <c r="F55" s="8">
        <v>0</v>
      </c>
      <c r="G55" s="8">
        <v>0</v>
      </c>
      <c r="H55" s="8">
        <v>0</v>
      </c>
      <c r="I55" s="8">
        <v>0.30669999999999997</v>
      </c>
      <c r="J55" s="8">
        <v>0</v>
      </c>
      <c r="K55" s="8">
        <v>0.30669999999999997</v>
      </c>
      <c r="L55" s="8">
        <v>59.31</v>
      </c>
      <c r="M55" s="8">
        <v>62.726700000000001</v>
      </c>
      <c r="N55" s="10">
        <v>1.0524363513741299</v>
      </c>
      <c r="O55" s="10">
        <v>1.0596043809708899</v>
      </c>
      <c r="P55" s="10">
        <v>1.05452001385824</v>
      </c>
      <c r="Q55" s="10">
        <v>1.05554841159362</v>
      </c>
      <c r="R55" s="8">
        <v>62.8451358353838</v>
      </c>
      <c r="S55" s="8">
        <v>62.565984532096699</v>
      </c>
      <c r="T55" s="8">
        <v>62.620911021938497</v>
      </c>
      <c r="U55" s="9">
        <v>6.7878019668512002E-3</v>
      </c>
      <c r="V55" s="9">
        <v>2.3360154985266101E-3</v>
      </c>
      <c r="W55" s="9">
        <v>3.2135273678533401E-3</v>
      </c>
      <c r="X55" s="10">
        <v>1.05760748609003</v>
      </c>
      <c r="Y55" s="10">
        <v>1.05986570061559</v>
      </c>
      <c r="Z55" s="10">
        <v>1.05660289071924</v>
      </c>
      <c r="AA55" s="10">
        <v>1.05658985002412</v>
      </c>
      <c r="AB55" s="8">
        <v>62.860634703510797</v>
      </c>
      <c r="AC55" s="8">
        <v>62.658849958722598</v>
      </c>
      <c r="AD55" s="8">
        <v>62.667343735251499</v>
      </c>
      <c r="AE55" s="9">
        <v>2.1329340988727702E-3</v>
      </c>
      <c r="AF55" s="9">
        <v>-1.08226263588357E-3</v>
      </c>
      <c r="AG55" s="9">
        <v>-9.4671592706691205E-4</v>
      </c>
      <c r="AZ55" s="9"/>
      <c r="BB55">
        <f t="shared" si="2"/>
        <v>0</v>
      </c>
      <c r="BC55">
        <f t="shared" si="3"/>
        <v>0</v>
      </c>
      <c r="BD55">
        <f t="shared" si="4"/>
        <v>0</v>
      </c>
      <c r="BE55">
        <f t="shared" si="0"/>
        <v>0</v>
      </c>
      <c r="BF55">
        <f t="shared" si="5"/>
        <v>0</v>
      </c>
      <c r="BG55" s="9">
        <f t="shared" si="6"/>
        <v>0</v>
      </c>
      <c r="BH55" s="9">
        <f t="shared" si="7"/>
        <v>0</v>
      </c>
      <c r="BI55" s="9">
        <f t="shared" si="8"/>
        <v>0</v>
      </c>
      <c r="BJ55" s="12">
        <f t="shared" si="9"/>
        <v>0</v>
      </c>
      <c r="BL55" s="9"/>
      <c r="BN55">
        <f t="shared" si="10"/>
        <v>0</v>
      </c>
      <c r="BO55">
        <f t="shared" si="11"/>
        <v>1</v>
      </c>
      <c r="BP55">
        <f t="shared" si="12"/>
        <v>0</v>
      </c>
      <c r="BQ55">
        <f t="shared" si="1"/>
        <v>0</v>
      </c>
      <c r="BR55">
        <f t="shared" si="13"/>
        <v>0</v>
      </c>
      <c r="BS55" s="9">
        <f t="shared" si="14"/>
        <v>0</v>
      </c>
      <c r="BT55" s="9">
        <f t="shared" si="15"/>
        <v>0</v>
      </c>
      <c r="BU55" s="9">
        <f t="shared" si="16"/>
        <v>0</v>
      </c>
      <c r="BV55" s="12">
        <f t="shared" si="17"/>
        <v>1.6975322659791247E-3</v>
      </c>
      <c r="BX55" s="12">
        <f t="shared" si="18"/>
        <v>0</v>
      </c>
      <c r="BY55" s="12">
        <f t="shared" si="19"/>
        <v>1.6975322659791247E-3</v>
      </c>
    </row>
    <row r="56" spans="1:77" x14ac:dyDescent="0.3">
      <c r="A56" s="1">
        <v>46104</v>
      </c>
      <c r="B56" s="8">
        <v>59.63</v>
      </c>
      <c r="C56" s="8">
        <v>63.12</v>
      </c>
      <c r="D56" s="9">
        <v>5.3808772843793803E-3</v>
      </c>
      <c r="E56" s="9">
        <v>1.11519396949853E-2</v>
      </c>
      <c r="F56" s="8">
        <v>0.38519999999999999</v>
      </c>
      <c r="G56" s="8">
        <v>0.38519999999999999</v>
      </c>
      <c r="H56" s="8">
        <v>0</v>
      </c>
      <c r="I56" s="8">
        <v>0.30669999999999997</v>
      </c>
      <c r="J56" s="8">
        <v>0</v>
      </c>
      <c r="K56" s="8">
        <v>0</v>
      </c>
      <c r="L56" s="8">
        <v>59.63</v>
      </c>
      <c r="M56" s="8">
        <v>63.12</v>
      </c>
      <c r="N56" s="10">
        <v>1.05852758678517</v>
      </c>
      <c r="O56" s="10">
        <v>1.0596043809708899</v>
      </c>
      <c r="P56" s="10">
        <v>1.05472646571857</v>
      </c>
      <c r="Q56" s="10">
        <v>1.05562800942789</v>
      </c>
      <c r="R56" s="8">
        <v>63.184209237294503</v>
      </c>
      <c r="S56" s="8">
        <v>62.881028426366903</v>
      </c>
      <c r="T56" s="8">
        <v>62.942351783327801</v>
      </c>
      <c r="U56" s="9">
        <v>1.01673955624523E-3</v>
      </c>
      <c r="V56" s="9">
        <v>-3.7931731692610001E-3</v>
      </c>
      <c r="W56" s="9">
        <v>-2.8184201191658901E-3</v>
      </c>
      <c r="X56" s="10">
        <v>1.05852758678517</v>
      </c>
      <c r="Y56" s="10">
        <v>1.05986570061559</v>
      </c>
      <c r="Z56" s="10">
        <v>1.0568093425795699</v>
      </c>
      <c r="AA56" s="10">
        <v>1.05666944785839</v>
      </c>
      <c r="AB56" s="8">
        <v>63.199791727707797</v>
      </c>
      <c r="AC56" s="8">
        <v>63.005230373588397</v>
      </c>
      <c r="AD56" s="8">
        <v>63.004452756938498</v>
      </c>
      <c r="AE56" s="9">
        <v>1.26332916210257E-3</v>
      </c>
      <c r="AF56" s="9">
        <v>-1.81993178921434E-3</v>
      </c>
      <c r="AG56" s="9">
        <v>-1.83227396214198E-3</v>
      </c>
      <c r="AZ56" s="9"/>
      <c r="BB56">
        <f t="shared" si="2"/>
        <v>0</v>
      </c>
      <c r="BC56">
        <f t="shared" si="3"/>
        <v>0</v>
      </c>
      <c r="BD56">
        <f t="shared" si="4"/>
        <v>0</v>
      </c>
      <c r="BE56">
        <f t="shared" si="0"/>
        <v>1</v>
      </c>
      <c r="BF56">
        <f t="shared" si="5"/>
        <v>0</v>
      </c>
      <c r="BG56" s="9">
        <f t="shared" si="6"/>
        <v>0</v>
      </c>
      <c r="BH56" s="9">
        <f t="shared" si="7"/>
        <v>0</v>
      </c>
      <c r="BI56" s="9">
        <f t="shared" si="8"/>
        <v>0</v>
      </c>
      <c r="BJ56" s="12">
        <f t="shared" si="9"/>
        <v>0</v>
      </c>
      <c r="BL56" s="9"/>
      <c r="BN56">
        <f t="shared" si="10"/>
        <v>0</v>
      </c>
      <c r="BO56">
        <f t="shared" si="11"/>
        <v>1</v>
      </c>
      <c r="BP56">
        <f t="shared" si="12"/>
        <v>0</v>
      </c>
      <c r="BQ56">
        <f t="shared" si="1"/>
        <v>1</v>
      </c>
      <c r="BR56">
        <f t="shared" si="13"/>
        <v>0</v>
      </c>
      <c r="BS56" s="9">
        <f t="shared" si="14"/>
        <v>0</v>
      </c>
      <c r="BT56" s="9">
        <f t="shared" si="15"/>
        <v>0</v>
      </c>
      <c r="BU56" s="9">
        <f t="shared" si="16"/>
        <v>0</v>
      </c>
      <c r="BV56" s="12">
        <f t="shared" si="17"/>
        <v>1.6975322659791247E-3</v>
      </c>
      <c r="BX56" s="12">
        <f t="shared" si="18"/>
        <v>0</v>
      </c>
      <c r="BY56" s="12">
        <f t="shared" si="19"/>
        <v>1.6975322659791247E-3</v>
      </c>
    </row>
    <row r="57" spans="1:77" x14ac:dyDescent="0.3">
      <c r="A57" s="1">
        <v>46105</v>
      </c>
      <c r="B57" s="8">
        <v>60.84</v>
      </c>
      <c r="C57" s="8">
        <v>64.42</v>
      </c>
      <c r="D57" s="9">
        <v>2.0088664256077599E-2</v>
      </c>
      <c r="E57" s="9">
        <v>2.03864673654339E-2</v>
      </c>
      <c r="F57" s="8">
        <v>0</v>
      </c>
      <c r="G57" s="8">
        <v>0.38519999999999999</v>
      </c>
      <c r="H57" s="8">
        <v>0</v>
      </c>
      <c r="I57" s="8">
        <v>0.30669999999999997</v>
      </c>
      <c r="J57" s="8">
        <v>0</v>
      </c>
      <c r="K57" s="8">
        <v>0</v>
      </c>
      <c r="L57" s="8">
        <v>60.84</v>
      </c>
      <c r="M57" s="8">
        <v>64.42</v>
      </c>
      <c r="N57" s="10">
        <v>1.0588428665351699</v>
      </c>
      <c r="O57" s="10">
        <v>1.0596043809708899</v>
      </c>
      <c r="P57" s="10">
        <v>1.0548913279116601</v>
      </c>
      <c r="Q57" s="10">
        <v>1.0556844903227101</v>
      </c>
      <c r="R57" s="8">
        <v>64.466330538269204</v>
      </c>
      <c r="S57" s="8">
        <v>64.169558174318198</v>
      </c>
      <c r="T57" s="8">
        <v>64.224408093593198</v>
      </c>
      <c r="U57" s="9">
        <v>7.18936446888833E-4</v>
      </c>
      <c r="V57" s="9">
        <v>-3.8952174016975301E-3</v>
      </c>
      <c r="W57" s="9">
        <v>-3.04081708669794E-3</v>
      </c>
      <c r="X57" s="10">
        <v>1.0588428665351699</v>
      </c>
      <c r="Y57" s="10">
        <v>1.05986570061559</v>
      </c>
      <c r="Z57" s="10">
        <v>1.05697420477266</v>
      </c>
      <c r="AA57" s="10">
        <v>1.05672592875321</v>
      </c>
      <c r="AB57" s="8">
        <v>64.482229225452699</v>
      </c>
      <c r="AC57" s="8">
        <v>64.296280402541498</v>
      </c>
      <c r="AD57" s="8">
        <v>64.287769207704798</v>
      </c>
      <c r="AE57" s="9">
        <v>9.6552605274612601E-4</v>
      </c>
      <c r="AF57" s="9">
        <v>-1.9223618826115999E-3</v>
      </c>
      <c r="AG57" s="9">
        <v>-2.0547452516979999E-3</v>
      </c>
      <c r="AZ57" s="9"/>
      <c r="BB57">
        <f t="shared" si="2"/>
        <v>1</v>
      </c>
      <c r="BC57">
        <f t="shared" si="3"/>
        <v>0</v>
      </c>
      <c r="BD57">
        <f t="shared" si="4"/>
        <v>0</v>
      </c>
      <c r="BE57">
        <f t="shared" si="0"/>
        <v>1</v>
      </c>
      <c r="BF57">
        <f t="shared" si="5"/>
        <v>0</v>
      </c>
      <c r="BG57" s="9">
        <f t="shared" si="6"/>
        <v>0</v>
      </c>
      <c r="BH57" s="9">
        <f t="shared" si="7"/>
        <v>0</v>
      </c>
      <c r="BI57" s="9">
        <f t="shared" si="8"/>
        <v>0</v>
      </c>
      <c r="BJ57" s="12">
        <f t="shared" si="9"/>
        <v>0</v>
      </c>
      <c r="BL57" s="9"/>
      <c r="BN57">
        <f t="shared" si="10"/>
        <v>0</v>
      </c>
      <c r="BO57">
        <f t="shared" si="11"/>
        <v>1</v>
      </c>
      <c r="BP57">
        <f t="shared" si="12"/>
        <v>0</v>
      </c>
      <c r="BQ57">
        <f t="shared" si="1"/>
        <v>1</v>
      </c>
      <c r="BR57">
        <f t="shared" si="13"/>
        <v>0</v>
      </c>
      <c r="BS57" s="9">
        <f t="shared" si="14"/>
        <v>0</v>
      </c>
      <c r="BT57" s="9">
        <f t="shared" si="15"/>
        <v>0</v>
      </c>
      <c r="BU57" s="9">
        <f t="shared" si="16"/>
        <v>0</v>
      </c>
      <c r="BV57" s="12">
        <f t="shared" si="17"/>
        <v>1.6975322659791247E-3</v>
      </c>
      <c r="BX57" s="12">
        <f t="shared" si="18"/>
        <v>0</v>
      </c>
      <c r="BY57" s="12">
        <f t="shared" si="19"/>
        <v>1.6975322659791247E-3</v>
      </c>
    </row>
    <row r="58" spans="1:77" x14ac:dyDescent="0.3">
      <c r="A58" s="1">
        <v>46106</v>
      </c>
      <c r="B58" s="8">
        <v>60.57</v>
      </c>
      <c r="C58" s="8">
        <v>64.150000000000006</v>
      </c>
      <c r="D58" s="9">
        <v>-4.4477463982363604E-3</v>
      </c>
      <c r="E58" s="9">
        <v>-4.2000528414073103E-3</v>
      </c>
      <c r="F58" s="8">
        <v>0</v>
      </c>
      <c r="G58" s="8">
        <v>0.38519999999999999</v>
      </c>
      <c r="H58" s="8">
        <v>0</v>
      </c>
      <c r="I58" s="8">
        <v>0.30669999999999997</v>
      </c>
      <c r="J58" s="8">
        <v>0</v>
      </c>
      <c r="K58" s="8">
        <v>0</v>
      </c>
      <c r="L58" s="8">
        <v>60.57</v>
      </c>
      <c r="M58" s="8">
        <v>64.150000000000006</v>
      </c>
      <c r="N58" s="10">
        <v>1.0591051675747001</v>
      </c>
      <c r="O58" s="10">
        <v>1.0596043809708899</v>
      </c>
      <c r="P58" s="10">
        <v>1.05513318900047</v>
      </c>
      <c r="Q58" s="10">
        <v>1.0558513397347999</v>
      </c>
      <c r="R58" s="8">
        <v>64.180237355407101</v>
      </c>
      <c r="S58" s="8">
        <v>63.894767731609399</v>
      </c>
      <c r="T58" s="8">
        <v>63.942809578846699</v>
      </c>
      <c r="U58" s="9">
        <v>4.7124289005967101E-4</v>
      </c>
      <c r="V58" s="9">
        <v>-3.9866151651185297E-3</v>
      </c>
      <c r="W58" s="9">
        <v>-3.2350075312809401E-3</v>
      </c>
      <c r="X58" s="10">
        <v>1.0591051675747001</v>
      </c>
      <c r="Y58" s="10">
        <v>1.05986570061559</v>
      </c>
      <c r="Z58" s="10">
        <v>1.05721606586147</v>
      </c>
      <c r="AA58" s="10">
        <v>1.0568927781652999</v>
      </c>
      <c r="AB58" s="8">
        <v>64.1960654862865</v>
      </c>
      <c r="AC58" s="8">
        <v>64.020927583080194</v>
      </c>
      <c r="AD58" s="8">
        <v>64.0058895045821</v>
      </c>
      <c r="AE58" s="9">
        <v>7.1783249591697302E-4</v>
      </c>
      <c r="AF58" s="9">
        <v>-2.0140676670628902E-3</v>
      </c>
      <c r="AG58" s="9">
        <v>-2.2489884267810701E-3</v>
      </c>
      <c r="AZ58" s="9"/>
      <c r="BB58">
        <f t="shared" si="2"/>
        <v>1</v>
      </c>
      <c r="BC58">
        <f t="shared" si="3"/>
        <v>0</v>
      </c>
      <c r="BD58">
        <f t="shared" si="4"/>
        <v>1</v>
      </c>
      <c r="BE58">
        <f t="shared" si="0"/>
        <v>1</v>
      </c>
      <c r="BF58">
        <f t="shared" si="5"/>
        <v>1</v>
      </c>
      <c r="BG58" s="9">
        <f t="shared" si="6"/>
        <v>-4.4477463982363604E-3</v>
      </c>
      <c r="BH58" s="9">
        <f t="shared" si="7"/>
        <v>4.2000528414073103E-3</v>
      </c>
      <c r="BI58" s="9">
        <f t="shared" si="8"/>
        <v>-2.476935568290501E-4</v>
      </c>
      <c r="BJ58" s="12">
        <f t="shared" si="9"/>
        <v>-2.476935568290501E-4</v>
      </c>
      <c r="BL58" s="9"/>
      <c r="BN58">
        <f t="shared" si="10"/>
        <v>0</v>
      </c>
      <c r="BO58">
        <f t="shared" si="11"/>
        <v>1</v>
      </c>
      <c r="BP58">
        <f t="shared" si="12"/>
        <v>0</v>
      </c>
      <c r="BQ58">
        <f t="shared" si="1"/>
        <v>1</v>
      </c>
      <c r="BR58">
        <f t="shared" si="13"/>
        <v>0</v>
      </c>
      <c r="BS58" s="9">
        <f t="shared" si="14"/>
        <v>0</v>
      </c>
      <c r="BT58" s="9">
        <f t="shared" si="15"/>
        <v>0</v>
      </c>
      <c r="BU58" s="9">
        <f t="shared" si="16"/>
        <v>0</v>
      </c>
      <c r="BV58" s="12">
        <f t="shared" si="17"/>
        <v>1.6975322659791247E-3</v>
      </c>
      <c r="BX58" s="12">
        <f t="shared" si="18"/>
        <v>-2.476935568290501E-4</v>
      </c>
      <c r="BY58" s="12">
        <f t="shared" si="19"/>
        <v>1.4498387091500746E-3</v>
      </c>
    </row>
    <row r="59" spans="1:77" x14ac:dyDescent="0.3">
      <c r="A59" s="1">
        <v>46107</v>
      </c>
      <c r="B59" s="8">
        <v>61.52</v>
      </c>
      <c r="C59" s="8">
        <v>65.12</v>
      </c>
      <c r="D59" s="9">
        <v>1.55626042045326E-2</v>
      </c>
      <c r="E59" s="9">
        <v>1.50076306326394E-2</v>
      </c>
      <c r="F59" s="8">
        <v>0</v>
      </c>
      <c r="G59" s="8">
        <v>0.38519999999999999</v>
      </c>
      <c r="H59" s="8">
        <v>0</v>
      </c>
      <c r="I59" s="8">
        <v>0.30669999999999997</v>
      </c>
      <c r="J59" s="8">
        <v>0</v>
      </c>
      <c r="K59" s="8">
        <v>0</v>
      </c>
      <c r="L59" s="8">
        <v>61.52</v>
      </c>
      <c r="M59" s="8">
        <v>65.12</v>
      </c>
      <c r="N59" s="10">
        <v>1.05851755526658</v>
      </c>
      <c r="O59" s="10">
        <v>1.0596043809708899</v>
      </c>
      <c r="P59" s="10">
        <v>1.05542069483143</v>
      </c>
      <c r="Q59" s="10">
        <v>1.0559525126843201</v>
      </c>
      <c r="R59" s="8">
        <v>65.186861517329405</v>
      </c>
      <c r="S59" s="8">
        <v>64.911793787309406</v>
      </c>
      <c r="T59" s="8">
        <v>64.955974420484907</v>
      </c>
      <c r="U59" s="9">
        <v>1.0262164619530001E-3</v>
      </c>
      <c r="V59" s="9">
        <v>-3.2023920390749799E-3</v>
      </c>
      <c r="W59" s="9">
        <v>-2.5219978890931301E-3</v>
      </c>
      <c r="X59" s="10">
        <v>1.05851755526658</v>
      </c>
      <c r="Y59" s="10">
        <v>1.05986570061559</v>
      </c>
      <c r="Z59" s="10">
        <v>1.0575035716924299</v>
      </c>
      <c r="AA59" s="10">
        <v>1.0569939511148201</v>
      </c>
      <c r="AB59" s="8">
        <v>65.202937901871294</v>
      </c>
      <c r="AC59" s="8">
        <v>65.039932371798102</v>
      </c>
      <c r="AD59" s="8">
        <v>65.020043712729205</v>
      </c>
      <c r="AE59" s="9">
        <v>1.27280606781055E-3</v>
      </c>
      <c r="AF59" s="9">
        <v>-1.2302962492711301E-3</v>
      </c>
      <c r="AG59" s="9">
        <v>-1.53613452208459E-3</v>
      </c>
      <c r="AZ59" s="9"/>
      <c r="BB59">
        <f t="shared" si="2"/>
        <v>0</v>
      </c>
      <c r="BC59">
        <f t="shared" si="3"/>
        <v>0</v>
      </c>
      <c r="BD59">
        <f t="shared" si="4"/>
        <v>1</v>
      </c>
      <c r="BE59">
        <f t="shared" si="0"/>
        <v>1</v>
      </c>
      <c r="BF59">
        <f t="shared" si="5"/>
        <v>1</v>
      </c>
      <c r="BG59" s="9">
        <f t="shared" si="6"/>
        <v>1.55626042045326E-2</v>
      </c>
      <c r="BH59" s="9">
        <f t="shared" si="7"/>
        <v>-1.50076306326394E-2</v>
      </c>
      <c r="BI59" s="9">
        <f t="shared" si="8"/>
        <v>5.5497357189319974E-4</v>
      </c>
      <c r="BJ59" s="12">
        <f t="shared" si="9"/>
        <v>3.0728001506414963E-4</v>
      </c>
      <c r="BL59" s="9"/>
      <c r="BN59">
        <f t="shared" si="10"/>
        <v>0</v>
      </c>
      <c r="BO59">
        <f t="shared" si="11"/>
        <v>1</v>
      </c>
      <c r="BP59">
        <f t="shared" si="12"/>
        <v>0</v>
      </c>
      <c r="BQ59">
        <f t="shared" si="1"/>
        <v>1</v>
      </c>
      <c r="BR59">
        <f t="shared" si="13"/>
        <v>0</v>
      </c>
      <c r="BS59" s="9">
        <f t="shared" si="14"/>
        <v>0</v>
      </c>
      <c r="BT59" s="9">
        <f t="shared" si="15"/>
        <v>0</v>
      </c>
      <c r="BU59" s="9">
        <f t="shared" si="16"/>
        <v>0</v>
      </c>
      <c r="BV59" s="12">
        <f t="shared" si="17"/>
        <v>1.6975322659791247E-3</v>
      </c>
      <c r="BX59" s="12">
        <f t="shared" si="18"/>
        <v>5.5497357189319974E-4</v>
      </c>
      <c r="BY59" s="12">
        <f t="shared" si="19"/>
        <v>2.0048122810432745E-3</v>
      </c>
    </row>
    <row r="60" spans="1:77" x14ac:dyDescent="0.3">
      <c r="A60" s="1">
        <v>46108</v>
      </c>
      <c r="B60" s="8">
        <v>62.56</v>
      </c>
      <c r="C60" s="8">
        <v>66.2</v>
      </c>
      <c r="D60" s="9">
        <v>1.67637710396671E-2</v>
      </c>
      <c r="E60" s="9">
        <v>1.6448741248677502E-2</v>
      </c>
      <c r="F60" s="8">
        <v>0</v>
      </c>
      <c r="G60" s="8">
        <v>0.38519999999999999</v>
      </c>
      <c r="H60" s="8">
        <v>0</v>
      </c>
      <c r="I60" s="8">
        <v>0.30669999999999997</v>
      </c>
      <c r="J60" s="8">
        <v>0</v>
      </c>
      <c r="K60" s="8">
        <v>0</v>
      </c>
      <c r="L60" s="8">
        <v>62.56</v>
      </c>
      <c r="M60" s="8">
        <v>66.2</v>
      </c>
      <c r="N60" s="10">
        <v>1.0581841432225001</v>
      </c>
      <c r="O60" s="10">
        <v>1.0596043809708899</v>
      </c>
      <c r="P60" s="10">
        <v>1.0556411888763799</v>
      </c>
      <c r="Q60" s="10">
        <v>1.0560541375850701</v>
      </c>
      <c r="R60" s="8">
        <v>66.288850073539194</v>
      </c>
      <c r="S60" s="8">
        <v>66.027118668654296</v>
      </c>
      <c r="T60" s="8">
        <v>66.060389193531293</v>
      </c>
      <c r="U60" s="9">
        <v>1.34124625294251E-3</v>
      </c>
      <c r="V60" s="9">
        <v>-2.6149163892672401E-3</v>
      </c>
      <c r="W60" s="9">
        <v>-2.1111514819106502E-3</v>
      </c>
      <c r="X60" s="10">
        <v>1.0581841432225001</v>
      </c>
      <c r="Y60" s="10">
        <v>1.05986570061559</v>
      </c>
      <c r="Z60" s="10">
        <v>1.0577240657373801</v>
      </c>
      <c r="AA60" s="10">
        <v>1.05709557601557</v>
      </c>
      <c r="AB60" s="8">
        <v>66.305198230511493</v>
      </c>
      <c r="AC60" s="8">
        <v>66.157423445078507</v>
      </c>
      <c r="AD60" s="8">
        <v>66.125541581743306</v>
      </c>
      <c r="AE60" s="9">
        <v>1.58783585879983E-3</v>
      </c>
      <c r="AF60" s="9">
        <v>-6.4335728638149003E-4</v>
      </c>
      <c r="AG60" s="9">
        <v>-1.1253825259273801E-3</v>
      </c>
      <c r="AZ60" s="9"/>
      <c r="BB60">
        <f t="shared" si="2"/>
        <v>0</v>
      </c>
      <c r="BC60">
        <f t="shared" si="3"/>
        <v>0</v>
      </c>
      <c r="BD60">
        <f t="shared" si="4"/>
        <v>1</v>
      </c>
      <c r="BE60">
        <f t="shared" si="0"/>
        <v>1</v>
      </c>
      <c r="BF60">
        <f t="shared" si="5"/>
        <v>1</v>
      </c>
      <c r="BG60" s="9">
        <f t="shared" si="6"/>
        <v>1.67637710396671E-2</v>
      </c>
      <c r="BH60" s="9">
        <f t="shared" si="7"/>
        <v>-1.6448741248677502E-2</v>
      </c>
      <c r="BI60" s="9">
        <f t="shared" si="8"/>
        <v>3.1502979098959813E-4</v>
      </c>
      <c r="BJ60" s="12">
        <f t="shared" si="9"/>
        <v>6.2230980605374776E-4</v>
      </c>
      <c r="BL60" s="9"/>
      <c r="BN60">
        <f t="shared" si="10"/>
        <v>0</v>
      </c>
      <c r="BO60">
        <f t="shared" si="11"/>
        <v>1</v>
      </c>
      <c r="BP60">
        <f t="shared" si="12"/>
        <v>0</v>
      </c>
      <c r="BQ60">
        <f t="shared" si="1"/>
        <v>1</v>
      </c>
      <c r="BR60">
        <f t="shared" si="13"/>
        <v>0</v>
      </c>
      <c r="BS60" s="9">
        <f t="shared" si="14"/>
        <v>0</v>
      </c>
      <c r="BT60" s="9">
        <f t="shared" si="15"/>
        <v>0</v>
      </c>
      <c r="BU60" s="9">
        <f t="shared" si="16"/>
        <v>0</v>
      </c>
      <c r="BV60" s="12">
        <f t="shared" si="17"/>
        <v>1.6975322659791247E-3</v>
      </c>
      <c r="BX60" s="12">
        <f t="shared" si="18"/>
        <v>3.1502979098959813E-4</v>
      </c>
      <c r="BY60" s="12">
        <f t="shared" si="19"/>
        <v>2.3198420720328726E-3</v>
      </c>
    </row>
    <row r="61" spans="1:77" x14ac:dyDescent="0.3">
      <c r="A61" s="1">
        <v>46111</v>
      </c>
      <c r="B61" s="8">
        <v>61.96</v>
      </c>
      <c r="C61" s="8">
        <v>65.5</v>
      </c>
      <c r="D61" s="9">
        <v>-9.6370806883877298E-3</v>
      </c>
      <c r="E61" s="9">
        <v>-1.0630320301756299E-2</v>
      </c>
      <c r="F61" s="8">
        <v>0</v>
      </c>
      <c r="G61" s="8">
        <v>0.38519999999999999</v>
      </c>
      <c r="H61" s="8">
        <v>0</v>
      </c>
      <c r="I61" s="8">
        <v>0.30669999999999997</v>
      </c>
      <c r="J61" s="8">
        <v>0</v>
      </c>
      <c r="K61" s="8">
        <v>0</v>
      </c>
      <c r="L61" s="8">
        <v>61.96</v>
      </c>
      <c r="M61" s="8">
        <v>65.5</v>
      </c>
      <c r="N61" s="10">
        <v>1.0571336346029601</v>
      </c>
      <c r="O61" s="10">
        <v>1.0596043809708899</v>
      </c>
      <c r="P61" s="10">
        <v>1.05572415510006</v>
      </c>
      <c r="Q61" s="10">
        <v>1.05606194133486</v>
      </c>
      <c r="R61" s="8">
        <v>65.653087444956597</v>
      </c>
      <c r="S61" s="8">
        <v>65.407528062780798</v>
      </c>
      <c r="T61" s="8">
        <v>65.433114364771299</v>
      </c>
      <c r="U61" s="9">
        <v>2.3344858663109599E-3</v>
      </c>
      <c r="V61" s="9">
        <v>-1.41278280887894E-3</v>
      </c>
      <c r="W61" s="9">
        <v>-1.0216764700232499E-3</v>
      </c>
      <c r="X61" s="10">
        <v>1.0571336346029601</v>
      </c>
      <c r="Y61" s="10">
        <v>1.05986570061559</v>
      </c>
      <c r="Z61" s="10">
        <v>1.05780703196106</v>
      </c>
      <c r="AA61" s="10">
        <v>1.05710337976536</v>
      </c>
      <c r="AB61" s="8">
        <v>65.669278810142103</v>
      </c>
      <c r="AC61" s="8">
        <v>65.536583113088398</v>
      </c>
      <c r="AD61" s="8">
        <v>65.497641889925106</v>
      </c>
      <c r="AE61" s="9">
        <v>2.58107547216833E-3</v>
      </c>
      <c r="AF61" s="9">
        <v>5.5836489581436799E-4</v>
      </c>
      <c r="AG61" s="9">
        <v>-3.6002328607693897E-5</v>
      </c>
      <c r="AZ61" s="9"/>
      <c r="BB61">
        <f t="shared" si="2"/>
        <v>0</v>
      </c>
      <c r="BC61">
        <f t="shared" si="3"/>
        <v>0</v>
      </c>
      <c r="BD61">
        <f t="shared" si="4"/>
        <v>1</v>
      </c>
      <c r="BE61">
        <f t="shared" si="0"/>
        <v>1</v>
      </c>
      <c r="BF61">
        <f t="shared" si="5"/>
        <v>1</v>
      </c>
      <c r="BG61" s="9">
        <f t="shared" si="6"/>
        <v>-9.6370806883877298E-3</v>
      </c>
      <c r="BH61" s="9">
        <f t="shared" si="7"/>
        <v>1.0630320301756299E-2</v>
      </c>
      <c r="BI61" s="9">
        <f t="shared" si="8"/>
        <v>9.932396133685694E-4</v>
      </c>
      <c r="BJ61" s="12">
        <f t="shared" si="9"/>
        <v>1.6155494194223172E-3</v>
      </c>
      <c r="BL61" s="9"/>
      <c r="BN61">
        <f t="shared" si="10"/>
        <v>0</v>
      </c>
      <c r="BO61">
        <f t="shared" si="11"/>
        <v>1</v>
      </c>
      <c r="BP61">
        <f t="shared" si="12"/>
        <v>0</v>
      </c>
      <c r="BQ61">
        <f t="shared" si="1"/>
        <v>1</v>
      </c>
      <c r="BR61">
        <f t="shared" si="13"/>
        <v>0</v>
      </c>
      <c r="BS61" s="9">
        <f t="shared" si="14"/>
        <v>0</v>
      </c>
      <c r="BT61" s="9">
        <f t="shared" si="15"/>
        <v>0</v>
      </c>
      <c r="BU61" s="9">
        <f t="shared" si="16"/>
        <v>0</v>
      </c>
      <c r="BV61" s="12">
        <f t="shared" si="17"/>
        <v>1.6975322659791247E-3</v>
      </c>
      <c r="BX61" s="12">
        <f t="shared" si="18"/>
        <v>9.932396133685694E-4</v>
      </c>
      <c r="BY61" s="12">
        <f t="shared" si="19"/>
        <v>3.313081685401442E-3</v>
      </c>
    </row>
    <row r="62" spans="1:77" x14ac:dyDescent="0.3">
      <c r="A62" s="1">
        <v>46112</v>
      </c>
      <c r="B62" s="8">
        <v>61.26</v>
      </c>
      <c r="C62" s="8">
        <v>64.77</v>
      </c>
      <c r="D62" s="9">
        <v>-1.13619141440387E-2</v>
      </c>
      <c r="E62" s="9">
        <v>-1.1207609446380599E-2</v>
      </c>
      <c r="F62" s="8">
        <v>0</v>
      </c>
      <c r="G62" s="8">
        <v>0.38519999999999999</v>
      </c>
      <c r="H62" s="8">
        <v>0</v>
      </c>
      <c r="I62" s="8">
        <v>0.30669999999999997</v>
      </c>
      <c r="J62" s="8">
        <v>0</v>
      </c>
      <c r="K62" s="8">
        <v>0</v>
      </c>
      <c r="L62" s="8">
        <v>61.26</v>
      </c>
      <c r="M62" s="8">
        <v>64.77</v>
      </c>
      <c r="N62" s="10">
        <v>1.0572967678746299</v>
      </c>
      <c r="O62" s="10">
        <v>1.0596043809708899</v>
      </c>
      <c r="P62" s="10">
        <v>1.0564290497989901</v>
      </c>
      <c r="Q62" s="10">
        <v>1.05611361624663</v>
      </c>
      <c r="R62" s="8">
        <v>64.911364378277</v>
      </c>
      <c r="S62" s="8">
        <v>64.673661741430095</v>
      </c>
      <c r="T62" s="8">
        <v>64.694354526173498</v>
      </c>
      <c r="U62" s="9">
        <v>2.1801811686529399E-3</v>
      </c>
      <c r="V62" s="9">
        <v>-1.4884973904665999E-3</v>
      </c>
      <c r="W62" s="9">
        <v>-1.1685916592526599E-3</v>
      </c>
      <c r="X62" s="10">
        <v>1.0572967678746299</v>
      </c>
      <c r="Y62" s="10">
        <v>1.05986570061559</v>
      </c>
      <c r="Z62" s="10">
        <v>1.0579877427598099</v>
      </c>
      <c r="AA62" s="10">
        <v>1.05715505467713</v>
      </c>
      <c r="AB62" s="8">
        <v>64.927372819711195</v>
      </c>
      <c r="AC62" s="8">
        <v>64.801258777935004</v>
      </c>
      <c r="AD62" s="8">
        <v>64.758153044425995</v>
      </c>
      <c r="AE62" s="9">
        <v>2.4267707745103499E-3</v>
      </c>
      <c r="AF62" s="9">
        <v>4.8249556014641801E-4</v>
      </c>
      <c r="AG62" s="9">
        <v>-1.8292479786908601E-4</v>
      </c>
      <c r="AZ62" s="9"/>
      <c r="BB62">
        <f t="shared" si="2"/>
        <v>0</v>
      </c>
      <c r="BC62">
        <f t="shared" si="3"/>
        <v>0</v>
      </c>
      <c r="BD62">
        <f t="shared" si="4"/>
        <v>1</v>
      </c>
      <c r="BE62">
        <f t="shared" si="0"/>
        <v>1</v>
      </c>
      <c r="BF62">
        <f t="shared" si="5"/>
        <v>1</v>
      </c>
      <c r="BG62" s="9">
        <f t="shared" si="6"/>
        <v>-1.13619141440387E-2</v>
      </c>
      <c r="BH62" s="9">
        <f t="shared" si="7"/>
        <v>1.1207609446380599E-2</v>
      </c>
      <c r="BI62" s="9">
        <f t="shared" si="8"/>
        <v>-1.5430469765810063E-4</v>
      </c>
      <c r="BJ62" s="12">
        <f t="shared" si="9"/>
        <v>1.4612447217642165E-3</v>
      </c>
      <c r="BL62" s="9"/>
      <c r="BN62">
        <f t="shared" si="10"/>
        <v>0</v>
      </c>
      <c r="BO62">
        <f t="shared" si="11"/>
        <v>1</v>
      </c>
      <c r="BP62">
        <f t="shared" si="12"/>
        <v>0</v>
      </c>
      <c r="BQ62">
        <f t="shared" si="1"/>
        <v>1</v>
      </c>
      <c r="BR62">
        <f t="shared" si="13"/>
        <v>0</v>
      </c>
      <c r="BS62" s="9">
        <f t="shared" si="14"/>
        <v>0</v>
      </c>
      <c r="BT62" s="9">
        <f t="shared" si="15"/>
        <v>0</v>
      </c>
      <c r="BU62" s="9">
        <f t="shared" si="16"/>
        <v>0</v>
      </c>
      <c r="BV62" s="12">
        <f t="shared" si="17"/>
        <v>1.6975322659791247E-3</v>
      </c>
      <c r="BX62" s="12">
        <f t="shared" si="18"/>
        <v>-1.5430469765810063E-4</v>
      </c>
      <c r="BY62" s="12">
        <f t="shared" si="19"/>
        <v>3.1587769877433414E-3</v>
      </c>
    </row>
    <row r="63" spans="1:77" x14ac:dyDescent="0.3">
      <c r="A63" s="1">
        <v>46113</v>
      </c>
      <c r="B63" s="8">
        <v>58.97</v>
      </c>
      <c r="C63" s="8">
        <v>62.46</v>
      </c>
      <c r="D63" s="9">
        <v>-3.80982613922164E-2</v>
      </c>
      <c r="E63" s="9">
        <v>-3.6316181339892999E-2</v>
      </c>
      <c r="F63" s="8">
        <v>0</v>
      </c>
      <c r="G63" s="8">
        <v>0.38519999999999999</v>
      </c>
      <c r="H63" s="8">
        <v>0</v>
      </c>
      <c r="I63" s="8">
        <v>0.30669999999999997</v>
      </c>
      <c r="J63" s="8">
        <v>0</v>
      </c>
      <c r="K63" s="8">
        <v>0</v>
      </c>
      <c r="L63" s="8">
        <v>58.97</v>
      </c>
      <c r="M63" s="8">
        <v>62.46</v>
      </c>
      <c r="N63" s="10">
        <v>1.0591826352382501</v>
      </c>
      <c r="O63" s="10">
        <v>1.0596043809708899</v>
      </c>
      <c r="P63" s="10">
        <v>1.05717873553744</v>
      </c>
      <c r="Q63" s="10">
        <v>1.0562430630112201</v>
      </c>
      <c r="R63" s="8">
        <v>62.4848703458537</v>
      </c>
      <c r="S63" s="8">
        <v>62.297621066646897</v>
      </c>
      <c r="T63" s="8">
        <v>62.279019950064303</v>
      </c>
      <c r="U63" s="9">
        <v>3.9810111632962301E-4</v>
      </c>
      <c r="V63" s="9">
        <v>-2.6031119166472498E-3</v>
      </c>
      <c r="W63" s="9">
        <v>-2.9017412033109698E-3</v>
      </c>
      <c r="X63" s="10">
        <v>1.0591826352382501</v>
      </c>
      <c r="Y63" s="10">
        <v>1.05986570061559</v>
      </c>
      <c r="Z63" s="10">
        <v>1.0582125269066001</v>
      </c>
      <c r="AA63" s="10">
        <v>1.05728450144172</v>
      </c>
      <c r="AB63" s="8">
        <v>62.500280365301499</v>
      </c>
      <c r="AC63" s="8">
        <v>62.389537190546001</v>
      </c>
      <c r="AD63" s="8">
        <v>62.3404335743109</v>
      </c>
      <c r="AE63" s="9">
        <v>6.44690722186899E-4</v>
      </c>
      <c r="AF63" s="9">
        <v>-1.1287637667061199E-3</v>
      </c>
      <c r="AG63" s="9">
        <v>-1.9161225461685901E-3</v>
      </c>
      <c r="AZ63" s="9"/>
      <c r="BB63">
        <f t="shared" si="2"/>
        <v>0</v>
      </c>
      <c r="BC63">
        <f t="shared" si="3"/>
        <v>0</v>
      </c>
      <c r="BD63">
        <f t="shared" si="4"/>
        <v>1</v>
      </c>
      <c r="BE63">
        <f t="shared" si="0"/>
        <v>1</v>
      </c>
      <c r="BF63">
        <f t="shared" si="5"/>
        <v>1</v>
      </c>
      <c r="BG63" s="9">
        <f t="shared" si="6"/>
        <v>-3.80982613922164E-2</v>
      </c>
      <c r="BH63" s="9">
        <f t="shared" si="7"/>
        <v>3.6316181339892999E-2</v>
      </c>
      <c r="BI63" s="9">
        <f t="shared" si="8"/>
        <v>-1.7820800523234009E-3</v>
      </c>
      <c r="BJ63" s="12">
        <f t="shared" si="9"/>
        <v>-3.2083533055918441E-4</v>
      </c>
      <c r="BL63" s="9"/>
      <c r="BN63">
        <f t="shared" si="10"/>
        <v>0</v>
      </c>
      <c r="BO63">
        <f t="shared" si="11"/>
        <v>1</v>
      </c>
      <c r="BP63">
        <f t="shared" si="12"/>
        <v>0</v>
      </c>
      <c r="BQ63">
        <f t="shared" si="1"/>
        <v>1</v>
      </c>
      <c r="BR63">
        <f t="shared" si="13"/>
        <v>0</v>
      </c>
      <c r="BS63" s="9">
        <f t="shared" si="14"/>
        <v>0</v>
      </c>
      <c r="BT63" s="9">
        <f t="shared" si="15"/>
        <v>0</v>
      </c>
      <c r="BU63" s="9">
        <f t="shared" si="16"/>
        <v>0</v>
      </c>
      <c r="BV63" s="12">
        <f t="shared" si="17"/>
        <v>1.6975322659791247E-3</v>
      </c>
      <c r="BX63" s="12">
        <f t="shared" si="18"/>
        <v>-1.7820800523234009E-3</v>
      </c>
      <c r="BY63" s="12">
        <f t="shared" si="19"/>
        <v>1.3766969354199405E-3</v>
      </c>
    </row>
    <row r="64" spans="1:77" x14ac:dyDescent="0.3">
      <c r="A64" s="1">
        <v>46114</v>
      </c>
      <c r="B64" s="8">
        <v>59.25</v>
      </c>
      <c r="C64" s="8">
        <v>62.83</v>
      </c>
      <c r="D64" s="9">
        <v>4.73694000282774E-3</v>
      </c>
      <c r="E64" s="9">
        <v>5.9063145599229996E-3</v>
      </c>
      <c r="F64" s="8">
        <v>0</v>
      </c>
      <c r="G64" s="8">
        <v>0.38519999999999999</v>
      </c>
      <c r="H64" s="8">
        <v>0</v>
      </c>
      <c r="I64" s="8">
        <v>0.30669999999999997</v>
      </c>
      <c r="J64" s="8">
        <v>0</v>
      </c>
      <c r="K64" s="8">
        <v>0</v>
      </c>
      <c r="L64" s="8">
        <v>59.25</v>
      </c>
      <c r="M64" s="8">
        <v>62.83</v>
      </c>
      <c r="N64" s="10">
        <v>1.06042194092827</v>
      </c>
      <c r="O64" s="10">
        <v>1.0596043809708899</v>
      </c>
      <c r="P64" s="10">
        <v>1.05796486494024</v>
      </c>
      <c r="Q64" s="10">
        <v>1.0564312988678299</v>
      </c>
      <c r="R64" s="8">
        <v>62.781559572525502</v>
      </c>
      <c r="S64" s="8">
        <v>62.6378400805933</v>
      </c>
      <c r="T64" s="8">
        <v>62.582401483414799</v>
      </c>
      <c r="U64" s="9">
        <v>-7.7127344076573104E-4</v>
      </c>
      <c r="V64" s="9">
        <v>-3.06309679881644E-3</v>
      </c>
      <c r="W64" s="9">
        <v>-3.9485542952753996E-3</v>
      </c>
      <c r="X64" s="10">
        <v>1.06042194092827</v>
      </c>
      <c r="Y64" s="10">
        <v>1.05986570061559</v>
      </c>
      <c r="Z64" s="10">
        <v>1.05848197841183</v>
      </c>
      <c r="AA64" s="10">
        <v>1.0574727372983299</v>
      </c>
      <c r="AB64" s="8">
        <v>62.797042761473897</v>
      </c>
      <c r="AC64" s="8">
        <v>62.699092219216297</v>
      </c>
      <c r="AD64" s="8">
        <v>62.644106710422001</v>
      </c>
      <c r="AE64" s="9">
        <v>-5.2468383490831096E-4</v>
      </c>
      <c r="AF64" s="9">
        <v>-2.0856970432091399E-3</v>
      </c>
      <c r="AG64" s="9">
        <v>-2.9630563700972102E-3</v>
      </c>
      <c r="AZ64" s="9"/>
      <c r="BB64">
        <f t="shared" si="2"/>
        <v>1</v>
      </c>
      <c r="BC64">
        <f t="shared" si="3"/>
        <v>0</v>
      </c>
      <c r="BD64">
        <f t="shared" si="4"/>
        <v>1</v>
      </c>
      <c r="BE64">
        <f t="shared" si="0"/>
        <v>1</v>
      </c>
      <c r="BF64">
        <f t="shared" si="5"/>
        <v>1</v>
      </c>
      <c r="BG64" s="9">
        <f t="shared" si="6"/>
        <v>4.73694000282774E-3</v>
      </c>
      <c r="BH64" s="9">
        <f t="shared" si="7"/>
        <v>-5.9063145599229996E-3</v>
      </c>
      <c r="BI64" s="9">
        <f t="shared" si="8"/>
        <v>-1.1693745570952596E-3</v>
      </c>
      <c r="BJ64" s="12">
        <f t="shared" si="9"/>
        <v>-1.490209887654444E-3</v>
      </c>
      <c r="BL64" s="9"/>
      <c r="BN64">
        <f t="shared" si="10"/>
        <v>0</v>
      </c>
      <c r="BO64">
        <f t="shared" si="11"/>
        <v>1</v>
      </c>
      <c r="BP64">
        <f t="shared" si="12"/>
        <v>0</v>
      </c>
      <c r="BQ64">
        <f t="shared" si="1"/>
        <v>1</v>
      </c>
      <c r="BR64">
        <f t="shared" si="13"/>
        <v>0</v>
      </c>
      <c r="BS64" s="9">
        <f t="shared" si="14"/>
        <v>0</v>
      </c>
      <c r="BT64" s="9">
        <f t="shared" si="15"/>
        <v>0</v>
      </c>
      <c r="BU64" s="9">
        <f t="shared" si="16"/>
        <v>0</v>
      </c>
      <c r="BV64" s="12">
        <f t="shared" si="17"/>
        <v>1.6975322659791247E-3</v>
      </c>
      <c r="BX64" s="12">
        <f t="shared" si="18"/>
        <v>-1.1693745570952596E-3</v>
      </c>
      <c r="BY64" s="12">
        <f t="shared" si="19"/>
        <v>2.0732237832468085E-4</v>
      </c>
    </row>
    <row r="65" spans="1:77" x14ac:dyDescent="0.3">
      <c r="A65" s="1">
        <v>46118</v>
      </c>
      <c r="B65" s="8">
        <v>59.68</v>
      </c>
      <c r="C65" s="8">
        <v>63.22</v>
      </c>
      <c r="D65" s="9">
        <v>7.2311758802647598E-3</v>
      </c>
      <c r="E65" s="9">
        <v>6.1880403726159196E-3</v>
      </c>
      <c r="F65" s="8">
        <v>0</v>
      </c>
      <c r="G65" s="8">
        <v>0.38519999999999999</v>
      </c>
      <c r="H65" s="8">
        <v>0</v>
      </c>
      <c r="I65" s="8">
        <v>0.30669999999999997</v>
      </c>
      <c r="J65" s="8">
        <v>0</v>
      </c>
      <c r="K65" s="8">
        <v>0</v>
      </c>
      <c r="L65" s="8">
        <v>59.68</v>
      </c>
      <c r="M65" s="8">
        <v>63.22</v>
      </c>
      <c r="N65" s="10">
        <v>1.05931635388739</v>
      </c>
      <c r="O65" s="10">
        <v>1.0596043809708899</v>
      </c>
      <c r="P65" s="10">
        <v>1.0586528651915601</v>
      </c>
      <c r="Q65" s="10">
        <v>1.0565864395249001</v>
      </c>
      <c r="R65" s="8">
        <v>63.237189456343003</v>
      </c>
      <c r="S65" s="8">
        <v>63.139343139633503</v>
      </c>
      <c r="T65" s="8">
        <v>63.047819916432303</v>
      </c>
      <c r="U65" s="9">
        <v>2.7186206688313498E-4</v>
      </c>
      <c r="V65" s="9">
        <v>-1.27662694845909E-3</v>
      </c>
      <c r="W65" s="9">
        <v>-2.7272220333076302E-3</v>
      </c>
      <c r="X65" s="10">
        <v>1.05931635388739</v>
      </c>
      <c r="Y65" s="10">
        <v>1.05986570061559</v>
      </c>
      <c r="Z65" s="10">
        <v>1.0586528651915601</v>
      </c>
      <c r="AA65" s="10">
        <v>1.0576278779554</v>
      </c>
      <c r="AB65" s="8">
        <v>63.252785012738599</v>
      </c>
      <c r="AC65" s="8">
        <v>63.170204471618</v>
      </c>
      <c r="AD65" s="8">
        <v>63.109972961964502</v>
      </c>
      <c r="AE65" s="9">
        <v>5.1845167274058098E-4</v>
      </c>
      <c r="AF65" s="9">
        <v>-7.8796503521099098E-4</v>
      </c>
      <c r="AG65" s="9">
        <v>-1.7418996185337399E-3</v>
      </c>
      <c r="AZ65" s="9"/>
      <c r="BB65">
        <f t="shared" si="2"/>
        <v>0</v>
      </c>
      <c r="BC65">
        <f t="shared" si="3"/>
        <v>0</v>
      </c>
      <c r="BD65">
        <f t="shared" si="4"/>
        <v>1</v>
      </c>
      <c r="BE65">
        <f t="shared" si="0"/>
        <v>1</v>
      </c>
      <c r="BF65">
        <f t="shared" si="5"/>
        <v>1</v>
      </c>
      <c r="BG65" s="9">
        <f t="shared" si="6"/>
        <v>7.2311758802647598E-3</v>
      </c>
      <c r="BH65" s="9">
        <f t="shared" si="7"/>
        <v>-6.1880403726159196E-3</v>
      </c>
      <c r="BI65" s="9">
        <f t="shared" si="8"/>
        <v>1.0431355076488402E-3</v>
      </c>
      <c r="BJ65" s="12">
        <f t="shared" si="9"/>
        <v>-4.470743800056038E-4</v>
      </c>
      <c r="BL65" s="9"/>
      <c r="BN65">
        <f t="shared" si="10"/>
        <v>0</v>
      </c>
      <c r="BO65">
        <f t="shared" si="11"/>
        <v>1</v>
      </c>
      <c r="BP65">
        <f t="shared" si="12"/>
        <v>0</v>
      </c>
      <c r="BQ65">
        <f t="shared" si="1"/>
        <v>1</v>
      </c>
      <c r="BR65">
        <f t="shared" si="13"/>
        <v>0</v>
      </c>
      <c r="BS65" s="9">
        <f t="shared" si="14"/>
        <v>0</v>
      </c>
      <c r="BT65" s="9">
        <f t="shared" si="15"/>
        <v>0</v>
      </c>
      <c r="BU65" s="9">
        <f t="shared" si="16"/>
        <v>0</v>
      </c>
      <c r="BV65" s="12">
        <f t="shared" si="17"/>
        <v>1.6975322659791247E-3</v>
      </c>
      <c r="BX65" s="12">
        <f t="shared" si="18"/>
        <v>1.0431355076488402E-3</v>
      </c>
      <c r="BY65" s="12">
        <f t="shared" si="19"/>
        <v>1.2504578859735211E-3</v>
      </c>
    </row>
    <row r="66" spans="1:77" x14ac:dyDescent="0.3">
      <c r="A66" s="1">
        <v>46119</v>
      </c>
      <c r="B66" s="8">
        <v>60.16</v>
      </c>
      <c r="C66" s="8">
        <v>63.73</v>
      </c>
      <c r="D66" s="9">
        <v>8.0107237460789703E-3</v>
      </c>
      <c r="E66" s="9">
        <v>8.0347025387310592E-3</v>
      </c>
      <c r="F66" s="8">
        <v>0</v>
      </c>
      <c r="G66" s="8">
        <v>0.38519999999999999</v>
      </c>
      <c r="H66" s="8">
        <v>0</v>
      </c>
      <c r="I66" s="8">
        <v>0.30669999999999997</v>
      </c>
      <c r="J66" s="8">
        <v>0</v>
      </c>
      <c r="K66" s="8">
        <v>0</v>
      </c>
      <c r="L66" s="8">
        <v>60.16</v>
      </c>
      <c r="M66" s="8">
        <v>63.73</v>
      </c>
      <c r="N66" s="10">
        <v>1.05934175531914</v>
      </c>
      <c r="O66" s="10">
        <v>1.0596043809708899</v>
      </c>
      <c r="P66" s="10">
        <v>1.0587342820449599</v>
      </c>
      <c r="Q66" s="10">
        <v>1.0567303738817699</v>
      </c>
      <c r="R66" s="8">
        <v>63.745799559208997</v>
      </c>
      <c r="S66" s="8">
        <v>63.688556369924598</v>
      </c>
      <c r="T66" s="8">
        <v>63.564240201818201</v>
      </c>
      <c r="U66" s="9">
        <v>2.4788327423104001E-4</v>
      </c>
      <c r="V66" s="9">
        <v>-6.5051171065638302E-4</v>
      </c>
      <c r="W66" s="9">
        <v>-2.6043580858057598E-3</v>
      </c>
      <c r="X66" s="10">
        <v>1.05934175531914</v>
      </c>
      <c r="Y66" s="10">
        <v>1.05986570061559</v>
      </c>
      <c r="Z66" s="10">
        <v>1.0587342820449599</v>
      </c>
      <c r="AA66" s="10">
        <v>1.0577718123122699</v>
      </c>
      <c r="AB66" s="8">
        <v>63.761520549034103</v>
      </c>
      <c r="AC66" s="8">
        <v>63.688556369924598</v>
      </c>
      <c r="AD66" s="8">
        <v>63.626893137797097</v>
      </c>
      <c r="AE66" s="9">
        <v>4.9447288008837504E-4</v>
      </c>
      <c r="AF66" s="9">
        <v>-6.5051171065638302E-4</v>
      </c>
      <c r="AG66" s="9">
        <v>-1.61918027660979E-3</v>
      </c>
      <c r="AZ66" s="9"/>
      <c r="BB66">
        <f t="shared" si="2"/>
        <v>0</v>
      </c>
      <c r="BC66">
        <f t="shared" si="3"/>
        <v>0</v>
      </c>
      <c r="BD66">
        <f t="shared" si="4"/>
        <v>1</v>
      </c>
      <c r="BE66">
        <f t="shared" si="0"/>
        <v>1</v>
      </c>
      <c r="BF66">
        <f t="shared" si="5"/>
        <v>1</v>
      </c>
      <c r="BG66" s="9">
        <f t="shared" si="6"/>
        <v>8.0107237460789703E-3</v>
      </c>
      <c r="BH66" s="9">
        <f t="shared" si="7"/>
        <v>-8.0347025387310592E-3</v>
      </c>
      <c r="BI66" s="9">
        <f t="shared" si="8"/>
        <v>-2.3978792652088951E-5</v>
      </c>
      <c r="BJ66" s="12">
        <f t="shared" si="9"/>
        <v>-4.7105317265769275E-4</v>
      </c>
      <c r="BL66" s="9"/>
      <c r="BN66">
        <f t="shared" si="10"/>
        <v>0</v>
      </c>
      <c r="BO66">
        <f t="shared" si="11"/>
        <v>1</v>
      </c>
      <c r="BP66">
        <f t="shared" si="12"/>
        <v>0</v>
      </c>
      <c r="BQ66">
        <f t="shared" si="1"/>
        <v>1</v>
      </c>
      <c r="BR66">
        <f t="shared" si="13"/>
        <v>0</v>
      </c>
      <c r="BS66" s="9">
        <f t="shared" si="14"/>
        <v>0</v>
      </c>
      <c r="BT66" s="9">
        <f t="shared" si="15"/>
        <v>0</v>
      </c>
      <c r="BU66" s="9">
        <f t="shared" si="16"/>
        <v>0</v>
      </c>
      <c r="BV66" s="12">
        <f t="shared" si="17"/>
        <v>1.6975322659791247E-3</v>
      </c>
      <c r="BX66" s="12">
        <f t="shared" si="18"/>
        <v>-2.3978792652088951E-5</v>
      </c>
      <c r="BY66" s="12">
        <f t="shared" si="19"/>
        <v>1.2264790933214321E-3</v>
      </c>
    </row>
    <row r="67" spans="1:77" x14ac:dyDescent="0.3">
      <c r="A67" s="1">
        <v>46120</v>
      </c>
      <c r="B67" s="8">
        <v>58.05</v>
      </c>
      <c r="C67" s="8">
        <v>61.56</v>
      </c>
      <c r="D67" s="9">
        <v>-3.5702971497683797E-2</v>
      </c>
      <c r="E67" s="9">
        <v>-3.4643100355524203E-2</v>
      </c>
      <c r="F67" s="8">
        <v>0</v>
      </c>
      <c r="G67" s="8">
        <v>0.38519999999999999</v>
      </c>
      <c r="H67" s="8">
        <v>0</v>
      </c>
      <c r="I67" s="8">
        <v>0.30669999999999997</v>
      </c>
      <c r="J67" s="8">
        <v>0</v>
      </c>
      <c r="K67" s="8">
        <v>0</v>
      </c>
      <c r="L67" s="8">
        <v>58.05</v>
      </c>
      <c r="M67" s="8">
        <v>61.56</v>
      </c>
      <c r="N67" s="10">
        <v>1.0604651162790699</v>
      </c>
      <c r="O67" s="10">
        <v>1.0596043809708899</v>
      </c>
      <c r="P67" s="10">
        <v>1.0588965070193499</v>
      </c>
      <c r="Q67" s="10">
        <v>1.0568939174655001</v>
      </c>
      <c r="R67" s="8">
        <v>61.5100343153604</v>
      </c>
      <c r="S67" s="8">
        <v>61.4595250727101</v>
      </c>
      <c r="T67" s="8">
        <v>61.343198203836799</v>
      </c>
      <c r="U67" s="9">
        <v>-8.1198786792868998E-4</v>
      </c>
      <c r="V67" s="9">
        <v>-1.6334797191176499E-3</v>
      </c>
      <c r="W67" s="9">
        <v>-3.5280126832654499E-3</v>
      </c>
      <c r="X67" s="10">
        <v>1.0604651162790699</v>
      </c>
      <c r="Y67" s="10">
        <v>1.05986570061559</v>
      </c>
      <c r="Z67" s="10">
        <v>1.0588965070193499</v>
      </c>
      <c r="AA67" s="10">
        <v>1.0579353558960001</v>
      </c>
      <c r="AB67" s="8">
        <v>61.525203920735201</v>
      </c>
      <c r="AC67" s="8">
        <v>61.4595250727101</v>
      </c>
      <c r="AD67" s="8">
        <v>61.403653704727297</v>
      </c>
      <c r="AE67" s="9">
        <v>-5.6539826207133105E-4</v>
      </c>
      <c r="AF67" s="9">
        <v>-1.6334797191176499E-3</v>
      </c>
      <c r="AG67" s="9">
        <v>-2.5429689963781901E-3</v>
      </c>
      <c r="AZ67" s="9"/>
      <c r="BB67">
        <f t="shared" si="2"/>
        <v>1</v>
      </c>
      <c r="BC67">
        <f t="shared" si="3"/>
        <v>0</v>
      </c>
      <c r="BD67">
        <f t="shared" si="4"/>
        <v>1</v>
      </c>
      <c r="BE67">
        <f t="shared" si="0"/>
        <v>1</v>
      </c>
      <c r="BF67">
        <f t="shared" si="5"/>
        <v>1</v>
      </c>
      <c r="BG67" s="9">
        <f t="shared" si="6"/>
        <v>-3.5702971497683797E-2</v>
      </c>
      <c r="BH67" s="9">
        <f t="shared" si="7"/>
        <v>3.4643100355524203E-2</v>
      </c>
      <c r="BI67" s="9">
        <f t="shared" si="8"/>
        <v>-1.0598711421595935E-3</v>
      </c>
      <c r="BJ67" s="12">
        <f t="shared" si="9"/>
        <v>-1.5309243148172863E-3</v>
      </c>
      <c r="BL67" s="9"/>
      <c r="BN67">
        <f t="shared" si="10"/>
        <v>0</v>
      </c>
      <c r="BO67">
        <f t="shared" si="11"/>
        <v>1</v>
      </c>
      <c r="BP67">
        <f t="shared" si="12"/>
        <v>0</v>
      </c>
      <c r="BQ67">
        <f t="shared" si="1"/>
        <v>1</v>
      </c>
      <c r="BR67">
        <f t="shared" si="13"/>
        <v>0</v>
      </c>
      <c r="BS67" s="9">
        <f t="shared" si="14"/>
        <v>0</v>
      </c>
      <c r="BT67" s="9">
        <f t="shared" si="15"/>
        <v>0</v>
      </c>
      <c r="BU67" s="9">
        <f t="shared" si="16"/>
        <v>0</v>
      </c>
      <c r="BV67" s="12">
        <f t="shared" si="17"/>
        <v>1.6975322659791247E-3</v>
      </c>
      <c r="BX67" s="12">
        <f t="shared" si="18"/>
        <v>-1.0598711421595935E-3</v>
      </c>
      <c r="BY67" s="12">
        <f t="shared" si="19"/>
        <v>1.6660795116183857E-4</v>
      </c>
    </row>
    <row r="68" spans="1:77" x14ac:dyDescent="0.3">
      <c r="A68" s="1">
        <v>46121</v>
      </c>
      <c r="B68" s="8">
        <v>57.33</v>
      </c>
      <c r="C68" s="8">
        <v>60.82</v>
      </c>
      <c r="D68" s="9">
        <v>-1.2480661223609101E-2</v>
      </c>
      <c r="E68" s="9">
        <v>-1.20936267214599E-2</v>
      </c>
      <c r="F68" s="8">
        <v>0</v>
      </c>
      <c r="G68" s="8">
        <v>0.38519999999999999</v>
      </c>
      <c r="H68" s="8">
        <v>0</v>
      </c>
      <c r="I68" s="8">
        <v>0.30669999999999997</v>
      </c>
      <c r="J68" s="8">
        <v>0</v>
      </c>
      <c r="K68" s="8">
        <v>0</v>
      </c>
      <c r="L68" s="8">
        <v>57.33</v>
      </c>
      <c r="M68" s="8">
        <v>60.82</v>
      </c>
      <c r="N68" s="10">
        <v>1.0608756323041999</v>
      </c>
      <c r="O68" s="10">
        <v>1.0596043809708899</v>
      </c>
      <c r="P68" s="10">
        <v>1.0590735534922999</v>
      </c>
      <c r="Q68" s="10">
        <v>1.05710337124639</v>
      </c>
      <c r="R68" s="8">
        <v>60.747119161061399</v>
      </c>
      <c r="S68" s="8">
        <v>60.706536747419499</v>
      </c>
      <c r="T68" s="8">
        <v>60.591728288297602</v>
      </c>
      <c r="U68" s="9">
        <v>-1.19902237007794E-3</v>
      </c>
      <c r="V68" s="9">
        <v>-1.86730056802345E-3</v>
      </c>
      <c r="W68" s="9">
        <v>-3.7602953832770402E-3</v>
      </c>
      <c r="X68" s="10">
        <v>1.0608756323041999</v>
      </c>
      <c r="Y68" s="10">
        <v>1.05986570061559</v>
      </c>
      <c r="Z68" s="10">
        <v>1.0590735534922999</v>
      </c>
      <c r="AA68" s="10">
        <v>1.05814480967689</v>
      </c>
      <c r="AB68" s="8">
        <v>60.762100616291903</v>
      </c>
      <c r="AC68" s="8">
        <v>60.706536747419499</v>
      </c>
      <c r="AD68" s="8">
        <v>60.651433953518101</v>
      </c>
      <c r="AE68" s="9">
        <v>-9.5243276422043695E-4</v>
      </c>
      <c r="AF68" s="9">
        <v>-1.86730056802345E-3</v>
      </c>
      <c r="AG68" s="9">
        <v>-2.7754040468445998E-3</v>
      </c>
      <c r="AZ68" s="9"/>
      <c r="BB68">
        <f t="shared" si="2"/>
        <v>1</v>
      </c>
      <c r="BC68">
        <f t="shared" si="3"/>
        <v>0</v>
      </c>
      <c r="BD68">
        <f t="shared" si="4"/>
        <v>1</v>
      </c>
      <c r="BE68">
        <f t="shared" si="0"/>
        <v>1</v>
      </c>
      <c r="BF68">
        <f t="shared" si="5"/>
        <v>1</v>
      </c>
      <c r="BG68" s="9">
        <f t="shared" si="6"/>
        <v>-1.2480661223609101E-2</v>
      </c>
      <c r="BH68" s="9">
        <f t="shared" si="7"/>
        <v>1.20936267214599E-2</v>
      </c>
      <c r="BI68" s="9">
        <f t="shared" si="8"/>
        <v>-3.8703450214920034E-4</v>
      </c>
      <c r="BJ68" s="12">
        <f t="shared" si="9"/>
        <v>-1.9179588169664866E-3</v>
      </c>
      <c r="BL68" s="9"/>
      <c r="BN68">
        <f t="shared" si="10"/>
        <v>0</v>
      </c>
      <c r="BO68">
        <f t="shared" si="11"/>
        <v>1</v>
      </c>
      <c r="BP68">
        <f t="shared" si="12"/>
        <v>0</v>
      </c>
      <c r="BQ68">
        <f t="shared" si="1"/>
        <v>1</v>
      </c>
      <c r="BR68">
        <f t="shared" si="13"/>
        <v>0</v>
      </c>
      <c r="BS68" s="9">
        <f t="shared" si="14"/>
        <v>0</v>
      </c>
      <c r="BT68" s="9">
        <f t="shared" si="15"/>
        <v>0</v>
      </c>
      <c r="BU68" s="9">
        <f t="shared" si="16"/>
        <v>0</v>
      </c>
      <c r="BV68" s="12">
        <f t="shared" si="17"/>
        <v>1.6975322659791247E-3</v>
      </c>
      <c r="BX68" s="12">
        <f t="shared" si="18"/>
        <v>-3.8703450214920034E-4</v>
      </c>
      <c r="BY68" s="12">
        <f t="shared" si="19"/>
        <v>-2.2042655098736177E-4</v>
      </c>
    </row>
    <row r="69" spans="1:77" x14ac:dyDescent="0.3">
      <c r="A69" s="1">
        <v>46122</v>
      </c>
      <c r="B69" s="8">
        <v>56.94</v>
      </c>
      <c r="C69" s="8">
        <v>60.44</v>
      </c>
      <c r="D69" s="9">
        <v>-6.8259650703998698E-3</v>
      </c>
      <c r="E69" s="9">
        <v>-6.2675448446798598E-3</v>
      </c>
      <c r="F69" s="8">
        <v>0</v>
      </c>
      <c r="G69" s="8">
        <v>0.38519999999999999</v>
      </c>
      <c r="H69" s="8">
        <v>0</v>
      </c>
      <c r="I69" s="8">
        <v>0.30669999999999997</v>
      </c>
      <c r="J69" s="8">
        <v>0</v>
      </c>
      <c r="K69" s="8">
        <v>0</v>
      </c>
      <c r="L69" s="8">
        <v>56.94</v>
      </c>
      <c r="M69" s="8">
        <v>60.44</v>
      </c>
      <c r="N69" s="10">
        <v>1.06146821215314</v>
      </c>
      <c r="O69" s="10">
        <v>1.0596043809708899</v>
      </c>
      <c r="P69" s="10">
        <v>1.0593686191809599</v>
      </c>
      <c r="Q69" s="10">
        <v>1.0573946570061901</v>
      </c>
      <c r="R69" s="8">
        <v>60.333873452482699</v>
      </c>
      <c r="S69" s="8">
        <v>60.303648135851702</v>
      </c>
      <c r="T69" s="8">
        <v>60.191465958769498</v>
      </c>
      <c r="U69" s="9">
        <v>-1.7574425957980601E-3</v>
      </c>
      <c r="V69" s="9">
        <v>-2.2585357360665899E-3</v>
      </c>
      <c r="W69" s="9">
        <v>-4.1205566211061501E-3</v>
      </c>
      <c r="X69" s="10">
        <v>1.06146821215314</v>
      </c>
      <c r="Y69" s="10">
        <v>1.05986570061559</v>
      </c>
      <c r="Z69" s="10">
        <v>1.0593686191809599</v>
      </c>
      <c r="AA69" s="10">
        <v>1.05843609543669</v>
      </c>
      <c r="AB69" s="8">
        <v>60.348752993051903</v>
      </c>
      <c r="AC69" s="8">
        <v>60.303648135851702</v>
      </c>
      <c r="AD69" s="8">
        <v>60.250765463002097</v>
      </c>
      <c r="AE69" s="9">
        <v>-1.51085298994052E-3</v>
      </c>
      <c r="AF69" s="9">
        <v>-2.2585357360665899E-3</v>
      </c>
      <c r="AG69" s="9">
        <v>-3.1358603343601302E-3</v>
      </c>
      <c r="AZ69" s="9"/>
      <c r="BB69">
        <f t="shared" si="2"/>
        <v>1</v>
      </c>
      <c r="BC69">
        <f t="shared" si="3"/>
        <v>0</v>
      </c>
      <c r="BD69">
        <f t="shared" si="4"/>
        <v>1</v>
      </c>
      <c r="BE69">
        <f t="shared" si="0"/>
        <v>1</v>
      </c>
      <c r="BF69">
        <f t="shared" si="5"/>
        <v>1</v>
      </c>
      <c r="BG69" s="9">
        <f t="shared" si="6"/>
        <v>-6.8259650703998698E-3</v>
      </c>
      <c r="BH69" s="9">
        <f t="shared" si="7"/>
        <v>6.2675448446798598E-3</v>
      </c>
      <c r="BI69" s="9">
        <f t="shared" si="8"/>
        <v>-5.5842022572000997E-4</v>
      </c>
      <c r="BJ69" s="12">
        <f t="shared" si="9"/>
        <v>-2.4763790426864966E-3</v>
      </c>
      <c r="BL69" s="9"/>
      <c r="BN69">
        <f t="shared" si="10"/>
        <v>0</v>
      </c>
      <c r="BO69">
        <f t="shared" si="11"/>
        <v>1</v>
      </c>
      <c r="BP69">
        <f t="shared" si="12"/>
        <v>0</v>
      </c>
      <c r="BQ69">
        <f t="shared" si="1"/>
        <v>1</v>
      </c>
      <c r="BR69">
        <f t="shared" si="13"/>
        <v>0</v>
      </c>
      <c r="BS69" s="9">
        <f t="shared" si="14"/>
        <v>0</v>
      </c>
      <c r="BT69" s="9">
        <f t="shared" si="15"/>
        <v>0</v>
      </c>
      <c r="BU69" s="9">
        <f t="shared" si="16"/>
        <v>0</v>
      </c>
      <c r="BV69" s="12">
        <f t="shared" si="17"/>
        <v>1.6975322659791247E-3</v>
      </c>
      <c r="BX69" s="12">
        <f t="shared" si="18"/>
        <v>-5.5842022572000997E-4</v>
      </c>
      <c r="BY69" s="12">
        <f t="shared" si="19"/>
        <v>-7.7884677670737174E-4</v>
      </c>
    </row>
    <row r="70" spans="1:77" x14ac:dyDescent="0.3">
      <c r="A70" s="1">
        <v>46125</v>
      </c>
      <c r="B70" s="8">
        <v>57.11</v>
      </c>
      <c r="C70" s="8">
        <v>60.6</v>
      </c>
      <c r="D70" s="9">
        <v>2.98115082688012E-3</v>
      </c>
      <c r="E70" s="9">
        <v>2.6437556707300798E-3</v>
      </c>
      <c r="F70" s="8">
        <v>0</v>
      </c>
      <c r="G70" s="8">
        <v>0.38519999999999999</v>
      </c>
      <c r="H70" s="8">
        <v>0</v>
      </c>
      <c r="I70" s="8">
        <v>0.30669999999999997</v>
      </c>
      <c r="J70" s="8">
        <v>0</v>
      </c>
      <c r="K70" s="8">
        <v>0</v>
      </c>
      <c r="L70" s="8">
        <v>57.11</v>
      </c>
      <c r="M70" s="8">
        <v>60.6</v>
      </c>
      <c r="N70" s="10">
        <v>1.0611101383295301</v>
      </c>
      <c r="O70" s="10">
        <v>1.0596043809708899</v>
      </c>
      <c r="P70" s="10">
        <v>1.0596612186916601</v>
      </c>
      <c r="Q70" s="10">
        <v>1.05765120378402</v>
      </c>
      <c r="R70" s="8">
        <v>60.514006197247802</v>
      </c>
      <c r="S70" s="8">
        <v>60.500541841424599</v>
      </c>
      <c r="T70" s="8">
        <v>60.387808861623803</v>
      </c>
      <c r="U70" s="9">
        <v>-1.4200474396479301E-3</v>
      </c>
      <c r="V70" s="9">
        <v>-1.64257202197271E-3</v>
      </c>
      <c r="W70" s="9">
        <v>-3.5076485462819402E-3</v>
      </c>
      <c r="X70" s="10">
        <v>1.0611101383295301</v>
      </c>
      <c r="Y70" s="10">
        <v>1.05986570061559</v>
      </c>
      <c r="Z70" s="10">
        <v>1.0596612186916601</v>
      </c>
      <c r="AA70" s="10">
        <v>1.05869264221452</v>
      </c>
      <c r="AB70" s="8">
        <v>60.528930162156499</v>
      </c>
      <c r="AC70" s="8">
        <v>60.500541841424599</v>
      </c>
      <c r="AD70" s="8">
        <v>60.447285410389597</v>
      </c>
      <c r="AE70" s="9">
        <v>-1.1734578337905201E-3</v>
      </c>
      <c r="AF70" s="9">
        <v>-1.64257202197271E-3</v>
      </c>
      <c r="AG70" s="9">
        <v>-2.5232233852413399E-3</v>
      </c>
      <c r="AZ70" s="9"/>
      <c r="BB70">
        <f t="shared" si="2"/>
        <v>1</v>
      </c>
      <c r="BC70">
        <f t="shared" si="3"/>
        <v>0</v>
      </c>
      <c r="BD70">
        <f t="shared" si="4"/>
        <v>1</v>
      </c>
      <c r="BE70">
        <f t="shared" si="0"/>
        <v>1</v>
      </c>
      <c r="BF70">
        <f t="shared" si="5"/>
        <v>1</v>
      </c>
      <c r="BG70" s="9">
        <f t="shared" si="6"/>
        <v>2.98115082688012E-3</v>
      </c>
      <c r="BH70" s="9">
        <f t="shared" si="7"/>
        <v>-2.6437556707300798E-3</v>
      </c>
      <c r="BI70" s="9">
        <f t="shared" si="8"/>
        <v>3.3739515615004026E-4</v>
      </c>
      <c r="BJ70" s="12">
        <f t="shared" si="9"/>
        <v>-2.1389838865364563E-3</v>
      </c>
      <c r="BL70" s="9"/>
      <c r="BN70">
        <f t="shared" si="10"/>
        <v>0</v>
      </c>
      <c r="BO70">
        <f t="shared" si="11"/>
        <v>1</v>
      </c>
      <c r="BP70">
        <f t="shared" si="12"/>
        <v>0</v>
      </c>
      <c r="BQ70">
        <f t="shared" si="1"/>
        <v>1</v>
      </c>
      <c r="BR70">
        <f t="shared" si="13"/>
        <v>0</v>
      </c>
      <c r="BS70" s="9">
        <f t="shared" si="14"/>
        <v>0</v>
      </c>
      <c r="BT70" s="9">
        <f t="shared" si="15"/>
        <v>0</v>
      </c>
      <c r="BU70" s="9">
        <f t="shared" si="16"/>
        <v>0</v>
      </c>
      <c r="BV70" s="12">
        <f t="shared" si="17"/>
        <v>1.6975322659791247E-3</v>
      </c>
      <c r="BX70" s="12">
        <f t="shared" si="18"/>
        <v>3.3739515615004026E-4</v>
      </c>
      <c r="BY70" s="12">
        <f t="shared" si="19"/>
        <v>-4.4145162055733147E-4</v>
      </c>
    </row>
    <row r="71" spans="1:77" x14ac:dyDescent="0.3">
      <c r="A71" s="1">
        <v>46126</v>
      </c>
      <c r="B71" s="8">
        <v>55.95</v>
      </c>
      <c r="C71" s="8">
        <v>59.3</v>
      </c>
      <c r="D71" s="9">
        <v>-2.0520797918837201E-2</v>
      </c>
      <c r="E71" s="9">
        <v>-2.1685587071589001E-2</v>
      </c>
      <c r="F71" s="8">
        <v>0</v>
      </c>
      <c r="G71" s="8">
        <v>0.38519999999999999</v>
      </c>
      <c r="H71" s="8">
        <v>0</v>
      </c>
      <c r="I71" s="8">
        <v>0.30669999999999997</v>
      </c>
      <c r="J71" s="8">
        <v>0</v>
      </c>
      <c r="K71" s="8">
        <v>0</v>
      </c>
      <c r="L71" s="8">
        <v>55.95</v>
      </c>
      <c r="M71" s="8">
        <v>59.3</v>
      </c>
      <c r="N71" s="10">
        <v>1.0598748882931099</v>
      </c>
      <c r="O71" s="10">
        <v>1.0596043809708899</v>
      </c>
      <c r="P71" s="10">
        <v>1.05993534406067</v>
      </c>
      <c r="Q71" s="10">
        <v>1.0578297495803699</v>
      </c>
      <c r="R71" s="8">
        <v>59.284865115321601</v>
      </c>
      <c r="S71" s="8">
        <v>59.288045185798502</v>
      </c>
      <c r="T71" s="8">
        <v>59.175584851716103</v>
      </c>
      <c r="U71" s="9">
        <v>-2.5525828689606801E-4</v>
      </c>
      <c r="V71" s="9">
        <v>-2.0161921419967999E-4</v>
      </c>
      <c r="W71" s="9">
        <v>-2.10026722676633E-3</v>
      </c>
      <c r="X71" s="10">
        <v>1.0598748882931099</v>
      </c>
      <c r="Y71" s="10">
        <v>1.05986570061559</v>
      </c>
      <c r="Z71" s="10">
        <v>1.05993534406067</v>
      </c>
      <c r="AA71" s="10">
        <v>1.0588711880108701</v>
      </c>
      <c r="AB71" s="8">
        <v>59.299485949442399</v>
      </c>
      <c r="AC71" s="8">
        <v>59.288045185798502</v>
      </c>
      <c r="AD71" s="8">
        <v>59.233853331902601</v>
      </c>
      <c r="AE71" s="9">
        <v>-8.6686810386215093E-6</v>
      </c>
      <c r="AF71" s="9">
        <v>-2.0161921419967999E-4</v>
      </c>
      <c r="AG71" s="9">
        <v>-1.1160807331277701E-3</v>
      </c>
      <c r="AZ71" s="9"/>
      <c r="BB71">
        <f t="shared" si="2"/>
        <v>0</v>
      </c>
      <c r="BC71">
        <f t="shared" si="3"/>
        <v>0</v>
      </c>
      <c r="BD71">
        <f t="shared" si="4"/>
        <v>1</v>
      </c>
      <c r="BE71">
        <f t="shared" si="0"/>
        <v>1</v>
      </c>
      <c r="BF71">
        <f t="shared" si="5"/>
        <v>1</v>
      </c>
      <c r="BG71" s="9">
        <f t="shared" si="6"/>
        <v>-2.0520797918837201E-2</v>
      </c>
      <c r="BH71" s="9">
        <f t="shared" si="7"/>
        <v>2.1685587071589001E-2</v>
      </c>
      <c r="BI71" s="9">
        <f t="shared" si="8"/>
        <v>1.1647891527518002E-3</v>
      </c>
      <c r="BJ71" s="12">
        <f t="shared" si="9"/>
        <v>-9.7419473378465614E-4</v>
      </c>
      <c r="BL71" s="9"/>
      <c r="BN71">
        <f t="shared" si="10"/>
        <v>0</v>
      </c>
      <c r="BO71">
        <f t="shared" si="11"/>
        <v>1</v>
      </c>
      <c r="BP71">
        <f t="shared" si="12"/>
        <v>0</v>
      </c>
      <c r="BQ71">
        <f t="shared" si="1"/>
        <v>1</v>
      </c>
      <c r="BR71">
        <f t="shared" si="13"/>
        <v>0</v>
      </c>
      <c r="BS71" s="9">
        <f t="shared" si="14"/>
        <v>0</v>
      </c>
      <c r="BT71" s="9">
        <f t="shared" si="15"/>
        <v>0</v>
      </c>
      <c r="BU71" s="9">
        <f t="shared" si="16"/>
        <v>0</v>
      </c>
      <c r="BV71" s="12">
        <f t="shared" si="17"/>
        <v>1.6975322659791247E-3</v>
      </c>
      <c r="BX71" s="12">
        <f t="shared" si="18"/>
        <v>1.1647891527518002E-3</v>
      </c>
      <c r="BY71" s="12">
        <f t="shared" si="19"/>
        <v>7.2333753219446873E-4</v>
      </c>
    </row>
    <row r="72" spans="1:77" x14ac:dyDescent="0.3">
      <c r="A72" s="1">
        <v>46127</v>
      </c>
      <c r="B72" s="8">
        <v>55.76</v>
      </c>
      <c r="C72" s="8">
        <v>59.14</v>
      </c>
      <c r="D72" s="9">
        <v>-3.4016683056659102E-3</v>
      </c>
      <c r="E72" s="9">
        <v>-2.7017915793485798E-3</v>
      </c>
      <c r="F72" s="8">
        <v>0</v>
      </c>
      <c r="G72" s="8">
        <v>0.38519999999999999</v>
      </c>
      <c r="H72" s="8">
        <v>0</v>
      </c>
      <c r="I72" s="8">
        <v>0.30669999999999997</v>
      </c>
      <c r="J72" s="8">
        <v>0</v>
      </c>
      <c r="K72" s="8">
        <v>0</v>
      </c>
      <c r="L72" s="8">
        <v>55.76</v>
      </c>
      <c r="M72" s="8">
        <v>59.14</v>
      </c>
      <c r="N72" s="10">
        <v>1.0606169296987</v>
      </c>
      <c r="O72" s="10">
        <v>1.0596043809708899</v>
      </c>
      <c r="P72" s="10">
        <v>1.0602673602430801</v>
      </c>
      <c r="Q72" s="10">
        <v>1.05834820502104</v>
      </c>
      <c r="R72" s="8">
        <v>59.083540282937101</v>
      </c>
      <c r="S72" s="8">
        <v>59.101994784823397</v>
      </c>
      <c r="T72" s="8">
        <v>58.984586836601601</v>
      </c>
      <c r="U72" s="9">
        <v>-9.5513501321340798E-4</v>
      </c>
      <c r="V72" s="9">
        <v>-6.4283787760013595E-4</v>
      </c>
      <c r="W72" s="9">
        <v>-2.6313447053395301E-3</v>
      </c>
      <c r="X72" s="10">
        <v>1.0606169296987</v>
      </c>
      <c r="Y72" s="10">
        <v>1.05986570061559</v>
      </c>
      <c r="Z72" s="10">
        <v>1.0602673602430801</v>
      </c>
      <c r="AA72" s="10">
        <v>1.05912755150144</v>
      </c>
      <c r="AB72" s="8">
        <v>59.098111466325498</v>
      </c>
      <c r="AC72" s="8">
        <v>59.101994784823397</v>
      </c>
      <c r="AD72" s="8">
        <v>59.042657443486199</v>
      </c>
      <c r="AE72" s="9">
        <v>-7.0854540735589E-4</v>
      </c>
      <c r="AF72" s="9">
        <v>-6.4283787760013595E-4</v>
      </c>
      <c r="AG72" s="9">
        <v>-1.64732424591614E-3</v>
      </c>
      <c r="AZ72" s="9"/>
      <c r="BB72">
        <f t="shared" si="2"/>
        <v>0</v>
      </c>
      <c r="BC72">
        <f t="shared" si="3"/>
        <v>0</v>
      </c>
      <c r="BD72">
        <f t="shared" si="4"/>
        <v>1</v>
      </c>
      <c r="BE72">
        <f t="shared" si="0"/>
        <v>1</v>
      </c>
      <c r="BF72">
        <f t="shared" si="5"/>
        <v>1</v>
      </c>
      <c r="BG72" s="9">
        <f t="shared" si="6"/>
        <v>-3.4016683056659102E-3</v>
      </c>
      <c r="BH72" s="9">
        <f t="shared" si="7"/>
        <v>2.7017915793485798E-3</v>
      </c>
      <c r="BI72" s="9">
        <f t="shared" si="8"/>
        <v>-6.9987672631733038E-4</v>
      </c>
      <c r="BJ72" s="12">
        <f t="shared" si="9"/>
        <v>-1.6740714601019865E-3</v>
      </c>
      <c r="BL72" s="9"/>
      <c r="BN72">
        <f t="shared" si="10"/>
        <v>0</v>
      </c>
      <c r="BO72">
        <f t="shared" si="11"/>
        <v>1</v>
      </c>
      <c r="BP72">
        <f t="shared" si="12"/>
        <v>0</v>
      </c>
      <c r="BQ72">
        <f t="shared" si="1"/>
        <v>1</v>
      </c>
      <c r="BR72">
        <f t="shared" si="13"/>
        <v>0</v>
      </c>
      <c r="BS72" s="9">
        <f t="shared" si="14"/>
        <v>0</v>
      </c>
      <c r="BT72" s="9">
        <f t="shared" si="15"/>
        <v>0</v>
      </c>
      <c r="BU72" s="9">
        <f t="shared" si="16"/>
        <v>0</v>
      </c>
      <c r="BV72" s="12">
        <f t="shared" si="17"/>
        <v>1.6975322659791247E-3</v>
      </c>
      <c r="BX72" s="12">
        <f t="shared" si="18"/>
        <v>-6.9987672631733038E-4</v>
      </c>
      <c r="BY72" s="12">
        <f t="shared" si="19"/>
        <v>2.3460805877138346E-5</v>
      </c>
    </row>
    <row r="73" spans="1:77" x14ac:dyDescent="0.3">
      <c r="A73" s="1">
        <v>46128</v>
      </c>
      <c r="B73" s="8">
        <v>56.58</v>
      </c>
      <c r="C73" s="8">
        <v>60.05</v>
      </c>
      <c r="D73" s="9">
        <v>1.45987994211526E-2</v>
      </c>
      <c r="E73" s="9">
        <v>1.52700341016614E-2</v>
      </c>
      <c r="F73" s="8">
        <v>0</v>
      </c>
      <c r="G73" s="8">
        <v>0.38519999999999999</v>
      </c>
      <c r="H73" s="8">
        <v>0</v>
      </c>
      <c r="I73" s="8">
        <v>0.30669999999999997</v>
      </c>
      <c r="J73" s="8">
        <v>0</v>
      </c>
      <c r="K73" s="8">
        <v>0</v>
      </c>
      <c r="L73" s="8">
        <v>56.58</v>
      </c>
      <c r="M73" s="8">
        <v>60.05</v>
      </c>
      <c r="N73" s="10">
        <v>1.0613290915517799</v>
      </c>
      <c r="O73" s="10">
        <v>1.0596043809708899</v>
      </c>
      <c r="P73" s="10">
        <v>1.06048200587443</v>
      </c>
      <c r="Q73" s="10">
        <v>1.0588303707059299</v>
      </c>
      <c r="R73" s="8">
        <v>59.952415875333202</v>
      </c>
      <c r="S73" s="8">
        <v>59.989927242553797</v>
      </c>
      <c r="T73" s="8">
        <v>59.881341440090601</v>
      </c>
      <c r="U73" s="9">
        <v>-1.62636969372206E-3</v>
      </c>
      <c r="V73" s="9">
        <v>-1.0008796879671E-3</v>
      </c>
      <c r="W73" s="9">
        <v>-2.8125870863674801E-3</v>
      </c>
      <c r="X73" s="10">
        <v>1.0613290915517799</v>
      </c>
      <c r="Y73" s="10">
        <v>1.05986570061559</v>
      </c>
      <c r="Z73" s="10">
        <v>1.06048200587443</v>
      </c>
      <c r="AA73" s="10">
        <v>1.0593472663905199</v>
      </c>
      <c r="AB73" s="8">
        <v>59.967201340830201</v>
      </c>
      <c r="AC73" s="8">
        <v>59.989927242553797</v>
      </c>
      <c r="AD73" s="8">
        <v>59.925436863951902</v>
      </c>
      <c r="AE73" s="9">
        <v>-1.37978008786465E-3</v>
      </c>
      <c r="AF73" s="9">
        <v>-1.0008796879671E-3</v>
      </c>
      <c r="AG73" s="9">
        <v>-2.0764780535283299E-3</v>
      </c>
      <c r="AZ73" s="9"/>
      <c r="BB73">
        <f t="shared" si="2"/>
        <v>1</v>
      </c>
      <c r="BC73">
        <f t="shared" si="3"/>
        <v>0</v>
      </c>
      <c r="BD73">
        <f t="shared" si="4"/>
        <v>1</v>
      </c>
      <c r="BE73">
        <f t="shared" si="0"/>
        <v>1</v>
      </c>
      <c r="BF73">
        <f t="shared" si="5"/>
        <v>1</v>
      </c>
      <c r="BG73" s="9">
        <f t="shared" si="6"/>
        <v>1.45987994211526E-2</v>
      </c>
      <c r="BH73" s="9">
        <f t="shared" si="7"/>
        <v>-1.52700341016614E-2</v>
      </c>
      <c r="BI73" s="9">
        <f t="shared" si="8"/>
        <v>-6.7123468050880007E-4</v>
      </c>
      <c r="BJ73" s="12">
        <f t="shared" si="9"/>
        <v>-2.3453061406107866E-3</v>
      </c>
      <c r="BL73" s="9"/>
      <c r="BN73">
        <f t="shared" si="10"/>
        <v>0</v>
      </c>
      <c r="BO73">
        <f t="shared" si="11"/>
        <v>1</v>
      </c>
      <c r="BP73">
        <f t="shared" si="12"/>
        <v>0</v>
      </c>
      <c r="BQ73">
        <f t="shared" si="1"/>
        <v>1</v>
      </c>
      <c r="BR73">
        <f t="shared" si="13"/>
        <v>0</v>
      </c>
      <c r="BS73" s="9">
        <f t="shared" si="14"/>
        <v>0</v>
      </c>
      <c r="BT73" s="9">
        <f t="shared" si="15"/>
        <v>0</v>
      </c>
      <c r="BU73" s="9">
        <f t="shared" si="16"/>
        <v>0</v>
      </c>
      <c r="BV73" s="12">
        <f t="shared" si="17"/>
        <v>1.6975322659791247E-3</v>
      </c>
      <c r="BX73" s="12">
        <f t="shared" si="18"/>
        <v>-6.7123468050880007E-4</v>
      </c>
      <c r="BY73" s="12">
        <f t="shared" si="19"/>
        <v>-6.4777387463166173E-4</v>
      </c>
    </row>
    <row r="74" spans="1:77" x14ac:dyDescent="0.3">
      <c r="A74" s="1">
        <v>46129</v>
      </c>
      <c r="B74" s="8">
        <v>55.02</v>
      </c>
      <c r="C74" s="8">
        <v>58.31</v>
      </c>
      <c r="D74" s="9">
        <v>-2.79588103769925E-2</v>
      </c>
      <c r="E74" s="9">
        <v>-2.94039432919278E-2</v>
      </c>
      <c r="F74" s="8">
        <v>0</v>
      </c>
      <c r="G74" s="8">
        <v>0.38519999999999999</v>
      </c>
      <c r="H74" s="8">
        <v>0</v>
      </c>
      <c r="I74" s="8">
        <v>0.30669999999999997</v>
      </c>
      <c r="J74" s="8">
        <v>0</v>
      </c>
      <c r="K74" s="8">
        <v>0</v>
      </c>
      <c r="L74" s="8">
        <v>55.02</v>
      </c>
      <c r="M74" s="8">
        <v>58.31</v>
      </c>
      <c r="N74" s="10">
        <v>1.0597964376590301</v>
      </c>
      <c r="O74" s="10">
        <v>1.0596043809708899</v>
      </c>
      <c r="P74" s="10">
        <v>1.0604194555475099</v>
      </c>
      <c r="Q74" s="10">
        <v>1.0591921602438701</v>
      </c>
      <c r="R74" s="8">
        <v>58.299433041018602</v>
      </c>
      <c r="S74" s="8">
        <v>58.347719963211603</v>
      </c>
      <c r="T74" s="8">
        <v>58.256846996240803</v>
      </c>
      <c r="U74" s="9">
        <v>-1.8123677878676E-4</v>
      </c>
      <c r="V74" s="9">
        <v>6.46677554439445E-4</v>
      </c>
      <c r="W74" s="9">
        <v>-9.1197469628475595E-4</v>
      </c>
      <c r="X74" s="10">
        <v>1.0597964376590301</v>
      </c>
      <c r="Y74" s="10">
        <v>1.05986570061559</v>
      </c>
      <c r="Z74" s="10">
        <v>1.0604194555475099</v>
      </c>
      <c r="AA74" s="10">
        <v>1.0594507169796701</v>
      </c>
      <c r="AB74" s="8">
        <v>58.313810847869902</v>
      </c>
      <c r="AC74" s="8">
        <v>58.347719963211603</v>
      </c>
      <c r="AD74" s="8">
        <v>58.2852865968065</v>
      </c>
      <c r="AE74" s="9">
        <v>6.5352827070538203E-5</v>
      </c>
      <c r="AF74" s="9">
        <v>6.46677554439445E-4</v>
      </c>
      <c r="AG74" s="9">
        <v>-4.2391771202618302E-4</v>
      </c>
      <c r="AZ74" s="9"/>
      <c r="BB74">
        <f t="shared" si="2"/>
        <v>0</v>
      </c>
      <c r="BC74">
        <f t="shared" si="3"/>
        <v>0</v>
      </c>
      <c r="BD74">
        <f t="shared" si="4"/>
        <v>1</v>
      </c>
      <c r="BE74">
        <f t="shared" si="0"/>
        <v>1</v>
      </c>
      <c r="BF74">
        <f t="shared" si="5"/>
        <v>1</v>
      </c>
      <c r="BG74" s="9">
        <f t="shared" si="6"/>
        <v>-2.79588103769925E-2</v>
      </c>
      <c r="BH74" s="9">
        <f t="shared" si="7"/>
        <v>2.94039432919278E-2</v>
      </c>
      <c r="BI74" s="9">
        <f t="shared" si="8"/>
        <v>1.4451329149352994E-3</v>
      </c>
      <c r="BJ74" s="12">
        <f t="shared" si="9"/>
        <v>-9.0017322567548718E-4</v>
      </c>
      <c r="BL74" s="9"/>
      <c r="BN74">
        <f t="shared" si="10"/>
        <v>0</v>
      </c>
      <c r="BO74">
        <f t="shared" si="11"/>
        <v>1</v>
      </c>
      <c r="BP74">
        <f t="shared" si="12"/>
        <v>0</v>
      </c>
      <c r="BQ74">
        <f t="shared" si="1"/>
        <v>1</v>
      </c>
      <c r="BR74">
        <f t="shared" si="13"/>
        <v>0</v>
      </c>
      <c r="BS74" s="9">
        <f t="shared" si="14"/>
        <v>0</v>
      </c>
      <c r="BT74" s="9">
        <f t="shared" si="15"/>
        <v>0</v>
      </c>
      <c r="BU74" s="9">
        <f t="shared" si="16"/>
        <v>0</v>
      </c>
      <c r="BV74" s="12">
        <f t="shared" si="17"/>
        <v>1.6975322659791247E-3</v>
      </c>
      <c r="BX74" s="12">
        <f t="shared" si="18"/>
        <v>1.4451329149352994E-3</v>
      </c>
      <c r="BY74" s="12">
        <f t="shared" si="19"/>
        <v>7.9735904030363769E-4</v>
      </c>
    </row>
    <row r="75" spans="1:77" x14ac:dyDescent="0.3">
      <c r="A75" s="1">
        <v>46132</v>
      </c>
      <c r="B75" s="8">
        <v>55.07</v>
      </c>
      <c r="C75" s="8">
        <v>58.44</v>
      </c>
      <c r="D75" s="9">
        <v>9.0834777796163098E-4</v>
      </c>
      <c r="E75" s="9">
        <v>2.2269816484339899E-3</v>
      </c>
      <c r="F75" s="8">
        <v>0</v>
      </c>
      <c r="G75" s="8">
        <v>0.38519999999999999</v>
      </c>
      <c r="H75" s="8">
        <v>0</v>
      </c>
      <c r="I75" s="8">
        <v>0.30669999999999997</v>
      </c>
      <c r="J75" s="8">
        <v>0</v>
      </c>
      <c r="K75" s="8">
        <v>0</v>
      </c>
      <c r="L75" s="8">
        <v>55.07</v>
      </c>
      <c r="M75" s="8">
        <v>58.44</v>
      </c>
      <c r="N75" s="10">
        <v>1.06119484292718</v>
      </c>
      <c r="O75" s="10">
        <v>1.0596043809708899</v>
      </c>
      <c r="P75" s="10">
        <v>1.0606073044514901</v>
      </c>
      <c r="Q75" s="10">
        <v>1.0596300848215301</v>
      </c>
      <c r="R75" s="8">
        <v>58.352413260067202</v>
      </c>
      <c r="S75" s="8">
        <v>58.397299417001598</v>
      </c>
      <c r="T75" s="8">
        <v>58.329712264630302</v>
      </c>
      <c r="U75" s="9">
        <v>-1.4998706492591401E-3</v>
      </c>
      <c r="V75" s="9">
        <v>-7.30940977111747E-4</v>
      </c>
      <c r="W75" s="9">
        <v>-1.88897901733528E-3</v>
      </c>
      <c r="X75" s="10">
        <v>1.06119484292718</v>
      </c>
      <c r="Y75" s="10">
        <v>1.05986570061559</v>
      </c>
      <c r="Z75" s="10">
        <v>1.0606073044514901</v>
      </c>
      <c r="AA75" s="10">
        <v>1.0596300848215301</v>
      </c>
      <c r="AB75" s="8">
        <v>58.366804132900697</v>
      </c>
      <c r="AC75" s="8">
        <v>58.397299417001598</v>
      </c>
      <c r="AD75" s="8">
        <v>58.343950984070503</v>
      </c>
      <c r="AE75" s="9">
        <v>-1.25328104340177E-3</v>
      </c>
      <c r="AF75" s="9">
        <v>-7.30940977111747E-4</v>
      </c>
      <c r="AG75" s="9">
        <v>-1.64490132037356E-3</v>
      </c>
      <c r="AZ75" s="9"/>
      <c r="BB75">
        <f t="shared" si="2"/>
        <v>0</v>
      </c>
      <c r="BC75">
        <f t="shared" si="3"/>
        <v>0</v>
      </c>
      <c r="BD75">
        <f t="shared" si="4"/>
        <v>1</v>
      </c>
      <c r="BE75">
        <f t="shared" si="0"/>
        <v>1</v>
      </c>
      <c r="BF75">
        <f t="shared" si="5"/>
        <v>1</v>
      </c>
      <c r="BG75" s="9">
        <f t="shared" si="6"/>
        <v>9.0834777796163098E-4</v>
      </c>
      <c r="BH75" s="9">
        <f t="shared" si="7"/>
        <v>-2.2269816484339899E-3</v>
      </c>
      <c r="BI75" s="9">
        <f t="shared" si="8"/>
        <v>-1.318633870472359E-3</v>
      </c>
      <c r="BJ75" s="12">
        <f t="shared" si="9"/>
        <v>-2.2188070961478464E-3</v>
      </c>
      <c r="BL75" s="9"/>
      <c r="BN75">
        <f t="shared" si="10"/>
        <v>0</v>
      </c>
      <c r="BO75">
        <f t="shared" si="11"/>
        <v>1</v>
      </c>
      <c r="BP75">
        <f t="shared" si="12"/>
        <v>0</v>
      </c>
      <c r="BQ75">
        <f t="shared" si="1"/>
        <v>1</v>
      </c>
      <c r="BR75">
        <f t="shared" si="13"/>
        <v>0</v>
      </c>
      <c r="BS75" s="9">
        <f t="shared" si="14"/>
        <v>0</v>
      </c>
      <c r="BT75" s="9">
        <f t="shared" si="15"/>
        <v>0</v>
      </c>
      <c r="BU75" s="9">
        <f t="shared" si="16"/>
        <v>0</v>
      </c>
      <c r="BV75" s="12">
        <f t="shared" si="17"/>
        <v>1.6975322659791247E-3</v>
      </c>
      <c r="BX75" s="12">
        <f t="shared" si="18"/>
        <v>-1.318633870472359E-3</v>
      </c>
      <c r="BY75" s="12">
        <f t="shared" si="19"/>
        <v>-5.2127483016872127E-4</v>
      </c>
    </row>
    <row r="76" spans="1:77" x14ac:dyDescent="0.3">
      <c r="A76" s="1">
        <v>46133</v>
      </c>
      <c r="B76" s="8">
        <v>55.87</v>
      </c>
      <c r="C76" s="8">
        <v>59.25</v>
      </c>
      <c r="D76" s="9">
        <v>1.44224601966672E-2</v>
      </c>
      <c r="E76" s="9">
        <v>1.37651931327418E-2</v>
      </c>
      <c r="F76" s="8">
        <v>0</v>
      </c>
      <c r="G76" s="8">
        <v>0.38519999999999999</v>
      </c>
      <c r="H76" s="8">
        <v>0</v>
      </c>
      <c r="I76" s="8">
        <v>0.30669999999999997</v>
      </c>
      <c r="J76" s="8">
        <v>0</v>
      </c>
      <c r="K76" s="8">
        <v>0</v>
      </c>
      <c r="L76" s="8">
        <v>55.87</v>
      </c>
      <c r="M76" s="8">
        <v>59.25</v>
      </c>
      <c r="N76" s="10">
        <v>1.0604975836763899</v>
      </c>
      <c r="O76" s="10">
        <v>1.0596043809708899</v>
      </c>
      <c r="P76" s="10">
        <v>1.0607228872872101</v>
      </c>
      <c r="Q76" s="10">
        <v>1.05972858466609</v>
      </c>
      <c r="R76" s="8">
        <v>59.200096764843899</v>
      </c>
      <c r="S76" s="8">
        <v>59.256130099704897</v>
      </c>
      <c r="T76" s="8">
        <v>59.201532838978899</v>
      </c>
      <c r="U76" s="9">
        <v>-8.4260358533385499E-4</v>
      </c>
      <c r="V76" s="9">
        <v>1.0345624661343199E-4</v>
      </c>
      <c r="W76" s="9">
        <v>-8.1834591016763001E-4</v>
      </c>
      <c r="X76" s="10">
        <v>1.0604975836763899</v>
      </c>
      <c r="Y76" s="10">
        <v>1.05986570061559</v>
      </c>
      <c r="Z76" s="10">
        <v>1.0607228872872101</v>
      </c>
      <c r="AA76" s="10">
        <v>1.05972858466609</v>
      </c>
      <c r="AB76" s="8">
        <v>59.214696693393201</v>
      </c>
      <c r="AC76" s="8">
        <v>59.256130099704897</v>
      </c>
      <c r="AD76" s="8">
        <v>59.201532838978899</v>
      </c>
      <c r="AE76" s="9">
        <v>-5.9601397947649205E-4</v>
      </c>
      <c r="AF76" s="9">
        <v>1.0345624661343199E-4</v>
      </c>
      <c r="AG76" s="9">
        <v>-8.1834591016763001E-4</v>
      </c>
      <c r="AZ76" s="9"/>
      <c r="BB76">
        <f t="shared" si="2"/>
        <v>0</v>
      </c>
      <c r="BC76">
        <f t="shared" si="3"/>
        <v>0</v>
      </c>
      <c r="BD76">
        <f t="shared" si="4"/>
        <v>1</v>
      </c>
      <c r="BE76">
        <f t="shared" si="0"/>
        <v>1</v>
      </c>
      <c r="BF76">
        <f t="shared" si="5"/>
        <v>1</v>
      </c>
      <c r="BG76" s="9">
        <f t="shared" si="6"/>
        <v>1.44224601966672E-2</v>
      </c>
      <c r="BH76" s="9">
        <f t="shared" si="7"/>
        <v>-1.37651931327418E-2</v>
      </c>
      <c r="BI76" s="9">
        <f t="shared" si="8"/>
        <v>6.5726706392539927E-4</v>
      </c>
      <c r="BJ76" s="12">
        <f t="shared" si="9"/>
        <v>-1.5615400322224471E-3</v>
      </c>
      <c r="BL76" s="9"/>
      <c r="BN76">
        <f t="shared" si="10"/>
        <v>0</v>
      </c>
      <c r="BO76">
        <f t="shared" si="11"/>
        <v>1</v>
      </c>
      <c r="BP76">
        <f t="shared" si="12"/>
        <v>0</v>
      </c>
      <c r="BQ76">
        <f t="shared" si="1"/>
        <v>1</v>
      </c>
      <c r="BR76">
        <f t="shared" si="13"/>
        <v>0</v>
      </c>
      <c r="BS76" s="9">
        <f t="shared" si="14"/>
        <v>0</v>
      </c>
      <c r="BT76" s="9">
        <f t="shared" si="15"/>
        <v>0</v>
      </c>
      <c r="BU76" s="9">
        <f t="shared" si="16"/>
        <v>0</v>
      </c>
      <c r="BV76" s="12">
        <f t="shared" si="17"/>
        <v>1.6975322659791247E-3</v>
      </c>
      <c r="BX76" s="12">
        <f t="shared" si="18"/>
        <v>6.5726706392539927E-4</v>
      </c>
      <c r="BY76" s="12">
        <f t="shared" si="19"/>
        <v>1.35992233756678E-4</v>
      </c>
    </row>
    <row r="77" spans="1:77" x14ac:dyDescent="0.3">
      <c r="A77" s="1">
        <v>46134</v>
      </c>
      <c r="B77" s="8">
        <v>56.54</v>
      </c>
      <c r="C77" s="8">
        <v>59.95</v>
      </c>
      <c r="D77" s="9">
        <v>1.1920788794387E-2</v>
      </c>
      <c r="E77" s="9">
        <v>1.17451014582826E-2</v>
      </c>
      <c r="F77" s="8">
        <v>0</v>
      </c>
      <c r="G77" s="8">
        <v>0.38519999999999999</v>
      </c>
      <c r="H77" s="8">
        <v>0</v>
      </c>
      <c r="I77" s="8">
        <v>0.30669999999999997</v>
      </c>
      <c r="J77" s="8">
        <v>0</v>
      </c>
      <c r="K77" s="8">
        <v>0</v>
      </c>
      <c r="L77" s="8">
        <v>56.54</v>
      </c>
      <c r="M77" s="8">
        <v>59.95</v>
      </c>
      <c r="N77" s="10">
        <v>1.06031128404669</v>
      </c>
      <c r="O77" s="10">
        <v>1.0596043809708899</v>
      </c>
      <c r="P77" s="10">
        <v>1.06070750406398</v>
      </c>
      <c r="Q77" s="10">
        <v>1.0598020055416599</v>
      </c>
      <c r="R77" s="8">
        <v>59.9100317000944</v>
      </c>
      <c r="S77" s="8">
        <v>59.973272047219197</v>
      </c>
      <c r="T77" s="8">
        <v>59.917054177020702</v>
      </c>
      <c r="U77" s="9">
        <v>-6.6691624922973097E-4</v>
      </c>
      <c r="V77" s="9">
        <v>3.8811561949776599E-4</v>
      </c>
      <c r="W77" s="9">
        <v>-5.4970607286603695E-4</v>
      </c>
      <c r="X77" s="10">
        <v>1.06031128404669</v>
      </c>
      <c r="Y77" s="10">
        <v>1.05986570061559</v>
      </c>
      <c r="Z77" s="10">
        <v>1.06070750406398</v>
      </c>
      <c r="AA77" s="10">
        <v>1.0598020055416599</v>
      </c>
      <c r="AB77" s="8">
        <v>59.924806712805598</v>
      </c>
      <c r="AC77" s="8">
        <v>59.973272047219297</v>
      </c>
      <c r="AD77" s="8">
        <v>59.917054177020702</v>
      </c>
      <c r="AE77" s="9">
        <v>-4.2032664337227202E-4</v>
      </c>
      <c r="AF77" s="9">
        <v>3.8811561949821002E-4</v>
      </c>
      <c r="AG77" s="9">
        <v>-5.4970607286603695E-4</v>
      </c>
      <c r="AZ77" s="9"/>
      <c r="BB77">
        <f t="shared" si="2"/>
        <v>0</v>
      </c>
      <c r="BC77">
        <f t="shared" si="3"/>
        <v>0</v>
      </c>
      <c r="BD77">
        <f t="shared" si="4"/>
        <v>1</v>
      </c>
      <c r="BE77">
        <f t="shared" si="0"/>
        <v>1</v>
      </c>
      <c r="BF77">
        <f t="shared" si="5"/>
        <v>1</v>
      </c>
      <c r="BG77" s="9">
        <f t="shared" si="6"/>
        <v>1.1920788794387E-2</v>
      </c>
      <c r="BH77" s="9">
        <f t="shared" si="7"/>
        <v>-1.17451014582826E-2</v>
      </c>
      <c r="BI77" s="9">
        <f t="shared" si="8"/>
        <v>1.7568733610440028E-4</v>
      </c>
      <c r="BJ77" s="12">
        <f t="shared" si="9"/>
        <v>-1.3858526961180468E-3</v>
      </c>
      <c r="BL77" s="9"/>
      <c r="BN77">
        <f t="shared" si="10"/>
        <v>0</v>
      </c>
      <c r="BO77">
        <f t="shared" si="11"/>
        <v>1</v>
      </c>
      <c r="BP77">
        <f t="shared" si="12"/>
        <v>0</v>
      </c>
      <c r="BQ77">
        <f t="shared" si="1"/>
        <v>1</v>
      </c>
      <c r="BR77">
        <f t="shared" si="13"/>
        <v>0</v>
      </c>
      <c r="BS77" s="9">
        <f t="shared" si="14"/>
        <v>0</v>
      </c>
      <c r="BT77" s="9">
        <f t="shared" si="15"/>
        <v>0</v>
      </c>
      <c r="BU77" s="9">
        <f t="shared" si="16"/>
        <v>0</v>
      </c>
      <c r="BV77" s="12">
        <f t="shared" si="17"/>
        <v>1.6975322659791247E-3</v>
      </c>
      <c r="BX77" s="12">
        <f t="shared" si="18"/>
        <v>1.7568733610440028E-4</v>
      </c>
      <c r="BY77" s="12">
        <f t="shared" si="19"/>
        <v>3.1167956986107828E-4</v>
      </c>
    </row>
    <row r="78" spans="1:77" x14ac:dyDescent="0.3">
      <c r="A78" s="1">
        <v>46135</v>
      </c>
      <c r="B78" s="8">
        <v>56.98</v>
      </c>
      <c r="C78" s="8">
        <v>60.37</v>
      </c>
      <c r="D78" s="9">
        <v>7.7519768043179203E-3</v>
      </c>
      <c r="E78" s="9">
        <v>6.9814113348115403E-3</v>
      </c>
      <c r="F78" s="8">
        <v>0</v>
      </c>
      <c r="G78" s="8">
        <v>0.38519999999999999</v>
      </c>
      <c r="H78" s="8">
        <v>0</v>
      </c>
      <c r="I78" s="8">
        <v>0.30669999999999997</v>
      </c>
      <c r="J78" s="8">
        <v>0</v>
      </c>
      <c r="K78" s="8">
        <v>0</v>
      </c>
      <c r="L78" s="8">
        <v>56.98</v>
      </c>
      <c r="M78" s="8">
        <v>60.37</v>
      </c>
      <c r="N78" s="10">
        <v>1.05949455949455</v>
      </c>
      <c r="O78" s="10">
        <v>1.0596043809708899</v>
      </c>
      <c r="P78" s="10">
        <v>1.0605693967830101</v>
      </c>
      <c r="Q78" s="10">
        <v>1.05982147513765</v>
      </c>
      <c r="R78" s="8">
        <v>60.3762576277216</v>
      </c>
      <c r="S78" s="8">
        <v>60.439113581565501</v>
      </c>
      <c r="T78" s="8">
        <v>60.387518275764101</v>
      </c>
      <c r="U78" s="9">
        <v>1.0364922027673299E-4</v>
      </c>
      <c r="V78" s="9">
        <v>1.1441783994035901E-3</v>
      </c>
      <c r="W78" s="9">
        <v>2.9013971365462798E-4</v>
      </c>
      <c r="X78" s="10">
        <v>1.05949455949455</v>
      </c>
      <c r="Y78" s="10">
        <v>1.05986570061559</v>
      </c>
      <c r="Z78" s="10">
        <v>1.0605693967830101</v>
      </c>
      <c r="AA78" s="10">
        <v>1.05982147513765</v>
      </c>
      <c r="AB78" s="8">
        <v>60.391147621076499</v>
      </c>
      <c r="AC78" s="8">
        <v>60.439113581565501</v>
      </c>
      <c r="AD78" s="8">
        <v>60.387518275764101</v>
      </c>
      <c r="AE78" s="9">
        <v>3.50238826134189E-4</v>
      </c>
      <c r="AF78" s="9">
        <v>1.1441783994035901E-3</v>
      </c>
      <c r="AG78" s="9">
        <v>2.9013971365462798E-4</v>
      </c>
      <c r="AZ78" s="9"/>
      <c r="BB78">
        <f t="shared" si="2"/>
        <v>0</v>
      </c>
      <c r="BC78">
        <f t="shared" si="3"/>
        <v>1</v>
      </c>
      <c r="BD78">
        <f t="shared" si="4"/>
        <v>1</v>
      </c>
      <c r="BE78">
        <f t="shared" si="0"/>
        <v>1</v>
      </c>
      <c r="BF78">
        <f t="shared" si="5"/>
        <v>1</v>
      </c>
      <c r="BG78" s="9">
        <f t="shared" si="6"/>
        <v>7.7519768043179203E-3</v>
      </c>
      <c r="BH78" s="9">
        <f t="shared" si="7"/>
        <v>-6.9814113348115403E-3</v>
      </c>
      <c r="BI78" s="9">
        <f t="shared" si="8"/>
        <v>7.7056546950637992E-4</v>
      </c>
      <c r="BJ78" s="12">
        <f t="shared" si="9"/>
        <v>-6.1528722661166688E-4</v>
      </c>
      <c r="BL78" s="9"/>
      <c r="BN78">
        <f t="shared" si="10"/>
        <v>0</v>
      </c>
      <c r="BO78">
        <f t="shared" si="11"/>
        <v>0</v>
      </c>
      <c r="BP78">
        <f t="shared" si="12"/>
        <v>0</v>
      </c>
      <c r="BQ78">
        <f t="shared" si="1"/>
        <v>1</v>
      </c>
      <c r="BR78">
        <f t="shared" si="13"/>
        <v>0</v>
      </c>
      <c r="BS78" s="9">
        <f t="shared" si="14"/>
        <v>0</v>
      </c>
      <c r="BT78" s="9">
        <f t="shared" si="15"/>
        <v>0</v>
      </c>
      <c r="BU78" s="9">
        <f t="shared" si="16"/>
        <v>0</v>
      </c>
      <c r="BV78" s="12">
        <f t="shared" si="17"/>
        <v>1.6975322659791247E-3</v>
      </c>
      <c r="BX78" s="12">
        <f t="shared" si="18"/>
        <v>7.7056546950637992E-4</v>
      </c>
      <c r="BY78" s="12">
        <f t="shared" si="19"/>
        <v>1.0822450393674582E-3</v>
      </c>
    </row>
    <row r="79" spans="1:77" x14ac:dyDescent="0.3">
      <c r="A79" s="1">
        <v>46136</v>
      </c>
      <c r="B79" s="8">
        <v>56.87</v>
      </c>
      <c r="C79" s="8">
        <v>60.31</v>
      </c>
      <c r="D79" s="9">
        <v>-1.9323677510539199E-3</v>
      </c>
      <c r="E79" s="9">
        <v>-9.943653454392591E-4</v>
      </c>
      <c r="F79" s="8">
        <v>0</v>
      </c>
      <c r="G79" s="8">
        <v>0.38519999999999999</v>
      </c>
      <c r="H79" s="8">
        <v>0</v>
      </c>
      <c r="I79" s="8">
        <v>0.30669999999999997</v>
      </c>
      <c r="J79" s="8">
        <v>0</v>
      </c>
      <c r="K79" s="8">
        <v>0</v>
      </c>
      <c r="L79" s="8">
        <v>56.87</v>
      </c>
      <c r="M79" s="8">
        <v>60.31</v>
      </c>
      <c r="N79" s="10">
        <v>1.0604888341832199</v>
      </c>
      <c r="O79" s="10">
        <v>1.0596043809708899</v>
      </c>
      <c r="P79" s="10">
        <v>1.06047145898602</v>
      </c>
      <c r="Q79" s="10">
        <v>1.05992003908349</v>
      </c>
      <c r="R79" s="8">
        <v>60.259701145814802</v>
      </c>
      <c r="S79" s="8">
        <v>60.3145815950501</v>
      </c>
      <c r="T79" s="8">
        <v>60.2720472910787</v>
      </c>
      <c r="U79" s="9">
        <v>-8.3435318533779397E-4</v>
      </c>
      <c r="V79" s="9">
        <v>7.5964533791006195E-5</v>
      </c>
      <c r="W79" s="9">
        <v>-6.2949188585170301E-4</v>
      </c>
      <c r="X79" s="10">
        <v>1.0604888341832199</v>
      </c>
      <c r="Y79" s="10">
        <v>1.05986570061559</v>
      </c>
      <c r="Z79" s="10">
        <v>1.06047145898602</v>
      </c>
      <c r="AA79" s="10">
        <v>1.05992003908349</v>
      </c>
      <c r="AB79" s="8">
        <v>60.274562394008797</v>
      </c>
      <c r="AC79" s="8">
        <v>60.3145815950501</v>
      </c>
      <c r="AD79" s="8">
        <v>60.2720472910787</v>
      </c>
      <c r="AE79" s="9">
        <v>-5.87763579480396E-4</v>
      </c>
      <c r="AF79" s="9">
        <v>7.5964533791006195E-5</v>
      </c>
      <c r="AG79" s="9">
        <v>-6.2949188585170301E-4</v>
      </c>
      <c r="AZ79" s="9"/>
      <c r="BB79">
        <f t="shared" si="2"/>
        <v>0</v>
      </c>
      <c r="BC79">
        <f t="shared" si="3"/>
        <v>0</v>
      </c>
      <c r="BD79">
        <f t="shared" si="4"/>
        <v>0</v>
      </c>
      <c r="BE79">
        <f t="shared" si="0"/>
        <v>1</v>
      </c>
      <c r="BF79">
        <f t="shared" si="5"/>
        <v>0</v>
      </c>
      <c r="BG79" s="9">
        <f t="shared" si="6"/>
        <v>0</v>
      </c>
      <c r="BH79" s="9">
        <f t="shared" si="7"/>
        <v>0</v>
      </c>
      <c r="BI79" s="9">
        <f t="shared" si="8"/>
        <v>0</v>
      </c>
      <c r="BJ79" s="12">
        <f t="shared" si="9"/>
        <v>-6.1528722661166688E-4</v>
      </c>
      <c r="BL79" s="9"/>
      <c r="BN79">
        <f t="shared" si="10"/>
        <v>0</v>
      </c>
      <c r="BO79">
        <f t="shared" si="11"/>
        <v>1</v>
      </c>
      <c r="BP79">
        <f t="shared" si="12"/>
        <v>0</v>
      </c>
      <c r="BQ79">
        <f t="shared" si="1"/>
        <v>1</v>
      </c>
      <c r="BR79">
        <f t="shared" si="13"/>
        <v>0</v>
      </c>
      <c r="BS79" s="9">
        <f t="shared" si="14"/>
        <v>0</v>
      </c>
      <c r="BT79" s="9">
        <f t="shared" si="15"/>
        <v>0</v>
      </c>
      <c r="BU79" s="9">
        <f t="shared" si="16"/>
        <v>0</v>
      </c>
      <c r="BV79" s="12">
        <f t="shared" si="17"/>
        <v>1.6975322659791247E-3</v>
      </c>
      <c r="BX79" s="12">
        <f t="shared" si="18"/>
        <v>0</v>
      </c>
      <c r="BY79" s="12">
        <f t="shared" si="19"/>
        <v>1.0822450393674582E-3</v>
      </c>
    </row>
    <row r="80" spans="1:77" x14ac:dyDescent="0.3">
      <c r="A80" s="1">
        <v>46139</v>
      </c>
      <c r="B80" s="8">
        <v>56.77</v>
      </c>
      <c r="C80" s="8">
        <v>60.26</v>
      </c>
      <c r="D80" s="9">
        <v>-1.75994413607333E-3</v>
      </c>
      <c r="E80" s="9">
        <v>-8.2939376074033704E-4</v>
      </c>
      <c r="F80" s="8">
        <v>0</v>
      </c>
      <c r="G80" s="8">
        <v>0.38519999999999999</v>
      </c>
      <c r="H80" s="8">
        <v>0</v>
      </c>
      <c r="I80" s="8">
        <v>0.30669999999999997</v>
      </c>
      <c r="J80" s="8">
        <v>0</v>
      </c>
      <c r="K80" s="8">
        <v>0</v>
      </c>
      <c r="L80" s="8">
        <v>56.77</v>
      </c>
      <c r="M80" s="8">
        <v>60.26</v>
      </c>
      <c r="N80" s="10">
        <v>1.0614761317597301</v>
      </c>
      <c r="O80" s="10">
        <v>1.0596043809708899</v>
      </c>
      <c r="P80" s="10">
        <v>1.06050805832904</v>
      </c>
      <c r="Q80" s="10">
        <v>1.06008463851035</v>
      </c>
      <c r="R80" s="8">
        <v>60.153740707717702</v>
      </c>
      <c r="S80" s="8">
        <v>60.202964726636502</v>
      </c>
      <c r="T80" s="8">
        <v>60.171660618769799</v>
      </c>
      <c r="U80" s="9">
        <v>-1.76490356067086E-3</v>
      </c>
      <c r="V80" s="9">
        <v>-9.4693464924665001E-4</v>
      </c>
      <c r="W80" s="9">
        <v>-1.4670460677886799E-3</v>
      </c>
      <c r="X80" s="10">
        <v>1.0614761317597301</v>
      </c>
      <c r="Y80" s="10">
        <v>1.05986570061559</v>
      </c>
      <c r="Z80" s="10">
        <v>1.06050805832904</v>
      </c>
      <c r="AA80" s="10">
        <v>1.06008463851035</v>
      </c>
      <c r="AB80" s="8">
        <v>60.168575823947201</v>
      </c>
      <c r="AC80" s="8">
        <v>60.202964726636502</v>
      </c>
      <c r="AD80" s="8">
        <v>60.171660618769799</v>
      </c>
      <c r="AE80" s="9">
        <v>-1.51831395481344E-3</v>
      </c>
      <c r="AF80" s="9">
        <v>-9.4693464924665001E-4</v>
      </c>
      <c r="AG80" s="9">
        <v>-1.46704606778846E-3</v>
      </c>
      <c r="AZ80" s="9"/>
      <c r="BB80">
        <f t="shared" si="2"/>
        <v>0</v>
      </c>
      <c r="BC80">
        <f t="shared" si="3"/>
        <v>0</v>
      </c>
      <c r="BD80">
        <f t="shared" si="4"/>
        <v>0</v>
      </c>
      <c r="BE80">
        <f t="shared" si="0"/>
        <v>1</v>
      </c>
      <c r="BF80">
        <f t="shared" si="5"/>
        <v>0</v>
      </c>
      <c r="BG80" s="9">
        <f t="shared" si="6"/>
        <v>0</v>
      </c>
      <c r="BH80" s="9">
        <f t="shared" si="7"/>
        <v>0</v>
      </c>
      <c r="BI80" s="9">
        <f t="shared" si="8"/>
        <v>0</v>
      </c>
      <c r="BJ80" s="12">
        <f t="shared" si="9"/>
        <v>-6.1528722661166688E-4</v>
      </c>
      <c r="BL80" s="9"/>
      <c r="BN80">
        <f t="shared" si="10"/>
        <v>0</v>
      </c>
      <c r="BO80">
        <f t="shared" si="11"/>
        <v>1</v>
      </c>
      <c r="BP80">
        <f t="shared" si="12"/>
        <v>0</v>
      </c>
      <c r="BQ80">
        <f t="shared" si="1"/>
        <v>1</v>
      </c>
      <c r="BR80">
        <f t="shared" si="13"/>
        <v>0</v>
      </c>
      <c r="BS80" s="9">
        <f t="shared" si="14"/>
        <v>0</v>
      </c>
      <c r="BT80" s="9">
        <f t="shared" si="15"/>
        <v>0</v>
      </c>
      <c r="BU80" s="9">
        <f t="shared" si="16"/>
        <v>0</v>
      </c>
      <c r="BV80" s="12">
        <f t="shared" si="17"/>
        <v>1.6975322659791247E-3</v>
      </c>
      <c r="BX80" s="12">
        <f t="shared" si="18"/>
        <v>0</v>
      </c>
      <c r="BY80" s="12">
        <f t="shared" si="19"/>
        <v>1.0822450393674582E-3</v>
      </c>
    </row>
    <row r="81" spans="1:77" x14ac:dyDescent="0.3">
      <c r="A81" s="1">
        <v>46140</v>
      </c>
      <c r="B81" s="8">
        <v>57.71</v>
      </c>
      <c r="C81" s="8">
        <v>61.22</v>
      </c>
      <c r="D81" s="9">
        <v>1.64224515402401E-2</v>
      </c>
      <c r="E81" s="9">
        <v>1.5805399815111299E-2</v>
      </c>
      <c r="F81" s="8">
        <v>0</v>
      </c>
      <c r="G81" s="8">
        <v>0.38519999999999999</v>
      </c>
      <c r="H81" s="8">
        <v>0</v>
      </c>
      <c r="I81" s="8">
        <v>0.30669999999999997</v>
      </c>
      <c r="J81" s="8">
        <v>0</v>
      </c>
      <c r="K81" s="8">
        <v>0</v>
      </c>
      <c r="L81" s="8">
        <v>57.71</v>
      </c>
      <c r="M81" s="8">
        <v>61.22</v>
      </c>
      <c r="N81" s="10">
        <v>1.0608213481199</v>
      </c>
      <c r="O81" s="10">
        <v>1.0596043809708899</v>
      </c>
      <c r="P81" s="10">
        <v>1.0606027043117201</v>
      </c>
      <c r="Q81" s="10">
        <v>1.0602690241862001</v>
      </c>
      <c r="R81" s="8">
        <v>61.1497688258303</v>
      </c>
      <c r="S81" s="8">
        <v>61.201920046169</v>
      </c>
      <c r="T81" s="8">
        <v>61.177484488432398</v>
      </c>
      <c r="U81" s="9">
        <v>-1.147851835542E-3</v>
      </c>
      <c r="V81" s="9">
        <v>-2.9537118770157298E-4</v>
      </c>
      <c r="W81" s="9">
        <v>-6.9471220679288804E-4</v>
      </c>
      <c r="X81" s="10">
        <v>1.0608213481199</v>
      </c>
      <c r="Y81" s="10">
        <v>1.05986570061559</v>
      </c>
      <c r="Z81" s="10">
        <v>1.0606027043117201</v>
      </c>
      <c r="AA81" s="10">
        <v>1.0602690241862001</v>
      </c>
      <c r="AB81" s="8">
        <v>61.164849582525903</v>
      </c>
      <c r="AC81" s="8">
        <v>61.201920046169</v>
      </c>
      <c r="AD81" s="8">
        <v>61.177484488432398</v>
      </c>
      <c r="AE81" s="9">
        <v>-9.0126222968469098E-4</v>
      </c>
      <c r="AF81" s="9">
        <v>-2.9537118770157298E-4</v>
      </c>
      <c r="AG81" s="9">
        <v>-6.9471220679288804E-4</v>
      </c>
      <c r="AZ81" s="9"/>
      <c r="BB81">
        <f t="shared" si="2"/>
        <v>0</v>
      </c>
      <c r="BC81">
        <f t="shared" si="3"/>
        <v>0</v>
      </c>
      <c r="BD81">
        <f t="shared" si="4"/>
        <v>0</v>
      </c>
      <c r="BE81">
        <f t="shared" si="0"/>
        <v>1</v>
      </c>
      <c r="BF81">
        <f t="shared" si="5"/>
        <v>0</v>
      </c>
      <c r="BG81" s="9">
        <f t="shared" si="6"/>
        <v>0</v>
      </c>
      <c r="BH81" s="9">
        <f t="shared" si="7"/>
        <v>0</v>
      </c>
      <c r="BI81" s="9">
        <f t="shared" si="8"/>
        <v>0</v>
      </c>
      <c r="BJ81" s="12">
        <f t="shared" si="9"/>
        <v>-6.1528722661166688E-4</v>
      </c>
      <c r="BL81" s="9"/>
      <c r="BN81">
        <f t="shared" si="10"/>
        <v>0</v>
      </c>
      <c r="BO81">
        <f t="shared" si="11"/>
        <v>1</v>
      </c>
      <c r="BP81">
        <f t="shared" si="12"/>
        <v>0</v>
      </c>
      <c r="BQ81">
        <f t="shared" si="1"/>
        <v>1</v>
      </c>
      <c r="BR81">
        <f t="shared" si="13"/>
        <v>0</v>
      </c>
      <c r="BS81" s="9">
        <f t="shared" si="14"/>
        <v>0</v>
      </c>
      <c r="BT81" s="9">
        <f t="shared" si="15"/>
        <v>0</v>
      </c>
      <c r="BU81" s="9">
        <f t="shared" si="16"/>
        <v>0</v>
      </c>
      <c r="BV81" s="12">
        <f t="shared" si="17"/>
        <v>1.6975322659791247E-3</v>
      </c>
      <c r="BX81" s="12">
        <f t="shared" si="18"/>
        <v>0</v>
      </c>
      <c r="BY81" s="12">
        <f t="shared" si="19"/>
        <v>1.0822450393674582E-3</v>
      </c>
    </row>
    <row r="82" spans="1:77" x14ac:dyDescent="0.3">
      <c r="A82" s="1">
        <v>46141</v>
      </c>
      <c r="B82" s="8">
        <v>59.03</v>
      </c>
      <c r="C82" s="8">
        <v>62.58</v>
      </c>
      <c r="D82" s="9">
        <v>2.2615320529722899E-2</v>
      </c>
      <c r="E82" s="9">
        <v>2.1971804723469601E-2</v>
      </c>
      <c r="F82" s="8">
        <v>0</v>
      </c>
      <c r="G82" s="8">
        <v>0.38519999999999999</v>
      </c>
      <c r="H82" s="8">
        <v>0</v>
      </c>
      <c r="I82" s="8">
        <v>0.30669999999999997</v>
      </c>
      <c r="J82" s="8">
        <v>0</v>
      </c>
      <c r="K82" s="8">
        <v>0</v>
      </c>
      <c r="L82" s="8">
        <v>59.03</v>
      </c>
      <c r="M82" s="8">
        <v>62.58</v>
      </c>
      <c r="N82" s="10">
        <v>1.0601389124174101</v>
      </c>
      <c r="O82" s="10">
        <v>1.0596043809708899</v>
      </c>
      <c r="P82" s="10">
        <v>1.0605549025835901</v>
      </c>
      <c r="Q82" s="10">
        <v>1.06041113141333</v>
      </c>
      <c r="R82" s="8">
        <v>62.548446608711899</v>
      </c>
      <c r="S82" s="8">
        <v>62.607377635520898</v>
      </c>
      <c r="T82" s="8">
        <v>62.587680497711403</v>
      </c>
      <c r="U82" s="9">
        <v>-5.0433602928861903E-4</v>
      </c>
      <c r="V82" s="9">
        <v>4.3738652369766998E-4</v>
      </c>
      <c r="W82" s="9">
        <v>1.2272333705471699E-4</v>
      </c>
      <c r="X82" s="10">
        <v>1.0601389124174101</v>
      </c>
      <c r="Y82" s="10">
        <v>1.05986570061559</v>
      </c>
      <c r="Z82" s="10">
        <v>1.0605549025835901</v>
      </c>
      <c r="AA82" s="10">
        <v>1.06041113141333</v>
      </c>
      <c r="AB82" s="8">
        <v>62.563872307338499</v>
      </c>
      <c r="AC82" s="8">
        <v>62.607377635520898</v>
      </c>
      <c r="AD82" s="8">
        <v>62.587680497711297</v>
      </c>
      <c r="AE82" s="9">
        <v>-2.5774642343125002E-4</v>
      </c>
      <c r="AF82" s="9">
        <v>4.3738652369766998E-4</v>
      </c>
      <c r="AG82" s="9">
        <v>1.22723337054495E-4</v>
      </c>
      <c r="AZ82" s="9"/>
      <c r="BB82">
        <f t="shared" si="2"/>
        <v>0</v>
      </c>
      <c r="BC82">
        <f t="shared" si="3"/>
        <v>1</v>
      </c>
      <c r="BD82">
        <f t="shared" si="4"/>
        <v>0</v>
      </c>
      <c r="BE82">
        <f t="shared" si="0"/>
        <v>1</v>
      </c>
      <c r="BF82">
        <f t="shared" si="5"/>
        <v>0</v>
      </c>
      <c r="BG82" s="9">
        <f t="shared" si="6"/>
        <v>0</v>
      </c>
      <c r="BH82" s="9">
        <f t="shared" si="7"/>
        <v>0</v>
      </c>
      <c r="BI82" s="9">
        <f t="shared" si="8"/>
        <v>0</v>
      </c>
      <c r="BJ82" s="12">
        <f t="shared" si="9"/>
        <v>-6.1528722661166688E-4</v>
      </c>
      <c r="BL82" s="9"/>
      <c r="BN82">
        <f t="shared" si="10"/>
        <v>0</v>
      </c>
      <c r="BO82">
        <f t="shared" si="11"/>
        <v>0</v>
      </c>
      <c r="BP82">
        <f t="shared" si="12"/>
        <v>0</v>
      </c>
      <c r="BQ82">
        <f t="shared" si="1"/>
        <v>1</v>
      </c>
      <c r="BR82">
        <f t="shared" si="13"/>
        <v>0</v>
      </c>
      <c r="BS82" s="9">
        <f t="shared" si="14"/>
        <v>0</v>
      </c>
      <c r="BT82" s="9">
        <f t="shared" si="15"/>
        <v>0</v>
      </c>
      <c r="BU82" s="9">
        <f t="shared" si="16"/>
        <v>0</v>
      </c>
      <c r="BV82" s="12">
        <f t="shared" si="17"/>
        <v>1.6975322659791247E-3</v>
      </c>
      <c r="BX82" s="12">
        <f t="shared" si="18"/>
        <v>0</v>
      </c>
      <c r="BY82" s="12">
        <f t="shared" si="19"/>
        <v>1.0822450393674582E-3</v>
      </c>
    </row>
    <row r="83" spans="1:77" x14ac:dyDescent="0.3">
      <c r="A83" s="1">
        <v>46142</v>
      </c>
      <c r="B83" s="8">
        <v>59.65</v>
      </c>
      <c r="C83" s="8">
        <v>63.21</v>
      </c>
      <c r="D83" s="9">
        <v>1.0448359291327E-2</v>
      </c>
      <c r="E83" s="9">
        <v>1.00167782434714E-2</v>
      </c>
      <c r="F83" s="8">
        <v>0</v>
      </c>
      <c r="G83" s="8">
        <v>0.38519999999999999</v>
      </c>
      <c r="H83" s="8">
        <v>0</v>
      </c>
      <c r="I83" s="8">
        <v>0.30669999999999997</v>
      </c>
      <c r="J83" s="8">
        <v>0</v>
      </c>
      <c r="K83" s="8">
        <v>0</v>
      </c>
      <c r="L83" s="8">
        <v>59.65</v>
      </c>
      <c r="M83" s="8">
        <v>63.21</v>
      </c>
      <c r="N83" s="10">
        <v>1.05968147527242</v>
      </c>
      <c r="O83" s="10">
        <v>1.0596043809708899</v>
      </c>
      <c r="P83" s="10">
        <v>1.06039014095565</v>
      </c>
      <c r="Q83" s="10">
        <v>1.06043607341504</v>
      </c>
      <c r="R83" s="8">
        <v>63.2054013249139</v>
      </c>
      <c r="S83" s="8">
        <v>63.262099939111302</v>
      </c>
      <c r="T83" s="8">
        <v>63.253523988805703</v>
      </c>
      <c r="U83" s="9">
        <v>-7.2754981432964806E-5</v>
      </c>
      <c r="V83" s="9">
        <v>8.2389621242206904E-4</v>
      </c>
      <c r="W83" s="9">
        <v>6.8832480942086403E-4</v>
      </c>
      <c r="X83" s="10">
        <v>1.05968147527242</v>
      </c>
      <c r="Y83" s="10">
        <v>1.05986570061559</v>
      </c>
      <c r="Z83" s="10">
        <v>1.06039014095565</v>
      </c>
      <c r="AA83" s="10">
        <v>1.06043607341504</v>
      </c>
      <c r="AB83" s="8">
        <v>63.220989041720102</v>
      </c>
      <c r="AC83" s="8">
        <v>63.262099939111302</v>
      </c>
      <c r="AD83" s="8">
        <v>63.253523988805597</v>
      </c>
      <c r="AE83" s="9">
        <v>1.7383462442440101E-4</v>
      </c>
      <c r="AF83" s="9">
        <v>8.2389621242206904E-4</v>
      </c>
      <c r="AG83" s="9">
        <v>6.8832480942064198E-4</v>
      </c>
      <c r="AZ83" s="9"/>
      <c r="BB83">
        <f t="shared" si="2"/>
        <v>0</v>
      </c>
      <c r="BC83">
        <f t="shared" si="3"/>
        <v>1</v>
      </c>
      <c r="BD83">
        <f t="shared" si="4"/>
        <v>0</v>
      </c>
      <c r="BE83">
        <f t="shared" si="0"/>
        <v>1</v>
      </c>
      <c r="BF83">
        <f t="shared" si="5"/>
        <v>0</v>
      </c>
      <c r="BG83" s="9">
        <f t="shared" si="6"/>
        <v>0</v>
      </c>
      <c r="BH83" s="9">
        <f t="shared" si="7"/>
        <v>0</v>
      </c>
      <c r="BI83" s="9">
        <f t="shared" si="8"/>
        <v>0</v>
      </c>
      <c r="BJ83" s="12">
        <f t="shared" si="9"/>
        <v>-6.1528722661166688E-4</v>
      </c>
      <c r="BL83" s="9"/>
      <c r="BN83">
        <f t="shared" si="10"/>
        <v>0</v>
      </c>
      <c r="BO83">
        <f t="shared" si="11"/>
        <v>0</v>
      </c>
      <c r="BP83">
        <f t="shared" si="12"/>
        <v>0</v>
      </c>
      <c r="BQ83">
        <f t="shared" si="1"/>
        <v>1</v>
      </c>
      <c r="BR83">
        <f t="shared" si="13"/>
        <v>0</v>
      </c>
      <c r="BS83" s="9">
        <f t="shared" si="14"/>
        <v>0</v>
      </c>
      <c r="BT83" s="9">
        <f t="shared" si="15"/>
        <v>0</v>
      </c>
      <c r="BU83" s="9">
        <f t="shared" si="16"/>
        <v>0</v>
      </c>
      <c r="BV83" s="12">
        <f t="shared" si="17"/>
        <v>1.6975322659791247E-3</v>
      </c>
      <c r="BX83" s="12">
        <f t="shared" si="18"/>
        <v>0</v>
      </c>
      <c r="BY83" s="12">
        <f t="shared" si="19"/>
        <v>1.0822450393674582E-3</v>
      </c>
    </row>
    <row r="84" spans="1:77" x14ac:dyDescent="0.3">
      <c r="A84" s="1">
        <v>46143</v>
      </c>
      <c r="B84" s="8">
        <v>58.85</v>
      </c>
      <c r="C84" s="8">
        <v>62.47</v>
      </c>
      <c r="D84" s="9">
        <v>-1.35023148376393E-2</v>
      </c>
      <c r="E84" s="9">
        <v>-1.17760749787288E-2</v>
      </c>
      <c r="F84" s="8">
        <v>0</v>
      </c>
      <c r="G84" s="8">
        <v>0.38519999999999999</v>
      </c>
      <c r="H84" s="8">
        <v>0</v>
      </c>
      <c r="I84" s="8">
        <v>0.30669999999999997</v>
      </c>
      <c r="J84" s="8">
        <v>0</v>
      </c>
      <c r="K84" s="8">
        <v>0</v>
      </c>
      <c r="L84" s="8">
        <v>58.85</v>
      </c>
      <c r="M84" s="8">
        <v>62.47</v>
      </c>
      <c r="N84" s="10">
        <v>1.0615123194562399</v>
      </c>
      <c r="O84" s="10">
        <v>1.0596043809708899</v>
      </c>
      <c r="P84" s="10">
        <v>1.0605617291353699</v>
      </c>
      <c r="Q84" s="10">
        <v>1.0604905923414401</v>
      </c>
      <c r="R84" s="8">
        <v>62.357717820137204</v>
      </c>
      <c r="S84" s="8">
        <v>62.403959795240297</v>
      </c>
      <c r="T84" s="8">
        <v>62.406662920475497</v>
      </c>
      <c r="U84" s="9">
        <v>-1.79899484034335E-3</v>
      </c>
      <c r="V84" s="9">
        <v>-1.05770988642919E-3</v>
      </c>
      <c r="W84" s="9">
        <v>-1.0143942586921201E-3</v>
      </c>
      <c r="X84" s="10">
        <v>1.0615123194562399</v>
      </c>
      <c r="Y84" s="10">
        <v>1.05986570061559</v>
      </c>
      <c r="Z84" s="10">
        <v>1.0605617291353699</v>
      </c>
      <c r="AA84" s="10">
        <v>1.0604905923414401</v>
      </c>
      <c r="AB84" s="8">
        <v>62.373096481227698</v>
      </c>
      <c r="AC84" s="8">
        <v>62.403959795240297</v>
      </c>
      <c r="AD84" s="8">
        <v>62.406662920475497</v>
      </c>
      <c r="AE84" s="9">
        <v>-1.5524052344859599E-3</v>
      </c>
      <c r="AF84" s="9">
        <v>-1.05770988642919E-3</v>
      </c>
      <c r="AG84" s="9">
        <v>-1.0143942586921201E-3</v>
      </c>
      <c r="AZ84" s="9"/>
      <c r="BB84">
        <f t="shared" si="2"/>
        <v>0</v>
      </c>
      <c r="BC84">
        <f t="shared" si="3"/>
        <v>0</v>
      </c>
      <c r="BD84">
        <f t="shared" si="4"/>
        <v>0</v>
      </c>
      <c r="BE84">
        <f t="shared" si="0"/>
        <v>1</v>
      </c>
      <c r="BF84">
        <f t="shared" si="5"/>
        <v>0</v>
      </c>
      <c r="BG84" s="9">
        <f t="shared" si="6"/>
        <v>0</v>
      </c>
      <c r="BH84" s="9">
        <f t="shared" si="7"/>
        <v>0</v>
      </c>
      <c r="BI84" s="9">
        <f t="shared" si="8"/>
        <v>0</v>
      </c>
      <c r="BJ84" s="12">
        <f t="shared" si="9"/>
        <v>-6.1528722661166688E-4</v>
      </c>
      <c r="BL84" s="9"/>
      <c r="BN84">
        <f t="shared" si="10"/>
        <v>0</v>
      </c>
      <c r="BO84">
        <f t="shared" si="11"/>
        <v>1</v>
      </c>
      <c r="BP84">
        <f t="shared" si="12"/>
        <v>0</v>
      </c>
      <c r="BQ84">
        <f t="shared" si="1"/>
        <v>1</v>
      </c>
      <c r="BR84">
        <f t="shared" si="13"/>
        <v>0</v>
      </c>
      <c r="BS84" s="9">
        <f t="shared" si="14"/>
        <v>0</v>
      </c>
      <c r="BT84" s="9">
        <f t="shared" si="15"/>
        <v>0</v>
      </c>
      <c r="BU84" s="9">
        <f t="shared" si="16"/>
        <v>0</v>
      </c>
      <c r="BV84" s="12">
        <f t="shared" si="17"/>
        <v>1.6975322659791247E-3</v>
      </c>
      <c r="BX84" s="12">
        <f t="shared" si="18"/>
        <v>0</v>
      </c>
      <c r="BY84" s="12">
        <f t="shared" si="19"/>
        <v>1.0822450393674582E-3</v>
      </c>
    </row>
    <row r="85" spans="1:77" x14ac:dyDescent="0.3">
      <c r="A85" s="1">
        <v>46146</v>
      </c>
      <c r="B85" s="8">
        <v>59.39</v>
      </c>
      <c r="C85" s="8">
        <v>63.02</v>
      </c>
      <c r="D85" s="9">
        <v>9.1340283214830405E-3</v>
      </c>
      <c r="E85" s="9">
        <v>8.7656948236500606E-3</v>
      </c>
      <c r="F85" s="8">
        <v>0</v>
      </c>
      <c r="G85" s="8">
        <v>0.38519999999999999</v>
      </c>
      <c r="H85" s="8">
        <v>0</v>
      </c>
      <c r="I85" s="8">
        <v>0.30669999999999997</v>
      </c>
      <c r="J85" s="8">
        <v>0</v>
      </c>
      <c r="K85" s="8">
        <v>0</v>
      </c>
      <c r="L85" s="8">
        <v>59.39</v>
      </c>
      <c r="M85" s="8">
        <v>63.02</v>
      </c>
      <c r="N85" s="10">
        <v>1.06112140090924</v>
      </c>
      <c r="O85" s="10">
        <v>1.0596043809708899</v>
      </c>
      <c r="P85" s="10">
        <v>1.0605543849335799</v>
      </c>
      <c r="Q85" s="10">
        <v>1.06058084469253</v>
      </c>
      <c r="R85" s="8">
        <v>62.929904185861403</v>
      </c>
      <c r="S85" s="8">
        <v>62.986761093349998</v>
      </c>
      <c r="T85" s="8">
        <v>62.982536279158403</v>
      </c>
      <c r="U85" s="9">
        <v>-1.43066134251041E-3</v>
      </c>
      <c r="V85" s="9">
        <v>-5.2757339578424103E-4</v>
      </c>
      <c r="W85" s="9">
        <v>-5.9465028326831197E-4</v>
      </c>
      <c r="X85" s="10">
        <v>1.06112140090924</v>
      </c>
      <c r="Y85" s="10">
        <v>1.05986570061559</v>
      </c>
      <c r="Z85" s="10">
        <v>1.0605543849335799</v>
      </c>
      <c r="AA85" s="10">
        <v>1.06058084469253</v>
      </c>
      <c r="AB85" s="8">
        <v>62.945423959560102</v>
      </c>
      <c r="AC85" s="8">
        <v>62.986761093349998</v>
      </c>
      <c r="AD85" s="8">
        <v>62.982536279158403</v>
      </c>
      <c r="AE85" s="9">
        <v>-1.1840717366529601E-3</v>
      </c>
      <c r="AF85" s="9">
        <v>-5.2757339578424103E-4</v>
      </c>
      <c r="AG85" s="9">
        <v>-5.9465028326831197E-4</v>
      </c>
      <c r="AZ85" s="9"/>
      <c r="BB85">
        <f t="shared" si="2"/>
        <v>0</v>
      </c>
      <c r="BC85">
        <f t="shared" si="3"/>
        <v>0</v>
      </c>
      <c r="BD85">
        <f t="shared" si="4"/>
        <v>0</v>
      </c>
      <c r="BE85">
        <f t="shared" si="0"/>
        <v>1</v>
      </c>
      <c r="BF85">
        <f t="shared" si="5"/>
        <v>0</v>
      </c>
      <c r="BG85" s="9">
        <f t="shared" si="6"/>
        <v>0</v>
      </c>
      <c r="BH85" s="9">
        <f t="shared" si="7"/>
        <v>0</v>
      </c>
      <c r="BI85" s="9">
        <f t="shared" si="8"/>
        <v>0</v>
      </c>
      <c r="BJ85" s="12">
        <f t="shared" si="9"/>
        <v>-6.1528722661166688E-4</v>
      </c>
      <c r="BL85" s="9"/>
      <c r="BN85">
        <f t="shared" si="10"/>
        <v>0</v>
      </c>
      <c r="BO85">
        <f t="shared" si="11"/>
        <v>1</v>
      </c>
      <c r="BP85">
        <f t="shared" si="12"/>
        <v>0</v>
      </c>
      <c r="BQ85">
        <f t="shared" si="1"/>
        <v>1</v>
      </c>
      <c r="BR85">
        <f t="shared" si="13"/>
        <v>0</v>
      </c>
      <c r="BS85" s="9">
        <f t="shared" si="14"/>
        <v>0</v>
      </c>
      <c r="BT85" s="9">
        <f t="shared" si="15"/>
        <v>0</v>
      </c>
      <c r="BU85" s="9">
        <f t="shared" si="16"/>
        <v>0</v>
      </c>
      <c r="BV85" s="12">
        <f t="shared" si="17"/>
        <v>1.6975322659791247E-3</v>
      </c>
      <c r="BX85" s="12">
        <f t="shared" si="18"/>
        <v>0</v>
      </c>
      <c r="BY85" s="12">
        <f t="shared" si="19"/>
        <v>1.0822450393674582E-3</v>
      </c>
    </row>
    <row r="86" spans="1:77" x14ac:dyDescent="0.3">
      <c r="A86" s="1">
        <v>46147</v>
      </c>
      <c r="B86" s="8">
        <v>59.45</v>
      </c>
      <c r="C86" s="8">
        <v>63.09</v>
      </c>
      <c r="D86" s="9">
        <v>1.0097611090221E-3</v>
      </c>
      <c r="E86" s="9">
        <v>1.11014205358947E-3</v>
      </c>
      <c r="F86" s="8">
        <v>0</v>
      </c>
      <c r="G86" s="8">
        <v>0.38519999999999999</v>
      </c>
      <c r="H86" s="8">
        <v>0</v>
      </c>
      <c r="I86" s="8">
        <v>0.30669999999999997</v>
      </c>
      <c r="J86" s="8">
        <v>0</v>
      </c>
      <c r="K86" s="8">
        <v>0</v>
      </c>
      <c r="L86" s="8">
        <v>59.45</v>
      </c>
      <c r="M86" s="8">
        <v>63.09</v>
      </c>
      <c r="N86" s="10">
        <v>1.06122792262405</v>
      </c>
      <c r="O86" s="10">
        <v>1.0596043809708899</v>
      </c>
      <c r="P86" s="10">
        <v>1.06062741882834</v>
      </c>
      <c r="Q86" s="10">
        <v>1.06067515305778</v>
      </c>
      <c r="R86" s="8">
        <v>62.993480448719701</v>
      </c>
      <c r="S86" s="8">
        <v>63.049958184301502</v>
      </c>
      <c r="T86" s="8">
        <v>63.051531216971398</v>
      </c>
      <c r="U86" s="9">
        <v>-1.5310422870779799E-3</v>
      </c>
      <c r="V86" s="9">
        <v>-6.34879186893706E-4</v>
      </c>
      <c r="W86" s="9">
        <v>-6.0993050980176499E-4</v>
      </c>
      <c r="X86" s="10">
        <v>1.06122792262405</v>
      </c>
      <c r="Y86" s="10">
        <v>1.05986570061559</v>
      </c>
      <c r="Z86" s="10">
        <v>1.06062741882834</v>
      </c>
      <c r="AA86" s="10">
        <v>1.06067515305778</v>
      </c>
      <c r="AB86" s="8">
        <v>63.009015901597003</v>
      </c>
      <c r="AC86" s="8">
        <v>63.049958184301502</v>
      </c>
      <c r="AD86" s="8">
        <v>63.051531216971398</v>
      </c>
      <c r="AE86" s="9">
        <v>-1.28445268122061E-3</v>
      </c>
      <c r="AF86" s="9">
        <v>-6.34879186893706E-4</v>
      </c>
      <c r="AG86" s="9">
        <v>-6.0993050980176499E-4</v>
      </c>
      <c r="AZ86" s="9"/>
      <c r="BB86">
        <f t="shared" si="2"/>
        <v>0</v>
      </c>
      <c r="BC86">
        <f t="shared" si="3"/>
        <v>0</v>
      </c>
      <c r="BD86">
        <f t="shared" si="4"/>
        <v>0</v>
      </c>
      <c r="BE86">
        <f t="shared" ref="BE86:BE149" si="20">IF(F87+H87&gt;0,0,1)</f>
        <v>1</v>
      </c>
      <c r="BF86">
        <f t="shared" si="5"/>
        <v>0</v>
      </c>
      <c r="BG86" s="9">
        <f t="shared" si="6"/>
        <v>0</v>
      </c>
      <c r="BH86" s="9">
        <f t="shared" si="7"/>
        <v>0</v>
      </c>
      <c r="BI86" s="9">
        <f t="shared" si="8"/>
        <v>0</v>
      </c>
      <c r="BJ86" s="12">
        <f t="shared" si="9"/>
        <v>-6.1528722661166688E-4</v>
      </c>
      <c r="BL86" s="9"/>
      <c r="BN86">
        <f t="shared" si="10"/>
        <v>0</v>
      </c>
      <c r="BO86">
        <f t="shared" si="11"/>
        <v>1</v>
      </c>
      <c r="BP86">
        <f t="shared" si="12"/>
        <v>0</v>
      </c>
      <c r="BQ86">
        <f t="shared" ref="BQ86:BQ149" si="21">IF(F87+H87&gt;0,0,1)</f>
        <v>1</v>
      </c>
      <c r="BR86">
        <f t="shared" si="13"/>
        <v>0</v>
      </c>
      <c r="BS86" s="9">
        <f t="shared" si="14"/>
        <v>0</v>
      </c>
      <c r="BT86" s="9">
        <f t="shared" si="15"/>
        <v>0</v>
      </c>
      <c r="BU86" s="9">
        <f t="shared" si="16"/>
        <v>0</v>
      </c>
      <c r="BV86" s="12">
        <f t="shared" si="17"/>
        <v>1.6975322659791247E-3</v>
      </c>
      <c r="BX86" s="12">
        <f t="shared" si="18"/>
        <v>0</v>
      </c>
      <c r="BY86" s="12">
        <f t="shared" si="19"/>
        <v>1.0822450393674582E-3</v>
      </c>
    </row>
    <row r="87" spans="1:77" x14ac:dyDescent="0.3">
      <c r="A87" s="1">
        <v>46148</v>
      </c>
      <c r="B87" s="8">
        <v>57</v>
      </c>
      <c r="C87" s="8">
        <v>60.56</v>
      </c>
      <c r="D87" s="9">
        <v>-4.2084355302240702E-2</v>
      </c>
      <c r="E87" s="9">
        <v>-4.0927669253524701E-2</v>
      </c>
      <c r="F87" s="8">
        <v>0</v>
      </c>
      <c r="G87" s="8">
        <v>0.38519999999999999</v>
      </c>
      <c r="H87" s="8">
        <v>0</v>
      </c>
      <c r="I87" s="8">
        <v>0.30669999999999997</v>
      </c>
      <c r="J87" s="8">
        <v>0</v>
      </c>
      <c r="K87" s="8">
        <v>0</v>
      </c>
      <c r="L87" s="8">
        <v>57</v>
      </c>
      <c r="M87" s="8">
        <v>60.56</v>
      </c>
      <c r="N87" s="10">
        <v>1.0624561403508701</v>
      </c>
      <c r="O87" s="10">
        <v>1.0596043809708899</v>
      </c>
      <c r="P87" s="10">
        <v>1.06084190445876</v>
      </c>
      <c r="Q87" s="10">
        <v>1.06077470426137</v>
      </c>
      <c r="R87" s="8">
        <v>60.397449715340997</v>
      </c>
      <c r="S87" s="8">
        <v>60.455762873215903</v>
      </c>
      <c r="T87" s="8">
        <v>60.4584837242936</v>
      </c>
      <c r="U87" s="9">
        <v>-2.6877283357939498E-3</v>
      </c>
      <c r="V87" s="9">
        <v>-1.7227037220275401E-3</v>
      </c>
      <c r="W87" s="9">
        <v>-1.67769908188354E-3</v>
      </c>
      <c r="X87" s="10">
        <v>1.0624561403508701</v>
      </c>
      <c r="Y87" s="10">
        <v>1.05986570061559</v>
      </c>
      <c r="Z87" s="10">
        <v>1.06084190445876</v>
      </c>
      <c r="AA87" s="10">
        <v>1.06077470426137</v>
      </c>
      <c r="AB87" s="8">
        <v>60.412344935088797</v>
      </c>
      <c r="AC87" s="8">
        <v>60.455762873215903</v>
      </c>
      <c r="AD87" s="8">
        <v>60.4584837242936</v>
      </c>
      <c r="AE87" s="9">
        <v>-2.4411387299364401E-3</v>
      </c>
      <c r="AF87" s="9">
        <v>-1.7227037220275401E-3</v>
      </c>
      <c r="AG87" s="9">
        <v>-1.67769908188354E-3</v>
      </c>
      <c r="AZ87" s="9"/>
      <c r="BB87">
        <f t="shared" ref="BB87:BB150" si="22">IF($AG87&lt;BA$20,1,0)</f>
        <v>0</v>
      </c>
      <c r="BC87">
        <f t="shared" ref="BC87:BC150" si="23">IF($AG87&gt;BA$21,1,0)</f>
        <v>0</v>
      </c>
      <c r="BD87">
        <f t="shared" ref="BD87:BD150" si="24">BF87</f>
        <v>0</v>
      </c>
      <c r="BE87">
        <f t="shared" si="20"/>
        <v>1</v>
      </c>
      <c r="BF87">
        <f t="shared" ref="BF87:BF150" si="25">IF(BB86,1,IF(BC86,0,BD86))*BE86</f>
        <v>0</v>
      </c>
      <c r="BG87" s="9">
        <f t="shared" ref="BG87:BG150" si="26">BF87*D87</f>
        <v>0</v>
      </c>
      <c r="BH87" s="9">
        <f t="shared" ref="BH87:BH150" si="27">-BF87*$E87</f>
        <v>0</v>
      </c>
      <c r="BI87" s="9">
        <f t="shared" ref="BI87:BI150" si="28">BG87+BH87</f>
        <v>0</v>
      </c>
      <c r="BJ87" s="12">
        <f t="shared" ref="BJ87:BJ150" si="29">BJ86+BI87</f>
        <v>-6.1528722661166688E-4</v>
      </c>
      <c r="BL87" s="9"/>
      <c r="BN87">
        <f t="shared" ref="BN87:BN150" si="30">IF($AG87&gt;BM$20,1,0)</f>
        <v>0</v>
      </c>
      <c r="BO87">
        <f t="shared" ref="BO87:BO150" si="31">IF($AG87&lt;BM$21,1,0)</f>
        <v>1</v>
      </c>
      <c r="BP87">
        <f t="shared" ref="BP87:BP150" si="32">BR87</f>
        <v>0</v>
      </c>
      <c r="BQ87">
        <f t="shared" si="21"/>
        <v>1</v>
      </c>
      <c r="BR87">
        <f t="shared" ref="BR87:BR150" si="33">IF(BN86,1,IF(BO86,0,BP86))*BQ86</f>
        <v>0</v>
      </c>
      <c r="BS87" s="9">
        <f t="shared" ref="BS87:BS150" si="34">-BR87*D87</f>
        <v>0</v>
      </c>
      <c r="BT87" s="9">
        <f t="shared" ref="BT87:BT150" si="35">BR87*$E87</f>
        <v>0</v>
      </c>
      <c r="BU87" s="9">
        <f t="shared" ref="BU87:BU150" si="36">BS87+BT87</f>
        <v>0</v>
      </c>
      <c r="BV87" s="12">
        <f t="shared" ref="BV87:BV150" si="37">BV86+BU87</f>
        <v>1.6975322659791247E-3</v>
      </c>
      <c r="BX87" s="12">
        <f t="shared" ref="BX87:BX150" si="38">BI87+BU87</f>
        <v>0</v>
      </c>
      <c r="BY87" s="12">
        <f t="shared" ref="BY87:BY150" si="39">BY86+BX87</f>
        <v>1.0822450393674582E-3</v>
      </c>
    </row>
    <row r="88" spans="1:77" x14ac:dyDescent="0.3">
      <c r="A88" s="1">
        <v>46149</v>
      </c>
      <c r="B88" s="8">
        <v>55.95</v>
      </c>
      <c r="C88" s="8">
        <v>59.4</v>
      </c>
      <c r="D88" s="9">
        <v>-1.85928330766158E-2</v>
      </c>
      <c r="E88" s="9">
        <v>-1.9340382760594101E-2</v>
      </c>
      <c r="F88" s="8">
        <v>0</v>
      </c>
      <c r="G88" s="8">
        <v>0.38519999999999999</v>
      </c>
      <c r="H88" s="8">
        <v>0</v>
      </c>
      <c r="I88" s="8">
        <v>0.30669999999999997</v>
      </c>
      <c r="J88" s="8">
        <v>0</v>
      </c>
      <c r="K88" s="8">
        <v>0</v>
      </c>
      <c r="L88" s="8">
        <v>55.95</v>
      </c>
      <c r="M88" s="8">
        <v>59.4</v>
      </c>
      <c r="N88" s="10">
        <v>1.0616621983914201</v>
      </c>
      <c r="O88" s="10">
        <v>1.0596043809708899</v>
      </c>
      <c r="P88" s="10">
        <v>1.06105866834845</v>
      </c>
      <c r="Q88" s="10">
        <v>1.06081403256573</v>
      </c>
      <c r="R88" s="8">
        <v>59.284865115321601</v>
      </c>
      <c r="S88" s="8">
        <v>59.354104554468002</v>
      </c>
      <c r="T88" s="8">
        <v>59.350344703423801</v>
      </c>
      <c r="U88" s="9">
        <v>-1.9401786518154899E-3</v>
      </c>
      <c r="V88" s="9">
        <v>-7.7294924649753505E-4</v>
      </c>
      <c r="W88" s="9">
        <v>-8.3629735297468296E-4</v>
      </c>
      <c r="X88" s="10">
        <v>1.0616621983914201</v>
      </c>
      <c r="Y88" s="10">
        <v>1.05986570061559</v>
      </c>
      <c r="Z88" s="10">
        <v>1.06105866834845</v>
      </c>
      <c r="AA88" s="10">
        <v>1.06081403256573</v>
      </c>
      <c r="AB88" s="8">
        <v>59.299485949442399</v>
      </c>
      <c r="AC88" s="8">
        <v>59.354104554468002</v>
      </c>
      <c r="AD88" s="8">
        <v>59.350344703423801</v>
      </c>
      <c r="AE88" s="9">
        <v>-1.6935890459581801E-3</v>
      </c>
      <c r="AF88" s="9">
        <v>-7.7294924649753505E-4</v>
      </c>
      <c r="AG88" s="9">
        <v>-8.3629735297468296E-4</v>
      </c>
      <c r="AZ88" s="9"/>
      <c r="BB88">
        <f t="shared" si="22"/>
        <v>0</v>
      </c>
      <c r="BC88">
        <f t="shared" si="23"/>
        <v>0</v>
      </c>
      <c r="BD88">
        <f t="shared" si="24"/>
        <v>0</v>
      </c>
      <c r="BE88">
        <f t="shared" si="20"/>
        <v>1</v>
      </c>
      <c r="BF88">
        <f t="shared" si="25"/>
        <v>0</v>
      </c>
      <c r="BG88" s="9">
        <f t="shared" si="26"/>
        <v>0</v>
      </c>
      <c r="BH88" s="9">
        <f t="shared" si="27"/>
        <v>0</v>
      </c>
      <c r="BI88" s="9">
        <f t="shared" si="28"/>
        <v>0</v>
      </c>
      <c r="BJ88" s="12">
        <f t="shared" si="29"/>
        <v>-6.1528722661166688E-4</v>
      </c>
      <c r="BL88" s="9"/>
      <c r="BN88">
        <f t="shared" si="30"/>
        <v>0</v>
      </c>
      <c r="BO88">
        <f t="shared" si="31"/>
        <v>1</v>
      </c>
      <c r="BP88">
        <f t="shared" si="32"/>
        <v>0</v>
      </c>
      <c r="BQ88">
        <f t="shared" si="21"/>
        <v>1</v>
      </c>
      <c r="BR88">
        <f t="shared" si="33"/>
        <v>0</v>
      </c>
      <c r="BS88" s="9">
        <f t="shared" si="34"/>
        <v>0</v>
      </c>
      <c r="BT88" s="9">
        <f t="shared" si="35"/>
        <v>0</v>
      </c>
      <c r="BU88" s="9">
        <f t="shared" si="36"/>
        <v>0</v>
      </c>
      <c r="BV88" s="12">
        <f t="shared" si="37"/>
        <v>1.6975322659791247E-3</v>
      </c>
      <c r="BX88" s="12">
        <f t="shared" si="38"/>
        <v>0</v>
      </c>
      <c r="BY88" s="12">
        <f t="shared" si="39"/>
        <v>1.0822450393674582E-3</v>
      </c>
    </row>
    <row r="89" spans="1:77" x14ac:dyDescent="0.3">
      <c r="A89" s="1">
        <v>46150</v>
      </c>
      <c r="B89" s="8">
        <v>55.7</v>
      </c>
      <c r="C89" s="8">
        <v>59.09</v>
      </c>
      <c r="D89" s="9">
        <v>-4.4782878246958603E-3</v>
      </c>
      <c r="E89" s="9">
        <v>-5.2325210110159203E-3</v>
      </c>
      <c r="F89" s="8">
        <v>0</v>
      </c>
      <c r="G89" s="8">
        <v>0.38519999999999999</v>
      </c>
      <c r="H89" s="8">
        <v>0</v>
      </c>
      <c r="I89" s="8">
        <v>0.30669999999999997</v>
      </c>
      <c r="J89" s="8">
        <v>0</v>
      </c>
      <c r="K89" s="8">
        <v>0</v>
      </c>
      <c r="L89" s="8">
        <v>55.7</v>
      </c>
      <c r="M89" s="8">
        <v>59.09</v>
      </c>
      <c r="N89" s="10">
        <v>1.0608617594254901</v>
      </c>
      <c r="O89" s="10">
        <v>1.0596043809708899</v>
      </c>
      <c r="P89" s="10">
        <v>1.06109596087268</v>
      </c>
      <c r="Q89" s="10">
        <v>1.06078370992935</v>
      </c>
      <c r="R89" s="8">
        <v>59.019964020078802</v>
      </c>
      <c r="S89" s="8">
        <v>59.100967827008901</v>
      </c>
      <c r="T89" s="8">
        <v>59.087341613911398</v>
      </c>
      <c r="U89" s="9">
        <v>-1.1859454654955101E-3</v>
      </c>
      <c r="V89" s="9">
        <v>1.8559501190401799E-4</v>
      </c>
      <c r="W89" s="9">
        <v>-4.4989776427545798E-5</v>
      </c>
      <c r="X89" s="10">
        <v>1.0608617594254901</v>
      </c>
      <c r="Y89" s="10">
        <v>1.05986570061559</v>
      </c>
      <c r="Z89" s="10">
        <v>1.06109596087268</v>
      </c>
      <c r="AA89" s="10">
        <v>1.06078370992935</v>
      </c>
      <c r="AB89" s="8">
        <v>59.034519524288498</v>
      </c>
      <c r="AC89" s="8">
        <v>59.100967827008901</v>
      </c>
      <c r="AD89" s="8">
        <v>59.087341613911398</v>
      </c>
      <c r="AE89" s="9">
        <v>-9.3935585963821305E-4</v>
      </c>
      <c r="AF89" s="9">
        <v>1.8559501190401799E-4</v>
      </c>
      <c r="AG89" s="9">
        <v>-4.4989776427545798E-5</v>
      </c>
      <c r="AZ89" s="9"/>
      <c r="BB89">
        <f t="shared" si="22"/>
        <v>0</v>
      </c>
      <c r="BC89">
        <f t="shared" si="23"/>
        <v>0</v>
      </c>
      <c r="BD89">
        <f t="shared" si="24"/>
        <v>0</v>
      </c>
      <c r="BE89">
        <f t="shared" si="20"/>
        <v>1</v>
      </c>
      <c r="BF89">
        <f t="shared" si="25"/>
        <v>0</v>
      </c>
      <c r="BG89" s="9">
        <f t="shared" si="26"/>
        <v>0</v>
      </c>
      <c r="BH89" s="9">
        <f t="shared" si="27"/>
        <v>0</v>
      </c>
      <c r="BI89" s="9">
        <f t="shared" si="28"/>
        <v>0</v>
      </c>
      <c r="BJ89" s="12">
        <f t="shared" si="29"/>
        <v>-6.1528722661166688E-4</v>
      </c>
      <c r="BL89" s="9"/>
      <c r="BN89">
        <f t="shared" si="30"/>
        <v>0</v>
      </c>
      <c r="BO89">
        <f t="shared" si="31"/>
        <v>1</v>
      </c>
      <c r="BP89">
        <f t="shared" si="32"/>
        <v>0</v>
      </c>
      <c r="BQ89">
        <f t="shared" si="21"/>
        <v>1</v>
      </c>
      <c r="BR89">
        <f t="shared" si="33"/>
        <v>0</v>
      </c>
      <c r="BS89" s="9">
        <f t="shared" si="34"/>
        <v>0</v>
      </c>
      <c r="BT89" s="9">
        <f t="shared" si="35"/>
        <v>0</v>
      </c>
      <c r="BU89" s="9">
        <f t="shared" si="36"/>
        <v>0</v>
      </c>
      <c r="BV89" s="12">
        <f t="shared" si="37"/>
        <v>1.6975322659791247E-3</v>
      </c>
      <c r="BX89" s="12">
        <f t="shared" si="38"/>
        <v>0</v>
      </c>
      <c r="BY89" s="12">
        <f t="shared" si="39"/>
        <v>1.0822450393674582E-3</v>
      </c>
    </row>
    <row r="90" spans="1:77" x14ac:dyDescent="0.3">
      <c r="A90" s="1">
        <v>46153</v>
      </c>
      <c r="B90" s="8">
        <v>57.17</v>
      </c>
      <c r="C90" s="8">
        <v>60.63</v>
      </c>
      <c r="D90" s="9">
        <v>2.6049138342641599E-2</v>
      </c>
      <c r="E90" s="9">
        <v>2.5728114726056101E-2</v>
      </c>
      <c r="F90" s="8">
        <v>0</v>
      </c>
      <c r="G90" s="8">
        <v>0.38519999999999999</v>
      </c>
      <c r="H90" s="8">
        <v>0</v>
      </c>
      <c r="I90" s="8">
        <v>0.30669999999999997</v>
      </c>
      <c r="J90" s="8">
        <v>0</v>
      </c>
      <c r="K90" s="8">
        <v>0</v>
      </c>
      <c r="L90" s="8">
        <v>57.17</v>
      </c>
      <c r="M90" s="8">
        <v>60.63</v>
      </c>
      <c r="N90" s="10">
        <v>1.0605212524051</v>
      </c>
      <c r="O90" s="10">
        <v>1.0596043809708899</v>
      </c>
      <c r="P90" s="10">
        <v>1.06100047293721</v>
      </c>
      <c r="Q90" s="10">
        <v>1.0607542656331299</v>
      </c>
      <c r="R90" s="8">
        <v>60.5775824601061</v>
      </c>
      <c r="S90" s="8">
        <v>60.6628560830911</v>
      </c>
      <c r="T90" s="8">
        <v>60.645004696661097</v>
      </c>
      <c r="U90" s="9">
        <v>-8.6492184891002598E-4</v>
      </c>
      <c r="V90" s="9">
        <v>5.4176453512329997E-4</v>
      </c>
      <c r="W90" s="9">
        <v>2.47449122351121E-4</v>
      </c>
      <c r="X90" s="10">
        <v>1.0605212524051</v>
      </c>
      <c r="Y90" s="10">
        <v>1.05986570061559</v>
      </c>
      <c r="Z90" s="10">
        <v>1.06100047293721</v>
      </c>
      <c r="AA90" s="10">
        <v>1.0607542656331299</v>
      </c>
      <c r="AB90" s="8">
        <v>60.592522104193499</v>
      </c>
      <c r="AC90" s="8">
        <v>60.6628560830911</v>
      </c>
      <c r="AD90" s="8">
        <v>60.645004696661097</v>
      </c>
      <c r="AE90" s="9">
        <v>-6.1833224305269795E-4</v>
      </c>
      <c r="AF90" s="9">
        <v>5.4176453512329997E-4</v>
      </c>
      <c r="AG90" s="9">
        <v>2.47449122351121E-4</v>
      </c>
      <c r="AZ90" s="9"/>
      <c r="BB90">
        <f t="shared" si="22"/>
        <v>0</v>
      </c>
      <c r="BC90">
        <f t="shared" si="23"/>
        <v>1</v>
      </c>
      <c r="BD90">
        <f t="shared" si="24"/>
        <v>0</v>
      </c>
      <c r="BE90">
        <f t="shared" si="20"/>
        <v>1</v>
      </c>
      <c r="BF90">
        <f t="shared" si="25"/>
        <v>0</v>
      </c>
      <c r="BG90" s="9">
        <f t="shared" si="26"/>
        <v>0</v>
      </c>
      <c r="BH90" s="9">
        <f t="shared" si="27"/>
        <v>0</v>
      </c>
      <c r="BI90" s="9">
        <f t="shared" si="28"/>
        <v>0</v>
      </c>
      <c r="BJ90" s="12">
        <f t="shared" si="29"/>
        <v>-6.1528722661166688E-4</v>
      </c>
      <c r="BL90" s="9"/>
      <c r="BN90">
        <f t="shared" si="30"/>
        <v>0</v>
      </c>
      <c r="BO90">
        <f t="shared" si="31"/>
        <v>0</v>
      </c>
      <c r="BP90">
        <f t="shared" si="32"/>
        <v>0</v>
      </c>
      <c r="BQ90">
        <f t="shared" si="21"/>
        <v>1</v>
      </c>
      <c r="BR90">
        <f t="shared" si="33"/>
        <v>0</v>
      </c>
      <c r="BS90" s="9">
        <f t="shared" si="34"/>
        <v>0</v>
      </c>
      <c r="BT90" s="9">
        <f t="shared" si="35"/>
        <v>0</v>
      </c>
      <c r="BU90" s="9">
        <f t="shared" si="36"/>
        <v>0</v>
      </c>
      <c r="BV90" s="12">
        <f t="shared" si="37"/>
        <v>1.6975322659791247E-3</v>
      </c>
      <c r="BX90" s="12">
        <f t="shared" si="38"/>
        <v>0</v>
      </c>
      <c r="BY90" s="12">
        <f t="shared" si="39"/>
        <v>1.0822450393674582E-3</v>
      </c>
    </row>
    <row r="91" spans="1:77" x14ac:dyDescent="0.3">
      <c r="A91" s="1">
        <v>46154</v>
      </c>
      <c r="B91" s="8">
        <v>57.57</v>
      </c>
      <c r="C91" s="8">
        <v>61.02</v>
      </c>
      <c r="D91" s="9">
        <v>6.97231341183829E-3</v>
      </c>
      <c r="E91" s="9">
        <v>6.41185920488425E-3</v>
      </c>
      <c r="F91" s="8">
        <v>0</v>
      </c>
      <c r="G91" s="8">
        <v>0.38519999999999999</v>
      </c>
      <c r="H91" s="8">
        <v>0</v>
      </c>
      <c r="I91" s="8">
        <v>0.30669999999999997</v>
      </c>
      <c r="J91" s="8">
        <v>0</v>
      </c>
      <c r="K91" s="8">
        <v>0</v>
      </c>
      <c r="L91" s="8">
        <v>57.57</v>
      </c>
      <c r="M91" s="8">
        <v>61.02</v>
      </c>
      <c r="N91" s="10">
        <v>1.05992704533611</v>
      </c>
      <c r="O91" s="10">
        <v>1.0596043809708899</v>
      </c>
      <c r="P91" s="10">
        <v>1.06091104265883</v>
      </c>
      <c r="Q91" s="10">
        <v>1.0607568734852799</v>
      </c>
      <c r="R91" s="8">
        <v>61.001424212494399</v>
      </c>
      <c r="S91" s="8">
        <v>61.081797226995597</v>
      </c>
      <c r="T91" s="8">
        <v>61.067623072499302</v>
      </c>
      <c r="U91" s="9">
        <v>-3.0446764195599601E-4</v>
      </c>
      <c r="V91" s="9">
        <v>1.01222477761323E-3</v>
      </c>
      <c r="W91" s="9">
        <v>7.8014582831977301E-4</v>
      </c>
      <c r="X91" s="10">
        <v>1.05992704533611</v>
      </c>
      <c r="Y91" s="10">
        <v>1.05986570061559</v>
      </c>
      <c r="Z91" s="10">
        <v>1.06091104265883</v>
      </c>
      <c r="AA91" s="10">
        <v>1.0607568734852799</v>
      </c>
      <c r="AB91" s="8">
        <v>61.016468384439698</v>
      </c>
      <c r="AC91" s="8">
        <v>61.081797226995597</v>
      </c>
      <c r="AD91" s="8">
        <v>61.067623072499302</v>
      </c>
      <c r="AE91" s="9">
        <v>-5.7878036098690901E-5</v>
      </c>
      <c r="AF91" s="9">
        <v>1.01222477761323E-3</v>
      </c>
      <c r="AG91" s="9">
        <v>7.8014582831977301E-4</v>
      </c>
      <c r="AZ91" s="9"/>
      <c r="BB91">
        <f t="shared" si="22"/>
        <v>0</v>
      </c>
      <c r="BC91">
        <f t="shared" si="23"/>
        <v>1</v>
      </c>
      <c r="BD91">
        <f t="shared" si="24"/>
        <v>0</v>
      </c>
      <c r="BE91">
        <f t="shared" si="20"/>
        <v>1</v>
      </c>
      <c r="BF91">
        <f t="shared" si="25"/>
        <v>0</v>
      </c>
      <c r="BG91" s="9">
        <f t="shared" si="26"/>
        <v>0</v>
      </c>
      <c r="BH91" s="9">
        <f t="shared" si="27"/>
        <v>0</v>
      </c>
      <c r="BI91" s="9">
        <f t="shared" si="28"/>
        <v>0</v>
      </c>
      <c r="BJ91" s="12">
        <f t="shared" si="29"/>
        <v>-6.1528722661166688E-4</v>
      </c>
      <c r="BL91" s="9"/>
      <c r="BN91">
        <f t="shared" si="30"/>
        <v>0</v>
      </c>
      <c r="BO91">
        <f t="shared" si="31"/>
        <v>0</v>
      </c>
      <c r="BP91">
        <f t="shared" si="32"/>
        <v>0</v>
      </c>
      <c r="BQ91">
        <f t="shared" si="21"/>
        <v>1</v>
      </c>
      <c r="BR91">
        <f t="shared" si="33"/>
        <v>0</v>
      </c>
      <c r="BS91" s="9">
        <f t="shared" si="34"/>
        <v>0</v>
      </c>
      <c r="BT91" s="9">
        <f t="shared" si="35"/>
        <v>0</v>
      </c>
      <c r="BU91" s="9">
        <f t="shared" si="36"/>
        <v>0</v>
      </c>
      <c r="BV91" s="12">
        <f t="shared" si="37"/>
        <v>1.6975322659791247E-3</v>
      </c>
      <c r="BX91" s="12">
        <f t="shared" si="38"/>
        <v>0</v>
      </c>
      <c r="BY91" s="12">
        <f t="shared" si="39"/>
        <v>1.0822450393674582E-3</v>
      </c>
    </row>
    <row r="92" spans="1:77" x14ac:dyDescent="0.3">
      <c r="A92" s="1">
        <v>46155</v>
      </c>
      <c r="B92" s="8">
        <v>57.63</v>
      </c>
      <c r="C92" s="8">
        <v>61.1</v>
      </c>
      <c r="D92" s="9">
        <v>1.0416667608567E-3</v>
      </c>
      <c r="E92" s="9">
        <v>1.31018688902609E-3</v>
      </c>
      <c r="F92" s="8">
        <v>0</v>
      </c>
      <c r="G92" s="8">
        <v>0.38519999999999999</v>
      </c>
      <c r="H92" s="8">
        <v>0</v>
      </c>
      <c r="I92" s="8">
        <v>0.30669999999999997</v>
      </c>
      <c r="J92" s="8">
        <v>0</v>
      </c>
      <c r="K92" s="8">
        <v>0</v>
      </c>
      <c r="L92" s="8">
        <v>57.63</v>
      </c>
      <c r="M92" s="8">
        <v>61.1</v>
      </c>
      <c r="N92" s="10">
        <v>1.06021169529758</v>
      </c>
      <c r="O92" s="10">
        <v>1.0596043809708899</v>
      </c>
      <c r="P92" s="10">
        <v>1.06091832094685</v>
      </c>
      <c r="Q92" s="10">
        <v>1.0607366117652199</v>
      </c>
      <c r="R92" s="8">
        <v>61.065000475352697</v>
      </c>
      <c r="S92" s="8">
        <v>61.140303388428897</v>
      </c>
      <c r="T92" s="8">
        <v>61.131418618956701</v>
      </c>
      <c r="U92" s="9">
        <v>-5.7298777012524695E-4</v>
      </c>
      <c r="V92" s="9">
        <v>6.5941246499090099E-4</v>
      </c>
      <c r="W92" s="9">
        <v>5.1408418561530399E-4</v>
      </c>
      <c r="X92" s="10">
        <v>1.06021169529758</v>
      </c>
      <c r="Y92" s="10">
        <v>1.05986570061559</v>
      </c>
      <c r="Z92" s="10">
        <v>1.06091832094685</v>
      </c>
      <c r="AA92" s="10">
        <v>1.0607366117652199</v>
      </c>
      <c r="AB92" s="8">
        <v>61.080060326476598</v>
      </c>
      <c r="AC92" s="8">
        <v>61.140303388428897</v>
      </c>
      <c r="AD92" s="8">
        <v>61.131418618956701</v>
      </c>
      <c r="AE92" s="9">
        <v>-3.26398164267864E-4</v>
      </c>
      <c r="AF92" s="9">
        <v>6.5941246499090099E-4</v>
      </c>
      <c r="AG92" s="9">
        <v>5.1408418561530399E-4</v>
      </c>
      <c r="AZ92" s="9"/>
      <c r="BB92">
        <f t="shared" si="22"/>
        <v>0</v>
      </c>
      <c r="BC92">
        <f t="shared" si="23"/>
        <v>1</v>
      </c>
      <c r="BD92">
        <f t="shared" si="24"/>
        <v>0</v>
      </c>
      <c r="BE92">
        <f t="shared" si="20"/>
        <v>1</v>
      </c>
      <c r="BF92">
        <f t="shared" si="25"/>
        <v>0</v>
      </c>
      <c r="BG92" s="9">
        <f t="shared" si="26"/>
        <v>0</v>
      </c>
      <c r="BH92" s="9">
        <f t="shared" si="27"/>
        <v>0</v>
      </c>
      <c r="BI92" s="9">
        <f t="shared" si="28"/>
        <v>0</v>
      </c>
      <c r="BJ92" s="12">
        <f t="shared" si="29"/>
        <v>-6.1528722661166688E-4</v>
      </c>
      <c r="BL92" s="9"/>
      <c r="BN92">
        <f t="shared" si="30"/>
        <v>0</v>
      </c>
      <c r="BO92">
        <f t="shared" si="31"/>
        <v>0</v>
      </c>
      <c r="BP92">
        <f t="shared" si="32"/>
        <v>0</v>
      </c>
      <c r="BQ92">
        <f t="shared" si="21"/>
        <v>1</v>
      </c>
      <c r="BR92">
        <f t="shared" si="33"/>
        <v>0</v>
      </c>
      <c r="BS92" s="9">
        <f t="shared" si="34"/>
        <v>0</v>
      </c>
      <c r="BT92" s="9">
        <f t="shared" si="35"/>
        <v>0</v>
      </c>
      <c r="BU92" s="9">
        <f t="shared" si="36"/>
        <v>0</v>
      </c>
      <c r="BV92" s="12">
        <f t="shared" si="37"/>
        <v>1.6975322659791247E-3</v>
      </c>
      <c r="BX92" s="12">
        <f t="shared" si="38"/>
        <v>0</v>
      </c>
      <c r="BY92" s="12">
        <f t="shared" si="39"/>
        <v>1.0822450393674582E-3</v>
      </c>
    </row>
    <row r="93" spans="1:77" x14ac:dyDescent="0.3">
      <c r="A93" s="1">
        <v>46156</v>
      </c>
      <c r="B93" s="8">
        <v>58.07</v>
      </c>
      <c r="C93" s="8">
        <v>61.56</v>
      </c>
      <c r="D93" s="9">
        <v>7.6059139353835802E-3</v>
      </c>
      <c r="E93" s="9">
        <v>7.5004427931288902E-3</v>
      </c>
      <c r="F93" s="8">
        <v>0</v>
      </c>
      <c r="G93" s="8">
        <v>0.38519999999999999</v>
      </c>
      <c r="H93" s="8">
        <v>0</v>
      </c>
      <c r="I93" s="8">
        <v>0.30669999999999997</v>
      </c>
      <c r="J93" s="8">
        <v>0</v>
      </c>
      <c r="K93" s="8">
        <v>0</v>
      </c>
      <c r="L93" s="8">
        <v>58.07</v>
      </c>
      <c r="M93" s="8">
        <v>61.56</v>
      </c>
      <c r="N93" s="10">
        <v>1.0600998794558201</v>
      </c>
      <c r="O93" s="10">
        <v>1.0596043809708899</v>
      </c>
      <c r="P93" s="10">
        <v>1.06096016136519</v>
      </c>
      <c r="Q93" s="10">
        <v>1.06067515116042</v>
      </c>
      <c r="R93" s="8">
        <v>61.531226402979897</v>
      </c>
      <c r="S93" s="8">
        <v>61.607526897383899</v>
      </c>
      <c r="T93" s="8">
        <v>61.596975045206499</v>
      </c>
      <c r="U93" s="9">
        <v>-4.6751662787063701E-4</v>
      </c>
      <c r="V93" s="9">
        <v>7.7174399681530996E-4</v>
      </c>
      <c r="W93" s="9">
        <v>6.0045395405259195E-4</v>
      </c>
      <c r="X93" s="10">
        <v>1.0600998794558201</v>
      </c>
      <c r="Y93" s="10">
        <v>1.05986570061559</v>
      </c>
      <c r="Z93" s="10">
        <v>1.06096016136519</v>
      </c>
      <c r="AA93" s="10">
        <v>1.06067515116042</v>
      </c>
      <c r="AB93" s="8">
        <v>61.546401234747499</v>
      </c>
      <c r="AC93" s="8">
        <v>61.607526897383899</v>
      </c>
      <c r="AD93" s="8">
        <v>61.596975045206499</v>
      </c>
      <c r="AE93" s="9">
        <v>-2.2092702201317901E-4</v>
      </c>
      <c r="AF93" s="9">
        <v>7.7174399681530996E-4</v>
      </c>
      <c r="AG93" s="9">
        <v>6.0045395405259195E-4</v>
      </c>
      <c r="AZ93" s="9"/>
      <c r="BB93">
        <f t="shared" si="22"/>
        <v>0</v>
      </c>
      <c r="BC93">
        <f t="shared" si="23"/>
        <v>1</v>
      </c>
      <c r="BD93">
        <f t="shared" si="24"/>
        <v>0</v>
      </c>
      <c r="BE93">
        <f t="shared" si="20"/>
        <v>1</v>
      </c>
      <c r="BF93">
        <f t="shared" si="25"/>
        <v>0</v>
      </c>
      <c r="BG93" s="9">
        <f t="shared" si="26"/>
        <v>0</v>
      </c>
      <c r="BH93" s="9">
        <f t="shared" si="27"/>
        <v>0</v>
      </c>
      <c r="BI93" s="9">
        <f t="shared" si="28"/>
        <v>0</v>
      </c>
      <c r="BJ93" s="12">
        <f t="shared" si="29"/>
        <v>-6.1528722661166688E-4</v>
      </c>
      <c r="BL93" s="9"/>
      <c r="BN93">
        <f t="shared" si="30"/>
        <v>0</v>
      </c>
      <c r="BO93">
        <f t="shared" si="31"/>
        <v>0</v>
      </c>
      <c r="BP93">
        <f t="shared" si="32"/>
        <v>0</v>
      </c>
      <c r="BQ93">
        <f t="shared" si="21"/>
        <v>1</v>
      </c>
      <c r="BR93">
        <f t="shared" si="33"/>
        <v>0</v>
      </c>
      <c r="BS93" s="9">
        <f t="shared" si="34"/>
        <v>0</v>
      </c>
      <c r="BT93" s="9">
        <f t="shared" si="35"/>
        <v>0</v>
      </c>
      <c r="BU93" s="9">
        <f t="shared" si="36"/>
        <v>0</v>
      </c>
      <c r="BV93" s="12">
        <f t="shared" si="37"/>
        <v>1.6975322659791247E-3</v>
      </c>
      <c r="BX93" s="12">
        <f t="shared" si="38"/>
        <v>0</v>
      </c>
      <c r="BY93" s="12">
        <f t="shared" si="39"/>
        <v>1.0822450393674582E-3</v>
      </c>
    </row>
    <row r="94" spans="1:77" x14ac:dyDescent="0.3">
      <c r="A94" s="1">
        <v>46157</v>
      </c>
      <c r="B94" s="8">
        <v>59.44</v>
      </c>
      <c r="C94" s="8">
        <v>62.96</v>
      </c>
      <c r="D94" s="9">
        <v>2.3318221025545201E-2</v>
      </c>
      <c r="E94" s="9">
        <v>2.2487295138469299E-2</v>
      </c>
      <c r="F94" s="8">
        <v>0</v>
      </c>
      <c r="G94" s="8">
        <v>0.38519999999999999</v>
      </c>
      <c r="H94" s="8">
        <v>0</v>
      </c>
      <c r="I94" s="8">
        <v>0.30669999999999997</v>
      </c>
      <c r="J94" s="8">
        <v>0</v>
      </c>
      <c r="K94" s="8">
        <v>0</v>
      </c>
      <c r="L94" s="8">
        <v>59.44</v>
      </c>
      <c r="M94" s="8">
        <v>62.96</v>
      </c>
      <c r="N94" s="10">
        <v>1.0592193808882899</v>
      </c>
      <c r="O94" s="10">
        <v>1.0596043809708899</v>
      </c>
      <c r="P94" s="10">
        <v>1.0607308675084</v>
      </c>
      <c r="Q94" s="10">
        <v>1.0606462983218801</v>
      </c>
      <c r="R94" s="8">
        <v>62.982884404910003</v>
      </c>
      <c r="S94" s="8">
        <v>63.063471991547303</v>
      </c>
      <c r="T94" s="8">
        <v>63.046530984975703</v>
      </c>
      <c r="U94" s="9">
        <v>3.6340925920527397E-4</v>
      </c>
      <c r="V94" s="9">
        <v>1.64210703233781E-3</v>
      </c>
      <c r="W94" s="9">
        <v>1.3734367242953099E-3</v>
      </c>
      <c r="X94" s="10">
        <v>1.0592193808882899</v>
      </c>
      <c r="Y94" s="10">
        <v>1.05986570061559</v>
      </c>
      <c r="Z94" s="10">
        <v>1.0607308675084</v>
      </c>
      <c r="AA94" s="10">
        <v>1.0606462983218801</v>
      </c>
      <c r="AB94" s="8">
        <v>62.998417244590897</v>
      </c>
      <c r="AC94" s="8">
        <v>63.063471991547303</v>
      </c>
      <c r="AD94" s="8">
        <v>63.046530984975703</v>
      </c>
      <c r="AE94" s="9">
        <v>6.0999886506258E-4</v>
      </c>
      <c r="AF94" s="9">
        <v>1.64210703233781E-3</v>
      </c>
      <c r="AG94" s="9">
        <v>1.3734367242953099E-3</v>
      </c>
      <c r="AZ94" s="9"/>
      <c r="BB94">
        <f t="shared" si="22"/>
        <v>0</v>
      </c>
      <c r="BC94">
        <f t="shared" si="23"/>
        <v>1</v>
      </c>
      <c r="BD94">
        <f t="shared" si="24"/>
        <v>0</v>
      </c>
      <c r="BE94">
        <f t="shared" si="20"/>
        <v>1</v>
      </c>
      <c r="BF94">
        <f t="shared" si="25"/>
        <v>0</v>
      </c>
      <c r="BG94" s="9">
        <f t="shared" si="26"/>
        <v>0</v>
      </c>
      <c r="BH94" s="9">
        <f t="shared" si="27"/>
        <v>0</v>
      </c>
      <c r="BI94" s="9">
        <f t="shared" si="28"/>
        <v>0</v>
      </c>
      <c r="BJ94" s="12">
        <f t="shared" si="29"/>
        <v>-6.1528722661166688E-4</v>
      </c>
      <c r="BL94" s="9"/>
      <c r="BN94">
        <f t="shared" si="30"/>
        <v>0</v>
      </c>
      <c r="BO94">
        <f t="shared" si="31"/>
        <v>0</v>
      </c>
      <c r="BP94">
        <f t="shared" si="32"/>
        <v>0</v>
      </c>
      <c r="BQ94">
        <f t="shared" si="21"/>
        <v>1</v>
      </c>
      <c r="BR94">
        <f t="shared" si="33"/>
        <v>0</v>
      </c>
      <c r="BS94" s="9">
        <f t="shared" si="34"/>
        <v>0</v>
      </c>
      <c r="BT94" s="9">
        <f t="shared" si="35"/>
        <v>0</v>
      </c>
      <c r="BU94" s="9">
        <f t="shared" si="36"/>
        <v>0</v>
      </c>
      <c r="BV94" s="12">
        <f t="shared" si="37"/>
        <v>1.6975322659791247E-3</v>
      </c>
      <c r="BX94" s="12">
        <f t="shared" si="38"/>
        <v>0</v>
      </c>
      <c r="BY94" s="12">
        <f t="shared" si="39"/>
        <v>1.0822450393674582E-3</v>
      </c>
    </row>
    <row r="95" spans="1:77" x14ac:dyDescent="0.3">
      <c r="A95" s="1">
        <v>46160</v>
      </c>
      <c r="B95" s="8">
        <v>60.58</v>
      </c>
      <c r="C95" s="8">
        <v>64.09</v>
      </c>
      <c r="D95" s="9">
        <v>1.89974051895875E-2</v>
      </c>
      <c r="E95" s="9">
        <v>1.7788741406987701E-2</v>
      </c>
      <c r="F95" s="8">
        <v>0</v>
      </c>
      <c r="G95" s="8">
        <v>0.38519999999999999</v>
      </c>
      <c r="H95" s="8">
        <v>0</v>
      </c>
      <c r="I95" s="8">
        <v>0.30669999999999997</v>
      </c>
      <c r="J95" s="8">
        <v>0</v>
      </c>
      <c r="K95" s="8">
        <v>0</v>
      </c>
      <c r="L95" s="8">
        <v>60.58</v>
      </c>
      <c r="M95" s="8">
        <v>64.09</v>
      </c>
      <c r="N95" s="10">
        <v>1.0579399141630901</v>
      </c>
      <c r="O95" s="10">
        <v>1.0596043809708899</v>
      </c>
      <c r="P95" s="10">
        <v>1.06041271883378</v>
      </c>
      <c r="Q95" s="10">
        <v>1.0604835518836799</v>
      </c>
      <c r="R95" s="8">
        <v>64.1908333992168</v>
      </c>
      <c r="S95" s="8">
        <v>64.259075953658893</v>
      </c>
      <c r="T95" s="8">
        <v>64.253952752339998</v>
      </c>
      <c r="U95" s="9">
        <v>1.5720730418048801E-3</v>
      </c>
      <c r="V95" s="9">
        <v>2.6346282620703099E-3</v>
      </c>
      <c r="W95" s="9">
        <v>2.5548978040271001E-3</v>
      </c>
      <c r="X95" s="10">
        <v>1.0579399141630901</v>
      </c>
      <c r="Y95" s="10">
        <v>1.05986570061559</v>
      </c>
      <c r="Z95" s="10">
        <v>1.06041271883378</v>
      </c>
      <c r="AA95" s="10">
        <v>1.0604835518836799</v>
      </c>
      <c r="AB95" s="8">
        <v>64.206664143292599</v>
      </c>
      <c r="AC95" s="8">
        <v>64.259075953658893</v>
      </c>
      <c r="AD95" s="8">
        <v>64.253952752339998</v>
      </c>
      <c r="AE95" s="9">
        <v>1.8186626476624499E-3</v>
      </c>
      <c r="AF95" s="9">
        <v>2.6346282620703099E-3</v>
      </c>
      <c r="AG95" s="9">
        <v>2.5548978040271001E-3</v>
      </c>
      <c r="AZ95" s="9"/>
      <c r="BB95">
        <f t="shared" si="22"/>
        <v>0</v>
      </c>
      <c r="BC95">
        <f t="shared" si="23"/>
        <v>1</v>
      </c>
      <c r="BD95">
        <f t="shared" si="24"/>
        <v>0</v>
      </c>
      <c r="BE95">
        <f t="shared" si="20"/>
        <v>1</v>
      </c>
      <c r="BF95">
        <f t="shared" si="25"/>
        <v>0</v>
      </c>
      <c r="BG95" s="9">
        <f t="shared" si="26"/>
        <v>0</v>
      </c>
      <c r="BH95" s="9">
        <f t="shared" si="27"/>
        <v>0</v>
      </c>
      <c r="BI95" s="9">
        <f t="shared" si="28"/>
        <v>0</v>
      </c>
      <c r="BJ95" s="12">
        <f t="shared" si="29"/>
        <v>-6.1528722661166688E-4</v>
      </c>
      <c r="BL95" s="9"/>
      <c r="BN95">
        <f t="shared" si="30"/>
        <v>1</v>
      </c>
      <c r="BO95">
        <f t="shared" si="31"/>
        <v>0</v>
      </c>
      <c r="BP95">
        <f t="shared" si="32"/>
        <v>0</v>
      </c>
      <c r="BQ95">
        <f t="shared" si="21"/>
        <v>1</v>
      </c>
      <c r="BR95">
        <f t="shared" si="33"/>
        <v>0</v>
      </c>
      <c r="BS95" s="9">
        <f t="shared" si="34"/>
        <v>0</v>
      </c>
      <c r="BT95" s="9">
        <f t="shared" si="35"/>
        <v>0</v>
      </c>
      <c r="BU95" s="9">
        <f t="shared" si="36"/>
        <v>0</v>
      </c>
      <c r="BV95" s="12">
        <f t="shared" si="37"/>
        <v>1.6975322659791247E-3</v>
      </c>
      <c r="BX95" s="12">
        <f t="shared" si="38"/>
        <v>0</v>
      </c>
      <c r="BY95" s="12">
        <f t="shared" si="39"/>
        <v>1.0822450393674582E-3</v>
      </c>
    </row>
    <row r="96" spans="1:77" x14ac:dyDescent="0.3">
      <c r="A96" s="1">
        <v>46161</v>
      </c>
      <c r="B96" s="8">
        <v>61.29</v>
      </c>
      <c r="C96" s="8">
        <v>64.72</v>
      </c>
      <c r="D96" s="9">
        <v>1.1651891898549101E-2</v>
      </c>
      <c r="E96" s="9">
        <v>9.7819272341006305E-3</v>
      </c>
      <c r="F96" s="8">
        <v>0</v>
      </c>
      <c r="G96" s="8">
        <v>0.38519999999999999</v>
      </c>
      <c r="H96" s="8">
        <v>0</v>
      </c>
      <c r="I96" s="8">
        <v>0.30669999999999997</v>
      </c>
      <c r="J96" s="8">
        <v>0</v>
      </c>
      <c r="K96" s="8">
        <v>0</v>
      </c>
      <c r="L96" s="8">
        <v>61.29</v>
      </c>
      <c r="M96" s="8">
        <v>64.72</v>
      </c>
      <c r="N96" s="10">
        <v>1.0559634524392201</v>
      </c>
      <c r="O96" s="10">
        <v>1.0596043809708899</v>
      </c>
      <c r="P96" s="10">
        <v>1.0598862718152999</v>
      </c>
      <c r="Q96" s="10">
        <v>1.06025684532182</v>
      </c>
      <c r="R96" s="8">
        <v>64.943152509706096</v>
      </c>
      <c r="S96" s="8">
        <v>64.992695537322703</v>
      </c>
      <c r="T96" s="8">
        <v>64.997036894950995</v>
      </c>
      <c r="U96" s="9">
        <v>3.4420377062533902E-3</v>
      </c>
      <c r="V96" s="9">
        <v>4.2046144818253996E-3</v>
      </c>
      <c r="W96" s="9">
        <v>4.2714098747947604E-3</v>
      </c>
      <c r="X96" s="10">
        <v>1.0559634524392201</v>
      </c>
      <c r="Y96" s="10">
        <v>1.05986570061559</v>
      </c>
      <c r="Z96" s="10">
        <v>1.0598862718152999</v>
      </c>
      <c r="AA96" s="10">
        <v>1.06025684532182</v>
      </c>
      <c r="AB96" s="8">
        <v>64.959168790729706</v>
      </c>
      <c r="AC96" s="8">
        <v>64.992695537322703</v>
      </c>
      <c r="AD96" s="8">
        <v>64.997036894950995</v>
      </c>
      <c r="AE96" s="9">
        <v>3.6886273121109598E-3</v>
      </c>
      <c r="AF96" s="9">
        <v>4.2046144818253996E-3</v>
      </c>
      <c r="AG96" s="9">
        <v>4.2714098747945401E-3</v>
      </c>
      <c r="AZ96" s="9"/>
      <c r="BB96">
        <f t="shared" si="22"/>
        <v>0</v>
      </c>
      <c r="BC96">
        <f t="shared" si="23"/>
        <v>1</v>
      </c>
      <c r="BD96">
        <f t="shared" si="24"/>
        <v>0</v>
      </c>
      <c r="BE96">
        <f t="shared" si="20"/>
        <v>1</v>
      </c>
      <c r="BF96">
        <f t="shared" si="25"/>
        <v>0</v>
      </c>
      <c r="BG96" s="9">
        <f t="shared" si="26"/>
        <v>0</v>
      </c>
      <c r="BH96" s="9">
        <f t="shared" si="27"/>
        <v>0</v>
      </c>
      <c r="BI96" s="9">
        <f t="shared" si="28"/>
        <v>0</v>
      </c>
      <c r="BJ96" s="12">
        <f t="shared" si="29"/>
        <v>-6.1528722661166688E-4</v>
      </c>
      <c r="BL96" s="9"/>
      <c r="BN96">
        <f t="shared" si="30"/>
        <v>1</v>
      </c>
      <c r="BO96">
        <f t="shared" si="31"/>
        <v>0</v>
      </c>
      <c r="BP96">
        <f t="shared" si="32"/>
        <v>1</v>
      </c>
      <c r="BQ96">
        <f t="shared" si="21"/>
        <v>1</v>
      </c>
      <c r="BR96">
        <f t="shared" si="33"/>
        <v>1</v>
      </c>
      <c r="BS96" s="9">
        <f t="shared" si="34"/>
        <v>-1.1651891898549101E-2</v>
      </c>
      <c r="BT96" s="9">
        <f t="shared" si="35"/>
        <v>9.7819272341006305E-3</v>
      </c>
      <c r="BU96" s="9">
        <f t="shared" si="36"/>
        <v>-1.8699646644484702E-3</v>
      </c>
      <c r="BV96" s="12">
        <f t="shared" si="37"/>
        <v>-1.7243239846934555E-4</v>
      </c>
      <c r="BX96" s="12">
        <f t="shared" si="38"/>
        <v>-1.8699646644484702E-3</v>
      </c>
      <c r="BY96" s="12">
        <f t="shared" si="39"/>
        <v>-7.87719625081012E-4</v>
      </c>
    </row>
    <row r="97" spans="1:77" x14ac:dyDescent="0.3">
      <c r="A97" s="1">
        <v>46162</v>
      </c>
      <c r="B97" s="8">
        <v>59.8</v>
      </c>
      <c r="C97" s="8">
        <v>63.28</v>
      </c>
      <c r="D97" s="9">
        <v>-2.4611036541054301E-2</v>
      </c>
      <c r="E97" s="9">
        <v>-2.25009492908377E-2</v>
      </c>
      <c r="F97" s="8">
        <v>0</v>
      </c>
      <c r="G97" s="8">
        <v>0.38519999999999999</v>
      </c>
      <c r="H97" s="8">
        <v>0</v>
      </c>
      <c r="I97" s="8">
        <v>0.30669999999999997</v>
      </c>
      <c r="J97" s="8">
        <v>0</v>
      </c>
      <c r="K97" s="8">
        <v>0</v>
      </c>
      <c r="L97" s="8">
        <v>59.8</v>
      </c>
      <c r="M97" s="8">
        <v>63.28</v>
      </c>
      <c r="N97" s="10">
        <v>1.0581939799331099</v>
      </c>
      <c r="O97" s="10">
        <v>1.0596043809708899</v>
      </c>
      <c r="P97" s="10">
        <v>1.0594600557735201</v>
      </c>
      <c r="Q97" s="10">
        <v>1.06015098011614</v>
      </c>
      <c r="R97" s="8">
        <v>63.3643419820595</v>
      </c>
      <c r="S97" s="8">
        <v>63.381199054555097</v>
      </c>
      <c r="T97" s="8">
        <v>63.403359350245204</v>
      </c>
      <c r="U97" s="9">
        <v>1.3319504560368399E-3</v>
      </c>
      <c r="V97" s="9">
        <v>1.59794912482034E-3</v>
      </c>
      <c r="W97" s="9">
        <v>1.9475231769695699E-3</v>
      </c>
      <c r="X97" s="10">
        <v>1.0581939799331099</v>
      </c>
      <c r="Y97" s="10">
        <v>1.05986570061559</v>
      </c>
      <c r="Z97" s="10">
        <v>1.0594600557735201</v>
      </c>
      <c r="AA97" s="10">
        <v>1.06015098011614</v>
      </c>
      <c r="AB97" s="8">
        <v>63.3799688968125</v>
      </c>
      <c r="AC97" s="8">
        <v>63.381199054555097</v>
      </c>
      <c r="AD97" s="8">
        <v>63.403359350245204</v>
      </c>
      <c r="AE97" s="9">
        <v>1.57854006189423E-3</v>
      </c>
      <c r="AF97" s="9">
        <v>1.5979491248201199E-3</v>
      </c>
      <c r="AG97" s="9">
        <v>1.9475231769695699E-3</v>
      </c>
      <c r="AZ97" s="9"/>
      <c r="BB97">
        <f t="shared" si="22"/>
        <v>0</v>
      </c>
      <c r="BC97">
        <f t="shared" si="23"/>
        <v>1</v>
      </c>
      <c r="BD97">
        <f t="shared" si="24"/>
        <v>0</v>
      </c>
      <c r="BE97">
        <f t="shared" si="20"/>
        <v>1</v>
      </c>
      <c r="BF97">
        <f t="shared" si="25"/>
        <v>0</v>
      </c>
      <c r="BG97" s="9">
        <f t="shared" si="26"/>
        <v>0</v>
      </c>
      <c r="BH97" s="9">
        <f t="shared" si="27"/>
        <v>0</v>
      </c>
      <c r="BI97" s="9">
        <f t="shared" si="28"/>
        <v>0</v>
      </c>
      <c r="BJ97" s="12">
        <f t="shared" si="29"/>
        <v>-6.1528722661166688E-4</v>
      </c>
      <c r="BL97" s="9"/>
      <c r="BN97">
        <f t="shared" si="30"/>
        <v>0</v>
      </c>
      <c r="BO97">
        <f t="shared" si="31"/>
        <v>0</v>
      </c>
      <c r="BP97">
        <f t="shared" si="32"/>
        <v>1</v>
      </c>
      <c r="BQ97">
        <f t="shared" si="21"/>
        <v>1</v>
      </c>
      <c r="BR97">
        <f t="shared" si="33"/>
        <v>1</v>
      </c>
      <c r="BS97" s="9">
        <f t="shared" si="34"/>
        <v>2.4611036541054301E-2</v>
      </c>
      <c r="BT97" s="9">
        <f t="shared" si="35"/>
        <v>-2.25009492908377E-2</v>
      </c>
      <c r="BU97" s="9">
        <f t="shared" si="36"/>
        <v>2.110087250216601E-3</v>
      </c>
      <c r="BV97" s="12">
        <f t="shared" si="37"/>
        <v>1.9376548517472554E-3</v>
      </c>
      <c r="BX97" s="12">
        <f t="shared" si="38"/>
        <v>2.110087250216601E-3</v>
      </c>
      <c r="BY97" s="12">
        <f t="shared" si="39"/>
        <v>1.322367625135589E-3</v>
      </c>
    </row>
    <row r="98" spans="1:77" x14ac:dyDescent="0.3">
      <c r="A98" s="1">
        <v>46163</v>
      </c>
      <c r="B98" s="8">
        <v>59.13</v>
      </c>
      <c r="C98" s="8">
        <v>62.68</v>
      </c>
      <c r="D98" s="9">
        <v>-1.12672511238474E-2</v>
      </c>
      <c r="E98" s="9">
        <v>-9.5269059715783304E-3</v>
      </c>
      <c r="F98" s="8">
        <v>0</v>
      </c>
      <c r="G98" s="8">
        <v>0.38519999999999999</v>
      </c>
      <c r="H98" s="8">
        <v>0</v>
      </c>
      <c r="I98" s="8">
        <v>0.30669999999999997</v>
      </c>
      <c r="J98" s="8">
        <v>0</v>
      </c>
      <c r="K98" s="8">
        <v>0</v>
      </c>
      <c r="L98" s="8">
        <v>59.13</v>
      </c>
      <c r="M98" s="8">
        <v>62.68</v>
      </c>
      <c r="N98" s="10">
        <v>1.06003720615592</v>
      </c>
      <c r="O98" s="10">
        <v>1.0596043809708899</v>
      </c>
      <c r="P98" s="10">
        <v>1.05929755654997</v>
      </c>
      <c r="Q98" s="10">
        <v>1.06017811244921</v>
      </c>
      <c r="R98" s="8">
        <v>62.654407046808998</v>
      </c>
      <c r="S98" s="8">
        <v>62.645873097888597</v>
      </c>
      <c r="T98" s="8">
        <v>62.686727454267697</v>
      </c>
      <c r="U98" s="9">
        <v>-4.08394696232068E-4</v>
      </c>
      <c r="V98" s="9">
        <v>-5.4461065558601099E-4</v>
      </c>
      <c r="W98" s="9">
        <v>1.0732439796201E-4</v>
      </c>
      <c r="X98" s="10">
        <v>1.06003720615592</v>
      </c>
      <c r="Y98" s="10">
        <v>1.05986570061559</v>
      </c>
      <c r="Z98" s="10">
        <v>1.05929755654997</v>
      </c>
      <c r="AA98" s="10">
        <v>1.06017811244921</v>
      </c>
      <c r="AB98" s="8">
        <v>62.669858877400003</v>
      </c>
      <c r="AC98" s="8">
        <v>62.645873097888597</v>
      </c>
      <c r="AD98" s="8">
        <v>62.686727454267803</v>
      </c>
      <c r="AE98" s="9">
        <v>-1.6180509037466999E-4</v>
      </c>
      <c r="AF98" s="9">
        <v>-5.4461065558601099E-4</v>
      </c>
      <c r="AG98" s="9">
        <v>1.0732439796223199E-4</v>
      </c>
      <c r="AZ98" s="9"/>
      <c r="BB98">
        <f t="shared" si="22"/>
        <v>0</v>
      </c>
      <c r="BC98">
        <f t="shared" si="23"/>
        <v>1</v>
      </c>
      <c r="BD98">
        <f t="shared" si="24"/>
        <v>0</v>
      </c>
      <c r="BE98">
        <f t="shared" si="20"/>
        <v>1</v>
      </c>
      <c r="BF98">
        <f t="shared" si="25"/>
        <v>0</v>
      </c>
      <c r="BG98" s="9">
        <f t="shared" si="26"/>
        <v>0</v>
      </c>
      <c r="BH98" s="9">
        <f t="shared" si="27"/>
        <v>0</v>
      </c>
      <c r="BI98" s="9">
        <f t="shared" si="28"/>
        <v>0</v>
      </c>
      <c r="BJ98" s="12">
        <f t="shared" si="29"/>
        <v>-6.1528722661166688E-4</v>
      </c>
      <c r="BL98" s="9"/>
      <c r="BN98">
        <f t="shared" si="30"/>
        <v>0</v>
      </c>
      <c r="BO98">
        <f t="shared" si="31"/>
        <v>0</v>
      </c>
      <c r="BP98">
        <f t="shared" si="32"/>
        <v>1</v>
      </c>
      <c r="BQ98">
        <f t="shared" si="21"/>
        <v>1</v>
      </c>
      <c r="BR98">
        <f t="shared" si="33"/>
        <v>1</v>
      </c>
      <c r="BS98" s="9">
        <f t="shared" si="34"/>
        <v>1.12672511238474E-2</v>
      </c>
      <c r="BT98" s="9">
        <f t="shared" si="35"/>
        <v>-9.5269059715783304E-3</v>
      </c>
      <c r="BU98" s="9">
        <f t="shared" si="36"/>
        <v>1.7403451522690697E-3</v>
      </c>
      <c r="BV98" s="12">
        <f t="shared" si="37"/>
        <v>3.6780000040163253E-3</v>
      </c>
      <c r="BX98" s="12">
        <f t="shared" si="38"/>
        <v>1.7403451522690697E-3</v>
      </c>
      <c r="BY98" s="12">
        <f t="shared" si="39"/>
        <v>3.0627127774046584E-3</v>
      </c>
    </row>
    <row r="99" spans="1:77" x14ac:dyDescent="0.3">
      <c r="A99" s="1">
        <v>46164</v>
      </c>
      <c r="B99" s="8">
        <v>59.49</v>
      </c>
      <c r="C99" s="8">
        <v>62.98</v>
      </c>
      <c r="D99" s="9">
        <v>6.0698213670757704E-3</v>
      </c>
      <c r="E99" s="9">
        <v>4.7747981850584697E-3</v>
      </c>
      <c r="F99" s="8">
        <v>0</v>
      </c>
      <c r="G99" s="8">
        <v>0.38519999999999999</v>
      </c>
      <c r="H99" s="8">
        <v>0</v>
      </c>
      <c r="I99" s="8">
        <v>0.30669999999999997</v>
      </c>
      <c r="J99" s="8">
        <v>0</v>
      </c>
      <c r="K99" s="8">
        <v>0</v>
      </c>
      <c r="L99" s="8">
        <v>59.49</v>
      </c>
      <c r="M99" s="8">
        <v>62.98</v>
      </c>
      <c r="N99" s="10">
        <v>1.0586653219028399</v>
      </c>
      <c r="O99" s="10">
        <v>1.0596043809708899</v>
      </c>
      <c r="P99" s="10">
        <v>1.0590779127977099</v>
      </c>
      <c r="Q99" s="10">
        <v>1.06008693683519</v>
      </c>
      <c r="R99" s="8">
        <v>63.035864623958503</v>
      </c>
      <c r="S99" s="8">
        <v>63.017611639158098</v>
      </c>
      <c r="T99" s="8">
        <v>63.069995909603797</v>
      </c>
      <c r="U99" s="9">
        <v>8.8662848578512402E-4</v>
      </c>
      <c r="V99" s="9">
        <v>5.9702147978872599E-4</v>
      </c>
      <c r="W99" s="9">
        <v>1.4279401478174E-3</v>
      </c>
      <c r="X99" s="10">
        <v>1.0586653219028399</v>
      </c>
      <c r="Y99" s="10">
        <v>1.05986570061559</v>
      </c>
      <c r="Z99" s="10">
        <v>1.0590779127977099</v>
      </c>
      <c r="AA99" s="10">
        <v>1.06008693683519</v>
      </c>
      <c r="AB99" s="8">
        <v>63.051410529621599</v>
      </c>
      <c r="AC99" s="8">
        <v>63.017611639158098</v>
      </c>
      <c r="AD99" s="8">
        <v>63.069995909603797</v>
      </c>
      <c r="AE99" s="9">
        <v>1.13321809164253E-3</v>
      </c>
      <c r="AF99" s="9">
        <v>5.9702147978872599E-4</v>
      </c>
      <c r="AG99" s="9">
        <v>1.4279401478174E-3</v>
      </c>
      <c r="AZ99" s="9"/>
      <c r="BB99">
        <f t="shared" si="22"/>
        <v>0</v>
      </c>
      <c r="BC99">
        <f t="shared" si="23"/>
        <v>1</v>
      </c>
      <c r="BD99">
        <f t="shared" si="24"/>
        <v>0</v>
      </c>
      <c r="BE99">
        <f t="shared" si="20"/>
        <v>1</v>
      </c>
      <c r="BF99">
        <f t="shared" si="25"/>
        <v>0</v>
      </c>
      <c r="BG99" s="9">
        <f t="shared" si="26"/>
        <v>0</v>
      </c>
      <c r="BH99" s="9">
        <f t="shared" si="27"/>
        <v>0</v>
      </c>
      <c r="BI99" s="9">
        <f t="shared" si="28"/>
        <v>0</v>
      </c>
      <c r="BJ99" s="12">
        <f t="shared" si="29"/>
        <v>-6.1528722661166688E-4</v>
      </c>
      <c r="BL99" s="9"/>
      <c r="BN99">
        <f t="shared" si="30"/>
        <v>0</v>
      </c>
      <c r="BO99">
        <f t="shared" si="31"/>
        <v>0</v>
      </c>
      <c r="BP99">
        <f t="shared" si="32"/>
        <v>1</v>
      </c>
      <c r="BQ99">
        <f t="shared" si="21"/>
        <v>1</v>
      </c>
      <c r="BR99">
        <f t="shared" si="33"/>
        <v>1</v>
      </c>
      <c r="BS99" s="9">
        <f t="shared" si="34"/>
        <v>-6.0698213670757704E-3</v>
      </c>
      <c r="BT99" s="9">
        <f t="shared" si="35"/>
        <v>4.7747981850584697E-3</v>
      </c>
      <c r="BU99" s="9">
        <f t="shared" si="36"/>
        <v>-1.2950231820173007E-3</v>
      </c>
      <c r="BV99" s="12">
        <f t="shared" si="37"/>
        <v>2.3829768219990246E-3</v>
      </c>
      <c r="BX99" s="12">
        <f t="shared" si="38"/>
        <v>-1.2950231820173007E-3</v>
      </c>
      <c r="BY99" s="12">
        <f t="shared" si="39"/>
        <v>1.7676895953873577E-3</v>
      </c>
    </row>
    <row r="100" spans="1:77" x14ac:dyDescent="0.3">
      <c r="A100" s="1">
        <v>46168</v>
      </c>
      <c r="B100" s="8">
        <v>57.85</v>
      </c>
      <c r="C100" s="8">
        <v>61.39</v>
      </c>
      <c r="D100" s="9">
        <v>-2.79547775601286E-2</v>
      </c>
      <c r="E100" s="9">
        <v>-2.5570260233473498E-2</v>
      </c>
      <c r="F100" s="8">
        <v>0</v>
      </c>
      <c r="G100" s="8">
        <v>0.38519999999999999</v>
      </c>
      <c r="H100" s="8">
        <v>0</v>
      </c>
      <c r="I100" s="8">
        <v>0.30669999999999997</v>
      </c>
      <c r="J100" s="8">
        <v>0</v>
      </c>
      <c r="K100" s="8">
        <v>0</v>
      </c>
      <c r="L100" s="8">
        <v>57.85</v>
      </c>
      <c r="M100" s="8">
        <v>61.39</v>
      </c>
      <c r="N100" s="10">
        <v>1.0611927398444201</v>
      </c>
      <c r="O100" s="10">
        <v>1.0596043809708899</v>
      </c>
      <c r="P100" s="10">
        <v>1.05914506154164</v>
      </c>
      <c r="Q100" s="10">
        <v>1.0600727672394299</v>
      </c>
      <c r="R100" s="8">
        <v>61.298113439166301</v>
      </c>
      <c r="S100" s="8">
        <v>61.267657255347601</v>
      </c>
      <c r="T100" s="8">
        <v>61.326029295916101</v>
      </c>
      <c r="U100" s="9">
        <v>-1.4978888408700201E-3</v>
      </c>
      <c r="V100" s="9">
        <v>-1.9948658397977099E-3</v>
      </c>
      <c r="W100" s="9">
        <v>-1.04258115660121E-3</v>
      </c>
      <c r="X100" s="10">
        <v>1.0611927398444201</v>
      </c>
      <c r="Y100" s="10">
        <v>1.05986570061559</v>
      </c>
      <c r="Z100" s="10">
        <v>1.05914506154164</v>
      </c>
      <c r="AA100" s="10">
        <v>1.0600727672394299</v>
      </c>
      <c r="AB100" s="8">
        <v>61.313230780612102</v>
      </c>
      <c r="AC100" s="8">
        <v>61.267657255347601</v>
      </c>
      <c r="AD100" s="8">
        <v>61.326029295916101</v>
      </c>
      <c r="AE100" s="9">
        <v>-1.25129923501271E-3</v>
      </c>
      <c r="AF100" s="9">
        <v>-1.9948658397979302E-3</v>
      </c>
      <c r="AG100" s="9">
        <v>-1.04258115660121E-3</v>
      </c>
      <c r="AZ100" s="9"/>
      <c r="BB100">
        <f t="shared" si="22"/>
        <v>0</v>
      </c>
      <c r="BC100">
        <f t="shared" si="23"/>
        <v>0</v>
      </c>
      <c r="BD100">
        <f t="shared" si="24"/>
        <v>0</v>
      </c>
      <c r="BE100">
        <f t="shared" si="20"/>
        <v>1</v>
      </c>
      <c r="BF100">
        <f t="shared" si="25"/>
        <v>0</v>
      </c>
      <c r="BG100" s="9">
        <f t="shared" si="26"/>
        <v>0</v>
      </c>
      <c r="BH100" s="9">
        <f t="shared" si="27"/>
        <v>0</v>
      </c>
      <c r="BI100" s="9">
        <f t="shared" si="28"/>
        <v>0</v>
      </c>
      <c r="BJ100" s="12">
        <f t="shared" si="29"/>
        <v>-6.1528722661166688E-4</v>
      </c>
      <c r="BL100" s="9"/>
      <c r="BN100">
        <f t="shared" si="30"/>
        <v>0</v>
      </c>
      <c r="BO100">
        <f t="shared" si="31"/>
        <v>1</v>
      </c>
      <c r="BP100">
        <f t="shared" si="32"/>
        <v>1</v>
      </c>
      <c r="BQ100">
        <f t="shared" si="21"/>
        <v>1</v>
      </c>
      <c r="BR100">
        <f t="shared" si="33"/>
        <v>1</v>
      </c>
      <c r="BS100" s="9">
        <f t="shared" si="34"/>
        <v>2.79547775601286E-2</v>
      </c>
      <c r="BT100" s="9">
        <f t="shared" si="35"/>
        <v>-2.5570260233473498E-2</v>
      </c>
      <c r="BU100" s="9">
        <f t="shared" si="36"/>
        <v>2.3845173266551015E-3</v>
      </c>
      <c r="BV100" s="12">
        <f t="shared" si="37"/>
        <v>4.7674941486541261E-3</v>
      </c>
      <c r="BX100" s="12">
        <f t="shared" si="38"/>
        <v>2.3845173266551015E-3</v>
      </c>
      <c r="BY100" s="12">
        <f t="shared" si="39"/>
        <v>4.1522069220424592E-3</v>
      </c>
    </row>
    <row r="101" spans="1:77" x14ac:dyDescent="0.3">
      <c r="A101" s="1">
        <v>46169</v>
      </c>
      <c r="B101" s="8">
        <v>56.99</v>
      </c>
      <c r="C101" s="8">
        <v>60.43</v>
      </c>
      <c r="D101" s="9">
        <v>-1.49776397927773E-2</v>
      </c>
      <c r="E101" s="9">
        <v>-1.57612850659378E-2</v>
      </c>
      <c r="F101" s="8">
        <v>0</v>
      </c>
      <c r="G101" s="8">
        <v>0.38519999999999999</v>
      </c>
      <c r="H101" s="8">
        <v>0</v>
      </c>
      <c r="I101" s="8">
        <v>0.30669999999999997</v>
      </c>
      <c r="J101" s="8">
        <v>0</v>
      </c>
      <c r="K101" s="8">
        <v>0</v>
      </c>
      <c r="L101" s="8">
        <v>56.99</v>
      </c>
      <c r="M101" s="8">
        <v>60.43</v>
      </c>
      <c r="N101" s="10">
        <v>1.06036146692402</v>
      </c>
      <c r="O101" s="10">
        <v>1.0596043809708899</v>
      </c>
      <c r="P101" s="10">
        <v>1.0591885037004301</v>
      </c>
      <c r="Q101" s="10">
        <v>1.0600497731796299</v>
      </c>
      <c r="R101" s="8">
        <v>60.386853671531298</v>
      </c>
      <c r="S101" s="8">
        <v>60.360677057258201</v>
      </c>
      <c r="T101" s="8">
        <v>60.4135470049752</v>
      </c>
      <c r="U101" s="9">
        <v>-7.1424356770964995E-4</v>
      </c>
      <c r="V101" s="9">
        <v>-1.1478195510052499E-3</v>
      </c>
      <c r="W101" s="9">
        <v>-2.7230241968632902E-4</v>
      </c>
      <c r="X101" s="10">
        <v>1.06036146692402</v>
      </c>
      <c r="Y101" s="10">
        <v>1.05986570061559</v>
      </c>
      <c r="Z101" s="10">
        <v>1.0591885037004301</v>
      </c>
      <c r="AA101" s="10">
        <v>1.0600497731796299</v>
      </c>
      <c r="AB101" s="8">
        <v>60.401746278082598</v>
      </c>
      <c r="AC101" s="8">
        <v>60.360677057258201</v>
      </c>
      <c r="AD101" s="8">
        <v>60.4135470049752</v>
      </c>
      <c r="AE101" s="9">
        <v>-4.6765396185218498E-4</v>
      </c>
      <c r="AF101" s="9">
        <v>-1.1478195510052499E-3</v>
      </c>
      <c r="AG101" s="9">
        <v>-2.7230241968632902E-4</v>
      </c>
      <c r="AZ101" s="9"/>
      <c r="BB101">
        <f t="shared" si="22"/>
        <v>0</v>
      </c>
      <c r="BC101">
        <f t="shared" si="23"/>
        <v>0</v>
      </c>
      <c r="BD101">
        <f t="shared" si="24"/>
        <v>0</v>
      </c>
      <c r="BE101">
        <f t="shared" si="20"/>
        <v>1</v>
      </c>
      <c r="BF101">
        <f t="shared" si="25"/>
        <v>0</v>
      </c>
      <c r="BG101" s="9">
        <f t="shared" si="26"/>
        <v>0</v>
      </c>
      <c r="BH101" s="9">
        <f t="shared" si="27"/>
        <v>0</v>
      </c>
      <c r="BI101" s="9">
        <f t="shared" si="28"/>
        <v>0</v>
      </c>
      <c r="BJ101" s="12">
        <f t="shared" si="29"/>
        <v>-6.1528722661166688E-4</v>
      </c>
      <c r="BL101" s="9"/>
      <c r="BN101">
        <f t="shared" si="30"/>
        <v>0</v>
      </c>
      <c r="BO101">
        <f t="shared" si="31"/>
        <v>1</v>
      </c>
      <c r="BP101">
        <f t="shared" si="32"/>
        <v>0</v>
      </c>
      <c r="BQ101">
        <f t="shared" si="21"/>
        <v>1</v>
      </c>
      <c r="BR101">
        <f t="shared" si="33"/>
        <v>0</v>
      </c>
      <c r="BS101" s="9">
        <f t="shared" si="34"/>
        <v>0</v>
      </c>
      <c r="BT101" s="9">
        <f t="shared" si="35"/>
        <v>0</v>
      </c>
      <c r="BU101" s="9">
        <f t="shared" si="36"/>
        <v>0</v>
      </c>
      <c r="BV101" s="12">
        <f t="shared" si="37"/>
        <v>4.7674941486541261E-3</v>
      </c>
      <c r="BX101" s="12">
        <f t="shared" si="38"/>
        <v>0</v>
      </c>
      <c r="BY101" s="12">
        <f t="shared" si="39"/>
        <v>4.1522069220424592E-3</v>
      </c>
    </row>
    <row r="102" spans="1:77" x14ac:dyDescent="0.3">
      <c r="A102" s="1">
        <v>46170</v>
      </c>
      <c r="B102" s="8">
        <v>56.95</v>
      </c>
      <c r="C102" s="8">
        <v>60.46</v>
      </c>
      <c r="D102" s="9">
        <v>-7.0212395371708504E-4</v>
      </c>
      <c r="E102" s="9">
        <v>4.9631897784496596E-4</v>
      </c>
      <c r="F102" s="8">
        <v>0</v>
      </c>
      <c r="G102" s="8">
        <v>0.38519999999999999</v>
      </c>
      <c r="H102" s="8">
        <v>0</v>
      </c>
      <c r="I102" s="8">
        <v>0.30669999999999997</v>
      </c>
      <c r="J102" s="8">
        <v>0</v>
      </c>
      <c r="K102" s="8">
        <v>0</v>
      </c>
      <c r="L102" s="8">
        <v>56.95</v>
      </c>
      <c r="M102" s="8">
        <v>60.46</v>
      </c>
      <c r="N102" s="10">
        <v>1.06163301141352</v>
      </c>
      <c r="O102" s="10">
        <v>1.0596043809708899</v>
      </c>
      <c r="P102" s="10">
        <v>1.05933063531202</v>
      </c>
      <c r="Q102" s="10">
        <v>1.0601244781294401</v>
      </c>
      <c r="R102" s="8">
        <v>60.344469496292497</v>
      </c>
      <c r="S102" s="8">
        <v>60.320785285739703</v>
      </c>
      <c r="T102" s="8">
        <v>60.369834582580303</v>
      </c>
      <c r="U102" s="9">
        <v>-1.9126864992713901E-3</v>
      </c>
      <c r="V102" s="9">
        <v>-2.30524707355895E-3</v>
      </c>
      <c r="W102" s="9">
        <v>-1.4924366066892199E-3</v>
      </c>
      <c r="X102" s="10">
        <v>1.06163301141352</v>
      </c>
      <c r="Y102" s="10">
        <v>1.05986570061559</v>
      </c>
      <c r="Z102" s="10">
        <v>1.05933063531202</v>
      </c>
      <c r="AA102" s="10">
        <v>1.0601244781294401</v>
      </c>
      <c r="AB102" s="8">
        <v>60.359351650058002</v>
      </c>
      <c r="AC102" s="8">
        <v>60.320785285739703</v>
      </c>
      <c r="AD102" s="8">
        <v>60.369834582580303</v>
      </c>
      <c r="AE102" s="9">
        <v>-1.6660968934139599E-3</v>
      </c>
      <c r="AF102" s="9">
        <v>-2.30524707355895E-3</v>
      </c>
      <c r="AG102" s="9">
        <v>-1.4924366066892199E-3</v>
      </c>
      <c r="AZ102" s="9"/>
      <c r="BB102">
        <f t="shared" si="22"/>
        <v>0</v>
      </c>
      <c r="BC102">
        <f t="shared" si="23"/>
        <v>0</v>
      </c>
      <c r="BD102">
        <f t="shared" si="24"/>
        <v>0</v>
      </c>
      <c r="BE102">
        <f t="shared" si="20"/>
        <v>1</v>
      </c>
      <c r="BF102">
        <f t="shared" si="25"/>
        <v>0</v>
      </c>
      <c r="BG102" s="9">
        <f t="shared" si="26"/>
        <v>0</v>
      </c>
      <c r="BH102" s="9">
        <f t="shared" si="27"/>
        <v>0</v>
      </c>
      <c r="BI102" s="9">
        <f t="shared" si="28"/>
        <v>0</v>
      </c>
      <c r="BJ102" s="12">
        <f t="shared" si="29"/>
        <v>-6.1528722661166688E-4</v>
      </c>
      <c r="BL102" s="9"/>
      <c r="BN102">
        <f t="shared" si="30"/>
        <v>0</v>
      </c>
      <c r="BO102">
        <f t="shared" si="31"/>
        <v>1</v>
      </c>
      <c r="BP102">
        <f t="shared" si="32"/>
        <v>0</v>
      </c>
      <c r="BQ102">
        <f t="shared" si="21"/>
        <v>1</v>
      </c>
      <c r="BR102">
        <f t="shared" si="33"/>
        <v>0</v>
      </c>
      <c r="BS102" s="9">
        <f t="shared" si="34"/>
        <v>0</v>
      </c>
      <c r="BT102" s="9">
        <f t="shared" si="35"/>
        <v>0</v>
      </c>
      <c r="BU102" s="9">
        <f t="shared" si="36"/>
        <v>0</v>
      </c>
      <c r="BV102" s="12">
        <f t="shared" si="37"/>
        <v>4.7674941486541261E-3</v>
      </c>
      <c r="BX102" s="12">
        <f t="shared" si="38"/>
        <v>0</v>
      </c>
      <c r="BY102" s="12">
        <f t="shared" si="39"/>
        <v>4.1522069220424592E-3</v>
      </c>
    </row>
    <row r="103" spans="1:77" x14ac:dyDescent="0.3">
      <c r="A103" s="1">
        <v>46171</v>
      </c>
      <c r="B103" s="8">
        <v>56.29</v>
      </c>
      <c r="C103" s="8">
        <v>59.84</v>
      </c>
      <c r="D103" s="9">
        <v>-1.16567904172559E-2</v>
      </c>
      <c r="E103" s="9">
        <v>-1.03076556850901E-2</v>
      </c>
      <c r="F103" s="8">
        <v>0</v>
      </c>
      <c r="G103" s="8">
        <v>0.38519999999999999</v>
      </c>
      <c r="H103" s="8">
        <v>0</v>
      </c>
      <c r="I103" s="8">
        <v>0.30669999999999997</v>
      </c>
      <c r="J103" s="8">
        <v>0</v>
      </c>
      <c r="K103" s="8">
        <v>0</v>
      </c>
      <c r="L103" s="8">
        <v>56.29</v>
      </c>
      <c r="M103" s="8">
        <v>59.84</v>
      </c>
      <c r="N103" s="10">
        <v>1.0630662639900501</v>
      </c>
      <c r="O103" s="10">
        <v>1.0596043809708899</v>
      </c>
      <c r="P103" s="10">
        <v>1.05962727376545</v>
      </c>
      <c r="Q103" s="10">
        <v>1.06029371756532</v>
      </c>
      <c r="R103" s="8">
        <v>59.645130604851701</v>
      </c>
      <c r="S103" s="8">
        <v>59.629721461713999</v>
      </c>
      <c r="T103" s="8">
        <v>59.6744068739063</v>
      </c>
      <c r="U103" s="9">
        <v>-3.2618212314372702E-3</v>
      </c>
      <c r="V103" s="9">
        <v>-3.5202016520607098E-3</v>
      </c>
      <c r="W103" s="9">
        <v>-2.7711007633445298E-3</v>
      </c>
      <c r="X103" s="10">
        <v>1.0630662639900501</v>
      </c>
      <c r="Y103" s="10">
        <v>1.05986570061559</v>
      </c>
      <c r="Z103" s="10">
        <v>1.05962727376545</v>
      </c>
      <c r="AA103" s="10">
        <v>1.06029371756532</v>
      </c>
      <c r="AB103" s="8">
        <v>59.659840287651697</v>
      </c>
      <c r="AC103" s="8">
        <v>59.629721461713999</v>
      </c>
      <c r="AD103" s="8">
        <v>59.6744068739063</v>
      </c>
      <c r="AE103" s="9">
        <v>-3.0152316255799201E-3</v>
      </c>
      <c r="AF103" s="9">
        <v>-3.5202016520607098E-3</v>
      </c>
      <c r="AG103" s="9">
        <v>-2.7711007633445298E-3</v>
      </c>
      <c r="AZ103" s="9"/>
      <c r="BB103">
        <f t="shared" si="22"/>
        <v>1</v>
      </c>
      <c r="BC103">
        <f t="shared" si="23"/>
        <v>0</v>
      </c>
      <c r="BD103">
        <f t="shared" si="24"/>
        <v>0</v>
      </c>
      <c r="BE103">
        <f t="shared" si="20"/>
        <v>1</v>
      </c>
      <c r="BF103">
        <f t="shared" si="25"/>
        <v>0</v>
      </c>
      <c r="BG103" s="9">
        <f t="shared" si="26"/>
        <v>0</v>
      </c>
      <c r="BH103" s="9">
        <f t="shared" si="27"/>
        <v>0</v>
      </c>
      <c r="BI103" s="9">
        <f t="shared" si="28"/>
        <v>0</v>
      </c>
      <c r="BJ103" s="12">
        <f t="shared" si="29"/>
        <v>-6.1528722661166688E-4</v>
      </c>
      <c r="BL103" s="9"/>
      <c r="BN103">
        <f t="shared" si="30"/>
        <v>0</v>
      </c>
      <c r="BO103">
        <f t="shared" si="31"/>
        <v>1</v>
      </c>
      <c r="BP103">
        <f t="shared" si="32"/>
        <v>0</v>
      </c>
      <c r="BQ103">
        <f t="shared" si="21"/>
        <v>1</v>
      </c>
      <c r="BR103">
        <f t="shared" si="33"/>
        <v>0</v>
      </c>
      <c r="BS103" s="9">
        <f t="shared" si="34"/>
        <v>0</v>
      </c>
      <c r="BT103" s="9">
        <f t="shared" si="35"/>
        <v>0</v>
      </c>
      <c r="BU103" s="9">
        <f t="shared" si="36"/>
        <v>0</v>
      </c>
      <c r="BV103" s="12">
        <f t="shared" si="37"/>
        <v>4.7674941486541261E-3</v>
      </c>
      <c r="BX103" s="12">
        <f t="shared" si="38"/>
        <v>0</v>
      </c>
      <c r="BY103" s="12">
        <f t="shared" si="39"/>
        <v>4.1522069220424592E-3</v>
      </c>
    </row>
    <row r="104" spans="1:77" x14ac:dyDescent="0.3">
      <c r="A104" s="1">
        <v>46174</v>
      </c>
      <c r="B104" s="8">
        <v>57.3</v>
      </c>
      <c r="C104" s="8">
        <v>60.86</v>
      </c>
      <c r="D104" s="9">
        <v>1.77837242447586E-2</v>
      </c>
      <c r="E104" s="9">
        <v>1.6901810802603199E-2</v>
      </c>
      <c r="F104" s="8">
        <v>0</v>
      </c>
      <c r="G104" s="8">
        <v>0.38519999999999999</v>
      </c>
      <c r="H104" s="8">
        <v>0</v>
      </c>
      <c r="I104" s="8">
        <v>0.30669999999999997</v>
      </c>
      <c r="J104" s="8">
        <v>0</v>
      </c>
      <c r="K104" s="8">
        <v>0</v>
      </c>
      <c r="L104" s="8">
        <v>57.3</v>
      </c>
      <c r="M104" s="8">
        <v>60.86</v>
      </c>
      <c r="N104" s="10">
        <v>1.0621291448516501</v>
      </c>
      <c r="O104" s="10">
        <v>1.0596043809708899</v>
      </c>
      <c r="P104" s="10">
        <v>1.0599182501617801</v>
      </c>
      <c r="Q104" s="10">
        <v>1.06032455883509</v>
      </c>
      <c r="R104" s="8">
        <v>60.715331029632303</v>
      </c>
      <c r="S104" s="8">
        <v>60.716642786760303</v>
      </c>
      <c r="T104" s="8">
        <v>60.754830016493003</v>
      </c>
      <c r="U104" s="9">
        <v>-2.3799077892818102E-3</v>
      </c>
      <c r="V104" s="9">
        <v>-2.3583029831205399E-3</v>
      </c>
      <c r="W104" s="9">
        <v>-1.7295589643070599E-3</v>
      </c>
      <c r="X104" s="10">
        <v>1.0621291448516501</v>
      </c>
      <c r="Y104" s="10">
        <v>1.05986570061559</v>
      </c>
      <c r="Z104" s="10">
        <v>1.0599182501617801</v>
      </c>
      <c r="AA104" s="10">
        <v>1.06032455883509</v>
      </c>
      <c r="AB104" s="8">
        <v>60.730304645273499</v>
      </c>
      <c r="AC104" s="8">
        <v>60.716642786760197</v>
      </c>
      <c r="AD104" s="8">
        <v>60.754830016493003</v>
      </c>
      <c r="AE104" s="9">
        <v>-2.13331818342448E-3</v>
      </c>
      <c r="AF104" s="9">
        <v>-2.3583029831207602E-3</v>
      </c>
      <c r="AG104" s="9">
        <v>-1.7295589643070599E-3</v>
      </c>
      <c r="AZ104" s="9"/>
      <c r="BB104">
        <f t="shared" si="22"/>
        <v>0</v>
      </c>
      <c r="BC104">
        <f t="shared" si="23"/>
        <v>0</v>
      </c>
      <c r="BD104">
        <f t="shared" si="24"/>
        <v>1</v>
      </c>
      <c r="BE104">
        <f t="shared" si="20"/>
        <v>1</v>
      </c>
      <c r="BF104">
        <f t="shared" si="25"/>
        <v>1</v>
      </c>
      <c r="BG104" s="9">
        <f t="shared" si="26"/>
        <v>1.77837242447586E-2</v>
      </c>
      <c r="BH104" s="9">
        <f t="shared" si="27"/>
        <v>-1.6901810802603199E-2</v>
      </c>
      <c r="BI104" s="9">
        <f t="shared" si="28"/>
        <v>8.8191344215540063E-4</v>
      </c>
      <c r="BJ104" s="12">
        <f t="shared" si="29"/>
        <v>2.6662621554373375E-4</v>
      </c>
      <c r="BL104" s="9"/>
      <c r="BN104">
        <f t="shared" si="30"/>
        <v>0</v>
      </c>
      <c r="BO104">
        <f t="shared" si="31"/>
        <v>1</v>
      </c>
      <c r="BP104">
        <f t="shared" si="32"/>
        <v>0</v>
      </c>
      <c r="BQ104">
        <f t="shared" si="21"/>
        <v>1</v>
      </c>
      <c r="BR104">
        <f t="shared" si="33"/>
        <v>0</v>
      </c>
      <c r="BS104" s="9">
        <f t="shared" si="34"/>
        <v>0</v>
      </c>
      <c r="BT104" s="9">
        <f t="shared" si="35"/>
        <v>0</v>
      </c>
      <c r="BU104" s="9">
        <f t="shared" si="36"/>
        <v>0</v>
      </c>
      <c r="BV104" s="12">
        <f t="shared" si="37"/>
        <v>4.7674941486541261E-3</v>
      </c>
      <c r="BX104" s="12">
        <f t="shared" si="38"/>
        <v>8.8191344215540063E-4</v>
      </c>
      <c r="BY104" s="12">
        <f t="shared" si="39"/>
        <v>5.0341203641978598E-3</v>
      </c>
    </row>
    <row r="105" spans="1:77" x14ac:dyDescent="0.3">
      <c r="A105" s="1">
        <v>46175</v>
      </c>
      <c r="B105" s="8">
        <v>57.96</v>
      </c>
      <c r="C105" s="8">
        <v>61.56</v>
      </c>
      <c r="D105" s="9">
        <v>1.1452493731787699E-2</v>
      </c>
      <c r="E105" s="9">
        <v>1.14361645018534E-2</v>
      </c>
      <c r="F105" s="8">
        <v>0</v>
      </c>
      <c r="G105" s="8">
        <v>0.38519999999999999</v>
      </c>
      <c r="H105" s="8">
        <v>0</v>
      </c>
      <c r="I105" s="8">
        <v>0.30669999999999997</v>
      </c>
      <c r="J105" s="8">
        <v>0</v>
      </c>
      <c r="K105" s="8">
        <v>0</v>
      </c>
      <c r="L105" s="8">
        <v>57.96</v>
      </c>
      <c r="M105" s="8">
        <v>61.56</v>
      </c>
      <c r="N105" s="10">
        <v>1.0621118012422299</v>
      </c>
      <c r="O105" s="10">
        <v>1.0596043809708899</v>
      </c>
      <c r="P105" s="10">
        <v>1.0603354388696999</v>
      </c>
      <c r="Q105" s="10">
        <v>1.06037407885174</v>
      </c>
      <c r="R105" s="8">
        <v>61.414669921073099</v>
      </c>
      <c r="S105" s="8">
        <v>61.432861779377099</v>
      </c>
      <c r="T105" s="8">
        <v>61.456411430081999</v>
      </c>
      <c r="U105" s="9">
        <v>-2.36357855934753E-3</v>
      </c>
      <c r="V105" s="9">
        <v>-2.0674088571935702E-3</v>
      </c>
      <c r="W105" s="9">
        <v>-1.6841426797941899E-3</v>
      </c>
      <c r="X105" s="10">
        <v>1.0621118012422299</v>
      </c>
      <c r="Y105" s="10">
        <v>1.05986570061559</v>
      </c>
      <c r="Z105" s="10">
        <v>1.0603354388696999</v>
      </c>
      <c r="AA105" s="10">
        <v>1.06037407885174</v>
      </c>
      <c r="AB105" s="8">
        <v>61.429816007679797</v>
      </c>
      <c r="AC105" s="8">
        <v>61.432861779377099</v>
      </c>
      <c r="AD105" s="8">
        <v>61.456411430081999</v>
      </c>
      <c r="AE105" s="9">
        <v>-2.1169889534900601E-3</v>
      </c>
      <c r="AF105" s="9">
        <v>-2.0674088571933499E-3</v>
      </c>
      <c r="AG105" s="9">
        <v>-1.6841426797941899E-3</v>
      </c>
      <c r="AZ105" s="9"/>
      <c r="BB105">
        <f t="shared" si="22"/>
        <v>0</v>
      </c>
      <c r="BC105">
        <f t="shared" si="23"/>
        <v>0</v>
      </c>
      <c r="BD105">
        <f t="shared" si="24"/>
        <v>1</v>
      </c>
      <c r="BE105">
        <f t="shared" si="20"/>
        <v>1</v>
      </c>
      <c r="BF105">
        <f t="shared" si="25"/>
        <v>1</v>
      </c>
      <c r="BG105" s="9">
        <f t="shared" si="26"/>
        <v>1.1452493731787699E-2</v>
      </c>
      <c r="BH105" s="9">
        <f t="shared" si="27"/>
        <v>-1.14361645018534E-2</v>
      </c>
      <c r="BI105" s="9">
        <f t="shared" si="28"/>
        <v>1.6329229934299722E-5</v>
      </c>
      <c r="BJ105" s="12">
        <f t="shared" si="29"/>
        <v>2.8295544547803347E-4</v>
      </c>
      <c r="BL105" s="9"/>
      <c r="BN105">
        <f t="shared" si="30"/>
        <v>0</v>
      </c>
      <c r="BO105">
        <f t="shared" si="31"/>
        <v>1</v>
      </c>
      <c r="BP105">
        <f t="shared" si="32"/>
        <v>0</v>
      </c>
      <c r="BQ105">
        <f t="shared" si="21"/>
        <v>1</v>
      </c>
      <c r="BR105">
        <f t="shared" si="33"/>
        <v>0</v>
      </c>
      <c r="BS105" s="9">
        <f t="shared" si="34"/>
        <v>0</v>
      </c>
      <c r="BT105" s="9">
        <f t="shared" si="35"/>
        <v>0</v>
      </c>
      <c r="BU105" s="9">
        <f t="shared" si="36"/>
        <v>0</v>
      </c>
      <c r="BV105" s="12">
        <f t="shared" si="37"/>
        <v>4.7674941486541261E-3</v>
      </c>
      <c r="BX105" s="12">
        <f t="shared" si="38"/>
        <v>1.6329229934299722E-5</v>
      </c>
      <c r="BY105" s="12">
        <f t="shared" si="39"/>
        <v>5.0504495941321595E-3</v>
      </c>
    </row>
    <row r="106" spans="1:77" x14ac:dyDescent="0.3">
      <c r="A106" s="1">
        <v>46176</v>
      </c>
      <c r="B106" s="8">
        <v>58.71</v>
      </c>
      <c r="C106" s="8">
        <v>62.38</v>
      </c>
      <c r="D106" s="9">
        <v>1.2856952623612999E-2</v>
      </c>
      <c r="E106" s="9">
        <v>1.32324022089788E-2</v>
      </c>
      <c r="F106" s="8">
        <v>0</v>
      </c>
      <c r="G106" s="8">
        <v>0.38519999999999999</v>
      </c>
      <c r="H106" s="8">
        <v>0</v>
      </c>
      <c r="I106" s="8">
        <v>0.30669999999999997</v>
      </c>
      <c r="J106" s="8">
        <v>0</v>
      </c>
      <c r="K106" s="8">
        <v>0</v>
      </c>
      <c r="L106" s="8">
        <v>58.71</v>
      </c>
      <c r="M106" s="8">
        <v>62.38</v>
      </c>
      <c r="N106" s="10">
        <v>1.0625106455458999</v>
      </c>
      <c r="O106" s="10">
        <v>1.0596043809708899</v>
      </c>
      <c r="P106" s="10">
        <v>1.06099015818036</v>
      </c>
      <c r="Q106" s="10">
        <v>1.06043821499783</v>
      </c>
      <c r="R106" s="8">
        <v>62.209373206801203</v>
      </c>
      <c r="S106" s="8">
        <v>62.252293616040099</v>
      </c>
      <c r="T106" s="8">
        <v>62.2545621693858</v>
      </c>
      <c r="U106" s="9">
        <v>-2.73902814471331E-3</v>
      </c>
      <c r="V106" s="9">
        <v>-2.0493312760161099E-3</v>
      </c>
      <c r="W106" s="9">
        <v>-2.0128906586436902E-3</v>
      </c>
      <c r="X106" s="10">
        <v>1.0625106455458999</v>
      </c>
      <c r="Y106" s="10">
        <v>1.05986570061559</v>
      </c>
      <c r="Z106" s="10">
        <v>1.06099015818036</v>
      </c>
      <c r="AA106" s="10">
        <v>1.06043821499783</v>
      </c>
      <c r="AB106" s="8">
        <v>62.224715283141499</v>
      </c>
      <c r="AC106" s="8">
        <v>62.252293616040099</v>
      </c>
      <c r="AD106" s="8">
        <v>62.2545621693858</v>
      </c>
      <c r="AE106" s="9">
        <v>-2.4924385388559399E-3</v>
      </c>
      <c r="AF106" s="9">
        <v>-2.0493312760161099E-3</v>
      </c>
      <c r="AG106" s="9">
        <v>-2.0128906586436902E-3</v>
      </c>
      <c r="AZ106" s="9"/>
      <c r="BB106">
        <f t="shared" si="22"/>
        <v>1</v>
      </c>
      <c r="BC106">
        <f t="shared" si="23"/>
        <v>0</v>
      </c>
      <c r="BD106">
        <f t="shared" si="24"/>
        <v>1</v>
      </c>
      <c r="BE106">
        <f t="shared" si="20"/>
        <v>1</v>
      </c>
      <c r="BF106">
        <f t="shared" si="25"/>
        <v>1</v>
      </c>
      <c r="BG106" s="9">
        <f t="shared" si="26"/>
        <v>1.2856952623612999E-2</v>
      </c>
      <c r="BH106" s="9">
        <f t="shared" si="27"/>
        <v>-1.32324022089788E-2</v>
      </c>
      <c r="BI106" s="9">
        <f t="shared" si="28"/>
        <v>-3.7544958536580089E-4</v>
      </c>
      <c r="BJ106" s="12">
        <f t="shared" si="29"/>
        <v>-9.2494139887767425E-5</v>
      </c>
      <c r="BL106" s="9"/>
      <c r="BN106">
        <f t="shared" si="30"/>
        <v>0</v>
      </c>
      <c r="BO106">
        <f t="shared" si="31"/>
        <v>1</v>
      </c>
      <c r="BP106">
        <f t="shared" si="32"/>
        <v>0</v>
      </c>
      <c r="BQ106">
        <f t="shared" si="21"/>
        <v>1</v>
      </c>
      <c r="BR106">
        <f t="shared" si="33"/>
        <v>0</v>
      </c>
      <c r="BS106" s="9">
        <f t="shared" si="34"/>
        <v>0</v>
      </c>
      <c r="BT106" s="9">
        <f t="shared" si="35"/>
        <v>0</v>
      </c>
      <c r="BU106" s="9">
        <f t="shared" si="36"/>
        <v>0</v>
      </c>
      <c r="BV106" s="12">
        <f t="shared" si="37"/>
        <v>4.7674941486541261E-3</v>
      </c>
      <c r="BX106" s="12">
        <f t="shared" si="38"/>
        <v>-3.7544958536580089E-4</v>
      </c>
      <c r="BY106" s="12">
        <f t="shared" si="39"/>
        <v>4.6750000087663586E-3</v>
      </c>
    </row>
    <row r="107" spans="1:77" x14ac:dyDescent="0.3">
      <c r="A107" s="1">
        <v>46177</v>
      </c>
      <c r="B107" s="8">
        <v>58.75</v>
      </c>
      <c r="C107" s="8">
        <v>62.4</v>
      </c>
      <c r="D107" s="9">
        <v>6.8108294817374499E-4</v>
      </c>
      <c r="E107" s="9">
        <v>3.2056419572481398E-4</v>
      </c>
      <c r="F107" s="8">
        <v>0</v>
      </c>
      <c r="G107" s="8">
        <v>0.38519999999999999</v>
      </c>
      <c r="H107" s="8">
        <v>0</v>
      </c>
      <c r="I107" s="8">
        <v>0.30669999999999997</v>
      </c>
      <c r="J107" s="8">
        <v>0</v>
      </c>
      <c r="K107" s="8">
        <v>0</v>
      </c>
      <c r="L107" s="8">
        <v>58.75</v>
      </c>
      <c r="M107" s="8">
        <v>62.4</v>
      </c>
      <c r="N107" s="10">
        <v>1.06212765957446</v>
      </c>
      <c r="O107" s="10">
        <v>1.0596043809708899</v>
      </c>
      <c r="P107" s="10">
        <v>1.0613835261444999</v>
      </c>
      <c r="Q107" s="10">
        <v>1.0604217909590099</v>
      </c>
      <c r="R107" s="8">
        <v>62.251757382040097</v>
      </c>
      <c r="S107" s="8">
        <v>62.333171793096703</v>
      </c>
      <c r="T107" s="8">
        <v>62.300745131122802</v>
      </c>
      <c r="U107" s="9">
        <v>-2.3785093922641999E-3</v>
      </c>
      <c r="V107" s="9">
        <v>-1.07153874686128E-3</v>
      </c>
      <c r="W107" s="9">
        <v>-1.59188928234524E-3</v>
      </c>
      <c r="X107" s="10">
        <v>1.06212765957446</v>
      </c>
      <c r="Y107" s="10">
        <v>1.05986570061559</v>
      </c>
      <c r="Z107" s="10">
        <v>1.0613835261444999</v>
      </c>
      <c r="AA107" s="10">
        <v>1.0604217909590099</v>
      </c>
      <c r="AB107" s="8">
        <v>62.267109911166102</v>
      </c>
      <c r="AC107" s="8">
        <v>62.333171793096597</v>
      </c>
      <c r="AD107" s="8">
        <v>62.300745131122802</v>
      </c>
      <c r="AE107" s="9">
        <v>-2.13191978640689E-3</v>
      </c>
      <c r="AF107" s="9">
        <v>-1.07153874686162E-3</v>
      </c>
      <c r="AG107" s="9">
        <v>-1.59188928234524E-3</v>
      </c>
      <c r="AZ107" s="9"/>
      <c r="BB107">
        <f t="shared" si="22"/>
        <v>0</v>
      </c>
      <c r="BC107">
        <f t="shared" si="23"/>
        <v>0</v>
      </c>
      <c r="BD107">
        <f t="shared" si="24"/>
        <v>1</v>
      </c>
      <c r="BE107">
        <f t="shared" si="20"/>
        <v>1</v>
      </c>
      <c r="BF107">
        <f t="shared" si="25"/>
        <v>1</v>
      </c>
      <c r="BG107" s="9">
        <f t="shared" si="26"/>
        <v>6.8108294817374499E-4</v>
      </c>
      <c r="BH107" s="9">
        <f t="shared" si="27"/>
        <v>-3.2056419572481398E-4</v>
      </c>
      <c r="BI107" s="9">
        <f t="shared" si="28"/>
        <v>3.6051875244893101E-4</v>
      </c>
      <c r="BJ107" s="12">
        <f t="shared" si="29"/>
        <v>2.6802461256116358E-4</v>
      </c>
      <c r="BL107" s="9"/>
      <c r="BN107">
        <f t="shared" si="30"/>
        <v>0</v>
      </c>
      <c r="BO107">
        <f t="shared" si="31"/>
        <v>1</v>
      </c>
      <c r="BP107">
        <f t="shared" si="32"/>
        <v>0</v>
      </c>
      <c r="BQ107">
        <f t="shared" si="21"/>
        <v>1</v>
      </c>
      <c r="BR107">
        <f t="shared" si="33"/>
        <v>0</v>
      </c>
      <c r="BS107" s="9">
        <f t="shared" si="34"/>
        <v>0</v>
      </c>
      <c r="BT107" s="9">
        <f t="shared" si="35"/>
        <v>0</v>
      </c>
      <c r="BU107" s="9">
        <f t="shared" si="36"/>
        <v>0</v>
      </c>
      <c r="BV107" s="12">
        <f t="shared" si="37"/>
        <v>4.7674941486541261E-3</v>
      </c>
      <c r="BX107" s="12">
        <f t="shared" si="38"/>
        <v>3.6051875244893101E-4</v>
      </c>
      <c r="BY107" s="12">
        <f t="shared" si="39"/>
        <v>5.0355187612152897E-3</v>
      </c>
    </row>
    <row r="108" spans="1:77" x14ac:dyDescent="0.3">
      <c r="A108" s="1">
        <v>46178</v>
      </c>
      <c r="B108" s="8">
        <v>57.67</v>
      </c>
      <c r="C108" s="8">
        <v>61.09</v>
      </c>
      <c r="D108" s="9">
        <v>-1.8554045396947001E-2</v>
      </c>
      <c r="E108" s="9">
        <v>-2.1217088713706301E-2</v>
      </c>
      <c r="F108" s="8">
        <v>0</v>
      </c>
      <c r="G108" s="8">
        <v>0.38519999999999999</v>
      </c>
      <c r="H108" s="8">
        <v>0</v>
      </c>
      <c r="I108" s="8">
        <v>0.30669999999999997</v>
      </c>
      <c r="J108" s="8">
        <v>0</v>
      </c>
      <c r="K108" s="8">
        <v>0</v>
      </c>
      <c r="L108" s="8">
        <v>57.67</v>
      </c>
      <c r="M108" s="8">
        <v>61.09</v>
      </c>
      <c r="N108" s="10">
        <v>1.0593029304664401</v>
      </c>
      <c r="O108" s="10">
        <v>1.0596043809708899</v>
      </c>
      <c r="P108" s="10">
        <v>1.0613100985755499</v>
      </c>
      <c r="Q108" s="10">
        <v>1.0603038275627601</v>
      </c>
      <c r="R108" s="8">
        <v>61.107384650591499</v>
      </c>
      <c r="S108" s="8">
        <v>61.2099879527536</v>
      </c>
      <c r="T108" s="8">
        <v>61.1545246846064</v>
      </c>
      <c r="U108" s="9">
        <v>2.84533924495035E-4</v>
      </c>
      <c r="V108" s="9">
        <v>1.9621913830124302E-3</v>
      </c>
      <c r="W108" s="9">
        <v>1.0556659411173001E-3</v>
      </c>
      <c r="X108" s="10">
        <v>1.0593029304664401</v>
      </c>
      <c r="Y108" s="10">
        <v>1.05986570061559</v>
      </c>
      <c r="Z108" s="10">
        <v>1.0613100985755499</v>
      </c>
      <c r="AA108" s="10">
        <v>1.0603038275627601</v>
      </c>
      <c r="AB108" s="8">
        <v>61.122454954501301</v>
      </c>
      <c r="AC108" s="8">
        <v>61.2099879527536</v>
      </c>
      <c r="AD108" s="8">
        <v>61.1545246846064</v>
      </c>
      <c r="AE108" s="9">
        <v>5.3112353035251797E-4</v>
      </c>
      <c r="AF108" s="9">
        <v>1.9621913830122099E-3</v>
      </c>
      <c r="AG108" s="9">
        <v>1.0556659411173001E-3</v>
      </c>
      <c r="AZ108" s="9"/>
      <c r="BB108">
        <f t="shared" si="22"/>
        <v>0</v>
      </c>
      <c r="BC108">
        <f t="shared" si="23"/>
        <v>1</v>
      </c>
      <c r="BD108">
        <f t="shared" si="24"/>
        <v>1</v>
      </c>
      <c r="BE108">
        <f t="shared" si="20"/>
        <v>1</v>
      </c>
      <c r="BF108">
        <f t="shared" si="25"/>
        <v>1</v>
      </c>
      <c r="BG108" s="9">
        <f t="shared" si="26"/>
        <v>-1.8554045396947001E-2</v>
      </c>
      <c r="BH108" s="9">
        <f t="shared" si="27"/>
        <v>2.1217088713706301E-2</v>
      </c>
      <c r="BI108" s="9">
        <f t="shared" si="28"/>
        <v>2.6630433167592997E-3</v>
      </c>
      <c r="BJ108" s="12">
        <f t="shared" si="29"/>
        <v>2.9310679293204633E-3</v>
      </c>
      <c r="BL108" s="9"/>
      <c r="BN108">
        <f t="shared" si="30"/>
        <v>0</v>
      </c>
      <c r="BO108">
        <f t="shared" si="31"/>
        <v>0</v>
      </c>
      <c r="BP108">
        <f t="shared" si="32"/>
        <v>0</v>
      </c>
      <c r="BQ108">
        <f t="shared" si="21"/>
        <v>1</v>
      </c>
      <c r="BR108">
        <f t="shared" si="33"/>
        <v>0</v>
      </c>
      <c r="BS108" s="9">
        <f t="shared" si="34"/>
        <v>0</v>
      </c>
      <c r="BT108" s="9">
        <f t="shared" si="35"/>
        <v>0</v>
      </c>
      <c r="BU108" s="9">
        <f t="shared" si="36"/>
        <v>0</v>
      </c>
      <c r="BV108" s="12">
        <f t="shared" si="37"/>
        <v>4.7674941486541261E-3</v>
      </c>
      <c r="BX108" s="12">
        <f t="shared" si="38"/>
        <v>2.6630433167592997E-3</v>
      </c>
      <c r="BY108" s="12">
        <f t="shared" si="39"/>
        <v>7.6985620779745894E-3</v>
      </c>
    </row>
    <row r="109" spans="1:77" x14ac:dyDescent="0.3">
      <c r="A109" s="1">
        <v>46181</v>
      </c>
      <c r="B109" s="8">
        <v>58.33</v>
      </c>
      <c r="C109" s="8">
        <v>61.76</v>
      </c>
      <c r="D109" s="9">
        <v>1.1379433138224799E-2</v>
      </c>
      <c r="E109" s="9">
        <v>1.0907719054844899E-2</v>
      </c>
      <c r="F109" s="8">
        <v>0</v>
      </c>
      <c r="G109" s="8">
        <v>0.38519999999999999</v>
      </c>
      <c r="H109" s="8">
        <v>0</v>
      </c>
      <c r="I109" s="8">
        <v>0.30669999999999997</v>
      </c>
      <c r="J109" s="8">
        <v>0</v>
      </c>
      <c r="K109" s="8">
        <v>0</v>
      </c>
      <c r="L109" s="8">
        <v>58.33</v>
      </c>
      <c r="M109" s="8">
        <v>61.76</v>
      </c>
      <c r="N109" s="10">
        <v>1.0588033601920099</v>
      </c>
      <c r="O109" s="10">
        <v>1.0596043809708899</v>
      </c>
      <c r="P109" s="10">
        <v>1.0613239024044701</v>
      </c>
      <c r="Q109" s="10">
        <v>1.0602009076010901</v>
      </c>
      <c r="R109" s="8">
        <v>61.806723542032302</v>
      </c>
      <c r="S109" s="8">
        <v>61.906218049912198</v>
      </c>
      <c r="T109" s="8">
        <v>61.847522261736202</v>
      </c>
      <c r="U109" s="9">
        <v>7.5624800787481002E-4</v>
      </c>
      <c r="V109" s="9">
        <v>2.3647220777747399E-3</v>
      </c>
      <c r="W109" s="9">
        <v>1.4161318787304499E-3</v>
      </c>
      <c r="X109" s="10">
        <v>1.0588033601920099</v>
      </c>
      <c r="Y109" s="10">
        <v>1.05986570061559</v>
      </c>
      <c r="Z109" s="10">
        <v>1.0613239024044701</v>
      </c>
      <c r="AA109" s="10">
        <v>1.0602009076010901</v>
      </c>
      <c r="AB109" s="8">
        <v>61.821966316907499</v>
      </c>
      <c r="AC109" s="8">
        <v>61.906218049912198</v>
      </c>
      <c r="AD109" s="8">
        <v>61.847522261736202</v>
      </c>
      <c r="AE109" s="9">
        <v>1.0028376137322999E-3</v>
      </c>
      <c r="AF109" s="9">
        <v>2.3647220777747399E-3</v>
      </c>
      <c r="AG109" s="9">
        <v>1.4161318787304499E-3</v>
      </c>
      <c r="AZ109" s="9"/>
      <c r="BB109">
        <f t="shared" si="22"/>
        <v>0</v>
      </c>
      <c r="BC109">
        <f t="shared" si="23"/>
        <v>1</v>
      </c>
      <c r="BD109">
        <f t="shared" si="24"/>
        <v>0</v>
      </c>
      <c r="BE109">
        <f t="shared" si="20"/>
        <v>1</v>
      </c>
      <c r="BF109">
        <f t="shared" si="25"/>
        <v>0</v>
      </c>
      <c r="BG109" s="9">
        <f t="shared" si="26"/>
        <v>0</v>
      </c>
      <c r="BH109" s="9">
        <f t="shared" si="27"/>
        <v>0</v>
      </c>
      <c r="BI109" s="9">
        <f t="shared" si="28"/>
        <v>0</v>
      </c>
      <c r="BJ109" s="12">
        <f t="shared" si="29"/>
        <v>2.9310679293204633E-3</v>
      </c>
      <c r="BL109" s="9"/>
      <c r="BN109">
        <f t="shared" si="30"/>
        <v>0</v>
      </c>
      <c r="BO109">
        <f t="shared" si="31"/>
        <v>0</v>
      </c>
      <c r="BP109">
        <f t="shared" si="32"/>
        <v>0</v>
      </c>
      <c r="BQ109">
        <f t="shared" si="21"/>
        <v>1</v>
      </c>
      <c r="BR109">
        <f t="shared" si="33"/>
        <v>0</v>
      </c>
      <c r="BS109" s="9">
        <f t="shared" si="34"/>
        <v>0</v>
      </c>
      <c r="BT109" s="9">
        <f t="shared" si="35"/>
        <v>0</v>
      </c>
      <c r="BU109" s="9">
        <f t="shared" si="36"/>
        <v>0</v>
      </c>
      <c r="BV109" s="12">
        <f t="shared" si="37"/>
        <v>4.7674941486541261E-3</v>
      </c>
      <c r="BX109" s="12">
        <f t="shared" si="38"/>
        <v>0</v>
      </c>
      <c r="BY109" s="12">
        <f t="shared" si="39"/>
        <v>7.6985620779745894E-3</v>
      </c>
    </row>
    <row r="110" spans="1:77" x14ac:dyDescent="0.3">
      <c r="A110" s="1">
        <v>46182</v>
      </c>
      <c r="B110" s="8">
        <v>57.39</v>
      </c>
      <c r="C110" s="8">
        <v>60.79</v>
      </c>
      <c r="D110" s="9">
        <v>-1.6246468645275E-2</v>
      </c>
      <c r="E110" s="9">
        <v>-1.5830603955889502E-2</v>
      </c>
      <c r="F110" s="8">
        <v>0</v>
      </c>
      <c r="G110" s="8">
        <v>0.38519999999999999</v>
      </c>
      <c r="H110" s="8">
        <v>0</v>
      </c>
      <c r="I110" s="8">
        <v>0.30669999999999997</v>
      </c>
      <c r="J110" s="8">
        <v>0</v>
      </c>
      <c r="K110" s="8">
        <v>0</v>
      </c>
      <c r="L110" s="8">
        <v>57.39</v>
      </c>
      <c r="M110" s="8">
        <v>60.79</v>
      </c>
      <c r="N110" s="10">
        <v>1.0592437706917499</v>
      </c>
      <c r="O110" s="10">
        <v>1.0596043809708899</v>
      </c>
      <c r="P110" s="10">
        <v>1.0611290054892</v>
      </c>
      <c r="Q110" s="10">
        <v>1.0601370335154201</v>
      </c>
      <c r="R110" s="8">
        <v>60.810695423919597</v>
      </c>
      <c r="S110" s="8">
        <v>60.909378758992702</v>
      </c>
      <c r="T110" s="8">
        <v>60.8449300872267</v>
      </c>
      <c r="U110" s="9">
        <v>3.4038331848945799E-4</v>
      </c>
      <c r="V110" s="9">
        <v>1.96186370875429E-3</v>
      </c>
      <c r="W110" s="9">
        <v>9.031959967669E-4</v>
      </c>
      <c r="X110" s="10">
        <v>1.0592437706917499</v>
      </c>
      <c r="Y110" s="10">
        <v>1.05986570061559</v>
      </c>
      <c r="Z110" s="10">
        <v>1.0611290054892</v>
      </c>
      <c r="AA110" s="10">
        <v>1.0601370335154201</v>
      </c>
      <c r="AB110" s="8">
        <v>60.825692558328903</v>
      </c>
      <c r="AC110" s="8">
        <v>60.909378758992702</v>
      </c>
      <c r="AD110" s="8">
        <v>60.8449300872267</v>
      </c>
      <c r="AE110" s="9">
        <v>5.8697292434679101E-4</v>
      </c>
      <c r="AF110" s="9">
        <v>1.96186370875429E-3</v>
      </c>
      <c r="AG110" s="9">
        <v>9.031959967669E-4</v>
      </c>
      <c r="AZ110" s="9"/>
      <c r="BB110">
        <f t="shared" si="22"/>
        <v>0</v>
      </c>
      <c r="BC110">
        <f t="shared" si="23"/>
        <v>1</v>
      </c>
      <c r="BD110">
        <f t="shared" si="24"/>
        <v>0</v>
      </c>
      <c r="BE110">
        <f t="shared" si="20"/>
        <v>1</v>
      </c>
      <c r="BF110">
        <f t="shared" si="25"/>
        <v>0</v>
      </c>
      <c r="BG110" s="9">
        <f t="shared" si="26"/>
        <v>0</v>
      </c>
      <c r="BH110" s="9">
        <f t="shared" si="27"/>
        <v>0</v>
      </c>
      <c r="BI110" s="9">
        <f t="shared" si="28"/>
        <v>0</v>
      </c>
      <c r="BJ110" s="12">
        <f t="shared" si="29"/>
        <v>2.9310679293204633E-3</v>
      </c>
      <c r="BL110" s="9"/>
      <c r="BN110">
        <f t="shared" si="30"/>
        <v>0</v>
      </c>
      <c r="BO110">
        <f t="shared" si="31"/>
        <v>0</v>
      </c>
      <c r="BP110">
        <f t="shared" si="32"/>
        <v>0</v>
      </c>
      <c r="BQ110">
        <f t="shared" si="21"/>
        <v>1</v>
      </c>
      <c r="BR110">
        <f t="shared" si="33"/>
        <v>0</v>
      </c>
      <c r="BS110" s="9">
        <f t="shared" si="34"/>
        <v>0</v>
      </c>
      <c r="BT110" s="9">
        <f t="shared" si="35"/>
        <v>0</v>
      </c>
      <c r="BU110" s="9">
        <f t="shared" si="36"/>
        <v>0</v>
      </c>
      <c r="BV110" s="12">
        <f t="shared" si="37"/>
        <v>4.7674941486541261E-3</v>
      </c>
      <c r="BX110" s="12">
        <f t="shared" si="38"/>
        <v>0</v>
      </c>
      <c r="BY110" s="12">
        <f t="shared" si="39"/>
        <v>7.6985620779745894E-3</v>
      </c>
    </row>
    <row r="111" spans="1:77" x14ac:dyDescent="0.3">
      <c r="A111" s="1">
        <v>46183</v>
      </c>
      <c r="B111" s="8">
        <v>58.25</v>
      </c>
      <c r="C111" s="8">
        <v>61.66</v>
      </c>
      <c r="D111" s="9">
        <v>1.4874020325538801E-2</v>
      </c>
      <c r="E111" s="9">
        <v>1.42101206973731E-2</v>
      </c>
      <c r="F111" s="8">
        <v>0</v>
      </c>
      <c r="G111" s="8">
        <v>0.38519999999999999</v>
      </c>
      <c r="H111" s="8">
        <v>0</v>
      </c>
      <c r="I111" s="8">
        <v>0.30669999999999997</v>
      </c>
      <c r="J111" s="8">
        <v>0</v>
      </c>
      <c r="K111" s="8">
        <v>0</v>
      </c>
      <c r="L111" s="8">
        <v>58.25</v>
      </c>
      <c r="M111" s="8">
        <v>61.66</v>
      </c>
      <c r="N111" s="10">
        <v>1.05854077253218</v>
      </c>
      <c r="O111" s="10">
        <v>1.0596043809708899</v>
      </c>
      <c r="P111" s="10">
        <v>1.0609469360500201</v>
      </c>
      <c r="Q111" s="10">
        <v>1.06006771987522</v>
      </c>
      <c r="R111" s="8">
        <v>61.721955191554599</v>
      </c>
      <c r="S111" s="8">
        <v>61.810764569746297</v>
      </c>
      <c r="T111" s="8">
        <v>61.7529822022735</v>
      </c>
      <c r="U111" s="9">
        <v>1.0042829466551299E-3</v>
      </c>
      <c r="V111" s="9">
        <v>2.44211081385152E-3</v>
      </c>
      <c r="W111" s="9">
        <v>1.5068466575879E-3</v>
      </c>
      <c r="X111" s="10">
        <v>1.05854077253218</v>
      </c>
      <c r="Y111" s="10">
        <v>1.05986570061559</v>
      </c>
      <c r="Z111" s="10">
        <v>1.0609469360500201</v>
      </c>
      <c r="AA111" s="10">
        <v>1.06006771987522</v>
      </c>
      <c r="AB111" s="8">
        <v>61.737177060858301</v>
      </c>
      <c r="AC111" s="8">
        <v>61.810764569746297</v>
      </c>
      <c r="AD111" s="8">
        <v>61.7529822022735</v>
      </c>
      <c r="AE111" s="9">
        <v>1.2508725525125601E-3</v>
      </c>
      <c r="AF111" s="9">
        <v>2.4421108138513001E-3</v>
      </c>
      <c r="AG111" s="9">
        <v>1.5068466575879E-3</v>
      </c>
      <c r="AZ111" s="9"/>
      <c r="BB111">
        <f t="shared" si="22"/>
        <v>0</v>
      </c>
      <c r="BC111">
        <f t="shared" si="23"/>
        <v>1</v>
      </c>
      <c r="BD111">
        <f t="shared" si="24"/>
        <v>0</v>
      </c>
      <c r="BE111">
        <f t="shared" si="20"/>
        <v>1</v>
      </c>
      <c r="BF111">
        <f t="shared" si="25"/>
        <v>0</v>
      </c>
      <c r="BG111" s="9">
        <f t="shared" si="26"/>
        <v>0</v>
      </c>
      <c r="BH111" s="9">
        <f t="shared" si="27"/>
        <v>0</v>
      </c>
      <c r="BI111" s="9">
        <f t="shared" si="28"/>
        <v>0</v>
      </c>
      <c r="BJ111" s="12">
        <f t="shared" si="29"/>
        <v>2.9310679293204633E-3</v>
      </c>
      <c r="BL111" s="9"/>
      <c r="BN111">
        <f t="shared" si="30"/>
        <v>0</v>
      </c>
      <c r="BO111">
        <f t="shared" si="31"/>
        <v>0</v>
      </c>
      <c r="BP111">
        <f t="shared" si="32"/>
        <v>0</v>
      </c>
      <c r="BQ111">
        <f t="shared" si="21"/>
        <v>1</v>
      </c>
      <c r="BR111">
        <f t="shared" si="33"/>
        <v>0</v>
      </c>
      <c r="BS111" s="9">
        <f t="shared" si="34"/>
        <v>0</v>
      </c>
      <c r="BT111" s="9">
        <f t="shared" si="35"/>
        <v>0</v>
      </c>
      <c r="BU111" s="9">
        <f t="shared" si="36"/>
        <v>0</v>
      </c>
      <c r="BV111" s="12">
        <f t="shared" si="37"/>
        <v>4.7674941486541261E-3</v>
      </c>
      <c r="BX111" s="12">
        <f t="shared" si="38"/>
        <v>0</v>
      </c>
      <c r="BY111" s="12">
        <f t="shared" si="39"/>
        <v>7.6985620779745894E-3</v>
      </c>
    </row>
    <row r="112" spans="1:77" x14ac:dyDescent="0.3">
      <c r="A112" s="1">
        <v>46184</v>
      </c>
      <c r="B112" s="8">
        <v>57.12</v>
      </c>
      <c r="C112" s="8">
        <v>60.53</v>
      </c>
      <c r="D112" s="9">
        <v>-1.9589774414480898E-2</v>
      </c>
      <c r="E112" s="9">
        <v>-1.8496312554408301E-2</v>
      </c>
      <c r="F112" s="8">
        <v>0</v>
      </c>
      <c r="G112" s="8">
        <v>0.38519999999999999</v>
      </c>
      <c r="H112" s="8">
        <v>0</v>
      </c>
      <c r="I112" s="8">
        <v>0.30669999999999997</v>
      </c>
      <c r="J112" s="8">
        <v>0</v>
      </c>
      <c r="K112" s="8">
        <v>0</v>
      </c>
      <c r="L112" s="8">
        <v>57.12</v>
      </c>
      <c r="M112" s="8">
        <v>60.53</v>
      </c>
      <c r="N112" s="10">
        <v>1.0596988795518201</v>
      </c>
      <c r="O112" s="10">
        <v>1.0596043809708899</v>
      </c>
      <c r="P112" s="10">
        <v>1.0607535228638501</v>
      </c>
      <c r="Q112" s="10">
        <v>1.0600420790879399</v>
      </c>
      <c r="R112" s="8">
        <v>60.524602241057501</v>
      </c>
      <c r="S112" s="8">
        <v>60.601288987177298</v>
      </c>
      <c r="T112" s="8">
        <v>60.551068159273001</v>
      </c>
      <c r="U112" s="9">
        <v>-8.9178913417578098E-5</v>
      </c>
      <c r="V112" s="9">
        <v>1.17705336092924E-3</v>
      </c>
      <c r="W112" s="9">
        <v>3.48000885786723E-4</v>
      </c>
      <c r="X112" s="10">
        <v>1.0596988795518201</v>
      </c>
      <c r="Y112" s="10">
        <v>1.05986570061559</v>
      </c>
      <c r="Z112" s="10">
        <v>1.0607535228638501</v>
      </c>
      <c r="AA112" s="10">
        <v>1.0600420790879399</v>
      </c>
      <c r="AB112" s="8">
        <v>60.539528819162697</v>
      </c>
      <c r="AC112" s="8">
        <v>60.601288987177298</v>
      </c>
      <c r="AD112" s="8">
        <v>60.551068159273001</v>
      </c>
      <c r="AE112" s="9">
        <v>1.57410692439922E-4</v>
      </c>
      <c r="AF112" s="9">
        <v>1.17705336092924E-3</v>
      </c>
      <c r="AG112" s="9">
        <v>3.48000885786723E-4</v>
      </c>
      <c r="AZ112" s="9"/>
      <c r="BB112">
        <f t="shared" si="22"/>
        <v>0</v>
      </c>
      <c r="BC112">
        <f t="shared" si="23"/>
        <v>1</v>
      </c>
      <c r="BD112">
        <f t="shared" si="24"/>
        <v>0</v>
      </c>
      <c r="BE112">
        <f t="shared" si="20"/>
        <v>1</v>
      </c>
      <c r="BF112">
        <f t="shared" si="25"/>
        <v>0</v>
      </c>
      <c r="BG112" s="9">
        <f t="shared" si="26"/>
        <v>0</v>
      </c>
      <c r="BH112" s="9">
        <f t="shared" si="27"/>
        <v>0</v>
      </c>
      <c r="BI112" s="9">
        <f t="shared" si="28"/>
        <v>0</v>
      </c>
      <c r="BJ112" s="12">
        <f t="shared" si="29"/>
        <v>2.9310679293204633E-3</v>
      </c>
      <c r="BL112" s="9"/>
      <c r="BN112">
        <f t="shared" si="30"/>
        <v>0</v>
      </c>
      <c r="BO112">
        <f t="shared" si="31"/>
        <v>0</v>
      </c>
      <c r="BP112">
        <f t="shared" si="32"/>
        <v>0</v>
      </c>
      <c r="BQ112">
        <f t="shared" si="21"/>
        <v>1</v>
      </c>
      <c r="BR112">
        <f t="shared" si="33"/>
        <v>0</v>
      </c>
      <c r="BS112" s="9">
        <f t="shared" si="34"/>
        <v>0</v>
      </c>
      <c r="BT112" s="9">
        <f t="shared" si="35"/>
        <v>0</v>
      </c>
      <c r="BU112" s="9">
        <f t="shared" si="36"/>
        <v>0</v>
      </c>
      <c r="BV112" s="12">
        <f t="shared" si="37"/>
        <v>4.7674941486541261E-3</v>
      </c>
      <c r="BX112" s="12">
        <f t="shared" si="38"/>
        <v>0</v>
      </c>
      <c r="BY112" s="12">
        <f t="shared" si="39"/>
        <v>7.6985620779745894E-3</v>
      </c>
    </row>
    <row r="113" spans="1:77" x14ac:dyDescent="0.3">
      <c r="A113" s="1">
        <v>46185</v>
      </c>
      <c r="B113" s="8">
        <v>57.55</v>
      </c>
      <c r="C113" s="8">
        <v>60.99</v>
      </c>
      <c r="D113" s="9">
        <v>7.4998171365626698E-3</v>
      </c>
      <c r="E113" s="9">
        <v>7.5708064047691698E-3</v>
      </c>
      <c r="F113" s="8">
        <v>0</v>
      </c>
      <c r="G113" s="8">
        <v>0.38519999999999999</v>
      </c>
      <c r="H113" s="8">
        <v>0</v>
      </c>
      <c r="I113" s="8">
        <v>0.30669999999999997</v>
      </c>
      <c r="J113" s="8">
        <v>0</v>
      </c>
      <c r="K113" s="8">
        <v>0</v>
      </c>
      <c r="L113" s="8">
        <v>57.55</v>
      </c>
      <c r="M113" s="8">
        <v>60.99</v>
      </c>
      <c r="N113" s="10">
        <v>1.0597741094700199</v>
      </c>
      <c r="O113" s="10">
        <v>1.0596043809708899</v>
      </c>
      <c r="P113" s="10">
        <v>1.06042430741185</v>
      </c>
      <c r="Q113" s="10">
        <v>1.0600257905886501</v>
      </c>
      <c r="R113" s="8">
        <v>60.980232124875002</v>
      </c>
      <c r="S113" s="8">
        <v>61.046365240814801</v>
      </c>
      <c r="T113" s="8">
        <v>61.005421651511</v>
      </c>
      <c r="U113" s="9">
        <v>-1.60168181624124E-4</v>
      </c>
      <c r="V113" s="9">
        <v>9.2374506093556997E-4</v>
      </c>
      <c r="W113" s="9">
        <v>2.5282344836199402E-4</v>
      </c>
      <c r="X113" s="10">
        <v>1.0597741094700199</v>
      </c>
      <c r="Y113" s="10">
        <v>1.05986570061559</v>
      </c>
      <c r="Z113" s="10">
        <v>1.06042430741185</v>
      </c>
      <c r="AA113" s="10">
        <v>1.0600257905886501</v>
      </c>
      <c r="AB113" s="8">
        <v>60.9952710704274</v>
      </c>
      <c r="AC113" s="8">
        <v>61.046365240814801</v>
      </c>
      <c r="AD113" s="8">
        <v>61.005421651511</v>
      </c>
      <c r="AE113" s="9">
        <v>8.6421424233437596E-5</v>
      </c>
      <c r="AF113" s="9">
        <v>9.2374506093556997E-4</v>
      </c>
      <c r="AG113" s="9">
        <v>2.5282344836199402E-4</v>
      </c>
      <c r="AZ113" s="9"/>
      <c r="BB113">
        <f t="shared" si="22"/>
        <v>0</v>
      </c>
      <c r="BC113">
        <f t="shared" si="23"/>
        <v>1</v>
      </c>
      <c r="BD113">
        <f t="shared" si="24"/>
        <v>0</v>
      </c>
      <c r="BE113">
        <f t="shared" si="20"/>
        <v>0</v>
      </c>
      <c r="BF113">
        <f t="shared" si="25"/>
        <v>0</v>
      </c>
      <c r="BG113" s="9">
        <f t="shared" si="26"/>
        <v>0</v>
      </c>
      <c r="BH113" s="9">
        <f t="shared" si="27"/>
        <v>0</v>
      </c>
      <c r="BI113" s="9">
        <f t="shared" si="28"/>
        <v>0</v>
      </c>
      <c r="BJ113" s="12">
        <f t="shared" si="29"/>
        <v>2.9310679293204633E-3</v>
      </c>
      <c r="BL113" s="9"/>
      <c r="BN113">
        <f t="shared" si="30"/>
        <v>0</v>
      </c>
      <c r="BO113">
        <f t="shared" si="31"/>
        <v>0</v>
      </c>
      <c r="BP113">
        <f t="shared" si="32"/>
        <v>0</v>
      </c>
      <c r="BQ113">
        <f t="shared" si="21"/>
        <v>0</v>
      </c>
      <c r="BR113">
        <f t="shared" si="33"/>
        <v>0</v>
      </c>
      <c r="BS113" s="9">
        <f t="shared" si="34"/>
        <v>0</v>
      </c>
      <c r="BT113" s="9">
        <f t="shared" si="35"/>
        <v>0</v>
      </c>
      <c r="BU113" s="9">
        <f t="shared" si="36"/>
        <v>0</v>
      </c>
      <c r="BV113" s="12">
        <f t="shared" si="37"/>
        <v>4.7674941486541261E-3</v>
      </c>
      <c r="BX113" s="12">
        <f t="shared" si="38"/>
        <v>0</v>
      </c>
      <c r="BY113" s="12">
        <f t="shared" si="39"/>
        <v>7.6985620779745894E-3</v>
      </c>
    </row>
    <row r="114" spans="1:77" x14ac:dyDescent="0.3">
      <c r="A114" s="1">
        <v>46188</v>
      </c>
      <c r="B114" s="8">
        <v>55.55</v>
      </c>
      <c r="C114" s="8">
        <v>58.63</v>
      </c>
      <c r="D114" s="9">
        <v>-3.5370619082252697E-2</v>
      </c>
      <c r="E114" s="9">
        <v>-3.94634053322412E-2</v>
      </c>
      <c r="F114" s="8">
        <v>0</v>
      </c>
      <c r="G114" s="8">
        <v>0.38519999999999999</v>
      </c>
      <c r="H114" s="8">
        <v>0.30909999999999999</v>
      </c>
      <c r="I114" s="8">
        <v>0.61579999999999901</v>
      </c>
      <c r="J114" s="8">
        <v>0</v>
      </c>
      <c r="K114" s="8">
        <v>0.30909999999999999</v>
      </c>
      <c r="L114" s="8">
        <v>55.55</v>
      </c>
      <c r="M114" s="8">
        <v>58.939100000000003</v>
      </c>
      <c r="N114" s="10">
        <v>1.0554455445544499</v>
      </c>
      <c r="O114" s="10">
        <v>1.0596043809708899</v>
      </c>
      <c r="P114" s="10">
        <v>1.0597559473821301</v>
      </c>
      <c r="Q114" s="10">
        <v>1.0598370987719501</v>
      </c>
      <c r="R114" s="8">
        <v>58.861023362933203</v>
      </c>
      <c r="S114" s="8">
        <v>58.906570276728303</v>
      </c>
      <c r="T114" s="8">
        <v>58.884432667199498</v>
      </c>
      <c r="U114" s="9">
        <v>3.9326180683644796E-3</v>
      </c>
      <c r="V114" s="9">
        <v>4.7061231499985002E-3</v>
      </c>
      <c r="W114" s="9">
        <v>4.33024368151362E-3</v>
      </c>
      <c r="X114" s="10">
        <v>1.06100990099009</v>
      </c>
      <c r="Y114" s="10">
        <v>1.05986570061559</v>
      </c>
      <c r="Z114" s="10">
        <v>1.06031238302569</v>
      </c>
      <c r="AA114" s="10">
        <v>1.06011531659374</v>
      </c>
      <c r="AB114" s="8">
        <v>58.875539669196201</v>
      </c>
      <c r="AC114" s="8">
        <v>58.906570276728303</v>
      </c>
      <c r="AD114" s="8">
        <v>58.884432667199498</v>
      </c>
      <c r="AE114" s="9">
        <v>-1.0789887767553E-3</v>
      </c>
      <c r="AF114" s="9">
        <v>-5.5207330097874403E-4</v>
      </c>
      <c r="AG114" s="9">
        <v>-9.2795276946365903E-4</v>
      </c>
      <c r="AZ114" s="9"/>
      <c r="BB114">
        <f t="shared" si="22"/>
        <v>0</v>
      </c>
      <c r="BC114">
        <f t="shared" si="23"/>
        <v>0</v>
      </c>
      <c r="BD114">
        <f t="shared" si="24"/>
        <v>0</v>
      </c>
      <c r="BE114">
        <f t="shared" si="20"/>
        <v>1</v>
      </c>
      <c r="BF114">
        <f t="shared" si="25"/>
        <v>0</v>
      </c>
      <c r="BG114" s="9">
        <f t="shared" si="26"/>
        <v>0</v>
      </c>
      <c r="BH114" s="9">
        <f t="shared" si="27"/>
        <v>0</v>
      </c>
      <c r="BI114" s="9">
        <f t="shared" si="28"/>
        <v>0</v>
      </c>
      <c r="BJ114" s="12">
        <f t="shared" si="29"/>
        <v>2.9310679293204633E-3</v>
      </c>
      <c r="BL114" s="9"/>
      <c r="BN114">
        <f t="shared" si="30"/>
        <v>0</v>
      </c>
      <c r="BO114">
        <f t="shared" si="31"/>
        <v>1</v>
      </c>
      <c r="BP114">
        <f t="shared" si="32"/>
        <v>0</v>
      </c>
      <c r="BQ114">
        <f t="shared" si="21"/>
        <v>1</v>
      </c>
      <c r="BR114">
        <f t="shared" si="33"/>
        <v>0</v>
      </c>
      <c r="BS114" s="9">
        <f t="shared" si="34"/>
        <v>0</v>
      </c>
      <c r="BT114" s="9">
        <f t="shared" si="35"/>
        <v>0</v>
      </c>
      <c r="BU114" s="9">
        <f t="shared" si="36"/>
        <v>0</v>
      </c>
      <c r="BV114" s="12">
        <f t="shared" si="37"/>
        <v>4.7674941486541261E-3</v>
      </c>
      <c r="BX114" s="12">
        <f t="shared" si="38"/>
        <v>0</v>
      </c>
      <c r="BY114" s="12">
        <f t="shared" si="39"/>
        <v>7.6985620779745894E-3</v>
      </c>
    </row>
    <row r="115" spans="1:77" x14ac:dyDescent="0.3">
      <c r="A115" s="1">
        <v>46189</v>
      </c>
      <c r="B115" s="8">
        <v>55.36</v>
      </c>
      <c r="C115" s="8">
        <v>58.37</v>
      </c>
      <c r="D115" s="9">
        <v>-3.42620477622483E-3</v>
      </c>
      <c r="E115" s="9">
        <v>-4.4444517604241198E-3</v>
      </c>
      <c r="F115" s="8">
        <v>0</v>
      </c>
      <c r="G115" s="8">
        <v>0.38519999999999999</v>
      </c>
      <c r="H115" s="8">
        <v>0</v>
      </c>
      <c r="I115" s="8">
        <v>0.61579999999999901</v>
      </c>
      <c r="J115" s="8">
        <v>0</v>
      </c>
      <c r="K115" s="8">
        <v>0.30909999999999999</v>
      </c>
      <c r="L115" s="8">
        <v>55.36</v>
      </c>
      <c r="M115" s="8">
        <v>58.679099999999998</v>
      </c>
      <c r="N115" s="10">
        <v>1.0543713872832301</v>
      </c>
      <c r="O115" s="10">
        <v>1.0596043809708899</v>
      </c>
      <c r="P115" s="10">
        <v>1.05898190598623</v>
      </c>
      <c r="Q115" s="10">
        <v>1.05965867242796</v>
      </c>
      <c r="R115" s="8">
        <v>58.659698530548702</v>
      </c>
      <c r="S115" s="8">
        <v>58.668089247074697</v>
      </c>
      <c r="T115" s="8">
        <v>58.672581788015599</v>
      </c>
      <c r="U115" s="9">
        <v>4.9508650525637403E-3</v>
      </c>
      <c r="V115" s="9">
        <v>5.0938953900357201E-3</v>
      </c>
      <c r="W115" s="9">
        <v>5.1704680038349203E-3</v>
      </c>
      <c r="X115" s="10">
        <v>1.05995484104046</v>
      </c>
      <c r="Y115" s="10">
        <v>1.05986570061559</v>
      </c>
      <c r="Z115" s="10">
        <v>1.06009668700551</v>
      </c>
      <c r="AA115" s="10">
        <v>1.0602160629376101</v>
      </c>
      <c r="AB115" s="8">
        <v>58.6741651860792</v>
      </c>
      <c r="AC115" s="8">
        <v>58.698893524302498</v>
      </c>
      <c r="AD115" s="8">
        <v>58.687983926629499</v>
      </c>
      <c r="AE115" s="9">
        <v>-8.41018597277655E-5</v>
      </c>
      <c r="AF115" s="9">
        <v>3.3726125137807802E-4</v>
      </c>
      <c r="AG115" s="9">
        <v>1.51387021799994E-4</v>
      </c>
      <c r="AZ115" s="9"/>
      <c r="BB115">
        <f t="shared" si="22"/>
        <v>0</v>
      </c>
      <c r="BC115">
        <f t="shared" si="23"/>
        <v>1</v>
      </c>
      <c r="BD115">
        <f t="shared" si="24"/>
        <v>0</v>
      </c>
      <c r="BE115">
        <f t="shared" si="20"/>
        <v>1</v>
      </c>
      <c r="BF115">
        <f t="shared" si="25"/>
        <v>0</v>
      </c>
      <c r="BG115" s="9">
        <f t="shared" si="26"/>
        <v>0</v>
      </c>
      <c r="BH115" s="9">
        <f t="shared" si="27"/>
        <v>0</v>
      </c>
      <c r="BI115" s="9">
        <f t="shared" si="28"/>
        <v>0</v>
      </c>
      <c r="BJ115" s="12">
        <f t="shared" si="29"/>
        <v>2.9310679293204633E-3</v>
      </c>
      <c r="BL115" s="9"/>
      <c r="BN115">
        <f t="shared" si="30"/>
        <v>0</v>
      </c>
      <c r="BO115">
        <f t="shared" si="31"/>
        <v>0</v>
      </c>
      <c r="BP115">
        <f t="shared" si="32"/>
        <v>0</v>
      </c>
      <c r="BQ115">
        <f t="shared" si="21"/>
        <v>1</v>
      </c>
      <c r="BR115">
        <f t="shared" si="33"/>
        <v>0</v>
      </c>
      <c r="BS115" s="9">
        <f t="shared" si="34"/>
        <v>0</v>
      </c>
      <c r="BT115" s="9">
        <f t="shared" si="35"/>
        <v>0</v>
      </c>
      <c r="BU115" s="9">
        <f t="shared" si="36"/>
        <v>0</v>
      </c>
      <c r="BV115" s="12">
        <f t="shared" si="37"/>
        <v>4.7674941486541261E-3</v>
      </c>
      <c r="BX115" s="12">
        <f t="shared" si="38"/>
        <v>0</v>
      </c>
      <c r="BY115" s="12">
        <f t="shared" si="39"/>
        <v>7.6985620779745894E-3</v>
      </c>
    </row>
    <row r="116" spans="1:77" x14ac:dyDescent="0.3">
      <c r="A116" s="1">
        <v>46190</v>
      </c>
      <c r="B116" s="8">
        <v>54.67</v>
      </c>
      <c r="C116" s="8">
        <v>57.71</v>
      </c>
      <c r="D116" s="9">
        <v>-1.2542198402506199E-2</v>
      </c>
      <c r="E116" s="9">
        <v>-1.1371590492824501E-2</v>
      </c>
      <c r="F116" s="8">
        <v>0</v>
      </c>
      <c r="G116" s="8">
        <v>0.38519999999999999</v>
      </c>
      <c r="H116" s="8">
        <v>0</v>
      </c>
      <c r="I116" s="8">
        <v>0.61579999999999901</v>
      </c>
      <c r="J116" s="8">
        <v>0</v>
      </c>
      <c r="K116" s="8">
        <v>0.30909999999999999</v>
      </c>
      <c r="L116" s="8">
        <v>54.67</v>
      </c>
      <c r="M116" s="8">
        <v>58.019100000000002</v>
      </c>
      <c r="N116" s="10">
        <v>1.0556063654655199</v>
      </c>
      <c r="O116" s="10">
        <v>1.0596043809708899</v>
      </c>
      <c r="P116" s="10">
        <v>1.05829147797819</v>
      </c>
      <c r="Q116" s="10">
        <v>1.05964081807928</v>
      </c>
      <c r="R116" s="8">
        <v>57.928571507678797</v>
      </c>
      <c r="S116" s="8">
        <v>57.894540800267201</v>
      </c>
      <c r="T116" s="8">
        <v>57.931539621636901</v>
      </c>
      <c r="U116" s="9">
        <v>3.7802571428823201E-3</v>
      </c>
      <c r="V116" s="9">
        <v>3.1926247142116202E-3</v>
      </c>
      <c r="W116" s="9">
        <v>3.8314933091484699E-3</v>
      </c>
      <c r="X116" s="10">
        <v>1.0612602890067599</v>
      </c>
      <c r="Y116" s="10">
        <v>1.05986570061559</v>
      </c>
      <c r="Z116" s="10">
        <v>1.0599716513516</v>
      </c>
      <c r="AA116" s="10">
        <v>1.06048090476598</v>
      </c>
      <c r="AB116" s="8">
        <v>57.942857852654498</v>
      </c>
      <c r="AC116" s="8">
        <v>57.955485878591602</v>
      </c>
      <c r="AD116" s="8">
        <v>57.962012160799098</v>
      </c>
      <c r="AE116" s="9">
        <v>-1.3149512088818701E-3</v>
      </c>
      <c r="AF116" s="9">
        <v>-1.09703565322141E-3</v>
      </c>
      <c r="AG116" s="9">
        <v>-9.8443346071864905E-4</v>
      </c>
      <c r="AZ116" s="9"/>
      <c r="BB116">
        <f t="shared" si="22"/>
        <v>0</v>
      </c>
      <c r="BC116">
        <f t="shared" si="23"/>
        <v>0</v>
      </c>
      <c r="BD116">
        <f t="shared" si="24"/>
        <v>0</v>
      </c>
      <c r="BE116">
        <f t="shared" si="20"/>
        <v>1</v>
      </c>
      <c r="BF116">
        <f t="shared" si="25"/>
        <v>0</v>
      </c>
      <c r="BG116" s="9">
        <f t="shared" si="26"/>
        <v>0</v>
      </c>
      <c r="BH116" s="9">
        <f t="shared" si="27"/>
        <v>0</v>
      </c>
      <c r="BI116" s="9">
        <f t="shared" si="28"/>
        <v>0</v>
      </c>
      <c r="BJ116" s="12">
        <f t="shared" si="29"/>
        <v>2.9310679293204633E-3</v>
      </c>
      <c r="BL116" s="9"/>
      <c r="BN116">
        <f t="shared" si="30"/>
        <v>0</v>
      </c>
      <c r="BO116">
        <f t="shared" si="31"/>
        <v>1</v>
      </c>
      <c r="BP116">
        <f t="shared" si="32"/>
        <v>0</v>
      </c>
      <c r="BQ116">
        <f t="shared" si="21"/>
        <v>1</v>
      </c>
      <c r="BR116">
        <f t="shared" si="33"/>
        <v>0</v>
      </c>
      <c r="BS116" s="9">
        <f t="shared" si="34"/>
        <v>0</v>
      </c>
      <c r="BT116" s="9">
        <f t="shared" si="35"/>
        <v>0</v>
      </c>
      <c r="BU116" s="9">
        <f t="shared" si="36"/>
        <v>0</v>
      </c>
      <c r="BV116" s="12">
        <f t="shared" si="37"/>
        <v>4.7674941486541261E-3</v>
      </c>
      <c r="BX116" s="12">
        <f t="shared" si="38"/>
        <v>0</v>
      </c>
      <c r="BY116" s="12">
        <f t="shared" si="39"/>
        <v>7.6985620779745894E-3</v>
      </c>
    </row>
    <row r="117" spans="1:77" x14ac:dyDescent="0.3">
      <c r="A117" s="1">
        <v>46191</v>
      </c>
      <c r="B117" s="8">
        <v>53.77</v>
      </c>
      <c r="C117" s="8">
        <v>56.77</v>
      </c>
      <c r="D117" s="9">
        <v>-1.65994220853211E-2</v>
      </c>
      <c r="E117" s="9">
        <v>-1.64224515402401E-2</v>
      </c>
      <c r="F117" s="8">
        <v>0</v>
      </c>
      <c r="G117" s="8">
        <v>0.38519999999999999</v>
      </c>
      <c r="H117" s="8">
        <v>0</v>
      </c>
      <c r="I117" s="8">
        <v>0.61579999999999901</v>
      </c>
      <c r="J117" s="8">
        <v>0</v>
      </c>
      <c r="K117" s="8">
        <v>0.30909999999999999</v>
      </c>
      <c r="L117" s="8">
        <v>53.77</v>
      </c>
      <c r="M117" s="8">
        <v>57.079099999999997</v>
      </c>
      <c r="N117" s="10">
        <v>1.0557931932304201</v>
      </c>
      <c r="O117" s="10">
        <v>1.0596043809708899</v>
      </c>
      <c r="P117" s="10">
        <v>1.05765803134378</v>
      </c>
      <c r="Q117" s="10">
        <v>1.0595207787441401</v>
      </c>
      <c r="R117" s="8">
        <v>56.974927564805</v>
      </c>
      <c r="S117" s="8">
        <v>56.9043327708874</v>
      </c>
      <c r="T117" s="8">
        <v>56.976886788122897</v>
      </c>
      <c r="U117" s="9">
        <v>3.6032865978012502E-3</v>
      </c>
      <c r="V117" s="9">
        <v>2.3634681663782298E-3</v>
      </c>
      <c r="W117" s="9">
        <v>3.63767347139739E-3</v>
      </c>
      <c r="X117" s="10">
        <v>1.06154175190626</v>
      </c>
      <c r="Y117" s="10">
        <v>1.05986570061559</v>
      </c>
      <c r="Z117" s="10">
        <v>1.05991306058478</v>
      </c>
      <c r="AA117" s="10">
        <v>1.0606482933646399</v>
      </c>
      <c r="AB117" s="8">
        <v>56.988978722100398</v>
      </c>
      <c r="AC117" s="8">
        <v>56.9946756931758</v>
      </c>
      <c r="AD117" s="8">
        <v>57.022058249267097</v>
      </c>
      <c r="AE117" s="9">
        <v>-1.58013175395785E-3</v>
      </c>
      <c r="AF117" s="9">
        <v>-1.4801705602359601E-3</v>
      </c>
      <c r="AG117" s="9">
        <v>-9.9984533654363396E-4</v>
      </c>
      <c r="AZ117" s="9"/>
      <c r="BB117">
        <f t="shared" si="22"/>
        <v>0</v>
      </c>
      <c r="BC117">
        <f t="shared" si="23"/>
        <v>0</v>
      </c>
      <c r="BD117">
        <f t="shared" si="24"/>
        <v>0</v>
      </c>
      <c r="BE117">
        <f t="shared" si="20"/>
        <v>0</v>
      </c>
      <c r="BF117">
        <f t="shared" si="25"/>
        <v>0</v>
      </c>
      <c r="BG117" s="9">
        <f t="shared" si="26"/>
        <v>0</v>
      </c>
      <c r="BH117" s="9">
        <f t="shared" si="27"/>
        <v>0</v>
      </c>
      <c r="BI117" s="9">
        <f t="shared" si="28"/>
        <v>0</v>
      </c>
      <c r="BJ117" s="12">
        <f t="shared" si="29"/>
        <v>2.9310679293204633E-3</v>
      </c>
      <c r="BL117" s="9"/>
      <c r="BN117">
        <f t="shared" si="30"/>
        <v>0</v>
      </c>
      <c r="BO117">
        <f t="shared" si="31"/>
        <v>1</v>
      </c>
      <c r="BP117">
        <f t="shared" si="32"/>
        <v>0</v>
      </c>
      <c r="BQ117">
        <f t="shared" si="21"/>
        <v>0</v>
      </c>
      <c r="BR117">
        <f t="shared" si="33"/>
        <v>0</v>
      </c>
      <c r="BS117" s="9">
        <f t="shared" si="34"/>
        <v>0</v>
      </c>
      <c r="BT117" s="9">
        <f t="shared" si="35"/>
        <v>0</v>
      </c>
      <c r="BU117" s="9">
        <f t="shared" si="36"/>
        <v>0</v>
      </c>
      <c r="BV117" s="12">
        <f t="shared" si="37"/>
        <v>4.7674941486541261E-3</v>
      </c>
      <c r="BX117" s="12">
        <f t="shared" si="38"/>
        <v>0</v>
      </c>
      <c r="BY117" s="12">
        <f t="shared" si="39"/>
        <v>7.6985620779745894E-3</v>
      </c>
    </row>
    <row r="118" spans="1:77" x14ac:dyDescent="0.3">
      <c r="A118" s="1">
        <v>46195</v>
      </c>
      <c r="B118" s="8">
        <v>54.06</v>
      </c>
      <c r="C118" s="8">
        <v>57.53</v>
      </c>
      <c r="D118" s="9">
        <v>5.3788500267148102E-3</v>
      </c>
      <c r="E118" s="9">
        <v>1.32985336925671E-2</v>
      </c>
      <c r="F118" s="8">
        <v>0.38490000000000002</v>
      </c>
      <c r="G118" s="8">
        <v>0.77010000000000001</v>
      </c>
      <c r="H118" s="8">
        <v>0</v>
      </c>
      <c r="I118" s="8">
        <v>0.61579999999999901</v>
      </c>
      <c r="J118" s="8">
        <v>0</v>
      </c>
      <c r="K118" s="8">
        <v>0</v>
      </c>
      <c r="L118" s="8">
        <v>54.06</v>
      </c>
      <c r="M118" s="8">
        <v>57.53</v>
      </c>
      <c r="N118" s="10">
        <v>1.06418793932667</v>
      </c>
      <c r="O118" s="10">
        <v>1.0596043809708899</v>
      </c>
      <c r="P118" s="10">
        <v>1.05814653222981</v>
      </c>
      <c r="Q118" s="10">
        <v>1.05972831540268</v>
      </c>
      <c r="R118" s="8">
        <v>57.2822128352866</v>
      </c>
      <c r="S118" s="8">
        <v>57.176993174445201</v>
      </c>
      <c r="T118" s="8">
        <v>57.277693298908602</v>
      </c>
      <c r="U118" s="9">
        <v>-4.3163970680511702E-3</v>
      </c>
      <c r="V118" s="9">
        <v>-6.1549506304748001E-3</v>
      </c>
      <c r="W118" s="9">
        <v>-4.3952996533074499E-3</v>
      </c>
      <c r="X118" s="10">
        <v>1.06418793932667</v>
      </c>
      <c r="Y118" s="10">
        <v>1.05986570061559</v>
      </c>
      <c r="Z118" s="10">
        <v>1.0604015614708</v>
      </c>
      <c r="AA118" s="10">
        <v>1.0608558300231801</v>
      </c>
      <c r="AB118" s="8">
        <v>57.296339775279002</v>
      </c>
      <c r="AC118" s="8">
        <v>57.298900055213402</v>
      </c>
      <c r="AD118" s="8">
        <v>57.338646739292699</v>
      </c>
      <c r="AE118" s="9">
        <v>-4.0698074621937997E-3</v>
      </c>
      <c r="AF118" s="9">
        <v>-4.0251235828514002E-3</v>
      </c>
      <c r="AG118" s="9">
        <v>-3.3316913386464602E-3</v>
      </c>
      <c r="AZ118" s="9"/>
      <c r="BB118">
        <f t="shared" si="22"/>
        <v>1</v>
      </c>
      <c r="BC118">
        <f t="shared" si="23"/>
        <v>0</v>
      </c>
      <c r="BD118">
        <f t="shared" si="24"/>
        <v>0</v>
      </c>
      <c r="BE118">
        <f t="shared" si="20"/>
        <v>1</v>
      </c>
      <c r="BF118">
        <f t="shared" si="25"/>
        <v>0</v>
      </c>
      <c r="BG118" s="9">
        <f t="shared" si="26"/>
        <v>0</v>
      </c>
      <c r="BH118" s="9">
        <f t="shared" si="27"/>
        <v>0</v>
      </c>
      <c r="BI118" s="9">
        <f t="shared" si="28"/>
        <v>0</v>
      </c>
      <c r="BJ118" s="12">
        <f t="shared" si="29"/>
        <v>2.9310679293204633E-3</v>
      </c>
      <c r="BL118" s="9"/>
      <c r="BN118">
        <f t="shared" si="30"/>
        <v>0</v>
      </c>
      <c r="BO118">
        <f t="shared" si="31"/>
        <v>1</v>
      </c>
      <c r="BP118">
        <f t="shared" si="32"/>
        <v>0</v>
      </c>
      <c r="BQ118">
        <f t="shared" si="21"/>
        <v>1</v>
      </c>
      <c r="BR118">
        <f t="shared" si="33"/>
        <v>0</v>
      </c>
      <c r="BS118" s="9">
        <f t="shared" si="34"/>
        <v>0</v>
      </c>
      <c r="BT118" s="9">
        <f t="shared" si="35"/>
        <v>0</v>
      </c>
      <c r="BU118" s="9">
        <f t="shared" si="36"/>
        <v>0</v>
      </c>
      <c r="BV118" s="12">
        <f t="shared" si="37"/>
        <v>4.7674941486541261E-3</v>
      </c>
      <c r="BX118" s="12">
        <f t="shared" si="38"/>
        <v>0</v>
      </c>
      <c r="BY118" s="12">
        <f t="shared" si="39"/>
        <v>7.6985620779745894E-3</v>
      </c>
    </row>
    <row r="119" spans="1:77" x14ac:dyDescent="0.3">
      <c r="A119" s="1">
        <v>46196</v>
      </c>
      <c r="B119" s="8">
        <v>54.46</v>
      </c>
      <c r="C119" s="8">
        <v>57.86</v>
      </c>
      <c r="D119" s="9">
        <v>7.371946397312E-3</v>
      </c>
      <c r="E119" s="9">
        <v>5.7197486727869002E-3</v>
      </c>
      <c r="F119" s="8">
        <v>0</v>
      </c>
      <c r="G119" s="8">
        <v>0.77010000000000001</v>
      </c>
      <c r="H119" s="8">
        <v>0</v>
      </c>
      <c r="I119" s="8">
        <v>0.61579999999999901</v>
      </c>
      <c r="J119" s="8">
        <v>0</v>
      </c>
      <c r="K119" s="8">
        <v>0</v>
      </c>
      <c r="L119" s="8">
        <v>54.46</v>
      </c>
      <c r="M119" s="8">
        <v>57.86</v>
      </c>
      <c r="N119" s="10">
        <v>1.06243114212265</v>
      </c>
      <c r="O119" s="10">
        <v>1.0596043809708899</v>
      </c>
      <c r="P119" s="10">
        <v>1.05850931042287</v>
      </c>
      <c r="Q119" s="10">
        <v>1.05991660641367</v>
      </c>
      <c r="R119" s="8">
        <v>57.706054587674899</v>
      </c>
      <c r="S119" s="8">
        <v>57.626660145235498</v>
      </c>
      <c r="T119" s="8">
        <v>57.712804056830201</v>
      </c>
      <c r="U119" s="9">
        <v>-2.6641993435261601E-3</v>
      </c>
      <c r="V119" s="9">
        <v>-4.0409891843725997E-3</v>
      </c>
      <c r="W119" s="9">
        <v>-2.5472432543358799E-3</v>
      </c>
      <c r="X119" s="10">
        <v>1.06243114212265</v>
      </c>
      <c r="Y119" s="10">
        <v>1.05986570061559</v>
      </c>
      <c r="Z119" s="10">
        <v>1.06076433966387</v>
      </c>
      <c r="AA119" s="10">
        <v>1.0610441210341699</v>
      </c>
      <c r="AB119" s="8">
        <v>57.7202860555252</v>
      </c>
      <c r="AC119" s="8">
        <v>57.749469037700102</v>
      </c>
      <c r="AD119" s="8">
        <v>57.774208503062503</v>
      </c>
      <c r="AE119" s="9">
        <v>-2.41760973766863E-3</v>
      </c>
      <c r="AF119" s="9">
        <v>-1.9121443407304E-3</v>
      </c>
      <c r="AG119" s="9">
        <v>-1.48384312547889E-3</v>
      </c>
      <c r="AZ119" s="9"/>
      <c r="BB119">
        <f t="shared" si="22"/>
        <v>0</v>
      </c>
      <c r="BC119">
        <f t="shared" si="23"/>
        <v>0</v>
      </c>
      <c r="BD119">
        <f t="shared" si="24"/>
        <v>1</v>
      </c>
      <c r="BE119">
        <f t="shared" si="20"/>
        <v>1</v>
      </c>
      <c r="BF119">
        <f t="shared" si="25"/>
        <v>1</v>
      </c>
      <c r="BG119" s="9">
        <f t="shared" si="26"/>
        <v>7.371946397312E-3</v>
      </c>
      <c r="BH119" s="9">
        <f t="shared" si="27"/>
        <v>-5.7197486727869002E-3</v>
      </c>
      <c r="BI119" s="9">
        <f t="shared" si="28"/>
        <v>1.6521977245250999E-3</v>
      </c>
      <c r="BJ119" s="12">
        <f t="shared" si="29"/>
        <v>4.5832656538455632E-3</v>
      </c>
      <c r="BL119" s="9"/>
      <c r="BN119">
        <f t="shared" si="30"/>
        <v>0</v>
      </c>
      <c r="BO119">
        <f t="shared" si="31"/>
        <v>1</v>
      </c>
      <c r="BP119">
        <f t="shared" si="32"/>
        <v>0</v>
      </c>
      <c r="BQ119">
        <f t="shared" si="21"/>
        <v>1</v>
      </c>
      <c r="BR119">
        <f t="shared" si="33"/>
        <v>0</v>
      </c>
      <c r="BS119" s="9">
        <f t="shared" si="34"/>
        <v>0</v>
      </c>
      <c r="BT119" s="9">
        <f t="shared" si="35"/>
        <v>0</v>
      </c>
      <c r="BU119" s="9">
        <f t="shared" si="36"/>
        <v>0</v>
      </c>
      <c r="BV119" s="12">
        <f t="shared" si="37"/>
        <v>4.7674941486541261E-3</v>
      </c>
      <c r="BX119" s="12">
        <f t="shared" si="38"/>
        <v>1.6521977245250999E-3</v>
      </c>
      <c r="BY119" s="12">
        <f t="shared" si="39"/>
        <v>9.3507598024996884E-3</v>
      </c>
    </row>
    <row r="120" spans="1:77" x14ac:dyDescent="0.3">
      <c r="A120" s="1">
        <v>46197</v>
      </c>
      <c r="B120" s="8">
        <v>53.57</v>
      </c>
      <c r="C120" s="8">
        <v>56.91</v>
      </c>
      <c r="D120" s="9">
        <v>-1.6477277352744599E-2</v>
      </c>
      <c r="E120" s="9">
        <v>-1.65552269329565E-2</v>
      </c>
      <c r="F120" s="8">
        <v>0</v>
      </c>
      <c r="G120" s="8">
        <v>0.77010000000000001</v>
      </c>
      <c r="H120" s="8">
        <v>0</v>
      </c>
      <c r="I120" s="8">
        <v>0.61579999999999901</v>
      </c>
      <c r="J120" s="8">
        <v>0</v>
      </c>
      <c r="K120" s="8">
        <v>0</v>
      </c>
      <c r="L120" s="8">
        <v>53.57</v>
      </c>
      <c r="M120" s="8">
        <v>56.91</v>
      </c>
      <c r="N120" s="10">
        <v>1.0623483292887801</v>
      </c>
      <c r="O120" s="10">
        <v>1.0596043809708899</v>
      </c>
      <c r="P120" s="10">
        <v>1.05881976628257</v>
      </c>
      <c r="Q120" s="10">
        <v>1.0599743858858901</v>
      </c>
      <c r="R120" s="8">
        <v>56.763006688610801</v>
      </c>
      <c r="S120" s="8">
        <v>56.704343759353499</v>
      </c>
      <c r="T120" s="8">
        <v>56.779732605580598</v>
      </c>
      <c r="U120" s="9">
        <v>-2.5862497633141598E-3</v>
      </c>
      <c r="V120" s="9">
        <v>-3.62025530327735E-3</v>
      </c>
      <c r="W120" s="9">
        <v>-2.2916308877315599E-3</v>
      </c>
      <c r="X120" s="10">
        <v>1.0623483292887801</v>
      </c>
      <c r="Y120" s="10">
        <v>1.05986570061559</v>
      </c>
      <c r="Z120" s="10">
        <v>1.06107479552357</v>
      </c>
      <c r="AA120" s="10">
        <v>1.06110190050639</v>
      </c>
      <c r="AB120" s="8">
        <v>56.777005581977299</v>
      </c>
      <c r="AC120" s="8">
        <v>56.8251456757936</v>
      </c>
      <c r="AD120" s="8">
        <v>56.840133563800599</v>
      </c>
      <c r="AE120" s="9">
        <v>-2.3396601574567398E-3</v>
      </c>
      <c r="AF120" s="9">
        <v>-1.49213929337375E-3</v>
      </c>
      <c r="AG120" s="9">
        <v>-1.2284195683327801E-3</v>
      </c>
      <c r="AZ120" s="9"/>
      <c r="BB120">
        <f t="shared" si="22"/>
        <v>0</v>
      </c>
      <c r="BC120">
        <f t="shared" si="23"/>
        <v>0</v>
      </c>
      <c r="BD120">
        <f t="shared" si="24"/>
        <v>1</v>
      </c>
      <c r="BE120">
        <f t="shared" si="20"/>
        <v>1</v>
      </c>
      <c r="BF120">
        <f t="shared" si="25"/>
        <v>1</v>
      </c>
      <c r="BG120" s="9">
        <f t="shared" si="26"/>
        <v>-1.6477277352744599E-2</v>
      </c>
      <c r="BH120" s="9">
        <f t="shared" si="27"/>
        <v>1.65552269329565E-2</v>
      </c>
      <c r="BI120" s="9">
        <f t="shared" si="28"/>
        <v>7.7949580211900127E-5</v>
      </c>
      <c r="BJ120" s="12">
        <f t="shared" si="29"/>
        <v>4.6612152340574633E-3</v>
      </c>
      <c r="BL120" s="9"/>
      <c r="BN120">
        <f t="shared" si="30"/>
        <v>0</v>
      </c>
      <c r="BO120">
        <f t="shared" si="31"/>
        <v>1</v>
      </c>
      <c r="BP120">
        <f t="shared" si="32"/>
        <v>0</v>
      </c>
      <c r="BQ120">
        <f t="shared" si="21"/>
        <v>1</v>
      </c>
      <c r="BR120">
        <f t="shared" si="33"/>
        <v>0</v>
      </c>
      <c r="BS120" s="9">
        <f t="shared" si="34"/>
        <v>0</v>
      </c>
      <c r="BT120" s="9">
        <f t="shared" si="35"/>
        <v>0</v>
      </c>
      <c r="BU120" s="9">
        <f t="shared" si="36"/>
        <v>0</v>
      </c>
      <c r="BV120" s="12">
        <f t="shared" si="37"/>
        <v>4.7674941486541261E-3</v>
      </c>
      <c r="BX120" s="12">
        <f t="shared" si="38"/>
        <v>7.7949580211900127E-5</v>
      </c>
      <c r="BY120" s="12">
        <f t="shared" si="39"/>
        <v>9.4287093827115885E-3</v>
      </c>
    </row>
    <row r="121" spans="1:77" x14ac:dyDescent="0.3">
      <c r="A121" s="1">
        <v>46198</v>
      </c>
      <c r="B121" s="8">
        <v>54.09</v>
      </c>
      <c r="C121" s="8">
        <v>57.5</v>
      </c>
      <c r="D121" s="9">
        <v>9.6601159904665893E-3</v>
      </c>
      <c r="E121" s="9">
        <v>1.0313875188272301E-2</v>
      </c>
      <c r="F121" s="8">
        <v>0</v>
      </c>
      <c r="G121" s="8">
        <v>0.77010000000000001</v>
      </c>
      <c r="H121" s="8">
        <v>0</v>
      </c>
      <c r="I121" s="8">
        <v>0.61579999999999901</v>
      </c>
      <c r="J121" s="8">
        <v>0</v>
      </c>
      <c r="K121" s="8">
        <v>0</v>
      </c>
      <c r="L121" s="8">
        <v>54.09</v>
      </c>
      <c r="M121" s="8">
        <v>57.5</v>
      </c>
      <c r="N121" s="10">
        <v>1.06304307635422</v>
      </c>
      <c r="O121" s="10">
        <v>1.0596043809708899</v>
      </c>
      <c r="P121" s="10">
        <v>1.0592699966647801</v>
      </c>
      <c r="Q121" s="10">
        <v>1.0601084663574001</v>
      </c>
      <c r="R121" s="8">
        <v>57.314000966715703</v>
      </c>
      <c r="S121" s="8">
        <v>57.271561158224699</v>
      </c>
      <c r="T121" s="8">
        <v>57.334014532567899</v>
      </c>
      <c r="U121" s="9">
        <v>-3.2400089611198E-3</v>
      </c>
      <c r="V121" s="9">
        <v>-3.9807621527893798E-3</v>
      </c>
      <c r="W121" s="9">
        <v>-2.8908783465450101E-3</v>
      </c>
      <c r="X121" s="10">
        <v>1.06304307635422</v>
      </c>
      <c r="Y121" s="10">
        <v>1.05986570061559</v>
      </c>
      <c r="Z121" s="10">
        <v>1.06152502590577</v>
      </c>
      <c r="AA121" s="10">
        <v>1.0612359809779</v>
      </c>
      <c r="AB121" s="8">
        <v>57.328135746297399</v>
      </c>
      <c r="AC121" s="8">
        <v>57.393535689870099</v>
      </c>
      <c r="AD121" s="8">
        <v>57.395001798390602</v>
      </c>
      <c r="AE121" s="9">
        <v>-2.9934193552622499E-3</v>
      </c>
      <c r="AF121" s="9">
        <v>-1.8532694631166701E-3</v>
      </c>
      <c r="AG121" s="9">
        <v>-1.8277249522674001E-3</v>
      </c>
      <c r="AZ121" s="9"/>
      <c r="BB121">
        <f t="shared" si="22"/>
        <v>0</v>
      </c>
      <c r="BC121">
        <f t="shared" si="23"/>
        <v>0</v>
      </c>
      <c r="BD121">
        <f t="shared" si="24"/>
        <v>1</v>
      </c>
      <c r="BE121">
        <f t="shared" si="20"/>
        <v>1</v>
      </c>
      <c r="BF121">
        <f t="shared" si="25"/>
        <v>1</v>
      </c>
      <c r="BG121" s="9">
        <f t="shared" si="26"/>
        <v>9.6601159904665893E-3</v>
      </c>
      <c r="BH121" s="9">
        <f t="shared" si="27"/>
        <v>-1.0313875188272301E-2</v>
      </c>
      <c r="BI121" s="9">
        <f t="shared" si="28"/>
        <v>-6.5375919780571133E-4</v>
      </c>
      <c r="BJ121" s="12">
        <f t="shared" si="29"/>
        <v>4.007456036251752E-3</v>
      </c>
      <c r="BL121" s="9"/>
      <c r="BN121">
        <f t="shared" si="30"/>
        <v>0</v>
      </c>
      <c r="BO121">
        <f t="shared" si="31"/>
        <v>1</v>
      </c>
      <c r="BP121">
        <f t="shared" si="32"/>
        <v>0</v>
      </c>
      <c r="BQ121">
        <f t="shared" si="21"/>
        <v>1</v>
      </c>
      <c r="BR121">
        <f t="shared" si="33"/>
        <v>0</v>
      </c>
      <c r="BS121" s="9">
        <f t="shared" si="34"/>
        <v>0</v>
      </c>
      <c r="BT121" s="9">
        <f t="shared" si="35"/>
        <v>0</v>
      </c>
      <c r="BU121" s="9">
        <f t="shared" si="36"/>
        <v>0</v>
      </c>
      <c r="BV121" s="12">
        <f t="shared" si="37"/>
        <v>4.7674941486541261E-3</v>
      </c>
      <c r="BX121" s="12">
        <f t="shared" si="38"/>
        <v>-6.5375919780571133E-4</v>
      </c>
      <c r="BY121" s="12">
        <f t="shared" si="39"/>
        <v>8.7749501849058772E-3</v>
      </c>
    </row>
    <row r="122" spans="1:77" x14ac:dyDescent="0.3">
      <c r="A122" s="1">
        <v>46199</v>
      </c>
      <c r="B122" s="8">
        <v>53.84</v>
      </c>
      <c r="C122" s="8">
        <v>57.22</v>
      </c>
      <c r="D122" s="9">
        <v>-4.6326405468632599E-3</v>
      </c>
      <c r="E122" s="9">
        <v>-4.8814601813405899E-3</v>
      </c>
      <c r="F122" s="8">
        <v>0</v>
      </c>
      <c r="G122" s="8">
        <v>0.77010000000000001</v>
      </c>
      <c r="H122" s="8">
        <v>0</v>
      </c>
      <c r="I122" s="8">
        <v>0.61579999999999901</v>
      </c>
      <c r="J122" s="8">
        <v>0</v>
      </c>
      <c r="K122" s="8">
        <v>0</v>
      </c>
      <c r="L122" s="8">
        <v>53.84</v>
      </c>
      <c r="M122" s="8">
        <v>57.22</v>
      </c>
      <c r="N122" s="10">
        <v>1.0627786032689399</v>
      </c>
      <c r="O122" s="10">
        <v>1.0596043809708899</v>
      </c>
      <c r="P122" s="10">
        <v>1.0595779690364899</v>
      </c>
      <c r="Q122" s="10">
        <v>1.0601657459501701</v>
      </c>
      <c r="R122" s="8">
        <v>57.049099871472997</v>
      </c>
      <c r="S122" s="8">
        <v>57.031096620431804</v>
      </c>
      <c r="T122" s="8">
        <v>57.076239828682603</v>
      </c>
      <c r="U122" s="9">
        <v>-2.9911893266423399E-3</v>
      </c>
      <c r="V122" s="9">
        <v>-3.3068138038823201E-3</v>
      </c>
      <c r="W122" s="9">
        <v>-2.5155726442736598E-3</v>
      </c>
      <c r="X122" s="10">
        <v>1.0627786032689399</v>
      </c>
      <c r="Y122" s="10">
        <v>1.05986570061559</v>
      </c>
      <c r="Z122" s="10">
        <v>1.0618329982774899</v>
      </c>
      <c r="AA122" s="10">
        <v>1.06129326057067</v>
      </c>
      <c r="AB122" s="8">
        <v>57.063169321143498</v>
      </c>
      <c r="AC122" s="8">
        <v>57.152507394766999</v>
      </c>
      <c r="AD122" s="8">
        <v>57.136945215850197</v>
      </c>
      <c r="AE122" s="9">
        <v>-2.7445997207849698E-3</v>
      </c>
      <c r="AF122" s="9">
        <v>-1.1802244193933999E-3</v>
      </c>
      <c r="AG122" s="9">
        <v>-1.4525536441395901E-3</v>
      </c>
      <c r="AZ122" s="9"/>
      <c r="BB122">
        <f t="shared" si="22"/>
        <v>0</v>
      </c>
      <c r="BC122">
        <f t="shared" si="23"/>
        <v>0</v>
      </c>
      <c r="BD122">
        <f t="shared" si="24"/>
        <v>1</v>
      </c>
      <c r="BE122">
        <f t="shared" si="20"/>
        <v>1</v>
      </c>
      <c r="BF122">
        <f t="shared" si="25"/>
        <v>1</v>
      </c>
      <c r="BG122" s="9">
        <f t="shared" si="26"/>
        <v>-4.6326405468632599E-3</v>
      </c>
      <c r="BH122" s="9">
        <f t="shared" si="27"/>
        <v>4.8814601813405899E-3</v>
      </c>
      <c r="BI122" s="9">
        <f t="shared" si="28"/>
        <v>2.4881963447733E-4</v>
      </c>
      <c r="BJ122" s="12">
        <f t="shared" si="29"/>
        <v>4.256275670729082E-3</v>
      </c>
      <c r="BL122" s="9"/>
      <c r="BN122">
        <f t="shared" si="30"/>
        <v>0</v>
      </c>
      <c r="BO122">
        <f t="shared" si="31"/>
        <v>1</v>
      </c>
      <c r="BP122">
        <f t="shared" si="32"/>
        <v>0</v>
      </c>
      <c r="BQ122">
        <f t="shared" si="21"/>
        <v>1</v>
      </c>
      <c r="BR122">
        <f t="shared" si="33"/>
        <v>0</v>
      </c>
      <c r="BS122" s="9">
        <f t="shared" si="34"/>
        <v>0</v>
      </c>
      <c r="BT122" s="9">
        <f t="shared" si="35"/>
        <v>0</v>
      </c>
      <c r="BU122" s="9">
        <f t="shared" si="36"/>
        <v>0</v>
      </c>
      <c r="BV122" s="12">
        <f t="shared" si="37"/>
        <v>4.7674941486541261E-3</v>
      </c>
      <c r="BX122" s="12">
        <f t="shared" si="38"/>
        <v>2.4881963447733E-4</v>
      </c>
      <c r="BY122" s="12">
        <f t="shared" si="39"/>
        <v>9.023769819383208E-3</v>
      </c>
    </row>
    <row r="123" spans="1:77" x14ac:dyDescent="0.3">
      <c r="A123" s="1">
        <v>46202</v>
      </c>
      <c r="B123" s="8">
        <v>53.58</v>
      </c>
      <c r="C123" s="8">
        <v>56.97</v>
      </c>
      <c r="D123" s="9">
        <v>-4.8408212200097799E-3</v>
      </c>
      <c r="E123" s="9">
        <v>-4.3786741296600196E-3</v>
      </c>
      <c r="F123" s="8">
        <v>0</v>
      </c>
      <c r="G123" s="8">
        <v>0.77010000000000001</v>
      </c>
      <c r="H123" s="8">
        <v>0</v>
      </c>
      <c r="I123" s="8">
        <v>0.61579999999999901</v>
      </c>
      <c r="J123" s="8">
        <v>0</v>
      </c>
      <c r="K123" s="8">
        <v>0</v>
      </c>
      <c r="L123" s="8">
        <v>53.58</v>
      </c>
      <c r="M123" s="8">
        <v>56.97</v>
      </c>
      <c r="N123" s="10">
        <v>1.0632698768197</v>
      </c>
      <c r="O123" s="10">
        <v>1.0596043809708899</v>
      </c>
      <c r="P123" s="10">
        <v>1.0599275457714601</v>
      </c>
      <c r="Q123" s="10">
        <v>1.0601759265916499</v>
      </c>
      <c r="R123" s="8">
        <v>56.7736027324205</v>
      </c>
      <c r="S123" s="8">
        <v>56.772187580975299</v>
      </c>
      <c r="T123" s="8">
        <v>56.803680668010301</v>
      </c>
      <c r="U123" s="9">
        <v>-3.4533364169922298E-3</v>
      </c>
      <c r="V123" s="9">
        <v>-3.4782629500032798E-3</v>
      </c>
      <c r="W123" s="9">
        <v>-2.92368937151976E-3</v>
      </c>
      <c r="X123" s="10">
        <v>1.0632698768197</v>
      </c>
      <c r="Y123" s="10">
        <v>1.05986570061559</v>
      </c>
      <c r="Z123" s="10">
        <v>1.0621825750124501</v>
      </c>
      <c r="AA123" s="10">
        <v>1.06130344121215</v>
      </c>
      <c r="AB123" s="8">
        <v>56.787604238983498</v>
      </c>
      <c r="AC123" s="8">
        <v>56.893012047707899</v>
      </c>
      <c r="AD123" s="8">
        <v>56.864092901376601</v>
      </c>
      <c r="AE123" s="9">
        <v>-3.2067468111348198E-3</v>
      </c>
      <c r="AF123" s="9">
        <v>-1.3522910142595599E-3</v>
      </c>
      <c r="AG123" s="9">
        <v>-1.86072777462268E-3</v>
      </c>
      <c r="AZ123" s="9"/>
      <c r="BB123">
        <f t="shared" si="22"/>
        <v>0</v>
      </c>
      <c r="BC123">
        <f t="shared" si="23"/>
        <v>0</v>
      </c>
      <c r="BD123">
        <f t="shared" si="24"/>
        <v>1</v>
      </c>
      <c r="BE123">
        <f t="shared" si="20"/>
        <v>1</v>
      </c>
      <c r="BF123">
        <f t="shared" si="25"/>
        <v>1</v>
      </c>
      <c r="BG123" s="9">
        <f t="shared" si="26"/>
        <v>-4.8408212200097799E-3</v>
      </c>
      <c r="BH123" s="9">
        <f t="shared" si="27"/>
        <v>4.3786741296600196E-3</v>
      </c>
      <c r="BI123" s="9">
        <f t="shared" si="28"/>
        <v>-4.6214709034976022E-4</v>
      </c>
      <c r="BJ123" s="12">
        <f t="shared" si="29"/>
        <v>3.7941285803793218E-3</v>
      </c>
      <c r="BL123" s="9"/>
      <c r="BN123">
        <f t="shared" si="30"/>
        <v>0</v>
      </c>
      <c r="BO123">
        <f t="shared" si="31"/>
        <v>1</v>
      </c>
      <c r="BP123">
        <f t="shared" si="32"/>
        <v>0</v>
      </c>
      <c r="BQ123">
        <f t="shared" si="21"/>
        <v>1</v>
      </c>
      <c r="BR123">
        <f t="shared" si="33"/>
        <v>0</v>
      </c>
      <c r="BS123" s="9">
        <f t="shared" si="34"/>
        <v>0</v>
      </c>
      <c r="BT123" s="9">
        <f t="shared" si="35"/>
        <v>0</v>
      </c>
      <c r="BU123" s="9">
        <f t="shared" si="36"/>
        <v>0</v>
      </c>
      <c r="BV123" s="12">
        <f t="shared" si="37"/>
        <v>4.7674941486541261E-3</v>
      </c>
      <c r="BX123" s="12">
        <f t="shared" si="38"/>
        <v>-4.6214709034976022E-4</v>
      </c>
      <c r="BY123" s="12">
        <f t="shared" si="39"/>
        <v>8.5616227290334478E-3</v>
      </c>
    </row>
    <row r="124" spans="1:77" x14ac:dyDescent="0.3">
      <c r="A124" s="1">
        <v>46203</v>
      </c>
      <c r="B124" s="8">
        <v>53.11</v>
      </c>
      <c r="C124" s="8">
        <v>56.59</v>
      </c>
      <c r="D124" s="9">
        <v>-8.8106296821549197E-3</v>
      </c>
      <c r="E124" s="9">
        <v>-6.6925223378716397E-3</v>
      </c>
      <c r="F124" s="8">
        <v>0</v>
      </c>
      <c r="G124" s="8">
        <v>0.77010000000000001</v>
      </c>
      <c r="H124" s="8">
        <v>0</v>
      </c>
      <c r="I124" s="8">
        <v>0.61579999999999901</v>
      </c>
      <c r="J124" s="8">
        <v>0</v>
      </c>
      <c r="K124" s="8">
        <v>0</v>
      </c>
      <c r="L124" s="8">
        <v>53.11</v>
      </c>
      <c r="M124" s="8">
        <v>56.59</v>
      </c>
      <c r="N124" s="10">
        <v>1.0655243833553001</v>
      </c>
      <c r="O124" s="10">
        <v>1.0596043809708899</v>
      </c>
      <c r="P124" s="10">
        <v>1.0609354296515401</v>
      </c>
      <c r="Q124" s="10">
        <v>1.0603456885168301</v>
      </c>
      <c r="R124" s="8">
        <v>56.275588673364197</v>
      </c>
      <c r="S124" s="8">
        <v>56.292751955922398</v>
      </c>
      <c r="T124" s="8">
        <v>56.305943461282901</v>
      </c>
      <c r="U124" s="9">
        <v>-5.5714437612753402E-3</v>
      </c>
      <c r="V124" s="9">
        <v>-5.2665039781142403E-3</v>
      </c>
      <c r="W124" s="9">
        <v>-5.0321938846981202E-3</v>
      </c>
      <c r="X124" s="10">
        <v>1.0655243833553001</v>
      </c>
      <c r="Y124" s="10">
        <v>1.05986570061559</v>
      </c>
      <c r="Z124" s="10">
        <v>1.0626340232489699</v>
      </c>
      <c r="AA124" s="10">
        <v>1.06147320313733</v>
      </c>
      <c r="AB124" s="8">
        <v>56.2894673596941</v>
      </c>
      <c r="AC124" s="8">
        <v>56.412516558911598</v>
      </c>
      <c r="AD124" s="8">
        <v>56.365825762777497</v>
      </c>
      <c r="AE124" s="9">
        <v>-5.3248541554179896E-3</v>
      </c>
      <c r="AF124" s="9">
        <v>-3.1412324686870101E-3</v>
      </c>
      <c r="AG124" s="9">
        <v>-3.9692424897696801E-3</v>
      </c>
      <c r="AZ124" s="9"/>
      <c r="BB124">
        <f t="shared" si="22"/>
        <v>1</v>
      </c>
      <c r="BC124">
        <f t="shared" si="23"/>
        <v>0</v>
      </c>
      <c r="BD124">
        <f t="shared" si="24"/>
        <v>1</v>
      </c>
      <c r="BE124">
        <f t="shared" si="20"/>
        <v>1</v>
      </c>
      <c r="BF124">
        <f t="shared" si="25"/>
        <v>1</v>
      </c>
      <c r="BG124" s="9">
        <f t="shared" si="26"/>
        <v>-8.8106296821549197E-3</v>
      </c>
      <c r="BH124" s="9">
        <f t="shared" si="27"/>
        <v>6.6925223378716397E-3</v>
      </c>
      <c r="BI124" s="9">
        <f t="shared" si="28"/>
        <v>-2.11810734428328E-3</v>
      </c>
      <c r="BJ124" s="12">
        <f t="shared" si="29"/>
        <v>1.6760212360960418E-3</v>
      </c>
      <c r="BL124" s="9"/>
      <c r="BN124">
        <f t="shared" si="30"/>
        <v>0</v>
      </c>
      <c r="BO124">
        <f t="shared" si="31"/>
        <v>1</v>
      </c>
      <c r="BP124">
        <f t="shared" si="32"/>
        <v>0</v>
      </c>
      <c r="BQ124">
        <f t="shared" si="21"/>
        <v>1</v>
      </c>
      <c r="BR124">
        <f t="shared" si="33"/>
        <v>0</v>
      </c>
      <c r="BS124" s="9">
        <f t="shared" si="34"/>
        <v>0</v>
      </c>
      <c r="BT124" s="9">
        <f t="shared" si="35"/>
        <v>0</v>
      </c>
      <c r="BU124" s="9">
        <f t="shared" si="36"/>
        <v>0</v>
      </c>
      <c r="BV124" s="12">
        <f t="shared" si="37"/>
        <v>4.7674941486541261E-3</v>
      </c>
      <c r="BX124" s="12">
        <f t="shared" si="38"/>
        <v>-2.11810734428328E-3</v>
      </c>
      <c r="BY124" s="12">
        <f t="shared" si="39"/>
        <v>6.4435153847501678E-3</v>
      </c>
    </row>
    <row r="125" spans="1:77" x14ac:dyDescent="0.3">
      <c r="A125" s="1">
        <v>46204</v>
      </c>
      <c r="B125" s="8">
        <v>52.81</v>
      </c>
      <c r="C125" s="8">
        <v>56.29</v>
      </c>
      <c r="D125" s="9">
        <v>-5.6646677154659798E-3</v>
      </c>
      <c r="E125" s="9">
        <v>-5.31539167849732E-3</v>
      </c>
      <c r="F125" s="8">
        <v>0</v>
      </c>
      <c r="G125" s="8">
        <v>0.77010000000000001</v>
      </c>
      <c r="H125" s="8">
        <v>0</v>
      </c>
      <c r="I125" s="8">
        <v>0.61579999999999901</v>
      </c>
      <c r="J125" s="8">
        <v>0</v>
      </c>
      <c r="K125" s="8">
        <v>0</v>
      </c>
      <c r="L125" s="8">
        <v>52.81</v>
      </c>
      <c r="M125" s="8">
        <v>56.29</v>
      </c>
      <c r="N125" s="10">
        <v>1.0658966104904299</v>
      </c>
      <c r="O125" s="10">
        <v>1.0596043809708899</v>
      </c>
      <c r="P125" s="10">
        <v>1.0620879519722599</v>
      </c>
      <c r="Q125" s="10">
        <v>1.0605349289792401</v>
      </c>
      <c r="R125" s="8">
        <v>55.957707359072899</v>
      </c>
      <c r="S125" s="8">
        <v>56.028000039898203</v>
      </c>
      <c r="T125" s="8">
        <v>55.996855810574203</v>
      </c>
      <c r="U125" s="9">
        <v>-5.9207197982440304E-3</v>
      </c>
      <c r="V125" s="9">
        <v>-4.6653329870225196E-3</v>
      </c>
      <c r="W125" s="9">
        <v>-5.2213565567898702E-3</v>
      </c>
      <c r="X125" s="10">
        <v>1.0658966104904299</v>
      </c>
      <c r="Y125" s="10">
        <v>1.05986570061559</v>
      </c>
      <c r="Z125" s="10">
        <v>1.0632282001939699</v>
      </c>
      <c r="AA125" s="10">
        <v>1.0616624435997399</v>
      </c>
      <c r="AB125" s="8">
        <v>55.971507649509498</v>
      </c>
      <c r="AC125" s="8">
        <v>56.117702767778503</v>
      </c>
      <c r="AD125" s="8">
        <v>56.056399857682699</v>
      </c>
      <c r="AE125" s="9">
        <v>-5.6741301923865497E-3</v>
      </c>
      <c r="AF125" s="9">
        <v>-3.0655793671288999E-3</v>
      </c>
      <c r="AG125" s="9">
        <v>-4.1585752505620098E-3</v>
      </c>
      <c r="AZ125" s="9"/>
      <c r="BB125">
        <f t="shared" si="22"/>
        <v>1</v>
      </c>
      <c r="BC125">
        <f t="shared" si="23"/>
        <v>0</v>
      </c>
      <c r="BD125">
        <f t="shared" si="24"/>
        <v>1</v>
      </c>
      <c r="BE125">
        <f t="shared" si="20"/>
        <v>1</v>
      </c>
      <c r="BF125">
        <f t="shared" si="25"/>
        <v>1</v>
      </c>
      <c r="BG125" s="9">
        <f t="shared" si="26"/>
        <v>-5.6646677154659798E-3</v>
      </c>
      <c r="BH125" s="9">
        <f t="shared" si="27"/>
        <v>5.31539167849732E-3</v>
      </c>
      <c r="BI125" s="9">
        <f t="shared" si="28"/>
        <v>-3.4927603696865983E-4</v>
      </c>
      <c r="BJ125" s="12">
        <f t="shared" si="29"/>
        <v>1.326745199127382E-3</v>
      </c>
      <c r="BL125" s="9"/>
      <c r="BN125">
        <f t="shared" si="30"/>
        <v>0</v>
      </c>
      <c r="BO125">
        <f t="shared" si="31"/>
        <v>1</v>
      </c>
      <c r="BP125">
        <f t="shared" si="32"/>
        <v>0</v>
      </c>
      <c r="BQ125">
        <f t="shared" si="21"/>
        <v>1</v>
      </c>
      <c r="BR125">
        <f t="shared" si="33"/>
        <v>0</v>
      </c>
      <c r="BS125" s="9">
        <f t="shared" si="34"/>
        <v>0</v>
      </c>
      <c r="BT125" s="9">
        <f t="shared" si="35"/>
        <v>0</v>
      </c>
      <c r="BU125" s="9">
        <f t="shared" si="36"/>
        <v>0</v>
      </c>
      <c r="BV125" s="12">
        <f t="shared" si="37"/>
        <v>4.7674941486541261E-3</v>
      </c>
      <c r="BX125" s="12">
        <f t="shared" si="38"/>
        <v>-3.4927603696865983E-4</v>
      </c>
      <c r="BY125" s="12">
        <f t="shared" si="39"/>
        <v>6.094239347781508E-3</v>
      </c>
    </row>
    <row r="126" spans="1:77" x14ac:dyDescent="0.3">
      <c r="A126" s="1">
        <v>46205</v>
      </c>
      <c r="B126" s="8">
        <v>53.22</v>
      </c>
      <c r="C126" s="8">
        <v>56.75</v>
      </c>
      <c r="D126" s="9">
        <v>7.7336988307013001E-3</v>
      </c>
      <c r="E126" s="9">
        <v>8.1387568855768901E-3</v>
      </c>
      <c r="F126" s="8">
        <v>0</v>
      </c>
      <c r="G126" s="8">
        <v>0.77010000000000001</v>
      </c>
      <c r="H126" s="8">
        <v>0</v>
      </c>
      <c r="I126" s="8">
        <v>0.61579999999999901</v>
      </c>
      <c r="J126" s="8">
        <v>0</v>
      </c>
      <c r="K126" s="8">
        <v>0</v>
      </c>
      <c r="L126" s="8">
        <v>53.22</v>
      </c>
      <c r="M126" s="8">
        <v>56.75</v>
      </c>
      <c r="N126" s="10">
        <v>1.06632844795189</v>
      </c>
      <c r="O126" s="10">
        <v>1.0596043809708899</v>
      </c>
      <c r="P126" s="10">
        <v>1.0631601602209</v>
      </c>
      <c r="Q126" s="10">
        <v>1.0607258190995399</v>
      </c>
      <c r="R126" s="8">
        <v>56.392145155271002</v>
      </c>
      <c r="S126" s="8">
        <v>56.524320803964002</v>
      </c>
      <c r="T126" s="8">
        <v>56.441668920275603</v>
      </c>
      <c r="U126" s="9">
        <v>-6.3257778531195102E-3</v>
      </c>
      <c r="V126" s="9">
        <v>-3.98465412169799E-3</v>
      </c>
      <c r="W126" s="9">
        <v>-5.4479600005466399E-3</v>
      </c>
      <c r="X126" s="10">
        <v>1.06632844795189</v>
      </c>
      <c r="Y126" s="10">
        <v>1.05986570061559</v>
      </c>
      <c r="Z126" s="10">
        <v>1.06373501608848</v>
      </c>
      <c r="AA126" s="10">
        <v>1.06185333372004</v>
      </c>
      <c r="AB126" s="8">
        <v>56.406052586761902</v>
      </c>
      <c r="AC126" s="8">
        <v>56.585004814323398</v>
      </c>
      <c r="AD126" s="8">
        <v>56.501675248378497</v>
      </c>
      <c r="AE126" s="9">
        <v>-6.0791882472621701E-3</v>
      </c>
      <c r="AF126" s="9">
        <v>-2.91163886234481E-3</v>
      </c>
      <c r="AG126" s="9">
        <v>-4.3853682349018199E-3</v>
      </c>
      <c r="AZ126" s="9"/>
      <c r="BB126">
        <f t="shared" si="22"/>
        <v>1</v>
      </c>
      <c r="BC126">
        <f t="shared" si="23"/>
        <v>0</v>
      </c>
      <c r="BD126">
        <f t="shared" si="24"/>
        <v>1</v>
      </c>
      <c r="BE126">
        <f t="shared" si="20"/>
        <v>1</v>
      </c>
      <c r="BF126">
        <f t="shared" si="25"/>
        <v>1</v>
      </c>
      <c r="BG126" s="9">
        <f t="shared" si="26"/>
        <v>7.7336988307013001E-3</v>
      </c>
      <c r="BH126" s="9">
        <f t="shared" si="27"/>
        <v>-8.1387568855768901E-3</v>
      </c>
      <c r="BI126" s="9">
        <f t="shared" si="28"/>
        <v>-4.0505805487558999E-4</v>
      </c>
      <c r="BJ126" s="12">
        <f t="shared" si="29"/>
        <v>9.2168714425179196E-4</v>
      </c>
      <c r="BL126" s="9"/>
      <c r="BN126">
        <f t="shared" si="30"/>
        <v>0</v>
      </c>
      <c r="BO126">
        <f t="shared" si="31"/>
        <v>1</v>
      </c>
      <c r="BP126">
        <f t="shared" si="32"/>
        <v>0</v>
      </c>
      <c r="BQ126">
        <f t="shared" si="21"/>
        <v>1</v>
      </c>
      <c r="BR126">
        <f t="shared" si="33"/>
        <v>0</v>
      </c>
      <c r="BS126" s="9">
        <f t="shared" si="34"/>
        <v>0</v>
      </c>
      <c r="BT126" s="9">
        <f t="shared" si="35"/>
        <v>0</v>
      </c>
      <c r="BU126" s="9">
        <f t="shared" si="36"/>
        <v>0</v>
      </c>
      <c r="BV126" s="12">
        <f t="shared" si="37"/>
        <v>4.7674941486541261E-3</v>
      </c>
      <c r="BX126" s="12">
        <f t="shared" si="38"/>
        <v>-4.0505805487558999E-4</v>
      </c>
      <c r="BY126" s="12">
        <f t="shared" si="39"/>
        <v>5.689181292905918E-3</v>
      </c>
    </row>
    <row r="127" spans="1:77" x14ac:dyDescent="0.3">
      <c r="A127" s="1">
        <v>46209</v>
      </c>
      <c r="B127" s="8">
        <v>53.13</v>
      </c>
      <c r="C127" s="8">
        <v>56.67</v>
      </c>
      <c r="D127" s="9">
        <v>-1.6925250866911699E-3</v>
      </c>
      <c r="E127" s="9">
        <v>-1.4106861799842E-3</v>
      </c>
      <c r="F127" s="8">
        <v>0</v>
      </c>
      <c r="G127" s="8">
        <v>0.77010000000000001</v>
      </c>
      <c r="H127" s="8">
        <v>0</v>
      </c>
      <c r="I127" s="8">
        <v>0.61579999999999901</v>
      </c>
      <c r="J127" s="8">
        <v>0</v>
      </c>
      <c r="K127" s="8">
        <v>0</v>
      </c>
      <c r="L127" s="8">
        <v>53.13</v>
      </c>
      <c r="M127" s="8">
        <v>56.67</v>
      </c>
      <c r="N127" s="10">
        <v>1.06662902315076</v>
      </c>
      <c r="O127" s="10">
        <v>1.0596043809708899</v>
      </c>
      <c r="P127" s="10">
        <v>1.0642437432129299</v>
      </c>
      <c r="Q127" s="10">
        <v>1.06095088727836</v>
      </c>
      <c r="R127" s="8">
        <v>56.296780760983602</v>
      </c>
      <c r="S127" s="8">
        <v>56.485699312536703</v>
      </c>
      <c r="T127" s="8">
        <v>56.356362768758999</v>
      </c>
      <c r="U127" s="9">
        <v>-6.6076167598266402E-3</v>
      </c>
      <c r="V127" s="9">
        <v>-3.25747357937625E-3</v>
      </c>
      <c r="W127" s="9">
        <v>-5.5498209191748001E-3</v>
      </c>
      <c r="X127" s="10">
        <v>1.06662902315076</v>
      </c>
      <c r="Y127" s="10">
        <v>1.05986570061559</v>
      </c>
      <c r="Z127" s="10">
        <v>1.0642437432129299</v>
      </c>
      <c r="AA127" s="10">
        <v>1.06207840189886</v>
      </c>
      <c r="AB127" s="8">
        <v>56.310664673706498</v>
      </c>
      <c r="AC127" s="8">
        <v>56.516241404781397</v>
      </c>
      <c r="AD127" s="8">
        <v>56.416267620546101</v>
      </c>
      <c r="AE127" s="9">
        <v>-6.36102715396913E-3</v>
      </c>
      <c r="AF127" s="9">
        <v>-2.7169148457015899E-3</v>
      </c>
      <c r="AG127" s="9">
        <v>-4.4874202779059602E-3</v>
      </c>
      <c r="AZ127" s="9"/>
      <c r="BB127">
        <f t="shared" si="22"/>
        <v>1</v>
      </c>
      <c r="BC127">
        <f t="shared" si="23"/>
        <v>0</v>
      </c>
      <c r="BD127">
        <f t="shared" si="24"/>
        <v>1</v>
      </c>
      <c r="BE127">
        <f t="shared" si="20"/>
        <v>1</v>
      </c>
      <c r="BF127">
        <f t="shared" si="25"/>
        <v>1</v>
      </c>
      <c r="BG127" s="9">
        <f t="shared" si="26"/>
        <v>-1.6925250866911699E-3</v>
      </c>
      <c r="BH127" s="9">
        <f t="shared" si="27"/>
        <v>1.4106861799842E-3</v>
      </c>
      <c r="BI127" s="9">
        <f t="shared" si="28"/>
        <v>-2.8183890670696989E-4</v>
      </c>
      <c r="BJ127" s="12">
        <f t="shared" si="29"/>
        <v>6.3984823754482207E-4</v>
      </c>
      <c r="BL127" s="9"/>
      <c r="BN127">
        <f t="shared" si="30"/>
        <v>0</v>
      </c>
      <c r="BO127">
        <f t="shared" si="31"/>
        <v>1</v>
      </c>
      <c r="BP127">
        <f t="shared" si="32"/>
        <v>0</v>
      </c>
      <c r="BQ127">
        <f t="shared" si="21"/>
        <v>1</v>
      </c>
      <c r="BR127">
        <f t="shared" si="33"/>
        <v>0</v>
      </c>
      <c r="BS127" s="9">
        <f t="shared" si="34"/>
        <v>0</v>
      </c>
      <c r="BT127" s="9">
        <f t="shared" si="35"/>
        <v>0</v>
      </c>
      <c r="BU127" s="9">
        <f t="shared" si="36"/>
        <v>0</v>
      </c>
      <c r="BV127" s="12">
        <f t="shared" si="37"/>
        <v>4.7674941486541261E-3</v>
      </c>
      <c r="BX127" s="12">
        <f t="shared" si="38"/>
        <v>-2.8183890670696989E-4</v>
      </c>
      <c r="BY127" s="12">
        <f t="shared" si="39"/>
        <v>5.4073423861989486E-3</v>
      </c>
    </row>
    <row r="128" spans="1:77" x14ac:dyDescent="0.3">
      <c r="A128" s="1">
        <v>46210</v>
      </c>
      <c r="B128" s="8">
        <v>54.64</v>
      </c>
      <c r="C128" s="8">
        <v>58.21</v>
      </c>
      <c r="D128" s="9">
        <v>2.8024474799682699E-2</v>
      </c>
      <c r="E128" s="9">
        <v>2.6812191102116099E-2</v>
      </c>
      <c r="F128" s="8">
        <v>0</v>
      </c>
      <c r="G128" s="8">
        <v>0.77010000000000001</v>
      </c>
      <c r="H128" s="8">
        <v>0</v>
      </c>
      <c r="I128" s="8">
        <v>0.61579999999999901</v>
      </c>
      <c r="J128" s="8">
        <v>0</v>
      </c>
      <c r="K128" s="8">
        <v>0</v>
      </c>
      <c r="L128" s="8">
        <v>54.64</v>
      </c>
      <c r="M128" s="8">
        <v>58.21</v>
      </c>
      <c r="N128" s="10">
        <v>1.0653367496339601</v>
      </c>
      <c r="O128" s="10">
        <v>1.0596043809708899</v>
      </c>
      <c r="P128" s="10">
        <v>1.06435862424366</v>
      </c>
      <c r="Q128" s="10">
        <v>1.0612525782367399</v>
      </c>
      <c r="R128" s="8">
        <v>57.896783376249701</v>
      </c>
      <c r="S128" s="8">
        <v>58.150278129154898</v>
      </c>
      <c r="T128" s="8">
        <v>57.970356480889798</v>
      </c>
      <c r="U128" s="9">
        <v>-5.39533306226022E-3</v>
      </c>
      <c r="V128" s="9">
        <v>-1.0264993698761E-3</v>
      </c>
      <c r="W128" s="9">
        <v>-4.12537654794627E-3</v>
      </c>
      <c r="X128" s="10">
        <v>1.0653367496339601</v>
      </c>
      <c r="Y128" s="10">
        <v>1.05986570061559</v>
      </c>
      <c r="Z128" s="10">
        <v>1.06435862424366</v>
      </c>
      <c r="AA128" s="10">
        <v>1.06238009285723</v>
      </c>
      <c r="AB128" s="8">
        <v>57.911061881636002</v>
      </c>
      <c r="AC128" s="8">
        <v>58.150278129154898</v>
      </c>
      <c r="AD128" s="8">
        <v>58.031963879753803</v>
      </c>
      <c r="AE128" s="9">
        <v>-5.1487434564028304E-3</v>
      </c>
      <c r="AF128" s="9">
        <v>-1.0264993698761E-3</v>
      </c>
      <c r="AG128" s="9">
        <v>-3.0632011627527598E-3</v>
      </c>
      <c r="AZ128" s="9"/>
      <c r="BB128">
        <f t="shared" si="22"/>
        <v>1</v>
      </c>
      <c r="BC128">
        <f t="shared" si="23"/>
        <v>0</v>
      </c>
      <c r="BD128">
        <f t="shared" si="24"/>
        <v>1</v>
      </c>
      <c r="BE128">
        <f t="shared" si="20"/>
        <v>1</v>
      </c>
      <c r="BF128">
        <f t="shared" si="25"/>
        <v>1</v>
      </c>
      <c r="BG128" s="9">
        <f t="shared" si="26"/>
        <v>2.8024474799682699E-2</v>
      </c>
      <c r="BH128" s="9">
        <f t="shared" si="27"/>
        <v>-2.6812191102116099E-2</v>
      </c>
      <c r="BI128" s="9">
        <f t="shared" si="28"/>
        <v>1.2122836975665997E-3</v>
      </c>
      <c r="BJ128" s="12">
        <f t="shared" si="29"/>
        <v>1.8521319351114218E-3</v>
      </c>
      <c r="BL128" s="9"/>
      <c r="BN128">
        <f t="shared" si="30"/>
        <v>0</v>
      </c>
      <c r="BO128">
        <f t="shared" si="31"/>
        <v>1</v>
      </c>
      <c r="BP128">
        <f t="shared" si="32"/>
        <v>0</v>
      </c>
      <c r="BQ128">
        <f t="shared" si="21"/>
        <v>1</v>
      </c>
      <c r="BR128">
        <f t="shared" si="33"/>
        <v>0</v>
      </c>
      <c r="BS128" s="9">
        <f t="shared" si="34"/>
        <v>0</v>
      </c>
      <c r="BT128" s="9">
        <f t="shared" si="35"/>
        <v>0</v>
      </c>
      <c r="BU128" s="9">
        <f t="shared" si="36"/>
        <v>0</v>
      </c>
      <c r="BV128" s="12">
        <f t="shared" si="37"/>
        <v>4.7674941486541261E-3</v>
      </c>
      <c r="BX128" s="12">
        <f t="shared" si="38"/>
        <v>1.2122836975665997E-3</v>
      </c>
      <c r="BY128" s="12">
        <f t="shared" si="39"/>
        <v>6.6196260837655483E-3</v>
      </c>
    </row>
    <row r="129" spans="1:77" x14ac:dyDescent="0.3">
      <c r="A129" s="1">
        <v>46211</v>
      </c>
      <c r="B129" s="8">
        <v>55.6</v>
      </c>
      <c r="C129" s="8">
        <v>59.12</v>
      </c>
      <c r="D129" s="9">
        <v>1.7416985994002099E-2</v>
      </c>
      <c r="E129" s="9">
        <v>1.5512115356302101E-2</v>
      </c>
      <c r="F129" s="8">
        <v>0</v>
      </c>
      <c r="G129" s="8">
        <v>0.77010000000000001</v>
      </c>
      <c r="H129" s="8">
        <v>0</v>
      </c>
      <c r="I129" s="8">
        <v>0.61579999999999901</v>
      </c>
      <c r="J129" s="8">
        <v>0</v>
      </c>
      <c r="K129" s="8">
        <v>0</v>
      </c>
      <c r="L129" s="8">
        <v>55.6</v>
      </c>
      <c r="M129" s="8">
        <v>59.12</v>
      </c>
      <c r="N129" s="10">
        <v>1.06330935251798</v>
      </c>
      <c r="O129" s="10">
        <v>1.0596043809708899</v>
      </c>
      <c r="P129" s="10">
        <v>1.0644464452832001</v>
      </c>
      <c r="Q129" s="10">
        <v>1.06147787785303</v>
      </c>
      <c r="R129" s="8">
        <v>58.914003581981703</v>
      </c>
      <c r="S129" s="8">
        <v>59.178339507947904</v>
      </c>
      <c r="T129" s="8">
        <v>59.005643349962703</v>
      </c>
      <c r="U129" s="9">
        <v>-3.4904624245602799E-3</v>
      </c>
      <c r="V129" s="9">
        <v>9.8631160707853298E-4</v>
      </c>
      <c r="W129" s="9">
        <v>-1.9361873090276501E-3</v>
      </c>
      <c r="X129" s="10">
        <v>1.06330935251798</v>
      </c>
      <c r="Y129" s="10">
        <v>1.05986570061559</v>
      </c>
      <c r="Z129" s="10">
        <v>1.0644464452832001</v>
      </c>
      <c r="AA129" s="10">
        <v>1.0626053924735299</v>
      </c>
      <c r="AB129" s="8">
        <v>58.928532954227002</v>
      </c>
      <c r="AC129" s="8">
        <v>59.178339507947904</v>
      </c>
      <c r="AD129" s="8">
        <v>59.068333162862402</v>
      </c>
      <c r="AE129" s="9">
        <v>-3.2438728187028799E-3</v>
      </c>
      <c r="AF129" s="9">
        <v>9.8631160707875502E-4</v>
      </c>
      <c r="AG129" s="9">
        <v>-8.7431371686487501E-4</v>
      </c>
      <c r="AZ129" s="9"/>
      <c r="BB129">
        <f t="shared" si="22"/>
        <v>0</v>
      </c>
      <c r="BC129">
        <f t="shared" si="23"/>
        <v>0</v>
      </c>
      <c r="BD129">
        <f t="shared" si="24"/>
        <v>1</v>
      </c>
      <c r="BE129">
        <f t="shared" si="20"/>
        <v>1</v>
      </c>
      <c r="BF129">
        <f t="shared" si="25"/>
        <v>1</v>
      </c>
      <c r="BG129" s="9">
        <f t="shared" si="26"/>
        <v>1.7416985994002099E-2</v>
      </c>
      <c r="BH129" s="9">
        <f t="shared" si="27"/>
        <v>-1.5512115356302101E-2</v>
      </c>
      <c r="BI129" s="9">
        <f t="shared" si="28"/>
        <v>1.9048706376999982E-3</v>
      </c>
      <c r="BJ129" s="12">
        <f t="shared" si="29"/>
        <v>3.75700257281142E-3</v>
      </c>
      <c r="BL129" s="9"/>
      <c r="BN129">
        <f t="shared" si="30"/>
        <v>0</v>
      </c>
      <c r="BO129">
        <f t="shared" si="31"/>
        <v>1</v>
      </c>
      <c r="BP129">
        <f t="shared" si="32"/>
        <v>0</v>
      </c>
      <c r="BQ129">
        <f t="shared" si="21"/>
        <v>1</v>
      </c>
      <c r="BR129">
        <f t="shared" si="33"/>
        <v>0</v>
      </c>
      <c r="BS129" s="9">
        <f t="shared" si="34"/>
        <v>0</v>
      </c>
      <c r="BT129" s="9">
        <f t="shared" si="35"/>
        <v>0</v>
      </c>
      <c r="BU129" s="9">
        <f t="shared" si="36"/>
        <v>0</v>
      </c>
      <c r="BV129" s="12">
        <f t="shared" si="37"/>
        <v>4.7674941486541261E-3</v>
      </c>
      <c r="BX129" s="12">
        <f t="shared" si="38"/>
        <v>1.9048706376999982E-3</v>
      </c>
      <c r="BY129" s="12">
        <f t="shared" si="39"/>
        <v>8.5244967214655465E-3</v>
      </c>
    </row>
    <row r="130" spans="1:77" x14ac:dyDescent="0.3">
      <c r="A130" s="1">
        <v>46212</v>
      </c>
      <c r="B130" s="8">
        <v>54.82</v>
      </c>
      <c r="C130" s="8">
        <v>58.32</v>
      </c>
      <c r="D130" s="9">
        <v>-1.4128110381896999E-2</v>
      </c>
      <c r="E130" s="9">
        <v>-1.3624188939543499E-2</v>
      </c>
      <c r="F130" s="8">
        <v>0</v>
      </c>
      <c r="G130" s="8">
        <v>0.77010000000000001</v>
      </c>
      <c r="H130" s="8">
        <v>0</v>
      </c>
      <c r="I130" s="8">
        <v>0.61579999999999901</v>
      </c>
      <c r="J130" s="8">
        <v>0</v>
      </c>
      <c r="K130" s="8">
        <v>0</v>
      </c>
      <c r="L130" s="8">
        <v>54.82</v>
      </c>
      <c r="M130" s="8">
        <v>58.32</v>
      </c>
      <c r="N130" s="10">
        <v>1.06384531192995</v>
      </c>
      <c r="O130" s="10">
        <v>1.0596043809708899</v>
      </c>
      <c r="P130" s="10">
        <v>1.0645961435473099</v>
      </c>
      <c r="Q130" s="10">
        <v>1.06170795491494</v>
      </c>
      <c r="R130" s="8">
        <v>58.087512164824403</v>
      </c>
      <c r="S130" s="8">
        <v>58.352954130424997</v>
      </c>
      <c r="T130" s="8">
        <v>58.190217263903499</v>
      </c>
      <c r="U130" s="9">
        <v>-3.9943838669136197E-3</v>
      </c>
      <c r="V130" s="9">
        <v>5.6489752140094799E-4</v>
      </c>
      <c r="W130" s="9">
        <v>-2.2278353405028898E-3</v>
      </c>
      <c r="X130" s="10">
        <v>1.06384531192995</v>
      </c>
      <c r="Y130" s="10">
        <v>1.05986570061559</v>
      </c>
      <c r="Z130" s="10">
        <v>1.0645961435473099</v>
      </c>
      <c r="AA130" s="10">
        <v>1.0628354695354401</v>
      </c>
      <c r="AB130" s="8">
        <v>58.101837707746803</v>
      </c>
      <c r="AC130" s="8">
        <v>58.352954130424997</v>
      </c>
      <c r="AD130" s="8">
        <v>58.2520276153992</v>
      </c>
      <c r="AE130" s="9">
        <v>-3.74779426105624E-3</v>
      </c>
      <c r="AF130" s="9">
        <v>5.6489752140094799E-4</v>
      </c>
      <c r="AG130" s="9">
        <v>-1.1661870123504E-3</v>
      </c>
      <c r="AZ130" s="9"/>
      <c r="BB130">
        <f t="shared" si="22"/>
        <v>0</v>
      </c>
      <c r="BC130">
        <f t="shared" si="23"/>
        <v>0</v>
      </c>
      <c r="BD130">
        <f t="shared" si="24"/>
        <v>1</v>
      </c>
      <c r="BE130">
        <f t="shared" si="20"/>
        <v>1</v>
      </c>
      <c r="BF130">
        <f t="shared" si="25"/>
        <v>1</v>
      </c>
      <c r="BG130" s="9">
        <f t="shared" si="26"/>
        <v>-1.4128110381896999E-2</v>
      </c>
      <c r="BH130" s="9">
        <f t="shared" si="27"/>
        <v>1.3624188939543499E-2</v>
      </c>
      <c r="BI130" s="9">
        <f t="shared" si="28"/>
        <v>-5.0392144235350024E-4</v>
      </c>
      <c r="BJ130" s="12">
        <f t="shared" si="29"/>
        <v>3.2530811304579198E-3</v>
      </c>
      <c r="BL130" s="9"/>
      <c r="BN130">
        <f t="shared" si="30"/>
        <v>0</v>
      </c>
      <c r="BO130">
        <f t="shared" si="31"/>
        <v>1</v>
      </c>
      <c r="BP130">
        <f t="shared" si="32"/>
        <v>0</v>
      </c>
      <c r="BQ130">
        <f t="shared" si="21"/>
        <v>1</v>
      </c>
      <c r="BR130">
        <f t="shared" si="33"/>
        <v>0</v>
      </c>
      <c r="BS130" s="9">
        <f t="shared" si="34"/>
        <v>0</v>
      </c>
      <c r="BT130" s="9">
        <f t="shared" si="35"/>
        <v>0</v>
      </c>
      <c r="BU130" s="9">
        <f t="shared" si="36"/>
        <v>0</v>
      </c>
      <c r="BV130" s="12">
        <f t="shared" si="37"/>
        <v>4.7674941486541261E-3</v>
      </c>
      <c r="BX130" s="12">
        <f t="shared" si="38"/>
        <v>-5.0392144235350024E-4</v>
      </c>
      <c r="BY130" s="12">
        <f t="shared" si="39"/>
        <v>8.0205752791120462E-3</v>
      </c>
    </row>
    <row r="131" spans="1:77" x14ac:dyDescent="0.3">
      <c r="A131" s="1">
        <v>46213</v>
      </c>
      <c r="B131" s="8">
        <v>55.08</v>
      </c>
      <c r="C131" s="8">
        <v>58.6</v>
      </c>
      <c r="D131" s="9">
        <v>4.7315829858143397E-3</v>
      </c>
      <c r="E131" s="9">
        <v>4.7896088825642898E-3</v>
      </c>
      <c r="F131" s="8">
        <v>0</v>
      </c>
      <c r="G131" s="8">
        <v>0.77010000000000001</v>
      </c>
      <c r="H131" s="8">
        <v>0</v>
      </c>
      <c r="I131" s="8">
        <v>0.61579999999999901</v>
      </c>
      <c r="J131" s="8">
        <v>0</v>
      </c>
      <c r="K131" s="8">
        <v>0</v>
      </c>
      <c r="L131" s="8">
        <v>55.08</v>
      </c>
      <c r="M131" s="8">
        <v>58.6</v>
      </c>
      <c r="N131" s="10">
        <v>1.0639070442992</v>
      </c>
      <c r="O131" s="10">
        <v>1.0596043809708899</v>
      </c>
      <c r="P131" s="10">
        <v>1.0646825403418101</v>
      </c>
      <c r="Q131" s="10">
        <v>1.0619762685032901</v>
      </c>
      <c r="R131" s="8">
        <v>58.3630093038769</v>
      </c>
      <c r="S131" s="8">
        <v>58.637955586586202</v>
      </c>
      <c r="T131" s="8">
        <v>58.4788741567153</v>
      </c>
      <c r="U131" s="9">
        <v>-4.0524097636634804E-3</v>
      </c>
      <c r="V131" s="9">
        <v>6.4749658457398103E-4</v>
      </c>
      <c r="W131" s="9">
        <v>-2.0691330929147999E-3</v>
      </c>
      <c r="X131" s="10">
        <v>1.0639070442992</v>
      </c>
      <c r="Y131" s="10">
        <v>1.05986570061559</v>
      </c>
      <c r="Z131" s="10">
        <v>1.0646825403418101</v>
      </c>
      <c r="AA131" s="10">
        <v>1.0631037831237899</v>
      </c>
      <c r="AB131" s="8">
        <v>58.377402789906903</v>
      </c>
      <c r="AC131" s="8">
        <v>58.637955586586202</v>
      </c>
      <c r="AD131" s="8">
        <v>58.540977662012303</v>
      </c>
      <c r="AE131" s="9">
        <v>-3.8058201578061702E-3</v>
      </c>
      <c r="AF131" s="9">
        <v>6.4749658457398103E-4</v>
      </c>
      <c r="AG131" s="9">
        <v>-1.00771470684889E-3</v>
      </c>
      <c r="AZ131" s="9"/>
      <c r="BB131">
        <f t="shared" si="22"/>
        <v>0</v>
      </c>
      <c r="BC131">
        <f t="shared" si="23"/>
        <v>0</v>
      </c>
      <c r="BD131">
        <f t="shared" si="24"/>
        <v>1</v>
      </c>
      <c r="BE131">
        <f t="shared" si="20"/>
        <v>1</v>
      </c>
      <c r="BF131">
        <f t="shared" si="25"/>
        <v>1</v>
      </c>
      <c r="BG131" s="9">
        <f t="shared" si="26"/>
        <v>4.7315829858143397E-3</v>
      </c>
      <c r="BH131" s="9">
        <f t="shared" si="27"/>
        <v>-4.7896088825642898E-3</v>
      </c>
      <c r="BI131" s="9">
        <f t="shared" si="28"/>
        <v>-5.8025896749950082E-5</v>
      </c>
      <c r="BJ131" s="12">
        <f t="shared" si="29"/>
        <v>3.1950552337079697E-3</v>
      </c>
      <c r="BL131" s="9"/>
      <c r="BN131">
        <f t="shared" si="30"/>
        <v>0</v>
      </c>
      <c r="BO131">
        <f t="shared" si="31"/>
        <v>1</v>
      </c>
      <c r="BP131">
        <f t="shared" si="32"/>
        <v>0</v>
      </c>
      <c r="BQ131">
        <f t="shared" si="21"/>
        <v>1</v>
      </c>
      <c r="BR131">
        <f t="shared" si="33"/>
        <v>0</v>
      </c>
      <c r="BS131" s="9">
        <f t="shared" si="34"/>
        <v>0</v>
      </c>
      <c r="BT131" s="9">
        <f t="shared" si="35"/>
        <v>0</v>
      </c>
      <c r="BU131" s="9">
        <f t="shared" si="36"/>
        <v>0</v>
      </c>
      <c r="BV131" s="12">
        <f t="shared" si="37"/>
        <v>4.7674941486541261E-3</v>
      </c>
      <c r="BX131" s="12">
        <f t="shared" si="38"/>
        <v>-5.8025896749950082E-5</v>
      </c>
      <c r="BY131" s="12">
        <f t="shared" si="39"/>
        <v>7.9625493823620962E-3</v>
      </c>
    </row>
    <row r="132" spans="1:77" x14ac:dyDescent="0.3">
      <c r="A132" s="1">
        <v>46216</v>
      </c>
      <c r="B132" s="8">
        <v>56.74</v>
      </c>
      <c r="C132" s="8">
        <v>60.27</v>
      </c>
      <c r="D132" s="9">
        <v>2.9692755520251201E-2</v>
      </c>
      <c r="E132" s="9">
        <v>2.8099770911985799E-2</v>
      </c>
      <c r="F132" s="8">
        <v>0</v>
      </c>
      <c r="G132" s="8">
        <v>0.77010000000000001</v>
      </c>
      <c r="H132" s="8">
        <v>0</v>
      </c>
      <c r="I132" s="8">
        <v>0.61579999999999901</v>
      </c>
      <c r="J132" s="8">
        <v>0</v>
      </c>
      <c r="K132" s="8">
        <v>0</v>
      </c>
      <c r="L132" s="8">
        <v>56.74</v>
      </c>
      <c r="M132" s="8">
        <v>60.27</v>
      </c>
      <c r="N132" s="10">
        <v>1.06221360592174</v>
      </c>
      <c r="O132" s="10">
        <v>1.0596043809708899</v>
      </c>
      <c r="P132" s="10">
        <v>1.06462604060709</v>
      </c>
      <c r="Q132" s="10">
        <v>1.06210200482179</v>
      </c>
      <c r="R132" s="8">
        <v>60.121952576288599</v>
      </c>
      <c r="S132" s="8">
        <v>60.4100873389946</v>
      </c>
      <c r="T132" s="8">
        <v>60.256533474877102</v>
      </c>
      <c r="U132" s="9">
        <v>-2.45942515539814E-3</v>
      </c>
      <c r="V132" s="9">
        <v>2.3216324251310598E-3</v>
      </c>
      <c r="W132" s="9">
        <v>-2.2346158626815701E-4</v>
      </c>
      <c r="X132" s="10">
        <v>1.06221360592174</v>
      </c>
      <c r="Y132" s="10">
        <v>1.05986570061559</v>
      </c>
      <c r="Z132" s="10">
        <v>1.06462604060709</v>
      </c>
      <c r="AA132" s="10">
        <v>1.06322951944229</v>
      </c>
      <c r="AB132" s="8">
        <v>60.136779852928797</v>
      </c>
      <c r="AC132" s="8">
        <v>60.4100873389946</v>
      </c>
      <c r="AD132" s="8">
        <v>60.320508654444197</v>
      </c>
      <c r="AE132" s="9">
        <v>-2.2128355495407001E-3</v>
      </c>
      <c r="AF132" s="9">
        <v>2.3216324251310598E-3</v>
      </c>
      <c r="AG132" s="9">
        <v>8.3768876939662601E-4</v>
      </c>
      <c r="AZ132" s="9"/>
      <c r="BB132">
        <f t="shared" si="22"/>
        <v>0</v>
      </c>
      <c r="BC132">
        <f t="shared" si="23"/>
        <v>1</v>
      </c>
      <c r="BD132">
        <f t="shared" si="24"/>
        <v>1</v>
      </c>
      <c r="BE132">
        <f t="shared" si="20"/>
        <v>1</v>
      </c>
      <c r="BF132">
        <f t="shared" si="25"/>
        <v>1</v>
      </c>
      <c r="BG132" s="9">
        <f t="shared" si="26"/>
        <v>2.9692755520251201E-2</v>
      </c>
      <c r="BH132" s="9">
        <f t="shared" si="27"/>
        <v>-2.8099770911985799E-2</v>
      </c>
      <c r="BI132" s="9">
        <f t="shared" si="28"/>
        <v>1.592984608265402E-3</v>
      </c>
      <c r="BJ132" s="12">
        <f t="shared" si="29"/>
        <v>4.7880398419733721E-3</v>
      </c>
      <c r="BL132" s="9"/>
      <c r="BN132">
        <f t="shared" si="30"/>
        <v>0</v>
      </c>
      <c r="BO132">
        <f t="shared" si="31"/>
        <v>0</v>
      </c>
      <c r="BP132">
        <f t="shared" si="32"/>
        <v>0</v>
      </c>
      <c r="BQ132">
        <f t="shared" si="21"/>
        <v>1</v>
      </c>
      <c r="BR132">
        <f t="shared" si="33"/>
        <v>0</v>
      </c>
      <c r="BS132" s="9">
        <f t="shared" si="34"/>
        <v>0</v>
      </c>
      <c r="BT132" s="9">
        <f t="shared" si="35"/>
        <v>0</v>
      </c>
      <c r="BU132" s="9">
        <f t="shared" si="36"/>
        <v>0</v>
      </c>
      <c r="BV132" s="12">
        <f t="shared" si="37"/>
        <v>4.7674941486541261E-3</v>
      </c>
      <c r="BX132" s="12">
        <f t="shared" si="38"/>
        <v>1.592984608265402E-3</v>
      </c>
      <c r="BY132" s="12">
        <f t="shared" si="39"/>
        <v>9.5555339906274982E-3</v>
      </c>
    </row>
    <row r="133" spans="1:77" x14ac:dyDescent="0.3">
      <c r="A133" s="1">
        <v>46217</v>
      </c>
      <c r="B133" s="8">
        <v>56.95</v>
      </c>
      <c r="C133" s="8">
        <v>60.5</v>
      </c>
      <c r="D133" s="9">
        <v>3.6942605124858701E-3</v>
      </c>
      <c r="E133" s="9">
        <v>3.8088975418428799E-3</v>
      </c>
      <c r="F133" s="8">
        <v>0</v>
      </c>
      <c r="G133" s="8">
        <v>0.77010000000000001</v>
      </c>
      <c r="H133" s="8">
        <v>0</v>
      </c>
      <c r="I133" s="8">
        <v>0.61579999999999901</v>
      </c>
      <c r="J133" s="8">
        <v>0</v>
      </c>
      <c r="K133" s="8">
        <v>0</v>
      </c>
      <c r="L133" s="8">
        <v>56.95</v>
      </c>
      <c r="M133" s="8">
        <v>60.5</v>
      </c>
      <c r="N133" s="10">
        <v>1.06233538191395</v>
      </c>
      <c r="O133" s="10">
        <v>1.0596043809708899</v>
      </c>
      <c r="P133" s="10">
        <v>1.06453259111652</v>
      </c>
      <c r="Q133" s="10">
        <v>1.06223006844399</v>
      </c>
      <c r="R133" s="8">
        <v>60.344469496292497</v>
      </c>
      <c r="S133" s="8">
        <v>60.630453012574101</v>
      </c>
      <c r="T133" s="8">
        <v>60.486709174601202</v>
      </c>
      <c r="U133" s="9">
        <v>-2.5740621847552101E-3</v>
      </c>
      <c r="V133" s="9">
        <v>2.1539267750596502E-3</v>
      </c>
      <c r="W133" s="9">
        <v>-2.1970719830097699E-4</v>
      </c>
      <c r="X133" s="10">
        <v>1.06233538191395</v>
      </c>
      <c r="Y133" s="10">
        <v>1.05986570061559</v>
      </c>
      <c r="Z133" s="10">
        <v>1.06453259111652</v>
      </c>
      <c r="AA133" s="10">
        <v>1.0633575830644899</v>
      </c>
      <c r="AB133" s="8">
        <v>60.359351650058002</v>
      </c>
      <c r="AC133" s="8">
        <v>60.630453012574101</v>
      </c>
      <c r="AD133" s="8">
        <v>60.550921132238599</v>
      </c>
      <c r="AE133" s="9">
        <v>-2.32747257889783E-3</v>
      </c>
      <c r="AF133" s="9">
        <v>2.1539267750596502E-3</v>
      </c>
      <c r="AG133" s="9">
        <v>8.4131760032713702E-4</v>
      </c>
      <c r="AZ133" s="9"/>
      <c r="BB133">
        <f t="shared" si="22"/>
        <v>0</v>
      </c>
      <c r="BC133">
        <f t="shared" si="23"/>
        <v>1</v>
      </c>
      <c r="BD133">
        <f t="shared" si="24"/>
        <v>0</v>
      </c>
      <c r="BE133">
        <f t="shared" si="20"/>
        <v>1</v>
      </c>
      <c r="BF133">
        <f t="shared" si="25"/>
        <v>0</v>
      </c>
      <c r="BG133" s="9">
        <f t="shared" si="26"/>
        <v>0</v>
      </c>
      <c r="BH133" s="9">
        <f t="shared" si="27"/>
        <v>0</v>
      </c>
      <c r="BI133" s="9">
        <f t="shared" si="28"/>
        <v>0</v>
      </c>
      <c r="BJ133" s="12">
        <f t="shared" si="29"/>
        <v>4.7880398419733721E-3</v>
      </c>
      <c r="BL133" s="9"/>
      <c r="BN133">
        <f t="shared" si="30"/>
        <v>0</v>
      </c>
      <c r="BO133">
        <f t="shared" si="31"/>
        <v>0</v>
      </c>
      <c r="BP133">
        <f t="shared" si="32"/>
        <v>0</v>
      </c>
      <c r="BQ133">
        <f t="shared" si="21"/>
        <v>1</v>
      </c>
      <c r="BR133">
        <f t="shared" si="33"/>
        <v>0</v>
      </c>
      <c r="BS133" s="9">
        <f t="shared" si="34"/>
        <v>0</v>
      </c>
      <c r="BT133" s="9">
        <f t="shared" si="35"/>
        <v>0</v>
      </c>
      <c r="BU133" s="9">
        <f t="shared" si="36"/>
        <v>0</v>
      </c>
      <c r="BV133" s="12">
        <f t="shared" si="37"/>
        <v>4.7674941486541261E-3</v>
      </c>
      <c r="BX133" s="12">
        <f t="shared" si="38"/>
        <v>0</v>
      </c>
      <c r="BY133" s="12">
        <f t="shared" si="39"/>
        <v>9.5555339906274982E-3</v>
      </c>
    </row>
    <row r="134" spans="1:77" x14ac:dyDescent="0.3">
      <c r="A134" s="1">
        <v>46218</v>
      </c>
      <c r="B134" s="8">
        <v>56.5</v>
      </c>
      <c r="C134" s="8">
        <v>60.02</v>
      </c>
      <c r="D134" s="9">
        <v>-7.9330517407959801E-3</v>
      </c>
      <c r="E134" s="9">
        <v>-7.9655250245746802E-3</v>
      </c>
      <c r="F134" s="8">
        <v>0</v>
      </c>
      <c r="G134" s="8">
        <v>0.77010000000000001</v>
      </c>
      <c r="H134" s="8">
        <v>0</v>
      </c>
      <c r="I134" s="8">
        <v>0.61579999999999901</v>
      </c>
      <c r="J134" s="8">
        <v>0</v>
      </c>
      <c r="K134" s="8">
        <v>0</v>
      </c>
      <c r="L134" s="8">
        <v>56.5</v>
      </c>
      <c r="M134" s="8">
        <v>60.02</v>
      </c>
      <c r="N134" s="10">
        <v>1.06230088495575</v>
      </c>
      <c r="O134" s="10">
        <v>1.0596043809708899</v>
      </c>
      <c r="P134" s="10">
        <v>1.0642102412765599</v>
      </c>
      <c r="Q134" s="10">
        <v>1.06257283546405</v>
      </c>
      <c r="R134" s="8">
        <v>59.867647524855499</v>
      </c>
      <c r="S134" s="8">
        <v>60.146091398083399</v>
      </c>
      <c r="T134" s="8">
        <v>60.0159988670855</v>
      </c>
      <c r="U134" s="9">
        <v>-2.54158890097652E-3</v>
      </c>
      <c r="V134" s="9">
        <v>2.0986193841224998E-3</v>
      </c>
      <c r="W134" s="9">
        <v>-6.6665549563225195E-5</v>
      </c>
      <c r="X134" s="10">
        <v>1.06230088495575</v>
      </c>
      <c r="Y134" s="10">
        <v>1.05986570061559</v>
      </c>
      <c r="Z134" s="10">
        <v>1.0642102412765599</v>
      </c>
      <c r="AA134" s="10">
        <v>1.0634221322627699</v>
      </c>
      <c r="AB134" s="8">
        <v>59.882412084781002</v>
      </c>
      <c r="AC134" s="8">
        <v>60.146091398083399</v>
      </c>
      <c r="AD134" s="8">
        <v>60.0797034431436</v>
      </c>
      <c r="AE134" s="9">
        <v>-2.2949992951190302E-3</v>
      </c>
      <c r="AF134" s="9">
        <v>2.0986193841224998E-3</v>
      </c>
      <c r="AG134" s="9">
        <v>9.9423139858124E-4</v>
      </c>
      <c r="AZ134" s="9"/>
      <c r="BB134">
        <f t="shared" si="22"/>
        <v>0</v>
      </c>
      <c r="BC134">
        <f t="shared" si="23"/>
        <v>1</v>
      </c>
      <c r="BD134">
        <f t="shared" si="24"/>
        <v>0</v>
      </c>
      <c r="BE134">
        <f t="shared" si="20"/>
        <v>1</v>
      </c>
      <c r="BF134">
        <f t="shared" si="25"/>
        <v>0</v>
      </c>
      <c r="BG134" s="9">
        <f t="shared" si="26"/>
        <v>0</v>
      </c>
      <c r="BH134" s="9">
        <f t="shared" si="27"/>
        <v>0</v>
      </c>
      <c r="BI134" s="9">
        <f t="shared" si="28"/>
        <v>0</v>
      </c>
      <c r="BJ134" s="12">
        <f t="shared" si="29"/>
        <v>4.7880398419733721E-3</v>
      </c>
      <c r="BL134" s="9"/>
      <c r="BN134">
        <f t="shared" si="30"/>
        <v>0</v>
      </c>
      <c r="BO134">
        <f t="shared" si="31"/>
        <v>0</v>
      </c>
      <c r="BP134">
        <f t="shared" si="32"/>
        <v>0</v>
      </c>
      <c r="BQ134">
        <f t="shared" si="21"/>
        <v>1</v>
      </c>
      <c r="BR134">
        <f t="shared" si="33"/>
        <v>0</v>
      </c>
      <c r="BS134" s="9">
        <f t="shared" si="34"/>
        <v>0</v>
      </c>
      <c r="BT134" s="9">
        <f t="shared" si="35"/>
        <v>0</v>
      </c>
      <c r="BU134" s="9">
        <f t="shared" si="36"/>
        <v>0</v>
      </c>
      <c r="BV134" s="12">
        <f t="shared" si="37"/>
        <v>4.7674941486541261E-3</v>
      </c>
      <c r="BX134" s="12">
        <f t="shared" si="38"/>
        <v>0</v>
      </c>
      <c r="BY134" s="12">
        <f t="shared" si="39"/>
        <v>9.5555339906274982E-3</v>
      </c>
    </row>
    <row r="135" spans="1:77" x14ac:dyDescent="0.3">
      <c r="A135" s="1">
        <v>46219</v>
      </c>
      <c r="B135" s="8">
        <v>57.02</v>
      </c>
      <c r="C135" s="8">
        <v>60.53</v>
      </c>
      <c r="D135" s="9">
        <v>9.1614453321306293E-3</v>
      </c>
      <c r="E135" s="9">
        <v>8.4612698913747401E-3</v>
      </c>
      <c r="F135" s="8">
        <v>0</v>
      </c>
      <c r="G135" s="8">
        <v>0.77010000000000001</v>
      </c>
      <c r="H135" s="8">
        <v>0</v>
      </c>
      <c r="I135" s="8">
        <v>0.61579999999999901</v>
      </c>
      <c r="J135" s="8">
        <v>0</v>
      </c>
      <c r="K135" s="8">
        <v>0</v>
      </c>
      <c r="L135" s="8">
        <v>57.02</v>
      </c>
      <c r="M135" s="8">
        <v>60.53</v>
      </c>
      <c r="N135" s="10">
        <v>1.0615573482988401</v>
      </c>
      <c r="O135" s="10">
        <v>1.0596043809708899</v>
      </c>
      <c r="P135" s="10">
        <v>1.0637763150574</v>
      </c>
      <c r="Q135" s="10">
        <v>1.0629321335148301</v>
      </c>
      <c r="R135" s="8">
        <v>60.418641802960401</v>
      </c>
      <c r="S135" s="8">
        <v>60.681267957589803</v>
      </c>
      <c r="T135" s="8">
        <v>60.587903078160501</v>
      </c>
      <c r="U135" s="9">
        <v>-1.8414134602205399E-3</v>
      </c>
      <c r="V135" s="9">
        <v>2.4959401657681799E-3</v>
      </c>
      <c r="W135" s="9">
        <v>9.5614407284557996E-4</v>
      </c>
      <c r="X135" s="10">
        <v>1.0615573482988401</v>
      </c>
      <c r="Y135" s="10">
        <v>1.05986570061559</v>
      </c>
      <c r="Z135" s="10">
        <v>1.0637763150574</v>
      </c>
      <c r="AA135" s="10">
        <v>1.0635022576256901</v>
      </c>
      <c r="AB135" s="8">
        <v>60.433542249101102</v>
      </c>
      <c r="AC135" s="8">
        <v>60.681267957589803</v>
      </c>
      <c r="AD135" s="8">
        <v>60.636329981623298</v>
      </c>
      <c r="AE135" s="9">
        <v>-1.5948238543630399E-3</v>
      </c>
      <c r="AF135" s="9">
        <v>2.4959401657681799E-3</v>
      </c>
      <c r="AG135" s="9">
        <v>1.75510818780076E-3</v>
      </c>
      <c r="AZ135" s="9"/>
      <c r="BB135">
        <f t="shared" si="22"/>
        <v>0</v>
      </c>
      <c r="BC135">
        <f t="shared" si="23"/>
        <v>1</v>
      </c>
      <c r="BD135">
        <f t="shared" si="24"/>
        <v>0</v>
      </c>
      <c r="BE135">
        <f t="shared" si="20"/>
        <v>1</v>
      </c>
      <c r="BF135">
        <f t="shared" si="25"/>
        <v>0</v>
      </c>
      <c r="BG135" s="9">
        <f t="shared" si="26"/>
        <v>0</v>
      </c>
      <c r="BH135" s="9">
        <f t="shared" si="27"/>
        <v>0</v>
      </c>
      <c r="BI135" s="9">
        <f t="shared" si="28"/>
        <v>0</v>
      </c>
      <c r="BJ135" s="12">
        <f t="shared" si="29"/>
        <v>4.7880398419733721E-3</v>
      </c>
      <c r="BL135" s="9"/>
      <c r="BN135">
        <f t="shared" si="30"/>
        <v>0</v>
      </c>
      <c r="BO135">
        <f t="shared" si="31"/>
        <v>0</v>
      </c>
      <c r="BP135">
        <f t="shared" si="32"/>
        <v>0</v>
      </c>
      <c r="BQ135">
        <f t="shared" si="21"/>
        <v>1</v>
      </c>
      <c r="BR135">
        <f t="shared" si="33"/>
        <v>0</v>
      </c>
      <c r="BS135" s="9">
        <f t="shared" si="34"/>
        <v>0</v>
      </c>
      <c r="BT135" s="9">
        <f t="shared" si="35"/>
        <v>0</v>
      </c>
      <c r="BU135" s="9">
        <f t="shared" si="36"/>
        <v>0</v>
      </c>
      <c r="BV135" s="12">
        <f t="shared" si="37"/>
        <v>4.7674941486541261E-3</v>
      </c>
      <c r="BX135" s="12">
        <f t="shared" si="38"/>
        <v>0</v>
      </c>
      <c r="BY135" s="12">
        <f t="shared" si="39"/>
        <v>9.5555339906274982E-3</v>
      </c>
    </row>
    <row r="136" spans="1:77" x14ac:dyDescent="0.3">
      <c r="A136" s="1">
        <v>46220</v>
      </c>
      <c r="B136" s="8">
        <v>57.68</v>
      </c>
      <c r="C136" s="8">
        <v>61.25</v>
      </c>
      <c r="D136" s="9">
        <v>1.1508409492167601E-2</v>
      </c>
      <c r="E136" s="9">
        <v>1.18247395212403E-2</v>
      </c>
      <c r="F136" s="8">
        <v>0</v>
      </c>
      <c r="G136" s="8">
        <v>0.77010000000000001</v>
      </c>
      <c r="H136" s="8">
        <v>0</v>
      </c>
      <c r="I136" s="8">
        <v>0.61579999999999901</v>
      </c>
      <c r="J136" s="8">
        <v>0</v>
      </c>
      <c r="K136" s="8">
        <v>0</v>
      </c>
      <c r="L136" s="8">
        <v>57.68</v>
      </c>
      <c r="M136" s="8">
        <v>61.25</v>
      </c>
      <c r="N136" s="10">
        <v>1.0618932038834901</v>
      </c>
      <c r="O136" s="10">
        <v>1.0596043809708899</v>
      </c>
      <c r="P136" s="10">
        <v>1.0633327906505601</v>
      </c>
      <c r="Q136" s="10">
        <v>1.06324647543573</v>
      </c>
      <c r="R136" s="8">
        <v>61.117980694401197</v>
      </c>
      <c r="S136" s="8">
        <v>61.358617852511202</v>
      </c>
      <c r="T136" s="8">
        <v>61.309925461135798</v>
      </c>
      <c r="U136" s="9">
        <v>-2.1577434892933699E-3</v>
      </c>
      <c r="V136" s="9">
        <v>1.7717821606379801E-3</v>
      </c>
      <c r="W136" s="9">
        <v>9.7789657893176908E-4</v>
      </c>
      <c r="X136" s="10">
        <v>1.0618932038834901</v>
      </c>
      <c r="Y136" s="10">
        <v>1.05986570061559</v>
      </c>
      <c r="Z136" s="10">
        <v>1.0633327906505601</v>
      </c>
      <c r="AA136" s="10">
        <v>1.0635339033695199</v>
      </c>
      <c r="AB136" s="8">
        <v>61.1330536115074</v>
      </c>
      <c r="AC136" s="8">
        <v>61.358617852511202</v>
      </c>
      <c r="AD136" s="8">
        <v>61.342810219849802</v>
      </c>
      <c r="AE136" s="9">
        <v>-1.9111538834360199E-3</v>
      </c>
      <c r="AF136" s="9">
        <v>1.77178216063775E-3</v>
      </c>
      <c r="AG136" s="9">
        <v>1.5141220339851601E-3</v>
      </c>
      <c r="AZ136" s="9"/>
      <c r="BB136">
        <f t="shared" si="22"/>
        <v>0</v>
      </c>
      <c r="BC136">
        <f t="shared" si="23"/>
        <v>1</v>
      </c>
      <c r="BD136">
        <f t="shared" si="24"/>
        <v>0</v>
      </c>
      <c r="BE136">
        <f t="shared" si="20"/>
        <v>1</v>
      </c>
      <c r="BF136">
        <f t="shared" si="25"/>
        <v>0</v>
      </c>
      <c r="BG136" s="9">
        <f t="shared" si="26"/>
        <v>0</v>
      </c>
      <c r="BH136" s="9">
        <f t="shared" si="27"/>
        <v>0</v>
      </c>
      <c r="BI136" s="9">
        <f t="shared" si="28"/>
        <v>0</v>
      </c>
      <c r="BJ136" s="12">
        <f t="shared" si="29"/>
        <v>4.7880398419733721E-3</v>
      </c>
      <c r="BL136" s="9"/>
      <c r="BN136">
        <f t="shared" si="30"/>
        <v>0</v>
      </c>
      <c r="BO136">
        <f t="shared" si="31"/>
        <v>0</v>
      </c>
      <c r="BP136">
        <f t="shared" si="32"/>
        <v>0</v>
      </c>
      <c r="BQ136">
        <f t="shared" si="21"/>
        <v>1</v>
      </c>
      <c r="BR136">
        <f t="shared" si="33"/>
        <v>0</v>
      </c>
      <c r="BS136" s="9">
        <f t="shared" si="34"/>
        <v>0</v>
      </c>
      <c r="BT136" s="9">
        <f t="shared" si="35"/>
        <v>0</v>
      </c>
      <c r="BU136" s="9">
        <f t="shared" si="36"/>
        <v>0</v>
      </c>
      <c r="BV136" s="12">
        <f t="shared" si="37"/>
        <v>4.7674941486541261E-3</v>
      </c>
      <c r="BX136" s="12">
        <f t="shared" si="38"/>
        <v>0</v>
      </c>
      <c r="BY136" s="12">
        <f t="shared" si="39"/>
        <v>9.5555339906274982E-3</v>
      </c>
    </row>
    <row r="137" spans="1:77" x14ac:dyDescent="0.3">
      <c r="A137" s="1">
        <v>46223</v>
      </c>
      <c r="B137" s="8">
        <v>57.94</v>
      </c>
      <c r="C137" s="8">
        <v>61.53</v>
      </c>
      <c r="D137" s="9">
        <v>4.4974993645105904E-3</v>
      </c>
      <c r="E137" s="9">
        <v>4.5610113275626604E-3</v>
      </c>
      <c r="F137" s="8">
        <v>0</v>
      </c>
      <c r="G137" s="8">
        <v>0.77010000000000001</v>
      </c>
      <c r="H137" s="8">
        <v>0</v>
      </c>
      <c r="I137" s="8">
        <v>0.61579999999999901</v>
      </c>
      <c r="J137" s="8">
        <v>0</v>
      </c>
      <c r="K137" s="8">
        <v>0</v>
      </c>
      <c r="L137" s="8">
        <v>57.94</v>
      </c>
      <c r="M137" s="8">
        <v>61.53</v>
      </c>
      <c r="N137" s="10">
        <v>1.06196064894718</v>
      </c>
      <c r="O137" s="10">
        <v>1.0596043809708899</v>
      </c>
      <c r="P137" s="10">
        <v>1.0628659532302001</v>
      </c>
      <c r="Q137" s="10">
        <v>1.06355484822157</v>
      </c>
      <c r="R137" s="8">
        <v>61.393477833453602</v>
      </c>
      <c r="S137" s="8">
        <v>61.609501890293799</v>
      </c>
      <c r="T137" s="8">
        <v>61.604500786746499</v>
      </c>
      <c r="U137" s="9">
        <v>-2.2212554523453102E-3</v>
      </c>
      <c r="V137" s="9">
        <v>1.29124935734999E-3</v>
      </c>
      <c r="W137" s="9">
        <v>1.2100718378898099E-3</v>
      </c>
      <c r="X137" s="10">
        <v>1.06196064894718</v>
      </c>
      <c r="Y137" s="10">
        <v>1.05986570061559</v>
      </c>
      <c r="Z137" s="10">
        <v>1.0628659532302001</v>
      </c>
      <c r="AA137" s="10">
        <v>1.06355484822157</v>
      </c>
      <c r="AB137" s="8">
        <v>61.408618693667499</v>
      </c>
      <c r="AC137" s="8">
        <v>61.609501890293799</v>
      </c>
      <c r="AD137" s="8">
        <v>61.621154361230403</v>
      </c>
      <c r="AE137" s="9">
        <v>-1.97466584648781E-3</v>
      </c>
      <c r="AF137" s="9">
        <v>1.29124935734999E-3</v>
      </c>
      <c r="AG137" s="9">
        <v>1.48036578869601E-3</v>
      </c>
      <c r="AZ137" s="9"/>
      <c r="BB137">
        <f t="shared" si="22"/>
        <v>0</v>
      </c>
      <c r="BC137">
        <f t="shared" si="23"/>
        <v>1</v>
      </c>
      <c r="BD137">
        <f t="shared" si="24"/>
        <v>0</v>
      </c>
      <c r="BE137">
        <f t="shared" si="20"/>
        <v>1</v>
      </c>
      <c r="BF137">
        <f t="shared" si="25"/>
        <v>0</v>
      </c>
      <c r="BG137" s="9">
        <f t="shared" si="26"/>
        <v>0</v>
      </c>
      <c r="BH137" s="9">
        <f t="shared" si="27"/>
        <v>0</v>
      </c>
      <c r="BI137" s="9">
        <f t="shared" si="28"/>
        <v>0</v>
      </c>
      <c r="BJ137" s="12">
        <f t="shared" si="29"/>
        <v>4.7880398419733721E-3</v>
      </c>
      <c r="BL137" s="9"/>
      <c r="BN137">
        <f t="shared" si="30"/>
        <v>0</v>
      </c>
      <c r="BO137">
        <f t="shared" si="31"/>
        <v>0</v>
      </c>
      <c r="BP137">
        <f t="shared" si="32"/>
        <v>0</v>
      </c>
      <c r="BQ137">
        <f t="shared" si="21"/>
        <v>1</v>
      </c>
      <c r="BR137">
        <f t="shared" si="33"/>
        <v>0</v>
      </c>
      <c r="BS137" s="9">
        <f t="shared" si="34"/>
        <v>0</v>
      </c>
      <c r="BT137" s="9">
        <f t="shared" si="35"/>
        <v>0</v>
      </c>
      <c r="BU137" s="9">
        <f t="shared" si="36"/>
        <v>0</v>
      </c>
      <c r="BV137" s="12">
        <f t="shared" si="37"/>
        <v>4.7674941486541261E-3</v>
      </c>
      <c r="BX137" s="12">
        <f t="shared" si="38"/>
        <v>0</v>
      </c>
      <c r="BY137" s="12">
        <f t="shared" si="39"/>
        <v>9.5555339906274982E-3</v>
      </c>
    </row>
    <row r="138" spans="1:77" x14ac:dyDescent="0.3">
      <c r="A138" s="1">
        <v>46224</v>
      </c>
      <c r="B138" s="8">
        <v>58.5</v>
      </c>
      <c r="C138" s="8">
        <v>62.18</v>
      </c>
      <c r="D138" s="9">
        <v>9.6187618966064297E-3</v>
      </c>
      <c r="E138" s="9">
        <v>1.0508543878208701E-2</v>
      </c>
      <c r="F138" s="8">
        <v>0</v>
      </c>
      <c r="G138" s="8">
        <v>0.77010000000000001</v>
      </c>
      <c r="H138" s="8">
        <v>0</v>
      </c>
      <c r="I138" s="8">
        <v>0.61579999999999901</v>
      </c>
      <c r="J138" s="8">
        <v>0</v>
      </c>
      <c r="K138" s="8">
        <v>0</v>
      </c>
      <c r="L138" s="8">
        <v>58.5</v>
      </c>
      <c r="M138" s="8">
        <v>62.18</v>
      </c>
      <c r="N138" s="10">
        <v>1.0629059829059799</v>
      </c>
      <c r="O138" s="10">
        <v>1.0596043809708899</v>
      </c>
      <c r="P138" s="10">
        <v>1.0626228765574099</v>
      </c>
      <c r="Q138" s="10">
        <v>1.06349075040053</v>
      </c>
      <c r="R138" s="8">
        <v>61.986856286797298</v>
      </c>
      <c r="S138" s="8">
        <v>62.177658263967203</v>
      </c>
      <c r="T138" s="8">
        <v>62.217958620962001</v>
      </c>
      <c r="U138" s="9">
        <v>-3.1110374339475902E-3</v>
      </c>
      <c r="V138" s="9">
        <v>-3.7661307968112997E-5</v>
      </c>
      <c r="W138" s="9">
        <v>6.10277251507905E-4</v>
      </c>
      <c r="X138" s="10">
        <v>1.0629059829059799</v>
      </c>
      <c r="Y138" s="10">
        <v>1.05986570061559</v>
      </c>
      <c r="Z138" s="10">
        <v>1.0626228765574099</v>
      </c>
      <c r="AA138" s="10">
        <v>1.06349075040053</v>
      </c>
      <c r="AB138" s="8">
        <v>62.002143486012201</v>
      </c>
      <c r="AC138" s="8">
        <v>62.177658263967203</v>
      </c>
      <c r="AD138" s="8">
        <v>62.217958620962001</v>
      </c>
      <c r="AE138" s="9">
        <v>-2.8644478280902201E-3</v>
      </c>
      <c r="AF138" s="9">
        <v>-3.7661307968002002E-5</v>
      </c>
      <c r="AG138" s="9">
        <v>6.1027725150768295E-4</v>
      </c>
      <c r="AZ138" s="9"/>
      <c r="BB138">
        <f t="shared" si="22"/>
        <v>0</v>
      </c>
      <c r="BC138">
        <f t="shared" si="23"/>
        <v>1</v>
      </c>
      <c r="BD138">
        <f t="shared" si="24"/>
        <v>0</v>
      </c>
      <c r="BE138">
        <f t="shared" si="20"/>
        <v>1</v>
      </c>
      <c r="BF138">
        <f t="shared" si="25"/>
        <v>0</v>
      </c>
      <c r="BG138" s="9">
        <f t="shared" si="26"/>
        <v>0</v>
      </c>
      <c r="BH138" s="9">
        <f t="shared" si="27"/>
        <v>0</v>
      </c>
      <c r="BI138" s="9">
        <f t="shared" si="28"/>
        <v>0</v>
      </c>
      <c r="BJ138" s="12">
        <f t="shared" si="29"/>
        <v>4.7880398419733721E-3</v>
      </c>
      <c r="BL138" s="9"/>
      <c r="BN138">
        <f t="shared" si="30"/>
        <v>0</v>
      </c>
      <c r="BO138">
        <f t="shared" si="31"/>
        <v>0</v>
      </c>
      <c r="BP138">
        <f t="shared" si="32"/>
        <v>0</v>
      </c>
      <c r="BQ138">
        <f t="shared" si="21"/>
        <v>1</v>
      </c>
      <c r="BR138">
        <f t="shared" si="33"/>
        <v>0</v>
      </c>
      <c r="BS138" s="9">
        <f t="shared" si="34"/>
        <v>0</v>
      </c>
      <c r="BT138" s="9">
        <f t="shared" si="35"/>
        <v>0</v>
      </c>
      <c r="BU138" s="9">
        <f t="shared" si="36"/>
        <v>0</v>
      </c>
      <c r="BV138" s="12">
        <f t="shared" si="37"/>
        <v>4.7674941486541261E-3</v>
      </c>
      <c r="BX138" s="12">
        <f t="shared" si="38"/>
        <v>0</v>
      </c>
      <c r="BY138" s="12">
        <f t="shared" si="39"/>
        <v>9.5555339906274982E-3</v>
      </c>
    </row>
    <row r="139" spans="1:77" x14ac:dyDescent="0.3">
      <c r="A139" s="1">
        <v>46225</v>
      </c>
      <c r="B139" s="8">
        <v>59.2</v>
      </c>
      <c r="C139" s="8">
        <v>62.94</v>
      </c>
      <c r="D139" s="9">
        <v>1.1894787652149101E-2</v>
      </c>
      <c r="E139" s="9">
        <v>1.21484870056529E-2</v>
      </c>
      <c r="F139" s="8">
        <v>0</v>
      </c>
      <c r="G139" s="8">
        <v>0.77010000000000001</v>
      </c>
      <c r="H139" s="8">
        <v>0</v>
      </c>
      <c r="I139" s="8">
        <v>0.61579999999999901</v>
      </c>
      <c r="J139" s="8">
        <v>0</v>
      </c>
      <c r="K139" s="8">
        <v>0</v>
      </c>
      <c r="L139" s="8">
        <v>59.2</v>
      </c>
      <c r="M139" s="8">
        <v>62.94</v>
      </c>
      <c r="N139" s="10">
        <v>1.0631756756756701</v>
      </c>
      <c r="O139" s="10">
        <v>1.0596043809708899</v>
      </c>
      <c r="P139" s="10">
        <v>1.06260950887317</v>
      </c>
      <c r="Q139" s="10">
        <v>1.06352797707819</v>
      </c>
      <c r="R139" s="8">
        <v>62.728579353477002</v>
      </c>
      <c r="S139" s="8">
        <v>62.9072742921987</v>
      </c>
      <c r="T139" s="8">
        <v>62.958652423711897</v>
      </c>
      <c r="U139" s="9">
        <v>-3.3647367874514002E-3</v>
      </c>
      <c r="V139" s="9">
        <v>-5.2008609201919501E-4</v>
      </c>
      <c r="W139" s="9">
        <v>2.96308554370186E-4</v>
      </c>
      <c r="X139" s="10">
        <v>1.0631756756756701</v>
      </c>
      <c r="Y139" s="10">
        <v>1.05986570061559</v>
      </c>
      <c r="Z139" s="10">
        <v>1.06260950887317</v>
      </c>
      <c r="AA139" s="10">
        <v>1.06352797707819</v>
      </c>
      <c r="AB139" s="8">
        <v>62.744049476443102</v>
      </c>
      <c r="AC139" s="8">
        <v>62.9072742921987</v>
      </c>
      <c r="AD139" s="8">
        <v>62.958652423711897</v>
      </c>
      <c r="AE139" s="9">
        <v>-3.1181471815939299E-3</v>
      </c>
      <c r="AF139" s="9">
        <v>-5.2008609201919501E-4</v>
      </c>
      <c r="AG139" s="9">
        <v>2.9630855437040799E-4</v>
      </c>
      <c r="AZ139" s="9"/>
      <c r="BB139">
        <f t="shared" si="22"/>
        <v>0</v>
      </c>
      <c r="BC139">
        <f t="shared" si="23"/>
        <v>1</v>
      </c>
      <c r="BD139">
        <f t="shared" si="24"/>
        <v>0</v>
      </c>
      <c r="BE139">
        <f t="shared" si="20"/>
        <v>1</v>
      </c>
      <c r="BF139">
        <f t="shared" si="25"/>
        <v>0</v>
      </c>
      <c r="BG139" s="9">
        <f t="shared" si="26"/>
        <v>0</v>
      </c>
      <c r="BH139" s="9">
        <f t="shared" si="27"/>
        <v>0</v>
      </c>
      <c r="BI139" s="9">
        <f t="shared" si="28"/>
        <v>0</v>
      </c>
      <c r="BJ139" s="12">
        <f t="shared" si="29"/>
        <v>4.7880398419733721E-3</v>
      </c>
      <c r="BL139" s="9"/>
      <c r="BN139">
        <f t="shared" si="30"/>
        <v>0</v>
      </c>
      <c r="BO139">
        <f t="shared" si="31"/>
        <v>0</v>
      </c>
      <c r="BP139">
        <f t="shared" si="32"/>
        <v>0</v>
      </c>
      <c r="BQ139">
        <f t="shared" si="21"/>
        <v>1</v>
      </c>
      <c r="BR139">
        <f t="shared" si="33"/>
        <v>0</v>
      </c>
      <c r="BS139" s="9">
        <f t="shared" si="34"/>
        <v>0</v>
      </c>
      <c r="BT139" s="9">
        <f t="shared" si="35"/>
        <v>0</v>
      </c>
      <c r="BU139" s="9">
        <f t="shared" si="36"/>
        <v>0</v>
      </c>
      <c r="BV139" s="12">
        <f t="shared" si="37"/>
        <v>4.7674941486541261E-3</v>
      </c>
      <c r="BX139" s="12">
        <f t="shared" si="38"/>
        <v>0</v>
      </c>
      <c r="BY139" s="12">
        <f t="shared" si="39"/>
        <v>9.5555339906274982E-3</v>
      </c>
    </row>
    <row r="140" spans="1:77" x14ac:dyDescent="0.3">
      <c r="A140" s="1">
        <v>46226</v>
      </c>
      <c r="B140" s="8">
        <v>59.38</v>
      </c>
      <c r="C140" s="8">
        <v>63.23</v>
      </c>
      <c r="D140" s="9">
        <v>3.0359274456536801E-3</v>
      </c>
      <c r="E140" s="9">
        <v>4.5969804342609298E-3</v>
      </c>
      <c r="F140" s="8">
        <v>0</v>
      </c>
      <c r="G140" s="8">
        <v>0.77010000000000001</v>
      </c>
      <c r="H140" s="8">
        <v>0</v>
      </c>
      <c r="I140" s="8">
        <v>0.61579999999999901</v>
      </c>
      <c r="J140" s="8">
        <v>0</v>
      </c>
      <c r="K140" s="8">
        <v>0</v>
      </c>
      <c r="L140" s="8">
        <v>59.38</v>
      </c>
      <c r="M140" s="8">
        <v>63.23</v>
      </c>
      <c r="N140" s="10">
        <v>1.0648366453351199</v>
      </c>
      <c r="O140" s="10">
        <v>1.0596043809708899</v>
      </c>
      <c r="P140" s="10">
        <v>1.06270864221369</v>
      </c>
      <c r="Q140" s="10">
        <v>1.0636523928805</v>
      </c>
      <c r="R140" s="8">
        <v>62.919308142051698</v>
      </c>
      <c r="S140" s="8">
        <v>63.097752636889403</v>
      </c>
      <c r="T140" s="8">
        <v>63.152291278902901</v>
      </c>
      <c r="U140" s="9">
        <v>-4.9257897760587102E-3</v>
      </c>
      <c r="V140" s="9">
        <v>-2.0937190547721E-3</v>
      </c>
      <c r="W140" s="9">
        <v>-1.2297408142184899E-3</v>
      </c>
      <c r="X140" s="10">
        <v>1.0648366453351199</v>
      </c>
      <c r="Y140" s="10">
        <v>1.05986570061559</v>
      </c>
      <c r="Z140" s="10">
        <v>1.06270864221369</v>
      </c>
      <c r="AA140" s="10">
        <v>1.0636523928805</v>
      </c>
      <c r="AB140" s="8">
        <v>62.934825302553897</v>
      </c>
      <c r="AC140" s="8">
        <v>63.097752636889403</v>
      </c>
      <c r="AD140" s="8">
        <v>63.152291278902901</v>
      </c>
      <c r="AE140" s="9">
        <v>-4.6792001702013197E-3</v>
      </c>
      <c r="AF140" s="9">
        <v>-2.0937190547721E-3</v>
      </c>
      <c r="AG140" s="9">
        <v>-1.2297408142182701E-3</v>
      </c>
      <c r="AZ140" s="9"/>
      <c r="BB140">
        <f t="shared" si="22"/>
        <v>0</v>
      </c>
      <c r="BC140">
        <f t="shared" si="23"/>
        <v>0</v>
      </c>
      <c r="BD140">
        <f t="shared" si="24"/>
        <v>0</v>
      </c>
      <c r="BE140">
        <f t="shared" si="20"/>
        <v>1</v>
      </c>
      <c r="BF140">
        <f t="shared" si="25"/>
        <v>0</v>
      </c>
      <c r="BG140" s="9">
        <f t="shared" si="26"/>
        <v>0</v>
      </c>
      <c r="BH140" s="9">
        <f t="shared" si="27"/>
        <v>0</v>
      </c>
      <c r="BI140" s="9">
        <f t="shared" si="28"/>
        <v>0</v>
      </c>
      <c r="BJ140" s="12">
        <f t="shared" si="29"/>
        <v>4.7880398419733721E-3</v>
      </c>
      <c r="BL140" s="9"/>
      <c r="BN140">
        <f t="shared" si="30"/>
        <v>0</v>
      </c>
      <c r="BO140">
        <f t="shared" si="31"/>
        <v>1</v>
      </c>
      <c r="BP140">
        <f t="shared" si="32"/>
        <v>0</v>
      </c>
      <c r="BQ140">
        <f t="shared" si="21"/>
        <v>1</v>
      </c>
      <c r="BR140">
        <f t="shared" si="33"/>
        <v>0</v>
      </c>
      <c r="BS140" s="9">
        <f t="shared" si="34"/>
        <v>0</v>
      </c>
      <c r="BT140" s="9">
        <f t="shared" si="35"/>
        <v>0</v>
      </c>
      <c r="BU140" s="9">
        <f t="shared" si="36"/>
        <v>0</v>
      </c>
      <c r="BV140" s="12">
        <f t="shared" si="37"/>
        <v>4.7674941486541261E-3</v>
      </c>
      <c r="BX140" s="12">
        <f t="shared" si="38"/>
        <v>0</v>
      </c>
      <c r="BY140" s="12">
        <f t="shared" si="39"/>
        <v>9.5555339906274982E-3</v>
      </c>
    </row>
    <row r="141" spans="1:77" x14ac:dyDescent="0.3">
      <c r="A141" s="1">
        <v>46227</v>
      </c>
      <c r="B141" s="8">
        <v>59.62</v>
      </c>
      <c r="C141" s="8">
        <v>63.35</v>
      </c>
      <c r="D141" s="9">
        <v>4.0336189143116499E-3</v>
      </c>
      <c r="E141" s="9">
        <v>1.89603469662625E-3</v>
      </c>
      <c r="F141" s="8">
        <v>0</v>
      </c>
      <c r="G141" s="8">
        <v>0.77010000000000001</v>
      </c>
      <c r="H141" s="8">
        <v>0</v>
      </c>
      <c r="I141" s="8">
        <v>0.61579999999999901</v>
      </c>
      <c r="J141" s="8">
        <v>0</v>
      </c>
      <c r="K141" s="8">
        <v>0</v>
      </c>
      <c r="L141" s="8">
        <v>59.62</v>
      </c>
      <c r="M141" s="8">
        <v>63.35</v>
      </c>
      <c r="N141" s="10">
        <v>1.0625628983562501</v>
      </c>
      <c r="O141" s="10">
        <v>1.0596043809708899</v>
      </c>
      <c r="P141" s="10">
        <v>1.0625742276193999</v>
      </c>
      <c r="Q141" s="10">
        <v>1.0636283839806</v>
      </c>
      <c r="R141" s="8">
        <v>63.173613193484698</v>
      </c>
      <c r="S141" s="8">
        <v>63.3586892487806</v>
      </c>
      <c r="T141" s="8">
        <v>63.4149556635358</v>
      </c>
      <c r="U141" s="9">
        <v>-2.78820555837348E-3</v>
      </c>
      <c r="V141" s="9">
        <v>1.37153163619388E-4</v>
      </c>
      <c r="W141" s="9">
        <v>1.0248206040997E-3</v>
      </c>
      <c r="X141" s="10">
        <v>1.0625628983562501</v>
      </c>
      <c r="Y141" s="10">
        <v>1.05986570061559</v>
      </c>
      <c r="Z141" s="10">
        <v>1.0625742276193999</v>
      </c>
      <c r="AA141" s="10">
        <v>1.0636283839806</v>
      </c>
      <c r="AB141" s="8">
        <v>63.189193070701698</v>
      </c>
      <c r="AC141" s="8">
        <v>63.3586892487806</v>
      </c>
      <c r="AD141" s="8">
        <v>63.4149556635358</v>
      </c>
      <c r="AE141" s="9">
        <v>-2.5416159525159699E-3</v>
      </c>
      <c r="AF141" s="9">
        <v>1.37153163619388E-4</v>
      </c>
      <c r="AG141" s="9">
        <v>1.0248206040997E-3</v>
      </c>
      <c r="AZ141" s="9"/>
      <c r="BB141">
        <f t="shared" si="22"/>
        <v>0</v>
      </c>
      <c r="BC141">
        <f t="shared" si="23"/>
        <v>1</v>
      </c>
      <c r="BD141">
        <f t="shared" si="24"/>
        <v>0</v>
      </c>
      <c r="BE141">
        <f t="shared" si="20"/>
        <v>1</v>
      </c>
      <c r="BF141">
        <f t="shared" si="25"/>
        <v>0</v>
      </c>
      <c r="BG141" s="9">
        <f t="shared" si="26"/>
        <v>0</v>
      </c>
      <c r="BH141" s="9">
        <f t="shared" si="27"/>
        <v>0</v>
      </c>
      <c r="BI141" s="9">
        <f t="shared" si="28"/>
        <v>0</v>
      </c>
      <c r="BJ141" s="12">
        <f t="shared" si="29"/>
        <v>4.7880398419733721E-3</v>
      </c>
      <c r="BL141" s="9"/>
      <c r="BN141">
        <f t="shared" si="30"/>
        <v>0</v>
      </c>
      <c r="BO141">
        <f t="shared" si="31"/>
        <v>0</v>
      </c>
      <c r="BP141">
        <f t="shared" si="32"/>
        <v>0</v>
      </c>
      <c r="BQ141">
        <f t="shared" si="21"/>
        <v>1</v>
      </c>
      <c r="BR141">
        <f t="shared" si="33"/>
        <v>0</v>
      </c>
      <c r="BS141" s="9">
        <f t="shared" si="34"/>
        <v>0</v>
      </c>
      <c r="BT141" s="9">
        <f t="shared" si="35"/>
        <v>0</v>
      </c>
      <c r="BU141" s="9">
        <f t="shared" si="36"/>
        <v>0</v>
      </c>
      <c r="BV141" s="12">
        <f t="shared" si="37"/>
        <v>4.7674941486541261E-3</v>
      </c>
      <c r="BX141" s="12">
        <f t="shared" si="38"/>
        <v>0</v>
      </c>
      <c r="BY141" s="12">
        <f t="shared" si="39"/>
        <v>9.5555339906274982E-3</v>
      </c>
    </row>
    <row r="142" spans="1:77" x14ac:dyDescent="0.3">
      <c r="A142" s="1">
        <v>46230</v>
      </c>
      <c r="B142" s="8">
        <v>58.36</v>
      </c>
      <c r="C142" s="8">
        <v>62.04</v>
      </c>
      <c r="D142" s="9">
        <v>-2.1360364595340402E-2</v>
      </c>
      <c r="E142" s="9">
        <v>-2.089556845881E-2</v>
      </c>
      <c r="F142" s="8">
        <v>0</v>
      </c>
      <c r="G142" s="8">
        <v>0.77010000000000001</v>
      </c>
      <c r="H142" s="8">
        <v>0</v>
      </c>
      <c r="I142" s="8">
        <v>0.61579999999999901</v>
      </c>
      <c r="J142" s="8">
        <v>0</v>
      </c>
      <c r="K142" s="8">
        <v>0</v>
      </c>
      <c r="L142" s="8">
        <v>58.36</v>
      </c>
      <c r="M142" s="8">
        <v>62.04</v>
      </c>
      <c r="N142" s="10">
        <v>1.0630568882796401</v>
      </c>
      <c r="O142" s="10">
        <v>1.0596043809708899</v>
      </c>
      <c r="P142" s="10">
        <v>1.06265855585519</v>
      </c>
      <c r="Q142" s="10">
        <v>1.06364229823114</v>
      </c>
      <c r="R142" s="8">
        <v>61.838511673461397</v>
      </c>
      <c r="S142" s="8">
        <v>62.0118319238683</v>
      </c>
      <c r="T142" s="8">
        <v>62.073352489108302</v>
      </c>
      <c r="U142" s="9">
        <v>-3.2530016949038E-3</v>
      </c>
      <c r="V142" s="9">
        <v>-4.5413398865484702E-4</v>
      </c>
      <c r="W142" s="9">
        <v>5.3745208299191705E-4</v>
      </c>
      <c r="X142" s="10">
        <v>1.0630568882796401</v>
      </c>
      <c r="Y142" s="10">
        <v>1.05986570061559</v>
      </c>
      <c r="Z142" s="10">
        <v>1.06265855585519</v>
      </c>
      <c r="AA142" s="10">
        <v>1.06364229823114</v>
      </c>
      <c r="AB142" s="8">
        <v>61.853762287926003</v>
      </c>
      <c r="AC142" s="8">
        <v>62.0118319238683</v>
      </c>
      <c r="AD142" s="8">
        <v>62.073352489108302</v>
      </c>
      <c r="AE142" s="9">
        <v>-3.0064120890464E-3</v>
      </c>
      <c r="AF142" s="9">
        <v>-4.5413398865484702E-4</v>
      </c>
      <c r="AG142" s="9">
        <v>5.3745208299191705E-4</v>
      </c>
      <c r="AZ142" s="9"/>
      <c r="BB142">
        <f t="shared" si="22"/>
        <v>0</v>
      </c>
      <c r="BC142">
        <f t="shared" si="23"/>
        <v>1</v>
      </c>
      <c r="BD142">
        <f t="shared" si="24"/>
        <v>0</v>
      </c>
      <c r="BE142">
        <f t="shared" si="20"/>
        <v>1</v>
      </c>
      <c r="BF142">
        <f t="shared" si="25"/>
        <v>0</v>
      </c>
      <c r="BG142" s="9">
        <f t="shared" si="26"/>
        <v>0</v>
      </c>
      <c r="BH142" s="9">
        <f t="shared" si="27"/>
        <v>0</v>
      </c>
      <c r="BI142" s="9">
        <f t="shared" si="28"/>
        <v>0</v>
      </c>
      <c r="BJ142" s="12">
        <f t="shared" si="29"/>
        <v>4.7880398419733721E-3</v>
      </c>
      <c r="BL142" s="9"/>
      <c r="BN142">
        <f t="shared" si="30"/>
        <v>0</v>
      </c>
      <c r="BO142">
        <f t="shared" si="31"/>
        <v>0</v>
      </c>
      <c r="BP142">
        <f t="shared" si="32"/>
        <v>0</v>
      </c>
      <c r="BQ142">
        <f t="shared" si="21"/>
        <v>1</v>
      </c>
      <c r="BR142">
        <f t="shared" si="33"/>
        <v>0</v>
      </c>
      <c r="BS142" s="9">
        <f t="shared" si="34"/>
        <v>0</v>
      </c>
      <c r="BT142" s="9">
        <f t="shared" si="35"/>
        <v>0</v>
      </c>
      <c r="BU142" s="9">
        <f t="shared" si="36"/>
        <v>0</v>
      </c>
      <c r="BV142" s="12">
        <f t="shared" si="37"/>
        <v>4.7674941486541261E-3</v>
      </c>
      <c r="BX142" s="12">
        <f t="shared" si="38"/>
        <v>0</v>
      </c>
      <c r="BY142" s="12">
        <f t="shared" si="39"/>
        <v>9.5555339906274982E-3</v>
      </c>
    </row>
    <row r="143" spans="1:77" x14ac:dyDescent="0.3">
      <c r="A143" s="1">
        <v>46231</v>
      </c>
      <c r="B143" s="8">
        <v>57.57</v>
      </c>
      <c r="C143" s="8">
        <v>61.1</v>
      </c>
      <c r="D143" s="9">
        <v>-1.36291249668666E-2</v>
      </c>
      <c r="E143" s="9">
        <v>-1.52674721307884E-2</v>
      </c>
      <c r="F143" s="8">
        <v>0</v>
      </c>
      <c r="G143" s="8">
        <v>0.77010000000000001</v>
      </c>
      <c r="H143" s="8">
        <v>0</v>
      </c>
      <c r="I143" s="8">
        <v>0.61579999999999901</v>
      </c>
      <c r="J143" s="8">
        <v>0</v>
      </c>
      <c r="K143" s="8">
        <v>0</v>
      </c>
      <c r="L143" s="8">
        <v>57.57</v>
      </c>
      <c r="M143" s="8">
        <v>61.1</v>
      </c>
      <c r="N143" s="10">
        <v>1.06131665798158</v>
      </c>
      <c r="O143" s="10">
        <v>1.0596043809708899</v>
      </c>
      <c r="P143" s="10">
        <v>1.06255668346195</v>
      </c>
      <c r="Q143" s="10">
        <v>1.0635446372892301</v>
      </c>
      <c r="R143" s="8">
        <v>61.001424212494399</v>
      </c>
      <c r="S143" s="8">
        <v>61.177253060583404</v>
      </c>
      <c r="T143" s="8">
        <v>61.233887109166901</v>
      </c>
      <c r="U143" s="9">
        <v>-1.6146545309820501E-3</v>
      </c>
      <c r="V143" s="9">
        <v>1.2635722332388201E-3</v>
      </c>
      <c r="W143" s="9">
        <v>2.1888810334972E-3</v>
      </c>
      <c r="X143" s="10">
        <v>1.06131665798158</v>
      </c>
      <c r="Y143" s="10">
        <v>1.05986570061559</v>
      </c>
      <c r="Z143" s="10">
        <v>1.06255668346195</v>
      </c>
      <c r="AA143" s="10">
        <v>1.0635446372892301</v>
      </c>
      <c r="AB143" s="8">
        <v>61.016468384439698</v>
      </c>
      <c r="AC143" s="8">
        <v>61.177253060583404</v>
      </c>
      <c r="AD143" s="8">
        <v>61.233887109166901</v>
      </c>
      <c r="AE143" s="9">
        <v>-1.3680649251247301E-3</v>
      </c>
      <c r="AF143" s="9">
        <v>1.2635722332388201E-3</v>
      </c>
      <c r="AG143" s="9">
        <v>2.1888810334974198E-3</v>
      </c>
      <c r="AZ143" s="9"/>
      <c r="BB143">
        <f t="shared" si="22"/>
        <v>0</v>
      </c>
      <c r="BC143">
        <f t="shared" si="23"/>
        <v>1</v>
      </c>
      <c r="BD143">
        <f t="shared" si="24"/>
        <v>0</v>
      </c>
      <c r="BE143">
        <f t="shared" si="20"/>
        <v>1</v>
      </c>
      <c r="BF143">
        <f t="shared" si="25"/>
        <v>0</v>
      </c>
      <c r="BG143" s="9">
        <f t="shared" si="26"/>
        <v>0</v>
      </c>
      <c r="BH143" s="9">
        <f t="shared" si="27"/>
        <v>0</v>
      </c>
      <c r="BI143" s="9">
        <f t="shared" si="28"/>
        <v>0</v>
      </c>
      <c r="BJ143" s="12">
        <f t="shared" si="29"/>
        <v>4.7880398419733721E-3</v>
      </c>
      <c r="BL143" s="9"/>
      <c r="BN143">
        <f t="shared" si="30"/>
        <v>1</v>
      </c>
      <c r="BO143">
        <f t="shared" si="31"/>
        <v>0</v>
      </c>
      <c r="BP143">
        <f t="shared" si="32"/>
        <v>0</v>
      </c>
      <c r="BQ143">
        <f t="shared" si="21"/>
        <v>1</v>
      </c>
      <c r="BR143">
        <f t="shared" si="33"/>
        <v>0</v>
      </c>
      <c r="BS143" s="9">
        <f t="shared" si="34"/>
        <v>0</v>
      </c>
      <c r="BT143" s="9">
        <f t="shared" si="35"/>
        <v>0</v>
      </c>
      <c r="BU143" s="9">
        <f t="shared" si="36"/>
        <v>0</v>
      </c>
      <c r="BV143" s="12">
        <f t="shared" si="37"/>
        <v>4.7674941486541261E-3</v>
      </c>
      <c r="BX143" s="12">
        <f t="shared" si="38"/>
        <v>0</v>
      </c>
      <c r="BY143" s="12">
        <f t="shared" si="39"/>
        <v>9.5555339906274982E-3</v>
      </c>
    </row>
    <row r="144" spans="1:77" x14ac:dyDescent="0.3">
      <c r="A144" s="1">
        <v>46232</v>
      </c>
      <c r="B144" s="8">
        <v>58.65</v>
      </c>
      <c r="C144" s="8">
        <v>62.24</v>
      </c>
      <c r="D144" s="9">
        <v>1.8585976411766202E-2</v>
      </c>
      <c r="E144" s="9">
        <v>1.8486013692586602E-2</v>
      </c>
      <c r="F144" s="8">
        <v>0</v>
      </c>
      <c r="G144" s="8">
        <v>0.77010000000000001</v>
      </c>
      <c r="H144" s="8">
        <v>0</v>
      </c>
      <c r="I144" s="8">
        <v>0.61579999999999901</v>
      </c>
      <c r="J144" s="8">
        <v>0</v>
      </c>
      <c r="K144" s="8">
        <v>0</v>
      </c>
      <c r="L144" s="8">
        <v>58.65</v>
      </c>
      <c r="M144" s="8">
        <v>62.24</v>
      </c>
      <c r="N144" s="10">
        <v>1.06121057118499</v>
      </c>
      <c r="O144" s="10">
        <v>1.0596043809708899</v>
      </c>
      <c r="P144" s="10">
        <v>1.06244765208487</v>
      </c>
      <c r="Q144" s="10">
        <v>1.0633289466807201</v>
      </c>
      <c r="R144" s="8">
        <v>62.145796943942997</v>
      </c>
      <c r="S144" s="8">
        <v>62.318949485043603</v>
      </c>
      <c r="T144" s="8">
        <v>62.376892977013803</v>
      </c>
      <c r="U144" s="9">
        <v>-1.5146918118023999E-3</v>
      </c>
      <c r="V144" s="9">
        <v>1.26766476343204E-3</v>
      </c>
      <c r="W144" s="9">
        <v>2.1970220699240499E-3</v>
      </c>
      <c r="X144" s="10">
        <v>1.06121057118499</v>
      </c>
      <c r="Y144" s="10">
        <v>1.05986570061559</v>
      </c>
      <c r="Z144" s="10">
        <v>1.06244765208487</v>
      </c>
      <c r="AA144" s="10">
        <v>1.0633289466807201</v>
      </c>
      <c r="AB144" s="8">
        <v>62.161123341104499</v>
      </c>
      <c r="AC144" s="8">
        <v>62.318949485043603</v>
      </c>
      <c r="AD144" s="8">
        <v>62.376892977013803</v>
      </c>
      <c r="AE144" s="9">
        <v>-1.2681022059450001E-3</v>
      </c>
      <c r="AF144" s="9">
        <v>1.26766476343204E-3</v>
      </c>
      <c r="AG144" s="9">
        <v>2.1970220699240499E-3</v>
      </c>
      <c r="AZ144" s="9"/>
      <c r="BB144">
        <f t="shared" si="22"/>
        <v>0</v>
      </c>
      <c r="BC144">
        <f t="shared" si="23"/>
        <v>1</v>
      </c>
      <c r="BD144">
        <f t="shared" si="24"/>
        <v>0</v>
      </c>
      <c r="BE144">
        <f t="shared" si="20"/>
        <v>1</v>
      </c>
      <c r="BF144">
        <f t="shared" si="25"/>
        <v>0</v>
      </c>
      <c r="BG144" s="9">
        <f t="shared" si="26"/>
        <v>0</v>
      </c>
      <c r="BH144" s="9">
        <f t="shared" si="27"/>
        <v>0</v>
      </c>
      <c r="BI144" s="9">
        <f t="shared" si="28"/>
        <v>0</v>
      </c>
      <c r="BJ144" s="12">
        <f t="shared" si="29"/>
        <v>4.7880398419733721E-3</v>
      </c>
      <c r="BL144" s="9"/>
      <c r="BN144">
        <f t="shared" si="30"/>
        <v>1</v>
      </c>
      <c r="BO144">
        <f t="shared" si="31"/>
        <v>0</v>
      </c>
      <c r="BP144">
        <f t="shared" si="32"/>
        <v>1</v>
      </c>
      <c r="BQ144">
        <f t="shared" si="21"/>
        <v>1</v>
      </c>
      <c r="BR144">
        <f t="shared" si="33"/>
        <v>1</v>
      </c>
      <c r="BS144" s="9">
        <f t="shared" si="34"/>
        <v>-1.8585976411766202E-2</v>
      </c>
      <c r="BT144" s="9">
        <f t="shared" si="35"/>
        <v>1.8486013692586602E-2</v>
      </c>
      <c r="BU144" s="9">
        <f t="shared" si="36"/>
        <v>-9.9962719179599868E-5</v>
      </c>
      <c r="BV144" s="12">
        <f t="shared" si="37"/>
        <v>4.6675314294745262E-3</v>
      </c>
      <c r="BX144" s="12">
        <f t="shared" si="38"/>
        <v>-9.9962719179599868E-5</v>
      </c>
      <c r="BY144" s="12">
        <f t="shared" si="39"/>
        <v>9.4555712714478983E-3</v>
      </c>
    </row>
    <row r="145" spans="1:77" x14ac:dyDescent="0.3">
      <c r="A145" s="1">
        <v>46233</v>
      </c>
      <c r="B145" s="8">
        <v>58.96</v>
      </c>
      <c r="C145" s="8">
        <v>62.56</v>
      </c>
      <c r="D145" s="9">
        <v>5.2716727815967299E-3</v>
      </c>
      <c r="E145" s="9">
        <v>5.1282163669195196E-3</v>
      </c>
      <c r="F145" s="8">
        <v>0</v>
      </c>
      <c r="G145" s="8">
        <v>0.77010000000000001</v>
      </c>
      <c r="H145" s="8">
        <v>0</v>
      </c>
      <c r="I145" s="8">
        <v>0.61579999999999901</v>
      </c>
      <c r="J145" s="8">
        <v>0</v>
      </c>
      <c r="K145" s="8">
        <v>0</v>
      </c>
      <c r="L145" s="8">
        <v>58.96</v>
      </c>
      <c r="M145" s="8">
        <v>62.56</v>
      </c>
      <c r="N145" s="10">
        <v>1.06105834464043</v>
      </c>
      <c r="O145" s="10">
        <v>1.0596043809708899</v>
      </c>
      <c r="P145" s="10">
        <v>1.0623977517190299</v>
      </c>
      <c r="Q145" s="10">
        <v>1.0630870333882201</v>
      </c>
      <c r="R145" s="8">
        <v>62.474274302044002</v>
      </c>
      <c r="S145" s="8">
        <v>62.641913566924501</v>
      </c>
      <c r="T145" s="8">
        <v>62.693874696295403</v>
      </c>
      <c r="U145" s="9">
        <v>-1.37123539712513E-3</v>
      </c>
      <c r="V145" s="9">
        <v>1.30850362072594E-3</v>
      </c>
      <c r="W145" s="9">
        <v>2.1376543855291101E-3</v>
      </c>
      <c r="X145" s="10">
        <v>1.06105834464043</v>
      </c>
      <c r="Y145" s="10">
        <v>1.05986570061559</v>
      </c>
      <c r="Z145" s="10">
        <v>1.0623977517190299</v>
      </c>
      <c r="AA145" s="10">
        <v>1.0630870333882201</v>
      </c>
      <c r="AB145" s="8">
        <v>62.4896817082954</v>
      </c>
      <c r="AC145" s="8">
        <v>62.641913566924501</v>
      </c>
      <c r="AD145" s="8">
        <v>62.693874696295403</v>
      </c>
      <c r="AE145" s="9">
        <v>-1.1246457912677101E-3</v>
      </c>
      <c r="AF145" s="9">
        <v>1.30850362072594E-3</v>
      </c>
      <c r="AG145" s="9">
        <v>2.1376543855291101E-3</v>
      </c>
      <c r="AZ145" s="9"/>
      <c r="BB145">
        <f t="shared" si="22"/>
        <v>0</v>
      </c>
      <c r="BC145">
        <f t="shared" si="23"/>
        <v>1</v>
      </c>
      <c r="BD145">
        <f t="shared" si="24"/>
        <v>0</v>
      </c>
      <c r="BE145">
        <f t="shared" si="20"/>
        <v>1</v>
      </c>
      <c r="BF145">
        <f t="shared" si="25"/>
        <v>0</v>
      </c>
      <c r="BG145" s="9">
        <f t="shared" si="26"/>
        <v>0</v>
      </c>
      <c r="BH145" s="9">
        <f t="shared" si="27"/>
        <v>0</v>
      </c>
      <c r="BI145" s="9">
        <f t="shared" si="28"/>
        <v>0</v>
      </c>
      <c r="BJ145" s="12">
        <f t="shared" si="29"/>
        <v>4.7880398419733721E-3</v>
      </c>
      <c r="BL145" s="9"/>
      <c r="BN145">
        <f t="shared" si="30"/>
        <v>1</v>
      </c>
      <c r="BO145">
        <f t="shared" si="31"/>
        <v>0</v>
      </c>
      <c r="BP145">
        <f t="shared" si="32"/>
        <v>1</v>
      </c>
      <c r="BQ145">
        <f t="shared" si="21"/>
        <v>1</v>
      </c>
      <c r="BR145">
        <f t="shared" si="33"/>
        <v>1</v>
      </c>
      <c r="BS145" s="9">
        <f t="shared" si="34"/>
        <v>-5.2716727815967299E-3</v>
      </c>
      <c r="BT145" s="9">
        <f t="shared" si="35"/>
        <v>5.1282163669195196E-3</v>
      </c>
      <c r="BU145" s="9">
        <f t="shared" si="36"/>
        <v>-1.4345641467721024E-4</v>
      </c>
      <c r="BV145" s="12">
        <f t="shared" si="37"/>
        <v>4.5240750147973159E-3</v>
      </c>
      <c r="BX145" s="12">
        <f t="shared" si="38"/>
        <v>-1.4345641467721024E-4</v>
      </c>
      <c r="BY145" s="12">
        <f t="shared" si="39"/>
        <v>9.3121148567706889E-3</v>
      </c>
    </row>
    <row r="146" spans="1:77" x14ac:dyDescent="0.3">
      <c r="A146" s="1">
        <v>46234</v>
      </c>
      <c r="B146" s="8">
        <v>59.55</v>
      </c>
      <c r="C146" s="8">
        <v>63.14</v>
      </c>
      <c r="D146" s="9">
        <v>9.9570479202279408E-3</v>
      </c>
      <c r="E146" s="9">
        <v>9.2283868927899807E-3</v>
      </c>
      <c r="F146" s="8">
        <v>0</v>
      </c>
      <c r="G146" s="8">
        <v>0.77010000000000001</v>
      </c>
      <c r="H146" s="8">
        <v>0</v>
      </c>
      <c r="I146" s="8">
        <v>0.61579999999999901</v>
      </c>
      <c r="J146" s="8">
        <v>0</v>
      </c>
      <c r="K146" s="8">
        <v>0</v>
      </c>
      <c r="L146" s="8">
        <v>59.55</v>
      </c>
      <c r="M146" s="8">
        <v>63.14</v>
      </c>
      <c r="N146" s="10">
        <v>1.06028547439126</v>
      </c>
      <c r="O146" s="10">
        <v>1.0596043809708899</v>
      </c>
      <c r="P146" s="10">
        <v>1.06223697876981</v>
      </c>
      <c r="Q146" s="10">
        <v>1.0627848847101899</v>
      </c>
      <c r="R146" s="8">
        <v>63.099440886816801</v>
      </c>
      <c r="S146" s="8">
        <v>63.265786114868703</v>
      </c>
      <c r="T146" s="8">
        <v>63.306832838268598</v>
      </c>
      <c r="U146" s="9">
        <v>-6.4257436968725805E-4</v>
      </c>
      <c r="V146" s="9">
        <v>1.99019618094224E-3</v>
      </c>
      <c r="W146" s="9">
        <v>2.6387839273016699E-3</v>
      </c>
      <c r="X146" s="10">
        <v>1.06028547439126</v>
      </c>
      <c r="Y146" s="10">
        <v>1.05986570061559</v>
      </c>
      <c r="Z146" s="10">
        <v>1.06223697876981</v>
      </c>
      <c r="AA146" s="10">
        <v>1.0627848847101899</v>
      </c>
      <c r="AB146" s="8">
        <v>63.115002471658599</v>
      </c>
      <c r="AC146" s="8">
        <v>63.265786114868703</v>
      </c>
      <c r="AD146" s="8">
        <v>63.306832838268598</v>
      </c>
      <c r="AE146" s="9">
        <v>-3.9598476382983E-4</v>
      </c>
      <c r="AF146" s="9">
        <v>1.99019618094224E-3</v>
      </c>
      <c r="AG146" s="9">
        <v>2.6387839273016699E-3</v>
      </c>
      <c r="AZ146" s="9"/>
      <c r="BB146">
        <f t="shared" si="22"/>
        <v>0</v>
      </c>
      <c r="BC146">
        <f t="shared" si="23"/>
        <v>1</v>
      </c>
      <c r="BD146">
        <f t="shared" si="24"/>
        <v>0</v>
      </c>
      <c r="BE146">
        <f t="shared" si="20"/>
        <v>1</v>
      </c>
      <c r="BF146">
        <f t="shared" si="25"/>
        <v>0</v>
      </c>
      <c r="BG146" s="9">
        <f t="shared" si="26"/>
        <v>0</v>
      </c>
      <c r="BH146" s="9">
        <f t="shared" si="27"/>
        <v>0</v>
      </c>
      <c r="BI146" s="9">
        <f t="shared" si="28"/>
        <v>0</v>
      </c>
      <c r="BJ146" s="12">
        <f t="shared" si="29"/>
        <v>4.7880398419733721E-3</v>
      </c>
      <c r="BL146" s="9"/>
      <c r="BN146">
        <f t="shared" si="30"/>
        <v>1</v>
      </c>
      <c r="BO146">
        <f t="shared" si="31"/>
        <v>0</v>
      </c>
      <c r="BP146">
        <f t="shared" si="32"/>
        <v>1</v>
      </c>
      <c r="BQ146">
        <f t="shared" si="21"/>
        <v>1</v>
      </c>
      <c r="BR146">
        <f t="shared" si="33"/>
        <v>1</v>
      </c>
      <c r="BS146" s="9">
        <f t="shared" si="34"/>
        <v>-9.9570479202279408E-3</v>
      </c>
      <c r="BT146" s="9">
        <f t="shared" si="35"/>
        <v>9.2283868927899807E-3</v>
      </c>
      <c r="BU146" s="9">
        <f t="shared" si="36"/>
        <v>-7.2866102743796013E-4</v>
      </c>
      <c r="BV146" s="12">
        <f t="shared" si="37"/>
        <v>3.7954139873593558E-3</v>
      </c>
      <c r="BX146" s="12">
        <f t="shared" si="38"/>
        <v>-7.2866102743796013E-4</v>
      </c>
      <c r="BY146" s="12">
        <f t="shared" si="39"/>
        <v>8.5834538293327288E-3</v>
      </c>
    </row>
    <row r="147" spans="1:77" x14ac:dyDescent="0.3">
      <c r="A147" s="1">
        <v>46237</v>
      </c>
      <c r="B147" s="8">
        <v>58.79</v>
      </c>
      <c r="C147" s="8">
        <v>62.47</v>
      </c>
      <c r="D147" s="9">
        <v>-1.2844523387145401E-2</v>
      </c>
      <c r="E147" s="9">
        <v>-1.0668041624367E-2</v>
      </c>
      <c r="F147" s="8">
        <v>0</v>
      </c>
      <c r="G147" s="8">
        <v>0.77010000000000001</v>
      </c>
      <c r="H147" s="8">
        <v>0</v>
      </c>
      <c r="I147" s="8">
        <v>0.61579999999999901</v>
      </c>
      <c r="J147" s="8">
        <v>0</v>
      </c>
      <c r="K147" s="8">
        <v>0</v>
      </c>
      <c r="L147" s="8">
        <v>58.79</v>
      </c>
      <c r="M147" s="8">
        <v>62.47</v>
      </c>
      <c r="N147" s="10">
        <v>1.0625956795373299</v>
      </c>
      <c r="O147" s="10">
        <v>1.0596043809708899</v>
      </c>
      <c r="P147" s="10">
        <v>1.06230048182883</v>
      </c>
      <c r="Q147" s="10">
        <v>1.06258321752952</v>
      </c>
      <c r="R147" s="8">
        <v>62.294141557278898</v>
      </c>
      <c r="S147" s="8">
        <v>62.448911981877401</v>
      </c>
      <c r="T147" s="8">
        <v>62.481123372112101</v>
      </c>
      <c r="U147" s="9">
        <v>-2.81905613246561E-3</v>
      </c>
      <c r="V147" s="9">
        <v>-3.3762731340305802E-4</v>
      </c>
      <c r="W147" s="9">
        <v>1.7804357161991101E-4</v>
      </c>
      <c r="X147" s="10">
        <v>1.0625956795373299</v>
      </c>
      <c r="Y147" s="10">
        <v>1.05986570061559</v>
      </c>
      <c r="Z147" s="10">
        <v>1.06230048182883</v>
      </c>
      <c r="AA147" s="10">
        <v>1.06258321752952</v>
      </c>
      <c r="AB147" s="8">
        <v>62.309504539190698</v>
      </c>
      <c r="AC147" s="8">
        <v>62.448911981877401</v>
      </c>
      <c r="AD147" s="8">
        <v>62.481123372112101</v>
      </c>
      <c r="AE147" s="9">
        <v>-2.5724665266082E-3</v>
      </c>
      <c r="AF147" s="9">
        <v>-3.3762731340305802E-4</v>
      </c>
      <c r="AG147" s="9">
        <v>1.7804357161968899E-4</v>
      </c>
      <c r="AZ147" s="9"/>
      <c r="BB147">
        <f t="shared" si="22"/>
        <v>0</v>
      </c>
      <c r="BC147">
        <f t="shared" si="23"/>
        <v>1</v>
      </c>
      <c r="BD147">
        <f t="shared" si="24"/>
        <v>0</v>
      </c>
      <c r="BE147">
        <f t="shared" si="20"/>
        <v>1</v>
      </c>
      <c r="BF147">
        <f t="shared" si="25"/>
        <v>0</v>
      </c>
      <c r="BG147" s="9">
        <f t="shared" si="26"/>
        <v>0</v>
      </c>
      <c r="BH147" s="9">
        <f t="shared" si="27"/>
        <v>0</v>
      </c>
      <c r="BI147" s="9">
        <f t="shared" si="28"/>
        <v>0</v>
      </c>
      <c r="BJ147" s="12">
        <f t="shared" si="29"/>
        <v>4.7880398419733721E-3</v>
      </c>
      <c r="BL147" s="9"/>
      <c r="BN147">
        <f t="shared" si="30"/>
        <v>0</v>
      </c>
      <c r="BO147">
        <f t="shared" si="31"/>
        <v>0</v>
      </c>
      <c r="BP147">
        <f t="shared" si="32"/>
        <v>1</v>
      </c>
      <c r="BQ147">
        <f t="shared" si="21"/>
        <v>1</v>
      </c>
      <c r="BR147">
        <f t="shared" si="33"/>
        <v>1</v>
      </c>
      <c r="BS147" s="9">
        <f t="shared" si="34"/>
        <v>1.2844523387145401E-2</v>
      </c>
      <c r="BT147" s="9">
        <f t="shared" si="35"/>
        <v>-1.0668041624367E-2</v>
      </c>
      <c r="BU147" s="9">
        <f t="shared" si="36"/>
        <v>2.1764817627784004E-3</v>
      </c>
      <c r="BV147" s="12">
        <f t="shared" si="37"/>
        <v>5.9718957501377562E-3</v>
      </c>
      <c r="BX147" s="12">
        <f t="shared" si="38"/>
        <v>2.1764817627784004E-3</v>
      </c>
      <c r="BY147" s="12">
        <f t="shared" si="39"/>
        <v>1.0759935592111129E-2</v>
      </c>
    </row>
    <row r="148" spans="1:77" x14ac:dyDescent="0.3">
      <c r="A148" s="1">
        <v>46238</v>
      </c>
      <c r="B148" s="8">
        <v>58.52</v>
      </c>
      <c r="C148" s="8">
        <v>62.25</v>
      </c>
      <c r="D148" s="9">
        <v>-4.6031962622399697E-3</v>
      </c>
      <c r="E148" s="9">
        <v>-3.5279061606615599E-3</v>
      </c>
      <c r="F148" s="8">
        <v>0</v>
      </c>
      <c r="G148" s="8">
        <v>0.77010000000000001</v>
      </c>
      <c r="H148" s="8">
        <v>0</v>
      </c>
      <c r="I148" s="8">
        <v>0.61579999999999901</v>
      </c>
      <c r="J148" s="8">
        <v>0</v>
      </c>
      <c r="K148" s="8">
        <v>0</v>
      </c>
      <c r="L148" s="8">
        <v>58.52</v>
      </c>
      <c r="M148" s="8">
        <v>62.25</v>
      </c>
      <c r="N148" s="10">
        <v>1.0637388926862601</v>
      </c>
      <c r="O148" s="10">
        <v>1.0596043809708899</v>
      </c>
      <c r="P148" s="10">
        <v>1.0623837728068499</v>
      </c>
      <c r="Q148" s="10">
        <v>1.06250332468213</v>
      </c>
      <c r="R148" s="8">
        <v>62.008048374416802</v>
      </c>
      <c r="S148" s="8">
        <v>62.165824196623198</v>
      </c>
      <c r="T148" s="8">
        <v>62.182369889827498</v>
      </c>
      <c r="U148" s="9">
        <v>-3.8943462340440098E-3</v>
      </c>
      <c r="V148" s="9">
        <v>-1.35313681782876E-3</v>
      </c>
      <c r="W148" s="9">
        <v>-1.0870180627711599E-3</v>
      </c>
      <c r="X148" s="10">
        <v>1.0637388926862601</v>
      </c>
      <c r="Y148" s="10">
        <v>1.05986570061559</v>
      </c>
      <c r="Z148" s="10">
        <v>1.0623837728068499</v>
      </c>
      <c r="AA148" s="10">
        <v>1.06250332468213</v>
      </c>
      <c r="AB148" s="8">
        <v>62.023340800024499</v>
      </c>
      <c r="AC148" s="8">
        <v>62.165824196623198</v>
      </c>
      <c r="AD148" s="8">
        <v>62.182369889827498</v>
      </c>
      <c r="AE148" s="9">
        <v>-3.6477566281865599E-3</v>
      </c>
      <c r="AF148" s="9">
        <v>-1.35313681782876E-3</v>
      </c>
      <c r="AG148" s="9">
        <v>-1.0870180627711599E-3</v>
      </c>
      <c r="AZ148" s="9"/>
      <c r="BB148">
        <f t="shared" si="22"/>
        <v>0</v>
      </c>
      <c r="BC148">
        <f t="shared" si="23"/>
        <v>0</v>
      </c>
      <c r="BD148">
        <f t="shared" si="24"/>
        <v>0</v>
      </c>
      <c r="BE148">
        <f t="shared" si="20"/>
        <v>1</v>
      </c>
      <c r="BF148">
        <f t="shared" si="25"/>
        <v>0</v>
      </c>
      <c r="BG148" s="9">
        <f t="shared" si="26"/>
        <v>0</v>
      </c>
      <c r="BH148" s="9">
        <f t="shared" si="27"/>
        <v>0</v>
      </c>
      <c r="BI148" s="9">
        <f t="shared" si="28"/>
        <v>0</v>
      </c>
      <c r="BJ148" s="12">
        <f t="shared" si="29"/>
        <v>4.7880398419733721E-3</v>
      </c>
      <c r="BL148" s="9"/>
      <c r="BN148">
        <f t="shared" si="30"/>
        <v>0</v>
      </c>
      <c r="BO148">
        <f t="shared" si="31"/>
        <v>1</v>
      </c>
      <c r="BP148">
        <f t="shared" si="32"/>
        <v>1</v>
      </c>
      <c r="BQ148">
        <f t="shared" si="21"/>
        <v>1</v>
      </c>
      <c r="BR148">
        <f t="shared" si="33"/>
        <v>1</v>
      </c>
      <c r="BS148" s="9">
        <f t="shared" si="34"/>
        <v>4.6031962622399697E-3</v>
      </c>
      <c r="BT148" s="9">
        <f t="shared" si="35"/>
        <v>-3.5279061606615599E-3</v>
      </c>
      <c r="BU148" s="9">
        <f t="shared" si="36"/>
        <v>1.0752901015784098E-3</v>
      </c>
      <c r="BV148" s="12">
        <f t="shared" si="37"/>
        <v>7.0471858517161656E-3</v>
      </c>
      <c r="BX148" s="12">
        <f t="shared" si="38"/>
        <v>1.0752901015784098E-3</v>
      </c>
      <c r="BY148" s="12">
        <f t="shared" si="39"/>
        <v>1.1835225693689539E-2</v>
      </c>
    </row>
    <row r="149" spans="1:77" x14ac:dyDescent="0.3">
      <c r="A149" s="1">
        <v>46239</v>
      </c>
      <c r="B149" s="8">
        <v>57.31</v>
      </c>
      <c r="C149" s="8">
        <v>60.91</v>
      </c>
      <c r="D149" s="9">
        <v>-2.0893447588277402E-2</v>
      </c>
      <c r="E149" s="9">
        <v>-2.1761170496423801E-2</v>
      </c>
      <c r="F149" s="8">
        <v>0</v>
      </c>
      <c r="G149" s="8">
        <v>0.77010000000000001</v>
      </c>
      <c r="H149" s="8">
        <v>0</v>
      </c>
      <c r="I149" s="8">
        <v>0.61579999999999901</v>
      </c>
      <c r="J149" s="8">
        <v>0</v>
      </c>
      <c r="K149" s="8">
        <v>0</v>
      </c>
      <c r="L149" s="8">
        <v>57.31</v>
      </c>
      <c r="M149" s="8">
        <v>60.91</v>
      </c>
      <c r="N149" s="10">
        <v>1.06281626243238</v>
      </c>
      <c r="O149" s="10">
        <v>1.0596043809708899</v>
      </c>
      <c r="P149" s="10">
        <v>1.0623478314825201</v>
      </c>
      <c r="Q149" s="10">
        <v>1.0624786701778499</v>
      </c>
      <c r="R149" s="8">
        <v>60.725927073442001</v>
      </c>
      <c r="S149" s="8">
        <v>60.885214019560998</v>
      </c>
      <c r="T149" s="8">
        <v>60.892065537533099</v>
      </c>
      <c r="U149" s="9">
        <v>-3.0266233258977701E-3</v>
      </c>
      <c r="V149" s="9">
        <v>-4.0701075129438502E-4</v>
      </c>
      <c r="W149" s="9">
        <v>-2.9448536061056402E-4</v>
      </c>
      <c r="X149" s="10">
        <v>1.06281626243238</v>
      </c>
      <c r="Y149" s="10">
        <v>1.05986570061559</v>
      </c>
      <c r="Z149" s="10">
        <v>1.0623478314825201</v>
      </c>
      <c r="AA149" s="10">
        <v>1.0624786701778499</v>
      </c>
      <c r="AB149" s="8">
        <v>60.740903302279598</v>
      </c>
      <c r="AC149" s="8">
        <v>60.885214019560998</v>
      </c>
      <c r="AD149" s="8">
        <v>60.892065537533099</v>
      </c>
      <c r="AE149" s="9">
        <v>-2.7800337200403402E-3</v>
      </c>
      <c r="AF149" s="9">
        <v>-4.0701075129460701E-4</v>
      </c>
      <c r="AG149" s="9">
        <v>-2.9448536061056402E-4</v>
      </c>
      <c r="AZ149" s="9"/>
      <c r="BB149">
        <f t="shared" si="22"/>
        <v>0</v>
      </c>
      <c r="BC149">
        <f t="shared" si="23"/>
        <v>0</v>
      </c>
      <c r="BD149">
        <f t="shared" si="24"/>
        <v>0</v>
      </c>
      <c r="BE149">
        <f t="shared" si="20"/>
        <v>1</v>
      </c>
      <c r="BF149">
        <f t="shared" si="25"/>
        <v>0</v>
      </c>
      <c r="BG149" s="9">
        <f t="shared" si="26"/>
        <v>0</v>
      </c>
      <c r="BH149" s="9">
        <f t="shared" si="27"/>
        <v>0</v>
      </c>
      <c r="BI149" s="9">
        <f t="shared" si="28"/>
        <v>0</v>
      </c>
      <c r="BJ149" s="12">
        <f t="shared" si="29"/>
        <v>4.7880398419733721E-3</v>
      </c>
      <c r="BL149" s="9"/>
      <c r="BN149">
        <f t="shared" si="30"/>
        <v>0</v>
      </c>
      <c r="BO149">
        <f t="shared" si="31"/>
        <v>1</v>
      </c>
      <c r="BP149">
        <f t="shared" si="32"/>
        <v>0</v>
      </c>
      <c r="BQ149">
        <f t="shared" si="21"/>
        <v>1</v>
      </c>
      <c r="BR149">
        <f t="shared" si="33"/>
        <v>0</v>
      </c>
      <c r="BS149" s="9">
        <f t="shared" si="34"/>
        <v>0</v>
      </c>
      <c r="BT149" s="9">
        <f t="shared" si="35"/>
        <v>0</v>
      </c>
      <c r="BU149" s="9">
        <f t="shared" si="36"/>
        <v>0</v>
      </c>
      <c r="BV149" s="12">
        <f t="shared" si="37"/>
        <v>7.0471858517161656E-3</v>
      </c>
      <c r="BX149" s="12">
        <f t="shared" si="38"/>
        <v>0</v>
      </c>
      <c r="BY149" s="12">
        <f t="shared" si="39"/>
        <v>1.1835225693689539E-2</v>
      </c>
    </row>
    <row r="150" spans="1:77" x14ac:dyDescent="0.3">
      <c r="A150" s="1">
        <v>46240</v>
      </c>
      <c r="B150" s="8">
        <v>58.16</v>
      </c>
      <c r="C150" s="8">
        <v>61.91</v>
      </c>
      <c r="D150" s="9">
        <v>1.47227046616177E-2</v>
      </c>
      <c r="E150" s="9">
        <v>1.6284352682747499E-2</v>
      </c>
      <c r="F150" s="8">
        <v>0</v>
      </c>
      <c r="G150" s="8">
        <v>0.77010000000000001</v>
      </c>
      <c r="H150" s="8">
        <v>0</v>
      </c>
      <c r="I150" s="8">
        <v>0.61579999999999901</v>
      </c>
      <c r="J150" s="8">
        <v>0</v>
      </c>
      <c r="K150" s="8">
        <v>0</v>
      </c>
      <c r="L150" s="8">
        <v>58.16</v>
      </c>
      <c r="M150" s="8">
        <v>61.91</v>
      </c>
      <c r="N150" s="10">
        <v>1.0644773039889901</v>
      </c>
      <c r="O150" s="10">
        <v>1.0596043809708899</v>
      </c>
      <c r="P150" s="10">
        <v>1.06231189734791</v>
      </c>
      <c r="Q150" s="10">
        <v>1.0625102697808</v>
      </c>
      <c r="R150" s="8">
        <v>61.626590797267198</v>
      </c>
      <c r="S150" s="8">
        <v>61.786149879023903</v>
      </c>
      <c r="T150" s="8">
        <v>61.793759457543999</v>
      </c>
      <c r="U150" s="9">
        <v>-4.5882713470275097E-3</v>
      </c>
      <c r="V150" s="9">
        <v>-2.0024901742443399E-3</v>
      </c>
      <c r="W150" s="9">
        <v>-1.8793378176751401E-3</v>
      </c>
      <c r="X150" s="10">
        <v>1.0644773039889901</v>
      </c>
      <c r="Y150" s="10">
        <v>1.05986570061559</v>
      </c>
      <c r="Z150" s="10">
        <v>1.06231189734791</v>
      </c>
      <c r="AA150" s="10">
        <v>1.0625102697808</v>
      </c>
      <c r="AB150" s="8">
        <v>61.641789147802903</v>
      </c>
      <c r="AC150" s="8">
        <v>61.786149879023903</v>
      </c>
      <c r="AD150" s="8">
        <v>61.793759457543999</v>
      </c>
      <c r="AE150" s="9">
        <v>-4.34168174117014E-3</v>
      </c>
      <c r="AF150" s="9">
        <v>-2.0024901742443399E-3</v>
      </c>
      <c r="AG150" s="9">
        <v>-1.8793378176751401E-3</v>
      </c>
      <c r="AZ150" s="9"/>
      <c r="BB150">
        <f t="shared" si="22"/>
        <v>0</v>
      </c>
      <c r="BC150">
        <f t="shared" si="23"/>
        <v>0</v>
      </c>
      <c r="BD150">
        <f t="shared" si="24"/>
        <v>0</v>
      </c>
      <c r="BE150">
        <f t="shared" ref="BE150:BE167" si="40">IF(F151+H151&gt;0,0,1)</f>
        <v>1</v>
      </c>
      <c r="BF150">
        <f t="shared" si="25"/>
        <v>0</v>
      </c>
      <c r="BG150" s="9">
        <f t="shared" si="26"/>
        <v>0</v>
      </c>
      <c r="BH150" s="9">
        <f t="shared" si="27"/>
        <v>0</v>
      </c>
      <c r="BI150" s="9">
        <f t="shared" si="28"/>
        <v>0</v>
      </c>
      <c r="BJ150" s="12">
        <f t="shared" si="29"/>
        <v>4.7880398419733721E-3</v>
      </c>
      <c r="BL150" s="9"/>
      <c r="BN150">
        <f t="shared" si="30"/>
        <v>0</v>
      </c>
      <c r="BO150">
        <f t="shared" si="31"/>
        <v>1</v>
      </c>
      <c r="BP150">
        <f t="shared" si="32"/>
        <v>0</v>
      </c>
      <c r="BQ150">
        <f t="shared" ref="BQ150:BQ167" si="41">IF(F151+H151&gt;0,0,1)</f>
        <v>1</v>
      </c>
      <c r="BR150">
        <f t="shared" si="33"/>
        <v>0</v>
      </c>
      <c r="BS150" s="9">
        <f t="shared" si="34"/>
        <v>0</v>
      </c>
      <c r="BT150" s="9">
        <f t="shared" si="35"/>
        <v>0</v>
      </c>
      <c r="BU150" s="9">
        <f t="shared" si="36"/>
        <v>0</v>
      </c>
      <c r="BV150" s="12">
        <f t="shared" si="37"/>
        <v>7.0471858517161656E-3</v>
      </c>
      <c r="BX150" s="12">
        <f t="shared" si="38"/>
        <v>0</v>
      </c>
      <c r="BY150" s="12">
        <f t="shared" si="39"/>
        <v>1.1835225693689539E-2</v>
      </c>
    </row>
    <row r="151" spans="1:77" x14ac:dyDescent="0.3">
      <c r="A151" s="1">
        <v>46241</v>
      </c>
      <c r="B151" s="8">
        <v>57.5</v>
      </c>
      <c r="C151" s="8">
        <v>61.23</v>
      </c>
      <c r="D151" s="9">
        <v>-1.1412885421959E-2</v>
      </c>
      <c r="E151" s="9">
        <v>-1.1044452041277599E-2</v>
      </c>
      <c r="F151" s="8">
        <v>0</v>
      </c>
      <c r="G151" s="8">
        <v>0.77010000000000001</v>
      </c>
      <c r="H151" s="8">
        <v>0</v>
      </c>
      <c r="I151" s="8">
        <v>0.61579999999999901</v>
      </c>
      <c r="J151" s="8">
        <v>0</v>
      </c>
      <c r="K151" s="8">
        <v>0</v>
      </c>
      <c r="L151" s="8">
        <v>57.5</v>
      </c>
      <c r="M151" s="8">
        <v>61.23</v>
      </c>
      <c r="N151" s="10">
        <v>1.0648695652173901</v>
      </c>
      <c r="O151" s="10">
        <v>1.0596043809708899</v>
      </c>
      <c r="P151" s="10">
        <v>1.06254256403402</v>
      </c>
      <c r="Q151" s="10">
        <v>1.06255839582671</v>
      </c>
      <c r="R151" s="8">
        <v>60.927251905826402</v>
      </c>
      <c r="S151" s="8">
        <v>61.082934097505102</v>
      </c>
      <c r="T151" s="8">
        <v>61.0943405123963</v>
      </c>
      <c r="U151" s="9">
        <v>-4.9567047277089896E-3</v>
      </c>
      <c r="V151" s="9">
        <v>-2.4047493333591301E-3</v>
      </c>
      <c r="W151" s="9">
        <v>-2.2180302407823998E-3</v>
      </c>
      <c r="X151" s="10">
        <v>1.0648695652173901</v>
      </c>
      <c r="Y151" s="10">
        <v>1.05986570061559</v>
      </c>
      <c r="Z151" s="10">
        <v>1.06254256403403</v>
      </c>
      <c r="AA151" s="10">
        <v>1.06255839582671</v>
      </c>
      <c r="AB151" s="8">
        <v>60.942277785396598</v>
      </c>
      <c r="AC151" s="8">
        <v>61.082934097505102</v>
      </c>
      <c r="AD151" s="8">
        <v>61.0943405123963</v>
      </c>
      <c r="AE151" s="9">
        <v>-4.7101151218515202E-3</v>
      </c>
      <c r="AF151" s="9">
        <v>-2.4047493333591301E-3</v>
      </c>
      <c r="AG151" s="9">
        <v>-2.2180302407822901E-3</v>
      </c>
      <c r="AZ151" s="9"/>
      <c r="BB151">
        <f t="shared" ref="BB151:BB167" si="42">IF($AG151&lt;BA$20,1,0)</f>
        <v>1</v>
      </c>
      <c r="BC151">
        <f t="shared" ref="BC151:BC167" si="43">IF($AG151&gt;BA$21,1,0)</f>
        <v>0</v>
      </c>
      <c r="BD151">
        <f t="shared" ref="BD151:BD167" si="44">BF151</f>
        <v>0</v>
      </c>
      <c r="BE151">
        <f t="shared" si="40"/>
        <v>1</v>
      </c>
      <c r="BF151">
        <f t="shared" ref="BF151:BF167" si="45">IF(BB150,1,IF(BC150,0,BD150))*BE150</f>
        <v>0</v>
      </c>
      <c r="BG151" s="9">
        <f t="shared" ref="BG151:BG167" si="46">BF151*D151</f>
        <v>0</v>
      </c>
      <c r="BH151" s="9">
        <f t="shared" ref="BH151:BH167" si="47">-BF151*$E151</f>
        <v>0</v>
      </c>
      <c r="BI151" s="9">
        <f t="shared" ref="BI151:BI167" si="48">BG151+BH151</f>
        <v>0</v>
      </c>
      <c r="BJ151" s="12">
        <f t="shared" ref="BJ151:BJ167" si="49">BJ150+BI151</f>
        <v>4.7880398419733721E-3</v>
      </c>
      <c r="BL151" s="9"/>
      <c r="BN151">
        <f t="shared" ref="BN151:BN167" si="50">IF($AG151&gt;BM$20,1,0)</f>
        <v>0</v>
      </c>
      <c r="BO151">
        <f t="shared" ref="BO151:BO167" si="51">IF($AG151&lt;BM$21,1,0)</f>
        <v>1</v>
      </c>
      <c r="BP151">
        <f t="shared" ref="BP151:BP167" si="52">BR151</f>
        <v>0</v>
      </c>
      <c r="BQ151">
        <f t="shared" si="41"/>
        <v>1</v>
      </c>
      <c r="BR151">
        <f t="shared" ref="BR151:BR167" si="53">IF(BN150,1,IF(BO150,0,BP150))*BQ150</f>
        <v>0</v>
      </c>
      <c r="BS151" s="9">
        <f t="shared" ref="BS151:BS167" si="54">-BR151*D151</f>
        <v>0</v>
      </c>
      <c r="BT151" s="9">
        <f t="shared" ref="BT151:BT167" si="55">BR151*$E151</f>
        <v>0</v>
      </c>
      <c r="BU151" s="9">
        <f t="shared" ref="BU151:BU167" si="56">BS151+BT151</f>
        <v>0</v>
      </c>
      <c r="BV151" s="12">
        <f t="shared" ref="BV151:BV167" si="57">BV150+BU151</f>
        <v>7.0471858517161656E-3</v>
      </c>
      <c r="BX151" s="12">
        <f t="shared" ref="BX151:BX167" si="58">BI151+BU151</f>
        <v>0</v>
      </c>
      <c r="BY151" s="12">
        <f t="shared" ref="BY151:BY167" si="59">BY150+BX151</f>
        <v>1.1835225693689539E-2</v>
      </c>
    </row>
    <row r="152" spans="1:77" x14ac:dyDescent="0.3">
      <c r="A152" s="1">
        <v>46244</v>
      </c>
      <c r="B152" s="8">
        <v>60.18</v>
      </c>
      <c r="C152" s="8">
        <v>63.99</v>
      </c>
      <c r="D152" s="9">
        <v>4.5555123398594299E-2</v>
      </c>
      <c r="E152" s="9">
        <v>4.4089555661505901E-2</v>
      </c>
      <c r="F152" s="8">
        <v>0</v>
      </c>
      <c r="G152" s="8">
        <v>0.77010000000000001</v>
      </c>
      <c r="H152" s="8">
        <v>0</v>
      </c>
      <c r="I152" s="8">
        <v>0.61579999999999901</v>
      </c>
      <c r="J152" s="8">
        <v>0</v>
      </c>
      <c r="K152" s="8">
        <v>0</v>
      </c>
      <c r="L152" s="8">
        <v>60.18</v>
      </c>
      <c r="M152" s="8">
        <v>63.99</v>
      </c>
      <c r="N152" s="10">
        <v>1.0633100697906199</v>
      </c>
      <c r="O152" s="10">
        <v>1.0596043809708899</v>
      </c>
      <c r="P152" s="10">
        <v>1.0625678821851201</v>
      </c>
      <c r="Q152" s="10">
        <v>1.06261321902016</v>
      </c>
      <c r="R152" s="8">
        <v>63.766991646828401</v>
      </c>
      <c r="S152" s="8">
        <v>63.9438115035679</v>
      </c>
      <c r="T152" s="8">
        <v>63.944764260851699</v>
      </c>
      <c r="U152" s="9">
        <v>-3.4911369906204998E-3</v>
      </c>
      <c r="V152" s="9">
        <v>-7.2206866810378895E-4</v>
      </c>
      <c r="W152" s="9">
        <v>-7.0716886523717205E-4</v>
      </c>
      <c r="X152" s="10">
        <v>1.0633100697906199</v>
      </c>
      <c r="Y152" s="10">
        <v>1.05986570061559</v>
      </c>
      <c r="Z152" s="10">
        <v>1.0625678821851201</v>
      </c>
      <c r="AA152" s="10">
        <v>1.06261321902016</v>
      </c>
      <c r="AB152" s="8">
        <v>63.7827178630464</v>
      </c>
      <c r="AC152" s="8">
        <v>63.9438115035679</v>
      </c>
      <c r="AD152" s="8">
        <v>63.944764260851699</v>
      </c>
      <c r="AE152" s="9">
        <v>-3.2445473847630499E-3</v>
      </c>
      <c r="AF152" s="9">
        <v>-7.2206866810356702E-4</v>
      </c>
      <c r="AG152" s="9">
        <v>-7.0716886523717205E-4</v>
      </c>
      <c r="AZ152" s="9"/>
      <c r="BB152">
        <f t="shared" si="42"/>
        <v>0</v>
      </c>
      <c r="BC152">
        <f t="shared" si="43"/>
        <v>0</v>
      </c>
      <c r="BD152">
        <f t="shared" si="44"/>
        <v>1</v>
      </c>
      <c r="BE152">
        <f t="shared" si="40"/>
        <v>1</v>
      </c>
      <c r="BF152">
        <f t="shared" si="45"/>
        <v>1</v>
      </c>
      <c r="BG152" s="9">
        <f t="shared" si="46"/>
        <v>4.5555123398594299E-2</v>
      </c>
      <c r="BH152" s="9">
        <f t="shared" si="47"/>
        <v>-4.4089555661505901E-2</v>
      </c>
      <c r="BI152" s="9">
        <f t="shared" si="48"/>
        <v>1.4655677370883982E-3</v>
      </c>
      <c r="BJ152" s="12">
        <f t="shared" si="49"/>
        <v>6.2536075790617703E-3</v>
      </c>
      <c r="BL152" s="9"/>
      <c r="BN152">
        <f t="shared" si="50"/>
        <v>0</v>
      </c>
      <c r="BO152">
        <f t="shared" si="51"/>
        <v>1</v>
      </c>
      <c r="BP152">
        <f t="shared" si="52"/>
        <v>0</v>
      </c>
      <c r="BQ152">
        <f t="shared" si="41"/>
        <v>1</v>
      </c>
      <c r="BR152">
        <f t="shared" si="53"/>
        <v>0</v>
      </c>
      <c r="BS152" s="9">
        <f t="shared" si="54"/>
        <v>0</v>
      </c>
      <c r="BT152" s="9">
        <f t="shared" si="55"/>
        <v>0</v>
      </c>
      <c r="BU152" s="9">
        <f t="shared" si="56"/>
        <v>0</v>
      </c>
      <c r="BV152" s="12">
        <f t="shared" si="57"/>
        <v>7.0471858517161656E-3</v>
      </c>
      <c r="BX152" s="12">
        <f t="shared" si="58"/>
        <v>1.4655677370883982E-3</v>
      </c>
      <c r="BY152" s="12">
        <f t="shared" si="59"/>
        <v>1.3300793430777938E-2</v>
      </c>
    </row>
    <row r="153" spans="1:77" x14ac:dyDescent="0.3">
      <c r="A153" s="1">
        <v>46245</v>
      </c>
      <c r="B153" s="8">
        <v>60.93</v>
      </c>
      <c r="C153" s="8">
        <v>64.67</v>
      </c>
      <c r="D153" s="9">
        <v>1.23855930585037E-2</v>
      </c>
      <c r="E153" s="9">
        <v>1.0570594307132501E-2</v>
      </c>
      <c r="F153" s="8">
        <v>0</v>
      </c>
      <c r="G153" s="8">
        <v>0.77010000000000001</v>
      </c>
      <c r="H153" s="8">
        <v>0</v>
      </c>
      <c r="I153" s="8">
        <v>0.61579999999999901</v>
      </c>
      <c r="J153" s="8">
        <v>0</v>
      </c>
      <c r="K153" s="8">
        <v>0</v>
      </c>
      <c r="L153" s="8">
        <v>60.93</v>
      </c>
      <c r="M153" s="8">
        <v>64.67</v>
      </c>
      <c r="N153" s="10">
        <v>1.06138191367142</v>
      </c>
      <c r="O153" s="10">
        <v>1.0596043809708899</v>
      </c>
      <c r="P153" s="10">
        <v>1.0625744077541099</v>
      </c>
      <c r="Q153" s="10">
        <v>1.0625655456080301</v>
      </c>
      <c r="R153" s="8">
        <v>64.561694932556605</v>
      </c>
      <c r="S153" s="8">
        <v>64.742261061539807</v>
      </c>
      <c r="T153" s="8">
        <v>64.7450234348983</v>
      </c>
      <c r="U153" s="9">
        <v>-1.6761382392491201E-3</v>
      </c>
      <c r="V153" s="9">
        <v>1.11675769292872E-3</v>
      </c>
      <c r="W153" s="9">
        <v>1.1594240191192E-3</v>
      </c>
      <c r="X153" s="10">
        <v>1.06138191367142</v>
      </c>
      <c r="Y153" s="10">
        <v>1.05986570061559</v>
      </c>
      <c r="Z153" s="10">
        <v>1.0625744077541099</v>
      </c>
      <c r="AA153" s="10">
        <v>1.0625655456080301</v>
      </c>
      <c r="AB153" s="8">
        <v>64.577617138508103</v>
      </c>
      <c r="AC153" s="8">
        <v>64.742261061539807</v>
      </c>
      <c r="AD153" s="8">
        <v>64.7450234348983</v>
      </c>
      <c r="AE153" s="9">
        <v>-1.4295486333917001E-3</v>
      </c>
      <c r="AF153" s="9">
        <v>1.11675769292872E-3</v>
      </c>
      <c r="AG153" s="9">
        <v>1.1594240191192E-3</v>
      </c>
      <c r="AZ153" s="9"/>
      <c r="BB153">
        <f t="shared" si="42"/>
        <v>0</v>
      </c>
      <c r="BC153">
        <f t="shared" si="43"/>
        <v>1</v>
      </c>
      <c r="BD153">
        <f t="shared" si="44"/>
        <v>1</v>
      </c>
      <c r="BE153">
        <f t="shared" si="40"/>
        <v>1</v>
      </c>
      <c r="BF153">
        <f t="shared" si="45"/>
        <v>1</v>
      </c>
      <c r="BG153" s="9">
        <f t="shared" si="46"/>
        <v>1.23855930585037E-2</v>
      </c>
      <c r="BH153" s="9">
        <f t="shared" si="47"/>
        <v>-1.0570594307132501E-2</v>
      </c>
      <c r="BI153" s="9">
        <f t="shared" si="48"/>
        <v>1.8149987513711996E-3</v>
      </c>
      <c r="BJ153" s="12">
        <f t="shared" si="49"/>
        <v>8.0686063304329699E-3</v>
      </c>
      <c r="BL153" s="9"/>
      <c r="BN153">
        <f t="shared" si="50"/>
        <v>0</v>
      </c>
      <c r="BO153">
        <f t="shared" si="51"/>
        <v>0</v>
      </c>
      <c r="BP153">
        <f t="shared" si="52"/>
        <v>0</v>
      </c>
      <c r="BQ153">
        <f t="shared" si="41"/>
        <v>1</v>
      </c>
      <c r="BR153">
        <f t="shared" si="53"/>
        <v>0</v>
      </c>
      <c r="BS153" s="9">
        <f t="shared" si="54"/>
        <v>0</v>
      </c>
      <c r="BT153" s="9">
        <f t="shared" si="55"/>
        <v>0</v>
      </c>
      <c r="BU153" s="9">
        <f t="shared" si="56"/>
        <v>0</v>
      </c>
      <c r="BV153" s="12">
        <f t="shared" si="57"/>
        <v>7.0471858517161656E-3</v>
      </c>
      <c r="BX153" s="12">
        <f t="shared" si="58"/>
        <v>1.8149987513711996E-3</v>
      </c>
      <c r="BY153" s="12">
        <f t="shared" si="59"/>
        <v>1.5115792182149137E-2</v>
      </c>
    </row>
    <row r="154" spans="1:77" x14ac:dyDescent="0.3">
      <c r="A154" s="1">
        <v>46246</v>
      </c>
      <c r="B154" s="8">
        <v>61.03</v>
      </c>
      <c r="C154" s="8">
        <v>64.8</v>
      </c>
      <c r="D154" s="9">
        <v>1.63988229600049E-3</v>
      </c>
      <c r="E154" s="9">
        <v>2.0081878997274399E-3</v>
      </c>
      <c r="F154" s="8">
        <v>0</v>
      </c>
      <c r="G154" s="8">
        <v>0.77010000000000001</v>
      </c>
      <c r="H154" s="8">
        <v>0</v>
      </c>
      <c r="I154" s="8">
        <v>0.61579999999999901</v>
      </c>
      <c r="J154" s="8">
        <v>0</v>
      </c>
      <c r="K154" s="8">
        <v>0</v>
      </c>
      <c r="L154" s="8">
        <v>61.03</v>
      </c>
      <c r="M154" s="8">
        <v>64.8</v>
      </c>
      <c r="N154" s="10">
        <v>1.0617728985744701</v>
      </c>
      <c r="O154" s="10">
        <v>1.0596043809708899</v>
      </c>
      <c r="P154" s="10">
        <v>1.0626306404930499</v>
      </c>
      <c r="Q154" s="10">
        <v>1.06253914628896</v>
      </c>
      <c r="R154" s="8">
        <v>64.667655370653705</v>
      </c>
      <c r="S154" s="8">
        <v>64.8489161052334</v>
      </c>
      <c r="T154" s="8">
        <v>64.848375248458296</v>
      </c>
      <c r="U154" s="9">
        <v>-2.0444438429760999E-3</v>
      </c>
      <c r="V154" s="9">
        <v>7.5459338996541599E-4</v>
      </c>
      <c r="W154" s="9">
        <v>7.4625309589234203E-4</v>
      </c>
      <c r="X154" s="10">
        <v>1.0617728985744701</v>
      </c>
      <c r="Y154" s="10">
        <v>1.05986570061559</v>
      </c>
      <c r="Z154" s="10">
        <v>1.0626306404930499</v>
      </c>
      <c r="AA154" s="10">
        <v>1.06253914628896</v>
      </c>
      <c r="AB154" s="8">
        <v>64.683603708569606</v>
      </c>
      <c r="AC154" s="8">
        <v>64.8489161052334</v>
      </c>
      <c r="AD154" s="8">
        <v>64.848375248458296</v>
      </c>
      <c r="AE154" s="9">
        <v>-1.7978542371185899E-3</v>
      </c>
      <c r="AF154" s="9">
        <v>7.5459338996541599E-4</v>
      </c>
      <c r="AG154" s="9">
        <v>7.4625309589256396E-4</v>
      </c>
      <c r="AZ154" s="9"/>
      <c r="BB154">
        <f t="shared" si="42"/>
        <v>0</v>
      </c>
      <c r="BC154">
        <f t="shared" si="43"/>
        <v>1</v>
      </c>
      <c r="BD154">
        <f t="shared" si="44"/>
        <v>0</v>
      </c>
      <c r="BE154">
        <f t="shared" si="40"/>
        <v>1</v>
      </c>
      <c r="BF154">
        <f t="shared" si="45"/>
        <v>0</v>
      </c>
      <c r="BG154" s="9">
        <f t="shared" si="46"/>
        <v>0</v>
      </c>
      <c r="BH154" s="9">
        <f t="shared" si="47"/>
        <v>0</v>
      </c>
      <c r="BI154" s="9">
        <f t="shared" si="48"/>
        <v>0</v>
      </c>
      <c r="BJ154" s="12">
        <f t="shared" si="49"/>
        <v>8.0686063304329699E-3</v>
      </c>
      <c r="BL154" s="9"/>
      <c r="BN154">
        <f t="shared" si="50"/>
        <v>0</v>
      </c>
      <c r="BO154">
        <f t="shared" si="51"/>
        <v>0</v>
      </c>
      <c r="BP154">
        <f t="shared" si="52"/>
        <v>0</v>
      </c>
      <c r="BQ154">
        <f t="shared" si="41"/>
        <v>1</v>
      </c>
      <c r="BR154">
        <f t="shared" si="53"/>
        <v>0</v>
      </c>
      <c r="BS154" s="9">
        <f t="shared" si="54"/>
        <v>0</v>
      </c>
      <c r="BT154" s="9">
        <f t="shared" si="55"/>
        <v>0</v>
      </c>
      <c r="BU154" s="9">
        <f t="shared" si="56"/>
        <v>0</v>
      </c>
      <c r="BV154" s="12">
        <f t="shared" si="57"/>
        <v>7.0471858517161656E-3</v>
      </c>
      <c r="BX154" s="12">
        <f t="shared" si="58"/>
        <v>0</v>
      </c>
      <c r="BY154" s="12">
        <f t="shared" si="59"/>
        <v>1.5115792182149137E-2</v>
      </c>
    </row>
    <row r="155" spans="1:77" x14ac:dyDescent="0.3">
      <c r="A155" s="1">
        <v>46247</v>
      </c>
      <c r="B155" s="8">
        <v>61.06</v>
      </c>
      <c r="C155" s="8">
        <v>64.77</v>
      </c>
      <c r="D155" s="9">
        <v>4.9144075032832399E-4</v>
      </c>
      <c r="E155" s="9">
        <v>-4.6307016340336798E-4</v>
      </c>
      <c r="F155" s="8">
        <v>0</v>
      </c>
      <c r="G155" s="8">
        <v>0.77010000000000001</v>
      </c>
      <c r="H155" s="8">
        <v>0</v>
      </c>
      <c r="I155" s="8">
        <v>0.61579999999999901</v>
      </c>
      <c r="J155" s="8">
        <v>0</v>
      </c>
      <c r="K155" s="8">
        <v>0</v>
      </c>
      <c r="L155" s="8">
        <v>61.06</v>
      </c>
      <c r="M155" s="8">
        <v>64.77</v>
      </c>
      <c r="N155" s="10">
        <v>1.0607599082869299</v>
      </c>
      <c r="O155" s="10">
        <v>1.0596043809708899</v>
      </c>
      <c r="P155" s="10">
        <v>1.0626007968577</v>
      </c>
      <c r="Q155" s="10">
        <v>1.0624992742883701</v>
      </c>
      <c r="R155" s="8">
        <v>64.699443502082801</v>
      </c>
      <c r="S155" s="8">
        <v>64.884226908506193</v>
      </c>
      <c r="T155" s="8">
        <v>64.878640272404496</v>
      </c>
      <c r="U155" s="9">
        <v>-1.08993292924432E-3</v>
      </c>
      <c r="V155" s="9">
        <v>1.7620241280754199E-3</v>
      </c>
      <c r="W155" s="9">
        <v>1.67591881572264E-3</v>
      </c>
      <c r="X155" s="10">
        <v>1.0607599082869299</v>
      </c>
      <c r="Y155" s="10">
        <v>1.05986570061559</v>
      </c>
      <c r="Z155" s="10">
        <v>1.0626007968577</v>
      </c>
      <c r="AA155" s="10">
        <v>1.0624992742883701</v>
      </c>
      <c r="AB155" s="8">
        <v>64.715399679588103</v>
      </c>
      <c r="AC155" s="8">
        <v>64.884226908506193</v>
      </c>
      <c r="AD155" s="8">
        <v>64.878640272404496</v>
      </c>
      <c r="AE155" s="9">
        <v>-8.4334332338705496E-4</v>
      </c>
      <c r="AF155" s="9">
        <v>1.7620241280752E-3</v>
      </c>
      <c r="AG155" s="9">
        <v>1.67591881572264E-3</v>
      </c>
      <c r="AZ155" s="9"/>
      <c r="BB155">
        <f t="shared" si="42"/>
        <v>0</v>
      </c>
      <c r="BC155">
        <f t="shared" si="43"/>
        <v>1</v>
      </c>
      <c r="BD155">
        <f t="shared" si="44"/>
        <v>0</v>
      </c>
      <c r="BE155">
        <f t="shared" si="40"/>
        <v>1</v>
      </c>
      <c r="BF155">
        <f t="shared" si="45"/>
        <v>0</v>
      </c>
      <c r="BG155" s="9">
        <f t="shared" si="46"/>
        <v>0</v>
      </c>
      <c r="BH155" s="9">
        <f t="shared" si="47"/>
        <v>0</v>
      </c>
      <c r="BI155" s="9">
        <f t="shared" si="48"/>
        <v>0</v>
      </c>
      <c r="BJ155" s="12">
        <f t="shared" si="49"/>
        <v>8.0686063304329699E-3</v>
      </c>
      <c r="BL155" s="9"/>
      <c r="BN155">
        <f t="shared" si="50"/>
        <v>0</v>
      </c>
      <c r="BO155">
        <f t="shared" si="51"/>
        <v>0</v>
      </c>
      <c r="BP155">
        <f t="shared" si="52"/>
        <v>0</v>
      </c>
      <c r="BQ155">
        <f t="shared" si="41"/>
        <v>1</v>
      </c>
      <c r="BR155">
        <f t="shared" si="53"/>
        <v>0</v>
      </c>
      <c r="BS155" s="9">
        <f t="shared" si="54"/>
        <v>0</v>
      </c>
      <c r="BT155" s="9">
        <f t="shared" si="55"/>
        <v>0</v>
      </c>
      <c r="BU155" s="9">
        <f t="shared" si="56"/>
        <v>0</v>
      </c>
      <c r="BV155" s="12">
        <f t="shared" si="57"/>
        <v>7.0471858517161656E-3</v>
      </c>
      <c r="BX155" s="12">
        <f t="shared" si="58"/>
        <v>0</v>
      </c>
      <c r="BY155" s="12">
        <f t="shared" si="59"/>
        <v>1.5115792182149137E-2</v>
      </c>
    </row>
    <row r="156" spans="1:77" x14ac:dyDescent="0.3">
      <c r="A156" s="1">
        <v>46248</v>
      </c>
      <c r="B156" s="8">
        <v>61.91</v>
      </c>
      <c r="C156" s="8">
        <v>65.66</v>
      </c>
      <c r="D156" s="9">
        <v>1.38247302244089E-2</v>
      </c>
      <c r="E156" s="9">
        <v>1.3647378878620799E-2</v>
      </c>
      <c r="F156" s="8">
        <v>0</v>
      </c>
      <c r="G156" s="8">
        <v>0.77010000000000001</v>
      </c>
      <c r="H156" s="8">
        <v>0</v>
      </c>
      <c r="I156" s="8">
        <v>0.61579999999999901</v>
      </c>
      <c r="J156" s="8">
        <v>0</v>
      </c>
      <c r="K156" s="8">
        <v>0</v>
      </c>
      <c r="L156" s="8">
        <v>61.91</v>
      </c>
      <c r="M156" s="8">
        <v>65.66</v>
      </c>
      <c r="N156" s="10">
        <v>1.0605717977709499</v>
      </c>
      <c r="O156" s="10">
        <v>1.0596043809708899</v>
      </c>
      <c r="P156" s="10">
        <v>1.0626294291956699</v>
      </c>
      <c r="Q156" s="10">
        <v>1.06243320398274</v>
      </c>
      <c r="R156" s="8">
        <v>65.600107225908104</v>
      </c>
      <c r="S156" s="8">
        <v>65.785615333460697</v>
      </c>
      <c r="T156" s="8">
        <v>65.779330071193201</v>
      </c>
      <c r="U156" s="9">
        <v>-9.1258158345660203E-4</v>
      </c>
      <c r="V156" s="9">
        <v>1.91129040526511E-3</v>
      </c>
      <c r="W156" s="9">
        <v>1.81574425118904E-3</v>
      </c>
      <c r="X156" s="10">
        <v>1.0605717977709499</v>
      </c>
      <c r="Y156" s="10">
        <v>1.05986570061559</v>
      </c>
      <c r="Z156" s="10">
        <v>1.0626294291956699</v>
      </c>
      <c r="AA156" s="10">
        <v>1.06243320398274</v>
      </c>
      <c r="AB156" s="8">
        <v>65.616285525111394</v>
      </c>
      <c r="AC156" s="8">
        <v>65.785615333460697</v>
      </c>
      <c r="AD156" s="8">
        <v>65.779330071193201</v>
      </c>
      <c r="AE156" s="9">
        <v>-6.6599197759906995E-4</v>
      </c>
      <c r="AF156" s="9">
        <v>1.91129040526511E-3</v>
      </c>
      <c r="AG156" s="9">
        <v>1.81574425118904E-3</v>
      </c>
      <c r="AZ156" s="9"/>
      <c r="BB156">
        <f t="shared" si="42"/>
        <v>0</v>
      </c>
      <c r="BC156">
        <f t="shared" si="43"/>
        <v>1</v>
      </c>
      <c r="BD156">
        <f t="shared" si="44"/>
        <v>0</v>
      </c>
      <c r="BE156">
        <f t="shared" si="40"/>
        <v>1</v>
      </c>
      <c r="BF156">
        <f t="shared" si="45"/>
        <v>0</v>
      </c>
      <c r="BG156" s="9">
        <f t="shared" si="46"/>
        <v>0</v>
      </c>
      <c r="BH156" s="9">
        <f t="shared" si="47"/>
        <v>0</v>
      </c>
      <c r="BI156" s="9">
        <f t="shared" si="48"/>
        <v>0</v>
      </c>
      <c r="BJ156" s="12">
        <f t="shared" si="49"/>
        <v>8.0686063304329699E-3</v>
      </c>
      <c r="BL156" s="9"/>
      <c r="BN156">
        <f t="shared" si="50"/>
        <v>0</v>
      </c>
      <c r="BO156">
        <f t="shared" si="51"/>
        <v>0</v>
      </c>
      <c r="BP156">
        <f t="shared" si="52"/>
        <v>0</v>
      </c>
      <c r="BQ156">
        <f t="shared" si="41"/>
        <v>1</v>
      </c>
      <c r="BR156">
        <f t="shared" si="53"/>
        <v>0</v>
      </c>
      <c r="BS156" s="9">
        <f t="shared" si="54"/>
        <v>0</v>
      </c>
      <c r="BT156" s="9">
        <f t="shared" si="55"/>
        <v>0</v>
      </c>
      <c r="BU156" s="9">
        <f t="shared" si="56"/>
        <v>0</v>
      </c>
      <c r="BV156" s="12">
        <f t="shared" si="57"/>
        <v>7.0471858517161656E-3</v>
      </c>
      <c r="BX156" s="12">
        <f t="shared" si="58"/>
        <v>0</v>
      </c>
      <c r="BY156" s="12">
        <f t="shared" si="59"/>
        <v>1.5115792182149137E-2</v>
      </c>
    </row>
    <row r="157" spans="1:77" x14ac:dyDescent="0.3">
      <c r="A157" s="1">
        <v>46251</v>
      </c>
      <c r="B157" s="8">
        <v>62.58</v>
      </c>
      <c r="C157" s="8">
        <v>66.260000000000005</v>
      </c>
      <c r="D157" s="9">
        <v>1.07640207095953E-2</v>
      </c>
      <c r="E157" s="9">
        <v>9.0964847983032292E-3</v>
      </c>
      <c r="F157" s="8">
        <v>0</v>
      </c>
      <c r="G157" s="8">
        <v>0.77010000000000001</v>
      </c>
      <c r="H157" s="8">
        <v>0</v>
      </c>
      <c r="I157" s="8">
        <v>0.61579999999999901</v>
      </c>
      <c r="J157" s="8">
        <v>0</v>
      </c>
      <c r="K157" s="8">
        <v>0</v>
      </c>
      <c r="L157" s="8">
        <v>62.58</v>
      </c>
      <c r="M157" s="8">
        <v>66.260000000000005</v>
      </c>
      <c r="N157" s="10">
        <v>1.05880472994566</v>
      </c>
      <c r="O157" s="10">
        <v>1.0596043809708899</v>
      </c>
      <c r="P157" s="10">
        <v>1.0622503342365099</v>
      </c>
      <c r="Q157" s="10">
        <v>1.06227540803267</v>
      </c>
      <c r="R157" s="8">
        <v>66.310042161158606</v>
      </c>
      <c r="S157" s="8">
        <v>66.499349679065503</v>
      </c>
      <c r="T157" s="8">
        <v>66.487069905240304</v>
      </c>
      <c r="U157" s="9">
        <v>7.5495432783547996E-4</v>
      </c>
      <c r="V157" s="9">
        <v>3.6057714800690399E-3</v>
      </c>
      <c r="W157" s="9">
        <v>3.4210943694512001E-3</v>
      </c>
      <c r="X157" s="10">
        <v>1.05880472994566</v>
      </c>
      <c r="Y157" s="10">
        <v>1.05986570061559</v>
      </c>
      <c r="Z157" s="10">
        <v>1.0622503342365099</v>
      </c>
      <c r="AA157" s="10">
        <v>1.06227540803267</v>
      </c>
      <c r="AB157" s="8">
        <v>66.326395544523805</v>
      </c>
      <c r="AC157" s="8">
        <v>66.499349679065503</v>
      </c>
      <c r="AD157" s="8">
        <v>66.487069905240304</v>
      </c>
      <c r="AE157" s="9">
        <v>1.00154393369292E-3</v>
      </c>
      <c r="AF157" s="9">
        <v>3.6057714800690399E-3</v>
      </c>
      <c r="AG157" s="9">
        <v>3.4210943694509802E-3</v>
      </c>
      <c r="BB157">
        <f t="shared" si="42"/>
        <v>0</v>
      </c>
      <c r="BC157">
        <f t="shared" si="43"/>
        <v>1</v>
      </c>
      <c r="BD157">
        <f t="shared" si="44"/>
        <v>0</v>
      </c>
      <c r="BE157">
        <f t="shared" si="40"/>
        <v>1</v>
      </c>
      <c r="BF157">
        <f t="shared" si="45"/>
        <v>0</v>
      </c>
      <c r="BG157" s="9">
        <f t="shared" si="46"/>
        <v>0</v>
      </c>
      <c r="BH157" s="9">
        <f t="shared" si="47"/>
        <v>0</v>
      </c>
      <c r="BI157" s="9">
        <f t="shared" si="48"/>
        <v>0</v>
      </c>
      <c r="BJ157" s="12">
        <f t="shared" si="49"/>
        <v>8.0686063304329699E-3</v>
      </c>
      <c r="BL157" s="9"/>
      <c r="BN157">
        <f t="shared" si="50"/>
        <v>1</v>
      </c>
      <c r="BO157">
        <f t="shared" si="51"/>
        <v>0</v>
      </c>
      <c r="BP157">
        <f t="shared" si="52"/>
        <v>0</v>
      </c>
      <c r="BQ157">
        <f t="shared" si="41"/>
        <v>1</v>
      </c>
      <c r="BR157">
        <f t="shared" si="53"/>
        <v>0</v>
      </c>
      <c r="BS157" s="9">
        <f t="shared" si="54"/>
        <v>0</v>
      </c>
      <c r="BT157" s="9">
        <f t="shared" si="55"/>
        <v>0</v>
      </c>
      <c r="BU157" s="9">
        <f t="shared" si="56"/>
        <v>0</v>
      </c>
      <c r="BV157" s="12">
        <f t="shared" si="57"/>
        <v>7.0471858517161656E-3</v>
      </c>
      <c r="BX157" s="12">
        <f t="shared" si="58"/>
        <v>0</v>
      </c>
      <c r="BY157" s="12">
        <f t="shared" si="59"/>
        <v>1.5115792182149137E-2</v>
      </c>
    </row>
    <row r="158" spans="1:77" x14ac:dyDescent="0.3">
      <c r="A158" s="1">
        <v>46252</v>
      </c>
      <c r="B158" s="8">
        <v>63.68</v>
      </c>
      <c r="C158" s="8">
        <v>67.31</v>
      </c>
      <c r="D158" s="9">
        <v>1.7424803295391499E-2</v>
      </c>
      <c r="E158" s="9">
        <v>1.5722417150871901E-2</v>
      </c>
      <c r="F158" s="8">
        <v>0</v>
      </c>
      <c r="G158" s="8">
        <v>0.77010000000000001</v>
      </c>
      <c r="H158" s="8">
        <v>0</v>
      </c>
      <c r="I158" s="8">
        <v>0.61579999999999901</v>
      </c>
      <c r="J158" s="8">
        <v>0</v>
      </c>
      <c r="K158" s="8">
        <v>0</v>
      </c>
      <c r="L158" s="8">
        <v>63.68</v>
      </c>
      <c r="M158" s="8">
        <v>67.31</v>
      </c>
      <c r="N158" s="10">
        <v>1.05700376884422</v>
      </c>
      <c r="O158" s="10">
        <v>1.0596043809708899</v>
      </c>
      <c r="P158" s="10">
        <v>1.0615768218523001</v>
      </c>
      <c r="Q158" s="10">
        <v>1.06198029732958</v>
      </c>
      <c r="R158" s="8">
        <v>67.475606980226601</v>
      </c>
      <c r="S158" s="8">
        <v>67.644101284181005</v>
      </c>
      <c r="T158" s="8">
        <v>67.645697983520506</v>
      </c>
      <c r="U158" s="9">
        <v>2.4573404723553199E-3</v>
      </c>
      <c r="V158" s="9">
        <v>4.9513421758158298E-3</v>
      </c>
      <c r="W158" s="9">
        <v>4.9749463107640604E-3</v>
      </c>
      <c r="X158" s="10">
        <v>1.05700376884422</v>
      </c>
      <c r="Y158" s="10">
        <v>1.05986570061559</v>
      </c>
      <c r="Z158" s="10">
        <v>1.0615768218523001</v>
      </c>
      <c r="AA158" s="10">
        <v>1.06198029732958</v>
      </c>
      <c r="AB158" s="8">
        <v>67.492247815200997</v>
      </c>
      <c r="AC158" s="8">
        <v>67.644101284181005</v>
      </c>
      <c r="AD158" s="8">
        <v>67.645697983520506</v>
      </c>
      <c r="AE158" s="9">
        <v>2.7039300782125699E-3</v>
      </c>
      <c r="AF158" s="9">
        <v>4.9513421758158298E-3</v>
      </c>
      <c r="AG158" s="9">
        <v>4.9749463107642798E-3</v>
      </c>
      <c r="BB158">
        <f t="shared" si="42"/>
        <v>0</v>
      </c>
      <c r="BC158">
        <f t="shared" si="43"/>
        <v>1</v>
      </c>
      <c r="BD158">
        <f t="shared" si="44"/>
        <v>0</v>
      </c>
      <c r="BE158">
        <f t="shared" si="40"/>
        <v>1</v>
      </c>
      <c r="BF158">
        <f t="shared" si="45"/>
        <v>0</v>
      </c>
      <c r="BG158" s="9">
        <f t="shared" si="46"/>
        <v>0</v>
      </c>
      <c r="BH158" s="9">
        <f t="shared" si="47"/>
        <v>0</v>
      </c>
      <c r="BI158" s="9">
        <f t="shared" si="48"/>
        <v>0</v>
      </c>
      <c r="BJ158" s="12">
        <f t="shared" si="49"/>
        <v>8.0686063304329699E-3</v>
      </c>
      <c r="BL158" s="9"/>
      <c r="BN158">
        <f t="shared" si="50"/>
        <v>1</v>
      </c>
      <c r="BO158">
        <f t="shared" si="51"/>
        <v>0</v>
      </c>
      <c r="BP158">
        <f t="shared" si="52"/>
        <v>1</v>
      </c>
      <c r="BQ158">
        <f t="shared" si="41"/>
        <v>1</v>
      </c>
      <c r="BR158">
        <f t="shared" si="53"/>
        <v>1</v>
      </c>
      <c r="BS158" s="9">
        <f t="shared" si="54"/>
        <v>-1.7424803295391499E-2</v>
      </c>
      <c r="BT158" s="9">
        <f t="shared" si="55"/>
        <v>1.5722417150871901E-2</v>
      </c>
      <c r="BU158" s="9">
        <f t="shared" si="56"/>
        <v>-1.7023861445195979E-3</v>
      </c>
      <c r="BV158" s="12">
        <f t="shared" si="57"/>
        <v>5.3447997071965677E-3</v>
      </c>
      <c r="BX158" s="12">
        <f t="shared" si="58"/>
        <v>-1.7023861445195979E-3</v>
      </c>
      <c r="BY158" s="12">
        <f t="shared" si="59"/>
        <v>1.3413406037629539E-2</v>
      </c>
    </row>
    <row r="159" spans="1:77" x14ac:dyDescent="0.3">
      <c r="A159" s="1">
        <v>46253</v>
      </c>
      <c r="B159" s="8">
        <v>63.58</v>
      </c>
      <c r="C159" s="8">
        <v>67.290000000000006</v>
      </c>
      <c r="D159" s="9">
        <v>-1.5715860534709001E-3</v>
      </c>
      <c r="E159" s="9">
        <v>-2.9717682239502601E-4</v>
      </c>
      <c r="F159" s="8">
        <v>0</v>
      </c>
      <c r="G159" s="8">
        <v>0.77010000000000001</v>
      </c>
      <c r="H159" s="8">
        <v>0</v>
      </c>
      <c r="I159" s="8">
        <v>0.61579999999999901</v>
      </c>
      <c r="J159" s="8">
        <v>0</v>
      </c>
      <c r="K159" s="8">
        <v>0</v>
      </c>
      <c r="L159" s="8">
        <v>63.58</v>
      </c>
      <c r="M159" s="8">
        <v>67.290000000000006</v>
      </c>
      <c r="N159" s="10">
        <v>1.0583516829191499</v>
      </c>
      <c r="O159" s="10">
        <v>1.0596043809708899</v>
      </c>
      <c r="P159" s="10">
        <v>1.0611303639009799</v>
      </c>
      <c r="Q159" s="10">
        <v>1.06173909769175</v>
      </c>
      <c r="R159" s="8">
        <v>67.369646542129502</v>
      </c>
      <c r="S159" s="8">
        <v>67.495054333369694</v>
      </c>
      <c r="T159" s="8">
        <v>67.520707304214895</v>
      </c>
      <c r="U159" s="9">
        <v>1.18293124127922E-3</v>
      </c>
      <c r="V159" s="9">
        <v>3.0426888586797302E-3</v>
      </c>
      <c r="W159" s="9">
        <v>3.4226885097240999E-3</v>
      </c>
      <c r="X159" s="10">
        <v>1.0583516829191499</v>
      </c>
      <c r="Y159" s="10">
        <v>1.05986570061559</v>
      </c>
      <c r="Z159" s="10">
        <v>1.0611303639009799</v>
      </c>
      <c r="AA159" s="10">
        <v>1.06173909769175</v>
      </c>
      <c r="AB159" s="8">
        <v>67.386261245139394</v>
      </c>
      <c r="AC159" s="8">
        <v>67.495054333369694</v>
      </c>
      <c r="AD159" s="8">
        <v>67.520707304214895</v>
      </c>
      <c r="AE159" s="9">
        <v>1.4295208471367101E-3</v>
      </c>
      <c r="AF159" s="9">
        <v>3.0426888586799501E-3</v>
      </c>
      <c r="AG159" s="9">
        <v>3.4226885097240999E-3</v>
      </c>
      <c r="BB159">
        <f t="shared" si="42"/>
        <v>0</v>
      </c>
      <c r="BC159">
        <f t="shared" si="43"/>
        <v>1</v>
      </c>
      <c r="BD159">
        <f t="shared" si="44"/>
        <v>0</v>
      </c>
      <c r="BE159">
        <f t="shared" si="40"/>
        <v>1</v>
      </c>
      <c r="BF159">
        <f t="shared" si="45"/>
        <v>0</v>
      </c>
      <c r="BG159" s="9">
        <f t="shared" si="46"/>
        <v>0</v>
      </c>
      <c r="BH159" s="9">
        <f t="shared" si="47"/>
        <v>0</v>
      </c>
      <c r="BI159" s="9">
        <f t="shared" si="48"/>
        <v>0</v>
      </c>
      <c r="BJ159" s="12">
        <f t="shared" si="49"/>
        <v>8.0686063304329699E-3</v>
      </c>
      <c r="BL159" s="9"/>
      <c r="BN159">
        <f t="shared" si="50"/>
        <v>1</v>
      </c>
      <c r="BO159">
        <f t="shared" si="51"/>
        <v>0</v>
      </c>
      <c r="BP159">
        <f t="shared" si="52"/>
        <v>1</v>
      </c>
      <c r="BQ159">
        <f t="shared" si="41"/>
        <v>1</v>
      </c>
      <c r="BR159">
        <f t="shared" si="53"/>
        <v>1</v>
      </c>
      <c r="BS159" s="9">
        <f t="shared" si="54"/>
        <v>1.5715860534709001E-3</v>
      </c>
      <c r="BT159" s="9">
        <f t="shared" si="55"/>
        <v>-2.9717682239502601E-4</v>
      </c>
      <c r="BU159" s="9">
        <f t="shared" si="56"/>
        <v>1.2744092310758739E-3</v>
      </c>
      <c r="BV159" s="12">
        <f t="shared" si="57"/>
        <v>6.6192089382724421E-3</v>
      </c>
      <c r="BX159" s="12">
        <f t="shared" si="58"/>
        <v>1.2744092310758739E-3</v>
      </c>
      <c r="BY159" s="12">
        <f t="shared" si="59"/>
        <v>1.4687815268705414E-2</v>
      </c>
    </row>
    <row r="160" spans="1:77" x14ac:dyDescent="0.3">
      <c r="A160" s="1">
        <v>46254</v>
      </c>
      <c r="B160" s="8">
        <v>63.75</v>
      </c>
      <c r="C160" s="8">
        <v>67.48</v>
      </c>
      <c r="D160" s="9">
        <v>2.67022855587889E-3</v>
      </c>
      <c r="E160" s="9">
        <v>2.8196204775409401E-3</v>
      </c>
      <c r="F160" s="8">
        <v>0</v>
      </c>
      <c r="G160" s="8">
        <v>0.77010000000000001</v>
      </c>
      <c r="H160" s="8">
        <v>0</v>
      </c>
      <c r="I160" s="8">
        <v>0.61579999999999901</v>
      </c>
      <c r="J160" s="8">
        <v>0</v>
      </c>
      <c r="K160" s="8">
        <v>0</v>
      </c>
      <c r="L160" s="8">
        <v>63.75</v>
      </c>
      <c r="M160" s="8">
        <v>67.48</v>
      </c>
      <c r="N160" s="10">
        <v>1.0585098039215599</v>
      </c>
      <c r="O160" s="10">
        <v>1.0596043809708899</v>
      </c>
      <c r="P160" s="10">
        <v>1.0605336138942401</v>
      </c>
      <c r="Q160" s="10">
        <v>1.06142275562107</v>
      </c>
      <c r="R160" s="8">
        <v>67.549779286894506</v>
      </c>
      <c r="S160" s="8">
        <v>67.647060698687696</v>
      </c>
      <c r="T160" s="8">
        <v>67.685867477849499</v>
      </c>
      <c r="U160" s="9">
        <v>1.0335393196174E-3</v>
      </c>
      <c r="V160" s="9">
        <v>2.47264734304417E-3</v>
      </c>
      <c r="W160" s="9">
        <v>3.0461482751271501E-3</v>
      </c>
      <c r="X160" s="10">
        <v>1.0585098039215599</v>
      </c>
      <c r="Y160" s="10">
        <v>1.05986570061559</v>
      </c>
      <c r="Z160" s="10">
        <v>1.0605336138942401</v>
      </c>
      <c r="AA160" s="10">
        <v>1.06142275562107</v>
      </c>
      <c r="AB160" s="8">
        <v>67.566438414244104</v>
      </c>
      <c r="AC160" s="8">
        <v>67.647060698687696</v>
      </c>
      <c r="AD160" s="8">
        <v>67.685867477849499</v>
      </c>
      <c r="AE160" s="9">
        <v>1.28012892547472E-3</v>
      </c>
      <c r="AF160" s="9">
        <v>2.47264734304417E-3</v>
      </c>
      <c r="AG160" s="9">
        <v>3.0461482751271501E-3</v>
      </c>
      <c r="BB160">
        <f t="shared" si="42"/>
        <v>0</v>
      </c>
      <c r="BC160">
        <f t="shared" si="43"/>
        <v>1</v>
      </c>
      <c r="BD160">
        <f t="shared" si="44"/>
        <v>0</v>
      </c>
      <c r="BE160">
        <f t="shared" si="40"/>
        <v>1</v>
      </c>
      <c r="BF160">
        <f t="shared" si="45"/>
        <v>0</v>
      </c>
      <c r="BG160" s="9">
        <f t="shared" si="46"/>
        <v>0</v>
      </c>
      <c r="BH160" s="9">
        <f t="shared" si="47"/>
        <v>0</v>
      </c>
      <c r="BI160" s="9">
        <f t="shared" si="48"/>
        <v>0</v>
      </c>
      <c r="BJ160" s="12">
        <f t="shared" si="49"/>
        <v>8.0686063304329699E-3</v>
      </c>
      <c r="BL160" s="9"/>
      <c r="BN160">
        <f t="shared" si="50"/>
        <v>1</v>
      </c>
      <c r="BO160">
        <f t="shared" si="51"/>
        <v>0</v>
      </c>
      <c r="BP160">
        <f t="shared" si="52"/>
        <v>1</v>
      </c>
      <c r="BQ160">
        <f t="shared" si="41"/>
        <v>1</v>
      </c>
      <c r="BR160">
        <f t="shared" si="53"/>
        <v>1</v>
      </c>
      <c r="BS160" s="9">
        <f t="shared" si="54"/>
        <v>-2.67022855587889E-3</v>
      </c>
      <c r="BT160" s="9">
        <f t="shared" si="55"/>
        <v>2.8196204775409401E-3</v>
      </c>
      <c r="BU160" s="9">
        <f t="shared" si="56"/>
        <v>1.4939192166205009E-4</v>
      </c>
      <c r="BV160" s="12">
        <f t="shared" si="57"/>
        <v>6.7686008599344922E-3</v>
      </c>
      <c r="BX160" s="12">
        <f t="shared" si="58"/>
        <v>1.4939192166205009E-4</v>
      </c>
      <c r="BY160" s="12">
        <f t="shared" si="59"/>
        <v>1.4837207190367463E-2</v>
      </c>
    </row>
    <row r="161" spans="1:77" x14ac:dyDescent="0.3">
      <c r="A161" s="1">
        <v>46255</v>
      </c>
      <c r="B161" s="8">
        <v>63.64</v>
      </c>
      <c r="C161" s="8">
        <v>67.36</v>
      </c>
      <c r="D161" s="9">
        <v>-1.72698056894934E-3</v>
      </c>
      <c r="E161" s="9">
        <v>-1.7798877436963601E-3</v>
      </c>
      <c r="F161" s="8">
        <v>0</v>
      </c>
      <c r="G161" s="8">
        <v>0.77010000000000001</v>
      </c>
      <c r="H161" s="8">
        <v>0</v>
      </c>
      <c r="I161" s="8">
        <v>0.61579999999999901</v>
      </c>
      <c r="J161" s="8">
        <v>0</v>
      </c>
      <c r="K161" s="8">
        <v>0</v>
      </c>
      <c r="L161" s="8">
        <v>63.64</v>
      </c>
      <c r="M161" s="8">
        <v>67.36</v>
      </c>
      <c r="N161" s="10">
        <v>1.05845380263984</v>
      </c>
      <c r="O161" s="10">
        <v>1.0596043809708899</v>
      </c>
      <c r="P161" s="10">
        <v>1.05989203763648</v>
      </c>
      <c r="Q161" s="10">
        <v>1.0612173008352499</v>
      </c>
      <c r="R161" s="8">
        <v>67.433222804987693</v>
      </c>
      <c r="S161" s="8">
        <v>67.4923591882295</v>
      </c>
      <c r="T161" s="8">
        <v>67.548944167725494</v>
      </c>
      <c r="U161" s="9">
        <v>1.0864464943641499E-3</v>
      </c>
      <c r="V161" s="9">
        <v>1.9630243257112E-3</v>
      </c>
      <c r="W161" s="9">
        <v>2.80106396841892E-3</v>
      </c>
      <c r="X161" s="10">
        <v>1.05845380263984</v>
      </c>
      <c r="Y161" s="10">
        <v>1.05986570061559</v>
      </c>
      <c r="Z161" s="10">
        <v>1.05989203763648</v>
      </c>
      <c r="AA161" s="10">
        <v>1.0612173008352499</v>
      </c>
      <c r="AB161" s="8">
        <v>67.449853187176302</v>
      </c>
      <c r="AC161" s="8">
        <v>67.4923591882295</v>
      </c>
      <c r="AD161" s="8">
        <v>67.548944167725494</v>
      </c>
      <c r="AE161" s="9">
        <v>1.3330361002216399E-3</v>
      </c>
      <c r="AF161" s="9">
        <v>1.9630243257112E-3</v>
      </c>
      <c r="AG161" s="9">
        <v>2.80106396841892E-3</v>
      </c>
      <c r="BB161">
        <f t="shared" si="42"/>
        <v>0</v>
      </c>
      <c r="BC161">
        <f t="shared" si="43"/>
        <v>1</v>
      </c>
      <c r="BD161">
        <f t="shared" si="44"/>
        <v>0</v>
      </c>
      <c r="BE161">
        <f t="shared" si="40"/>
        <v>1</v>
      </c>
      <c r="BF161">
        <f t="shared" si="45"/>
        <v>0</v>
      </c>
      <c r="BG161" s="9">
        <f t="shared" si="46"/>
        <v>0</v>
      </c>
      <c r="BH161" s="9">
        <f t="shared" si="47"/>
        <v>0</v>
      </c>
      <c r="BI161" s="9">
        <f t="shared" si="48"/>
        <v>0</v>
      </c>
      <c r="BJ161" s="12">
        <f t="shared" si="49"/>
        <v>8.0686063304329699E-3</v>
      </c>
      <c r="BL161" s="9"/>
      <c r="BN161">
        <f t="shared" si="50"/>
        <v>1</v>
      </c>
      <c r="BO161">
        <f t="shared" si="51"/>
        <v>0</v>
      </c>
      <c r="BP161">
        <f t="shared" si="52"/>
        <v>1</v>
      </c>
      <c r="BQ161">
        <f t="shared" si="41"/>
        <v>1</v>
      </c>
      <c r="BR161">
        <f t="shared" si="53"/>
        <v>1</v>
      </c>
      <c r="BS161" s="9">
        <f t="shared" si="54"/>
        <v>1.72698056894934E-3</v>
      </c>
      <c r="BT161" s="9">
        <f t="shared" si="55"/>
        <v>-1.7798877436963601E-3</v>
      </c>
      <c r="BU161" s="9">
        <f t="shared" si="56"/>
        <v>-5.2907174747020063E-5</v>
      </c>
      <c r="BV161" s="12">
        <f t="shared" si="57"/>
        <v>6.7156936851874719E-3</v>
      </c>
      <c r="BX161" s="12">
        <f t="shared" si="58"/>
        <v>-5.2907174747020063E-5</v>
      </c>
      <c r="BY161" s="12">
        <f t="shared" si="59"/>
        <v>1.4784300015620443E-2</v>
      </c>
    </row>
    <row r="162" spans="1:77" x14ac:dyDescent="0.3">
      <c r="A162" s="1">
        <v>46258</v>
      </c>
      <c r="B162" s="8">
        <v>63.11</v>
      </c>
      <c r="C162" s="8">
        <v>66.81</v>
      </c>
      <c r="D162" s="9">
        <v>-8.3629678734379702E-3</v>
      </c>
      <c r="E162" s="9">
        <v>-8.1985999966852907E-3</v>
      </c>
      <c r="F162" s="8">
        <v>0</v>
      </c>
      <c r="G162" s="8">
        <v>0.77010000000000001</v>
      </c>
      <c r="H162" s="8">
        <v>0</v>
      </c>
      <c r="I162" s="8">
        <v>0.61579999999999901</v>
      </c>
      <c r="J162" s="8">
        <v>0</v>
      </c>
      <c r="K162" s="8">
        <v>0</v>
      </c>
      <c r="L162" s="8">
        <v>63.11</v>
      </c>
      <c r="M162" s="8">
        <v>66.81</v>
      </c>
      <c r="N162" s="10">
        <v>1.05862779274283</v>
      </c>
      <c r="O162" s="10">
        <v>1.0596043809708899</v>
      </c>
      <c r="P162" s="10">
        <v>1.0594238099316999</v>
      </c>
      <c r="Q162" s="10">
        <v>1.0609958460584099</v>
      </c>
      <c r="R162" s="8">
        <v>66.871632483073199</v>
      </c>
      <c r="S162" s="8">
        <v>66.889786495238695</v>
      </c>
      <c r="T162" s="8">
        <v>66.973423855713193</v>
      </c>
      <c r="U162" s="9">
        <v>9.2207861761148605E-4</v>
      </c>
      <c r="V162" s="9">
        <v>1.1935173092112799E-3</v>
      </c>
      <c r="W162" s="9">
        <v>2.4431118936888E-3</v>
      </c>
      <c r="X162" s="10">
        <v>1.05862779274283</v>
      </c>
      <c r="Y162" s="10">
        <v>1.05986570061559</v>
      </c>
      <c r="Z162" s="10">
        <v>1.0594238099316999</v>
      </c>
      <c r="AA162" s="10">
        <v>1.0609958460584099</v>
      </c>
      <c r="AB162" s="8">
        <v>66.888124365850103</v>
      </c>
      <c r="AC162" s="8">
        <v>66.889786495238695</v>
      </c>
      <c r="AD162" s="8">
        <v>66.973423855713094</v>
      </c>
      <c r="AE162" s="9">
        <v>1.1686682234691101E-3</v>
      </c>
      <c r="AF162" s="9">
        <v>1.1935173092112799E-3</v>
      </c>
      <c r="AG162" s="9">
        <v>2.4431118936885802E-3</v>
      </c>
      <c r="BB162">
        <f t="shared" si="42"/>
        <v>0</v>
      </c>
      <c r="BC162">
        <f t="shared" si="43"/>
        <v>1</v>
      </c>
      <c r="BD162">
        <f t="shared" si="44"/>
        <v>0</v>
      </c>
      <c r="BE162">
        <f t="shared" si="40"/>
        <v>1</v>
      </c>
      <c r="BF162">
        <f t="shared" si="45"/>
        <v>0</v>
      </c>
      <c r="BG162" s="9">
        <f t="shared" si="46"/>
        <v>0</v>
      </c>
      <c r="BH162" s="9">
        <f t="shared" si="47"/>
        <v>0</v>
      </c>
      <c r="BI162" s="9">
        <f t="shared" si="48"/>
        <v>0</v>
      </c>
      <c r="BJ162" s="12">
        <f t="shared" si="49"/>
        <v>8.0686063304329699E-3</v>
      </c>
      <c r="BL162" s="9"/>
      <c r="BN162">
        <f t="shared" si="50"/>
        <v>1</v>
      </c>
      <c r="BO162">
        <f t="shared" si="51"/>
        <v>0</v>
      </c>
      <c r="BP162">
        <f t="shared" si="52"/>
        <v>1</v>
      </c>
      <c r="BQ162">
        <f t="shared" si="41"/>
        <v>1</v>
      </c>
      <c r="BR162">
        <f t="shared" si="53"/>
        <v>1</v>
      </c>
      <c r="BS162" s="9">
        <f t="shared" si="54"/>
        <v>8.3629678734379702E-3</v>
      </c>
      <c r="BT162" s="9">
        <f t="shared" si="55"/>
        <v>-8.1985999966852907E-3</v>
      </c>
      <c r="BU162" s="9">
        <f t="shared" si="56"/>
        <v>1.6436787675267947E-4</v>
      </c>
      <c r="BV162" s="12">
        <f t="shared" si="57"/>
        <v>6.8800615619401513E-3</v>
      </c>
      <c r="BX162" s="12">
        <f t="shared" si="58"/>
        <v>1.6436787675267947E-4</v>
      </c>
      <c r="BY162" s="12">
        <f t="shared" si="59"/>
        <v>1.4948667892373122E-2</v>
      </c>
    </row>
    <row r="163" spans="1:77" x14ac:dyDescent="0.3">
      <c r="A163" s="1">
        <v>46259</v>
      </c>
      <c r="B163" s="8">
        <v>62.06</v>
      </c>
      <c r="C163" s="8">
        <v>65.73</v>
      </c>
      <c r="D163" s="9">
        <v>-1.6777576575913999E-2</v>
      </c>
      <c r="E163" s="9">
        <v>-1.6297327661901E-2</v>
      </c>
      <c r="F163" s="8">
        <v>0</v>
      </c>
      <c r="G163" s="8">
        <v>0.77010000000000001</v>
      </c>
      <c r="H163" s="8">
        <v>0</v>
      </c>
      <c r="I163" s="8">
        <v>0.61579999999999901</v>
      </c>
      <c r="J163" s="8">
        <v>0</v>
      </c>
      <c r="K163" s="8">
        <v>0</v>
      </c>
      <c r="L163" s="8">
        <v>62.06</v>
      </c>
      <c r="M163" s="8">
        <v>65.73</v>
      </c>
      <c r="N163" s="10">
        <v>1.0591363196906201</v>
      </c>
      <c r="O163" s="10">
        <v>1.0596043809708899</v>
      </c>
      <c r="P163" s="10">
        <v>1.0591992505336201</v>
      </c>
      <c r="Q163" s="10">
        <v>1.06088682914387</v>
      </c>
      <c r="R163" s="8">
        <v>65.759047883053697</v>
      </c>
      <c r="S163" s="8">
        <v>65.747841644361799</v>
      </c>
      <c r="T163" s="8">
        <v>65.845402206385401</v>
      </c>
      <c r="U163" s="9">
        <v>4.4182970359866102E-4</v>
      </c>
      <c r="V163" s="9">
        <v>2.7140154185955402E-4</v>
      </c>
      <c r="W163" s="9">
        <v>1.75416124962717E-3</v>
      </c>
      <c r="X163" s="10">
        <v>1.0591363196906201</v>
      </c>
      <c r="Y163" s="10">
        <v>1.05986570061559</v>
      </c>
      <c r="Z163" s="10">
        <v>1.0591992505336201</v>
      </c>
      <c r="AA163" s="10">
        <v>1.06088682914387</v>
      </c>
      <c r="AB163" s="8">
        <v>65.775265380203706</v>
      </c>
      <c r="AC163" s="8">
        <v>65.747841644361799</v>
      </c>
      <c r="AD163" s="8">
        <v>65.845402206385401</v>
      </c>
      <c r="AE163" s="9">
        <v>6.8841930945591804E-4</v>
      </c>
      <c r="AF163" s="9">
        <v>2.7140154185955402E-4</v>
      </c>
      <c r="AG163" s="9">
        <v>1.75416124962717E-3</v>
      </c>
      <c r="BB163">
        <f t="shared" si="42"/>
        <v>0</v>
      </c>
      <c r="BC163">
        <f t="shared" si="43"/>
        <v>1</v>
      </c>
      <c r="BD163">
        <f t="shared" si="44"/>
        <v>0</v>
      </c>
      <c r="BE163">
        <f t="shared" si="40"/>
        <v>1</v>
      </c>
      <c r="BF163">
        <f t="shared" si="45"/>
        <v>0</v>
      </c>
      <c r="BG163" s="9">
        <f t="shared" si="46"/>
        <v>0</v>
      </c>
      <c r="BH163" s="9">
        <f t="shared" si="47"/>
        <v>0</v>
      </c>
      <c r="BI163" s="9">
        <f t="shared" si="48"/>
        <v>0</v>
      </c>
      <c r="BJ163" s="12">
        <f t="shared" si="49"/>
        <v>8.0686063304329699E-3</v>
      </c>
      <c r="BL163" s="9"/>
      <c r="BN163">
        <f t="shared" si="50"/>
        <v>0</v>
      </c>
      <c r="BO163">
        <f t="shared" si="51"/>
        <v>0</v>
      </c>
      <c r="BP163">
        <f t="shared" si="52"/>
        <v>1</v>
      </c>
      <c r="BQ163">
        <f t="shared" si="41"/>
        <v>1</v>
      </c>
      <c r="BR163">
        <f t="shared" si="53"/>
        <v>1</v>
      </c>
      <c r="BS163" s="9">
        <f t="shared" si="54"/>
        <v>1.6777576575913999E-2</v>
      </c>
      <c r="BT163" s="9">
        <f t="shared" si="55"/>
        <v>-1.6297327661901E-2</v>
      </c>
      <c r="BU163" s="9">
        <f t="shared" si="56"/>
        <v>4.8024891401299979E-4</v>
      </c>
      <c r="BV163" s="12">
        <f t="shared" si="57"/>
        <v>7.3603104759531511E-3</v>
      </c>
      <c r="BX163" s="12">
        <f t="shared" si="58"/>
        <v>4.8024891401299979E-4</v>
      </c>
      <c r="BY163" s="12">
        <f t="shared" si="59"/>
        <v>1.5428916806386122E-2</v>
      </c>
    </row>
    <row r="164" spans="1:77" x14ac:dyDescent="0.3">
      <c r="A164" s="1">
        <v>46260</v>
      </c>
      <c r="B164" s="8">
        <v>62.43</v>
      </c>
      <c r="C164" s="8">
        <v>66.05</v>
      </c>
      <c r="D164" s="9">
        <v>5.9442700534186E-3</v>
      </c>
      <c r="E164" s="9">
        <v>4.85658869284926E-3</v>
      </c>
      <c r="F164" s="8">
        <v>0</v>
      </c>
      <c r="G164" s="8">
        <v>0.77010000000000001</v>
      </c>
      <c r="H164" s="8">
        <v>0</v>
      </c>
      <c r="I164" s="8">
        <v>0.61579999999999901</v>
      </c>
      <c r="J164" s="8">
        <v>0</v>
      </c>
      <c r="K164" s="8">
        <v>0</v>
      </c>
      <c r="L164" s="8">
        <v>62.43</v>
      </c>
      <c r="M164" s="8">
        <v>66.05</v>
      </c>
      <c r="N164" s="10">
        <v>1.05798494313631</v>
      </c>
      <c r="O164" s="10">
        <v>1.0596043809708899</v>
      </c>
      <c r="P164" s="10">
        <v>1.0588204549898099</v>
      </c>
      <c r="Q164" s="10">
        <v>1.0607255477414299</v>
      </c>
      <c r="R164" s="8">
        <v>66.151101504012999</v>
      </c>
      <c r="S164" s="8">
        <v>66.125809210814296</v>
      </c>
      <c r="T164" s="8">
        <v>66.231164743451799</v>
      </c>
      <c r="U164" s="9">
        <v>1.52951106416766E-3</v>
      </c>
      <c r="V164" s="9">
        <v>1.1470967279065499E-3</v>
      </c>
      <c r="W164" s="9">
        <v>2.7390877162350499E-3</v>
      </c>
      <c r="X164" s="10">
        <v>1.05798494313631</v>
      </c>
      <c r="Y164" s="10">
        <v>1.05986570061559</v>
      </c>
      <c r="Z164" s="10">
        <v>1.0588204549898099</v>
      </c>
      <c r="AA164" s="10">
        <v>1.0607255477414299</v>
      </c>
      <c r="AB164" s="8">
        <v>66.167415689431493</v>
      </c>
      <c r="AC164" s="8">
        <v>66.125809210814296</v>
      </c>
      <c r="AD164" s="8">
        <v>66.231164743451799</v>
      </c>
      <c r="AE164" s="9">
        <v>1.7761006700252901E-3</v>
      </c>
      <c r="AF164" s="9">
        <v>1.1470967279065499E-3</v>
      </c>
      <c r="AG164" s="9">
        <v>2.7390877162350499E-3</v>
      </c>
      <c r="BB164">
        <f t="shared" si="42"/>
        <v>0</v>
      </c>
      <c r="BC164">
        <f t="shared" si="43"/>
        <v>1</v>
      </c>
      <c r="BD164">
        <f t="shared" si="44"/>
        <v>0</v>
      </c>
      <c r="BE164">
        <f t="shared" si="40"/>
        <v>1</v>
      </c>
      <c r="BF164">
        <f t="shared" si="45"/>
        <v>0</v>
      </c>
      <c r="BG164" s="9">
        <f t="shared" si="46"/>
        <v>0</v>
      </c>
      <c r="BH164" s="9">
        <f t="shared" si="47"/>
        <v>0</v>
      </c>
      <c r="BI164" s="9">
        <f t="shared" si="48"/>
        <v>0</v>
      </c>
      <c r="BJ164" s="12">
        <f t="shared" si="49"/>
        <v>8.0686063304329699E-3</v>
      </c>
      <c r="BL164" s="9"/>
      <c r="BN164">
        <f t="shared" si="50"/>
        <v>1</v>
      </c>
      <c r="BO164">
        <f t="shared" si="51"/>
        <v>0</v>
      </c>
      <c r="BP164">
        <f t="shared" si="52"/>
        <v>1</v>
      </c>
      <c r="BQ164">
        <f t="shared" si="41"/>
        <v>1</v>
      </c>
      <c r="BR164">
        <f t="shared" si="53"/>
        <v>1</v>
      </c>
      <c r="BS164" s="9">
        <f t="shared" si="54"/>
        <v>-5.9442700534186E-3</v>
      </c>
      <c r="BT164" s="9">
        <f t="shared" si="55"/>
        <v>4.85658869284926E-3</v>
      </c>
      <c r="BU164" s="9">
        <f t="shared" si="56"/>
        <v>-1.0876813605693401E-3</v>
      </c>
      <c r="BV164" s="12">
        <f t="shared" si="57"/>
        <v>6.2726291153838111E-3</v>
      </c>
      <c r="BX164" s="12">
        <f t="shared" si="58"/>
        <v>-1.0876813605693401E-3</v>
      </c>
      <c r="BY164" s="12">
        <f t="shared" si="59"/>
        <v>1.4341235445816782E-2</v>
      </c>
    </row>
    <row r="165" spans="1:77" x14ac:dyDescent="0.3">
      <c r="A165" s="1">
        <v>46261</v>
      </c>
      <c r="B165" s="8">
        <v>62.29</v>
      </c>
      <c r="C165" s="8">
        <v>65.930000000000007</v>
      </c>
      <c r="D165" s="9">
        <v>-2.2450298075986099E-3</v>
      </c>
      <c r="E165" s="9">
        <v>-1.81845784312587E-3</v>
      </c>
      <c r="F165" s="8">
        <v>0</v>
      </c>
      <c r="G165" s="8">
        <v>0.77010000000000001</v>
      </c>
      <c r="H165" s="8">
        <v>0</v>
      </c>
      <c r="I165" s="8">
        <v>0.61579999999999901</v>
      </c>
      <c r="J165" s="8">
        <v>0</v>
      </c>
      <c r="K165" s="8">
        <v>0</v>
      </c>
      <c r="L165" s="8">
        <v>62.29</v>
      </c>
      <c r="M165" s="8">
        <v>65.930000000000007</v>
      </c>
      <c r="N165" s="10">
        <v>1.05843634612297</v>
      </c>
      <c r="O165" s="10">
        <v>1.0596043809708899</v>
      </c>
      <c r="P165" s="10">
        <v>1.05858809877341</v>
      </c>
      <c r="Q165" s="10">
        <v>1.06059444781556</v>
      </c>
      <c r="R165" s="8">
        <v>66.002756890677006</v>
      </c>
      <c r="S165" s="8">
        <v>65.953926141315307</v>
      </c>
      <c r="T165" s="8">
        <v>66.072594368813995</v>
      </c>
      <c r="U165" s="9">
        <v>1.1029390996950101E-3</v>
      </c>
      <c r="V165" s="9">
        <v>3.62836355845681E-4</v>
      </c>
      <c r="W165" s="9">
        <v>2.1604791172647902E-3</v>
      </c>
      <c r="X165" s="10">
        <v>1.05843634612297</v>
      </c>
      <c r="Y165" s="10">
        <v>1.05986570061559</v>
      </c>
      <c r="Z165" s="10">
        <v>1.05858809877341</v>
      </c>
      <c r="AA165" s="10">
        <v>1.06059444781556</v>
      </c>
      <c r="AB165" s="8">
        <v>66.019034491345295</v>
      </c>
      <c r="AC165" s="8">
        <v>65.953926141315307</v>
      </c>
      <c r="AD165" s="8">
        <v>66.072594368813995</v>
      </c>
      <c r="AE165" s="9">
        <v>1.3495287055524899E-3</v>
      </c>
      <c r="AF165" s="9">
        <v>3.62836355845681E-4</v>
      </c>
      <c r="AG165" s="9">
        <v>2.1604791172650101E-3</v>
      </c>
      <c r="BB165">
        <f t="shared" si="42"/>
        <v>0</v>
      </c>
      <c r="BC165">
        <f t="shared" si="43"/>
        <v>1</v>
      </c>
      <c r="BD165">
        <f t="shared" si="44"/>
        <v>0</v>
      </c>
      <c r="BE165">
        <f t="shared" si="40"/>
        <v>1</v>
      </c>
      <c r="BF165">
        <f t="shared" si="45"/>
        <v>0</v>
      </c>
      <c r="BG165" s="9">
        <f t="shared" si="46"/>
        <v>0</v>
      </c>
      <c r="BH165" s="9">
        <f t="shared" si="47"/>
        <v>0</v>
      </c>
      <c r="BI165" s="9">
        <f t="shared" si="48"/>
        <v>0</v>
      </c>
      <c r="BJ165" s="12">
        <f t="shared" si="49"/>
        <v>8.0686063304329699E-3</v>
      </c>
      <c r="BL165" s="9"/>
      <c r="BN165">
        <f t="shared" si="50"/>
        <v>1</v>
      </c>
      <c r="BO165">
        <f t="shared" si="51"/>
        <v>0</v>
      </c>
      <c r="BP165">
        <f t="shared" si="52"/>
        <v>1</v>
      </c>
      <c r="BQ165">
        <f t="shared" si="41"/>
        <v>1</v>
      </c>
      <c r="BR165">
        <f t="shared" si="53"/>
        <v>1</v>
      </c>
      <c r="BS165" s="9">
        <f t="shared" si="54"/>
        <v>2.2450298075986099E-3</v>
      </c>
      <c r="BT165" s="9">
        <f t="shared" si="55"/>
        <v>-1.81845784312587E-3</v>
      </c>
      <c r="BU165" s="9">
        <f t="shared" si="56"/>
        <v>4.2657196447273989E-4</v>
      </c>
      <c r="BV165" s="12">
        <f t="shared" si="57"/>
        <v>6.6992010798565512E-3</v>
      </c>
      <c r="BX165" s="12">
        <f t="shared" si="58"/>
        <v>4.2657196447273989E-4</v>
      </c>
      <c r="BY165" s="12">
        <f t="shared" si="59"/>
        <v>1.4767807410289522E-2</v>
      </c>
    </row>
    <row r="166" spans="1:77" x14ac:dyDescent="0.3">
      <c r="A166" s="1">
        <v>46262</v>
      </c>
      <c r="B166" s="8">
        <v>62.68</v>
      </c>
      <c r="C166" s="8">
        <v>66.25</v>
      </c>
      <c r="D166" s="9">
        <v>6.2415182217659898E-3</v>
      </c>
      <c r="E166" s="9">
        <v>4.8418917411231898E-3</v>
      </c>
      <c r="F166" s="8">
        <v>0</v>
      </c>
      <c r="G166" s="8">
        <v>0.77010000000000001</v>
      </c>
      <c r="H166" s="8">
        <v>0</v>
      </c>
      <c r="I166" s="8">
        <v>0.61579999999999901</v>
      </c>
      <c r="J166" s="8">
        <v>0</v>
      </c>
      <c r="K166" s="8">
        <v>0</v>
      </c>
      <c r="L166" s="8">
        <v>62.68</v>
      </c>
      <c r="M166" s="8">
        <v>66.25</v>
      </c>
      <c r="N166" s="10">
        <v>1.0569559668155699</v>
      </c>
      <c r="O166" s="10">
        <v>1.0596043809708899</v>
      </c>
      <c r="P166" s="10">
        <v>1.0582265156778701</v>
      </c>
      <c r="Q166" s="10">
        <v>1.06042797243677</v>
      </c>
      <c r="R166" s="8">
        <v>66.416002599255705</v>
      </c>
      <c r="S166" s="8">
        <v>66.352302031117702</v>
      </c>
      <c r="T166" s="8">
        <v>66.478059989079398</v>
      </c>
      <c r="U166" s="9">
        <v>2.5025655803378299E-3</v>
      </c>
      <c r="V166" s="9">
        <v>1.54299057931319E-3</v>
      </c>
      <c r="W166" s="9">
        <v>3.43650338200968E-3</v>
      </c>
      <c r="X166" s="10">
        <v>1.0569559668155699</v>
      </c>
      <c r="Y166" s="10">
        <v>1.05986570061559</v>
      </c>
      <c r="Z166" s="10">
        <v>1.0582265156778701</v>
      </c>
      <c r="AA166" s="10">
        <v>1.06042797243677</v>
      </c>
      <c r="AB166" s="8">
        <v>66.432382114585394</v>
      </c>
      <c r="AC166" s="8">
        <v>66.352302031117702</v>
      </c>
      <c r="AD166" s="8">
        <v>66.478059989079398</v>
      </c>
      <c r="AE166" s="9">
        <v>2.7491551861953002E-3</v>
      </c>
      <c r="AF166" s="9">
        <v>1.54299057931319E-3</v>
      </c>
      <c r="AG166" s="9">
        <v>3.4365033820094502E-3</v>
      </c>
      <c r="BB166">
        <f t="shared" si="42"/>
        <v>0</v>
      </c>
      <c r="BC166">
        <f t="shared" si="43"/>
        <v>1</v>
      </c>
      <c r="BD166">
        <f t="shared" si="44"/>
        <v>0</v>
      </c>
      <c r="BE166">
        <f t="shared" si="40"/>
        <v>1</v>
      </c>
      <c r="BF166">
        <f t="shared" si="45"/>
        <v>0</v>
      </c>
      <c r="BG166" s="9">
        <f t="shared" si="46"/>
        <v>0</v>
      </c>
      <c r="BH166" s="9">
        <f t="shared" si="47"/>
        <v>0</v>
      </c>
      <c r="BI166" s="9">
        <f t="shared" si="48"/>
        <v>0</v>
      </c>
      <c r="BJ166" s="12">
        <f t="shared" si="49"/>
        <v>8.0686063304329699E-3</v>
      </c>
      <c r="BL166" s="9"/>
      <c r="BN166">
        <f t="shared" si="50"/>
        <v>1</v>
      </c>
      <c r="BO166">
        <f t="shared" si="51"/>
        <v>0</v>
      </c>
      <c r="BP166">
        <f t="shared" si="52"/>
        <v>1</v>
      </c>
      <c r="BQ166">
        <f t="shared" si="41"/>
        <v>1</v>
      </c>
      <c r="BR166">
        <f t="shared" si="53"/>
        <v>1</v>
      </c>
      <c r="BS166" s="9">
        <f t="shared" si="54"/>
        <v>-6.2415182217659898E-3</v>
      </c>
      <c r="BT166" s="9">
        <f t="shared" si="55"/>
        <v>4.8418917411231898E-3</v>
      </c>
      <c r="BU166" s="9">
        <f t="shared" si="56"/>
        <v>-1.3996264806428E-3</v>
      </c>
      <c r="BV166" s="12">
        <f t="shared" si="57"/>
        <v>5.2995745992137511E-3</v>
      </c>
      <c r="BX166" s="12">
        <f t="shared" si="58"/>
        <v>-1.3996264806428E-3</v>
      </c>
      <c r="BY166" s="12">
        <f t="shared" si="59"/>
        <v>1.3368180929646721E-2</v>
      </c>
    </row>
    <row r="167" spans="1:77" x14ac:dyDescent="0.3">
      <c r="A167" s="1">
        <v>46265</v>
      </c>
      <c r="B167" s="8">
        <v>63.96</v>
      </c>
      <c r="C167" s="8">
        <v>67.59</v>
      </c>
      <c r="D167" s="9">
        <v>2.0215470477933501E-2</v>
      </c>
      <c r="E167" s="9">
        <v>2.00245782459311E-2</v>
      </c>
      <c r="F167" s="8">
        <v>0</v>
      </c>
      <c r="G167" s="8">
        <v>0.77010000000000001</v>
      </c>
      <c r="H167" s="8">
        <v>0</v>
      </c>
      <c r="I167" s="8">
        <v>0.61579999999999901</v>
      </c>
      <c r="J167" s="8">
        <v>0</v>
      </c>
      <c r="K167" s="8">
        <v>0</v>
      </c>
      <c r="L167" s="8">
        <v>63.96</v>
      </c>
      <c r="M167" s="8">
        <v>67.59</v>
      </c>
      <c r="N167" s="10">
        <v>1.0567542213883601</v>
      </c>
      <c r="O167" s="10">
        <v>1.0596043809708899</v>
      </c>
      <c r="P167" s="10">
        <v>1.05802146482214</v>
      </c>
      <c r="Q167" s="10">
        <v>1.06013589952932</v>
      </c>
      <c r="R167" s="8">
        <v>67.772296206898403</v>
      </c>
      <c r="S167" s="8">
        <v>67.684167942757</v>
      </c>
      <c r="T167" s="8">
        <v>67.824973117056302</v>
      </c>
      <c r="U167" s="9">
        <v>2.69345781233992E-3</v>
      </c>
      <c r="V167" s="9">
        <v>1.3922533681066699E-3</v>
      </c>
      <c r="W167" s="9">
        <v>3.4704190752094998E-3</v>
      </c>
      <c r="X167" s="10">
        <v>1.0567542213883601</v>
      </c>
      <c r="Y167" s="10">
        <v>1.05986570061559</v>
      </c>
      <c r="Z167" s="10">
        <v>1.05802146482214</v>
      </c>
      <c r="AA167" s="10">
        <v>1.06013589952932</v>
      </c>
      <c r="AB167" s="8">
        <v>67.789010211373295</v>
      </c>
      <c r="AC167" s="8">
        <v>67.684167942757</v>
      </c>
      <c r="AD167" s="8">
        <v>67.824973117056302</v>
      </c>
      <c r="AE167" s="9">
        <v>2.9400474181973698E-3</v>
      </c>
      <c r="AF167" s="9">
        <v>1.3922533681066699E-3</v>
      </c>
      <c r="AG167" s="9">
        <v>3.47041907520927E-3</v>
      </c>
      <c r="BB167">
        <f t="shared" si="42"/>
        <v>0</v>
      </c>
      <c r="BC167">
        <f t="shared" si="43"/>
        <v>1</v>
      </c>
      <c r="BD167">
        <f t="shared" si="44"/>
        <v>0</v>
      </c>
      <c r="BE167">
        <f t="shared" si="40"/>
        <v>1</v>
      </c>
      <c r="BF167">
        <f t="shared" si="45"/>
        <v>0</v>
      </c>
      <c r="BG167" s="9">
        <f t="shared" si="46"/>
        <v>0</v>
      </c>
      <c r="BH167" s="9">
        <f t="shared" si="47"/>
        <v>0</v>
      </c>
      <c r="BI167" s="9">
        <f t="shared" si="48"/>
        <v>0</v>
      </c>
      <c r="BJ167" s="12">
        <f t="shared" si="49"/>
        <v>8.0686063304329699E-3</v>
      </c>
      <c r="BL167" s="9"/>
      <c r="BN167">
        <f t="shared" si="50"/>
        <v>1</v>
      </c>
      <c r="BO167">
        <f t="shared" si="51"/>
        <v>0</v>
      </c>
      <c r="BP167">
        <f t="shared" si="52"/>
        <v>1</v>
      </c>
      <c r="BQ167">
        <f t="shared" si="41"/>
        <v>1</v>
      </c>
      <c r="BR167">
        <f t="shared" si="53"/>
        <v>1</v>
      </c>
      <c r="BS167" s="9">
        <f t="shared" si="54"/>
        <v>-2.0215470477933501E-2</v>
      </c>
      <c r="BT167" s="9">
        <f t="shared" si="55"/>
        <v>2.00245782459311E-2</v>
      </c>
      <c r="BU167" s="9">
        <f t="shared" si="56"/>
        <v>-1.9089223200240146E-4</v>
      </c>
      <c r="BV167" s="12">
        <f t="shared" si="57"/>
        <v>5.1086823672113497E-3</v>
      </c>
      <c r="BX167" s="12">
        <f t="shared" si="58"/>
        <v>-1.9089223200240146E-4</v>
      </c>
      <c r="BY167" s="12">
        <f t="shared" si="59"/>
        <v>1.317728869764432E-2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XLE_IYE_1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2026-09-03T19:10:55Z</dcterms:created>
  <dcterms:modified xsi:type="dcterms:W3CDTF">2026-09-03T20:06:38Z</dcterms:modified>
</cp:coreProperties>
</file>