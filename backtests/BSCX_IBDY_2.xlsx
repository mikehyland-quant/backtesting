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62BEC364-7E54-49A4-BBF3-DA399A0A800F}" xr6:coauthVersionLast="47" xr6:coauthVersionMax="47" xr10:uidLastSave="{00000000-0000-0000-0000-000000000000}"/>
  <bookViews>
    <workbookView xWindow="360" yWindow="2730" windowWidth="28440" windowHeight="12225" xr2:uid="{859D9411-5BAD-44F2-9245-CD9F16FC1A24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M174" i="1"/>
  <c r="AK174" i="1"/>
  <c r="AJ174" i="1"/>
  <c r="AN175" i="1" s="1"/>
  <c r="AX173" i="1"/>
  <c r="AV173" i="1"/>
  <c r="AU173" i="1"/>
  <c r="AY174" i="1" s="1"/>
  <c r="AM173" i="1"/>
  <c r="AK173" i="1"/>
  <c r="AJ173" i="1"/>
  <c r="AX172" i="1"/>
  <c r="AV172" i="1"/>
  <c r="AU172" i="1"/>
  <c r="AY173" i="1" s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X170" i="1"/>
  <c r="AV170" i="1"/>
  <c r="AU170" i="1"/>
  <c r="AM170" i="1"/>
  <c r="AK170" i="1"/>
  <c r="AJ170" i="1"/>
  <c r="AN171" i="1" s="1"/>
  <c r="AX169" i="1"/>
  <c r="AV169" i="1"/>
  <c r="AU169" i="1"/>
  <c r="AY170" i="1" s="1"/>
  <c r="AM169" i="1"/>
  <c r="AK169" i="1"/>
  <c r="AJ169" i="1"/>
  <c r="AN170" i="1" s="1"/>
  <c r="AX168" i="1"/>
  <c r="AV168" i="1"/>
  <c r="AU168" i="1"/>
  <c r="AY169" i="1" s="1"/>
  <c r="AM168" i="1"/>
  <c r="AK168" i="1"/>
  <c r="AJ168" i="1"/>
  <c r="AN169" i="1" s="1"/>
  <c r="AX167" i="1"/>
  <c r="AV167" i="1"/>
  <c r="AU167" i="1"/>
  <c r="AY168" i="1" s="1"/>
  <c r="AM167" i="1"/>
  <c r="AK167" i="1"/>
  <c r="AJ167" i="1"/>
  <c r="AN168" i="1" s="1"/>
  <c r="AX166" i="1"/>
  <c r="AV166" i="1"/>
  <c r="AU166" i="1"/>
  <c r="AM166" i="1"/>
  <c r="AK166" i="1"/>
  <c r="AJ166" i="1"/>
  <c r="AX165" i="1"/>
  <c r="AV165" i="1"/>
  <c r="AU165" i="1"/>
  <c r="AM165" i="1"/>
  <c r="AK165" i="1"/>
  <c r="AJ165" i="1"/>
  <c r="AN166" i="1" s="1"/>
  <c r="AX164" i="1"/>
  <c r="AV164" i="1"/>
  <c r="AU164" i="1"/>
  <c r="AM164" i="1"/>
  <c r="AK164" i="1"/>
  <c r="AJ164" i="1"/>
  <c r="AN165" i="1" s="1"/>
  <c r="AX163" i="1"/>
  <c r="AV163" i="1"/>
  <c r="AU163" i="1"/>
  <c r="AY164" i="1" s="1"/>
  <c r="AM163" i="1"/>
  <c r="AK163" i="1"/>
  <c r="AJ163" i="1"/>
  <c r="AX162" i="1"/>
  <c r="AV162" i="1"/>
  <c r="AU162" i="1"/>
  <c r="AM162" i="1"/>
  <c r="AK162" i="1"/>
  <c r="AJ162" i="1"/>
  <c r="AN163" i="1" s="1"/>
  <c r="AX161" i="1"/>
  <c r="AV161" i="1"/>
  <c r="AU161" i="1"/>
  <c r="AY162" i="1" s="1"/>
  <c r="AM161" i="1"/>
  <c r="AK161" i="1"/>
  <c r="AJ161" i="1"/>
  <c r="AN162" i="1" s="1"/>
  <c r="AX160" i="1"/>
  <c r="AV160" i="1"/>
  <c r="AU160" i="1"/>
  <c r="AM160" i="1"/>
  <c r="AK160" i="1"/>
  <c r="AJ160" i="1"/>
  <c r="AN161" i="1" s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N159" i="1" s="1"/>
  <c r="AX157" i="1"/>
  <c r="AV157" i="1"/>
  <c r="AU157" i="1"/>
  <c r="AY158" i="1" s="1"/>
  <c r="AM157" i="1"/>
  <c r="AK157" i="1"/>
  <c r="AJ157" i="1"/>
  <c r="AN158" i="1" s="1"/>
  <c r="AX156" i="1"/>
  <c r="AV156" i="1"/>
  <c r="AU156" i="1"/>
  <c r="AY157" i="1" s="1"/>
  <c r="AM156" i="1"/>
  <c r="AK156" i="1"/>
  <c r="AJ156" i="1"/>
  <c r="AX155" i="1"/>
  <c r="AV155" i="1"/>
  <c r="AU155" i="1"/>
  <c r="AY156" i="1" s="1"/>
  <c r="AM155" i="1"/>
  <c r="AK155" i="1"/>
  <c r="AJ155" i="1"/>
  <c r="AN156" i="1" s="1"/>
  <c r="AX154" i="1"/>
  <c r="AV154" i="1"/>
  <c r="AU154" i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N154" i="1" s="1"/>
  <c r="AX152" i="1"/>
  <c r="AV152" i="1"/>
  <c r="AU152" i="1"/>
  <c r="AM152" i="1"/>
  <c r="AK152" i="1"/>
  <c r="AJ152" i="1"/>
  <c r="AN153" i="1" s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Y150" i="1" s="1"/>
  <c r="AM149" i="1"/>
  <c r="AK149" i="1"/>
  <c r="AJ149" i="1"/>
  <c r="AX148" i="1"/>
  <c r="AV148" i="1"/>
  <c r="AU148" i="1"/>
  <c r="AY149" i="1" s="1"/>
  <c r="AM148" i="1"/>
  <c r="AK148" i="1"/>
  <c r="AJ148" i="1"/>
  <c r="AN149" i="1" s="1"/>
  <c r="AX147" i="1"/>
  <c r="AV147" i="1"/>
  <c r="AU147" i="1"/>
  <c r="AY148" i="1" s="1"/>
  <c r="AM147" i="1"/>
  <c r="AK147" i="1"/>
  <c r="AJ147" i="1"/>
  <c r="AN148" i="1" s="1"/>
  <c r="AX146" i="1"/>
  <c r="AV146" i="1"/>
  <c r="AU146" i="1"/>
  <c r="AY147" i="1" s="1"/>
  <c r="AM146" i="1"/>
  <c r="AK146" i="1"/>
  <c r="AJ146" i="1"/>
  <c r="AX145" i="1"/>
  <c r="AV145" i="1"/>
  <c r="AU145" i="1"/>
  <c r="AY146" i="1" s="1"/>
  <c r="AM145" i="1"/>
  <c r="AK145" i="1"/>
  <c r="AJ145" i="1"/>
  <c r="AX144" i="1"/>
  <c r="AV144" i="1"/>
  <c r="AU144" i="1"/>
  <c r="AY145" i="1" s="1"/>
  <c r="AM144" i="1"/>
  <c r="AK144" i="1"/>
  <c r="AJ144" i="1"/>
  <c r="AN145" i="1" s="1"/>
  <c r="AX143" i="1"/>
  <c r="AV143" i="1"/>
  <c r="AU143" i="1"/>
  <c r="AM143" i="1"/>
  <c r="AK143" i="1"/>
  <c r="AJ143" i="1"/>
  <c r="AX142" i="1"/>
  <c r="AV142" i="1"/>
  <c r="AU142" i="1"/>
  <c r="AM142" i="1"/>
  <c r="AK142" i="1"/>
  <c r="AJ142" i="1"/>
  <c r="AN143" i="1" s="1"/>
  <c r="AX141" i="1"/>
  <c r="AV141" i="1"/>
  <c r="AU141" i="1"/>
  <c r="AY142" i="1" s="1"/>
  <c r="AM141" i="1"/>
  <c r="AK141" i="1"/>
  <c r="AJ141" i="1"/>
  <c r="AX140" i="1"/>
  <c r="AV140" i="1"/>
  <c r="AU140" i="1"/>
  <c r="AY141" i="1" s="1"/>
  <c r="AM140" i="1"/>
  <c r="AK140" i="1"/>
  <c r="AJ140" i="1"/>
  <c r="AN141" i="1" s="1"/>
  <c r="AX139" i="1"/>
  <c r="AV139" i="1"/>
  <c r="AU139" i="1"/>
  <c r="AM139" i="1"/>
  <c r="AK139" i="1"/>
  <c r="AJ139" i="1"/>
  <c r="AN140" i="1" s="1"/>
  <c r="AX138" i="1"/>
  <c r="AV138" i="1"/>
  <c r="AU138" i="1"/>
  <c r="AY139" i="1" s="1"/>
  <c r="AM138" i="1"/>
  <c r="AK138" i="1"/>
  <c r="AJ138" i="1"/>
  <c r="AN139" i="1" s="1"/>
  <c r="AX137" i="1"/>
  <c r="AV137" i="1"/>
  <c r="AU137" i="1"/>
  <c r="AM137" i="1"/>
  <c r="AK137" i="1"/>
  <c r="AJ137" i="1"/>
  <c r="AN138" i="1" s="1"/>
  <c r="AX136" i="1"/>
  <c r="AV136" i="1"/>
  <c r="AU136" i="1"/>
  <c r="AM136" i="1"/>
  <c r="AK136" i="1"/>
  <c r="AJ136" i="1"/>
  <c r="AN137" i="1" s="1"/>
  <c r="AX135" i="1"/>
  <c r="AV135" i="1"/>
  <c r="AU135" i="1"/>
  <c r="AY136" i="1" s="1"/>
  <c r="AM135" i="1"/>
  <c r="AK135" i="1"/>
  <c r="AJ135" i="1"/>
  <c r="AX134" i="1"/>
  <c r="AV134" i="1"/>
  <c r="AU134" i="1"/>
  <c r="AM134" i="1"/>
  <c r="AK134" i="1"/>
  <c r="AJ134" i="1"/>
  <c r="AN135" i="1" s="1"/>
  <c r="AX133" i="1"/>
  <c r="AV133" i="1"/>
  <c r="AU133" i="1"/>
  <c r="AY134" i="1" s="1"/>
  <c r="AM133" i="1"/>
  <c r="AK133" i="1"/>
  <c r="AJ133" i="1"/>
  <c r="AN134" i="1" s="1"/>
  <c r="AX132" i="1"/>
  <c r="AV132" i="1"/>
  <c r="AU132" i="1"/>
  <c r="AM132" i="1"/>
  <c r="AK132" i="1"/>
  <c r="AJ132" i="1"/>
  <c r="AN133" i="1" s="1"/>
  <c r="AX131" i="1"/>
  <c r="AV131" i="1"/>
  <c r="AU131" i="1"/>
  <c r="AY132" i="1" s="1"/>
  <c r="AM131" i="1"/>
  <c r="AK131" i="1"/>
  <c r="AJ131" i="1"/>
  <c r="AX130" i="1"/>
  <c r="AV130" i="1"/>
  <c r="AU130" i="1"/>
  <c r="AY131" i="1" s="1"/>
  <c r="AM130" i="1"/>
  <c r="AK130" i="1"/>
  <c r="AJ130" i="1"/>
  <c r="AX129" i="1"/>
  <c r="AV129" i="1"/>
  <c r="AU129" i="1"/>
  <c r="AY130" i="1" s="1"/>
  <c r="AM129" i="1"/>
  <c r="AK129" i="1"/>
  <c r="AJ129" i="1"/>
  <c r="AN130" i="1" s="1"/>
  <c r="AX128" i="1"/>
  <c r="AV128" i="1"/>
  <c r="AU128" i="1"/>
  <c r="AM128" i="1"/>
  <c r="AK128" i="1"/>
  <c r="AJ128" i="1"/>
  <c r="AN129" i="1" s="1"/>
  <c r="AX127" i="1"/>
  <c r="AV127" i="1"/>
  <c r="AU127" i="1"/>
  <c r="AY128" i="1" s="1"/>
  <c r="AM127" i="1"/>
  <c r="AK127" i="1"/>
  <c r="AJ127" i="1"/>
  <c r="AX126" i="1"/>
  <c r="AV126" i="1"/>
  <c r="AU126" i="1"/>
  <c r="AM126" i="1"/>
  <c r="AK126" i="1"/>
  <c r="AJ126" i="1"/>
  <c r="AN127" i="1" s="1"/>
  <c r="AX125" i="1"/>
  <c r="AV125" i="1"/>
  <c r="AU125" i="1"/>
  <c r="AM125" i="1"/>
  <c r="AK125" i="1"/>
  <c r="AJ125" i="1"/>
  <c r="AN126" i="1" s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N124" i="1" s="1"/>
  <c r="AX122" i="1"/>
  <c r="AV122" i="1"/>
  <c r="AU122" i="1"/>
  <c r="AY123" i="1" s="1"/>
  <c r="AM122" i="1"/>
  <c r="AK122" i="1"/>
  <c r="AJ122" i="1"/>
  <c r="AN123" i="1" s="1"/>
  <c r="AX121" i="1"/>
  <c r="AV121" i="1"/>
  <c r="AU121" i="1"/>
  <c r="AM121" i="1"/>
  <c r="AK121" i="1"/>
  <c r="AJ121" i="1"/>
  <c r="AN122" i="1" s="1"/>
  <c r="AX120" i="1"/>
  <c r="AV120" i="1"/>
  <c r="AU120" i="1"/>
  <c r="AY121" i="1" s="1"/>
  <c r="AM120" i="1"/>
  <c r="AK120" i="1"/>
  <c r="AJ120" i="1"/>
  <c r="AX119" i="1"/>
  <c r="AV119" i="1"/>
  <c r="AU119" i="1"/>
  <c r="AY120" i="1" s="1"/>
  <c r="AM119" i="1"/>
  <c r="AK119" i="1"/>
  <c r="AJ119" i="1"/>
  <c r="AX118" i="1"/>
  <c r="AV118" i="1"/>
  <c r="AU118" i="1"/>
  <c r="AY119" i="1" s="1"/>
  <c r="AM118" i="1"/>
  <c r="AK118" i="1"/>
  <c r="AJ118" i="1"/>
  <c r="AX117" i="1"/>
  <c r="AV117" i="1"/>
  <c r="AU117" i="1"/>
  <c r="AY118" i="1" s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N117" i="1" s="1"/>
  <c r="AX115" i="1"/>
  <c r="AV115" i="1"/>
  <c r="AU115" i="1"/>
  <c r="AM115" i="1"/>
  <c r="AK115" i="1"/>
  <c r="AJ115" i="1"/>
  <c r="AN116" i="1" s="1"/>
  <c r="AX114" i="1"/>
  <c r="AV114" i="1"/>
  <c r="AU114" i="1"/>
  <c r="AY115" i="1" s="1"/>
  <c r="AM114" i="1"/>
  <c r="AK114" i="1"/>
  <c r="AJ114" i="1"/>
  <c r="AN115" i="1" s="1"/>
  <c r="AX113" i="1"/>
  <c r="AV113" i="1"/>
  <c r="AU113" i="1"/>
  <c r="AY114" i="1" s="1"/>
  <c r="AM113" i="1"/>
  <c r="AK113" i="1"/>
  <c r="AJ113" i="1"/>
  <c r="AN114" i="1" s="1"/>
  <c r="AX112" i="1"/>
  <c r="AV112" i="1"/>
  <c r="AU112" i="1"/>
  <c r="AY113" i="1" s="1"/>
  <c r="AM112" i="1"/>
  <c r="AK112" i="1"/>
  <c r="AJ112" i="1"/>
  <c r="AX111" i="1"/>
  <c r="AV111" i="1"/>
  <c r="AU111" i="1"/>
  <c r="AY112" i="1" s="1"/>
  <c r="AM111" i="1"/>
  <c r="AK111" i="1"/>
  <c r="AJ111" i="1"/>
  <c r="AN112" i="1" s="1"/>
  <c r="AX110" i="1"/>
  <c r="AV110" i="1"/>
  <c r="AU110" i="1"/>
  <c r="AY111" i="1" s="1"/>
  <c r="AM110" i="1"/>
  <c r="AK110" i="1"/>
  <c r="AJ110" i="1"/>
  <c r="AN111" i="1" s="1"/>
  <c r="AX109" i="1"/>
  <c r="AV109" i="1"/>
  <c r="AU109" i="1"/>
  <c r="AM109" i="1"/>
  <c r="AK109" i="1"/>
  <c r="AJ109" i="1"/>
  <c r="AN110" i="1" s="1"/>
  <c r="AX108" i="1"/>
  <c r="AV108" i="1"/>
  <c r="AU108" i="1"/>
  <c r="AY109" i="1" s="1"/>
  <c r="AM108" i="1"/>
  <c r="AK108" i="1"/>
  <c r="AJ108" i="1"/>
  <c r="AX107" i="1"/>
  <c r="AV107" i="1"/>
  <c r="AU107" i="1"/>
  <c r="AM107" i="1"/>
  <c r="AK107" i="1"/>
  <c r="AJ107" i="1"/>
  <c r="AN108" i="1" s="1"/>
  <c r="AX106" i="1"/>
  <c r="AV106" i="1"/>
  <c r="AU106" i="1"/>
  <c r="AY107" i="1" s="1"/>
  <c r="AM106" i="1"/>
  <c r="AK106" i="1"/>
  <c r="AJ106" i="1"/>
  <c r="AX105" i="1"/>
  <c r="AV105" i="1"/>
  <c r="AU105" i="1"/>
  <c r="AY106" i="1" s="1"/>
  <c r="AM105" i="1"/>
  <c r="AK105" i="1"/>
  <c r="AJ105" i="1"/>
  <c r="AN106" i="1" s="1"/>
  <c r="AX104" i="1"/>
  <c r="AV104" i="1"/>
  <c r="AU104" i="1"/>
  <c r="AY105" i="1" s="1"/>
  <c r="AM104" i="1"/>
  <c r="AK104" i="1"/>
  <c r="AJ104" i="1"/>
  <c r="AX103" i="1"/>
  <c r="AV103" i="1"/>
  <c r="AU103" i="1"/>
  <c r="AM103" i="1"/>
  <c r="AK103" i="1"/>
  <c r="AJ103" i="1"/>
  <c r="AN104" i="1" s="1"/>
  <c r="AX102" i="1"/>
  <c r="AV102" i="1"/>
  <c r="AU102" i="1"/>
  <c r="AY103" i="1" s="1"/>
  <c r="AM102" i="1"/>
  <c r="AK102" i="1"/>
  <c r="AJ102" i="1"/>
  <c r="AX101" i="1"/>
  <c r="AV101" i="1"/>
  <c r="AU101" i="1"/>
  <c r="AY102" i="1" s="1"/>
  <c r="AM101" i="1"/>
  <c r="AK101" i="1"/>
  <c r="AJ101" i="1"/>
  <c r="AX100" i="1"/>
  <c r="AV100" i="1"/>
  <c r="AU100" i="1"/>
  <c r="AM100" i="1"/>
  <c r="AK100" i="1"/>
  <c r="AJ100" i="1"/>
  <c r="AN101" i="1" s="1"/>
  <c r="AX99" i="1"/>
  <c r="AV99" i="1"/>
  <c r="AU99" i="1"/>
  <c r="AY100" i="1" s="1"/>
  <c r="AM99" i="1"/>
  <c r="AK99" i="1"/>
  <c r="AJ99" i="1"/>
  <c r="AN100" i="1" s="1"/>
  <c r="AX98" i="1"/>
  <c r="AV98" i="1"/>
  <c r="AU98" i="1"/>
  <c r="AY99" i="1" s="1"/>
  <c r="AM98" i="1"/>
  <c r="AK98" i="1"/>
  <c r="AJ98" i="1"/>
  <c r="AN99" i="1" s="1"/>
  <c r="AX97" i="1"/>
  <c r="AV97" i="1"/>
  <c r="AU97" i="1"/>
  <c r="AY98" i="1" s="1"/>
  <c r="AM97" i="1"/>
  <c r="AK97" i="1"/>
  <c r="AJ97" i="1"/>
  <c r="AN98" i="1" s="1"/>
  <c r="AX96" i="1"/>
  <c r="AV96" i="1"/>
  <c r="AU96" i="1"/>
  <c r="AM96" i="1"/>
  <c r="AK96" i="1"/>
  <c r="AJ96" i="1"/>
  <c r="AN97" i="1" s="1"/>
  <c r="AX95" i="1"/>
  <c r="AV95" i="1"/>
  <c r="AU95" i="1"/>
  <c r="AY96" i="1" s="1"/>
  <c r="AM95" i="1"/>
  <c r="AK95" i="1"/>
  <c r="AJ95" i="1"/>
  <c r="AX94" i="1"/>
  <c r="AV94" i="1"/>
  <c r="AU94" i="1"/>
  <c r="AY95" i="1" s="1"/>
  <c r="AM94" i="1"/>
  <c r="AK94" i="1"/>
  <c r="AJ94" i="1"/>
  <c r="AX93" i="1"/>
  <c r="AV93" i="1"/>
  <c r="AU93" i="1"/>
  <c r="AY94" i="1" s="1"/>
  <c r="AM93" i="1"/>
  <c r="AK93" i="1"/>
  <c r="AJ93" i="1"/>
  <c r="AN94" i="1" s="1"/>
  <c r="AX92" i="1"/>
  <c r="AV92" i="1"/>
  <c r="AU92" i="1"/>
  <c r="AY93" i="1" s="1"/>
  <c r="AM92" i="1"/>
  <c r="AK92" i="1"/>
  <c r="AJ92" i="1"/>
  <c r="AN93" i="1" s="1"/>
  <c r="AX91" i="1"/>
  <c r="AV91" i="1"/>
  <c r="AU91" i="1"/>
  <c r="AM91" i="1"/>
  <c r="AK91" i="1"/>
  <c r="AJ91" i="1"/>
  <c r="AN92" i="1" s="1"/>
  <c r="AX90" i="1"/>
  <c r="AV90" i="1"/>
  <c r="AU90" i="1"/>
  <c r="AY91" i="1" s="1"/>
  <c r="AM90" i="1"/>
  <c r="AK90" i="1"/>
  <c r="AJ90" i="1"/>
  <c r="AX89" i="1"/>
  <c r="AV89" i="1"/>
  <c r="AU89" i="1"/>
  <c r="AY90" i="1" s="1"/>
  <c r="AM89" i="1"/>
  <c r="AK89" i="1"/>
  <c r="AJ89" i="1"/>
  <c r="AX88" i="1"/>
  <c r="AV88" i="1"/>
  <c r="AU88" i="1"/>
  <c r="AY89" i="1" s="1"/>
  <c r="AM88" i="1"/>
  <c r="AK88" i="1"/>
  <c r="AJ88" i="1"/>
  <c r="AX87" i="1"/>
  <c r="AV87" i="1"/>
  <c r="AU87" i="1"/>
  <c r="AY88" i="1" s="1"/>
  <c r="AM87" i="1"/>
  <c r="AK87" i="1"/>
  <c r="AJ87" i="1"/>
  <c r="AX86" i="1"/>
  <c r="AV86" i="1"/>
  <c r="AU86" i="1"/>
  <c r="AY87" i="1" s="1"/>
  <c r="AM86" i="1"/>
  <c r="AK86" i="1"/>
  <c r="AJ86" i="1"/>
  <c r="AX85" i="1"/>
  <c r="AV85" i="1"/>
  <c r="AU85" i="1"/>
  <c r="AY86" i="1" s="1"/>
  <c r="AM85" i="1"/>
  <c r="AK85" i="1"/>
  <c r="AJ85" i="1"/>
  <c r="AN86" i="1" s="1"/>
  <c r="AX84" i="1"/>
  <c r="AV84" i="1"/>
  <c r="AU84" i="1"/>
  <c r="AM84" i="1"/>
  <c r="AK84" i="1"/>
  <c r="AJ84" i="1"/>
  <c r="AN85" i="1" s="1"/>
  <c r="AX83" i="1"/>
  <c r="AV83" i="1"/>
  <c r="AU83" i="1"/>
  <c r="AM83" i="1"/>
  <c r="AK83" i="1"/>
  <c r="AJ83" i="1"/>
  <c r="AN84" i="1" s="1"/>
  <c r="AX82" i="1"/>
  <c r="AV82" i="1"/>
  <c r="AU82" i="1"/>
  <c r="AY83" i="1" s="1"/>
  <c r="AM82" i="1"/>
  <c r="AK82" i="1"/>
  <c r="AJ82" i="1"/>
  <c r="AX81" i="1"/>
  <c r="AV81" i="1"/>
  <c r="AU81" i="1"/>
  <c r="AY82" i="1" s="1"/>
  <c r="AM81" i="1"/>
  <c r="AK81" i="1"/>
  <c r="AJ81" i="1"/>
  <c r="AN82" i="1" s="1"/>
  <c r="AX80" i="1"/>
  <c r="AV80" i="1"/>
  <c r="AU80" i="1"/>
  <c r="AY81" i="1" s="1"/>
  <c r="AM80" i="1"/>
  <c r="AK80" i="1"/>
  <c r="AJ80" i="1"/>
  <c r="AN81" i="1" s="1"/>
  <c r="AX79" i="1"/>
  <c r="AV79" i="1"/>
  <c r="AU79" i="1"/>
  <c r="AY80" i="1" s="1"/>
  <c r="AM79" i="1"/>
  <c r="AK79" i="1"/>
  <c r="AJ79" i="1"/>
  <c r="AN80" i="1" s="1"/>
  <c r="AX78" i="1"/>
  <c r="AV78" i="1"/>
  <c r="AU78" i="1"/>
  <c r="AY79" i="1" s="1"/>
  <c r="AM78" i="1"/>
  <c r="AK78" i="1"/>
  <c r="AJ78" i="1"/>
  <c r="AX77" i="1"/>
  <c r="AV77" i="1"/>
  <c r="AU77" i="1"/>
  <c r="AY78" i="1" s="1"/>
  <c r="AM77" i="1"/>
  <c r="AK77" i="1"/>
  <c r="AJ77" i="1"/>
  <c r="AX76" i="1"/>
  <c r="AV76" i="1"/>
  <c r="AU76" i="1"/>
  <c r="AY77" i="1" s="1"/>
  <c r="AM76" i="1"/>
  <c r="AK76" i="1"/>
  <c r="AJ76" i="1"/>
  <c r="AN77" i="1" s="1"/>
  <c r="AX75" i="1"/>
  <c r="AV75" i="1"/>
  <c r="AU75" i="1"/>
  <c r="AY76" i="1" s="1"/>
  <c r="AM75" i="1"/>
  <c r="AK75" i="1"/>
  <c r="AJ75" i="1"/>
  <c r="AN76" i="1" s="1"/>
  <c r="AX74" i="1"/>
  <c r="AV74" i="1"/>
  <c r="AU74" i="1"/>
  <c r="AM74" i="1"/>
  <c r="AK74" i="1"/>
  <c r="AJ74" i="1"/>
  <c r="AX73" i="1"/>
  <c r="AV73" i="1"/>
  <c r="AU73" i="1"/>
  <c r="AY74" i="1" s="1"/>
  <c r="AM73" i="1"/>
  <c r="AK73" i="1"/>
  <c r="AJ73" i="1"/>
  <c r="AX72" i="1"/>
  <c r="AV72" i="1"/>
  <c r="AU72" i="1"/>
  <c r="AY73" i="1" s="1"/>
  <c r="AM72" i="1"/>
  <c r="AK72" i="1"/>
  <c r="AJ72" i="1"/>
  <c r="AX71" i="1"/>
  <c r="AV71" i="1"/>
  <c r="AU71" i="1"/>
  <c r="AY72" i="1" s="1"/>
  <c r="AM71" i="1"/>
  <c r="AK71" i="1"/>
  <c r="AJ71" i="1"/>
  <c r="AN72" i="1" s="1"/>
  <c r="AX70" i="1"/>
  <c r="AV70" i="1"/>
  <c r="AU70" i="1"/>
  <c r="AY71" i="1" s="1"/>
  <c r="AM70" i="1"/>
  <c r="AK70" i="1"/>
  <c r="AJ70" i="1"/>
  <c r="AX69" i="1"/>
  <c r="AV69" i="1"/>
  <c r="AU69" i="1"/>
  <c r="AY70" i="1" s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Y68" i="1" s="1"/>
  <c r="AM67" i="1"/>
  <c r="AK67" i="1"/>
  <c r="AJ67" i="1"/>
  <c r="AN68" i="1" s="1"/>
  <c r="AX66" i="1"/>
  <c r="AV66" i="1"/>
  <c r="AU66" i="1"/>
  <c r="AM66" i="1"/>
  <c r="AK66" i="1"/>
  <c r="AJ66" i="1"/>
  <c r="AN67" i="1" s="1"/>
  <c r="AX65" i="1"/>
  <c r="AV65" i="1"/>
  <c r="AU65" i="1"/>
  <c r="AM65" i="1"/>
  <c r="AK65" i="1"/>
  <c r="AJ65" i="1"/>
  <c r="AN66" i="1" s="1"/>
  <c r="AX64" i="1"/>
  <c r="AV64" i="1"/>
  <c r="AU64" i="1"/>
  <c r="AM64" i="1"/>
  <c r="AK64" i="1"/>
  <c r="AJ64" i="1"/>
  <c r="AN65" i="1" s="1"/>
  <c r="AX63" i="1"/>
  <c r="AV63" i="1"/>
  <c r="AU63" i="1"/>
  <c r="AY64" i="1" s="1"/>
  <c r="AM63" i="1"/>
  <c r="AK63" i="1"/>
  <c r="AJ63" i="1"/>
  <c r="AN64" i="1" s="1"/>
  <c r="AX62" i="1"/>
  <c r="AV62" i="1"/>
  <c r="AU62" i="1"/>
  <c r="AY63" i="1" s="1"/>
  <c r="AM62" i="1"/>
  <c r="AK62" i="1"/>
  <c r="AJ62" i="1"/>
  <c r="AN63" i="1" s="1"/>
  <c r="AX61" i="1"/>
  <c r="AV61" i="1"/>
  <c r="AU61" i="1"/>
  <c r="AY62" i="1" s="1"/>
  <c r="AM61" i="1"/>
  <c r="AK61" i="1"/>
  <c r="AJ61" i="1"/>
  <c r="AX60" i="1"/>
  <c r="AV60" i="1"/>
  <c r="AU60" i="1"/>
  <c r="AY61" i="1" s="1"/>
  <c r="AM60" i="1"/>
  <c r="AK60" i="1"/>
  <c r="AJ60" i="1"/>
  <c r="AX59" i="1"/>
  <c r="AV59" i="1"/>
  <c r="AU59" i="1"/>
  <c r="AY60" i="1" s="1"/>
  <c r="AM59" i="1"/>
  <c r="AK59" i="1"/>
  <c r="AJ59" i="1"/>
  <c r="AN60" i="1" s="1"/>
  <c r="AX58" i="1"/>
  <c r="AV58" i="1"/>
  <c r="AU58" i="1"/>
  <c r="AY59" i="1" s="1"/>
  <c r="AM58" i="1"/>
  <c r="AK58" i="1"/>
  <c r="AJ58" i="1"/>
  <c r="AX57" i="1"/>
  <c r="AV57" i="1"/>
  <c r="AU57" i="1"/>
  <c r="AM57" i="1"/>
  <c r="AK57" i="1"/>
  <c r="AJ57" i="1"/>
  <c r="AN58" i="1" s="1"/>
  <c r="AX56" i="1"/>
  <c r="AV56" i="1"/>
  <c r="AU56" i="1"/>
  <c r="AY57" i="1" s="1"/>
  <c r="AM56" i="1"/>
  <c r="AK56" i="1"/>
  <c r="AJ56" i="1"/>
  <c r="AN57" i="1" s="1"/>
  <c r="AX55" i="1"/>
  <c r="AV55" i="1"/>
  <c r="AU55" i="1"/>
  <c r="AY56" i="1" s="1"/>
  <c r="AM55" i="1"/>
  <c r="AK55" i="1"/>
  <c r="AJ55" i="1"/>
  <c r="AN56" i="1" s="1"/>
  <c r="AX54" i="1"/>
  <c r="AV54" i="1"/>
  <c r="AU54" i="1"/>
  <c r="AM54" i="1"/>
  <c r="AK54" i="1"/>
  <c r="AJ54" i="1"/>
  <c r="AN55" i="1" s="1"/>
  <c r="AX53" i="1"/>
  <c r="AV53" i="1"/>
  <c r="AU53" i="1"/>
  <c r="AM53" i="1"/>
  <c r="AK53" i="1"/>
  <c r="AJ53" i="1"/>
  <c r="AN54" i="1" s="1"/>
  <c r="AX52" i="1"/>
  <c r="AV52" i="1"/>
  <c r="AU52" i="1"/>
  <c r="AY53" i="1" s="1"/>
  <c r="AM52" i="1"/>
  <c r="AK52" i="1"/>
  <c r="AJ52" i="1"/>
  <c r="AN53" i="1" s="1"/>
  <c r="AX51" i="1"/>
  <c r="AV51" i="1"/>
  <c r="AU51" i="1"/>
  <c r="AY52" i="1" s="1"/>
  <c r="AM51" i="1"/>
  <c r="AK51" i="1"/>
  <c r="AJ51" i="1"/>
  <c r="AN52" i="1" s="1"/>
  <c r="AX50" i="1"/>
  <c r="AV50" i="1"/>
  <c r="AU50" i="1"/>
  <c r="AY51" i="1" s="1"/>
  <c r="AM50" i="1"/>
  <c r="AK50" i="1"/>
  <c r="AJ50" i="1"/>
  <c r="AN51" i="1" s="1"/>
  <c r="AX49" i="1"/>
  <c r="AV49" i="1"/>
  <c r="AU49" i="1"/>
  <c r="AY50" i="1" s="1"/>
  <c r="AM49" i="1"/>
  <c r="AK49" i="1"/>
  <c r="AJ49" i="1"/>
  <c r="AN50" i="1" s="1"/>
  <c r="AX48" i="1"/>
  <c r="AV48" i="1"/>
  <c r="AU48" i="1"/>
  <c r="AM48" i="1"/>
  <c r="AK48" i="1"/>
  <c r="AJ48" i="1"/>
  <c r="AN49" i="1" s="1"/>
  <c r="AX47" i="1"/>
  <c r="AV47" i="1"/>
  <c r="AU47" i="1"/>
  <c r="AY48" i="1" s="1"/>
  <c r="AM47" i="1"/>
  <c r="AK47" i="1"/>
  <c r="AJ47" i="1"/>
  <c r="AN48" i="1" s="1"/>
  <c r="AX46" i="1"/>
  <c r="AV46" i="1"/>
  <c r="AU46" i="1"/>
  <c r="AY47" i="1" s="1"/>
  <c r="AM46" i="1"/>
  <c r="AK46" i="1"/>
  <c r="AJ46" i="1"/>
  <c r="AN47" i="1" s="1"/>
  <c r="AX45" i="1"/>
  <c r="AV45" i="1"/>
  <c r="AU45" i="1"/>
  <c r="AY46" i="1" s="1"/>
  <c r="AM45" i="1"/>
  <c r="AK45" i="1"/>
  <c r="AJ45" i="1"/>
  <c r="AX44" i="1"/>
  <c r="AV44" i="1"/>
  <c r="AU44" i="1"/>
  <c r="AY45" i="1" s="1"/>
  <c r="AM44" i="1"/>
  <c r="AK44" i="1"/>
  <c r="AJ44" i="1"/>
  <c r="AN45" i="1" s="1"/>
  <c r="AX43" i="1"/>
  <c r="AV43" i="1"/>
  <c r="AU43" i="1"/>
  <c r="AY44" i="1" s="1"/>
  <c r="AM43" i="1"/>
  <c r="AK43" i="1"/>
  <c r="AJ43" i="1"/>
  <c r="AN44" i="1" s="1"/>
  <c r="AX42" i="1"/>
  <c r="AV42" i="1"/>
  <c r="AU42" i="1"/>
  <c r="AM42" i="1"/>
  <c r="AK42" i="1"/>
  <c r="AJ42" i="1"/>
  <c r="AN43" i="1" s="1"/>
  <c r="AX41" i="1"/>
  <c r="AV41" i="1"/>
  <c r="AU41" i="1"/>
  <c r="AY42" i="1" s="1"/>
  <c r="AM41" i="1"/>
  <c r="AK41" i="1"/>
  <c r="AJ41" i="1"/>
  <c r="AN42" i="1" s="1"/>
  <c r="AX40" i="1"/>
  <c r="AV40" i="1"/>
  <c r="AU40" i="1"/>
  <c r="AM40" i="1"/>
  <c r="AK40" i="1"/>
  <c r="AJ40" i="1"/>
  <c r="AN41" i="1" s="1"/>
  <c r="AX39" i="1"/>
  <c r="AV39" i="1"/>
  <c r="AU39" i="1"/>
  <c r="AM39" i="1"/>
  <c r="AK39" i="1"/>
  <c r="AJ39" i="1"/>
  <c r="AN40" i="1" s="1"/>
  <c r="AX38" i="1"/>
  <c r="AV38" i="1"/>
  <c r="AU38" i="1"/>
  <c r="AY39" i="1" s="1"/>
  <c r="AM38" i="1"/>
  <c r="AK38" i="1"/>
  <c r="AJ38" i="1"/>
  <c r="AN39" i="1" s="1"/>
  <c r="AX37" i="1"/>
  <c r="AV37" i="1"/>
  <c r="AU37" i="1"/>
  <c r="AY38" i="1" s="1"/>
  <c r="AM37" i="1"/>
  <c r="AK37" i="1"/>
  <c r="AJ37" i="1"/>
  <c r="AX36" i="1"/>
  <c r="AV36" i="1"/>
  <c r="AU36" i="1"/>
  <c r="AM36" i="1"/>
  <c r="AK36" i="1"/>
  <c r="AJ36" i="1"/>
  <c r="AN37" i="1" s="1"/>
  <c r="AX35" i="1"/>
  <c r="AV35" i="1"/>
  <c r="AU35" i="1"/>
  <c r="AY36" i="1" s="1"/>
  <c r="AM35" i="1"/>
  <c r="AK35" i="1"/>
  <c r="AJ35" i="1"/>
  <c r="AX34" i="1"/>
  <c r="AV34" i="1"/>
  <c r="AU34" i="1"/>
  <c r="AY35" i="1" s="1"/>
  <c r="AM34" i="1"/>
  <c r="AK34" i="1"/>
  <c r="AJ34" i="1"/>
  <c r="AX33" i="1"/>
  <c r="AV33" i="1"/>
  <c r="AU33" i="1"/>
  <c r="AY34" i="1" s="1"/>
  <c r="AM33" i="1"/>
  <c r="AK33" i="1"/>
  <c r="AJ33" i="1"/>
  <c r="AX32" i="1"/>
  <c r="AV32" i="1"/>
  <c r="AU32" i="1"/>
  <c r="AY33" i="1" s="1"/>
  <c r="AM32" i="1"/>
  <c r="AK32" i="1"/>
  <c r="AJ32" i="1"/>
  <c r="AN33" i="1" s="1"/>
  <c r="AX31" i="1"/>
  <c r="AV31" i="1"/>
  <c r="AU31" i="1"/>
  <c r="AY32" i="1" s="1"/>
  <c r="AM31" i="1"/>
  <c r="AK31" i="1"/>
  <c r="AJ31" i="1"/>
  <c r="AX30" i="1"/>
  <c r="AV30" i="1"/>
  <c r="AU30" i="1"/>
  <c r="AY31" i="1" s="1"/>
  <c r="AM30" i="1"/>
  <c r="AK30" i="1"/>
  <c r="AJ30" i="1"/>
  <c r="AN31" i="1" s="1"/>
  <c r="AX29" i="1"/>
  <c r="AV29" i="1"/>
  <c r="AU29" i="1"/>
  <c r="AM29" i="1"/>
  <c r="AK29" i="1"/>
  <c r="AJ29" i="1"/>
  <c r="AN30" i="1" s="1"/>
  <c r="AX28" i="1"/>
  <c r="AV28" i="1"/>
  <c r="AU28" i="1"/>
  <c r="AY29" i="1" s="1"/>
  <c r="AM28" i="1"/>
  <c r="AK28" i="1"/>
  <c r="AJ28" i="1"/>
  <c r="AX27" i="1"/>
  <c r="AV27" i="1"/>
  <c r="AU27" i="1"/>
  <c r="AY28" i="1" s="1"/>
  <c r="AM27" i="1"/>
  <c r="AK27" i="1"/>
  <c r="AJ27" i="1"/>
  <c r="AN28" i="1" s="1"/>
  <c r="AX26" i="1"/>
  <c r="AV26" i="1"/>
  <c r="AU26" i="1"/>
  <c r="AY27" i="1" s="1"/>
  <c r="AM26" i="1"/>
  <c r="AK26" i="1"/>
  <c r="AJ26" i="1"/>
  <c r="AX25" i="1"/>
  <c r="AV25" i="1"/>
  <c r="AU25" i="1"/>
  <c r="AM25" i="1"/>
  <c r="AK25" i="1"/>
  <c r="AJ25" i="1"/>
  <c r="AN26" i="1" s="1"/>
  <c r="AX24" i="1"/>
  <c r="AV24" i="1"/>
  <c r="AU24" i="1"/>
  <c r="AY25" i="1" s="1"/>
  <c r="AM24" i="1"/>
  <c r="AK24" i="1"/>
  <c r="AJ24" i="1"/>
  <c r="AN25" i="1" s="1"/>
  <c r="AX23" i="1"/>
  <c r="AV23" i="1"/>
  <c r="AU23" i="1"/>
  <c r="AM23" i="1"/>
  <c r="AK23" i="1"/>
  <c r="AJ23" i="1"/>
  <c r="AN24" i="1" s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08" i="1" l="1"/>
  <c r="AY143" i="1"/>
  <c r="AN167" i="1"/>
  <c r="AN164" i="1"/>
  <c r="AY144" i="1"/>
  <c r="AN75" i="1"/>
  <c r="BA176" i="1"/>
  <c r="AZ176" i="1"/>
  <c r="BB176" i="1" s="1"/>
  <c r="AW176" i="1"/>
  <c r="AL175" i="1"/>
  <c r="AN176" i="1" s="1"/>
  <c r="AO175" i="1"/>
  <c r="AP175" i="1"/>
  <c r="BA174" i="1"/>
  <c r="AZ174" i="1"/>
  <c r="BB174" i="1" s="1"/>
  <c r="AW174" i="1"/>
  <c r="AY175" i="1" s="1"/>
  <c r="BA173" i="1"/>
  <c r="AZ173" i="1"/>
  <c r="BB173" i="1" s="1"/>
  <c r="AW173" i="1"/>
  <c r="AL173" i="1"/>
  <c r="AN174" i="1" s="1"/>
  <c r="AO173" i="1"/>
  <c r="AP173" i="1"/>
  <c r="AZ172" i="1"/>
  <c r="BA172" i="1"/>
  <c r="AW172" i="1"/>
  <c r="AO171" i="1"/>
  <c r="AP171" i="1"/>
  <c r="AL171" i="1"/>
  <c r="AN172" i="1" s="1"/>
  <c r="BA170" i="1"/>
  <c r="AZ170" i="1"/>
  <c r="BB170" i="1" s="1"/>
  <c r="AW170" i="1"/>
  <c r="AY171" i="1" s="1"/>
  <c r="AO170" i="1"/>
  <c r="AL170" i="1"/>
  <c r="AP170" i="1"/>
  <c r="BA169" i="1"/>
  <c r="AW169" i="1"/>
  <c r="AZ169" i="1"/>
  <c r="BB169" i="1" s="1"/>
  <c r="AP169" i="1"/>
  <c r="AO169" i="1"/>
  <c r="AQ169" i="1" s="1"/>
  <c r="BE169" i="1" s="1"/>
  <c r="AL169" i="1"/>
  <c r="BA168" i="1"/>
  <c r="AZ168" i="1"/>
  <c r="BB168" i="1" s="1"/>
  <c r="AW168" i="1"/>
  <c r="AO168" i="1"/>
  <c r="AP168" i="1"/>
  <c r="AL168" i="1"/>
  <c r="AP167" i="1"/>
  <c r="AL167" i="1"/>
  <c r="AO167" i="1"/>
  <c r="AQ167" i="1" s="1"/>
  <c r="AL166" i="1"/>
  <c r="AP166" i="1"/>
  <c r="AO166" i="1"/>
  <c r="AQ166" i="1" s="1"/>
  <c r="AL165" i="1"/>
  <c r="AP165" i="1"/>
  <c r="AO165" i="1"/>
  <c r="AQ165" i="1" s="1"/>
  <c r="BA164" i="1"/>
  <c r="AW164" i="1"/>
  <c r="AY165" i="1" s="1"/>
  <c r="AZ164" i="1"/>
  <c r="BB164" i="1" s="1"/>
  <c r="AO164" i="1"/>
  <c r="AP164" i="1"/>
  <c r="AL164" i="1"/>
  <c r="AO163" i="1"/>
  <c r="AP163" i="1"/>
  <c r="AL163" i="1"/>
  <c r="BA162" i="1"/>
  <c r="AZ162" i="1"/>
  <c r="BB162" i="1" s="1"/>
  <c r="AW162" i="1"/>
  <c r="AY163" i="1" s="1"/>
  <c r="AO162" i="1"/>
  <c r="AP162" i="1"/>
  <c r="AL162" i="1"/>
  <c r="AP161" i="1"/>
  <c r="AL161" i="1"/>
  <c r="AO161" i="1"/>
  <c r="AQ161" i="1" s="1"/>
  <c r="AW160" i="1"/>
  <c r="AY161" i="1" s="1"/>
  <c r="AZ160" i="1"/>
  <c r="BA160" i="1"/>
  <c r="AW159" i="1"/>
  <c r="BA159" i="1"/>
  <c r="AZ159" i="1"/>
  <c r="BB159" i="1" s="1"/>
  <c r="AO159" i="1"/>
  <c r="AL159" i="1"/>
  <c r="AN160" i="1" s="1"/>
  <c r="AP159" i="1"/>
  <c r="AZ158" i="1"/>
  <c r="AW158" i="1"/>
  <c r="BA158" i="1"/>
  <c r="AP158" i="1"/>
  <c r="AL158" i="1"/>
  <c r="AO158" i="1"/>
  <c r="AQ158" i="1" s="1"/>
  <c r="BA157" i="1"/>
  <c r="AW157" i="1"/>
  <c r="AZ157" i="1"/>
  <c r="BB157" i="1" s="1"/>
  <c r="BA156" i="1"/>
  <c r="AW156" i="1"/>
  <c r="AZ156" i="1"/>
  <c r="BB156" i="1" s="1"/>
  <c r="AO156" i="1"/>
  <c r="AL156" i="1"/>
  <c r="AN157" i="1" s="1"/>
  <c r="AP156" i="1"/>
  <c r="AP155" i="1"/>
  <c r="AL155" i="1"/>
  <c r="AO155" i="1"/>
  <c r="AQ155" i="1" s="1"/>
  <c r="BA154" i="1"/>
  <c r="AW154" i="1"/>
  <c r="AY155" i="1" s="1"/>
  <c r="AZ154" i="1"/>
  <c r="BB154" i="1" s="1"/>
  <c r="AP154" i="1"/>
  <c r="AL154" i="1"/>
  <c r="AO154" i="1"/>
  <c r="AQ154" i="1" s="1"/>
  <c r="BE154" i="1" s="1"/>
  <c r="AL153" i="1"/>
  <c r="AP153" i="1"/>
  <c r="AO153" i="1"/>
  <c r="AQ153" i="1" s="1"/>
  <c r="BA152" i="1"/>
  <c r="AW152" i="1"/>
  <c r="AY153" i="1" s="1"/>
  <c r="AZ152" i="1"/>
  <c r="BB152" i="1" s="1"/>
  <c r="BA151" i="1"/>
  <c r="AW151" i="1"/>
  <c r="AZ151" i="1"/>
  <c r="BB151" i="1" s="1"/>
  <c r="AZ150" i="1"/>
  <c r="BA150" i="1"/>
  <c r="AW150" i="1"/>
  <c r="BA149" i="1"/>
  <c r="AW149" i="1"/>
  <c r="AZ149" i="1"/>
  <c r="BB149" i="1" s="1"/>
  <c r="AL149" i="1"/>
  <c r="AN150" i="1" s="1"/>
  <c r="AP149" i="1"/>
  <c r="AO149" i="1"/>
  <c r="AQ149" i="1" s="1"/>
  <c r="BE149" i="1" s="1"/>
  <c r="AZ148" i="1"/>
  <c r="AW148" i="1"/>
  <c r="BA148" i="1"/>
  <c r="AO148" i="1"/>
  <c r="AL148" i="1"/>
  <c r="AP148" i="1"/>
  <c r="AZ147" i="1"/>
  <c r="BA147" i="1"/>
  <c r="AW147" i="1"/>
  <c r="BA146" i="1"/>
  <c r="AZ146" i="1"/>
  <c r="BB146" i="1" s="1"/>
  <c r="AW146" i="1"/>
  <c r="AZ145" i="1"/>
  <c r="BA145" i="1"/>
  <c r="AW145" i="1"/>
  <c r="AO145" i="1"/>
  <c r="AP145" i="1"/>
  <c r="AL145" i="1"/>
  <c r="AN146" i="1" s="1"/>
  <c r="AZ144" i="1"/>
  <c r="BA144" i="1"/>
  <c r="AW144" i="1"/>
  <c r="AW143" i="1"/>
  <c r="AZ143" i="1"/>
  <c r="BA143" i="1"/>
  <c r="AP143" i="1"/>
  <c r="AL143" i="1"/>
  <c r="AN144" i="1" s="1"/>
  <c r="AO143" i="1"/>
  <c r="AQ143" i="1" s="1"/>
  <c r="AW142" i="1"/>
  <c r="AZ142" i="1"/>
  <c r="BA142" i="1"/>
  <c r="BA141" i="1"/>
  <c r="AW141" i="1"/>
  <c r="AZ141" i="1"/>
  <c r="BB141" i="1" s="1"/>
  <c r="AP140" i="1"/>
  <c r="AO140" i="1"/>
  <c r="AQ140" i="1" s="1"/>
  <c r="AL140" i="1"/>
  <c r="AL141" i="1"/>
  <c r="AN142" i="1" s="1"/>
  <c r="AO141" i="1"/>
  <c r="AP141" i="1"/>
  <c r="AZ139" i="1"/>
  <c r="AW139" i="1"/>
  <c r="AY140" i="1" s="1"/>
  <c r="BA139" i="1"/>
  <c r="AZ140" i="1"/>
  <c r="AW140" i="1"/>
  <c r="BA140" i="1"/>
  <c r="AO139" i="1"/>
  <c r="AP139" i="1"/>
  <c r="AL139" i="1"/>
  <c r="AO138" i="1"/>
  <c r="AP138" i="1"/>
  <c r="AL138" i="1"/>
  <c r="AO137" i="1"/>
  <c r="AP137" i="1"/>
  <c r="AL137" i="1"/>
  <c r="AZ136" i="1"/>
  <c r="BA136" i="1"/>
  <c r="AW136" i="1"/>
  <c r="AY137" i="1" s="1"/>
  <c r="AO135" i="1"/>
  <c r="AP135" i="1"/>
  <c r="AL135" i="1"/>
  <c r="AN136" i="1" s="1"/>
  <c r="AZ134" i="1"/>
  <c r="BA134" i="1"/>
  <c r="AW134" i="1"/>
  <c r="AY135" i="1" s="1"/>
  <c r="AO134" i="1"/>
  <c r="AP134" i="1"/>
  <c r="AL134" i="1"/>
  <c r="AO133" i="1"/>
  <c r="AP133" i="1"/>
  <c r="AL133" i="1"/>
  <c r="AZ132" i="1"/>
  <c r="BA132" i="1"/>
  <c r="AW132" i="1"/>
  <c r="AY133" i="1" s="1"/>
  <c r="AZ131" i="1"/>
  <c r="BA131" i="1"/>
  <c r="AW131" i="1"/>
  <c r="AZ130" i="1"/>
  <c r="BA130" i="1"/>
  <c r="AW130" i="1"/>
  <c r="AO130" i="1"/>
  <c r="AP130" i="1"/>
  <c r="AL130" i="1"/>
  <c r="AN131" i="1" s="1"/>
  <c r="AO129" i="1"/>
  <c r="AP129" i="1"/>
  <c r="AL129" i="1"/>
  <c r="AZ128" i="1"/>
  <c r="BA128" i="1"/>
  <c r="AW128" i="1"/>
  <c r="AY129" i="1" s="1"/>
  <c r="AO127" i="1"/>
  <c r="AP127" i="1"/>
  <c r="AL127" i="1"/>
  <c r="AN128" i="1" s="1"/>
  <c r="AO126" i="1"/>
  <c r="AP126" i="1"/>
  <c r="AL126" i="1"/>
  <c r="AZ125" i="1"/>
  <c r="BA125" i="1"/>
  <c r="AW125" i="1"/>
  <c r="AY126" i="1" s="1"/>
  <c r="AZ124" i="1"/>
  <c r="BA124" i="1"/>
  <c r="AW124" i="1"/>
  <c r="AO124" i="1"/>
  <c r="AP124" i="1"/>
  <c r="AL124" i="1"/>
  <c r="AN125" i="1" s="1"/>
  <c r="AZ123" i="1"/>
  <c r="BA123" i="1"/>
  <c r="AW123" i="1"/>
  <c r="AO123" i="1"/>
  <c r="AP123" i="1"/>
  <c r="AL123" i="1"/>
  <c r="AL122" i="1"/>
  <c r="AP122" i="1"/>
  <c r="AO122" i="1"/>
  <c r="AQ122" i="1" s="1"/>
  <c r="AZ121" i="1"/>
  <c r="AW121" i="1"/>
  <c r="AY122" i="1" s="1"/>
  <c r="BA121" i="1"/>
  <c r="BA120" i="1"/>
  <c r="AZ120" i="1"/>
  <c r="BB120" i="1" s="1"/>
  <c r="AW120" i="1"/>
  <c r="AZ119" i="1"/>
  <c r="AW119" i="1"/>
  <c r="BA119" i="1"/>
  <c r="BA118" i="1"/>
  <c r="AZ118" i="1"/>
  <c r="BB118" i="1" s="1"/>
  <c r="AW118" i="1"/>
  <c r="AP118" i="1"/>
  <c r="AL118" i="1"/>
  <c r="AN119" i="1" s="1"/>
  <c r="AO118" i="1"/>
  <c r="AQ118" i="1" s="1"/>
  <c r="BE118" i="1" s="1"/>
  <c r="AZ117" i="1"/>
  <c r="AW117" i="1"/>
  <c r="BA117" i="1"/>
  <c r="AP117" i="1"/>
  <c r="AL117" i="1"/>
  <c r="AO117" i="1"/>
  <c r="AQ117" i="1" s="1"/>
  <c r="AP116" i="1"/>
  <c r="AO116" i="1"/>
  <c r="AQ116" i="1" s="1"/>
  <c r="AL116" i="1"/>
  <c r="AW115" i="1"/>
  <c r="AY116" i="1" s="1"/>
  <c r="AZ115" i="1"/>
  <c r="BA115" i="1"/>
  <c r="AO115" i="1"/>
  <c r="AL115" i="1"/>
  <c r="AP115" i="1"/>
  <c r="BA114" i="1"/>
  <c r="AZ114" i="1"/>
  <c r="BB114" i="1" s="1"/>
  <c r="AW114" i="1"/>
  <c r="AL114" i="1"/>
  <c r="AP114" i="1"/>
  <c r="AO114" i="1"/>
  <c r="AQ114" i="1" s="1"/>
  <c r="BE114" i="1" s="1"/>
  <c r="AZ113" i="1"/>
  <c r="AW113" i="1"/>
  <c r="BA113" i="1"/>
  <c r="AZ112" i="1"/>
  <c r="AW112" i="1"/>
  <c r="BA112" i="1"/>
  <c r="AP112" i="1"/>
  <c r="AO112" i="1"/>
  <c r="AQ112" i="1" s="1"/>
  <c r="AL112" i="1"/>
  <c r="AN113" i="1" s="1"/>
  <c r="BA111" i="1"/>
  <c r="AZ111" i="1"/>
  <c r="BB111" i="1" s="1"/>
  <c r="AW111" i="1"/>
  <c r="AL111" i="1"/>
  <c r="AO111" i="1"/>
  <c r="AP111" i="1"/>
  <c r="AL110" i="1"/>
  <c r="AO110" i="1"/>
  <c r="AP110" i="1"/>
  <c r="AW109" i="1"/>
  <c r="AY110" i="1" s="1"/>
  <c r="BA109" i="1"/>
  <c r="AZ109" i="1"/>
  <c r="BB109" i="1" s="1"/>
  <c r="AZ108" i="1"/>
  <c r="BA108" i="1"/>
  <c r="AW108" i="1"/>
  <c r="AL108" i="1"/>
  <c r="AN109" i="1" s="1"/>
  <c r="AP108" i="1"/>
  <c r="AO108" i="1"/>
  <c r="AQ108" i="1" s="1"/>
  <c r="BA107" i="1"/>
  <c r="AZ107" i="1"/>
  <c r="BB107" i="1" s="1"/>
  <c r="AW107" i="1"/>
  <c r="AW106" i="1"/>
  <c r="AZ106" i="1"/>
  <c r="BA106" i="1"/>
  <c r="AO106" i="1"/>
  <c r="AL106" i="1"/>
  <c r="AN107" i="1" s="1"/>
  <c r="AP106" i="1"/>
  <c r="BA105" i="1"/>
  <c r="AW105" i="1"/>
  <c r="AZ105" i="1"/>
  <c r="BB105" i="1" s="1"/>
  <c r="AP104" i="1"/>
  <c r="AL104" i="1"/>
  <c r="AN105" i="1" s="1"/>
  <c r="AO104" i="1"/>
  <c r="AQ104" i="1" s="1"/>
  <c r="AW103" i="1"/>
  <c r="AY104" i="1" s="1"/>
  <c r="BA103" i="1"/>
  <c r="AZ103" i="1"/>
  <c r="BB103" i="1" s="1"/>
  <c r="BA102" i="1"/>
  <c r="AW102" i="1"/>
  <c r="AZ102" i="1"/>
  <c r="BB102" i="1" s="1"/>
  <c r="AO101" i="1"/>
  <c r="AP101" i="1"/>
  <c r="AL101" i="1"/>
  <c r="AN102" i="1" s="1"/>
  <c r="AZ100" i="1"/>
  <c r="BA100" i="1"/>
  <c r="AW100" i="1"/>
  <c r="AY101" i="1" s="1"/>
  <c r="AO100" i="1"/>
  <c r="AP100" i="1"/>
  <c r="AL100" i="1"/>
  <c r="AZ99" i="1"/>
  <c r="BA99" i="1"/>
  <c r="AW99" i="1"/>
  <c r="AO99" i="1"/>
  <c r="AP99" i="1"/>
  <c r="AL99" i="1"/>
  <c r="AZ98" i="1"/>
  <c r="BA98" i="1"/>
  <c r="AW98" i="1"/>
  <c r="AO98" i="1"/>
  <c r="AP98" i="1"/>
  <c r="AL98" i="1"/>
  <c r="AO97" i="1"/>
  <c r="AP97" i="1"/>
  <c r="AL97" i="1"/>
  <c r="AZ96" i="1"/>
  <c r="BA96" i="1"/>
  <c r="AW96" i="1"/>
  <c r="AY97" i="1" s="1"/>
  <c r="AZ95" i="1"/>
  <c r="BA95" i="1"/>
  <c r="AW95" i="1"/>
  <c r="AZ94" i="1"/>
  <c r="BA94" i="1"/>
  <c r="AW94" i="1"/>
  <c r="AO94" i="1"/>
  <c r="AP94" i="1"/>
  <c r="AL94" i="1"/>
  <c r="AN95" i="1" s="1"/>
  <c r="AZ93" i="1"/>
  <c r="BA93" i="1"/>
  <c r="AW93" i="1"/>
  <c r="AO93" i="1"/>
  <c r="AP93" i="1"/>
  <c r="AL93" i="1"/>
  <c r="AO92" i="1"/>
  <c r="AP92" i="1"/>
  <c r="AL92" i="1"/>
  <c r="AZ91" i="1"/>
  <c r="BA91" i="1"/>
  <c r="AW91" i="1"/>
  <c r="AY92" i="1" s="1"/>
  <c r="AZ90" i="1"/>
  <c r="BA90" i="1"/>
  <c r="AW90" i="1"/>
  <c r="AZ89" i="1"/>
  <c r="BA89" i="1"/>
  <c r="AW89" i="1"/>
  <c r="AZ88" i="1"/>
  <c r="BA88" i="1"/>
  <c r="AW88" i="1"/>
  <c r="AZ87" i="1"/>
  <c r="BA87" i="1"/>
  <c r="AW87" i="1"/>
  <c r="AZ86" i="1"/>
  <c r="BA86" i="1"/>
  <c r="AW86" i="1"/>
  <c r="AO86" i="1"/>
  <c r="AP86" i="1"/>
  <c r="AL86" i="1"/>
  <c r="AN87" i="1" s="1"/>
  <c r="AO85" i="1"/>
  <c r="AP85" i="1"/>
  <c r="AL85" i="1"/>
  <c r="AO84" i="1"/>
  <c r="AP84" i="1"/>
  <c r="AL84" i="1"/>
  <c r="AZ83" i="1"/>
  <c r="BA83" i="1"/>
  <c r="AW83" i="1"/>
  <c r="AY84" i="1" s="1"/>
  <c r="AZ82" i="1"/>
  <c r="BA82" i="1"/>
  <c r="AW82" i="1"/>
  <c r="AO82" i="1"/>
  <c r="AP82" i="1"/>
  <c r="AL82" i="1"/>
  <c r="AN83" i="1" s="1"/>
  <c r="AZ81" i="1"/>
  <c r="BA81" i="1"/>
  <c r="AW81" i="1"/>
  <c r="AO81" i="1"/>
  <c r="AP81" i="1"/>
  <c r="AL81" i="1"/>
  <c r="AZ80" i="1"/>
  <c r="BA80" i="1"/>
  <c r="AW80" i="1"/>
  <c r="AO80" i="1"/>
  <c r="AP80" i="1"/>
  <c r="AL80" i="1"/>
  <c r="AZ79" i="1"/>
  <c r="BA79" i="1"/>
  <c r="AW79" i="1"/>
  <c r="AZ78" i="1"/>
  <c r="BA78" i="1"/>
  <c r="AW78" i="1"/>
  <c r="AZ77" i="1"/>
  <c r="BA77" i="1"/>
  <c r="AW77" i="1"/>
  <c r="AO77" i="1"/>
  <c r="AP77" i="1"/>
  <c r="AL77" i="1"/>
  <c r="AN78" i="1" s="1"/>
  <c r="AZ76" i="1"/>
  <c r="BA76" i="1"/>
  <c r="AW76" i="1"/>
  <c r="AO76" i="1"/>
  <c r="AP76" i="1"/>
  <c r="AL76" i="1"/>
  <c r="AO75" i="1"/>
  <c r="AP75" i="1"/>
  <c r="AL75" i="1"/>
  <c r="AZ74" i="1"/>
  <c r="BA74" i="1"/>
  <c r="AW74" i="1"/>
  <c r="AY75" i="1" s="1"/>
  <c r="AZ73" i="1"/>
  <c r="BA73" i="1"/>
  <c r="AW73" i="1"/>
  <c r="AZ72" i="1"/>
  <c r="BA72" i="1"/>
  <c r="AW72" i="1"/>
  <c r="AO72" i="1"/>
  <c r="AP72" i="1"/>
  <c r="AL72" i="1"/>
  <c r="AN73" i="1" s="1"/>
  <c r="AZ71" i="1"/>
  <c r="BA71" i="1"/>
  <c r="AW71" i="1"/>
  <c r="BA70" i="1"/>
  <c r="AW70" i="1"/>
  <c r="AZ70" i="1"/>
  <c r="BB70" i="1" s="1"/>
  <c r="AW69" i="1"/>
  <c r="AZ69" i="1"/>
  <c r="BA69" i="1"/>
  <c r="AW68" i="1"/>
  <c r="BA68" i="1"/>
  <c r="AZ68" i="1"/>
  <c r="BB68" i="1" s="1"/>
  <c r="AP68" i="1"/>
  <c r="AO68" i="1"/>
  <c r="AQ68" i="1" s="1"/>
  <c r="BE68" i="1" s="1"/>
  <c r="AL68" i="1"/>
  <c r="AN69" i="1" s="1"/>
  <c r="AL67" i="1"/>
  <c r="AP67" i="1"/>
  <c r="AO67" i="1"/>
  <c r="AQ67" i="1" s="1"/>
  <c r="AO66" i="1"/>
  <c r="AL66" i="1"/>
  <c r="AP66" i="1"/>
  <c r="AW64" i="1"/>
  <c r="AY65" i="1" s="1"/>
  <c r="BA64" i="1"/>
  <c r="AZ64" i="1"/>
  <c r="BB64" i="1" s="1"/>
  <c r="BA65" i="1"/>
  <c r="AL64" i="1"/>
  <c r="AO64" i="1"/>
  <c r="AP64" i="1"/>
  <c r="AP65" i="1"/>
  <c r="AL65" i="1"/>
  <c r="AO65" i="1"/>
  <c r="AQ65" i="1" s="1"/>
  <c r="AZ63" i="1"/>
  <c r="BB63" i="1" s="1"/>
  <c r="BA63" i="1"/>
  <c r="AW63" i="1"/>
  <c r="AO63" i="1"/>
  <c r="AP63" i="1"/>
  <c r="AL63" i="1"/>
  <c r="AZ62" i="1"/>
  <c r="BA62" i="1"/>
  <c r="AW62" i="1"/>
  <c r="AZ61" i="1"/>
  <c r="BB61" i="1" s="1"/>
  <c r="BA61" i="1"/>
  <c r="AW61" i="1"/>
  <c r="AZ60" i="1"/>
  <c r="BB60" i="1" s="1"/>
  <c r="BA60" i="1"/>
  <c r="AW60" i="1"/>
  <c r="AO60" i="1"/>
  <c r="AQ60" i="1" s="1"/>
  <c r="BE60" i="1" s="1"/>
  <c r="AP60" i="1"/>
  <c r="AL60" i="1"/>
  <c r="AN61" i="1" s="1"/>
  <c r="AZ59" i="1"/>
  <c r="BB59" i="1" s="1"/>
  <c r="BA59" i="1"/>
  <c r="AW59" i="1"/>
  <c r="AO58" i="1"/>
  <c r="AQ58" i="1" s="1"/>
  <c r="AP58" i="1"/>
  <c r="AL58" i="1"/>
  <c r="AN59" i="1" s="1"/>
  <c r="AZ57" i="1"/>
  <c r="BA57" i="1"/>
  <c r="AW57" i="1"/>
  <c r="AY58" i="1" s="1"/>
  <c r="AO57" i="1"/>
  <c r="AQ57" i="1" s="1"/>
  <c r="AP57" i="1"/>
  <c r="AL57" i="1"/>
  <c r="AZ56" i="1"/>
  <c r="BB56" i="1" s="1"/>
  <c r="BA56" i="1"/>
  <c r="AW56" i="1"/>
  <c r="AO56" i="1"/>
  <c r="AP56" i="1"/>
  <c r="AL56" i="1"/>
  <c r="AO55" i="1"/>
  <c r="AQ55" i="1" s="1"/>
  <c r="AP55" i="1"/>
  <c r="AL55" i="1"/>
  <c r="AO54" i="1"/>
  <c r="AQ54" i="1" s="1"/>
  <c r="AP54" i="1"/>
  <c r="AL54" i="1"/>
  <c r="AZ53" i="1"/>
  <c r="BA53" i="1"/>
  <c r="AW53" i="1"/>
  <c r="AY54" i="1" s="1"/>
  <c r="AO53" i="1"/>
  <c r="AP53" i="1"/>
  <c r="AL53" i="1"/>
  <c r="AZ52" i="1"/>
  <c r="BA52" i="1"/>
  <c r="AW52" i="1"/>
  <c r="AO52" i="1"/>
  <c r="AP52" i="1"/>
  <c r="AL52" i="1"/>
  <c r="AZ51" i="1"/>
  <c r="BA51" i="1"/>
  <c r="AW51" i="1"/>
  <c r="AO51" i="1"/>
  <c r="AP51" i="1"/>
  <c r="AL51" i="1"/>
  <c r="AZ50" i="1"/>
  <c r="BA50" i="1"/>
  <c r="AW50" i="1"/>
  <c r="AO50" i="1"/>
  <c r="AP50" i="1"/>
  <c r="AL50" i="1"/>
  <c r="AO49" i="1"/>
  <c r="AP49" i="1"/>
  <c r="AL49" i="1"/>
  <c r="AZ48" i="1"/>
  <c r="BA48" i="1"/>
  <c r="AW48" i="1"/>
  <c r="AY49" i="1" s="1"/>
  <c r="AO48" i="1"/>
  <c r="AP48" i="1"/>
  <c r="AL48" i="1"/>
  <c r="AZ47" i="1"/>
  <c r="BA47" i="1"/>
  <c r="AW47" i="1"/>
  <c r="AO47" i="1"/>
  <c r="AP47" i="1"/>
  <c r="AL47" i="1"/>
  <c r="AZ46" i="1"/>
  <c r="BA46" i="1"/>
  <c r="AW46" i="1"/>
  <c r="AZ45" i="1"/>
  <c r="BA45" i="1"/>
  <c r="AW45" i="1"/>
  <c r="AO45" i="1"/>
  <c r="AP45" i="1"/>
  <c r="AL45" i="1"/>
  <c r="AN46" i="1" s="1"/>
  <c r="AZ44" i="1"/>
  <c r="BA44" i="1"/>
  <c r="AW44" i="1"/>
  <c r="AO44" i="1"/>
  <c r="AP44" i="1"/>
  <c r="AL44" i="1"/>
  <c r="AO43" i="1"/>
  <c r="AP43" i="1"/>
  <c r="AL43" i="1"/>
  <c r="AZ42" i="1"/>
  <c r="BA42" i="1"/>
  <c r="AW42" i="1"/>
  <c r="AY43" i="1" s="1"/>
  <c r="AO42" i="1"/>
  <c r="AP42" i="1"/>
  <c r="AL42" i="1"/>
  <c r="AO41" i="1"/>
  <c r="AP41" i="1"/>
  <c r="AL41" i="1"/>
  <c r="AO40" i="1"/>
  <c r="AP40" i="1"/>
  <c r="AL40" i="1"/>
  <c r="AZ39" i="1"/>
  <c r="BA39" i="1"/>
  <c r="AW39" i="1"/>
  <c r="AY40" i="1" s="1"/>
  <c r="AL39" i="1"/>
  <c r="AO39" i="1"/>
  <c r="AP39" i="1"/>
  <c r="AW38" i="1"/>
  <c r="BA38" i="1"/>
  <c r="AZ38" i="1"/>
  <c r="BB38" i="1" s="1"/>
  <c r="AP37" i="1"/>
  <c r="AO37" i="1"/>
  <c r="AQ37" i="1" s="1"/>
  <c r="AL37" i="1"/>
  <c r="AN38" i="1" s="1"/>
  <c r="AZ36" i="1"/>
  <c r="AW36" i="1"/>
  <c r="AY37" i="1" s="1"/>
  <c r="BA36" i="1"/>
  <c r="AW35" i="1"/>
  <c r="AZ35" i="1"/>
  <c r="BA35" i="1"/>
  <c r="AW34" i="1"/>
  <c r="AZ34" i="1"/>
  <c r="BA34" i="1"/>
  <c r="AW33" i="1"/>
  <c r="AZ33" i="1"/>
  <c r="BA33" i="1"/>
  <c r="AP33" i="1"/>
  <c r="AL33" i="1"/>
  <c r="AN34" i="1" s="1"/>
  <c r="AO33" i="1"/>
  <c r="AQ33" i="1" s="1"/>
  <c r="AZ32" i="1"/>
  <c r="BA32" i="1"/>
  <c r="AW32" i="1"/>
  <c r="AW31" i="1"/>
  <c r="BA31" i="1"/>
  <c r="AZ31" i="1"/>
  <c r="BB31" i="1" s="1"/>
  <c r="AP31" i="1"/>
  <c r="AL31" i="1"/>
  <c r="AN32" i="1" s="1"/>
  <c r="AO31" i="1"/>
  <c r="AQ31" i="1" s="1"/>
  <c r="BE31" i="1" s="1"/>
  <c r="AP30" i="1"/>
  <c r="AO30" i="1"/>
  <c r="AQ30" i="1" s="1"/>
  <c r="AL30" i="1"/>
  <c r="AW29" i="1"/>
  <c r="AY30" i="1" s="1"/>
  <c r="AZ29" i="1"/>
  <c r="BA29" i="1"/>
  <c r="AW28" i="1"/>
  <c r="AZ28" i="1"/>
  <c r="BA28" i="1"/>
  <c r="AL28" i="1"/>
  <c r="AN29" i="1" s="1"/>
  <c r="AO28" i="1"/>
  <c r="AP28" i="1"/>
  <c r="AW27" i="1"/>
  <c r="BA27" i="1"/>
  <c r="AZ27" i="1"/>
  <c r="BB27" i="1" s="1"/>
  <c r="AP26" i="1"/>
  <c r="AL26" i="1"/>
  <c r="AN27" i="1" s="1"/>
  <c r="AO26" i="1"/>
  <c r="AQ26" i="1" s="1"/>
  <c r="AP27" i="1"/>
  <c r="AL27" i="1"/>
  <c r="AO27" i="1"/>
  <c r="AQ27" i="1" s="1"/>
  <c r="BE27" i="1" s="1"/>
  <c r="AZ25" i="1"/>
  <c r="BA25" i="1"/>
  <c r="AW25" i="1"/>
  <c r="AY26" i="1" s="1"/>
  <c r="AO25" i="1"/>
  <c r="AP25" i="1"/>
  <c r="AL25" i="1"/>
  <c r="AO24" i="1"/>
  <c r="AP24" i="1"/>
  <c r="AL24" i="1"/>
  <c r="AZ23" i="1"/>
  <c r="BA23" i="1"/>
  <c r="AW23" i="1"/>
  <c r="AY24" i="1" s="1"/>
  <c r="AO23" i="1"/>
  <c r="AP23" i="1"/>
  <c r="AL23" i="1"/>
  <c r="AZ22" i="1"/>
  <c r="BA22" i="1"/>
  <c r="AO22" i="1"/>
  <c r="AP22" i="1"/>
  <c r="BB131" i="1" l="1"/>
  <c r="BB130" i="1"/>
  <c r="AQ127" i="1"/>
  <c r="AQ126" i="1"/>
  <c r="BB125" i="1"/>
  <c r="BB123" i="1"/>
  <c r="AQ123" i="1"/>
  <c r="BE123" i="1" s="1"/>
  <c r="BB119" i="1"/>
  <c r="BB117" i="1"/>
  <c r="BE117" i="1" s="1"/>
  <c r="AQ63" i="1"/>
  <c r="BE63" i="1" s="1"/>
  <c r="BB62" i="1"/>
  <c r="BE65" i="1"/>
  <c r="AZ65" i="1"/>
  <c r="BB65" i="1" s="1"/>
  <c r="AW65" i="1"/>
  <c r="AY66" i="1" s="1"/>
  <c r="AL176" i="1"/>
  <c r="AP176" i="1"/>
  <c r="AO176" i="1"/>
  <c r="AQ176" i="1" s="1"/>
  <c r="BE176" i="1" s="1"/>
  <c r="AW175" i="1"/>
  <c r="BA175" i="1"/>
  <c r="AZ175" i="1"/>
  <c r="BB175" i="1" s="1"/>
  <c r="AL174" i="1"/>
  <c r="AP174" i="1"/>
  <c r="AO174" i="1"/>
  <c r="AQ174" i="1" s="1"/>
  <c r="BE174" i="1" s="1"/>
  <c r="AL172" i="1"/>
  <c r="AP172" i="1"/>
  <c r="AO172" i="1"/>
  <c r="AQ172" i="1" s="1"/>
  <c r="AW171" i="1"/>
  <c r="AZ171" i="1"/>
  <c r="BA171" i="1"/>
  <c r="BA165" i="1"/>
  <c r="AZ165" i="1"/>
  <c r="BB165" i="1" s="1"/>
  <c r="BE165" i="1" s="1"/>
  <c r="AW165" i="1"/>
  <c r="AY166" i="1" s="1"/>
  <c r="AW163" i="1"/>
  <c r="BA163" i="1"/>
  <c r="AZ163" i="1"/>
  <c r="AZ161" i="1"/>
  <c r="AW161" i="1"/>
  <c r="BA161" i="1"/>
  <c r="AP160" i="1"/>
  <c r="AL160" i="1"/>
  <c r="AO160" i="1"/>
  <c r="AQ160" i="1" s="1"/>
  <c r="AO157" i="1"/>
  <c r="AL157" i="1"/>
  <c r="AP157" i="1"/>
  <c r="AZ155" i="1"/>
  <c r="AW155" i="1"/>
  <c r="BA155" i="1"/>
  <c r="AZ153" i="1"/>
  <c r="AW153" i="1"/>
  <c r="BA153" i="1"/>
  <c r="AO150" i="1"/>
  <c r="AL150" i="1"/>
  <c r="AN151" i="1" s="1"/>
  <c r="AP150" i="1"/>
  <c r="AP146" i="1"/>
  <c r="AO146" i="1"/>
  <c r="AQ146" i="1" s="1"/>
  <c r="BE146" i="1" s="1"/>
  <c r="AL146" i="1"/>
  <c r="AN147" i="1" s="1"/>
  <c r="AL144" i="1"/>
  <c r="AP144" i="1"/>
  <c r="AO144" i="1"/>
  <c r="AQ144" i="1" s="1"/>
  <c r="AL142" i="1"/>
  <c r="AP142" i="1"/>
  <c r="AO142" i="1"/>
  <c r="AQ142" i="1" s="1"/>
  <c r="AW137" i="1"/>
  <c r="AY138" i="1" s="1"/>
  <c r="BA137" i="1"/>
  <c r="AZ137" i="1"/>
  <c r="AL136" i="1"/>
  <c r="AP136" i="1"/>
  <c r="AO136" i="1"/>
  <c r="AQ136" i="1" s="1"/>
  <c r="AW135" i="1"/>
  <c r="BA135" i="1"/>
  <c r="AZ135" i="1"/>
  <c r="BB135" i="1" s="1"/>
  <c r="AW133" i="1"/>
  <c r="BA133" i="1"/>
  <c r="AZ133" i="1"/>
  <c r="BB133" i="1" s="1"/>
  <c r="AL131" i="1"/>
  <c r="AN132" i="1" s="1"/>
  <c r="AP131" i="1"/>
  <c r="AO131" i="1"/>
  <c r="AQ131" i="1" s="1"/>
  <c r="BE131" i="1" s="1"/>
  <c r="AW129" i="1"/>
  <c r="BA129" i="1"/>
  <c r="AZ129" i="1"/>
  <c r="BB129" i="1" s="1"/>
  <c r="AL128" i="1"/>
  <c r="AP128" i="1"/>
  <c r="AO128" i="1"/>
  <c r="AQ128" i="1" s="1"/>
  <c r="AW126" i="1"/>
  <c r="AY127" i="1" s="1"/>
  <c r="BA126" i="1"/>
  <c r="AZ126" i="1"/>
  <c r="BB126" i="1" s="1"/>
  <c r="BE126" i="1" s="1"/>
  <c r="AL125" i="1"/>
  <c r="AP125" i="1"/>
  <c r="AO125" i="1"/>
  <c r="AQ125" i="1" s="1"/>
  <c r="BE125" i="1" s="1"/>
  <c r="AW122" i="1"/>
  <c r="BA122" i="1"/>
  <c r="AZ122" i="1"/>
  <c r="BB122" i="1" s="1"/>
  <c r="BE122" i="1" s="1"/>
  <c r="AO119" i="1"/>
  <c r="AP119" i="1"/>
  <c r="AL119" i="1"/>
  <c r="AN120" i="1" s="1"/>
  <c r="AZ116" i="1"/>
  <c r="AW116" i="1"/>
  <c r="BA116" i="1"/>
  <c r="AO113" i="1"/>
  <c r="AL113" i="1"/>
  <c r="AP113" i="1"/>
  <c r="AZ110" i="1"/>
  <c r="BA110" i="1"/>
  <c r="AW110" i="1"/>
  <c r="AP109" i="1"/>
  <c r="AL109" i="1"/>
  <c r="AO109" i="1"/>
  <c r="AQ109" i="1" s="1"/>
  <c r="BE109" i="1" s="1"/>
  <c r="AO107" i="1"/>
  <c r="AP107" i="1"/>
  <c r="AL107" i="1"/>
  <c r="AO105" i="1"/>
  <c r="AL105" i="1"/>
  <c r="AP105" i="1"/>
  <c r="AZ104" i="1"/>
  <c r="AW104" i="1"/>
  <c r="BA104" i="1"/>
  <c r="AL102" i="1"/>
  <c r="AN103" i="1" s="1"/>
  <c r="AP102" i="1"/>
  <c r="AO102" i="1"/>
  <c r="AQ102" i="1" s="1"/>
  <c r="BE102" i="1" s="1"/>
  <c r="BA101" i="1"/>
  <c r="AW101" i="1"/>
  <c r="AZ101" i="1"/>
  <c r="BB101" i="1" s="1"/>
  <c r="AW97" i="1"/>
  <c r="BA97" i="1"/>
  <c r="AZ97" i="1"/>
  <c r="BB97" i="1" s="1"/>
  <c r="AL95" i="1"/>
  <c r="AN96" i="1" s="1"/>
  <c r="AP95" i="1"/>
  <c r="AO95" i="1"/>
  <c r="AW92" i="1"/>
  <c r="BA92" i="1"/>
  <c r="AZ92" i="1"/>
  <c r="BB92" i="1" s="1"/>
  <c r="AL87" i="1"/>
  <c r="AN88" i="1" s="1"/>
  <c r="AP87" i="1"/>
  <c r="AO87" i="1"/>
  <c r="AQ87" i="1" s="1"/>
  <c r="AW84" i="1"/>
  <c r="AY85" i="1" s="1"/>
  <c r="BA84" i="1"/>
  <c r="AZ84" i="1"/>
  <c r="BB84" i="1" s="1"/>
  <c r="AL83" i="1"/>
  <c r="AP83" i="1"/>
  <c r="AO83" i="1"/>
  <c r="AQ83" i="1" s="1"/>
  <c r="AL78" i="1"/>
  <c r="AN79" i="1" s="1"/>
  <c r="AP78" i="1"/>
  <c r="AO78" i="1"/>
  <c r="AQ78" i="1" s="1"/>
  <c r="AW75" i="1"/>
  <c r="BA75" i="1"/>
  <c r="AZ75" i="1"/>
  <c r="BB75" i="1" s="1"/>
  <c r="AL73" i="1"/>
  <c r="AN74" i="1" s="1"/>
  <c r="AP73" i="1"/>
  <c r="AO73" i="1"/>
  <c r="AQ73" i="1" s="1"/>
  <c r="AO69" i="1"/>
  <c r="AP69" i="1"/>
  <c r="AL69" i="1"/>
  <c r="AN70" i="1" s="1"/>
  <c r="AZ66" i="1"/>
  <c r="AW66" i="1"/>
  <c r="AY67" i="1" s="1"/>
  <c r="BA66" i="1"/>
  <c r="AL61" i="1"/>
  <c r="AN62" i="1" s="1"/>
  <c r="AP61" i="1"/>
  <c r="AO61" i="1"/>
  <c r="AQ61" i="1" s="1"/>
  <c r="BE61" i="1" s="1"/>
  <c r="AL59" i="1"/>
  <c r="AP59" i="1"/>
  <c r="AO59" i="1"/>
  <c r="AQ59" i="1" s="1"/>
  <c r="BE59" i="1" s="1"/>
  <c r="AW58" i="1"/>
  <c r="BA58" i="1"/>
  <c r="AZ58" i="1"/>
  <c r="BB58" i="1" s="1"/>
  <c r="BE58" i="1" s="1"/>
  <c r="AW54" i="1"/>
  <c r="AY55" i="1" s="1"/>
  <c r="BA54" i="1"/>
  <c r="AZ54" i="1"/>
  <c r="BB54" i="1" s="1"/>
  <c r="BE54" i="1" s="1"/>
  <c r="AW49" i="1"/>
  <c r="BA49" i="1"/>
  <c r="AZ49" i="1"/>
  <c r="BB49" i="1" s="1"/>
  <c r="AL46" i="1"/>
  <c r="AP46" i="1"/>
  <c r="AO46" i="1"/>
  <c r="AQ46" i="1" s="1"/>
  <c r="AW43" i="1"/>
  <c r="BA43" i="1"/>
  <c r="AZ43" i="1"/>
  <c r="BB43" i="1" s="1"/>
  <c r="AW40" i="1"/>
  <c r="AY41" i="1" s="1"/>
  <c r="BA40" i="1"/>
  <c r="AZ40" i="1"/>
  <c r="BB40" i="1" s="1"/>
  <c r="AP38" i="1"/>
  <c r="AO38" i="1"/>
  <c r="AQ38" i="1" s="1"/>
  <c r="BE38" i="1" s="1"/>
  <c r="AL38" i="1"/>
  <c r="BA37" i="1"/>
  <c r="AZ37" i="1"/>
  <c r="BB37" i="1" s="1"/>
  <c r="BE37" i="1" s="1"/>
  <c r="AW37" i="1"/>
  <c r="AL34" i="1"/>
  <c r="AN35" i="1" s="1"/>
  <c r="AP34" i="1"/>
  <c r="AO34" i="1"/>
  <c r="AQ34" i="1" s="1"/>
  <c r="AL32" i="1"/>
  <c r="AO32" i="1"/>
  <c r="AP32" i="1"/>
  <c r="BA30" i="1"/>
  <c r="AW30" i="1"/>
  <c r="AZ30" i="1"/>
  <c r="BB30" i="1" s="1"/>
  <c r="BE30" i="1" s="1"/>
  <c r="AO29" i="1"/>
  <c r="AP29" i="1"/>
  <c r="AL29" i="1"/>
  <c r="AW26" i="1"/>
  <c r="AZ26" i="1"/>
  <c r="BA26" i="1"/>
  <c r="AW24" i="1"/>
  <c r="BA24" i="1"/>
  <c r="AZ24" i="1"/>
  <c r="BB24" i="1" s="1"/>
  <c r="AQ175" i="1"/>
  <c r="BE175" i="1" s="1"/>
  <c r="AQ173" i="1"/>
  <c r="BE173" i="1" s="1"/>
  <c r="BB172" i="1"/>
  <c r="AQ171" i="1"/>
  <c r="AQ170" i="1"/>
  <c r="BE170" i="1" s="1"/>
  <c r="AQ168" i="1"/>
  <c r="BE168" i="1" s="1"/>
  <c r="AQ164" i="1"/>
  <c r="BE164" i="1" s="1"/>
  <c r="AQ163" i="1"/>
  <c r="AQ162" i="1"/>
  <c r="BE162" i="1" s="1"/>
  <c r="BB160" i="1"/>
  <c r="AQ159" i="1"/>
  <c r="BE159" i="1" s="1"/>
  <c r="BB158" i="1"/>
  <c r="BE158" i="1" s="1"/>
  <c r="AQ156" i="1"/>
  <c r="BE156" i="1" s="1"/>
  <c r="BB150" i="1"/>
  <c r="BB148" i="1"/>
  <c r="AQ148" i="1"/>
  <c r="BE148" i="1" s="1"/>
  <c r="BB147" i="1"/>
  <c r="BB145" i="1"/>
  <c r="AQ145" i="1"/>
  <c r="BE145" i="1" s="1"/>
  <c r="BB144" i="1"/>
  <c r="BB143" i="1"/>
  <c r="BE143" i="1" s="1"/>
  <c r="BB142" i="1"/>
  <c r="AQ141" i="1"/>
  <c r="BE141" i="1" s="1"/>
  <c r="BB139" i="1"/>
  <c r="BB140" i="1"/>
  <c r="BE140" i="1" s="1"/>
  <c r="AQ139" i="1"/>
  <c r="BE139" i="1" s="1"/>
  <c r="AQ138" i="1"/>
  <c r="AQ137" i="1"/>
  <c r="BB136" i="1"/>
  <c r="AQ135" i="1"/>
  <c r="BE135" i="1" s="1"/>
  <c r="BB134" i="1"/>
  <c r="AQ134" i="1"/>
  <c r="BE134" i="1" s="1"/>
  <c r="AQ133" i="1"/>
  <c r="BE133" i="1" s="1"/>
  <c r="BB132" i="1"/>
  <c r="AQ130" i="1"/>
  <c r="BE130" i="1" s="1"/>
  <c r="AQ129" i="1"/>
  <c r="BE129" i="1" s="1"/>
  <c r="BB128" i="1"/>
  <c r="BB124" i="1"/>
  <c r="AQ115" i="1"/>
  <c r="BB113" i="1"/>
  <c r="BB112" i="1"/>
  <c r="BE112" i="1" s="1"/>
  <c r="AQ111" i="1"/>
  <c r="BE111" i="1" s="1"/>
  <c r="AQ110" i="1"/>
  <c r="BB108" i="1"/>
  <c r="BE108" i="1" s="1"/>
  <c r="BB106" i="1"/>
  <c r="AQ106" i="1"/>
  <c r="BE106" i="1" s="1"/>
  <c r="AQ101" i="1"/>
  <c r="BE101" i="1" s="1"/>
  <c r="BB100" i="1"/>
  <c r="AQ100" i="1"/>
  <c r="BE100" i="1" s="1"/>
  <c r="BB99" i="1"/>
  <c r="AQ99" i="1"/>
  <c r="BE99" i="1" s="1"/>
  <c r="BB98" i="1"/>
  <c r="AQ98" i="1"/>
  <c r="BE98" i="1" s="1"/>
  <c r="AQ97" i="1"/>
  <c r="BE97" i="1" s="1"/>
  <c r="BB96" i="1"/>
  <c r="BB95" i="1"/>
  <c r="BB94" i="1"/>
  <c r="AQ94" i="1"/>
  <c r="BB93" i="1"/>
  <c r="AQ93" i="1"/>
  <c r="BE93" i="1" s="1"/>
  <c r="AQ92" i="1"/>
  <c r="BE92" i="1" s="1"/>
  <c r="BB91" i="1"/>
  <c r="BB90" i="1"/>
  <c r="BB89" i="1"/>
  <c r="BB88" i="1"/>
  <c r="BB87" i="1"/>
  <c r="BB86" i="1"/>
  <c r="AQ86" i="1"/>
  <c r="BE86" i="1" s="1"/>
  <c r="AQ85" i="1"/>
  <c r="AQ84" i="1"/>
  <c r="BE84" i="1" s="1"/>
  <c r="BB83" i="1"/>
  <c r="BB82" i="1"/>
  <c r="AQ82" i="1"/>
  <c r="BE82" i="1" s="1"/>
  <c r="BB81" i="1"/>
  <c r="AQ81" i="1"/>
  <c r="BE81" i="1" s="1"/>
  <c r="BB80" i="1"/>
  <c r="AQ80" i="1"/>
  <c r="BE80" i="1" s="1"/>
  <c r="BB79" i="1"/>
  <c r="BB78" i="1"/>
  <c r="BB77" i="1"/>
  <c r="AQ77" i="1"/>
  <c r="BE77" i="1" s="1"/>
  <c r="BB76" i="1"/>
  <c r="AQ76" i="1"/>
  <c r="BE76" i="1" s="1"/>
  <c r="AQ75" i="1"/>
  <c r="BE75" i="1" s="1"/>
  <c r="BB74" i="1"/>
  <c r="BB73" i="1"/>
  <c r="BB72" i="1"/>
  <c r="AQ72" i="1"/>
  <c r="BE72" i="1" s="1"/>
  <c r="BB71" i="1"/>
  <c r="BB69" i="1"/>
  <c r="AQ53" i="1"/>
  <c r="BB52" i="1"/>
  <c r="AQ52" i="1"/>
  <c r="BE52" i="1" s="1"/>
  <c r="BB51" i="1"/>
  <c r="AQ51" i="1"/>
  <c r="BE51" i="1" s="1"/>
  <c r="BB50" i="1"/>
  <c r="AQ50" i="1"/>
  <c r="BE50" i="1" s="1"/>
  <c r="AQ49" i="1"/>
  <c r="BE49" i="1" s="1"/>
  <c r="BB48" i="1"/>
  <c r="AQ48" i="1"/>
  <c r="BE48" i="1" s="1"/>
  <c r="BB47" i="1"/>
  <c r="AQ47" i="1"/>
  <c r="BE47" i="1" s="1"/>
  <c r="BB46" i="1"/>
  <c r="BB45" i="1"/>
  <c r="AQ45" i="1"/>
  <c r="BE45" i="1" s="1"/>
  <c r="BB44" i="1"/>
  <c r="AQ44" i="1"/>
  <c r="BE44" i="1" s="1"/>
  <c r="AQ43" i="1"/>
  <c r="BE43" i="1" s="1"/>
  <c r="BB42" i="1"/>
  <c r="AQ42" i="1"/>
  <c r="BE42" i="1" s="1"/>
  <c r="AQ41" i="1"/>
  <c r="AQ40" i="1"/>
  <c r="BE40" i="1" s="1"/>
  <c r="BB39" i="1"/>
  <c r="AQ39" i="1"/>
  <c r="BE39" i="1" s="1"/>
  <c r="BB36" i="1"/>
  <c r="BB35" i="1"/>
  <c r="BB34" i="1"/>
  <c r="BB33" i="1"/>
  <c r="BE33" i="1" s="1"/>
  <c r="BB32" i="1"/>
  <c r="BB29" i="1"/>
  <c r="BB28" i="1"/>
  <c r="AQ28" i="1"/>
  <c r="BB25" i="1"/>
  <c r="AQ25" i="1"/>
  <c r="BE25" i="1" s="1"/>
  <c r="AQ24" i="1"/>
  <c r="BE24" i="1" s="1"/>
  <c r="BB23" i="1"/>
  <c r="AQ23" i="1"/>
  <c r="BE23" i="1" s="1"/>
  <c r="BB22" i="1"/>
  <c r="AQ22" i="1"/>
  <c r="AQ124" i="1"/>
  <c r="BE124" i="1" s="1"/>
  <c r="BB115" i="1"/>
  <c r="AQ66" i="1"/>
  <c r="BB57" i="1"/>
  <c r="BE57" i="1" s="1"/>
  <c r="BB53" i="1"/>
  <c r="BB121" i="1"/>
  <c r="AQ64" i="1"/>
  <c r="BE64" i="1" s="1"/>
  <c r="AQ56" i="1"/>
  <c r="BE56" i="1" s="1"/>
  <c r="BB161" i="1" l="1"/>
  <c r="BE161" i="1" s="1"/>
  <c r="BB110" i="1"/>
  <c r="BE110" i="1" s="1"/>
  <c r="BB104" i="1"/>
  <c r="BE104" i="1" s="1"/>
  <c r="BE94" i="1"/>
  <c r="BE28" i="1"/>
  <c r="AZ166" i="1"/>
  <c r="AW166" i="1"/>
  <c r="AY167" i="1" s="1"/>
  <c r="BA166" i="1"/>
  <c r="AO151" i="1"/>
  <c r="AL151" i="1"/>
  <c r="AN152" i="1" s="1"/>
  <c r="AP151" i="1"/>
  <c r="AP147" i="1"/>
  <c r="AL147" i="1"/>
  <c r="AO147" i="1"/>
  <c r="AQ147" i="1" s="1"/>
  <c r="BE147" i="1" s="1"/>
  <c r="AW138" i="1"/>
  <c r="BA138" i="1"/>
  <c r="AZ138" i="1"/>
  <c r="BB138" i="1" s="1"/>
  <c r="BE138" i="1" s="1"/>
  <c r="AL132" i="1"/>
  <c r="AP132" i="1"/>
  <c r="AO132" i="1"/>
  <c r="AQ132" i="1" s="1"/>
  <c r="BE132" i="1" s="1"/>
  <c r="AW127" i="1"/>
  <c r="BA127" i="1"/>
  <c r="AZ127" i="1"/>
  <c r="BB127" i="1" s="1"/>
  <c r="BE127" i="1" s="1"/>
  <c r="AO120" i="1"/>
  <c r="AP120" i="1"/>
  <c r="AL120" i="1"/>
  <c r="AN121" i="1" s="1"/>
  <c r="AO103" i="1"/>
  <c r="AL103" i="1"/>
  <c r="AP103" i="1"/>
  <c r="AL96" i="1"/>
  <c r="AP96" i="1"/>
  <c r="AO96" i="1"/>
  <c r="AQ96" i="1" s="1"/>
  <c r="BE96" i="1" s="1"/>
  <c r="AL88" i="1"/>
  <c r="AN89" i="1" s="1"/>
  <c r="AP88" i="1"/>
  <c r="AO88" i="1"/>
  <c r="AQ88" i="1" s="1"/>
  <c r="BE88" i="1" s="1"/>
  <c r="AW85" i="1"/>
  <c r="BA85" i="1"/>
  <c r="AZ85" i="1"/>
  <c r="BB85" i="1" s="1"/>
  <c r="BE85" i="1" s="1"/>
  <c r="AL79" i="1"/>
  <c r="AP79" i="1"/>
  <c r="AO79" i="1"/>
  <c r="AQ79" i="1" s="1"/>
  <c r="BE79" i="1" s="1"/>
  <c r="AL74" i="1"/>
  <c r="AP74" i="1"/>
  <c r="AO74" i="1"/>
  <c r="AQ74" i="1" s="1"/>
  <c r="BE74" i="1" s="1"/>
  <c r="AO70" i="1"/>
  <c r="AL70" i="1"/>
  <c r="AN71" i="1" s="1"/>
  <c r="AP70" i="1"/>
  <c r="AZ67" i="1"/>
  <c r="BA67" i="1"/>
  <c r="AW67" i="1"/>
  <c r="AL62" i="1"/>
  <c r="AP62" i="1"/>
  <c r="AO62" i="1"/>
  <c r="AQ62" i="1" s="1"/>
  <c r="BE62" i="1" s="1"/>
  <c r="AW55" i="1"/>
  <c r="BA55" i="1"/>
  <c r="AZ55" i="1"/>
  <c r="BB55" i="1" s="1"/>
  <c r="BE55" i="1" s="1"/>
  <c r="AW41" i="1"/>
  <c r="BA41" i="1"/>
  <c r="AZ41" i="1"/>
  <c r="BB41" i="1" s="1"/>
  <c r="BE41" i="1" s="1"/>
  <c r="AL35" i="1"/>
  <c r="AN36" i="1" s="1"/>
  <c r="AO35" i="1"/>
  <c r="AP35" i="1"/>
  <c r="BC22" i="1"/>
  <c r="BC23" i="1" s="1"/>
  <c r="BC24" i="1" s="1"/>
  <c r="BC25" i="1" s="1"/>
  <c r="BE22" i="1"/>
  <c r="AR22" i="1"/>
  <c r="AR23" i="1" s="1"/>
  <c r="AR24" i="1" s="1"/>
  <c r="AR25" i="1" s="1"/>
  <c r="AR26" i="1" s="1"/>
  <c r="AR27" i="1" s="1"/>
  <c r="AR28" i="1" s="1"/>
  <c r="AQ95" i="1"/>
  <c r="BE95" i="1" s="1"/>
  <c r="BE87" i="1"/>
  <c r="BE83" i="1"/>
  <c r="BE78" i="1"/>
  <c r="BE73" i="1"/>
  <c r="AQ69" i="1"/>
  <c r="BE69" i="1" s="1"/>
  <c r="BB66" i="1"/>
  <c r="BE66" i="1" s="1"/>
  <c r="BE46" i="1"/>
  <c r="BE34" i="1"/>
  <c r="AQ32" i="1"/>
  <c r="BE32" i="1" s="1"/>
  <c r="AQ29" i="1"/>
  <c r="BB26" i="1"/>
  <c r="BE115" i="1"/>
  <c r="BE172" i="1"/>
  <c r="BB163" i="1"/>
  <c r="BE163" i="1" s="1"/>
  <c r="AQ157" i="1"/>
  <c r="BE157" i="1" s="1"/>
  <c r="BE144" i="1"/>
  <c r="BE142" i="1"/>
  <c r="BB137" i="1"/>
  <c r="BE137" i="1" s="1"/>
  <c r="AQ107" i="1"/>
  <c r="BE107" i="1" s="1"/>
  <c r="BE53" i="1"/>
  <c r="BB171" i="1"/>
  <c r="BE171" i="1" s="1"/>
  <c r="BB155" i="1"/>
  <c r="BE155" i="1" s="1"/>
  <c r="AQ150" i="1"/>
  <c r="BE150" i="1" s="1"/>
  <c r="BE128" i="1"/>
  <c r="AQ119" i="1"/>
  <c r="BE119" i="1" s="1"/>
  <c r="BB116" i="1"/>
  <c r="BE116" i="1" s="1"/>
  <c r="BE160" i="1"/>
  <c r="BB153" i="1"/>
  <c r="BE153" i="1" s="1"/>
  <c r="BE136" i="1"/>
  <c r="AQ113" i="1"/>
  <c r="BE113" i="1" s="1"/>
  <c r="AQ105" i="1"/>
  <c r="BE105" i="1" s="1"/>
  <c r="BA167" i="1" l="1"/>
  <c r="AW167" i="1"/>
  <c r="AZ167" i="1"/>
  <c r="BB167" i="1" s="1"/>
  <c r="BE167" i="1" s="1"/>
  <c r="AO152" i="1"/>
  <c r="AL152" i="1"/>
  <c r="AP152" i="1"/>
  <c r="AO121" i="1"/>
  <c r="AL121" i="1"/>
  <c r="AP121" i="1"/>
  <c r="AL89" i="1"/>
  <c r="AN90" i="1" s="1"/>
  <c r="AP89" i="1"/>
  <c r="AO89" i="1"/>
  <c r="AQ89" i="1" s="1"/>
  <c r="BE89" i="1" s="1"/>
  <c r="AP71" i="1"/>
  <c r="AL71" i="1"/>
  <c r="AO71" i="1"/>
  <c r="AQ71" i="1" s="1"/>
  <c r="BE71" i="1" s="1"/>
  <c r="AL36" i="1"/>
  <c r="AP36" i="1"/>
  <c r="AO36" i="1"/>
  <c r="AQ36" i="1" s="1"/>
  <c r="BE36" i="1" s="1"/>
  <c r="BF22" i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B166" i="1"/>
  <c r="BE166" i="1" s="1"/>
  <c r="AQ151" i="1"/>
  <c r="BE151" i="1" s="1"/>
  <c r="AQ120" i="1"/>
  <c r="BE120" i="1" s="1"/>
  <c r="AQ103" i="1"/>
  <c r="BE103" i="1" s="1"/>
  <c r="AQ70" i="1"/>
  <c r="BE70" i="1" s="1"/>
  <c r="BB67" i="1"/>
  <c r="AQ35" i="1"/>
  <c r="BE35" i="1" s="1"/>
  <c r="BC26" i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AR29" i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BE29" i="1"/>
  <c r="BE26" i="1"/>
  <c r="BE67" i="1" l="1"/>
  <c r="BB19" i="1"/>
  <c r="BB14" i="1"/>
  <c r="BB15" i="1"/>
  <c r="BB16" i="1" s="1"/>
  <c r="AT1" i="1" s="1"/>
  <c r="AL90" i="1"/>
  <c r="AN91" i="1" s="1"/>
  <c r="AP90" i="1"/>
  <c r="AO90" i="1"/>
  <c r="AQ90" i="1" s="1"/>
  <c r="AQ152" i="1"/>
  <c r="BE152" i="1" s="1"/>
  <c r="AQ121" i="1"/>
  <c r="BE121" i="1" s="1"/>
  <c r="BF35" i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AL91" i="1" l="1"/>
  <c r="AP91" i="1"/>
  <c r="AO91" i="1"/>
  <c r="AQ91" i="1" s="1"/>
  <c r="AQ14" i="1"/>
  <c r="AQ19" i="1"/>
  <c r="AR90" i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90" i="1"/>
  <c r="BF90" i="1" l="1"/>
  <c r="BE91" i="1"/>
  <c r="AQ15" i="1"/>
  <c r="AQ16" i="1" s="1"/>
  <c r="AI1" i="1" s="1"/>
  <c r="BF91" i="1" l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8" i="1"/>
  <c r="BE15" i="1"/>
  <c r="BE16" i="1" s="1"/>
  <c r="BE14" i="1"/>
</calcChain>
</file>

<file path=xl/sharedStrings.xml><?xml version="1.0" encoding="utf-8"?>
<sst xmlns="http://schemas.openxmlformats.org/spreadsheetml/2006/main" count="74" uniqueCount="53">
  <si>
    <t>date</t>
  </si>
  <si>
    <t>BSCX</t>
  </si>
  <si>
    <t>IBDY</t>
  </si>
  <si>
    <t>BSCX log rtn</t>
  </si>
  <si>
    <t>IBDY log rtn</t>
  </si>
  <si>
    <t>BSCX div</t>
  </si>
  <si>
    <t>BSCX div cumsum</t>
  </si>
  <si>
    <t>IBDY div</t>
  </si>
  <si>
    <t>IBDY div cumsum</t>
  </si>
  <si>
    <t>BSCX div adjustment</t>
  </si>
  <si>
    <t>IBDY div adjustment</t>
  </si>
  <si>
    <t>BSCX*</t>
  </si>
  <si>
    <t>IBDY*</t>
  </si>
  <si>
    <t>IBDY/BSCX</t>
  </si>
  <si>
    <t>IBDY/BSCX avg</t>
  </si>
  <si>
    <t>IBDY/BSCX 10 dma</t>
  </si>
  <si>
    <t>IBDY/BSCX 20 dma</t>
  </si>
  <si>
    <t>BSCX x avg</t>
  </si>
  <si>
    <t>BSCX x 10 dma</t>
  </si>
  <si>
    <t>BSCX x 20 dma</t>
  </si>
  <si>
    <t>log diff BSCX x avg / IBDY</t>
  </si>
  <si>
    <t>log diff BSCX x 10 dma / IBDY</t>
  </si>
  <si>
    <t>log diff BSCX x 20 dma / IBDY</t>
  </si>
  <si>
    <t>IBDY*/BSCX*</t>
  </si>
  <si>
    <t>IBDY*/BSCX* avg</t>
  </si>
  <si>
    <t>IBDY*/BSCX* 10 dma</t>
  </si>
  <si>
    <t>IBDY*/BSCX* 20 dma</t>
  </si>
  <si>
    <t>BSCX* x avg</t>
  </si>
  <si>
    <t>BSCX* x 10 dma</t>
  </si>
  <si>
    <t>BSCX* x 20 dma</t>
  </si>
  <si>
    <t>log diff BSCX* x avg / IBDY*</t>
  </si>
  <si>
    <t>log diff BSCX* x 10 dma / IBDY*</t>
  </si>
  <si>
    <t>log diff BSCX* x 20 dma / IBDY*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</si>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</sst>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IBDY/BSCX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1.2195304988600599</c:v>
                </c:pt>
                <c:pt idx="1">
                  <c:v>1.2195304988600599</c:v>
                </c:pt>
                <c:pt idx="2">
                  <c:v>1.2195304988600599</c:v>
                </c:pt>
                <c:pt idx="3">
                  <c:v>1.2195304988600599</c:v>
                </c:pt>
                <c:pt idx="4">
                  <c:v>1.2195304988600599</c:v>
                </c:pt>
                <c:pt idx="5">
                  <c:v>1.2195304988600599</c:v>
                </c:pt>
                <c:pt idx="6">
                  <c:v>1.2195304988600599</c:v>
                </c:pt>
                <c:pt idx="7">
                  <c:v>1.2195304988600599</c:v>
                </c:pt>
                <c:pt idx="8">
                  <c:v>1.2195304988600599</c:v>
                </c:pt>
                <c:pt idx="9">
                  <c:v>1.2195304988600599</c:v>
                </c:pt>
                <c:pt idx="10">
                  <c:v>1.2195304988600599</c:v>
                </c:pt>
                <c:pt idx="11">
                  <c:v>1.2195304988600599</c:v>
                </c:pt>
                <c:pt idx="12">
                  <c:v>1.2195304988600599</c:v>
                </c:pt>
                <c:pt idx="13">
                  <c:v>1.2195304988600599</c:v>
                </c:pt>
                <c:pt idx="14">
                  <c:v>1.2195304988600599</c:v>
                </c:pt>
                <c:pt idx="15">
                  <c:v>1.2195304988600599</c:v>
                </c:pt>
                <c:pt idx="16">
                  <c:v>1.2195304988600599</c:v>
                </c:pt>
                <c:pt idx="17">
                  <c:v>1.2195304988600599</c:v>
                </c:pt>
                <c:pt idx="18">
                  <c:v>1.2195304988600599</c:v>
                </c:pt>
                <c:pt idx="19">
                  <c:v>1.2195304988600599</c:v>
                </c:pt>
                <c:pt idx="20">
                  <c:v>1.2195304988600599</c:v>
                </c:pt>
                <c:pt idx="21">
                  <c:v>1.2195304988600599</c:v>
                </c:pt>
                <c:pt idx="22">
                  <c:v>1.2195304988600599</c:v>
                </c:pt>
                <c:pt idx="23">
                  <c:v>1.2195304988600599</c:v>
                </c:pt>
                <c:pt idx="24">
                  <c:v>1.2195304988600599</c:v>
                </c:pt>
                <c:pt idx="25">
                  <c:v>1.2195304988600599</c:v>
                </c:pt>
                <c:pt idx="26">
                  <c:v>1.2195304988600599</c:v>
                </c:pt>
                <c:pt idx="27">
                  <c:v>1.2195304988600599</c:v>
                </c:pt>
                <c:pt idx="28">
                  <c:v>1.2195304988600599</c:v>
                </c:pt>
                <c:pt idx="29">
                  <c:v>1.2195304988600599</c:v>
                </c:pt>
                <c:pt idx="30">
                  <c:v>1.2195304988600599</c:v>
                </c:pt>
                <c:pt idx="31">
                  <c:v>1.2195304988600599</c:v>
                </c:pt>
                <c:pt idx="32">
                  <c:v>1.2195304988600599</c:v>
                </c:pt>
                <c:pt idx="33">
                  <c:v>1.2195304988600599</c:v>
                </c:pt>
                <c:pt idx="34">
                  <c:v>1.2195304988600599</c:v>
                </c:pt>
                <c:pt idx="35">
                  <c:v>1.2195304988600599</c:v>
                </c:pt>
                <c:pt idx="36">
                  <c:v>1.2195304988600599</c:v>
                </c:pt>
                <c:pt idx="37">
                  <c:v>1.2195304988600599</c:v>
                </c:pt>
                <c:pt idx="38">
                  <c:v>1.2195304988600599</c:v>
                </c:pt>
                <c:pt idx="39">
                  <c:v>1.2195304988600599</c:v>
                </c:pt>
                <c:pt idx="40">
                  <c:v>1.2195304988600599</c:v>
                </c:pt>
                <c:pt idx="41">
                  <c:v>1.2195304988600599</c:v>
                </c:pt>
                <c:pt idx="42">
                  <c:v>1.2195304988600599</c:v>
                </c:pt>
                <c:pt idx="43">
                  <c:v>1.2195304988600599</c:v>
                </c:pt>
                <c:pt idx="44">
                  <c:v>1.2195304988600599</c:v>
                </c:pt>
                <c:pt idx="45">
                  <c:v>1.2195304988600599</c:v>
                </c:pt>
                <c:pt idx="46">
                  <c:v>1.2195304988600599</c:v>
                </c:pt>
                <c:pt idx="47">
                  <c:v>1.2195304988600599</c:v>
                </c:pt>
                <c:pt idx="48">
                  <c:v>1.2195304988600599</c:v>
                </c:pt>
                <c:pt idx="49">
                  <c:v>1.2195304988600599</c:v>
                </c:pt>
                <c:pt idx="50">
                  <c:v>1.2195304988600599</c:v>
                </c:pt>
                <c:pt idx="51">
                  <c:v>1.2195304988600599</c:v>
                </c:pt>
                <c:pt idx="52">
                  <c:v>1.2195304988600599</c:v>
                </c:pt>
                <c:pt idx="53">
                  <c:v>1.2195304988600599</c:v>
                </c:pt>
                <c:pt idx="54">
                  <c:v>1.2195304988600599</c:v>
                </c:pt>
                <c:pt idx="55">
                  <c:v>1.2195304988600599</c:v>
                </c:pt>
                <c:pt idx="56">
                  <c:v>1.2195304988600599</c:v>
                </c:pt>
                <c:pt idx="57">
                  <c:v>1.2195304988600599</c:v>
                </c:pt>
                <c:pt idx="58">
                  <c:v>1.2195304988600599</c:v>
                </c:pt>
                <c:pt idx="59">
                  <c:v>1.2195304988600599</c:v>
                </c:pt>
                <c:pt idx="60">
                  <c:v>1.2195304988600599</c:v>
                </c:pt>
                <c:pt idx="61">
                  <c:v>1.2195304988600599</c:v>
                </c:pt>
                <c:pt idx="62">
                  <c:v>1.2195304988600599</c:v>
                </c:pt>
                <c:pt idx="63">
                  <c:v>1.2195304988600599</c:v>
                </c:pt>
                <c:pt idx="64">
                  <c:v>1.2195304988600599</c:v>
                </c:pt>
                <c:pt idx="65">
                  <c:v>1.2195304988600599</c:v>
                </c:pt>
                <c:pt idx="66">
                  <c:v>1.2195304988600599</c:v>
                </c:pt>
                <c:pt idx="67">
                  <c:v>1.2195304988600599</c:v>
                </c:pt>
                <c:pt idx="68">
                  <c:v>1.2195304988600599</c:v>
                </c:pt>
                <c:pt idx="69">
                  <c:v>1.2195304988600599</c:v>
                </c:pt>
                <c:pt idx="70">
                  <c:v>1.2195304988600599</c:v>
                </c:pt>
                <c:pt idx="71">
                  <c:v>1.2195304988600599</c:v>
                </c:pt>
                <c:pt idx="72">
                  <c:v>1.2195304988600599</c:v>
                </c:pt>
                <c:pt idx="73">
                  <c:v>1.2195304988600599</c:v>
                </c:pt>
                <c:pt idx="74">
                  <c:v>1.2195304988600599</c:v>
                </c:pt>
                <c:pt idx="75">
                  <c:v>1.2195304988600599</c:v>
                </c:pt>
                <c:pt idx="76">
                  <c:v>1.2195304988600599</c:v>
                </c:pt>
                <c:pt idx="77">
                  <c:v>1.2195304988600599</c:v>
                </c:pt>
                <c:pt idx="78">
                  <c:v>1.2195304988600599</c:v>
                </c:pt>
                <c:pt idx="79">
                  <c:v>1.2195304988600599</c:v>
                </c:pt>
                <c:pt idx="80">
                  <c:v>1.2195304988600599</c:v>
                </c:pt>
                <c:pt idx="81">
                  <c:v>1.2195304988600599</c:v>
                </c:pt>
                <c:pt idx="82">
                  <c:v>1.2195304988600599</c:v>
                </c:pt>
                <c:pt idx="83">
                  <c:v>1.2195304988600599</c:v>
                </c:pt>
                <c:pt idx="84">
                  <c:v>1.2195304988600599</c:v>
                </c:pt>
                <c:pt idx="85">
                  <c:v>1.2195304988600599</c:v>
                </c:pt>
                <c:pt idx="86">
                  <c:v>1.2195304988600599</c:v>
                </c:pt>
                <c:pt idx="87">
                  <c:v>1.2195304988600599</c:v>
                </c:pt>
                <c:pt idx="88">
                  <c:v>1.2195304988600599</c:v>
                </c:pt>
                <c:pt idx="89">
                  <c:v>1.2195304988600599</c:v>
                </c:pt>
                <c:pt idx="90">
                  <c:v>1.2195304988600599</c:v>
                </c:pt>
                <c:pt idx="91">
                  <c:v>1.2195304988600599</c:v>
                </c:pt>
                <c:pt idx="92">
                  <c:v>1.2195304988600599</c:v>
                </c:pt>
                <c:pt idx="93">
                  <c:v>1.2195304988600599</c:v>
                </c:pt>
                <c:pt idx="94">
                  <c:v>1.2195304988600599</c:v>
                </c:pt>
                <c:pt idx="95">
                  <c:v>1.2195304988600599</c:v>
                </c:pt>
                <c:pt idx="96">
                  <c:v>1.2195304988600599</c:v>
                </c:pt>
                <c:pt idx="97">
                  <c:v>1.2195304988600599</c:v>
                </c:pt>
                <c:pt idx="98">
                  <c:v>1.2195304988600599</c:v>
                </c:pt>
                <c:pt idx="99">
                  <c:v>1.2195304988600599</c:v>
                </c:pt>
                <c:pt idx="100">
                  <c:v>1.2195304988600599</c:v>
                </c:pt>
                <c:pt idx="101">
                  <c:v>1.2195304988600599</c:v>
                </c:pt>
                <c:pt idx="102">
                  <c:v>1.2195304988600599</c:v>
                </c:pt>
                <c:pt idx="103">
                  <c:v>1.2195304988600599</c:v>
                </c:pt>
                <c:pt idx="104">
                  <c:v>1.2195304988600599</c:v>
                </c:pt>
                <c:pt idx="105">
                  <c:v>1.2195304988600599</c:v>
                </c:pt>
                <c:pt idx="106">
                  <c:v>1.2195304988600599</c:v>
                </c:pt>
                <c:pt idx="107">
                  <c:v>1.2195304988600599</c:v>
                </c:pt>
                <c:pt idx="108">
                  <c:v>1.2195304988600599</c:v>
                </c:pt>
                <c:pt idx="109">
                  <c:v>1.2195304988600599</c:v>
                </c:pt>
                <c:pt idx="110">
                  <c:v>1.2195304988600599</c:v>
                </c:pt>
                <c:pt idx="111">
                  <c:v>1.2195304988600599</c:v>
                </c:pt>
                <c:pt idx="112">
                  <c:v>1.2195304988600599</c:v>
                </c:pt>
                <c:pt idx="113">
                  <c:v>1.2195304988600599</c:v>
                </c:pt>
                <c:pt idx="114">
                  <c:v>1.2195304988600599</c:v>
                </c:pt>
                <c:pt idx="115">
                  <c:v>1.2195304988600599</c:v>
                </c:pt>
                <c:pt idx="116">
                  <c:v>1.2195304988600599</c:v>
                </c:pt>
                <c:pt idx="117">
                  <c:v>1.2195304988600599</c:v>
                </c:pt>
                <c:pt idx="118">
                  <c:v>1.2195304988600599</c:v>
                </c:pt>
                <c:pt idx="119">
                  <c:v>1.2195304988600599</c:v>
                </c:pt>
                <c:pt idx="120">
                  <c:v>1.2195304988600599</c:v>
                </c:pt>
                <c:pt idx="121">
                  <c:v>1.2195304988600599</c:v>
                </c:pt>
                <c:pt idx="122">
                  <c:v>1.2195304988600599</c:v>
                </c:pt>
                <c:pt idx="123">
                  <c:v>1.2195304988600599</c:v>
                </c:pt>
                <c:pt idx="124">
                  <c:v>1.2195304988600599</c:v>
                </c:pt>
                <c:pt idx="125">
                  <c:v>1.2195304988600599</c:v>
                </c:pt>
                <c:pt idx="126">
                  <c:v>1.2195304988600599</c:v>
                </c:pt>
                <c:pt idx="127">
                  <c:v>1.2195304988600599</c:v>
                </c:pt>
                <c:pt idx="128">
                  <c:v>1.2195304988600599</c:v>
                </c:pt>
                <c:pt idx="129">
                  <c:v>1.2195304988600599</c:v>
                </c:pt>
                <c:pt idx="130">
                  <c:v>1.2195304988600599</c:v>
                </c:pt>
                <c:pt idx="131">
                  <c:v>1.2195304988600599</c:v>
                </c:pt>
                <c:pt idx="132">
                  <c:v>1.2195304988600599</c:v>
                </c:pt>
                <c:pt idx="133">
                  <c:v>1.2195304988600599</c:v>
                </c:pt>
                <c:pt idx="134">
                  <c:v>1.2195304988600599</c:v>
                </c:pt>
                <c:pt idx="135">
                  <c:v>1.2195304988600599</c:v>
                </c:pt>
                <c:pt idx="136">
                  <c:v>1.2195304988600599</c:v>
                </c:pt>
                <c:pt idx="137">
                  <c:v>1.2195304988600599</c:v>
                </c:pt>
                <c:pt idx="138">
                  <c:v>1.2195304988600599</c:v>
                </c:pt>
                <c:pt idx="139">
                  <c:v>1.2195304988600599</c:v>
                </c:pt>
                <c:pt idx="140">
                  <c:v>1.2195304988600599</c:v>
                </c:pt>
                <c:pt idx="141">
                  <c:v>1.2195304988600599</c:v>
                </c:pt>
                <c:pt idx="142">
                  <c:v>1.2195304988600599</c:v>
                </c:pt>
                <c:pt idx="143">
                  <c:v>1.2195304988600599</c:v>
                </c:pt>
                <c:pt idx="144">
                  <c:v>1.2195304988600599</c:v>
                </c:pt>
                <c:pt idx="145">
                  <c:v>1.2195304988600599</c:v>
                </c:pt>
                <c:pt idx="146">
                  <c:v>1.2195304988600599</c:v>
                </c:pt>
                <c:pt idx="147">
                  <c:v>1.2195304988600599</c:v>
                </c:pt>
                <c:pt idx="148">
                  <c:v>1.2195304988600599</c:v>
                </c:pt>
                <c:pt idx="149">
                  <c:v>1.2195304988600599</c:v>
                </c:pt>
                <c:pt idx="150">
                  <c:v>1.2195304988600599</c:v>
                </c:pt>
                <c:pt idx="151">
                  <c:v>1.2195304988600599</c:v>
                </c:pt>
                <c:pt idx="152">
                  <c:v>1.2195304988600599</c:v>
                </c:pt>
                <c:pt idx="153">
                  <c:v>1.2195304988600599</c:v>
                </c:pt>
                <c:pt idx="154">
                  <c:v>1.2195304988600599</c:v>
                </c:pt>
                <c:pt idx="155">
                  <c:v>1.2195304988600599</c:v>
                </c:pt>
                <c:pt idx="156">
                  <c:v>1.2195304988600599</c:v>
                </c:pt>
                <c:pt idx="157">
                  <c:v>1.2195304988600599</c:v>
                </c:pt>
                <c:pt idx="158">
                  <c:v>1.2195304988600599</c:v>
                </c:pt>
                <c:pt idx="159">
                  <c:v>1.2195304988600599</c:v>
                </c:pt>
                <c:pt idx="160">
                  <c:v>1.2195304988600599</c:v>
                </c:pt>
                <c:pt idx="161">
                  <c:v>1.2195304988600599</c:v>
                </c:pt>
                <c:pt idx="162">
                  <c:v>1.2195304988600599</c:v>
                </c:pt>
                <c:pt idx="163">
                  <c:v>1.2195304988600599</c:v>
                </c:pt>
                <c:pt idx="164">
                  <c:v>1.2195304988600599</c:v>
                </c:pt>
                <c:pt idx="165">
                  <c:v>1.2195304988600599</c:v>
                </c:pt>
                <c:pt idx="166">
                  <c:v>1.2195304988600599</c:v>
                </c:pt>
                <c:pt idx="167">
                  <c:v>1.2195304988600599</c:v>
                </c:pt>
                <c:pt idx="168">
                  <c:v>1.2195304988600599</c:v>
                </c:pt>
                <c:pt idx="169">
                  <c:v>1.2195304988600599</c:v>
                </c:pt>
                <c:pt idx="170">
                  <c:v>1.2195304988600599</c:v>
                </c:pt>
                <c:pt idx="171">
                  <c:v>1.2195304988600599</c:v>
                </c:pt>
                <c:pt idx="172">
                  <c:v>1.2195304988600599</c:v>
                </c:pt>
                <c:pt idx="173">
                  <c:v>1.2195304988600599</c:v>
                </c:pt>
                <c:pt idx="174">
                  <c:v>1.2195304988600599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35-4FA2-856F-D587D7DFBEDD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IBDY/BSCX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1.21736924454472</c:v>
                </c:pt>
                <c:pt idx="10">
                  <c:v>1.21745228375373</c:v>
                </c:pt>
                <c:pt idx="11">
                  <c:v>1.2178340676088899</c:v>
                </c:pt>
                <c:pt idx="12">
                  <c:v>1.21827350355483</c:v>
                </c:pt>
                <c:pt idx="13">
                  <c:v>1.2187124430613401</c:v>
                </c:pt>
                <c:pt idx="14">
                  <c:v>1.21912656335376</c:v>
                </c:pt>
                <c:pt idx="15">
                  <c:v>1.21966399729227</c:v>
                </c:pt>
                <c:pt idx="16">
                  <c:v>1.22024885861032</c:v>
                </c:pt>
                <c:pt idx="17">
                  <c:v>1.2207815570023099</c:v>
                </c:pt>
                <c:pt idx="18">
                  <c:v>1.2213436249476599</c:v>
                </c:pt>
                <c:pt idx="19">
                  <c:v>1.2219221901874699</c:v>
                </c:pt>
                <c:pt idx="20">
                  <c:v>1.22186346314671</c:v>
                </c:pt>
                <c:pt idx="21">
                  <c:v>1.22140661704773</c:v>
                </c:pt>
                <c:pt idx="22">
                  <c:v>1.2209025260231401</c:v>
                </c:pt>
                <c:pt idx="23">
                  <c:v>1.22040086396846</c:v>
                </c:pt>
                <c:pt idx="24">
                  <c:v>1.2200130365842401</c:v>
                </c:pt>
                <c:pt idx="25">
                  <c:v>1.21953222173303</c:v>
                </c:pt>
                <c:pt idx="26">
                  <c:v>1.21899988615</c:v>
                </c:pt>
                <c:pt idx="27">
                  <c:v>1.2184105780686301</c:v>
                </c:pt>
                <c:pt idx="28">
                  <c:v>1.2179009963972101</c:v>
                </c:pt>
                <c:pt idx="29">
                  <c:v>1.2174331479217599</c:v>
                </c:pt>
                <c:pt idx="30">
                  <c:v>1.2174592670248701</c:v>
                </c:pt>
                <c:pt idx="31">
                  <c:v>1.21758843155986</c:v>
                </c:pt>
                <c:pt idx="32">
                  <c:v>1.2176968041298</c:v>
                </c:pt>
                <c:pt idx="33">
                  <c:v>1.21780359018354</c:v>
                </c:pt>
                <c:pt idx="34">
                  <c:v>1.21818154473075</c:v>
                </c:pt>
                <c:pt idx="35">
                  <c:v>1.21872933983176</c:v>
                </c:pt>
                <c:pt idx="36">
                  <c:v>1.2191681745876299</c:v>
                </c:pt>
                <c:pt idx="37">
                  <c:v>1.2196230064609701</c:v>
                </c:pt>
                <c:pt idx="38">
                  <c:v>1.2200811325702201</c:v>
                </c:pt>
                <c:pt idx="39">
                  <c:v>1.2200128341102401</c:v>
                </c:pt>
                <c:pt idx="40">
                  <c:v>1.2199544491363501</c:v>
                </c:pt>
                <c:pt idx="41">
                  <c:v>1.21989624605199</c:v>
                </c:pt>
                <c:pt idx="42">
                  <c:v>1.2197696127642801</c:v>
                </c:pt>
                <c:pt idx="43">
                  <c:v>1.21980677118004</c:v>
                </c:pt>
                <c:pt idx="44">
                  <c:v>1.21938831903153</c:v>
                </c:pt>
                <c:pt idx="45">
                  <c:v>1.2188547032240999</c:v>
                </c:pt>
                <c:pt idx="46">
                  <c:v>1.2182818224887</c:v>
                </c:pt>
                <c:pt idx="47">
                  <c:v>1.2178511890902</c:v>
                </c:pt>
                <c:pt idx="48">
                  <c:v>1.2174091734990999</c:v>
                </c:pt>
                <c:pt idx="49">
                  <c:v>1.2174276697313999</c:v>
                </c:pt>
                <c:pt idx="50">
                  <c:v>1.2174844074188</c:v>
                </c:pt>
                <c:pt idx="51">
                  <c:v>1.2174356212266899</c:v>
                </c:pt>
                <c:pt idx="52">
                  <c:v>1.2174253169621001</c:v>
                </c:pt>
                <c:pt idx="53">
                  <c:v>1.2173238397848301</c:v>
                </c:pt>
                <c:pt idx="54">
                  <c:v>1.2178146553901099</c:v>
                </c:pt>
                <c:pt idx="55">
                  <c:v>1.21826525589507</c:v>
                </c:pt>
                <c:pt idx="56">
                  <c:v>1.21886995127877</c:v>
                </c:pt>
                <c:pt idx="57">
                  <c:v>1.21935714285507</c:v>
                </c:pt>
                <c:pt idx="58">
                  <c:v>1.2198827042501901</c:v>
                </c:pt>
                <c:pt idx="59">
                  <c:v>1.2203749691863</c:v>
                </c:pt>
                <c:pt idx="60">
                  <c:v>1.22083358915711</c:v>
                </c:pt>
                <c:pt idx="61">
                  <c:v>1.22085816471672</c:v>
                </c:pt>
                <c:pt idx="62">
                  <c:v>1.22080488300862</c:v>
                </c:pt>
                <c:pt idx="63">
                  <c:v>1.2207289770137899</c:v>
                </c:pt>
                <c:pt idx="64">
                  <c:v>1.2201112980759601</c:v>
                </c:pt>
                <c:pt idx="65">
                  <c:v>1.21961580937833</c:v>
                </c:pt>
                <c:pt idx="66">
                  <c:v>1.2190885688786399</c:v>
                </c:pt>
                <c:pt idx="67">
                  <c:v>1.2187016407740701</c:v>
                </c:pt>
                <c:pt idx="68">
                  <c:v>1.21820055119557</c:v>
                </c:pt>
                <c:pt idx="69">
                  <c:v>1.21764915395335</c:v>
                </c:pt>
                <c:pt idx="70">
                  <c:v>1.2172434111318799</c:v>
                </c:pt>
                <c:pt idx="71">
                  <c:v>1.2172883182557801</c:v>
                </c:pt>
                <c:pt idx="72">
                  <c:v>1.2172929823702401</c:v>
                </c:pt>
                <c:pt idx="73">
                  <c:v>1.21786446684865</c:v>
                </c:pt>
                <c:pt idx="74">
                  <c:v>1.21845588299118</c:v>
                </c:pt>
                <c:pt idx="75">
                  <c:v>1.2189934479453799</c:v>
                </c:pt>
                <c:pt idx="76">
                  <c:v>1.2195466509207</c:v>
                </c:pt>
                <c:pt idx="77">
                  <c:v>1.2199231215089299</c:v>
                </c:pt>
                <c:pt idx="78">
                  <c:v>1.22036602562245</c:v>
                </c:pt>
                <c:pt idx="79">
                  <c:v>1.2208804810295399</c:v>
                </c:pt>
                <c:pt idx="80">
                  <c:v>1.22132833133036</c:v>
                </c:pt>
                <c:pt idx="81">
                  <c:v>1.2217192346700201</c:v>
                </c:pt>
                <c:pt idx="82">
                  <c:v>1.2217287437772499</c:v>
                </c:pt>
                <c:pt idx="83">
                  <c:v>1.2212393480185899</c:v>
                </c:pt>
                <c:pt idx="84">
                  <c:v>1.22083458425878</c:v>
                </c:pt>
                <c:pt idx="85">
                  <c:v>1.2204054516987199</c:v>
                </c:pt>
                <c:pt idx="86">
                  <c:v>1.2199015489355201</c:v>
                </c:pt>
                <c:pt idx="87">
                  <c:v>1.21949854541664</c:v>
                </c:pt>
                <c:pt idx="88">
                  <c:v>1.21910507021319</c:v>
                </c:pt>
                <c:pt idx="89">
                  <c:v>1.2186004826478101</c:v>
                </c:pt>
                <c:pt idx="90">
                  <c:v>1.2180855619297</c:v>
                </c:pt>
                <c:pt idx="91">
                  <c:v>1.2176806162987399</c:v>
                </c:pt>
                <c:pt idx="92">
                  <c:v>1.2178457310055799</c:v>
                </c:pt>
                <c:pt idx="93">
                  <c:v>1.2184098054393699</c:v>
                </c:pt>
                <c:pt idx="94">
                  <c:v>1.2188410369620699</c:v>
                </c:pt>
                <c:pt idx="95">
                  <c:v>1.2193234452261501</c:v>
                </c:pt>
                <c:pt idx="96">
                  <c:v>1.21980696520653</c:v>
                </c:pt>
                <c:pt idx="97">
                  <c:v>1.22024689387184</c:v>
                </c:pt>
                <c:pt idx="98">
                  <c:v>1.22064553807819</c:v>
                </c:pt>
                <c:pt idx="99">
                  <c:v>1.22123974156892</c:v>
                </c:pt>
                <c:pt idx="100">
                  <c:v>1.22180203320129</c:v>
                </c:pt>
                <c:pt idx="101">
                  <c:v>1.22227529396797</c:v>
                </c:pt>
                <c:pt idx="102">
                  <c:v>1.2222562058353399</c:v>
                </c:pt>
                <c:pt idx="103">
                  <c:v>1.2217291847871301</c:v>
                </c:pt>
                <c:pt idx="104">
                  <c:v>1.22132294092775</c:v>
                </c:pt>
                <c:pt idx="105">
                  <c:v>1.2208430564458601</c:v>
                </c:pt>
                <c:pt idx="106">
                  <c:v>1.22045112607913</c:v>
                </c:pt>
                <c:pt idx="107">
                  <c:v>1.2199270670033799</c:v>
                </c:pt>
                <c:pt idx="108">
                  <c:v>1.2194938034282301</c:v>
                </c:pt>
                <c:pt idx="109">
                  <c:v>1.2189967301803299</c:v>
                </c:pt>
                <c:pt idx="110">
                  <c:v>1.21856002956451</c:v>
                </c:pt>
                <c:pt idx="111">
                  <c:v>1.21810739408941</c:v>
                </c:pt>
                <c:pt idx="112">
                  <c:v>1.2179550856883099</c:v>
                </c:pt>
                <c:pt idx="113">
                  <c:v>1.21792419164146</c:v>
                </c:pt>
                <c:pt idx="114">
                  <c:v>1.21789742868527</c:v>
                </c:pt>
                <c:pt idx="115">
                  <c:v>1.2178870915833899</c:v>
                </c:pt>
                <c:pt idx="116">
                  <c:v>1.21837439629442</c:v>
                </c:pt>
                <c:pt idx="117">
                  <c:v>1.2189830988511901</c:v>
                </c:pt>
                <c:pt idx="118">
                  <c:v>1.2195218760423701</c:v>
                </c:pt>
                <c:pt idx="119">
                  <c:v>1.2199398403845101</c:v>
                </c:pt>
                <c:pt idx="120">
                  <c:v>1.2203659767481401</c:v>
                </c:pt>
                <c:pt idx="121">
                  <c:v>1.2208553940321201</c:v>
                </c:pt>
                <c:pt idx="122">
                  <c:v>1.2215078418919301</c:v>
                </c:pt>
                <c:pt idx="123">
                  <c:v>1.2214789652278699</c:v>
                </c:pt>
                <c:pt idx="124">
                  <c:v>1.22141080649446</c:v>
                </c:pt>
                <c:pt idx="125">
                  <c:v>1.22148930808136</c:v>
                </c:pt>
                <c:pt idx="126">
                  <c:v>1.2208113456010301</c:v>
                </c:pt>
                <c:pt idx="127">
                  <c:v>1.22025451656569</c:v>
                </c:pt>
                <c:pt idx="128">
                  <c:v>1.2197407626963399</c:v>
                </c:pt>
                <c:pt idx="129">
                  <c:v>1.2193375343345501</c:v>
                </c:pt>
                <c:pt idx="130">
                  <c:v>1.2187421957668001</c:v>
                </c:pt>
                <c:pt idx="131">
                  <c:v>1.2182220814054301</c:v>
                </c:pt>
                <c:pt idx="132">
                  <c:v>1.21762927613223</c:v>
                </c:pt>
                <c:pt idx="133">
                  <c:v>1.21771217892734</c:v>
                </c:pt>
                <c:pt idx="134">
                  <c:v>1.21771009770822</c:v>
                </c:pt>
                <c:pt idx="135">
                  <c:v>1.2180955234939399</c:v>
                </c:pt>
                <c:pt idx="136">
                  <c:v>1.2187158945432901</c:v>
                </c:pt>
                <c:pt idx="137">
                  <c:v>1.2191348644869899</c:v>
                </c:pt>
                <c:pt idx="138">
                  <c:v>1.2196019607734501</c:v>
                </c:pt>
                <c:pt idx="139">
                  <c:v>1.2200857647209</c:v>
                </c:pt>
                <c:pt idx="140">
                  <c:v>1.2206450271659901</c:v>
                </c:pt>
                <c:pt idx="141">
                  <c:v>1.22120352600282</c:v>
                </c:pt>
                <c:pt idx="142">
                  <c:v>1.22176583759945</c:v>
                </c:pt>
                <c:pt idx="143">
                  <c:v>1.222275655497</c:v>
                </c:pt>
                <c:pt idx="144">
                  <c:v>1.2228970193858999</c:v>
                </c:pt>
                <c:pt idx="145">
                  <c:v>1.22244244746807</c:v>
                </c:pt>
                <c:pt idx="146">
                  <c:v>1.2220532203882</c:v>
                </c:pt>
                <c:pt idx="147">
                  <c:v>1.2217072909476601</c:v>
                </c:pt>
                <c:pt idx="148">
                  <c:v>1.22131175954669</c:v>
                </c:pt>
                <c:pt idx="149">
                  <c:v>1.22088469388998</c:v>
                </c:pt>
                <c:pt idx="150">
                  <c:v>1.22038179060616</c:v>
                </c:pt>
                <c:pt idx="151">
                  <c:v>1.2198736716098399</c:v>
                </c:pt>
                <c:pt idx="152">
                  <c:v>1.21930714354331</c:v>
                </c:pt>
                <c:pt idx="153">
                  <c:v>1.21880597106818</c:v>
                </c:pt>
                <c:pt idx="154">
                  <c:v>1.2183246214786101</c:v>
                </c:pt>
                <c:pt idx="155">
                  <c:v>1.21833512740506</c:v>
                </c:pt>
                <c:pt idx="156">
                  <c:v>1.21821646968446</c:v>
                </c:pt>
                <c:pt idx="157">
                  <c:v>1.21823742848044</c:v>
                </c:pt>
                <c:pt idx="158">
                  <c:v>1.2181517502697601</c:v>
                </c:pt>
                <c:pt idx="159">
                  <c:v>1.21808105551124</c:v>
                </c:pt>
                <c:pt idx="160">
                  <c:v>1.2186269622914201</c:v>
                </c:pt>
                <c:pt idx="161">
                  <c:v>1.21916168539892</c:v>
                </c:pt>
                <c:pt idx="162">
                  <c:v>1.21976007882455</c:v>
                </c:pt>
                <c:pt idx="163">
                  <c:v>1.22022903774866</c:v>
                </c:pt>
                <c:pt idx="164">
                  <c:v>1.22066210148598</c:v>
                </c:pt>
                <c:pt idx="165">
                  <c:v>1.22118171776934</c:v>
                </c:pt>
                <c:pt idx="166">
                  <c:v>1.2212644915333499</c:v>
                </c:pt>
                <c:pt idx="167">
                  <c:v>1.2212659568983999</c:v>
                </c:pt>
                <c:pt idx="168">
                  <c:v>1.2212789606904799</c:v>
                </c:pt>
                <c:pt idx="169">
                  <c:v>1.22137849740716</c:v>
                </c:pt>
                <c:pt idx="170">
                  <c:v>1.2209044948051999</c:v>
                </c:pt>
                <c:pt idx="171">
                  <c:v>1.2204359875783199</c:v>
                </c:pt>
                <c:pt idx="172">
                  <c:v>1.2199267857829801</c:v>
                </c:pt>
                <c:pt idx="173">
                  <c:v>1.2195467752293601</c:v>
                </c:pt>
                <c:pt idx="174">
                  <c:v>1.2191121788780099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35-4FA2-856F-D587D7DFBEDD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IBDY/BSCX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1.2196457173660999</c:v>
                </c:pt>
                <c:pt idx="20">
                  <c:v>1.2196578734502199</c:v>
                </c:pt>
                <c:pt idx="21">
                  <c:v>1.2196203423283101</c:v>
                </c:pt>
                <c:pt idx="22">
                  <c:v>1.2195880147889899</c:v>
                </c:pt>
                <c:pt idx="23">
                  <c:v>1.2195566535149001</c:v>
                </c:pt>
                <c:pt idx="24">
                  <c:v>1.2195697999690001</c:v>
                </c:pt>
                <c:pt idx="25">
                  <c:v>1.21959810951265</c:v>
                </c:pt>
                <c:pt idx="26">
                  <c:v>1.2196243723801601</c:v>
                </c:pt>
                <c:pt idx="27">
                  <c:v>1.21959606753547</c:v>
                </c:pt>
                <c:pt idx="28">
                  <c:v>1.21962231067244</c:v>
                </c:pt>
                <c:pt idx="29">
                  <c:v>1.2196776690546101</c:v>
                </c:pt>
                <c:pt idx="30">
                  <c:v>1.2196613650857899</c:v>
                </c:pt>
                <c:pt idx="31">
                  <c:v>1.21949752430379</c:v>
                </c:pt>
                <c:pt idx="32">
                  <c:v>1.21929966507647</c:v>
                </c:pt>
                <c:pt idx="33">
                  <c:v>1.2191022270759999</c:v>
                </c:pt>
                <c:pt idx="34">
                  <c:v>1.2190972906574999</c:v>
                </c:pt>
                <c:pt idx="35">
                  <c:v>1.2191307807823999</c:v>
                </c:pt>
                <c:pt idx="36">
                  <c:v>1.21908403036881</c:v>
                </c:pt>
                <c:pt idx="37">
                  <c:v>1.2190167922648001</c:v>
                </c:pt>
                <c:pt idx="38">
                  <c:v>1.2189910644837201</c:v>
                </c:pt>
                <c:pt idx="39">
                  <c:v>1.218722991016</c:v>
                </c:pt>
                <c:pt idx="40">
                  <c:v>1.21870685808061</c:v>
                </c:pt>
                <c:pt idx="41">
                  <c:v>1.21874233880593</c:v>
                </c:pt>
                <c:pt idx="42">
                  <c:v>1.2187332084470399</c:v>
                </c:pt>
                <c:pt idx="43">
                  <c:v>1.2188051806817899</c:v>
                </c:pt>
                <c:pt idx="44">
                  <c:v>1.2187849318811399</c:v>
                </c:pt>
                <c:pt idx="45">
                  <c:v>1.21879202152793</c:v>
                </c:pt>
                <c:pt idx="46">
                  <c:v>1.2187249985381701</c:v>
                </c:pt>
                <c:pt idx="47">
                  <c:v>1.21873709777558</c:v>
                </c:pt>
                <c:pt idx="48">
                  <c:v>1.21874515303466</c:v>
                </c:pt>
                <c:pt idx="49">
                  <c:v>1.21872025192082</c:v>
                </c:pt>
                <c:pt idx="50">
                  <c:v>1.21871942827757</c:v>
                </c:pt>
                <c:pt idx="51">
                  <c:v>1.2186659336393399</c:v>
                </c:pt>
                <c:pt idx="52">
                  <c:v>1.2185974648631901</c:v>
                </c:pt>
                <c:pt idx="53">
                  <c:v>1.2185653054824399</c:v>
                </c:pt>
                <c:pt idx="54">
                  <c:v>1.21860148721082</c:v>
                </c:pt>
                <c:pt idx="55">
                  <c:v>1.2185599795595901</c:v>
                </c:pt>
                <c:pt idx="56">
                  <c:v>1.21857588688373</c:v>
                </c:pt>
                <c:pt idx="57">
                  <c:v>1.2186041659726301</c:v>
                </c:pt>
                <c:pt idx="58">
                  <c:v>1.21864593887465</c:v>
                </c:pt>
                <c:pt idx="59">
                  <c:v>1.2189013194588501</c:v>
                </c:pt>
                <c:pt idx="60">
                  <c:v>1.21915899828795</c:v>
                </c:pt>
                <c:pt idx="61">
                  <c:v>1.2191468929717</c:v>
                </c:pt>
                <c:pt idx="62">
                  <c:v>1.2191150999853599</c:v>
                </c:pt>
                <c:pt idx="63">
                  <c:v>1.2190264083993101</c:v>
                </c:pt>
                <c:pt idx="64">
                  <c:v>1.2189629767330299</c:v>
                </c:pt>
                <c:pt idx="65">
                  <c:v>1.2189405326367</c:v>
                </c:pt>
                <c:pt idx="66">
                  <c:v>1.2189792600787099</c:v>
                </c:pt>
                <c:pt idx="67">
                  <c:v>1.21902939181457</c:v>
                </c:pt>
                <c:pt idx="68">
                  <c:v>1.2190416277228799</c:v>
                </c:pt>
                <c:pt idx="69">
                  <c:v>1.2190120615698199</c:v>
                </c:pt>
                <c:pt idx="70">
                  <c:v>1.2190385001445001</c:v>
                </c:pt>
                <c:pt idx="71">
                  <c:v>1.21907324148625</c:v>
                </c:pt>
                <c:pt idx="72">
                  <c:v>1.21904893268943</c:v>
                </c:pt>
                <c:pt idx="73">
                  <c:v>1.2192967219312201</c:v>
                </c:pt>
                <c:pt idx="74">
                  <c:v>1.2192835905335699</c:v>
                </c:pt>
                <c:pt idx="75">
                  <c:v>1.2193046286618601</c:v>
                </c:pt>
                <c:pt idx="76">
                  <c:v>1.2193176098996701</c:v>
                </c:pt>
                <c:pt idx="77">
                  <c:v>1.2193123811415001</c:v>
                </c:pt>
                <c:pt idx="78">
                  <c:v>1.2192832884090099</c:v>
                </c:pt>
                <c:pt idx="79">
                  <c:v>1.21926481749145</c:v>
                </c:pt>
                <c:pt idx="80">
                  <c:v>1.2192858712311201</c:v>
                </c:pt>
                <c:pt idx="81">
                  <c:v>1.2195037764629</c:v>
                </c:pt>
                <c:pt idx="82">
                  <c:v>1.2195108630737499</c:v>
                </c:pt>
                <c:pt idx="83">
                  <c:v>1.2195519074336201</c:v>
                </c:pt>
                <c:pt idx="84">
                  <c:v>1.2196452336249799</c:v>
                </c:pt>
                <c:pt idx="85">
                  <c:v>1.2196994498220499</c:v>
                </c:pt>
                <c:pt idx="86">
                  <c:v>1.21972409992811</c:v>
                </c:pt>
                <c:pt idx="87">
                  <c:v>1.21971083346278</c:v>
                </c:pt>
                <c:pt idx="88">
                  <c:v>1.21973554791782</c:v>
                </c:pt>
                <c:pt idx="89">
                  <c:v>1.2197404818386799</c:v>
                </c:pt>
                <c:pt idx="90">
                  <c:v>1.2197069466300301</c:v>
                </c:pt>
                <c:pt idx="91">
                  <c:v>1.2196999254843801</c:v>
                </c:pt>
                <c:pt idx="92">
                  <c:v>1.21978723739141</c:v>
                </c:pt>
                <c:pt idx="93">
                  <c:v>1.2198245767289799</c:v>
                </c:pt>
                <c:pt idx="94">
                  <c:v>1.21983781061043</c:v>
                </c:pt>
                <c:pt idx="95">
                  <c:v>1.2198644484624299</c:v>
                </c:pt>
                <c:pt idx="96">
                  <c:v>1.21985425707102</c:v>
                </c:pt>
                <c:pt idx="97">
                  <c:v>1.21987271964424</c:v>
                </c:pt>
                <c:pt idx="98">
                  <c:v>1.21987530414569</c:v>
                </c:pt>
                <c:pt idx="99">
                  <c:v>1.21992011210836</c:v>
                </c:pt>
                <c:pt idx="100">
                  <c:v>1.2199437975654901</c:v>
                </c:pt>
                <c:pt idx="101">
                  <c:v>1.21997795513336</c:v>
                </c:pt>
                <c:pt idx="102">
                  <c:v>1.2200509684204599</c:v>
                </c:pt>
                <c:pt idx="103">
                  <c:v>1.22006949511325</c:v>
                </c:pt>
                <c:pt idx="104">
                  <c:v>1.2200819889449099</c:v>
                </c:pt>
                <c:pt idx="105">
                  <c:v>1.220083250836</c:v>
                </c:pt>
                <c:pt idx="106">
                  <c:v>1.22012904564283</c:v>
                </c:pt>
                <c:pt idx="107">
                  <c:v>1.22008698043761</c:v>
                </c:pt>
                <c:pt idx="108">
                  <c:v>1.2200696707532099</c:v>
                </c:pt>
                <c:pt idx="109">
                  <c:v>1.2201182358746201</c:v>
                </c:pt>
                <c:pt idx="110">
                  <c:v>1.2201810313829</c:v>
                </c:pt>
                <c:pt idx="111">
                  <c:v>1.22019134402869</c:v>
                </c:pt>
                <c:pt idx="112">
                  <c:v>1.22010564576183</c:v>
                </c:pt>
                <c:pt idx="113">
                  <c:v>1.2198266882143001</c:v>
                </c:pt>
                <c:pt idx="114">
                  <c:v>1.21961018480651</c:v>
                </c:pt>
                <c:pt idx="115">
                  <c:v>1.21936507401462</c:v>
                </c:pt>
                <c:pt idx="116">
                  <c:v>1.21941276118677</c:v>
                </c:pt>
                <c:pt idx="117">
                  <c:v>1.2194550829272901</c:v>
                </c:pt>
                <c:pt idx="118">
                  <c:v>1.2195078397353001</c:v>
                </c:pt>
                <c:pt idx="119">
                  <c:v>1.2194682852824199</c:v>
                </c:pt>
                <c:pt idx="120">
                  <c:v>1.21946300315633</c:v>
                </c:pt>
                <c:pt idx="121">
                  <c:v>1.2194813940607601</c:v>
                </c:pt>
                <c:pt idx="122">
                  <c:v>1.21973146379012</c:v>
                </c:pt>
                <c:pt idx="123">
                  <c:v>1.2197015784346701</c:v>
                </c:pt>
                <c:pt idx="124">
                  <c:v>1.2196541175898701</c:v>
                </c:pt>
                <c:pt idx="125">
                  <c:v>1.2196881998323801</c:v>
                </c:pt>
                <c:pt idx="126">
                  <c:v>1.21959287094772</c:v>
                </c:pt>
                <c:pt idx="127">
                  <c:v>1.21961880770844</c:v>
                </c:pt>
                <c:pt idx="128">
                  <c:v>1.21963131936935</c:v>
                </c:pt>
                <c:pt idx="129">
                  <c:v>1.21963868735953</c:v>
                </c:pt>
                <c:pt idx="130">
                  <c:v>1.2195540862574701</c:v>
                </c:pt>
                <c:pt idx="131">
                  <c:v>1.2195387377187701</c:v>
                </c:pt>
                <c:pt idx="132">
                  <c:v>1.2195685590120799</c:v>
                </c:pt>
                <c:pt idx="133">
                  <c:v>1.2195955720776099</c:v>
                </c:pt>
                <c:pt idx="134">
                  <c:v>1.2195604521013399</c:v>
                </c:pt>
                <c:pt idx="135">
                  <c:v>1.2197924157876501</c:v>
                </c:pt>
                <c:pt idx="136">
                  <c:v>1.21976362007216</c:v>
                </c:pt>
                <c:pt idx="137">
                  <c:v>1.2196946905263399</c:v>
                </c:pt>
                <c:pt idx="138">
                  <c:v>1.21967136173489</c:v>
                </c:pt>
                <c:pt idx="139">
                  <c:v>1.21971164952773</c:v>
                </c:pt>
                <c:pt idx="140">
                  <c:v>1.2196936114663901</c:v>
                </c:pt>
                <c:pt idx="141">
                  <c:v>1.21971280370413</c:v>
                </c:pt>
                <c:pt idx="142">
                  <c:v>1.2196975568658399</c:v>
                </c:pt>
                <c:pt idx="143">
                  <c:v>1.2199939172121701</c:v>
                </c:pt>
                <c:pt idx="144">
                  <c:v>1.2203035585470601</c:v>
                </c:pt>
                <c:pt idx="145">
                  <c:v>1.22026898548101</c:v>
                </c:pt>
                <c:pt idx="146">
                  <c:v>1.2203845574657399</c:v>
                </c:pt>
                <c:pt idx="147">
                  <c:v>1.2204210777173199</c:v>
                </c:pt>
                <c:pt idx="148">
                  <c:v>1.22045686016007</c:v>
                </c:pt>
                <c:pt idx="149">
                  <c:v>1.22048522930544</c:v>
                </c:pt>
                <c:pt idx="150">
                  <c:v>1.2205134088860801</c:v>
                </c:pt>
                <c:pt idx="151">
                  <c:v>1.22053859880633</c:v>
                </c:pt>
                <c:pt idx="152">
                  <c:v>1.22053649057138</c:v>
                </c:pt>
                <c:pt idx="153">
                  <c:v>1.2205408132825899</c:v>
                </c:pt>
                <c:pt idx="154">
                  <c:v>1.2206108204322501</c:v>
                </c:pt>
                <c:pt idx="155">
                  <c:v>1.22038878743657</c:v>
                </c:pt>
                <c:pt idx="156">
                  <c:v>1.2201348450363301</c:v>
                </c:pt>
                <c:pt idx="157">
                  <c:v>1.2199723597140499</c:v>
                </c:pt>
                <c:pt idx="158">
                  <c:v>1.2197317549082201</c:v>
                </c:pt>
                <c:pt idx="159">
                  <c:v>1.2194828747006099</c:v>
                </c:pt>
                <c:pt idx="160">
                  <c:v>1.2195043764487901</c:v>
                </c:pt>
                <c:pt idx="161">
                  <c:v>1.21951767850438</c:v>
                </c:pt>
                <c:pt idx="162">
                  <c:v>1.2195336111839301</c:v>
                </c:pt>
                <c:pt idx="163">
                  <c:v>1.2195175044084201</c:v>
                </c:pt>
                <c:pt idx="164">
                  <c:v>1.2194933614823</c:v>
                </c:pt>
                <c:pt idx="165">
                  <c:v>1.2197584225872</c:v>
                </c:pt>
                <c:pt idx="166">
                  <c:v>1.21974048060891</c:v>
                </c:pt>
                <c:pt idx="167">
                  <c:v>1.2197516926894201</c:v>
                </c:pt>
                <c:pt idx="168">
                  <c:v>1.2197153554801199</c:v>
                </c:pt>
                <c:pt idx="169">
                  <c:v>1.2197297764592001</c:v>
                </c:pt>
                <c:pt idx="170">
                  <c:v>1.2197657285483099</c:v>
                </c:pt>
                <c:pt idx="171">
                  <c:v>1.2197988364886201</c:v>
                </c:pt>
                <c:pt idx="172">
                  <c:v>1.2198434323037699</c:v>
                </c:pt>
                <c:pt idx="173">
                  <c:v>1.21988790648901</c:v>
                </c:pt>
                <c:pt idx="174">
                  <c:v>1.21988714018199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35-4FA2-856F-D587D7DFB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BSCX* x 10 dma / IBDY*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-5.0040509091067503E-4</c:v>
                </c:pt>
                <c:pt idx="11">
                  <c:v>6.6370748099623105E-4</c:v>
                </c:pt>
                <c:pt idx="12">
                  <c:v>-2.8812853450742803E-4</c:v>
                </c:pt>
                <c:pt idx="13">
                  <c:v>1.4132423022479701E-4</c:v>
                </c:pt>
                <c:pt idx="14">
                  <c:v>2.7111373067336699E-4</c:v>
                </c:pt>
                <c:pt idx="15">
                  <c:v>-8.4019038776092807E-5</c:v>
                </c:pt>
                <c:pt idx="16">
                  <c:v>-9.6875835670432798E-4</c:v>
                </c:pt>
                <c:pt idx="17">
                  <c:v>-6.7001237718208797E-4</c:v>
                </c:pt>
                <c:pt idx="18">
                  <c:v>-8.0955840389290804E-5</c:v>
                </c:pt>
                <c:pt idx="19">
                  <c:v>-3.9792862412634298E-4</c:v>
                </c:pt>
                <c:pt idx="20">
                  <c:v>1.31046970120586E-4</c:v>
                </c:pt>
                <c:pt idx="21">
                  <c:v>4.67264201869344E-4</c:v>
                </c:pt>
                <c:pt idx="22">
                  <c:v>2.6464840063424899E-5</c:v>
                </c:pt>
                <c:pt idx="23">
                  <c:v>4.5898339190173399E-4</c:v>
                </c:pt>
                <c:pt idx="24">
                  <c:v>-3.1618043342308502E-4</c:v>
                </c:pt>
                <c:pt idx="25">
                  <c:v>2.2681457121879401E-4</c:v>
                </c:pt>
                <c:pt idx="26">
                  <c:v>-2.8246397264776999E-4</c:v>
                </c:pt>
                <c:pt idx="27">
                  <c:v>3.56655712517597E-4</c:v>
                </c:pt>
                <c:pt idx="28">
                  <c:v>1.7209843830183399E-4</c:v>
                </c:pt>
                <c:pt idx="29">
                  <c:v>-5.7135779299182497E-4</c:v>
                </c:pt>
                <c:pt idx="30">
                  <c:v>-1.7931533455525499E-4</c:v>
                </c:pt>
                <c:pt idx="31">
                  <c:v>-6.1837426837205297E-4</c:v>
                </c:pt>
                <c:pt idx="32">
                  <c:v>-8.0806619323718404E-4</c:v>
                </c:pt>
                <c:pt idx="33">
                  <c:v>-2.5924058526774599E-4</c:v>
                </c:pt>
                <c:pt idx="34">
                  <c:v>6.5819326236668898E-4</c:v>
                </c:pt>
                <c:pt idx="35">
                  <c:v>-3.3242303332024E-4</c:v>
                </c:pt>
                <c:pt idx="36">
                  <c:v>1.11351233876332E-4</c:v>
                </c:pt>
                <c:pt idx="37">
                  <c:v>6.3019597556396095E-4</c:v>
                </c:pt>
                <c:pt idx="38">
                  <c:v>4.8979654114167099E-4</c:v>
                </c:pt>
                <c:pt idx="39">
                  <c:v>1.8365741786333201E-4</c:v>
                </c:pt>
                <c:pt idx="40">
                  <c:v>4.3140513386766499E-4</c:v>
                </c:pt>
                <c:pt idx="41">
                  <c:v>-6.8788703058031395E-5</c:v>
                </c:pt>
                <c:pt idx="42">
                  <c:v>1.5433058080906699E-4</c:v>
                </c:pt>
                <c:pt idx="43">
                  <c:v>-8.1749112742111202E-4</c:v>
                </c:pt>
                <c:pt idx="44">
                  <c:v>-3.5120158490691202E-5</c:v>
                </c:pt>
                <c:pt idx="45">
                  <c:v>2.7232097597153801E-5</c:v>
                </c:pt>
                <c:pt idx="46">
                  <c:v>6.7747227018165703E-4</c:v>
                </c:pt>
                <c:pt idx="47">
                  <c:v>-1.66479090003173E-5</c:v>
                </c:pt>
                <c:pt idx="48">
                  <c:v>-1.3574794715897899E-5</c:v>
                </c:pt>
                <c:pt idx="49">
                  <c:v>-1.69881474362537E-4</c:v>
                </c:pt>
                <c:pt idx="50">
                  <c:v>-1.7009166205452501E-4</c:v>
                </c:pt>
                <c:pt idx="51">
                  <c:v>2.7554356921784099E-4</c:v>
                </c:pt>
                <c:pt idx="52">
                  <c:v>1.85758452661816E-4</c:v>
                </c:pt>
                <c:pt idx="53">
                  <c:v>4.3420011060682E-5</c:v>
                </c:pt>
                <c:pt idx="54">
                  <c:v>-2.1233656328124799E-4</c:v>
                </c:pt>
                <c:pt idx="55">
                  <c:v>1.4856338831539399E-4</c:v>
                </c:pt>
                <c:pt idx="56">
                  <c:v>-4.4443091388921501E-4</c:v>
                </c:pt>
                <c:pt idx="57">
                  <c:v>2.48618986639E-5</c:v>
                </c:pt>
                <c:pt idx="58">
                  <c:v>-3.0843279201117499E-4</c:v>
                </c:pt>
                <c:pt idx="59">
                  <c:v>-2.0482965266384399E-4</c:v>
                </c:pt>
                <c:pt idx="60">
                  <c:v>4.0017856325295497E-5</c:v>
                </c:pt>
                <c:pt idx="61">
                  <c:v>-1.15134224029326E-4</c:v>
                </c:pt>
                <c:pt idx="62">
                  <c:v>5.0560535261374897E-4</c:v>
                </c:pt>
                <c:pt idx="63">
                  <c:v>5.3078689367878397E-4</c:v>
                </c:pt>
                <c:pt idx="64">
                  <c:v>8.1898758479536195E-4</c:v>
                </c:pt>
                <c:pt idx="65">
                  <c:v>7.5874400871566206E-5</c:v>
                </c:pt>
                <c:pt idx="66">
                  <c:v>-2.1674305110731701E-4</c:v>
                </c:pt>
                <c:pt idx="67">
                  <c:v>-1.0355142731245401E-3</c:v>
                </c:pt>
                <c:pt idx="68">
                  <c:v>-3.5791940768551198E-4</c:v>
                </c:pt>
                <c:pt idx="69">
                  <c:v>1.41703096263268E-4</c:v>
                </c:pt>
                <c:pt idx="70">
                  <c:v>-8.2298330585421403E-4</c:v>
                </c:pt>
                <c:pt idx="71">
                  <c:v>-4.8408442991731298E-4</c:v>
                </c:pt>
                <c:pt idx="72">
                  <c:v>4.6211320357330697E-4</c:v>
                </c:pt>
                <c:pt idx="73">
                  <c:v>-1.81855698167998E-4</c:v>
                </c:pt>
                <c:pt idx="74">
                  <c:v>7.22186183473669E-5</c:v>
                </c:pt>
                <c:pt idx="75">
                  <c:v>-5.3991141362603703E-5</c:v>
                </c:pt>
                <c:pt idx="76">
                  <c:v>-4.2384306638087099E-4</c:v>
                </c:pt>
                <c:pt idx="77">
                  <c:v>2.62479785852078E-4</c:v>
                </c:pt>
                <c:pt idx="78">
                  <c:v>2.2586439948438499E-4</c:v>
                </c:pt>
                <c:pt idx="79">
                  <c:v>1.1024901126179301E-4</c:v>
                </c:pt>
                <c:pt idx="80">
                  <c:v>-2.3165106616261099E-4</c:v>
                </c:pt>
                <c:pt idx="81">
                  <c:v>4.5359066684527499E-4</c:v>
                </c:pt>
                <c:pt idx="82">
                  <c:v>4.1885468666242898E-4</c:v>
                </c:pt>
                <c:pt idx="83">
                  <c:v>-6.9197941864673895E-5</c:v>
                </c:pt>
                <c:pt idx="84">
                  <c:v>-5.8772630267152804E-4</c:v>
                </c:pt>
                <c:pt idx="85">
                  <c:v>-5.3490146332545098E-4</c:v>
                </c:pt>
                <c:pt idx="86">
                  <c:v>-3.0946131034688602E-4</c:v>
                </c:pt>
                <c:pt idx="87">
                  <c:v>-5.0311521522363497E-4</c:v>
                </c:pt>
                <c:pt idx="88">
                  <c:v>-4.7120088888991498E-4</c:v>
                </c:pt>
                <c:pt idx="89">
                  <c:v>4.1716818840323799E-4</c:v>
                </c:pt>
                <c:pt idx="90">
                  <c:v>1.0403801528509101E-4</c:v>
                </c:pt>
                <c:pt idx="91">
                  <c:v>-8.3475480766601696E-5</c:v>
                </c:pt>
                <c:pt idx="92">
                  <c:v>-6.3776998804107197E-4</c:v>
                </c:pt>
                <c:pt idx="93">
                  <c:v>-1.19135972703463E-4</c:v>
                </c:pt>
                <c:pt idx="94">
                  <c:v>4.9485727734177197E-4</c:v>
                </c:pt>
                <c:pt idx="95">
                  <c:v>-1.7854927417122399E-5</c:v>
                </c:pt>
                <c:pt idx="96">
                  <c:v>1.3019589799693099E-4</c:v>
                </c:pt>
                <c:pt idx="97">
                  <c:v>2.7919676752116598E-4</c:v>
                </c:pt>
                <c:pt idx="98">
                  <c:v>5.1000031956477496E-4</c:v>
                </c:pt>
                <c:pt idx="99">
                  <c:v>-3.3884924651252698E-4</c:v>
                </c:pt>
                <c:pt idx="100">
                  <c:v>-3.1414740344186198E-4</c:v>
                </c:pt>
                <c:pt idx="101">
                  <c:v>2.8099700644952002E-4</c:v>
                </c:pt>
                <c:pt idx="102">
                  <c:v>-2.71152009234273E-4</c:v>
                </c:pt>
                <c:pt idx="103">
                  <c:v>7.6999351322588303E-5</c:v>
                </c:pt>
                <c:pt idx="104">
                  <c:v>-3.7175116781609498E-4</c:v>
                </c:pt>
                <c:pt idx="105">
                  <c:v>-1.3904946604471899E-4</c:v>
                </c:pt>
                <c:pt idx="106">
                  <c:v>-6.71839416323035E-4</c:v>
                </c:pt>
                <c:pt idx="107">
                  <c:v>6.3708665726834005E-4</c:v>
                </c:pt>
                <c:pt idx="108">
                  <c:v>1.72515560621067E-4</c:v>
                </c:pt>
                <c:pt idx="109">
                  <c:v>-3.8289225314181597E-5</c:v>
                </c:pt>
                <c:pt idx="110">
                  <c:v>-5.7596172180122995E-4</c:v>
                </c:pt>
                <c:pt idx="111">
                  <c:v>1.3914094943171199E-4</c:v>
                </c:pt>
                <c:pt idx="112">
                  <c:v>1.0906122583078299E-3</c:v>
                </c:pt>
                <c:pt idx="113">
                  <c:v>3.71618976288476E-4</c:v>
                </c:pt>
                <c:pt idx="114">
                  <c:v>-1.03171445482925E-4</c:v>
                </c:pt>
                <c:pt idx="115">
                  <c:v>-8.9981031820610496E-5</c:v>
                </c:pt>
                <c:pt idx="116">
                  <c:v>-7.0082137612925395E-4</c:v>
                </c:pt>
                <c:pt idx="117">
                  <c:v>-4.52067514586869E-4</c:v>
                </c:pt>
                <c:pt idx="118">
                  <c:v>-2.36954465839311E-4</c:v>
                </c:pt>
                <c:pt idx="119">
                  <c:v>5.1649810483438998E-4</c:v>
                </c:pt>
                <c:pt idx="120">
                  <c:v>-1.3241266934706101E-4</c:v>
                </c:pt>
                <c:pt idx="121">
                  <c:v>-1.4878406715361001E-5</c:v>
                </c:pt>
                <c:pt idx="122">
                  <c:v>-3.7821725856905498E-4</c:v>
                </c:pt>
                <c:pt idx="123">
                  <c:v>5.43109249490748E-4</c:v>
                </c:pt>
                <c:pt idx="124">
                  <c:v>4.0526773117018203E-4</c:v>
                </c:pt>
                <c:pt idx="125">
                  <c:v>-7.7331792230949205E-4</c:v>
                </c:pt>
                <c:pt idx="126">
                  <c:v>8.4563991083666805E-4</c:v>
                </c:pt>
                <c:pt idx="127">
                  <c:v>-4.0427716154471501E-6</c:v>
                </c:pt>
                <c:pt idx="128">
                  <c:v>-2.56985003318007E-4</c:v>
                </c:pt>
                <c:pt idx="129">
                  <c:v>-4.2809676307146901E-4</c:v>
                </c:pt>
                <c:pt idx="130">
                  <c:v>6.0442672223928902E-4</c:v>
                </c:pt>
                <c:pt idx="131">
                  <c:v>1.0074622716506E-4</c:v>
                </c:pt>
                <c:pt idx="132">
                  <c:v>2.91277376195242E-4</c:v>
                </c:pt>
                <c:pt idx="133">
                  <c:v>-3.2489517746199102E-4</c:v>
                </c:pt>
                <c:pt idx="134">
                  <c:v>2.9066853806826399E-4</c:v>
                </c:pt>
                <c:pt idx="135">
                  <c:v>1.6046589380649701E-4</c:v>
                </c:pt>
                <c:pt idx="136">
                  <c:v>-2.7679913601821301E-4</c:v>
                </c:pt>
                <c:pt idx="137">
                  <c:v>7.0912811841798099E-4</c:v>
                </c:pt>
                <c:pt idx="138">
                  <c:v>4.5567777061576203E-5</c:v>
                </c:pt>
                <c:pt idx="139">
                  <c:v>-2.9590421153632599E-4</c:v>
                </c:pt>
                <c:pt idx="140">
                  <c:v>1.3244814355058301E-5</c:v>
                </c:pt>
                <c:pt idx="141">
                  <c:v>-3.8538773337109102E-4</c:v>
                </c:pt>
                <c:pt idx="142">
                  <c:v>-1.69314959535325E-4</c:v>
                </c:pt>
                <c:pt idx="143">
                  <c:v>-2.6563502004672802E-4</c:v>
                </c:pt>
                <c:pt idx="144">
                  <c:v>-6.0712694875460097E-4</c:v>
                </c:pt>
                <c:pt idx="145">
                  <c:v>-1.71061146614071E-4</c:v>
                </c:pt>
                <c:pt idx="146">
                  <c:v>-9.9788419749372395E-4</c:v>
                </c:pt>
                <c:pt idx="147">
                  <c:v>-3.5986374909236499E-4</c:v>
                </c:pt>
                <c:pt idx="148">
                  <c:v>-4.4022369399873999E-4</c:v>
                </c:pt>
                <c:pt idx="149">
                  <c:v>-4.0277635878584802E-4</c:v>
                </c:pt>
                <c:pt idx="150">
                  <c:v>6.0454932319349802E-4</c:v>
                </c:pt>
                <c:pt idx="151">
                  <c:v>2.1870021260318999E-4</c:v>
                </c:pt>
                <c:pt idx="152">
                  <c:v>8.4735852733168102E-4</c:v>
                </c:pt>
                <c:pt idx="153">
                  <c:v>1.4696394679803701E-4</c:v>
                </c:pt>
                <c:pt idx="154">
                  <c:v>-3.5576595236629999E-4</c:v>
                </c:pt>
                <c:pt idx="155">
                  <c:v>9.2561173884045099E-5</c:v>
                </c:pt>
                <c:pt idx="156">
                  <c:v>2.6870426215772699E-4</c:v>
                </c:pt>
                <c:pt idx="157">
                  <c:v>-3.8942299177551398E-4</c:v>
                </c:pt>
                <c:pt idx="158">
                  <c:v>2.7458924614516501E-4</c:v>
                </c:pt>
                <c:pt idx="159">
                  <c:v>3.86208440067718E-5</c:v>
                </c:pt>
                <c:pt idx="160">
                  <c:v>2.8685324526796398E-4</c:v>
                </c:pt>
                <c:pt idx="161">
                  <c:v>-1.8550787554405198E-5</c:v>
                </c:pt>
                <c:pt idx="162">
                  <c:v>1.14263247148907E-4</c:v>
                </c:pt>
                <c:pt idx="163">
                  <c:v>5.4794568634682799E-4</c:v>
                </c:pt>
                <c:pt idx="164">
                  <c:v>2.9497592562961701E-4</c:v>
                </c:pt>
                <c:pt idx="165">
                  <c:v>-3.8319830528555797E-5</c:v>
                </c:pt>
                <c:pt idx="166">
                  <c:v>-3.0852518043292802E-4</c:v>
                </c:pt>
                <c:pt idx="167">
                  <c:v>-1.9563497397374899E-4</c:v>
                </c:pt>
                <c:pt idx="168">
                  <c:v>3.21430087590556E-4</c:v>
                </c:pt>
                <c:pt idx="169">
                  <c:v>-5.5924960270412798E-4</c:v>
                </c:pt>
                <c:pt idx="170">
                  <c:v>8.4857675437480703E-5</c:v>
                </c:pt>
                <c:pt idx="171">
                  <c:v>-2.39802424685925E-4</c:v>
                </c:pt>
                <c:pt idx="172">
                  <c:v>2.2529319696056599E-4</c:v>
                </c:pt>
                <c:pt idx="173">
                  <c:v>-4.3547377428039498E-4</c:v>
                </c:pt>
                <c:pt idx="174">
                  <c:v>-1.3112875777332699E-4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8-45E7-94F0-3DE6ED75628F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BSCX* x 20 dma / IBDY*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4.7070393939373298E-5</c:v>
                </c:pt>
                <c:pt idx="21">
                  <c:v>4.4056676398014898E-4</c:v>
                </c:pt>
                <c:pt idx="22">
                  <c:v>-5.5013118483277297E-5</c:v>
                </c:pt>
                <c:pt idx="23">
                  <c:v>3.6703904232503101E-4</c:v>
                </c:pt>
                <c:pt idx="24">
                  <c:v>-4.1950683484983698E-4</c:v>
                </c:pt>
                <c:pt idx="25">
                  <c:v>5.5757967496847003E-5</c:v>
                </c:pt>
                <c:pt idx="26">
                  <c:v>-4.3244856254719398E-4</c:v>
                </c:pt>
                <c:pt idx="27">
                  <c:v>2.67738537458852E-4</c:v>
                </c:pt>
                <c:pt idx="28">
                  <c:v>1.4580388202067599E-4</c:v>
                </c:pt>
                <c:pt idx="29">
                  <c:v>-5.5509438085638702E-4</c:v>
                </c:pt>
                <c:pt idx="30">
                  <c:v>-1.30867093737604E-4</c:v>
                </c:pt>
                <c:pt idx="31">
                  <c:v>-6.0377862787693297E-4</c:v>
                </c:pt>
                <c:pt idx="32">
                  <c:v>-8.3381027989117896E-4</c:v>
                </c:pt>
                <c:pt idx="33">
                  <c:v>-3.3687916810099899E-4</c:v>
                </c:pt>
                <c:pt idx="34">
                  <c:v>5.3020863237555199E-4</c:v>
                </c:pt>
                <c:pt idx="35">
                  <c:v>-3.8481142708532201E-4</c:v>
                </c:pt>
                <c:pt idx="36">
                  <c:v>2.7330290030352E-5</c:v>
                </c:pt>
                <c:pt idx="37">
                  <c:v>5.3813949933625396E-4</c:v>
                </c:pt>
                <c:pt idx="38">
                  <c:v>3.59766656824197E-4</c:v>
                </c:pt>
                <c:pt idx="39">
                  <c:v>4.6485635680132799E-5</c:v>
                </c:pt>
                <c:pt idx="40">
                  <c:v>3.25312762568198E-4</c:v>
                </c:pt>
                <c:pt idx="41">
                  <c:v>-1.442877879001E-4</c:v>
                </c:pt>
                <c:pt idx="42">
                  <c:v>1.5158781927415699E-4</c:v>
                </c:pt>
                <c:pt idx="43">
                  <c:v>-7.2805132171961499E-4</c:v>
                </c:pt>
                <c:pt idx="44">
                  <c:v>7.9007361766881396E-5</c:v>
                </c:pt>
                <c:pt idx="45">
                  <c:v>8.2196222071316804E-5</c:v>
                </c:pt>
                <c:pt idx="46">
                  <c:v>7.8912532911875905E-4</c:v>
                </c:pt>
                <c:pt idx="47">
                  <c:v>1.2318136775695099E-4</c:v>
                </c:pt>
                <c:pt idx="48">
                  <c:v>1.03426364218802E-4</c:v>
                </c:pt>
                <c:pt idx="49">
                  <c:v>-6.92291687236373E-5</c:v>
                </c:pt>
                <c:pt idx="50">
                  <c:v>-1.01089498423939E-4</c:v>
                </c:pt>
                <c:pt idx="51">
                  <c:v>3.0144879677479301E-4</c:v>
                </c:pt>
                <c:pt idx="52">
                  <c:v>2.11534812083899E-4</c:v>
                </c:pt>
                <c:pt idx="53">
                  <c:v>2.54812488965352E-5</c:v>
                </c:pt>
                <c:pt idx="54">
                  <c:v>-1.7002549497272101E-4</c:v>
                </c:pt>
                <c:pt idx="55">
                  <c:v>2.09493307143125E-4</c:v>
                </c:pt>
                <c:pt idx="56">
                  <c:v>-3.9482687364536902E-4</c:v>
                </c:pt>
                <c:pt idx="57">
                  <c:v>-1.61244290580792E-5</c:v>
                </c:pt>
                <c:pt idx="58">
                  <c:v>-3.33085944788007E-4</c:v>
                </c:pt>
                <c:pt idx="59">
                  <c:v>-2.33225679371278E-4</c:v>
                </c:pt>
                <c:pt idx="60">
                  <c:v>1.46468645633352E-5</c:v>
                </c:pt>
                <c:pt idx="61">
                  <c:v>-1.0936390100306999E-4</c:v>
                </c:pt>
                <c:pt idx="62">
                  <c:v>4.7261515356808198E-4</c:v>
                </c:pt>
                <c:pt idx="63">
                  <c:v>5.0633666037677304E-4</c:v>
                </c:pt>
                <c:pt idx="64">
                  <c:v>7.7518635660162104E-4</c:v>
                </c:pt>
                <c:pt idx="65">
                  <c:v>8.3874634423456305E-5</c:v>
                </c:pt>
                <c:pt idx="66">
                  <c:v>-2.2373614165742601E-4</c:v>
                </c:pt>
                <c:pt idx="67">
                  <c:v>-9.8068838671884202E-4</c:v>
                </c:pt>
                <c:pt idx="68">
                  <c:v>-3.4863259486811899E-4</c:v>
                </c:pt>
                <c:pt idx="69">
                  <c:v>1.6665429231813399E-4</c:v>
                </c:pt>
                <c:pt idx="70">
                  <c:v>-7.7362020345549901E-4</c:v>
                </c:pt>
                <c:pt idx="71">
                  <c:v>-4.8092052416116502E-4</c:v>
                </c:pt>
                <c:pt idx="72">
                  <c:v>4.6609591926523899E-4</c:v>
                </c:pt>
                <c:pt idx="73">
                  <c:v>-1.9233704280599499E-4</c:v>
                </c:pt>
                <c:pt idx="74">
                  <c:v>3.1505197257962199E-6</c:v>
                </c:pt>
                <c:pt idx="75">
                  <c:v>-2.14441366441432E-4</c:v>
                </c:pt>
                <c:pt idx="76">
                  <c:v>-6.0399102662175397E-4</c:v>
                </c:pt>
                <c:pt idx="77">
                  <c:v>4.3276381359531103E-5</c:v>
                </c:pt>
                <c:pt idx="78">
                  <c:v>9.7191987673273799E-5</c:v>
                </c:pt>
                <c:pt idx="79">
                  <c:v>-5.5899405218652299E-7</c:v>
                </c:pt>
                <c:pt idx="80">
                  <c:v>-3.7492914757791102E-4</c:v>
                </c:pt>
                <c:pt idx="81">
                  <c:v>3.6377947481762597E-4</c:v>
                </c:pt>
                <c:pt idx="82">
                  <c:v>3.8507715700679201E-4</c:v>
                </c:pt>
                <c:pt idx="83">
                  <c:v>-1.0673793409661101E-4</c:v>
                </c:pt>
                <c:pt idx="84">
                  <c:v>-5.8671586985578898E-4</c:v>
                </c:pt>
                <c:pt idx="85">
                  <c:v>-5.2257381274043195E-4</c:v>
                </c:pt>
                <c:pt idx="86">
                  <c:v>-2.97417684438922E-4</c:v>
                </c:pt>
                <c:pt idx="87">
                  <c:v>-4.5576983668221501E-4</c:v>
                </c:pt>
                <c:pt idx="88">
                  <c:v>-5.0039202778939796E-4</c:v>
                </c:pt>
                <c:pt idx="89">
                  <c:v>3.3388520075082999E-4</c:v>
                </c:pt>
                <c:pt idx="90">
                  <c:v>4.0419473767501901E-5</c:v>
                </c:pt>
                <c:pt idx="91">
                  <c:v>-1.5191505836445801E-4</c:v>
                </c:pt>
                <c:pt idx="92">
                  <c:v>-7.7779077082590299E-4</c:v>
                </c:pt>
                <c:pt idx="93">
                  <c:v>-3.2043600476199598E-4</c:v>
                </c:pt>
                <c:pt idx="94">
                  <c:v>2.6905749705064398E-4</c:v>
                </c:pt>
                <c:pt idx="95">
                  <c:v>-1.79221562487054E-4</c:v>
                </c:pt>
                <c:pt idx="96">
                  <c:v>1.35935199719598E-6</c:v>
                </c:pt>
                <c:pt idx="97">
                  <c:v>1.52531932334411E-4</c:v>
                </c:pt>
                <c:pt idx="98">
                  <c:v>4.4332813213942797E-4</c:v>
                </c:pt>
                <c:pt idx="99">
                  <c:v>-3.2535827095311599E-4</c:v>
                </c:pt>
                <c:pt idx="100">
                  <c:v>-3.4412051744561002E-4</c:v>
                </c:pt>
                <c:pt idx="101">
                  <c:v>2.1669515171458099E-4</c:v>
                </c:pt>
                <c:pt idx="102">
                  <c:v>-2.8997648210284203E-4</c:v>
                </c:pt>
                <c:pt idx="103">
                  <c:v>1.4146043862709601E-4</c:v>
                </c:pt>
                <c:pt idx="104">
                  <c:v>-2.6840650206905599E-4</c:v>
                </c:pt>
                <c:pt idx="105">
                  <c:v>-1.00248155161913E-4</c:v>
                </c:pt>
                <c:pt idx="106">
                  <c:v>-6.4493399092078205E-4</c:v>
                </c:pt>
                <c:pt idx="107">
                  <c:v>6.1747281141870099E-4</c:v>
                </c:pt>
                <c:pt idx="108">
                  <c:v>1.4237908659094599E-4</c:v>
                </c:pt>
                <c:pt idx="109">
                  <c:v>-1.30692803471748E-4</c:v>
                </c:pt>
                <c:pt idx="110">
                  <c:v>-6.2613098486057398E-4</c:v>
                </c:pt>
                <c:pt idx="111">
                  <c:v>9.4764671481862398E-5</c:v>
                </c:pt>
                <c:pt idx="112">
                  <c:v>1.02291837604582E-3</c:v>
                </c:pt>
                <c:pt idx="113">
                  <c:v>3.4876028042690602E-4</c:v>
                </c:pt>
                <c:pt idx="114">
                  <c:v>-1.29842203772827E-4</c:v>
                </c:pt>
                <c:pt idx="115">
                  <c:v>-7.2890960155403794E-5</c:v>
                </c:pt>
                <c:pt idx="116">
                  <c:v>-6.7738827455760399E-4</c:v>
                </c:pt>
                <c:pt idx="117">
                  <c:v>-3.9031696084868299E-4</c:v>
                </c:pt>
                <c:pt idx="118">
                  <c:v>-2.39410579183303E-4</c:v>
                </c:pt>
                <c:pt idx="119">
                  <c:v>5.1320284417572795E-4</c:v>
                </c:pt>
                <c:pt idx="120">
                  <c:v>-1.1409162605410199E-4</c:v>
                </c:pt>
                <c:pt idx="121">
                  <c:v>4.5577950760100397E-5</c:v>
                </c:pt>
                <c:pt idx="122">
                  <c:v>-3.0788830211390901E-4</c:v>
                </c:pt>
                <c:pt idx="123">
                  <c:v>4.8575884574762399E-4</c:v>
                </c:pt>
                <c:pt idx="124">
                  <c:v>3.38313615464367E-4</c:v>
                </c:pt>
                <c:pt idx="125">
                  <c:v>-8.3231420678787698E-4</c:v>
                </c:pt>
                <c:pt idx="126">
                  <c:v>7.4240426057484502E-4</c:v>
                </c:pt>
                <c:pt idx="127">
                  <c:v>-4.1186190048481599E-5</c:v>
                </c:pt>
                <c:pt idx="128">
                  <c:v>-2.2715889357911501E-4</c:v>
                </c:pt>
                <c:pt idx="129">
                  <c:v>-3.7556882614015201E-4</c:v>
                </c:pt>
                <c:pt idx="130">
                  <c:v>5.8757379741291096E-4</c:v>
                </c:pt>
                <c:pt idx="131">
                  <c:v>9.5023124433400597E-5</c:v>
                </c:pt>
                <c:pt idx="132">
                  <c:v>2.92418460489966E-4</c:v>
                </c:pt>
                <c:pt idx="133">
                  <c:v>-2.2377207033129199E-4</c:v>
                </c:pt>
                <c:pt idx="134">
                  <c:v>3.5566374051245597E-4</c:v>
                </c:pt>
                <c:pt idx="135">
                  <c:v>2.0750663109635501E-4</c:v>
                </c:pt>
                <c:pt idx="136">
                  <c:v>-1.3825596561132701E-4</c:v>
                </c:pt>
                <c:pt idx="137">
                  <c:v>7.3840978586590695E-4</c:v>
                </c:pt>
                <c:pt idx="138">
                  <c:v>9.4735166652786996E-5</c:v>
                </c:pt>
                <c:pt idx="139">
                  <c:v>-2.28669598728916E-4</c:v>
                </c:pt>
                <c:pt idx="140">
                  <c:v>1.3579911724405201E-4</c:v>
                </c:pt>
                <c:pt idx="141">
                  <c:v>-3.1528838643529901E-4</c:v>
                </c:pt>
                <c:pt idx="142">
                  <c:v>-1.21726014929561E-4</c:v>
                </c:pt>
                <c:pt idx="143">
                  <c:v>-2.6990892331375203E-4</c:v>
                </c:pt>
                <c:pt idx="144">
                  <c:v>-5.7557695395772104E-4</c:v>
                </c:pt>
                <c:pt idx="145">
                  <c:v>-1.8202172634901201E-4</c:v>
                </c:pt>
                <c:pt idx="146">
                  <c:v>-1.0779276056701399E-3</c:v>
                </c:pt>
                <c:pt idx="147">
                  <c:v>-4.41727898820055E-4</c:v>
                </c:pt>
                <c:pt idx="148">
                  <c:v>-6.2226705068482496E-4</c:v>
                </c:pt>
                <c:pt idx="149">
                  <c:v>-6.4734854782516203E-4</c:v>
                </c:pt>
                <c:pt idx="150">
                  <c:v>3.1684380170487997E-4</c:v>
                </c:pt>
                <c:pt idx="151">
                  <c:v>-5.0919394952762997E-5</c:v>
                </c:pt>
                <c:pt idx="152">
                  <c:v>5.9827218465087202E-4</c:v>
                </c:pt>
                <c:pt idx="153">
                  <c:v>-5.7954800972189502E-5</c:v>
                </c:pt>
                <c:pt idx="154">
                  <c:v>-5.6308461255813902E-4</c:v>
                </c:pt>
                <c:pt idx="155">
                  <c:v>-8.1191016764586805E-5</c:v>
                </c:pt>
                <c:pt idx="156">
                  <c:v>1.08426793325457E-4</c:v>
                </c:pt>
                <c:pt idx="157">
                  <c:v>-4.5831710458914802E-4</c:v>
                </c:pt>
                <c:pt idx="158">
                  <c:v>2.5893952587226302E-4</c:v>
                </c:pt>
                <c:pt idx="159">
                  <c:v>9.9646401167416602E-5</c:v>
                </c:pt>
                <c:pt idx="160">
                  <c:v>4.05869947354259E-4</c:v>
                </c:pt>
                <c:pt idx="161">
                  <c:v>9.5692770743134996E-5</c:v>
                </c:pt>
                <c:pt idx="162">
                  <c:v>2.24829331503713E-4</c:v>
                </c:pt>
                <c:pt idx="163">
                  <c:v>6.0701139984931899E-4</c:v>
                </c:pt>
                <c:pt idx="164">
                  <c:v>3.7985621637879902E-4</c:v>
                </c:pt>
                <c:pt idx="165">
                  <c:v>9.5765160719233497E-5</c:v>
                </c:pt>
                <c:pt idx="166">
                  <c:v>-1.6337928304134601E-4</c:v>
                </c:pt>
                <c:pt idx="167">
                  <c:v>-1.12158518877109E-4</c:v>
                </c:pt>
                <c:pt idx="168">
                  <c:v>4.3132300264118198E-4</c:v>
                </c:pt>
                <c:pt idx="169">
                  <c:v>-4.7020948872369701E-4</c:v>
                </c:pt>
                <c:pt idx="170">
                  <c:v>1.2471794571401599E-4</c:v>
                </c:pt>
                <c:pt idx="171">
                  <c:v>-2.0207261334763399E-4</c:v>
                </c:pt>
                <c:pt idx="172">
                  <c:v>2.5617079042400702E-4</c:v>
                </c:pt>
                <c:pt idx="173">
                  <c:v>-3.7036781835208399E-4</c:v>
                </c:pt>
                <c:pt idx="174">
                  <c:v>-1.34632737343738E-4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8-45E7-94F0-3DE6ED756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IBDY*/BSCX*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1.2179193246936699</c:v>
                </c:pt>
                <c:pt idx="1">
                  <c:v>1.2179193246936699</c:v>
                </c:pt>
                <c:pt idx="2">
                  <c:v>1.2179193246936699</c:v>
                </c:pt>
                <c:pt idx="3">
                  <c:v>1.2179193246936699</c:v>
                </c:pt>
                <c:pt idx="4">
                  <c:v>1.2179193246936699</c:v>
                </c:pt>
                <c:pt idx="5">
                  <c:v>1.2179193246936699</c:v>
                </c:pt>
                <c:pt idx="6">
                  <c:v>1.2179193246936699</c:v>
                </c:pt>
                <c:pt idx="7">
                  <c:v>1.2179193246936699</c:v>
                </c:pt>
                <c:pt idx="8">
                  <c:v>1.2179193246936699</c:v>
                </c:pt>
                <c:pt idx="9">
                  <c:v>1.2179193246936699</c:v>
                </c:pt>
                <c:pt idx="10">
                  <c:v>1.2179193246936699</c:v>
                </c:pt>
                <c:pt idx="11">
                  <c:v>1.2179193246936699</c:v>
                </c:pt>
                <c:pt idx="12">
                  <c:v>1.2179193246936699</c:v>
                </c:pt>
                <c:pt idx="13">
                  <c:v>1.2179193246936699</c:v>
                </c:pt>
                <c:pt idx="14">
                  <c:v>1.2179193246936699</c:v>
                </c:pt>
                <c:pt idx="15">
                  <c:v>1.2179193246936699</c:v>
                </c:pt>
                <c:pt idx="16">
                  <c:v>1.2179193246936699</c:v>
                </c:pt>
                <c:pt idx="17">
                  <c:v>1.2179193246936699</c:v>
                </c:pt>
                <c:pt idx="18">
                  <c:v>1.2179193246936699</c:v>
                </c:pt>
                <c:pt idx="19">
                  <c:v>1.2179193246936699</c:v>
                </c:pt>
                <c:pt idx="20">
                  <c:v>1.2179193246936699</c:v>
                </c:pt>
                <c:pt idx="21">
                  <c:v>1.2179193246936699</c:v>
                </c:pt>
                <c:pt idx="22">
                  <c:v>1.2179193246936699</c:v>
                </c:pt>
                <c:pt idx="23">
                  <c:v>1.2179193246936699</c:v>
                </c:pt>
                <c:pt idx="24">
                  <c:v>1.2179193246936699</c:v>
                </c:pt>
                <c:pt idx="25">
                  <c:v>1.2179193246936699</c:v>
                </c:pt>
                <c:pt idx="26">
                  <c:v>1.2179193246936699</c:v>
                </c:pt>
                <c:pt idx="27">
                  <c:v>1.2179193246936699</c:v>
                </c:pt>
                <c:pt idx="28">
                  <c:v>1.2179193246936699</c:v>
                </c:pt>
                <c:pt idx="29">
                  <c:v>1.2179193246936699</c:v>
                </c:pt>
                <c:pt idx="30">
                  <c:v>1.2179193246936699</c:v>
                </c:pt>
                <c:pt idx="31">
                  <c:v>1.2179193246936699</c:v>
                </c:pt>
                <c:pt idx="32">
                  <c:v>1.2179193246936699</c:v>
                </c:pt>
                <c:pt idx="33">
                  <c:v>1.2179193246936699</c:v>
                </c:pt>
                <c:pt idx="34">
                  <c:v>1.2179193246936699</c:v>
                </c:pt>
                <c:pt idx="35">
                  <c:v>1.2179193246936699</c:v>
                </c:pt>
                <c:pt idx="36">
                  <c:v>1.2179193246936699</c:v>
                </c:pt>
                <c:pt idx="37">
                  <c:v>1.2179193246936699</c:v>
                </c:pt>
                <c:pt idx="38">
                  <c:v>1.2179193246936699</c:v>
                </c:pt>
                <c:pt idx="39">
                  <c:v>1.2179193246936699</c:v>
                </c:pt>
                <c:pt idx="40">
                  <c:v>1.2179193246936699</c:v>
                </c:pt>
                <c:pt idx="41">
                  <c:v>1.2179193246936699</c:v>
                </c:pt>
                <c:pt idx="42">
                  <c:v>1.2179193246936699</c:v>
                </c:pt>
                <c:pt idx="43">
                  <c:v>1.2179193246936699</c:v>
                </c:pt>
                <c:pt idx="44">
                  <c:v>1.2179193246936699</c:v>
                </c:pt>
                <c:pt idx="45">
                  <c:v>1.2179193246936699</c:v>
                </c:pt>
                <c:pt idx="46">
                  <c:v>1.2179193246936699</c:v>
                </c:pt>
                <c:pt idx="47">
                  <c:v>1.2179193246936699</c:v>
                </c:pt>
                <c:pt idx="48">
                  <c:v>1.2179193246936699</c:v>
                </c:pt>
                <c:pt idx="49">
                  <c:v>1.2179193246936699</c:v>
                </c:pt>
                <c:pt idx="50">
                  <c:v>1.2179193246936699</c:v>
                </c:pt>
                <c:pt idx="51">
                  <c:v>1.2179193246936699</c:v>
                </c:pt>
                <c:pt idx="52">
                  <c:v>1.2179193246936699</c:v>
                </c:pt>
                <c:pt idx="53">
                  <c:v>1.2179193246936699</c:v>
                </c:pt>
                <c:pt idx="54">
                  <c:v>1.2179193246936699</c:v>
                </c:pt>
                <c:pt idx="55">
                  <c:v>1.2179193246936699</c:v>
                </c:pt>
                <c:pt idx="56">
                  <c:v>1.2179193246936699</c:v>
                </c:pt>
                <c:pt idx="57">
                  <c:v>1.2179193246936699</c:v>
                </c:pt>
                <c:pt idx="58">
                  <c:v>1.2179193246936699</c:v>
                </c:pt>
                <c:pt idx="59">
                  <c:v>1.2179193246936699</c:v>
                </c:pt>
                <c:pt idx="60">
                  <c:v>1.2179193246936699</c:v>
                </c:pt>
                <c:pt idx="61">
                  <c:v>1.2179193246936699</c:v>
                </c:pt>
                <c:pt idx="62">
                  <c:v>1.2179193246936699</c:v>
                </c:pt>
                <c:pt idx="63">
                  <c:v>1.2179193246936699</c:v>
                </c:pt>
                <c:pt idx="64">
                  <c:v>1.2179193246936699</c:v>
                </c:pt>
                <c:pt idx="65">
                  <c:v>1.2179193246936699</c:v>
                </c:pt>
                <c:pt idx="66">
                  <c:v>1.2179193246936699</c:v>
                </c:pt>
                <c:pt idx="67">
                  <c:v>1.2179193246936699</c:v>
                </c:pt>
                <c:pt idx="68">
                  <c:v>1.2179193246936699</c:v>
                </c:pt>
                <c:pt idx="69">
                  <c:v>1.2179193246936699</c:v>
                </c:pt>
                <c:pt idx="70">
                  <c:v>1.2179193246936699</c:v>
                </c:pt>
                <c:pt idx="71">
                  <c:v>1.2179193246936699</c:v>
                </c:pt>
                <c:pt idx="72">
                  <c:v>1.2179193246936699</c:v>
                </c:pt>
                <c:pt idx="73">
                  <c:v>1.2179193246936699</c:v>
                </c:pt>
                <c:pt idx="74">
                  <c:v>1.2179193246936699</c:v>
                </c:pt>
                <c:pt idx="75">
                  <c:v>1.2179193246936699</c:v>
                </c:pt>
                <c:pt idx="76">
                  <c:v>1.2179193246936699</c:v>
                </c:pt>
                <c:pt idx="77">
                  <c:v>1.2179193246936699</c:v>
                </c:pt>
                <c:pt idx="78">
                  <c:v>1.2179193246936699</c:v>
                </c:pt>
                <c:pt idx="79">
                  <c:v>1.2179193246936699</c:v>
                </c:pt>
                <c:pt idx="80">
                  <c:v>1.2179193246936699</c:v>
                </c:pt>
                <c:pt idx="81">
                  <c:v>1.2179193246936699</c:v>
                </c:pt>
                <c:pt idx="82">
                  <c:v>1.2179193246936699</c:v>
                </c:pt>
                <c:pt idx="83">
                  <c:v>1.2179193246936699</c:v>
                </c:pt>
                <c:pt idx="84">
                  <c:v>1.2179193246936699</c:v>
                </c:pt>
                <c:pt idx="85">
                  <c:v>1.2179193246936699</c:v>
                </c:pt>
                <c:pt idx="86">
                  <c:v>1.2179193246936699</c:v>
                </c:pt>
                <c:pt idx="87">
                  <c:v>1.2179193246936699</c:v>
                </c:pt>
                <c:pt idx="88">
                  <c:v>1.2179193246936699</c:v>
                </c:pt>
                <c:pt idx="89">
                  <c:v>1.2179193246936699</c:v>
                </c:pt>
                <c:pt idx="90">
                  <c:v>1.2179193246936699</c:v>
                </c:pt>
                <c:pt idx="91">
                  <c:v>1.2179193246936699</c:v>
                </c:pt>
                <c:pt idx="92">
                  <c:v>1.2179193246936699</c:v>
                </c:pt>
                <c:pt idx="93">
                  <c:v>1.2179193246936699</c:v>
                </c:pt>
                <c:pt idx="94">
                  <c:v>1.2179193246936699</c:v>
                </c:pt>
                <c:pt idx="95">
                  <c:v>1.2179193246936699</c:v>
                </c:pt>
                <c:pt idx="96">
                  <c:v>1.2179193246936699</c:v>
                </c:pt>
                <c:pt idx="97">
                  <c:v>1.2179193246936699</c:v>
                </c:pt>
                <c:pt idx="98">
                  <c:v>1.2179193246936699</c:v>
                </c:pt>
                <c:pt idx="99">
                  <c:v>1.2179193246936699</c:v>
                </c:pt>
                <c:pt idx="100">
                  <c:v>1.2179193246936699</c:v>
                </c:pt>
                <c:pt idx="101">
                  <c:v>1.2179193246936699</c:v>
                </c:pt>
                <c:pt idx="102">
                  <c:v>1.2179193246936699</c:v>
                </c:pt>
                <c:pt idx="103">
                  <c:v>1.2179193246936699</c:v>
                </c:pt>
                <c:pt idx="104">
                  <c:v>1.2179193246936699</c:v>
                </c:pt>
                <c:pt idx="105">
                  <c:v>1.2179193246936699</c:v>
                </c:pt>
                <c:pt idx="106">
                  <c:v>1.2179193246936699</c:v>
                </c:pt>
                <c:pt idx="107">
                  <c:v>1.2179193246936699</c:v>
                </c:pt>
                <c:pt idx="108">
                  <c:v>1.2179193246936699</c:v>
                </c:pt>
                <c:pt idx="109">
                  <c:v>1.2179193246936699</c:v>
                </c:pt>
                <c:pt idx="110">
                  <c:v>1.2179193246936699</c:v>
                </c:pt>
                <c:pt idx="111">
                  <c:v>1.2179193246936699</c:v>
                </c:pt>
                <c:pt idx="112">
                  <c:v>1.2179193246936699</c:v>
                </c:pt>
                <c:pt idx="113">
                  <c:v>1.2179193246936699</c:v>
                </c:pt>
                <c:pt idx="114">
                  <c:v>1.2179193246936699</c:v>
                </c:pt>
                <c:pt idx="115">
                  <c:v>1.2179193246936699</c:v>
                </c:pt>
                <c:pt idx="116">
                  <c:v>1.2179193246936699</c:v>
                </c:pt>
                <c:pt idx="117">
                  <c:v>1.2179193246936699</c:v>
                </c:pt>
                <c:pt idx="118">
                  <c:v>1.2179193246936699</c:v>
                </c:pt>
                <c:pt idx="119">
                  <c:v>1.2179193246936699</c:v>
                </c:pt>
                <c:pt idx="120">
                  <c:v>1.2179193246936699</c:v>
                </c:pt>
                <c:pt idx="121">
                  <c:v>1.2179193246936699</c:v>
                </c:pt>
                <c:pt idx="122">
                  <c:v>1.2179193246936699</c:v>
                </c:pt>
                <c:pt idx="123">
                  <c:v>1.2179193246936699</c:v>
                </c:pt>
                <c:pt idx="124">
                  <c:v>1.2179193246936699</c:v>
                </c:pt>
                <c:pt idx="125">
                  <c:v>1.2179193246936699</c:v>
                </c:pt>
                <c:pt idx="126">
                  <c:v>1.2179193246936699</c:v>
                </c:pt>
                <c:pt idx="127">
                  <c:v>1.2179193246936699</c:v>
                </c:pt>
                <c:pt idx="128">
                  <c:v>1.2179193246936699</c:v>
                </c:pt>
                <c:pt idx="129">
                  <c:v>1.2179193246936699</c:v>
                </c:pt>
                <c:pt idx="130">
                  <c:v>1.2179193246936699</c:v>
                </c:pt>
                <c:pt idx="131">
                  <c:v>1.2179193246936699</c:v>
                </c:pt>
                <c:pt idx="132">
                  <c:v>1.2179193246936699</c:v>
                </c:pt>
                <c:pt idx="133">
                  <c:v>1.2179193246936699</c:v>
                </c:pt>
                <c:pt idx="134">
                  <c:v>1.2179193246936699</c:v>
                </c:pt>
                <c:pt idx="135">
                  <c:v>1.2179193246936699</c:v>
                </c:pt>
                <c:pt idx="136">
                  <c:v>1.2179193246936699</c:v>
                </c:pt>
                <c:pt idx="137">
                  <c:v>1.2179193246936699</c:v>
                </c:pt>
                <c:pt idx="138">
                  <c:v>1.2179193246936699</c:v>
                </c:pt>
                <c:pt idx="139">
                  <c:v>1.2179193246936699</c:v>
                </c:pt>
                <c:pt idx="140">
                  <c:v>1.2179193246936699</c:v>
                </c:pt>
                <c:pt idx="141">
                  <c:v>1.2179193246936699</c:v>
                </c:pt>
                <c:pt idx="142">
                  <c:v>1.2179193246936699</c:v>
                </c:pt>
                <c:pt idx="143">
                  <c:v>1.2179193246936699</c:v>
                </c:pt>
                <c:pt idx="144">
                  <c:v>1.2179193246936699</c:v>
                </c:pt>
                <c:pt idx="145">
                  <c:v>1.2179193246936699</c:v>
                </c:pt>
                <c:pt idx="146">
                  <c:v>1.2179193246936699</c:v>
                </c:pt>
                <c:pt idx="147">
                  <c:v>1.2179193246936699</c:v>
                </c:pt>
                <c:pt idx="148">
                  <c:v>1.2179193246936699</c:v>
                </c:pt>
                <c:pt idx="149">
                  <c:v>1.2179193246936699</c:v>
                </c:pt>
                <c:pt idx="150">
                  <c:v>1.2179193246936699</c:v>
                </c:pt>
                <c:pt idx="151">
                  <c:v>1.2179193246936699</c:v>
                </c:pt>
                <c:pt idx="152">
                  <c:v>1.2179193246936699</c:v>
                </c:pt>
                <c:pt idx="153">
                  <c:v>1.2179193246936699</c:v>
                </c:pt>
                <c:pt idx="154">
                  <c:v>1.2179193246936699</c:v>
                </c:pt>
                <c:pt idx="155">
                  <c:v>1.2179193246936699</c:v>
                </c:pt>
                <c:pt idx="156">
                  <c:v>1.2179193246936699</c:v>
                </c:pt>
                <c:pt idx="157">
                  <c:v>1.2179193246936699</c:v>
                </c:pt>
                <c:pt idx="158">
                  <c:v>1.2179193246936699</c:v>
                </c:pt>
                <c:pt idx="159">
                  <c:v>1.2179193246936699</c:v>
                </c:pt>
                <c:pt idx="160">
                  <c:v>1.2179193246936699</c:v>
                </c:pt>
                <c:pt idx="161">
                  <c:v>1.2179193246936699</c:v>
                </c:pt>
                <c:pt idx="162">
                  <c:v>1.2179193246936699</c:v>
                </c:pt>
                <c:pt idx="163">
                  <c:v>1.2179193246936699</c:v>
                </c:pt>
                <c:pt idx="164">
                  <c:v>1.2179193246936699</c:v>
                </c:pt>
                <c:pt idx="165">
                  <c:v>1.2179193246936699</c:v>
                </c:pt>
                <c:pt idx="166">
                  <c:v>1.2179193246936699</c:v>
                </c:pt>
                <c:pt idx="167">
                  <c:v>1.2179193246936699</c:v>
                </c:pt>
                <c:pt idx="168">
                  <c:v>1.2179193246936699</c:v>
                </c:pt>
                <c:pt idx="169">
                  <c:v>1.2179193246936699</c:v>
                </c:pt>
                <c:pt idx="170">
                  <c:v>1.2179193246936699</c:v>
                </c:pt>
                <c:pt idx="171">
                  <c:v>1.2179193246936699</c:v>
                </c:pt>
                <c:pt idx="172">
                  <c:v>1.2179193246936699</c:v>
                </c:pt>
                <c:pt idx="173">
                  <c:v>1.2179193246936699</c:v>
                </c:pt>
                <c:pt idx="174">
                  <c:v>1.2179193246936699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89-4EFF-9985-0D37B2765D51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IBDY*/BSCX*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1.21736924454472</c:v>
                </c:pt>
                <c:pt idx="10">
                  <c:v>1.21745228375373</c:v>
                </c:pt>
                <c:pt idx="11">
                  <c:v>1.21734929385871</c:v>
                </c:pt>
                <c:pt idx="12">
                  <c:v>1.21730535011659</c:v>
                </c:pt>
                <c:pt idx="13">
                  <c:v>1.21726136069394</c:v>
                </c:pt>
                <c:pt idx="14">
                  <c:v>1.2171930830206601</c:v>
                </c:pt>
                <c:pt idx="15">
                  <c:v>1.21724819988699</c:v>
                </c:pt>
                <c:pt idx="16">
                  <c:v>1.2173498443872699</c:v>
                </c:pt>
                <c:pt idx="17">
                  <c:v>1.21739897824237</c:v>
                </c:pt>
                <c:pt idx="18">
                  <c:v>1.2174781983786001</c:v>
                </c:pt>
                <c:pt idx="19">
                  <c:v>1.2175737313049599</c:v>
                </c:pt>
                <c:pt idx="20">
                  <c:v>1.21751729207052</c:v>
                </c:pt>
                <c:pt idx="21">
                  <c:v>1.21754769237686</c:v>
                </c:pt>
                <c:pt idx="22">
                  <c:v>1.2175292296904301</c:v>
                </c:pt>
                <c:pt idx="23">
                  <c:v>1.2175129501594599</c:v>
                </c:pt>
                <c:pt idx="24">
                  <c:v>1.2176096077233001</c:v>
                </c:pt>
                <c:pt idx="25">
                  <c:v>1.2176134189962899</c:v>
                </c:pt>
                <c:pt idx="26">
                  <c:v>1.21756635988349</c:v>
                </c:pt>
                <c:pt idx="27">
                  <c:v>1.2174630026995099</c:v>
                </c:pt>
                <c:pt idx="28">
                  <c:v>1.2174385986452301</c:v>
                </c:pt>
                <c:pt idx="29">
                  <c:v>1.2174557612674499</c:v>
                </c:pt>
                <c:pt idx="30">
                  <c:v>1.21748175195923</c:v>
                </c:pt>
                <c:pt idx="31">
                  <c:v>1.2176103841043699</c:v>
                </c:pt>
                <c:pt idx="32">
                  <c:v>1.2177183061976899</c:v>
                </c:pt>
                <c:pt idx="33">
                  <c:v>1.21782465588822</c:v>
                </c:pt>
                <c:pt idx="34">
                  <c:v>1.2177371949725699</c:v>
                </c:pt>
                <c:pt idx="35">
                  <c:v>1.21781805484413</c:v>
                </c:pt>
                <c:pt idx="36">
                  <c:v>1.21779056057935</c:v>
                </c:pt>
                <c:pt idx="37">
                  <c:v>1.2177796776116701</c:v>
                </c:pt>
                <c:pt idx="38">
                  <c:v>1.21777266382573</c:v>
                </c:pt>
                <c:pt idx="39">
                  <c:v>1.21771412792064</c:v>
                </c:pt>
                <c:pt idx="40">
                  <c:v>1.21766561029702</c:v>
                </c:pt>
                <c:pt idx="41">
                  <c:v>1.2176170633617001</c:v>
                </c:pt>
                <c:pt idx="42">
                  <c:v>1.21750051043984</c:v>
                </c:pt>
                <c:pt idx="43">
                  <c:v>1.21754672885104</c:v>
                </c:pt>
                <c:pt idx="44">
                  <c:v>1.21760334229073</c:v>
                </c:pt>
                <c:pt idx="45">
                  <c:v>1.21754615416012</c:v>
                </c:pt>
                <c:pt idx="46">
                  <c:v>1.21745006644982</c:v>
                </c:pt>
                <c:pt idx="47">
                  <c:v>1.21749476434755</c:v>
                </c:pt>
                <c:pt idx="48">
                  <c:v>1.2175275575789799</c:v>
                </c:pt>
                <c:pt idx="49">
                  <c:v>1.2175460954935799</c:v>
                </c:pt>
                <c:pt idx="50">
                  <c:v>1.21760252493893</c:v>
                </c:pt>
                <c:pt idx="51">
                  <c:v>1.21755429431851</c:v>
                </c:pt>
                <c:pt idx="52">
                  <c:v>1.2175441925194199</c:v>
                </c:pt>
                <c:pt idx="53">
                  <c:v>1.21744370398407</c:v>
                </c:pt>
                <c:pt idx="54">
                  <c:v>1.2174549789048099</c:v>
                </c:pt>
                <c:pt idx="55">
                  <c:v>1.21742537273016</c:v>
                </c:pt>
                <c:pt idx="56">
                  <c:v>1.2175498702005001</c:v>
                </c:pt>
                <c:pt idx="57">
                  <c:v>1.21755479673639</c:v>
                </c:pt>
                <c:pt idx="58">
                  <c:v>1.21759670641439</c:v>
                </c:pt>
                <c:pt idx="59">
                  <c:v>1.2176078785487401</c:v>
                </c:pt>
                <c:pt idx="60">
                  <c:v>1.21758847314079</c:v>
                </c:pt>
                <c:pt idx="61">
                  <c:v>1.2176346330111201</c:v>
                </c:pt>
                <c:pt idx="62">
                  <c:v>1.21760373318222</c:v>
                </c:pt>
                <c:pt idx="63">
                  <c:v>1.21755036205066</c:v>
                </c:pt>
                <c:pt idx="64">
                  <c:v>1.2174354992902301</c:v>
                </c:pt>
                <c:pt idx="65">
                  <c:v>1.2174424000405</c:v>
                </c:pt>
                <c:pt idx="66">
                  <c:v>1.2174163746772999</c:v>
                </c:pt>
                <c:pt idx="67">
                  <c:v>1.2175321826444201</c:v>
                </c:pt>
                <c:pt idx="68">
                  <c:v>1.21753594770012</c:v>
                </c:pt>
                <c:pt idx="69">
                  <c:v>1.2174876776442201</c:v>
                </c:pt>
                <c:pt idx="70">
                  <c:v>1.2175807685069899</c:v>
                </c:pt>
                <c:pt idx="71">
                  <c:v>1.21762493408395</c:v>
                </c:pt>
                <c:pt idx="72">
                  <c:v>1.2176292578322401</c:v>
                </c:pt>
                <c:pt idx="73">
                  <c:v>1.2177185672539801</c:v>
                </c:pt>
                <c:pt idx="74">
                  <c:v>1.2178262689377699</c:v>
                </c:pt>
                <c:pt idx="75">
                  <c:v>1.2178811581315401</c:v>
                </c:pt>
                <c:pt idx="76">
                  <c:v>1.2179502738519701</c:v>
                </c:pt>
                <c:pt idx="77">
                  <c:v>1.21784556873501</c:v>
                </c:pt>
                <c:pt idx="78">
                  <c:v>1.2178058180150599</c:v>
                </c:pt>
                <c:pt idx="79">
                  <c:v>1.21783663123693</c:v>
                </c:pt>
                <c:pt idx="80">
                  <c:v>1.2177995027344399</c:v>
                </c:pt>
                <c:pt idx="81">
                  <c:v>1.21770719497644</c:v>
                </c:pt>
                <c:pt idx="82">
                  <c:v>1.21772068256612</c:v>
                </c:pt>
                <c:pt idx="83">
                  <c:v>1.21771610641211</c:v>
                </c:pt>
                <c:pt idx="84">
                  <c:v>1.21779624361955</c:v>
                </c:pt>
                <c:pt idx="85">
                  <c:v>1.21785182325135</c:v>
                </c:pt>
                <c:pt idx="86">
                  <c:v>1.2178349534082999</c:v>
                </c:pt>
                <c:pt idx="87">
                  <c:v>1.2179166724467101</c:v>
                </c:pt>
                <c:pt idx="88">
                  <c:v>1.2180086883722201</c:v>
                </c:pt>
                <c:pt idx="89">
                  <c:v>1.21799160000578</c:v>
                </c:pt>
                <c:pt idx="90">
                  <c:v>1.2179662112156899</c:v>
                </c:pt>
                <c:pt idx="91">
                  <c:v>1.21804827524265</c:v>
                </c:pt>
                <c:pt idx="92">
                  <c:v>1.2182110850664001</c:v>
                </c:pt>
                <c:pt idx="93">
                  <c:v>1.2182662127891899</c:v>
                </c:pt>
                <c:pt idx="94">
                  <c:v>1.2181893621370801</c:v>
                </c:pt>
                <c:pt idx="95">
                  <c:v>1.21816569155237</c:v>
                </c:pt>
                <c:pt idx="96">
                  <c:v>1.2181435257631099</c:v>
                </c:pt>
                <c:pt idx="97">
                  <c:v>1.2180790910271599</c:v>
                </c:pt>
                <c:pt idx="98">
                  <c:v>1.2179758247863699</c:v>
                </c:pt>
                <c:pt idx="99">
                  <c:v>1.2180646172907701</c:v>
                </c:pt>
                <c:pt idx="100">
                  <c:v>1.2181228612977499</c:v>
                </c:pt>
                <c:pt idx="101">
                  <c:v>1.2180941347709899</c:v>
                </c:pt>
                <c:pt idx="102">
                  <c:v>1.21805404582861</c:v>
                </c:pt>
                <c:pt idx="103">
                  <c:v>1.2180144491879501</c:v>
                </c:pt>
                <c:pt idx="104">
                  <c:v>1.2180948329505701</c:v>
                </c:pt>
                <c:pt idx="105">
                  <c:v>1.2181001436654799</c:v>
                </c:pt>
                <c:pt idx="106">
                  <c:v>1.2181913121276899</c:v>
                </c:pt>
                <c:pt idx="107">
                  <c:v>1.21815251156389</c:v>
                </c:pt>
                <c:pt idx="108">
                  <c:v>1.21820094663795</c:v>
                </c:pt>
                <c:pt idx="109">
                  <c:v>1.2181868452972899</c:v>
                </c:pt>
                <c:pt idx="110">
                  <c:v>1.21823098001193</c:v>
                </c:pt>
                <c:pt idx="111">
                  <c:v>1.2182590665601301</c:v>
                </c:pt>
                <c:pt idx="112">
                  <c:v>1.218109733992</c:v>
                </c:pt>
                <c:pt idx="113">
                  <c:v>1.2180794225252101</c:v>
                </c:pt>
                <c:pt idx="114">
                  <c:v>1.21805319936187</c:v>
                </c:pt>
                <c:pt idx="115">
                  <c:v>1.21804305794324</c:v>
                </c:pt>
                <c:pt idx="116">
                  <c:v>1.21804087808565</c:v>
                </c:pt>
                <c:pt idx="117">
                  <c:v>1.21815849542722</c:v>
                </c:pt>
                <c:pt idx="118">
                  <c:v>1.2182089752569401</c:v>
                </c:pt>
                <c:pt idx="119">
                  <c:v>1.2181422096160901</c:v>
                </c:pt>
                <c:pt idx="120">
                  <c:v>1.2180836937533299</c:v>
                </c:pt>
                <c:pt idx="121">
                  <c:v>1.2180877268577299</c:v>
                </c:pt>
                <c:pt idx="122">
                  <c:v>1.21824946418243</c:v>
                </c:pt>
                <c:pt idx="123">
                  <c:v>1.2182425497694001</c:v>
                </c:pt>
                <c:pt idx="124">
                  <c:v>1.2181969333075999</c:v>
                </c:pt>
                <c:pt idx="125">
                  <c:v>1.2182945878275699</c:v>
                </c:pt>
                <c:pt idx="126">
                  <c:v>1.2181313675312799</c:v>
                </c:pt>
                <c:pt idx="127">
                  <c:v>1.21808583282016</c:v>
                </c:pt>
                <c:pt idx="128">
                  <c:v>1.2180810053315201</c:v>
                </c:pt>
                <c:pt idx="129">
                  <c:v>1.2181832691722201</c:v>
                </c:pt>
                <c:pt idx="130">
                  <c:v>1.2180976363092499</c:v>
                </c:pt>
                <c:pt idx="131">
                  <c:v>1.2180849469809301</c:v>
                </c:pt>
                <c:pt idx="132">
                  <c:v>1.2180031152078501</c:v>
                </c:pt>
                <c:pt idx="133">
                  <c:v>1.2180842053645999</c:v>
                </c:pt>
                <c:pt idx="134">
                  <c:v>1.2180823316302301</c:v>
                </c:pt>
                <c:pt idx="135">
                  <c:v>1.21795708517676</c:v>
                </c:pt>
                <c:pt idx="136">
                  <c:v>1.2180600328292599</c:v>
                </c:pt>
                <c:pt idx="137">
                  <c:v>1.21796606145206</c:v>
                </c:pt>
                <c:pt idx="138">
                  <c:v>1.2179172274393799</c:v>
                </c:pt>
                <c:pt idx="139">
                  <c:v>1.21788473684954</c:v>
                </c:pt>
                <c:pt idx="140">
                  <c:v>1.2179268785667099</c:v>
                </c:pt>
                <c:pt idx="141">
                  <c:v>1.2179690205020499</c:v>
                </c:pt>
                <c:pt idx="142">
                  <c:v>1.2180135265295799</c:v>
                </c:pt>
                <c:pt idx="143">
                  <c:v>1.2180073479011999</c:v>
                </c:pt>
                <c:pt idx="144">
                  <c:v>1.2181090338462801</c:v>
                </c:pt>
                <c:pt idx="145">
                  <c:v>1.2181520874618501</c:v>
                </c:pt>
                <c:pt idx="146">
                  <c:v>1.2182594882193201</c:v>
                </c:pt>
                <c:pt idx="147">
                  <c:v>1.2184096278336101</c:v>
                </c:pt>
                <c:pt idx="148">
                  <c:v>1.21851318343257</c:v>
                </c:pt>
                <c:pt idx="149">
                  <c:v>1.2185858237312099</c:v>
                </c:pt>
                <c:pt idx="150">
                  <c:v>1.21858389821486</c:v>
                </c:pt>
                <c:pt idx="151">
                  <c:v>1.2185760061843101</c:v>
                </c:pt>
                <c:pt idx="152">
                  <c:v>1.21851286762761</c:v>
                </c:pt>
                <c:pt idx="153">
                  <c:v>1.2185125363048099</c:v>
                </c:pt>
                <c:pt idx="154">
                  <c:v>1.2185324424236199</c:v>
                </c:pt>
                <c:pt idx="155">
                  <c:v>1.2185426660288901</c:v>
                </c:pt>
                <c:pt idx="156">
                  <c:v>1.21842736738132</c:v>
                </c:pt>
                <c:pt idx="157">
                  <c:v>1.2184477642685601</c:v>
                </c:pt>
                <c:pt idx="158">
                  <c:v>1.21836447615318</c:v>
                </c:pt>
                <c:pt idx="159">
                  <c:v>1.21829581137412</c:v>
                </c:pt>
                <c:pt idx="160">
                  <c:v>1.21830551519913</c:v>
                </c:pt>
                <c:pt idx="161">
                  <c:v>1.2183065845129499</c:v>
                </c:pt>
                <c:pt idx="162">
                  <c:v>1.21836893571593</c:v>
                </c:pt>
                <c:pt idx="163">
                  <c:v>1.21830570724178</c:v>
                </c:pt>
                <c:pt idx="164">
                  <c:v>1.2182057343103401</c:v>
                </c:pt>
                <c:pt idx="165">
                  <c:v>1.2181890100895301</c:v>
                </c:pt>
                <c:pt idx="166">
                  <c:v>1.2182239728545801</c:v>
                </c:pt>
                <c:pt idx="167">
                  <c:v>1.2181800108518299</c:v>
                </c:pt>
                <c:pt idx="168">
                  <c:v>1.2181475385039</c:v>
                </c:pt>
                <c:pt idx="169">
                  <c:v>1.2181986939801901</c:v>
                </c:pt>
                <c:pt idx="170">
                  <c:v>1.2182135875272799</c:v>
                </c:pt>
                <c:pt idx="171">
                  <c:v>1.2182313512466201</c:v>
                </c:pt>
                <c:pt idx="172">
                  <c:v>1.2182103050592199</c:v>
                </c:pt>
                <c:pt idx="173">
                  <c:v>1.21831424512327</c:v>
                </c:pt>
                <c:pt idx="174">
                  <c:v>1.2183670073478501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89-4EFF-9985-0D37B2765D51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IBDY*/BSCX*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1.2174714879248401</c:v>
                </c:pt>
                <c:pt idx="20">
                  <c:v>1.21748478791212</c:v>
                </c:pt>
                <c:pt idx="21">
                  <c:v>1.21744849311779</c:v>
                </c:pt>
                <c:pt idx="22">
                  <c:v>1.2174172899035101</c:v>
                </c:pt>
                <c:pt idx="23">
                  <c:v>1.2173871554267</c:v>
                </c:pt>
                <c:pt idx="24">
                  <c:v>1.2174013453719801</c:v>
                </c:pt>
                <c:pt idx="25">
                  <c:v>1.2174308094416399</c:v>
                </c:pt>
                <c:pt idx="26">
                  <c:v>1.2174581021353801</c:v>
                </c:pt>
                <c:pt idx="27">
                  <c:v>1.2174309904709399</c:v>
                </c:pt>
                <c:pt idx="28">
                  <c:v>1.2174583985119101</c:v>
                </c:pt>
                <c:pt idx="29">
                  <c:v>1.2175147462862099</c:v>
                </c:pt>
                <c:pt idx="30">
                  <c:v>1.2174995220148701</c:v>
                </c:pt>
                <c:pt idx="31">
                  <c:v>1.21757903824061</c:v>
                </c:pt>
                <c:pt idx="32">
                  <c:v>1.21762376794406</c:v>
                </c:pt>
                <c:pt idx="33">
                  <c:v>1.2176688030238401</c:v>
                </c:pt>
                <c:pt idx="34">
                  <c:v>1.21767340134794</c:v>
                </c:pt>
                <c:pt idx="35">
                  <c:v>1.2177157369202101</c:v>
                </c:pt>
                <c:pt idx="36">
                  <c:v>1.2176784602314199</c:v>
                </c:pt>
                <c:pt idx="37">
                  <c:v>1.21762134015559</c:v>
                </c:pt>
                <c:pt idx="38">
                  <c:v>1.2176056312354799</c:v>
                </c:pt>
                <c:pt idx="39">
                  <c:v>1.2175849445940401</c:v>
                </c:pt>
                <c:pt idx="40">
                  <c:v>1.2175736811281199</c:v>
                </c:pt>
                <c:pt idx="41">
                  <c:v>1.21761372373303</c:v>
                </c:pt>
                <c:pt idx="42">
                  <c:v>1.2176094083187601</c:v>
                </c:pt>
                <c:pt idx="43">
                  <c:v>1.21768569236963</c:v>
                </c:pt>
                <c:pt idx="44">
                  <c:v>1.2176702686316501</c:v>
                </c:pt>
                <c:pt idx="45">
                  <c:v>1.21768210450212</c:v>
                </c:pt>
                <c:pt idx="46">
                  <c:v>1.21762031351458</c:v>
                </c:pt>
                <c:pt idx="47">
                  <c:v>1.21763722097961</c:v>
                </c:pt>
                <c:pt idx="48">
                  <c:v>1.2176501107023501</c:v>
                </c:pt>
                <c:pt idx="49">
                  <c:v>1.21763011170711</c:v>
                </c:pt>
                <c:pt idx="50">
                  <c:v>1.21763406761798</c:v>
                </c:pt>
                <c:pt idx="51">
                  <c:v>1.2175856788401</c:v>
                </c:pt>
                <c:pt idx="52">
                  <c:v>1.2175223514796301</c:v>
                </c:pt>
                <c:pt idx="53">
                  <c:v>1.2174952164175501</c:v>
                </c:pt>
                <c:pt idx="54">
                  <c:v>1.2175291605977701</c:v>
                </c:pt>
                <c:pt idx="55">
                  <c:v>1.2174857634451399</c:v>
                </c:pt>
                <c:pt idx="56">
                  <c:v>1.2174999683251599</c:v>
                </c:pt>
                <c:pt idx="57">
                  <c:v>1.21752478054197</c:v>
                </c:pt>
                <c:pt idx="58">
                  <c:v>1.2175621319966801</c:v>
                </c:pt>
                <c:pt idx="59">
                  <c:v>1.2175769870211599</c:v>
                </c:pt>
                <c:pt idx="60">
                  <c:v>1.2175954990398601</c:v>
                </c:pt>
                <c:pt idx="61">
                  <c:v>1.2175944636648199</c:v>
                </c:pt>
                <c:pt idx="62">
                  <c:v>1.21757396285082</c:v>
                </c:pt>
                <c:pt idx="63">
                  <c:v>1.21749703301736</c:v>
                </c:pt>
                <c:pt idx="64">
                  <c:v>1.2174452390975199</c:v>
                </c:pt>
                <c:pt idx="65">
                  <c:v>1.21743388638533</c:v>
                </c:pt>
                <c:pt idx="66">
                  <c:v>1.2174831224389</c:v>
                </c:pt>
                <c:pt idx="67">
                  <c:v>1.21754348969041</c:v>
                </c:pt>
                <c:pt idx="68">
                  <c:v>1.2175663270572501</c:v>
                </c:pt>
                <c:pt idx="69">
                  <c:v>1.2175477780964801</c:v>
                </c:pt>
                <c:pt idx="70">
                  <c:v>1.2175846208238901</c:v>
                </c:pt>
                <c:pt idx="71">
                  <c:v>1.21762978354754</c:v>
                </c:pt>
                <c:pt idx="72">
                  <c:v>1.2176164955072299</c:v>
                </c:pt>
                <c:pt idx="73">
                  <c:v>1.2176344646523201</c:v>
                </c:pt>
                <c:pt idx="74">
                  <c:v>1.217630884114</c:v>
                </c:pt>
                <c:pt idx="75">
                  <c:v>1.21766177908602</c:v>
                </c:pt>
                <c:pt idx="76">
                  <c:v>1.2176833242646301</c:v>
                </c:pt>
                <c:pt idx="77">
                  <c:v>1.21768887568972</c:v>
                </c:pt>
                <c:pt idx="78">
                  <c:v>1.21767088285759</c:v>
                </c:pt>
                <c:pt idx="79">
                  <c:v>1.2176621544405699</c:v>
                </c:pt>
                <c:pt idx="80">
                  <c:v>1.2176901356207199</c:v>
                </c:pt>
                <c:pt idx="81">
                  <c:v>1.21766606453019</c:v>
                </c:pt>
                <c:pt idx="82">
                  <c:v>1.21767497019918</c:v>
                </c:pt>
                <c:pt idx="83">
                  <c:v>1.2177173368330501</c:v>
                </c:pt>
                <c:pt idx="84">
                  <c:v>1.21781125627866</c:v>
                </c:pt>
                <c:pt idx="85">
                  <c:v>1.21786649069144</c:v>
                </c:pt>
                <c:pt idx="86">
                  <c:v>1.21789261363013</c:v>
                </c:pt>
                <c:pt idx="87">
                  <c:v>1.21788112059086</c:v>
                </c:pt>
                <c:pt idx="88">
                  <c:v>1.2179072531936399</c:v>
                </c:pt>
                <c:pt idx="89">
                  <c:v>1.21791411562135</c:v>
                </c:pt>
                <c:pt idx="90">
                  <c:v>1.2178828569750699</c:v>
                </c:pt>
                <c:pt idx="91">
                  <c:v>1.21787773510954</c:v>
                </c:pt>
                <c:pt idx="92">
                  <c:v>1.2179658838162599</c:v>
                </c:pt>
                <c:pt idx="93">
                  <c:v>1.2179911596006501</c:v>
                </c:pt>
                <c:pt idx="94">
                  <c:v>1.21799280287831</c:v>
                </c:pt>
                <c:pt idx="95">
                  <c:v>1.2180087574018601</c:v>
                </c:pt>
                <c:pt idx="96">
                  <c:v>1.2179892395856999</c:v>
                </c:pt>
                <c:pt idx="97">
                  <c:v>1.2179978817369299</c:v>
                </c:pt>
                <c:pt idx="98">
                  <c:v>1.2179922565793</c:v>
                </c:pt>
                <c:pt idx="99">
                  <c:v>1.21802810864827</c:v>
                </c:pt>
                <c:pt idx="100">
                  <c:v>1.21804453625672</c:v>
                </c:pt>
                <c:pt idx="101">
                  <c:v>1.2180712050068201</c:v>
                </c:pt>
                <c:pt idx="102">
                  <c:v>1.2181325654474999</c:v>
                </c:pt>
                <c:pt idx="103">
                  <c:v>1.2181403309885701</c:v>
                </c:pt>
                <c:pt idx="104">
                  <c:v>1.21814209754383</c:v>
                </c:pt>
                <c:pt idx="105">
                  <c:v>1.21813291760892</c:v>
                </c:pt>
                <c:pt idx="106">
                  <c:v>1.2181674189453999</c:v>
                </c:pt>
                <c:pt idx="107">
                  <c:v>1.21811580129553</c:v>
                </c:pt>
                <c:pt idx="108">
                  <c:v>1.21808838571216</c:v>
                </c:pt>
                <c:pt idx="109">
                  <c:v>1.2181257312940299</c:v>
                </c:pt>
                <c:pt idx="110">
                  <c:v>1.2181769206548401</c:v>
                </c:pt>
                <c:pt idx="111">
                  <c:v>1.2181766006655601</c:v>
                </c:pt>
                <c:pt idx="112">
                  <c:v>1.2180818899103101</c:v>
                </c:pt>
                <c:pt idx="113">
                  <c:v>1.21804693585658</c:v>
                </c:pt>
                <c:pt idx="114">
                  <c:v>1.21807401615622</c:v>
                </c:pt>
                <c:pt idx="115">
                  <c:v>1.2180716008043599</c:v>
                </c:pt>
                <c:pt idx="116">
                  <c:v>1.2181160951066701</c:v>
                </c:pt>
                <c:pt idx="117">
                  <c:v>1.21815550349556</c:v>
                </c:pt>
                <c:pt idx="118">
                  <c:v>1.2182049609474499</c:v>
                </c:pt>
                <c:pt idx="119">
                  <c:v>1.2181645274566899</c:v>
                </c:pt>
                <c:pt idx="120">
                  <c:v>1.2181573368826299</c:v>
                </c:pt>
                <c:pt idx="121">
                  <c:v>1.2181733967089301</c:v>
                </c:pt>
                <c:pt idx="122">
                  <c:v>1.21817959908722</c:v>
                </c:pt>
                <c:pt idx="123">
                  <c:v>1.2181609861473099</c:v>
                </c:pt>
                <c:pt idx="124">
                  <c:v>1.21812506633474</c:v>
                </c:pt>
                <c:pt idx="125">
                  <c:v>1.2181688228854</c:v>
                </c:pt>
                <c:pt idx="126">
                  <c:v>1.2180861228084601</c:v>
                </c:pt>
                <c:pt idx="127">
                  <c:v>1.2181221641236899</c:v>
                </c:pt>
                <c:pt idx="128">
                  <c:v>1.2181449902942301</c:v>
                </c:pt>
                <c:pt idx="129">
                  <c:v>1.2181627393941601</c:v>
                </c:pt>
                <c:pt idx="130">
                  <c:v>1.2180906650312899</c:v>
                </c:pt>
                <c:pt idx="131">
                  <c:v>1.21808633691933</c:v>
                </c:pt>
                <c:pt idx="132">
                  <c:v>1.2181262896951399</c:v>
                </c:pt>
                <c:pt idx="133">
                  <c:v>1.218163377567</c:v>
                </c:pt>
                <c:pt idx="134">
                  <c:v>1.21813963246892</c:v>
                </c:pt>
                <c:pt idx="135">
                  <c:v>1.2181258365021601</c:v>
                </c:pt>
                <c:pt idx="136">
                  <c:v>1.2180957001802699</c:v>
                </c:pt>
                <c:pt idx="137">
                  <c:v>1.2180259471361099</c:v>
                </c:pt>
                <c:pt idx="138">
                  <c:v>1.21799911638545</c:v>
                </c:pt>
                <c:pt idx="139">
                  <c:v>1.2180340030108801</c:v>
                </c:pt>
                <c:pt idx="140">
                  <c:v>1.2180122574379799</c:v>
                </c:pt>
                <c:pt idx="141">
                  <c:v>1.2180269837414901</c:v>
                </c:pt>
                <c:pt idx="142">
                  <c:v>1.21800832086871</c:v>
                </c:pt>
                <c:pt idx="143">
                  <c:v>1.2180457766329</c:v>
                </c:pt>
                <c:pt idx="144">
                  <c:v>1.2180956827382501</c:v>
                </c:pt>
                <c:pt idx="145">
                  <c:v>1.21805458631931</c:v>
                </c:pt>
                <c:pt idx="146">
                  <c:v>1.21815976052429</c:v>
                </c:pt>
                <c:pt idx="147">
                  <c:v>1.21818784464283</c:v>
                </c:pt>
                <c:pt idx="148">
                  <c:v>1.2182152054359701</c:v>
                </c:pt>
                <c:pt idx="149">
                  <c:v>1.21823528029037</c:v>
                </c:pt>
                <c:pt idx="150">
                  <c:v>1.2182553883907901</c:v>
                </c:pt>
                <c:pt idx="151">
                  <c:v>1.21827251334318</c:v>
                </c:pt>
                <c:pt idx="152">
                  <c:v>1.21826319707859</c:v>
                </c:pt>
                <c:pt idx="153">
                  <c:v>1.21825994210301</c:v>
                </c:pt>
                <c:pt idx="154">
                  <c:v>1.2183207381349499</c:v>
                </c:pt>
                <c:pt idx="155">
                  <c:v>1.2183473767453701</c:v>
                </c:pt>
                <c:pt idx="156">
                  <c:v>1.21834342780032</c:v>
                </c:pt>
                <c:pt idx="157">
                  <c:v>1.21842869605108</c:v>
                </c:pt>
                <c:pt idx="158">
                  <c:v>1.2184388297928701</c:v>
                </c:pt>
                <c:pt idx="159">
                  <c:v>1.21844081755267</c:v>
                </c:pt>
                <c:pt idx="160">
                  <c:v>1.2184447067069999</c:v>
                </c:pt>
                <c:pt idx="161">
                  <c:v>1.2184412953486301</c:v>
                </c:pt>
                <c:pt idx="162">
                  <c:v>1.2184409016717701</c:v>
                </c:pt>
                <c:pt idx="163">
                  <c:v>1.21840912177329</c:v>
                </c:pt>
                <c:pt idx="164">
                  <c:v>1.21836908836698</c:v>
                </c:pt>
                <c:pt idx="165">
                  <c:v>1.2183658380592099</c:v>
                </c:pt>
                <c:pt idx="166">
                  <c:v>1.2183256701179499</c:v>
                </c:pt>
                <c:pt idx="167">
                  <c:v>1.21831388756019</c:v>
                </c:pt>
                <c:pt idx="168">
                  <c:v>1.21825600732854</c:v>
                </c:pt>
                <c:pt idx="169">
                  <c:v>1.2182472526771599</c:v>
                </c:pt>
                <c:pt idx="170">
                  <c:v>1.21825955136321</c:v>
                </c:pt>
                <c:pt idx="171">
                  <c:v>1.21826896787978</c:v>
                </c:pt>
                <c:pt idx="172">
                  <c:v>1.2182896203875799</c:v>
                </c:pt>
                <c:pt idx="173">
                  <c:v>1.21830997618252</c:v>
                </c:pt>
                <c:pt idx="174">
                  <c:v>1.2182863708290901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89-4EFF-9985-0D37B2765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BSCX x avg / IBDY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1.5231223283178399E-3</c:v>
                </c:pt>
                <c:pt idx="2">
                  <c:v>1.14122429045118E-3</c:v>
                </c:pt>
                <c:pt idx="3">
                  <c:v>1.60623243647284E-3</c:v>
                </c:pt>
                <c:pt idx="4">
                  <c:v>1.572605346486E-3</c:v>
                </c:pt>
                <c:pt idx="5">
                  <c:v>2.2873562210738601E-3</c:v>
                </c:pt>
                <c:pt idx="6">
                  <c:v>1.7390268061867999E-3</c:v>
                </c:pt>
                <c:pt idx="7">
                  <c:v>1.5231223283178399E-3</c:v>
                </c:pt>
                <c:pt idx="8">
                  <c:v>2.31928589065765E-3</c:v>
                </c:pt>
                <c:pt idx="9">
                  <c:v>2.0710244504177E-3</c:v>
                </c:pt>
                <c:pt idx="10">
                  <c:v>1.27336905621235E-3</c:v>
                </c:pt>
                <c:pt idx="11">
                  <c:v>-1.60732521949354E-3</c:v>
                </c:pt>
                <c:pt idx="12">
                  <c:v>-2.4597197401628398E-3</c:v>
                </c:pt>
                <c:pt idx="13">
                  <c:v>-1.99232080667136E-3</c:v>
                </c:pt>
                <c:pt idx="14">
                  <c:v>-1.82270384599709E-3</c:v>
                </c:pt>
                <c:pt idx="15">
                  <c:v>-2.1199013576802899E-3</c:v>
                </c:pt>
                <c:pt idx="16">
                  <c:v>-3.0536082415744798E-3</c:v>
                </c:pt>
                <c:pt idx="17">
                  <c:v>-2.8420558182289599E-3</c:v>
                </c:pt>
                <c:pt idx="18">
                  <c:v>-2.2896662640084901E-3</c:v>
                </c:pt>
                <c:pt idx="19">
                  <c:v>-2.6717102037077702E-3</c:v>
                </c:pt>
                <c:pt idx="20">
                  <c:v>1.7556534304006199E-3</c:v>
                </c:pt>
                <c:pt idx="21">
                  <c:v>2.1397517642949599E-3</c:v>
                </c:pt>
                <c:pt idx="22">
                  <c:v>1.67213426687986E-3</c:v>
                </c:pt>
                <c:pt idx="23">
                  <c:v>2.12150912104264E-3</c:v>
                </c:pt>
                <c:pt idx="24">
                  <c:v>1.3566907281206699E-3</c:v>
                </c:pt>
                <c:pt idx="25">
                  <c:v>1.82213174187572E-3</c:v>
                </c:pt>
                <c:pt idx="26">
                  <c:v>1.30766563472328E-3</c:v>
                </c:pt>
                <c:pt idx="27">
                  <c:v>1.9881304743397002E-3</c:v>
                </c:pt>
                <c:pt idx="28">
                  <c:v>1.88799858676098E-3</c:v>
                </c:pt>
                <c:pt idx="29">
                  <c:v>1.1616920204290499E-3</c:v>
                </c:pt>
                <c:pt idx="30">
                  <c:v>1.54112666736413E-3</c:v>
                </c:pt>
                <c:pt idx="31">
                  <c:v>1.0789126540505501E-3</c:v>
                </c:pt>
                <c:pt idx="32">
                  <c:v>7.8240128954025999E-4</c:v>
                </c:pt>
                <c:pt idx="33">
                  <c:v>1.2444017597581999E-3</c:v>
                </c:pt>
                <c:pt idx="34">
                  <c:v>-1.74189195702115E-3</c:v>
                </c:pt>
                <c:pt idx="35">
                  <c:v>-2.66781794909975E-3</c:v>
                </c:pt>
                <c:pt idx="36">
                  <c:v>-2.2889583120620101E-3</c:v>
                </c:pt>
                <c:pt idx="37">
                  <c:v>-1.74189195702115E-3</c:v>
                </c:pt>
                <c:pt idx="38">
                  <c:v>-1.86861332875006E-3</c:v>
                </c:pt>
                <c:pt idx="39">
                  <c:v>1.7225392028695601E-3</c:v>
                </c:pt>
                <c:pt idx="40">
                  <c:v>2.0207296413626702E-3</c:v>
                </c:pt>
                <c:pt idx="41">
                  <c:v>1.55680015032329E-3</c:v>
                </c:pt>
                <c:pt idx="42">
                  <c:v>1.82213174187572E-3</c:v>
                </c:pt>
                <c:pt idx="43">
                  <c:v>9.3937445090278905E-4</c:v>
                </c:pt>
                <c:pt idx="44">
                  <c:v>1.68927220298724E-3</c:v>
                </c:pt>
                <c:pt idx="45">
                  <c:v>1.70565801330312E-3</c:v>
                </c:pt>
                <c:pt idx="46">
                  <c:v>2.4088705478161701E-3</c:v>
                </c:pt>
                <c:pt idx="47">
                  <c:v>1.7893308345493201E-3</c:v>
                </c:pt>
                <c:pt idx="48">
                  <c:v>1.7556534304004E-3</c:v>
                </c:pt>
                <c:pt idx="49">
                  <c:v>1.5706224371811099E-3</c:v>
                </c:pt>
                <c:pt idx="50">
                  <c:v>1.5546551382092399E-3</c:v>
                </c:pt>
                <c:pt idx="51">
                  <c:v>1.9575444772183502E-3</c:v>
                </c:pt>
                <c:pt idx="52">
                  <c:v>1.90678312515426E-3</c:v>
                </c:pt>
                <c:pt idx="53">
                  <c:v>1.7726038757739399E-3</c:v>
                </c:pt>
                <c:pt idx="54">
                  <c:v>-2.33405534390355E-3</c:v>
                </c:pt>
                <c:pt idx="55">
                  <c:v>-1.9886857318343301E-3</c:v>
                </c:pt>
                <c:pt idx="56">
                  <c:v>-2.5492041938384698E-3</c:v>
                </c:pt>
                <c:pt idx="57">
                  <c:v>-2.2047477856964302E-3</c:v>
                </c:pt>
                <c:pt idx="58">
                  <c:v>-2.5521660373343802E-3</c:v>
                </c:pt>
                <c:pt idx="59">
                  <c:v>-2.4640838867349699E-3</c:v>
                </c:pt>
                <c:pt idx="60">
                  <c:v>-2.2047477856966501E-3</c:v>
                </c:pt>
                <c:pt idx="61">
                  <c:v>1.7556534304004E-3</c:v>
                </c:pt>
                <c:pt idx="62">
                  <c:v>2.3446162838703299E-3</c:v>
                </c:pt>
                <c:pt idx="63">
                  <c:v>2.39632244562114E-3</c:v>
                </c:pt>
                <c:pt idx="64">
                  <c:v>2.7318379731230101E-3</c:v>
                </c:pt>
                <c:pt idx="65">
                  <c:v>2.0744320078241599E-3</c:v>
                </c:pt>
                <c:pt idx="66">
                  <c:v>1.77242084126122E-3</c:v>
                </c:pt>
                <c:pt idx="67">
                  <c:v>9.6604928343419503E-4</c:v>
                </c:pt>
                <c:pt idx="68">
                  <c:v>1.5546551382092399E-3</c:v>
                </c:pt>
                <c:pt idx="69">
                  <c:v>2.05638018899473E-3</c:v>
                </c:pt>
                <c:pt idx="70">
                  <c:v>1.1204886840894899E-3</c:v>
                </c:pt>
                <c:pt idx="71">
                  <c:v>1.3868415035363699E-3</c:v>
                </c:pt>
                <c:pt idx="72">
                  <c:v>2.3062820786702099E-3</c:v>
                </c:pt>
                <c:pt idx="73">
                  <c:v>-2.29002472260054E-3</c:v>
                </c:pt>
                <c:pt idx="74">
                  <c:v>-2.1191826277764899E-3</c:v>
                </c:pt>
                <c:pt idx="75">
                  <c:v>-2.3329611328814998E-3</c:v>
                </c:pt>
                <c:pt idx="76">
                  <c:v>-2.76152874960589E-3</c:v>
                </c:pt>
                <c:pt idx="77">
                  <c:v>-2.1191826277764899E-3</c:v>
                </c:pt>
                <c:pt idx="78">
                  <c:v>-2.0761552310281902E-3</c:v>
                </c:pt>
                <c:pt idx="79">
                  <c:v>-2.1618652195971402E-3</c:v>
                </c:pt>
                <c:pt idx="80">
                  <c:v>-2.5492041938384698E-3</c:v>
                </c:pt>
                <c:pt idx="81">
                  <c:v>-1.8178257456595401E-3</c:v>
                </c:pt>
                <c:pt idx="82">
                  <c:v>2.2281315870757699E-3</c:v>
                </c:pt>
                <c:pt idx="83">
                  <c:v>1.72181763550987E-3</c:v>
                </c:pt>
                <c:pt idx="84">
                  <c:v>1.19830100880109E-3</c:v>
                </c:pt>
                <c:pt idx="85">
                  <c:v>1.1838500479080601E-3</c:v>
                </c:pt>
                <c:pt idx="86">
                  <c:v>1.3675300022795E-3</c:v>
                </c:pt>
                <c:pt idx="87">
                  <c:v>1.1838500479080601E-3</c:v>
                </c:pt>
                <c:pt idx="88">
                  <c:v>1.14879592214332E-3</c:v>
                </c:pt>
                <c:pt idx="89">
                  <c:v>1.9753018248933902E-3</c:v>
                </c:pt>
                <c:pt idx="90">
                  <c:v>1.6712260589963599E-3</c:v>
                </c:pt>
                <c:pt idx="91">
                  <c:v>1.50215301076724E-3</c:v>
                </c:pt>
                <c:pt idx="92">
                  <c:v>8.7211104784683995E-4</c:v>
                </c:pt>
                <c:pt idx="93">
                  <c:v>-2.9007934047844499E-3</c:v>
                </c:pt>
                <c:pt idx="94">
                  <c:v>-2.3357321332543E-3</c:v>
                </c:pt>
                <c:pt idx="95">
                  <c:v>-2.76870242398686E-3</c:v>
                </c:pt>
                <c:pt idx="96">
                  <c:v>-2.5948394621859898E-3</c:v>
                </c:pt>
                <c:pt idx="97">
                  <c:v>-2.4212776784941301E-3</c:v>
                </c:pt>
                <c:pt idx="98">
                  <c:v>-2.1184516171927599E-3</c:v>
                </c:pt>
                <c:pt idx="99">
                  <c:v>-2.89484917172133E-3</c:v>
                </c:pt>
                <c:pt idx="100">
                  <c:v>-2.93657588181252E-3</c:v>
                </c:pt>
                <c:pt idx="101">
                  <c:v>-2.3768278033290298E-3</c:v>
                </c:pt>
                <c:pt idx="102">
                  <c:v>1.02878022086273E-3</c:v>
                </c:pt>
                <c:pt idx="103">
                  <c:v>1.41750714509695E-3</c:v>
                </c:pt>
                <c:pt idx="104">
                  <c:v>9.9318060950332691E-4</c:v>
                </c:pt>
                <c:pt idx="105">
                  <c:v>1.1631310453457E-3</c:v>
                </c:pt>
                <c:pt idx="106">
                  <c:v>6.1576134151056195E-4</c:v>
                </c:pt>
                <c:pt idx="107">
                  <c:v>1.87476485928279E-3</c:v>
                </c:pt>
                <c:pt idx="108">
                  <c:v>1.4330371796292601E-3</c:v>
                </c:pt>
                <c:pt idx="109">
                  <c:v>1.17758924918117E-3</c:v>
                </c:pt>
                <c:pt idx="110">
                  <c:v>6.4020434653503701E-4</c:v>
                </c:pt>
                <c:pt idx="111">
                  <c:v>1.33278825888583E-3</c:v>
                </c:pt>
                <c:pt idx="112">
                  <c:v>2.2797580266218E-3</c:v>
                </c:pt>
                <c:pt idx="113">
                  <c:v>1.6712260589963599E-3</c:v>
                </c:pt>
                <c:pt idx="114">
                  <c:v>1.2128757523759499E-3</c:v>
                </c:pt>
                <c:pt idx="115">
                  <c:v>1.24799625730147E-3</c:v>
                </c:pt>
                <c:pt idx="116">
                  <c:v>-3.37456659720712E-3</c:v>
                </c:pt>
                <c:pt idx="117">
                  <c:v>-3.1134257219145398E-3</c:v>
                </c:pt>
                <c:pt idx="118">
                  <c:v>-2.9814468538688298E-3</c:v>
                </c:pt>
                <c:pt idx="119">
                  <c:v>-2.2478317347777899E-3</c:v>
                </c:pt>
                <c:pt idx="120">
                  <c:v>-2.85020059323361E-3</c:v>
                </c:pt>
                <c:pt idx="121">
                  <c:v>-2.6776728358918799E-3</c:v>
                </c:pt>
                <c:pt idx="122">
                  <c:v>-3.0681193048999501E-3</c:v>
                </c:pt>
                <c:pt idx="123">
                  <c:v>1.9084353345300701E-3</c:v>
                </c:pt>
                <c:pt idx="124">
                  <c:v>1.7726038757739399E-3</c:v>
                </c:pt>
                <c:pt idx="125">
                  <c:v>6.0369667079197495E-4</c:v>
                </c:pt>
                <c:pt idx="126">
                  <c:v>2.18131939121335E-3</c:v>
                </c:pt>
                <c:pt idx="127">
                  <c:v>1.4487009544651101E-3</c:v>
                </c:pt>
                <c:pt idx="128">
                  <c:v>1.22757587590359E-3</c:v>
                </c:pt>
                <c:pt idx="129">
                  <c:v>1.0566209651254E-3</c:v>
                </c:pt>
                <c:pt idx="130">
                  <c:v>2.0294947410732498E-3</c:v>
                </c:pt>
                <c:pt idx="131">
                  <c:v>1.5848679877365E-3</c:v>
                </c:pt>
                <c:pt idx="132">
                  <c:v>1.78970004021274E-3</c:v>
                </c:pt>
                <c:pt idx="133">
                  <c:v>1.22757587590359E-3</c:v>
                </c:pt>
                <c:pt idx="134">
                  <c:v>1.78970004021274E-3</c:v>
                </c:pt>
                <c:pt idx="135">
                  <c:v>-2.55366614234174E-3</c:v>
                </c:pt>
                <c:pt idx="136">
                  <c:v>-2.9038040881944299E-3</c:v>
                </c:pt>
                <c:pt idx="137">
                  <c:v>-1.9858767217658798E-3</c:v>
                </c:pt>
                <c:pt idx="138">
                  <c:v>-2.5999266092545398E-3</c:v>
                </c:pt>
                <c:pt idx="139">
                  <c:v>-2.90684092963621E-3</c:v>
                </c:pt>
                <c:pt idx="140">
                  <c:v>-2.5551792580285498E-3</c:v>
                </c:pt>
                <c:pt idx="141">
                  <c:v>-2.9915298876520202E-3</c:v>
                </c:pt>
                <c:pt idx="142">
                  <c:v>-2.8188098252560001E-3</c:v>
                </c:pt>
                <c:pt idx="143">
                  <c:v>-2.9492679330796602E-3</c:v>
                </c:pt>
                <c:pt idx="144">
                  <c:v>-3.3015518090454602E-3</c:v>
                </c:pt>
                <c:pt idx="145">
                  <c:v>1.1711898310011199E-3</c:v>
                </c:pt>
                <c:pt idx="146">
                  <c:v>2.8363015995719999E-4</c:v>
                </c:pt>
                <c:pt idx="147">
                  <c:v>8.4908933153574604E-4</c:v>
                </c:pt>
                <c:pt idx="148">
                  <c:v>6.4020434653481496E-4</c:v>
                </c:pt>
                <c:pt idx="149">
                  <c:v>5.9099053713009995E-4</c:v>
                </c:pt>
                <c:pt idx="150">
                  <c:v>1.56652488260184E-3</c:v>
                </c:pt>
                <c:pt idx="151">
                  <c:v>1.1711898310011199E-3</c:v>
                </c:pt>
                <c:pt idx="152">
                  <c:v>1.8243371077515901E-3</c:v>
                </c:pt>
                <c:pt idx="153">
                  <c:v>1.15659991700844E-3</c:v>
                </c:pt>
                <c:pt idx="154">
                  <c:v>6.4020434653481496E-4</c:v>
                </c:pt>
                <c:pt idx="155">
                  <c:v>1.08494529226889E-3</c:v>
                </c:pt>
                <c:pt idx="156">
                  <c:v>1.2573587905035E-3</c:v>
                </c:pt>
                <c:pt idx="157">
                  <c:v>6.7709858919243898E-4</c:v>
                </c:pt>
                <c:pt idx="158">
                  <c:v>1.3434522704007901E-3</c:v>
                </c:pt>
                <c:pt idx="159">
                  <c:v>1.1711898310011199E-3</c:v>
                </c:pt>
                <c:pt idx="160">
                  <c:v>-2.90684092963621E-3</c:v>
                </c:pt>
                <c:pt idx="161">
                  <c:v>-3.20900504726281E-3</c:v>
                </c:pt>
                <c:pt idx="162">
                  <c:v>-3.0793324137719999E-3</c:v>
                </c:pt>
                <c:pt idx="163">
                  <c:v>-2.6858639845366099E-3</c:v>
                </c:pt>
                <c:pt idx="164">
                  <c:v>-2.90684092963621E-3</c:v>
                </c:pt>
                <c:pt idx="165">
                  <c:v>-3.1713984167915901E-3</c:v>
                </c:pt>
                <c:pt idx="166">
                  <c:v>5.7800097882435301E-4</c:v>
                </c:pt>
                <c:pt idx="167">
                  <c:v>6.6507470976778402E-4</c:v>
                </c:pt>
                <c:pt idx="168">
                  <c:v>1.23668512771524E-3</c:v>
                </c:pt>
                <c:pt idx="169">
                  <c:v>3.5437821386707599E-4</c:v>
                </c:pt>
                <c:pt idx="170">
                  <c:v>9.7616940932861499E-4</c:v>
                </c:pt>
                <c:pt idx="171">
                  <c:v>6.2773917111848395E-4</c:v>
                </c:pt>
                <c:pt idx="172">
                  <c:v>1.0919095412966801E-3</c:v>
                </c:pt>
                <c:pt idx="173">
                  <c:v>4.2665662722949401E-4</c:v>
                </c:pt>
                <c:pt idx="174">
                  <c:v>6.5277972018063196E-4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0-4EB4-B231-A672ABB21EF5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BSCX x 10 dma / IBDY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-5.0040509091067503E-4</c:v>
                </c:pt>
                <c:pt idx="11">
                  <c:v>-3.31288967808565E-3</c:v>
                </c:pt>
                <c:pt idx="12">
                  <c:v>-3.8517408997705998E-3</c:v>
                </c:pt>
                <c:pt idx="13">
                  <c:v>-3.02357304465108E-3</c:v>
                </c:pt>
                <c:pt idx="14">
                  <c:v>-2.4937246170146799E-3</c:v>
                </c:pt>
                <c:pt idx="15">
                  <c:v>-2.4511783676785799E-3</c:v>
                </c:pt>
                <c:pt idx="16">
                  <c:v>-2.9441471612383402E-3</c:v>
                </c:pt>
                <c:pt idx="17">
                  <c:v>-2.25318308363385E-3</c:v>
                </c:pt>
                <c:pt idx="18">
                  <c:v>-1.2643398113125E-3</c:v>
                </c:pt>
                <c:pt idx="19">
                  <c:v>-1.18607323177216E-3</c:v>
                </c:pt>
                <c:pt idx="20">
                  <c:v>3.7148903250646299E-3</c:v>
                </c:pt>
                <c:pt idx="21">
                  <c:v>4.0509263088950899E-3</c:v>
                </c:pt>
                <c:pt idx="22">
                  <c:v>3.2093459753528798E-3</c:v>
                </c:pt>
                <c:pt idx="23">
                  <c:v>3.2459221195944802E-3</c:v>
                </c:pt>
                <c:pt idx="24">
                  <c:v>2.0701248505519501E-3</c:v>
                </c:pt>
                <c:pt idx="25">
                  <c:v>2.2177284782887601E-3</c:v>
                </c:pt>
                <c:pt idx="26">
                  <c:v>1.30907836835898E-3</c:v>
                </c:pt>
                <c:pt idx="27">
                  <c:v>1.5529399007912701E-3</c:v>
                </c:pt>
                <c:pt idx="28">
                  <c:v>9.6925540563564804E-4</c:v>
                </c:pt>
                <c:pt idx="29">
                  <c:v>-1.75373418150311E-4</c:v>
                </c:pt>
                <c:pt idx="30">
                  <c:v>-1.8015584656264999E-4</c:v>
                </c:pt>
                <c:pt idx="31">
                  <c:v>-6.2091584987450203E-4</c:v>
                </c:pt>
                <c:pt idx="32">
                  <c:v>-8.1133932526998001E-4</c:v>
                </c:pt>
                <c:pt idx="33">
                  <c:v>-2.6033690290109499E-4</c:v>
                </c:pt>
                <c:pt idx="34">
                  <c:v>-3.1589393558640899E-3</c:v>
                </c:pt>
                <c:pt idx="35">
                  <c:v>-3.77455594183599E-3</c:v>
                </c:pt>
                <c:pt idx="36">
                  <c:v>-2.9461147351913198E-3</c:v>
                </c:pt>
                <c:pt idx="37">
                  <c:v>-2.0390375445746502E-3</c:v>
                </c:pt>
                <c:pt idx="38">
                  <c:v>-1.7927611113676999E-3</c:v>
                </c:pt>
                <c:pt idx="39">
                  <c:v>2.17395016715533E-3</c:v>
                </c:pt>
                <c:pt idx="40">
                  <c:v>2.41616041723316E-3</c:v>
                </c:pt>
                <c:pt idx="41">
                  <c:v>1.9043737485193999E-3</c:v>
                </c:pt>
                <c:pt idx="42">
                  <c:v>2.1219949744484901E-3</c:v>
                </c:pt>
                <c:pt idx="43">
                  <c:v>1.13542569022783E-3</c:v>
                </c:pt>
                <c:pt idx="44">
                  <c:v>1.91578644893446E-3</c:v>
                </c:pt>
                <c:pt idx="45">
                  <c:v>1.5890655071110599E-3</c:v>
                </c:pt>
                <c:pt idx="46">
                  <c:v>1.8545728489307201E-3</c:v>
                </c:pt>
                <c:pt idx="47">
                  <c:v>7.6490703488070401E-4</c:v>
                </c:pt>
                <c:pt idx="48">
                  <c:v>3.7769113267730202E-4</c:v>
                </c:pt>
                <c:pt idx="49">
                  <c:v>-1.7035286953261399E-4</c:v>
                </c:pt>
                <c:pt idx="50">
                  <c:v>-1.71127173257178E-4</c:v>
                </c:pt>
                <c:pt idx="51">
                  <c:v>2.7836564514853999E-4</c:v>
                </c:pt>
                <c:pt idx="52">
                  <c:v>1.8753218267320701E-4</c:v>
                </c:pt>
                <c:pt idx="53">
                  <c:v>4.4888988247303497E-5</c:v>
                </c:pt>
                <c:pt idx="54">
                  <c:v>-4.14512762949832E-3</c:v>
                </c:pt>
                <c:pt idx="55">
                  <c:v>-3.39664697229271E-3</c:v>
                </c:pt>
                <c:pt idx="56">
                  <c:v>-3.58722641217248E-3</c:v>
                </c:pt>
                <c:pt idx="57">
                  <c:v>-2.7465354132455901E-3</c:v>
                </c:pt>
                <c:pt idx="58">
                  <c:v>-2.6943259321290298E-3</c:v>
                </c:pt>
                <c:pt idx="59">
                  <c:v>-2.1753214973739602E-3</c:v>
                </c:pt>
                <c:pt idx="60">
                  <c:v>-1.51253214782172E-3</c:v>
                </c:pt>
                <c:pt idx="61">
                  <c:v>2.8236009774911799E-3</c:v>
                </c:pt>
                <c:pt idx="62">
                  <c:v>3.4326937753473602E-3</c:v>
                </c:pt>
                <c:pt idx="63">
                  <c:v>3.4407561524609199E-3</c:v>
                </c:pt>
                <c:pt idx="64">
                  <c:v>3.7140927390156698E-3</c:v>
                </c:pt>
                <c:pt idx="65">
                  <c:v>2.5505668466406502E-3</c:v>
                </c:pt>
                <c:pt idx="66">
                  <c:v>1.84237196966782E-3</c:v>
                </c:pt>
                <c:pt idx="67">
                  <c:v>6.0360646315216703E-4</c:v>
                </c:pt>
                <c:pt idx="68">
                  <c:v>8.7477063956407496E-4</c:v>
                </c:pt>
                <c:pt idx="69">
                  <c:v>9.65244399907679E-4</c:v>
                </c:pt>
                <c:pt idx="70">
                  <c:v>-4.23382140714956E-4</c:v>
                </c:pt>
                <c:pt idx="71">
                  <c:v>-4.9030301970310296E-4</c:v>
                </c:pt>
                <c:pt idx="72">
                  <c:v>4.6602935138977E-4</c:v>
                </c:pt>
                <c:pt idx="73">
                  <c:v>-4.1264458962119903E-3</c:v>
                </c:pt>
                <c:pt idx="74">
                  <c:v>-3.48624237337236E-3</c:v>
                </c:pt>
                <c:pt idx="75">
                  <c:v>-3.21452137987162E-3</c:v>
                </c:pt>
                <c:pt idx="76">
                  <c:v>-3.2020008836295701E-3</c:v>
                </c:pt>
                <c:pt idx="77">
                  <c:v>-2.1059382245485199E-3</c:v>
                </c:pt>
                <c:pt idx="78">
                  <c:v>-1.7542613044663499E-3</c:v>
                </c:pt>
                <c:pt idx="79">
                  <c:v>-1.4769781461789601E-3</c:v>
                </c:pt>
                <c:pt idx="80">
                  <c:v>-1.4428476675710099E-3</c:v>
                </c:pt>
                <c:pt idx="81">
                  <c:v>-3.4471081317559698E-4</c:v>
                </c:pt>
                <c:pt idx="82">
                  <c:v>4.02125939891215E-3</c:v>
                </c:pt>
                <c:pt idx="83">
                  <c:v>3.5227287988362E-3</c:v>
                </c:pt>
                <c:pt idx="84">
                  <c:v>2.5985554735408699E-3</c:v>
                </c:pt>
                <c:pt idx="85">
                  <c:v>2.2526126948406201E-3</c:v>
                </c:pt>
                <c:pt idx="86">
                  <c:v>2.0847233171012399E-3</c:v>
                </c:pt>
                <c:pt idx="87">
                  <c:v>1.48806026655863E-3</c:v>
                </c:pt>
                <c:pt idx="88">
                  <c:v>1.12259414853229E-3</c:v>
                </c:pt>
                <c:pt idx="89">
                  <c:v>1.62639470930581E-3</c:v>
                </c:pt>
                <c:pt idx="90">
                  <c:v>9.08333282185782E-4</c:v>
                </c:pt>
                <c:pt idx="91">
                  <c:v>3.1662004448910201E-4</c:v>
                </c:pt>
                <c:pt idx="92">
                  <c:v>-6.4592151408447295E-4</c:v>
                </c:pt>
                <c:pt idx="93">
                  <c:v>-4.2832374461743697E-3</c:v>
                </c:pt>
                <c:pt idx="94">
                  <c:v>-3.2551094434004101E-3</c:v>
                </c:pt>
                <c:pt idx="95">
                  <c:v>-3.3342125656791702E-3</c:v>
                </c:pt>
                <c:pt idx="96">
                  <c:v>-2.7646353082320602E-3</c:v>
                </c:pt>
                <c:pt idx="97">
                  <c:v>-2.1946043692628501E-3</c:v>
                </c:pt>
                <c:pt idx="98">
                  <c:v>-1.53118899683538E-3</c:v>
                </c:pt>
                <c:pt idx="99">
                  <c:v>-1.9809484704106498E-3</c:v>
                </c:pt>
                <c:pt idx="100">
                  <c:v>-1.53599916225447E-3</c:v>
                </c:pt>
                <c:pt idx="101">
                  <c:v>-5.1593014443540195E-4</c:v>
                </c:pt>
                <c:pt idx="102">
                  <c:v>3.27694940127213E-3</c:v>
                </c:pt>
                <c:pt idx="103">
                  <c:v>3.6500593186181E-3</c:v>
                </c:pt>
                <c:pt idx="104">
                  <c:v>2.7944527447763901E-3</c:v>
                </c:pt>
                <c:pt idx="105">
                  <c:v>2.6318324107601002E-3</c:v>
                </c:pt>
                <c:pt idx="106">
                  <c:v>1.6914636326713799E-3</c:v>
                </c:pt>
                <c:pt idx="107">
                  <c:v>2.6293830525906899E-3</c:v>
                </c:pt>
                <c:pt idx="108">
                  <c:v>1.7581653166078299E-3</c:v>
                </c:pt>
                <c:pt idx="109">
                  <c:v>1.1474989939981701E-3</c:v>
                </c:pt>
                <c:pt idx="110">
                  <c:v>2.0242478689252801E-4</c:v>
                </c:pt>
                <c:pt idx="111">
                  <c:v>5.3669858502911299E-4</c:v>
                </c:pt>
                <c:pt idx="112">
                  <c:v>1.11214823811117E-3</c:v>
                </c:pt>
                <c:pt idx="113">
                  <c:v>3.7857152918042698E-4</c:v>
                </c:pt>
                <c:pt idx="114">
                  <c:v>-1.05144605000343E-4</c:v>
                </c:pt>
                <c:pt idx="115">
                  <c:v>-9.1998579624869906E-5</c:v>
                </c:pt>
                <c:pt idx="116">
                  <c:v>-4.7230491322817897E-3</c:v>
                </c:pt>
                <c:pt idx="117">
                  <c:v>-4.0618652238809498E-3</c:v>
                </c:pt>
                <c:pt idx="118">
                  <c:v>-3.4304088925248099E-3</c:v>
                </c:pt>
                <c:pt idx="119">
                  <c:v>-2.2549023641542602E-3</c:v>
                </c:pt>
                <c:pt idx="120">
                  <c:v>-2.5146019005948799E-3</c:v>
                </c:pt>
                <c:pt idx="121">
                  <c:v>-1.9928258113628898E-3</c:v>
                </c:pt>
                <c:pt idx="122">
                  <c:v>-1.9823112725821301E-3</c:v>
                </c:pt>
                <c:pt idx="123">
                  <c:v>3.5285192400999199E-3</c:v>
                </c:pt>
                <c:pt idx="124">
                  <c:v>3.36904732288773E-3</c:v>
                </c:pt>
                <c:pt idx="125">
                  <c:v>2.14433839142417E-3</c:v>
                </c:pt>
                <c:pt idx="126">
                  <c:v>3.7862302863895E-3</c:v>
                </c:pt>
                <c:pt idx="127">
                  <c:v>2.4984283617080099E-3</c:v>
                </c:pt>
                <c:pt idx="128">
                  <c:v>1.82108532227344E-3</c:v>
                </c:pt>
                <c:pt idx="129">
                  <c:v>1.22901986156077E-3</c:v>
                </c:pt>
                <c:pt idx="130">
                  <c:v>1.87125368556645E-3</c:v>
                </c:pt>
                <c:pt idx="131">
                  <c:v>9.3826014730531303E-4</c:v>
                </c:pt>
                <c:pt idx="132">
                  <c:v>7.1623787603659601E-4</c:v>
                </c:pt>
                <c:pt idx="133">
                  <c:v>-3.3261983469634902E-4</c:v>
                </c:pt>
                <c:pt idx="134">
                  <c:v>2.9758742734184798E-4</c:v>
                </c:pt>
                <c:pt idx="135">
                  <c:v>-4.0474878790420299E-3</c:v>
                </c:pt>
                <c:pt idx="136">
                  <c:v>-4.0811590382310902E-3</c:v>
                </c:pt>
                <c:pt idx="137">
                  <c:v>-2.6540654243353899E-3</c:v>
                </c:pt>
                <c:pt idx="138">
                  <c:v>-2.9243945600318602E-3</c:v>
                </c:pt>
                <c:pt idx="139">
                  <c:v>-2.8482447569411098E-3</c:v>
                </c:pt>
                <c:pt idx="140">
                  <c:v>-2.0999717086105998E-3</c:v>
                </c:pt>
                <c:pt idx="141">
                  <c:v>-2.0780477454510598E-3</c:v>
                </c:pt>
                <c:pt idx="142">
                  <c:v>-1.4478883010355401E-3</c:v>
                </c:pt>
                <c:pt idx="143">
                  <c:v>-1.11799548105919E-3</c:v>
                </c:pt>
                <c:pt idx="144">
                  <c:v>-1.05308684504946E-3</c:v>
                </c:pt>
                <c:pt idx="145">
                  <c:v>3.9278920321140403E-3</c:v>
                </c:pt>
                <c:pt idx="146">
                  <c:v>2.6685460064787502E-3</c:v>
                </c:pt>
                <c:pt idx="147">
                  <c:v>2.9155533286374701E-3</c:v>
                </c:pt>
                <c:pt idx="148">
                  <c:v>2.4235559508707298E-3</c:v>
                </c:pt>
                <c:pt idx="149">
                  <c:v>2.0505367218215899E-3</c:v>
                </c:pt>
                <c:pt idx="150">
                  <c:v>2.6763320768343202E-3</c:v>
                </c:pt>
                <c:pt idx="151">
                  <c:v>1.8689950630376101E-3</c:v>
                </c:pt>
                <c:pt idx="152">
                  <c:v>2.10569495422987E-3</c:v>
                </c:pt>
                <c:pt idx="153">
                  <c:v>9.7343453241205305E-4</c:v>
                </c:pt>
                <c:pt idx="154">
                  <c:v>4.5923924501886599E-5</c:v>
                </c:pt>
                <c:pt idx="155">
                  <c:v>9.5651490730199894E-5</c:v>
                </c:pt>
                <c:pt idx="156">
                  <c:v>2.7668820889563601E-4</c:v>
                </c:pt>
                <c:pt idx="157">
                  <c:v>-4.00970069956317E-4</c:v>
                </c:pt>
                <c:pt idx="158">
                  <c:v>2.8258795563832899E-4</c:v>
                </c:pt>
                <c:pt idx="159">
                  <c:v>3.9993394046746101E-5</c:v>
                </c:pt>
                <c:pt idx="160">
                  <c:v>-4.0960734938170198E-3</c:v>
                </c:pt>
                <c:pt idx="161">
                  <c:v>-3.9501685072917897E-3</c:v>
                </c:pt>
                <c:pt idx="162">
                  <c:v>-3.3818006517318902E-3</c:v>
                </c:pt>
                <c:pt idx="163">
                  <c:v>-2.4976289564744101E-3</c:v>
                </c:pt>
                <c:pt idx="164">
                  <c:v>-2.3342116215368598E-3</c:v>
                </c:pt>
                <c:pt idx="165">
                  <c:v>-2.24392842374059E-3</c:v>
                </c:pt>
                <c:pt idx="166">
                  <c:v>1.9310643592210101E-3</c:v>
                </c:pt>
                <c:pt idx="167">
                  <c:v>2.0859174858583302E-3</c:v>
                </c:pt>
                <c:pt idx="168">
                  <c:v>2.6587277783469E-3</c:v>
                </c:pt>
                <c:pt idx="169">
                  <c:v>1.78706860487786E-3</c:v>
                </c:pt>
                <c:pt idx="170">
                  <c:v>2.49035851102017E-3</c:v>
                </c:pt>
                <c:pt idx="171">
                  <c:v>1.7537647312247499E-3</c:v>
                </c:pt>
                <c:pt idx="172">
                  <c:v>1.83412363715946E-3</c:v>
                </c:pt>
                <c:pt idx="173">
                  <c:v>7.5155424187720097E-4</c:v>
                </c:pt>
                <c:pt idx="174">
                  <c:v>6.6612605362666296E-4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B0-4EB4-B231-A672ABB21EF5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BSCX x 20 dma / IBDY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1.85012672458937E-3</c:v>
                </c:pt>
                <c:pt idx="21">
                  <c:v>2.2441919065351798E-3</c:v>
                </c:pt>
                <c:pt idx="22">
                  <c:v>1.7458020915785901E-3</c:v>
                </c:pt>
                <c:pt idx="23">
                  <c:v>2.1686703627928302E-3</c:v>
                </c:pt>
                <c:pt idx="24">
                  <c:v>1.37813699322718E-3</c:v>
                </c:pt>
                <c:pt idx="25">
                  <c:v>1.8543576482620699E-3</c:v>
                </c:pt>
                <c:pt idx="26">
                  <c:v>1.3631040010148E-3</c:v>
                </c:pt>
                <c:pt idx="27">
                  <c:v>2.0651026430646801E-3</c:v>
                </c:pt>
                <c:pt idx="28">
                  <c:v>1.9417626483143101E-3</c:v>
                </c:pt>
                <c:pt idx="29">
                  <c:v>1.23697374288892E-3</c:v>
                </c:pt>
                <c:pt idx="30">
                  <c:v>1.66179713466685E-3</c:v>
                </c:pt>
                <c:pt idx="31">
                  <c:v>1.18621559137986E-3</c:v>
                </c:pt>
                <c:pt idx="32">
                  <c:v>7.5536219367741404E-4</c:v>
                </c:pt>
                <c:pt idx="33">
                  <c:v>1.0551029822624899E-3</c:v>
                </c:pt>
                <c:pt idx="34">
                  <c:v>-2.0931312263950301E-3</c:v>
                </c:pt>
                <c:pt idx="35">
                  <c:v>-3.0231064510831398E-3</c:v>
                </c:pt>
                <c:pt idx="36">
                  <c:v>-2.6167759426432399E-3</c:v>
                </c:pt>
                <c:pt idx="37">
                  <c:v>-2.1080576555199599E-3</c:v>
                </c:pt>
                <c:pt idx="38">
                  <c:v>-2.2899351581257398E-3</c:v>
                </c:pt>
                <c:pt idx="39">
                  <c:v>1.2801117966498E-3</c:v>
                </c:pt>
                <c:pt idx="40">
                  <c:v>1.35836383162389E-3</c:v>
                </c:pt>
                <c:pt idx="41">
                  <c:v>8.8119667928817302E-4</c:v>
                </c:pt>
                <c:pt idx="42">
                  <c:v>1.17564126763138E-3</c:v>
                </c:pt>
                <c:pt idx="43">
                  <c:v>2.8539232497847E-4</c:v>
                </c:pt>
                <c:pt idx="44">
                  <c:v>1.09434328836127E-3</c:v>
                </c:pt>
                <c:pt idx="45">
                  <c:v>1.09411531234476E-3</c:v>
                </c:pt>
                <c:pt idx="46">
                  <c:v>1.8031448092982901E-3</c:v>
                </c:pt>
                <c:pt idx="47">
                  <c:v>1.12861225763669E-3</c:v>
                </c:pt>
                <c:pt idx="48">
                  <c:v>1.10486258728724E-3</c:v>
                </c:pt>
                <c:pt idx="49">
                  <c:v>9.2644108554215405E-4</c:v>
                </c:pt>
                <c:pt idx="50">
                  <c:v>8.9004181342608197E-4</c:v>
                </c:pt>
                <c:pt idx="51">
                  <c:v>1.2922553258704901E-3</c:v>
                </c:pt>
                <c:pt idx="52">
                  <c:v>1.1975988728699699E-3</c:v>
                </c:pt>
                <c:pt idx="53">
                  <c:v>1.0072346611154099E-3</c:v>
                </c:pt>
                <c:pt idx="54">
                  <c:v>-3.1258153939580599E-3</c:v>
                </c:pt>
                <c:pt idx="55">
                  <c:v>-2.75075415102311E-3</c:v>
                </c:pt>
                <c:pt idx="56">
                  <c:v>-3.3453349037722798E-3</c:v>
                </c:pt>
                <c:pt idx="57">
                  <c:v>-2.9878243820961E-3</c:v>
                </c:pt>
                <c:pt idx="58">
                  <c:v>-3.3120362326582299E-3</c:v>
                </c:pt>
                <c:pt idx="59">
                  <c:v>-3.1896753661103299E-3</c:v>
                </c:pt>
                <c:pt idx="60">
                  <c:v>-2.7208002834100699E-3</c:v>
                </c:pt>
                <c:pt idx="61">
                  <c:v>1.45098112553235E-3</c:v>
                </c:pt>
                <c:pt idx="62">
                  <c:v>2.0300146946618598E-3</c:v>
                </c:pt>
                <c:pt idx="63">
                  <c:v>2.0556424559486802E-3</c:v>
                </c:pt>
                <c:pt idx="64">
                  <c:v>2.3184045474568399E-3</c:v>
                </c:pt>
                <c:pt idx="65">
                  <c:v>1.6089625341919099E-3</c:v>
                </c:pt>
                <c:pt idx="66">
                  <c:v>1.2885387469069899E-3</c:v>
                </c:pt>
                <c:pt idx="67">
                  <c:v>5.13938080088665E-4</c:v>
                </c:pt>
                <c:pt idx="68">
                  <c:v>1.14366908495775E-3</c:v>
                </c:pt>
                <c:pt idx="69">
                  <c:v>1.65543150398568E-3</c:v>
                </c:pt>
                <c:pt idx="70">
                  <c:v>6.9528610082785901E-4</c:v>
                </c:pt>
                <c:pt idx="71">
                  <c:v>9.833272109831591E-4</c:v>
                </c:pt>
                <c:pt idx="72">
                  <c:v>1.9312663501190801E-3</c:v>
                </c:pt>
                <c:pt idx="73">
                  <c:v>-2.6849810407398602E-3</c:v>
                </c:pt>
                <c:pt idx="74">
                  <c:v>-2.31089520795238E-3</c:v>
                </c:pt>
                <c:pt idx="75">
                  <c:v>-2.53544341999285E-3</c:v>
                </c:pt>
                <c:pt idx="76">
                  <c:v>-2.9467566859262199E-3</c:v>
                </c:pt>
                <c:pt idx="77">
                  <c:v>-2.2937641936925002E-3</c:v>
                </c:pt>
                <c:pt idx="78">
                  <c:v>-2.25502507207311E-3</c:v>
                </c:pt>
                <c:pt idx="79">
                  <c:v>-2.3645952953323199E-3</c:v>
                </c:pt>
                <c:pt idx="80">
                  <c:v>-2.7670833802374501E-3</c:v>
                </c:pt>
                <c:pt idx="81">
                  <c:v>-2.01843751189089E-3</c:v>
                </c:pt>
                <c:pt idx="82">
                  <c:v>2.2062193102138001E-3</c:v>
                </c:pt>
                <c:pt idx="83">
                  <c:v>1.70571640277172E-3</c:v>
                </c:pt>
                <c:pt idx="84">
                  <c:v>1.2158556215598E-3</c:v>
                </c:pt>
                <c:pt idx="85">
                  <c:v>1.2779267177277301E-3</c:v>
                </c:pt>
                <c:pt idx="86">
                  <c:v>1.5060581163304999E-3</c:v>
                </c:pt>
                <c:pt idx="87">
                  <c:v>1.3425879414855899E-3</c:v>
                </c:pt>
                <c:pt idx="88">
                  <c:v>1.2966571449457001E-3</c:v>
                </c:pt>
                <c:pt idx="89">
                  <c:v>2.1434253951058599E-3</c:v>
                </c:pt>
                <c:pt idx="90">
                  <c:v>1.843394695281E-3</c:v>
                </c:pt>
                <c:pt idx="91">
                  <c:v>1.64682754469107E-3</c:v>
                </c:pt>
                <c:pt idx="92">
                  <c:v>1.0110291450510999E-3</c:v>
                </c:pt>
                <c:pt idx="93">
                  <c:v>-2.6902931255560498E-3</c:v>
                </c:pt>
                <c:pt idx="94">
                  <c:v>-2.0946209696618302E-3</c:v>
                </c:pt>
                <c:pt idx="95">
                  <c:v>-2.5167423154604301E-3</c:v>
                </c:pt>
                <c:pt idx="96">
                  <c:v>-2.32104238408022E-3</c:v>
                </c:pt>
                <c:pt idx="97">
                  <c:v>-2.1558351630566498E-3</c:v>
                </c:pt>
                <c:pt idx="98">
                  <c:v>-1.83787415150001E-3</c:v>
                </c:pt>
                <c:pt idx="99">
                  <c:v>-2.6121530434253201E-3</c:v>
                </c:pt>
                <c:pt idx="100">
                  <c:v>-2.61714883552037E-3</c:v>
                </c:pt>
                <c:pt idx="101">
                  <c:v>-2.0379853650257002E-3</c:v>
                </c:pt>
                <c:pt idx="102">
                  <c:v>1.3956215634991899E-3</c:v>
                </c:pt>
                <c:pt idx="103">
                  <c:v>1.84419473497718E-3</c:v>
                </c:pt>
                <c:pt idx="104">
                  <c:v>1.4350532634571801E-3</c:v>
                </c:pt>
                <c:pt idx="105">
                  <c:v>1.61524390917455E-3</c:v>
                </c:pt>
                <c:pt idx="106">
                  <c:v>1.0689084722565101E-3</c:v>
                </c:pt>
                <c:pt idx="107">
                  <c:v>2.3654454512769098E-3</c:v>
                </c:pt>
                <c:pt idx="108">
                  <c:v>1.8892411476083601E-3</c:v>
                </c:pt>
                <c:pt idx="109">
                  <c:v>1.6196058621067799E-3</c:v>
                </c:pt>
                <c:pt idx="110">
                  <c:v>1.1220253706594799E-3</c:v>
                </c:pt>
                <c:pt idx="111">
                  <c:v>1.86607469885545E-3</c:v>
                </c:pt>
                <c:pt idx="112">
                  <c:v>2.8214961651078E-3</c:v>
                </c:pt>
                <c:pt idx="113">
                  <c:v>2.1427282653325602E-3</c:v>
                </c:pt>
                <c:pt idx="114">
                  <c:v>1.4557178890380099E-3</c:v>
                </c:pt>
                <c:pt idx="115">
                  <c:v>1.3133356180161501E-3</c:v>
                </c:pt>
                <c:pt idx="116">
                  <c:v>-3.5102221353348899E-3</c:v>
                </c:pt>
                <c:pt idx="117">
                  <c:v>-3.2099738255983298E-3</c:v>
                </c:pt>
                <c:pt idx="118">
                  <c:v>-3.0432889027595901E-3</c:v>
                </c:pt>
                <c:pt idx="119">
                  <c:v>-2.26641211081951E-3</c:v>
                </c:pt>
                <c:pt idx="120">
                  <c:v>-2.9012162624970001E-3</c:v>
                </c:pt>
                <c:pt idx="121">
                  <c:v>-2.7330200138925699E-3</c:v>
                </c:pt>
                <c:pt idx="122">
                  <c:v>-3.1083854466461302E-3</c:v>
                </c:pt>
                <c:pt idx="123">
                  <c:v>2.0732105276810302E-3</c:v>
                </c:pt>
                <c:pt idx="124">
                  <c:v>1.91287718267536E-3</c:v>
                </c:pt>
                <c:pt idx="125">
                  <c:v>7.0505737065826898E-4</c:v>
                </c:pt>
                <c:pt idx="126">
                  <c:v>2.3106238874622898E-3</c:v>
                </c:pt>
                <c:pt idx="127">
                  <c:v>1.49984399089484E-3</c:v>
                </c:pt>
                <c:pt idx="128">
                  <c:v>1.2999854231038901E-3</c:v>
                </c:pt>
                <c:pt idx="129">
                  <c:v>1.13928912481853E-3</c:v>
                </c:pt>
                <c:pt idx="130">
                  <c:v>2.1182040443511502E-3</c:v>
                </c:pt>
                <c:pt idx="131">
                  <c:v>1.60420917627607E-3</c:v>
                </c:pt>
                <c:pt idx="132">
                  <c:v>1.7964557801430599E-3</c:v>
                </c:pt>
                <c:pt idx="133">
                  <c:v>1.2587842451606201E-3</c:v>
                </c:pt>
                <c:pt idx="134">
                  <c:v>1.84305785417713E-3</c:v>
                </c:pt>
                <c:pt idx="135">
                  <c:v>-2.52910515475804E-3</c:v>
                </c:pt>
                <c:pt idx="136">
                  <c:v>-2.6890584905325601E-3</c:v>
                </c:pt>
                <c:pt idx="137">
                  <c:v>-1.79473846500455E-3</c:v>
                </c:pt>
                <c:pt idx="138">
                  <c:v>-2.4653005261492502E-3</c:v>
                </c:pt>
                <c:pt idx="139">
                  <c:v>-2.7913417761885801E-3</c:v>
                </c:pt>
                <c:pt idx="140">
                  <c:v>-2.4066489711747799E-3</c:v>
                </c:pt>
                <c:pt idx="141">
                  <c:v>-2.8577885017039401E-3</c:v>
                </c:pt>
                <c:pt idx="142">
                  <c:v>-2.6693332689675998E-3</c:v>
                </c:pt>
                <c:pt idx="143">
                  <c:v>-2.8122918060210101E-3</c:v>
                </c:pt>
                <c:pt idx="144">
                  <c:v>-2.9216266444264298E-3</c:v>
                </c:pt>
                <c:pt idx="145">
                  <c:v>1.80488843072563E-3</c:v>
                </c:pt>
                <c:pt idx="146">
                  <c:v>8.8899682901454904E-4</c:v>
                </c:pt>
                <c:pt idx="147">
                  <c:v>1.54916176918409E-3</c:v>
                </c:pt>
                <c:pt idx="148">
                  <c:v>1.3702015361208299E-3</c:v>
                </c:pt>
                <c:pt idx="149">
                  <c:v>1.35030704842027E-3</c:v>
                </c:pt>
                <c:pt idx="150">
                  <c:v>2.3490858170128401E-3</c:v>
                </c:pt>
                <c:pt idx="151">
                  <c:v>1.9768393326859801E-3</c:v>
                </c:pt>
                <c:pt idx="152">
                  <c:v>2.6506251867198299E-3</c:v>
                </c:pt>
                <c:pt idx="153">
                  <c:v>1.98116069560922E-3</c:v>
                </c:pt>
                <c:pt idx="154">
                  <c:v>1.4683067673425499E-3</c:v>
                </c:pt>
                <c:pt idx="155">
                  <c:v>1.9704035517870101E-3</c:v>
                </c:pt>
                <c:pt idx="156">
                  <c:v>1.9608973187926699E-3</c:v>
                </c:pt>
                <c:pt idx="157">
                  <c:v>1.1725322683628699E-3</c:v>
                </c:pt>
                <c:pt idx="158">
                  <c:v>1.7057071103710199E-3</c:v>
                </c:pt>
                <c:pt idx="159">
                  <c:v>1.33620369805163E-3</c:v>
                </c:pt>
                <c:pt idx="160">
                  <c:v>-2.9458929167796798E-3</c:v>
                </c:pt>
                <c:pt idx="161">
                  <c:v>-3.2304253324191802E-3</c:v>
                </c:pt>
                <c:pt idx="162">
                  <c:v>-3.0898450029011098E-3</c:v>
                </c:pt>
                <c:pt idx="163">
                  <c:v>-2.68331192052048E-3</c:v>
                </c:pt>
                <c:pt idx="164">
                  <c:v>-2.9174962768230201E-3</c:v>
                </c:pt>
                <c:pt idx="165">
                  <c:v>-3.2018510731753598E-3</c:v>
                </c:pt>
                <c:pt idx="166">
                  <c:v>7.6487816733992E-4</c:v>
                </c:pt>
                <c:pt idx="167">
                  <c:v>8.3724233783064495E-4</c:v>
                </c:pt>
                <c:pt idx="168">
                  <c:v>1.4180448988269001E-3</c:v>
                </c:pt>
                <c:pt idx="169">
                  <c:v>5.0594688012854596E-4</c:v>
                </c:pt>
                <c:pt idx="170">
                  <c:v>1.1395612388937499E-3</c:v>
                </c:pt>
                <c:pt idx="171">
                  <c:v>8.2060602044828595E-4</c:v>
                </c:pt>
                <c:pt idx="172">
                  <c:v>1.31191889038891E-3</c:v>
                </c:pt>
                <c:pt idx="173">
                  <c:v>6.8322528316721903E-4</c:v>
                </c:pt>
                <c:pt idx="174">
                  <c:v>9.4580664063372401E-4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B0-4EB4-B231-A672ABB21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5.6545917157886693E-4</c:v>
                </c:pt>
                <c:pt idx="128">
                  <c:v>3.5657418657777679E-4</c:v>
                </c:pt>
                <c:pt idx="129">
                  <c:v>3.0736037717313692E-4</c:v>
                </c:pt>
                <c:pt idx="130">
                  <c:v>1.2828947226449371E-3</c:v>
                </c:pt>
                <c:pt idx="131">
                  <c:v>1.2828947226449371E-3</c:v>
                </c:pt>
                <c:pt idx="132">
                  <c:v>1.2828947226449371E-3</c:v>
                </c:pt>
                <c:pt idx="133">
                  <c:v>1.2828947226449371E-3</c:v>
                </c:pt>
                <c:pt idx="134">
                  <c:v>1.2828947226449371E-3</c:v>
                </c:pt>
                <c:pt idx="135">
                  <c:v>1.2828947226449371E-3</c:v>
                </c:pt>
                <c:pt idx="136">
                  <c:v>1.2828947226449371E-3</c:v>
                </c:pt>
                <c:pt idx="137">
                  <c:v>1.2828947226449371E-3</c:v>
                </c:pt>
                <c:pt idx="138">
                  <c:v>1.2828947226449371E-3</c:v>
                </c:pt>
                <c:pt idx="139">
                  <c:v>1.2828947226449371E-3</c:v>
                </c:pt>
                <c:pt idx="140">
                  <c:v>1.2828947226449371E-3</c:v>
                </c:pt>
                <c:pt idx="141">
                  <c:v>1.2828947226449371E-3</c:v>
                </c:pt>
                <c:pt idx="142">
                  <c:v>1.2828947226449371E-3</c:v>
                </c:pt>
                <c:pt idx="143">
                  <c:v>1.2828947226449371E-3</c:v>
                </c:pt>
                <c:pt idx="144">
                  <c:v>1.2828947226449371E-3</c:v>
                </c:pt>
                <c:pt idx="145">
                  <c:v>1.2828947226449371E-3</c:v>
                </c:pt>
                <c:pt idx="146">
                  <c:v>1.2828947226449371E-3</c:v>
                </c:pt>
                <c:pt idx="147">
                  <c:v>1.2828947226449371E-3</c:v>
                </c:pt>
                <c:pt idx="148">
                  <c:v>1.2828947226449371E-3</c:v>
                </c:pt>
                <c:pt idx="149">
                  <c:v>1.2828947226449371E-3</c:v>
                </c:pt>
                <c:pt idx="150">
                  <c:v>1.2828947226449371E-3</c:v>
                </c:pt>
                <c:pt idx="151">
                  <c:v>1.2828947226449371E-3</c:v>
                </c:pt>
                <c:pt idx="152">
                  <c:v>1.2828947226449371E-3</c:v>
                </c:pt>
                <c:pt idx="153">
                  <c:v>1.2828947226449371E-3</c:v>
                </c:pt>
                <c:pt idx="154">
                  <c:v>1.2828947226449371E-3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1-4F04-B3C1-AB4CD7FC9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6.0853196762545897E-4</c:v>
                </c:pt>
                <c:pt idx="94">
                  <c:v>1.0668822742460687E-3</c:v>
                </c:pt>
                <c:pt idx="95">
                  <c:v>1.0668822742460687E-3</c:v>
                </c:pt>
                <c:pt idx="96">
                  <c:v>1.0668822742460687E-3</c:v>
                </c:pt>
                <c:pt idx="97">
                  <c:v>1.0668822742460687E-3</c:v>
                </c:pt>
                <c:pt idx="98">
                  <c:v>1.0668822742460687E-3</c:v>
                </c:pt>
                <c:pt idx="99">
                  <c:v>1.0668822742460687E-3</c:v>
                </c:pt>
                <c:pt idx="100">
                  <c:v>1.0668822742460687E-3</c:v>
                </c:pt>
                <c:pt idx="101">
                  <c:v>1.0668822742460687E-3</c:v>
                </c:pt>
                <c:pt idx="102">
                  <c:v>1.0668822742460687E-3</c:v>
                </c:pt>
                <c:pt idx="103">
                  <c:v>1.0668822742460687E-3</c:v>
                </c:pt>
                <c:pt idx="104">
                  <c:v>1.0668822742460687E-3</c:v>
                </c:pt>
                <c:pt idx="105">
                  <c:v>1.0668822742460687E-3</c:v>
                </c:pt>
                <c:pt idx="106">
                  <c:v>1.0668822742460687E-3</c:v>
                </c:pt>
                <c:pt idx="107">
                  <c:v>1.0668822742460687E-3</c:v>
                </c:pt>
                <c:pt idx="108">
                  <c:v>1.0668822742460687E-3</c:v>
                </c:pt>
                <c:pt idx="109">
                  <c:v>1.0668822742460687E-3</c:v>
                </c:pt>
                <c:pt idx="110">
                  <c:v>1.0668822742460687E-3</c:v>
                </c:pt>
                <c:pt idx="111">
                  <c:v>1.0668822742460687E-3</c:v>
                </c:pt>
                <c:pt idx="112">
                  <c:v>1.0668822742460687E-3</c:v>
                </c:pt>
                <c:pt idx="113">
                  <c:v>1.0668822742460687E-3</c:v>
                </c:pt>
                <c:pt idx="114">
                  <c:v>1.0668822742460687E-3</c:v>
                </c:pt>
                <c:pt idx="115">
                  <c:v>1.0668822742460687E-3</c:v>
                </c:pt>
                <c:pt idx="116">
                  <c:v>1.0668822742460687E-3</c:v>
                </c:pt>
                <c:pt idx="117">
                  <c:v>1.0668822742460687E-3</c:v>
                </c:pt>
                <c:pt idx="118">
                  <c:v>1.0668822742460687E-3</c:v>
                </c:pt>
                <c:pt idx="119">
                  <c:v>1.0668822742460687E-3</c:v>
                </c:pt>
                <c:pt idx="120">
                  <c:v>1.0668822742460687E-3</c:v>
                </c:pt>
                <c:pt idx="121">
                  <c:v>1.0668822742460687E-3</c:v>
                </c:pt>
                <c:pt idx="122">
                  <c:v>1.0668822742460687E-3</c:v>
                </c:pt>
                <c:pt idx="123">
                  <c:v>1.0668822742460687E-3</c:v>
                </c:pt>
                <c:pt idx="124">
                  <c:v>1.0668822742460687E-3</c:v>
                </c:pt>
                <c:pt idx="125">
                  <c:v>1.0668822742460687E-3</c:v>
                </c:pt>
                <c:pt idx="126">
                  <c:v>1.0668822742460687E-3</c:v>
                </c:pt>
                <c:pt idx="127">
                  <c:v>1.0668822742460687E-3</c:v>
                </c:pt>
                <c:pt idx="128">
                  <c:v>1.0668822742460687E-3</c:v>
                </c:pt>
                <c:pt idx="129">
                  <c:v>1.0668822742460687E-3</c:v>
                </c:pt>
                <c:pt idx="130">
                  <c:v>1.0668822742460687E-3</c:v>
                </c:pt>
                <c:pt idx="131">
                  <c:v>1.0668822742460687E-3</c:v>
                </c:pt>
                <c:pt idx="132">
                  <c:v>1.0668822742460687E-3</c:v>
                </c:pt>
                <c:pt idx="133">
                  <c:v>1.0668822742460687E-3</c:v>
                </c:pt>
                <c:pt idx="134">
                  <c:v>1.0668822742460687E-3</c:v>
                </c:pt>
                <c:pt idx="135">
                  <c:v>1.0668822742460687E-3</c:v>
                </c:pt>
                <c:pt idx="136">
                  <c:v>1.0668822742460687E-3</c:v>
                </c:pt>
                <c:pt idx="137">
                  <c:v>1.0668822742460687E-3</c:v>
                </c:pt>
                <c:pt idx="138">
                  <c:v>1.0668822742460687E-3</c:v>
                </c:pt>
                <c:pt idx="139">
                  <c:v>1.0668822742460687E-3</c:v>
                </c:pt>
                <c:pt idx="140">
                  <c:v>1.0668822742460687E-3</c:v>
                </c:pt>
                <c:pt idx="141">
                  <c:v>1.0668822742460687E-3</c:v>
                </c:pt>
                <c:pt idx="142">
                  <c:v>1.0668822742460687E-3</c:v>
                </c:pt>
                <c:pt idx="143">
                  <c:v>1.0668822742460687E-3</c:v>
                </c:pt>
                <c:pt idx="144">
                  <c:v>1.0668822742460687E-3</c:v>
                </c:pt>
                <c:pt idx="145">
                  <c:v>1.0668822742460687E-3</c:v>
                </c:pt>
                <c:pt idx="146">
                  <c:v>1.0668822742460687E-3</c:v>
                </c:pt>
                <c:pt idx="147">
                  <c:v>1.0668822742460687E-3</c:v>
                </c:pt>
                <c:pt idx="148">
                  <c:v>1.0668822742460687E-3</c:v>
                </c:pt>
                <c:pt idx="149">
                  <c:v>1.0668822742460687E-3</c:v>
                </c:pt>
                <c:pt idx="150">
                  <c:v>1.0668822742460687E-3</c:v>
                </c:pt>
                <c:pt idx="151">
                  <c:v>1.0668822742460687E-3</c:v>
                </c:pt>
                <c:pt idx="152">
                  <c:v>1.0668822742460687E-3</c:v>
                </c:pt>
                <c:pt idx="153">
                  <c:v>1.0668822742460687E-3</c:v>
                </c:pt>
                <c:pt idx="154">
                  <c:v>1.0668822742460687E-3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41-41B2-AB40-7181A6049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6.0853196762545897E-4</c:v>
                </c:pt>
                <c:pt idx="94">
                  <c:v>1.0668822742460687E-3</c:v>
                </c:pt>
                <c:pt idx="95">
                  <c:v>1.0668822742460687E-3</c:v>
                </c:pt>
                <c:pt idx="96">
                  <c:v>1.0668822742460687E-3</c:v>
                </c:pt>
                <c:pt idx="97">
                  <c:v>1.0668822742460687E-3</c:v>
                </c:pt>
                <c:pt idx="98">
                  <c:v>1.0668822742460687E-3</c:v>
                </c:pt>
                <c:pt idx="99">
                  <c:v>1.0668822742460687E-3</c:v>
                </c:pt>
                <c:pt idx="100">
                  <c:v>1.0668822742460687E-3</c:v>
                </c:pt>
                <c:pt idx="101">
                  <c:v>1.0668822742460687E-3</c:v>
                </c:pt>
                <c:pt idx="102">
                  <c:v>1.0668822742460687E-3</c:v>
                </c:pt>
                <c:pt idx="103">
                  <c:v>1.0668822742460687E-3</c:v>
                </c:pt>
                <c:pt idx="104">
                  <c:v>1.0668822742460687E-3</c:v>
                </c:pt>
                <c:pt idx="105">
                  <c:v>1.0668822742460687E-3</c:v>
                </c:pt>
                <c:pt idx="106">
                  <c:v>1.0668822742460687E-3</c:v>
                </c:pt>
                <c:pt idx="107">
                  <c:v>1.0668822742460687E-3</c:v>
                </c:pt>
                <c:pt idx="108">
                  <c:v>1.0668822742460687E-3</c:v>
                </c:pt>
                <c:pt idx="109">
                  <c:v>1.0668822742460687E-3</c:v>
                </c:pt>
                <c:pt idx="110">
                  <c:v>1.0668822742460687E-3</c:v>
                </c:pt>
                <c:pt idx="111">
                  <c:v>1.0668822742460687E-3</c:v>
                </c:pt>
                <c:pt idx="112">
                  <c:v>1.0668822742460687E-3</c:v>
                </c:pt>
                <c:pt idx="113">
                  <c:v>1.0668822742460687E-3</c:v>
                </c:pt>
                <c:pt idx="114">
                  <c:v>1.0668822742460687E-3</c:v>
                </c:pt>
                <c:pt idx="115">
                  <c:v>1.0668822742460687E-3</c:v>
                </c:pt>
                <c:pt idx="116">
                  <c:v>1.0668822742460687E-3</c:v>
                </c:pt>
                <c:pt idx="117">
                  <c:v>1.0668822742460687E-3</c:v>
                </c:pt>
                <c:pt idx="118">
                  <c:v>1.0668822742460687E-3</c:v>
                </c:pt>
                <c:pt idx="119">
                  <c:v>1.0668822742460687E-3</c:v>
                </c:pt>
                <c:pt idx="120">
                  <c:v>1.0668822742460687E-3</c:v>
                </c:pt>
                <c:pt idx="121">
                  <c:v>1.0668822742460687E-3</c:v>
                </c:pt>
                <c:pt idx="122">
                  <c:v>1.0668822742460687E-3</c:v>
                </c:pt>
                <c:pt idx="123">
                  <c:v>1.0668822742460687E-3</c:v>
                </c:pt>
                <c:pt idx="124">
                  <c:v>1.0668822742460687E-3</c:v>
                </c:pt>
                <c:pt idx="125">
                  <c:v>1.0668822742460687E-3</c:v>
                </c:pt>
                <c:pt idx="126">
                  <c:v>1.0668822742460687E-3</c:v>
                </c:pt>
                <c:pt idx="127">
                  <c:v>1.6323414458249356E-3</c:v>
                </c:pt>
                <c:pt idx="128">
                  <c:v>1.4234564608238455E-3</c:v>
                </c:pt>
                <c:pt idx="129">
                  <c:v>1.3742426514192056E-3</c:v>
                </c:pt>
                <c:pt idx="130">
                  <c:v>2.349776996891006E-3</c:v>
                </c:pt>
                <c:pt idx="131">
                  <c:v>2.349776996891006E-3</c:v>
                </c:pt>
                <c:pt idx="132">
                  <c:v>2.349776996891006E-3</c:v>
                </c:pt>
                <c:pt idx="133">
                  <c:v>2.349776996891006E-3</c:v>
                </c:pt>
                <c:pt idx="134">
                  <c:v>2.349776996891006E-3</c:v>
                </c:pt>
                <c:pt idx="135">
                  <c:v>2.349776996891006E-3</c:v>
                </c:pt>
                <c:pt idx="136">
                  <c:v>2.349776996891006E-3</c:v>
                </c:pt>
                <c:pt idx="137">
                  <c:v>2.349776996891006E-3</c:v>
                </c:pt>
                <c:pt idx="138">
                  <c:v>2.349776996891006E-3</c:v>
                </c:pt>
                <c:pt idx="139">
                  <c:v>2.349776996891006E-3</c:v>
                </c:pt>
                <c:pt idx="140">
                  <c:v>2.349776996891006E-3</c:v>
                </c:pt>
                <c:pt idx="141">
                  <c:v>2.349776996891006E-3</c:v>
                </c:pt>
                <c:pt idx="142">
                  <c:v>2.349776996891006E-3</c:v>
                </c:pt>
                <c:pt idx="143">
                  <c:v>2.349776996891006E-3</c:v>
                </c:pt>
                <c:pt idx="144">
                  <c:v>2.349776996891006E-3</c:v>
                </c:pt>
                <c:pt idx="145">
                  <c:v>2.349776996891006E-3</c:v>
                </c:pt>
                <c:pt idx="146">
                  <c:v>2.349776996891006E-3</c:v>
                </c:pt>
                <c:pt idx="147">
                  <c:v>2.349776996891006E-3</c:v>
                </c:pt>
                <c:pt idx="148">
                  <c:v>2.349776996891006E-3</c:v>
                </c:pt>
                <c:pt idx="149">
                  <c:v>2.349776996891006E-3</c:v>
                </c:pt>
                <c:pt idx="150">
                  <c:v>2.349776996891006E-3</c:v>
                </c:pt>
                <c:pt idx="151">
                  <c:v>2.349776996891006E-3</c:v>
                </c:pt>
                <c:pt idx="152">
                  <c:v>2.349776996891006E-3</c:v>
                </c:pt>
                <c:pt idx="153">
                  <c:v>2.349776996891006E-3</c:v>
                </c:pt>
                <c:pt idx="154">
                  <c:v>2.349776996891006E-3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93-45EB-BFBD-D7B3D1F93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49760-37B0-443C-8447-886CBD938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358A69-FE91-4FB6-B326-21E2760E31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D341F9-5A4E-4C88-A109-718AD6A67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C7EFC9-C9A5-4B4E-97AE-92BB805FA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C521D6-651A-450E-8DE7-F048B4762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1B20BE-FFA3-48AD-AE35-ACE05C487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E84D50-0CED-49D7-9D0A-54E54B839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BSCQ_IBDR_2.xlsx" TargetMode="External"/><Relationship Id="rId1" Type="http://schemas.openxmlformats.org/officeDocument/2006/relationships/externalLinkPath" Target="BSCQ_IBDR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IBDR/BSCQ avg</v>
          </cell>
          <cell r="P1" t="str">
            <v>IBDR/BSCQ 10 dma</v>
          </cell>
          <cell r="Q1" t="str">
            <v>IBDR/BSCQ 20 dma</v>
          </cell>
          <cell r="U1" t="str">
            <v>log diff BSCQ x avg / IBDR</v>
          </cell>
          <cell r="V1" t="str">
            <v>log diff BSCQ x 10 dma / IBDR</v>
          </cell>
          <cell r="W1" t="str">
            <v>log diff BSCQ x 20 dma / IBDR</v>
          </cell>
          <cell r="Y1" t="str">
            <v>IBDR*/BSCQ* avg</v>
          </cell>
          <cell r="Z1" t="str">
            <v>IBDR*/BSCQ* 10 dma</v>
          </cell>
          <cell r="AA1" t="str">
            <v>IBDR*/BSCQ* 20 dma</v>
          </cell>
          <cell r="AF1" t="str">
            <v>log diff BSCQ* x 10 dma / IBDR*</v>
          </cell>
          <cell r="AG1" t="str">
            <v>log diff BSCQ* x 20 dma / IBDR*</v>
          </cell>
        </row>
        <row r="2">
          <cell r="O2">
            <v>1.2388993693114601</v>
          </cell>
          <cell r="Y2">
            <v>1.23733334869304</v>
          </cell>
        </row>
        <row r="3">
          <cell r="O3">
            <v>1.2388993693114601</v>
          </cell>
          <cell r="U3">
            <v>1.1404823419767301E-3</v>
          </cell>
          <cell r="Y3">
            <v>1.23733334869304</v>
          </cell>
        </row>
        <row r="4">
          <cell r="O4">
            <v>1.2388993693114601</v>
          </cell>
          <cell r="U4">
            <v>1.1404823419767301E-3</v>
          </cell>
          <cell r="Y4">
            <v>1.23733334869304</v>
          </cell>
        </row>
        <row r="5">
          <cell r="O5">
            <v>1.2388993693114601</v>
          </cell>
          <cell r="U5">
            <v>1.1404823419767301E-3</v>
          </cell>
          <cell r="Y5">
            <v>1.23733334869304</v>
          </cell>
        </row>
        <row r="6">
          <cell r="O6">
            <v>1.2388993693114601</v>
          </cell>
          <cell r="U6">
            <v>1.1404823419767301E-3</v>
          </cell>
          <cell r="Y6">
            <v>1.23733334869304</v>
          </cell>
        </row>
        <row r="7">
          <cell r="O7">
            <v>1.2388993693114601</v>
          </cell>
          <cell r="U7">
            <v>1.1404823419767301E-3</v>
          </cell>
          <cell r="Y7">
            <v>1.23733334869304</v>
          </cell>
        </row>
        <row r="8">
          <cell r="O8">
            <v>1.2388993693114601</v>
          </cell>
          <cell r="U8">
            <v>7.2785596929742901E-4</v>
          </cell>
          <cell r="Y8">
            <v>1.23733334869304</v>
          </cell>
        </row>
        <row r="9">
          <cell r="O9">
            <v>1.2388993693114601</v>
          </cell>
          <cell r="U9">
            <v>1.23845082338254E-3</v>
          </cell>
          <cell r="Y9">
            <v>1.23733334869304</v>
          </cell>
        </row>
        <row r="10">
          <cell r="O10">
            <v>1.2388993693114601</v>
          </cell>
          <cell r="U10">
            <v>1.33632892102614E-3</v>
          </cell>
          <cell r="Y10">
            <v>1.23733334869304</v>
          </cell>
        </row>
        <row r="11">
          <cell r="O11">
            <v>1.2388993693114601</v>
          </cell>
          <cell r="P11">
            <v>1.2376041055824401</v>
          </cell>
          <cell r="U11">
            <v>8.2599464100393801E-4</v>
          </cell>
          <cell r="Y11">
            <v>1.23733334869304</v>
          </cell>
          <cell r="Z11">
            <v>1.2376041055824401</v>
          </cell>
        </row>
        <row r="12">
          <cell r="O12">
            <v>1.2388993693114601</v>
          </cell>
          <cell r="P12">
            <v>1.2375045401422</v>
          </cell>
          <cell r="U12">
            <v>1.4341167603976E-3</v>
          </cell>
          <cell r="V12">
            <v>3.8807433787387598E-4</v>
          </cell>
          <cell r="Y12">
            <v>1.23733334869304</v>
          </cell>
          <cell r="Z12">
            <v>1.2375045401422</v>
          </cell>
          <cell r="AF12">
            <v>3.8807433787387598E-4</v>
          </cell>
        </row>
        <row r="13">
          <cell r="O13">
            <v>1.2388993693114601</v>
          </cell>
          <cell r="P13">
            <v>1.2378602181835201</v>
          </cell>
          <cell r="U13">
            <v>-1.7295907008089001E-3</v>
          </cell>
          <cell r="V13">
            <v>-2.85608651309739E-3</v>
          </cell>
          <cell r="Y13">
            <v>1.23733334869304</v>
          </cell>
          <cell r="Z13">
            <v>1.23743241362014</v>
          </cell>
          <cell r="AF13">
            <v>5.9700304674248199E-4</v>
          </cell>
        </row>
        <row r="14">
          <cell r="O14">
            <v>1.2388993693114601</v>
          </cell>
          <cell r="P14">
            <v>1.2383306450222</v>
          </cell>
          <cell r="U14">
            <v>-2.6537785592697901E-3</v>
          </cell>
          <cell r="V14">
            <v>-3.4929001229141699E-3</v>
          </cell>
          <cell r="Y14">
            <v>1.23733334869304</v>
          </cell>
          <cell r="Z14">
            <v>1.2374744218445699</v>
          </cell>
          <cell r="AF14">
            <v>-3.8370531041764398E-4</v>
          </cell>
        </row>
        <row r="15">
          <cell r="O15">
            <v>1.2388993693114601</v>
          </cell>
          <cell r="P15">
            <v>1.2386739934465301</v>
          </cell>
          <cell r="U15">
            <v>-1.63023701648254E-3</v>
          </cell>
          <cell r="V15">
            <v>-2.0893984960106099E-3</v>
          </cell>
          <cell r="Y15">
            <v>1.23733334869304</v>
          </cell>
          <cell r="Z15">
            <v>1.23739022625762</v>
          </cell>
          <cell r="AF15">
            <v>6.7025526419484897E-4</v>
          </cell>
        </row>
        <row r="16">
          <cell r="O16">
            <v>1.2388993693114601</v>
          </cell>
          <cell r="P16">
            <v>1.2390684927659901</v>
          </cell>
          <cell r="U16">
            <v>-2.0423532390884498E-3</v>
          </cell>
          <cell r="V16">
            <v>-2.2242859874348499E-3</v>
          </cell>
          <cell r="Y16">
            <v>1.23733334869304</v>
          </cell>
          <cell r="Z16">
            <v>1.23735700533168</v>
          </cell>
          <cell r="AF16">
            <v>1.9009848264600501E-4</v>
          </cell>
        </row>
        <row r="17">
          <cell r="O17">
            <v>1.2388993693114601</v>
          </cell>
          <cell r="P17">
            <v>1.2394629920854601</v>
          </cell>
          <cell r="U17">
            <v>-2.0423532390884498E-3</v>
          </cell>
          <cell r="V17">
            <v>-1.9058515052421501E-3</v>
          </cell>
          <cell r="Y17">
            <v>1.23733334869304</v>
          </cell>
          <cell r="Z17">
            <v>1.2373237844057301</v>
          </cell>
          <cell r="AF17">
            <v>1.6325054801882499E-4</v>
          </cell>
        </row>
        <row r="18">
          <cell r="O18">
            <v>1.2388993693114601</v>
          </cell>
          <cell r="P18">
            <v>1.2398575697770899</v>
          </cell>
          <cell r="U18">
            <v>-2.4542996918759299E-3</v>
          </cell>
          <cell r="V18">
            <v>-1.9994648440783201E-3</v>
          </cell>
          <cell r="Y18">
            <v>1.23733334869304</v>
          </cell>
          <cell r="Z18">
            <v>1.2372904656178101</v>
          </cell>
          <cell r="AF18">
            <v>-2.7554456022705698E-4</v>
          </cell>
        </row>
        <row r="19">
          <cell r="O19">
            <v>1.2388993693114601</v>
          </cell>
          <cell r="P19">
            <v>1.2402641919771999</v>
          </cell>
          <cell r="U19">
            <v>-2.0423532390884498E-3</v>
          </cell>
          <cell r="V19">
            <v>-1.26922337044733E-3</v>
          </cell>
          <cell r="Y19">
            <v>1.23733334869304</v>
          </cell>
          <cell r="Z19">
            <v>1.2372693675725099</v>
          </cell>
          <cell r="AF19">
            <v>1.0947342245814E-4</v>
          </cell>
        </row>
        <row r="20">
          <cell r="O20">
            <v>1.2388993693114601</v>
          </cell>
          <cell r="P20">
            <v>1.24068292468768</v>
          </cell>
          <cell r="U20">
            <v>-2.0423532390884498E-3</v>
          </cell>
          <cell r="V20">
            <v>-9.4131833769517696E-4</v>
          </cell>
          <cell r="Y20">
            <v>1.23733334869304</v>
          </cell>
          <cell r="Z20">
            <v>1.2372603800375801</v>
          </cell>
          <cell r="AF20">
            <v>9.2421464356506902E-5</v>
          </cell>
        </row>
        <row r="21">
          <cell r="O21">
            <v>1.2388993693114601</v>
          </cell>
          <cell r="P21">
            <v>1.24108965133066</v>
          </cell>
          <cell r="Q21">
            <v>1.23934687845655</v>
          </cell>
          <cell r="U21">
            <v>-2.4542996918759299E-3</v>
          </cell>
          <cell r="V21">
            <v>-1.0157060318630999E-3</v>
          </cell>
          <cell r="Y21">
            <v>1.23733334869304</v>
          </cell>
          <cell r="Z21">
            <v>1.2372392102010099</v>
          </cell>
          <cell r="AA21">
            <v>1.2374216578917301</v>
          </cell>
          <cell r="AF21">
            <v>-3.26789023099517E-4</v>
          </cell>
        </row>
        <row r="22">
          <cell r="O22">
            <v>1.2388993693114601</v>
          </cell>
          <cell r="P22">
            <v>1.24103592090989</v>
          </cell>
          <cell r="Q22">
            <v>1.2392702305260399</v>
          </cell>
          <cell r="U22">
            <v>1.8685283133910999E-3</v>
          </cell>
          <cell r="V22">
            <v>3.6348930597279098E-3</v>
          </cell>
          <cell r="W22">
            <v>2.22967817923236E-3</v>
          </cell>
          <cell r="Y22">
            <v>1.23733334869304</v>
          </cell>
          <cell r="Z22">
            <v>1.2371839373857001</v>
          </cell>
          <cell r="AA22">
            <v>1.2373442387639499</v>
          </cell>
          <cell r="AF22">
            <v>5.4007534418505502E-4</v>
          </cell>
          <cell r="AG22">
            <v>6.8752802620265004E-4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1.2388993693114601</v>
          </cell>
          <cell r="P23">
            <v>1.2407045258166101</v>
          </cell>
          <cell r="Q23">
            <v>1.2392823720000701</v>
          </cell>
          <cell r="U23">
            <v>9.4427372475070295E-4</v>
          </cell>
          <cell r="V23">
            <v>2.6673445931457598E-3</v>
          </cell>
          <cell r="W23">
            <v>1.24357625624403E-3</v>
          </cell>
          <cell r="Y23">
            <v>1.23733334869304</v>
          </cell>
          <cell r="Z23">
            <v>1.23727840991476</v>
          </cell>
          <cell r="AA23">
            <v>1.2373554117674499</v>
          </cell>
          <cell r="AF23">
            <v>-4.256783745556E-4</v>
          </cell>
          <cell r="AG23">
            <v>-2.9611720809329898E-4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1.2388993693114601</v>
          </cell>
          <cell r="P24">
            <v>1.24013195393197</v>
          </cell>
          <cell r="Q24">
            <v>1.23923129947708</v>
          </cell>
          <cell r="U24">
            <v>1.9662462204438399E-3</v>
          </cell>
          <cell r="V24">
            <v>3.4222504053041101E-3</v>
          </cell>
          <cell r="W24">
            <v>2.2753459811824298E-3</v>
          </cell>
          <cell r="Y24">
            <v>1.23733334869304</v>
          </cell>
          <cell r="Z24">
            <v>1.23713275660204</v>
          </cell>
          <cell r="AA24">
            <v>1.2373035892233</v>
          </cell>
          <cell r="AF24">
            <v>6.6913465089252601E-4</v>
          </cell>
          <cell r="AG24">
            <v>7.3136757766802303E-4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1.2388993693114601</v>
          </cell>
          <cell r="P25">
            <v>1.2397496421572001</v>
          </cell>
          <cell r="Q25">
            <v>1.2392118178018601</v>
          </cell>
          <cell r="U25">
            <v>1.45539052606444E-3</v>
          </cell>
          <cell r="V25">
            <v>2.4497988746157101E-3</v>
          </cell>
          <cell r="W25">
            <v>1.7232780687081899E-3</v>
          </cell>
          <cell r="Y25">
            <v>1.23733334869304</v>
          </cell>
          <cell r="Z25">
            <v>1.2371762705692799</v>
          </cell>
          <cell r="AA25">
            <v>1.2372832484134499</v>
          </cell>
          <cell r="AF25">
            <v>4.2309151409616403E-5</v>
          </cell>
          <cell r="AG25">
            <v>1.80387160024781E-4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1.2388993693114601</v>
          </cell>
          <cell r="P26">
            <v>1.2393551428377301</v>
          </cell>
          <cell r="Q26">
            <v>1.2392118178018601</v>
          </cell>
          <cell r="U26">
            <v>1.1404823419767301E-3</v>
          </cell>
          <cell r="V26">
            <v>1.8265600199017899E-3</v>
          </cell>
          <cell r="W26">
            <v>1.39264898702559E-3</v>
          </cell>
          <cell r="Y26">
            <v>1.23733334869304</v>
          </cell>
          <cell r="Z26">
            <v>1.23720764006204</v>
          </cell>
          <cell r="AA26">
            <v>1.2372823226968599</v>
          </cell>
          <cell r="AF26">
            <v>-2.36354685902751E-4</v>
          </cell>
          <cell r="AG26">
            <v>-1.4988906105323601E-4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1.2388993693114601</v>
          </cell>
          <cell r="P27">
            <v>1.2390117160412499</v>
          </cell>
          <cell r="Q27">
            <v>1.2392373540633499</v>
          </cell>
          <cell r="U27">
            <v>7.2785596929742901E-4</v>
          </cell>
          <cell r="V27">
            <v>1.0956741487245E-3</v>
          </cell>
          <cell r="W27">
            <v>9.800226143461641E-4</v>
          </cell>
          <cell r="Y27">
            <v>1.23733334869304</v>
          </cell>
          <cell r="Z27">
            <v>1.2372899063823399</v>
          </cell>
          <cell r="AA27">
            <v>1.2373068453940399</v>
          </cell>
          <cell r="AF27">
            <v>-6.2221262191337E-4</v>
          </cell>
          <cell r="AG27">
            <v>-5.6185057885260097E-4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1.2388993693114601</v>
          </cell>
          <cell r="P28">
            <v>1.23856606582664</v>
          </cell>
          <cell r="Q28">
            <v>1.2392118178018601</v>
          </cell>
          <cell r="U28">
            <v>1.1404823419767301E-3</v>
          </cell>
          <cell r="V28">
            <v>1.2311609224348501E-3</v>
          </cell>
          <cell r="W28">
            <v>1.4132556323279599E-3</v>
          </cell>
          <cell r="Y28">
            <v>1.23733334869304</v>
          </cell>
          <cell r="Z28">
            <v>1.23727030121409</v>
          </cell>
          <cell r="AA28">
            <v>1.23728038341595</v>
          </cell>
          <cell r="AF28">
            <v>-1.4450795613181499E-4</v>
          </cell>
          <cell r="AG28">
            <v>-1.3081763532822799E-4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1.2388993693114601</v>
          </cell>
          <cell r="P29">
            <v>1.23817156650717</v>
          </cell>
          <cell r="Q29">
            <v>1.23921787924219</v>
          </cell>
          <cell r="U29">
            <v>1.1404823419767301E-3</v>
          </cell>
          <cell r="V29">
            <v>8.7141421928231501E-4</v>
          </cell>
          <cell r="W29">
            <v>1.3926489870253701E-3</v>
          </cell>
          <cell r="Y29">
            <v>1.23733334869304</v>
          </cell>
          <cell r="Z29">
            <v>1.23730167070685</v>
          </cell>
          <cell r="AA29">
            <v>1.2372855191396801</v>
          </cell>
          <cell r="AF29">
            <v>-1.6035333196087501E-4</v>
          </cell>
          <cell r="AG29">
            <v>-1.52204618804579E-4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1.2388993693114601</v>
          </cell>
          <cell r="P30">
            <v>1.2377770671877</v>
          </cell>
          <cell r="Q30">
            <v>1.23922999593769</v>
          </cell>
          <cell r="U30">
            <v>1.1404823419767301E-3</v>
          </cell>
          <cell r="V30">
            <v>5.5285054289258399E-4</v>
          </cell>
          <cell r="W30">
            <v>1.3975403424919799E-3</v>
          </cell>
          <cell r="Y30">
            <v>1.23733334869304</v>
          </cell>
          <cell r="Z30">
            <v>1.2373330401996001</v>
          </cell>
          <cell r="AA30">
            <v>1.2372967101185901</v>
          </cell>
          <cell r="AF30">
            <v>-1.34999862259215E-4</v>
          </cell>
          <cell r="AG30">
            <v>-1.4805381100126499E-4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1.2388993693114601</v>
          </cell>
          <cell r="P31">
            <v>1.23731929409244</v>
          </cell>
          <cell r="Q31">
            <v>1.2392044727115501</v>
          </cell>
          <cell r="U31">
            <v>1.23845082338254E-3</v>
          </cell>
          <cell r="V31">
            <v>3.32153832752948E-4</v>
          </cell>
          <cell r="W31">
            <v>1.5052864719373399E-3</v>
          </cell>
          <cell r="Y31">
            <v>1.23733334869304</v>
          </cell>
          <cell r="Z31">
            <v>1.2373013547754601</v>
          </cell>
          <cell r="AA31">
            <v>1.23727028248823</v>
          </cell>
          <cell r="AF31">
            <v>-1.2021572920747701E-5</v>
          </cell>
          <cell r="AG31">
            <v>-4.1383606583385002E-5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1.2388993693114601</v>
          </cell>
          <cell r="P32">
            <v>1.23744827963485</v>
          </cell>
          <cell r="Q32">
            <v>1.2392421002723699</v>
          </cell>
          <cell r="U32">
            <v>8.2599464100393801E-4</v>
          </cell>
          <cell r="V32">
            <v>-4.5020560481751098E-4</v>
          </cell>
          <cell r="W32">
            <v>1.07223404103177E-3</v>
          </cell>
          <cell r="Y32">
            <v>1.23733334869304</v>
          </cell>
          <cell r="Z32">
            <v>1.23742989838754</v>
          </cell>
          <cell r="AA32">
            <v>1.2373069178866201</v>
          </cell>
          <cell r="AF32">
            <v>-4.4867404464796797E-4</v>
          </cell>
          <cell r="AG32">
            <v>-4.7378731011553301E-4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1.2388993693114601</v>
          </cell>
          <cell r="P33">
            <v>1.2373997632958</v>
          </cell>
          <cell r="Q33">
            <v>1.2390521445561999</v>
          </cell>
          <cell r="U33">
            <v>1.33632892102614E-3</v>
          </cell>
          <cell r="V33">
            <v>1.6436920582196899E-4</v>
          </cell>
          <cell r="W33">
            <v>1.6129321475154899E-3</v>
          </cell>
          <cell r="Y33">
            <v>1.23733334869304</v>
          </cell>
          <cell r="Z33">
            <v>1.2373815527199901</v>
          </cell>
          <cell r="AA33">
            <v>1.2373299813173799</v>
          </cell>
          <cell r="AF33">
            <v>1.6379087150834501E-4</v>
          </cell>
          <cell r="AG33">
            <v>6.4402120175465293E-5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1.2388993693114601</v>
          </cell>
          <cell r="P34">
            <v>1.2374776749507499</v>
          </cell>
          <cell r="Q34">
            <v>1.2388048144413599</v>
          </cell>
          <cell r="U34">
            <v>1.33632892102614E-3</v>
          </cell>
          <cell r="V34">
            <v>1.25161676134793E-4</v>
          </cell>
          <cell r="W34">
            <v>1.4596366161767401E-3</v>
          </cell>
          <cell r="Y34">
            <v>1.23733334869304</v>
          </cell>
          <cell r="Z34">
            <v>1.2374591981477201</v>
          </cell>
          <cell r="AA34">
            <v>1.23729597737488</v>
          </cell>
          <cell r="AF34">
            <v>1.2472068897764399E-4</v>
          </cell>
          <cell r="AG34">
            <v>8.3041970540373295E-5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1.2388993693114601</v>
          </cell>
          <cell r="P35">
            <v>1.2375434253183499</v>
          </cell>
          <cell r="Q35">
            <v>1.2386465337377801</v>
          </cell>
          <cell r="U35">
            <v>9.2404278861426897E-4</v>
          </cell>
          <cell r="V35">
            <v>-2.24162425285403E-4</v>
          </cell>
          <cell r="W35">
            <v>8.4771820494008098E-4</v>
          </cell>
          <cell r="Y35">
            <v>1.23733334869304</v>
          </cell>
          <cell r="Z35">
            <v>1.23752472517737</v>
          </cell>
          <cell r="AA35">
            <v>1.2373504978733201</v>
          </cell>
          <cell r="AF35">
            <v>-2.23406911382112E-4</v>
          </cell>
          <cell r="AG35">
            <v>-3.5531553385373399E-4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1.2388993693114601</v>
          </cell>
          <cell r="P36">
            <v>1.23800145750502</v>
          </cell>
          <cell r="Q36">
            <v>1.2386783001713799</v>
          </cell>
          <cell r="U36">
            <v>-2.5539930558266199E-3</v>
          </cell>
          <cell r="V36">
            <v>-3.6490671124963501E-3</v>
          </cell>
          <cell r="W36">
            <v>-2.7580946825634602E-3</v>
          </cell>
          <cell r="Y36">
            <v>1.23733334869304</v>
          </cell>
          <cell r="Z36">
            <v>1.23755928128783</v>
          </cell>
          <cell r="AA36">
            <v>1.2373834606749301</v>
          </cell>
          <cell r="AF36">
            <v>-2.3395055425920599E-4</v>
          </cell>
          <cell r="AG36">
            <v>-3.7474739339539702E-4</v>
          </cell>
          <cell r="AR36">
            <v>0</v>
          </cell>
          <cell r="BC36">
            <v>0</v>
          </cell>
          <cell r="BF36">
            <v>0</v>
          </cell>
        </row>
        <row r="37">
          <cell r="O37">
            <v>1.2388993693114601</v>
          </cell>
          <cell r="P37">
            <v>1.2383448843015099</v>
          </cell>
          <cell r="Q37">
            <v>1.2386783001713799</v>
          </cell>
          <cell r="U37">
            <v>-2.0423532390884498E-3</v>
          </cell>
          <cell r="V37">
            <v>-2.7673817392653002E-3</v>
          </cell>
          <cell r="W37">
            <v>-2.2208091102374401E-3</v>
          </cell>
          <cell r="Y37">
            <v>1.23733334869304</v>
          </cell>
          <cell r="Z37">
            <v>1.2374800576268401</v>
          </cell>
          <cell r="AA37">
            <v>1.2373849820045899</v>
          </cell>
          <cell r="AF37">
            <v>3.0211769569681902E-4</v>
          </cell>
          <cell r="AG37">
            <v>1.6003714553919501E-4</v>
          </cell>
          <cell r="AR37">
            <v>0</v>
          </cell>
          <cell r="BC37">
            <v>0</v>
          </cell>
          <cell r="BF37">
            <v>0</v>
          </cell>
        </row>
        <row r="38">
          <cell r="O38">
            <v>1.2388993693114601</v>
          </cell>
          <cell r="P38">
            <v>1.2387517394155001</v>
          </cell>
          <cell r="Q38">
            <v>1.2386589026210699</v>
          </cell>
          <cell r="U38">
            <v>-2.1418768332208201E-3</v>
          </cell>
          <cell r="V38">
            <v>-2.5895396088301899E-3</v>
          </cell>
          <cell r="W38">
            <v>-2.32033270436979E-3</v>
          </cell>
          <cell r="Y38">
            <v>1.23733334869304</v>
          </cell>
          <cell r="Z38">
            <v>1.23746378631774</v>
          </cell>
          <cell r="AA38">
            <v>1.2373670437659201</v>
          </cell>
          <cell r="AF38">
            <v>1.4066119364385899E-4</v>
          </cell>
          <cell r="AG38">
            <v>6.3828218289881599E-5</v>
          </cell>
          <cell r="AR38">
            <v>0</v>
          </cell>
          <cell r="BC38">
            <v>0</v>
          </cell>
          <cell r="BF38">
            <v>0</v>
          </cell>
        </row>
        <row r="39">
          <cell r="O39">
            <v>1.2388993693114601</v>
          </cell>
          <cell r="P39">
            <v>1.2391585945295001</v>
          </cell>
          <cell r="Q39">
            <v>1.2386650805183299</v>
          </cell>
          <cell r="U39">
            <v>-2.1418768332208201E-3</v>
          </cell>
          <cell r="V39">
            <v>-2.2610460702584901E-3</v>
          </cell>
          <cell r="W39">
            <v>-2.3359927043771502E-3</v>
          </cell>
          <cell r="Y39">
            <v>1.23733334869304</v>
          </cell>
          <cell r="Z39">
            <v>1.2374475150086499</v>
          </cell>
          <cell r="AA39">
            <v>1.23737459285775</v>
          </cell>
          <cell r="AF39">
            <v>1.2751236270090101E-4</v>
          </cell>
          <cell r="AG39">
            <v>4.93312194087988E-5</v>
          </cell>
          <cell r="AR39">
            <v>0</v>
          </cell>
          <cell r="BC39">
            <v>0</v>
          </cell>
          <cell r="BF39">
            <v>0</v>
          </cell>
        </row>
        <row r="40">
          <cell r="O40">
            <v>1.2388993693114601</v>
          </cell>
          <cell r="P40">
            <v>1.2395530938489701</v>
          </cell>
          <cell r="Q40">
            <v>1.2386650805183299</v>
          </cell>
          <cell r="U40">
            <v>-2.0423532390884498E-3</v>
          </cell>
          <cell r="V40">
            <v>-1.83313681012502E-3</v>
          </cell>
          <cell r="W40">
            <v>-2.23148155326356E-3</v>
          </cell>
          <cell r="Y40">
            <v>1.23733334869304</v>
          </cell>
          <cell r="Z40">
            <v>1.2374191881752099</v>
          </cell>
          <cell r="AA40">
            <v>1.23737611418741</v>
          </cell>
          <cell r="AF40">
            <v>2.11801758440102E-4</v>
          </cell>
          <cell r="AG40">
            <v>1.5287053207985499E-4</v>
          </cell>
          <cell r="AR40">
            <v>0</v>
          </cell>
          <cell r="BC40">
            <v>0</v>
          </cell>
          <cell r="BF40">
            <v>0</v>
          </cell>
        </row>
        <row r="41">
          <cell r="O41">
            <v>1.2388993693114601</v>
          </cell>
          <cell r="P41">
            <v>1.2395505088879599</v>
          </cell>
          <cell r="Q41">
            <v>1.2384349014902001</v>
          </cell>
          <cell r="U41">
            <v>1.2593418774856399E-3</v>
          </cell>
          <cell r="V41">
            <v>1.78686827743026E-3</v>
          </cell>
          <cell r="W41">
            <v>1.0702135633104E-3</v>
          </cell>
          <cell r="Y41">
            <v>1.23733334869304</v>
          </cell>
          <cell r="Z41">
            <v>1.2374072698938501</v>
          </cell>
          <cell r="AA41">
            <v>1.23735431233465</v>
          </cell>
          <cell r="AF41">
            <v>1.53925743693651E-4</v>
          </cell>
          <cell r="AG41">
            <v>1.19115601808295E-4</v>
          </cell>
          <cell r="AR41">
            <v>0</v>
          </cell>
          <cell r="BC41">
            <v>0</v>
          </cell>
          <cell r="BF41">
            <v>0</v>
          </cell>
        </row>
        <row r="42">
          <cell r="O42">
            <v>1.2388993693114601</v>
          </cell>
          <cell r="P42">
            <v>1.23956020092163</v>
          </cell>
          <cell r="Q42">
            <v>1.23850424027824</v>
          </cell>
          <cell r="U42">
            <v>7.4770206074728496E-4</v>
          </cell>
          <cell r="V42">
            <v>1.2731430609475001E-3</v>
          </cell>
          <cell r="W42">
            <v>3.7272817677926599E-4</v>
          </cell>
          <cell r="Y42">
            <v>1.23733334869304</v>
          </cell>
          <cell r="Z42">
            <v>1.2374073658205</v>
          </cell>
          <cell r="AA42">
            <v>1.2374186321040199</v>
          </cell>
          <cell r="AF42">
            <v>-3.6385093413912199E-4</v>
          </cell>
          <cell r="AG42">
            <v>-4.0664904413567198E-4</v>
          </cell>
          <cell r="AR42">
            <v>0</v>
          </cell>
          <cell r="BC42">
            <v>0</v>
          </cell>
          <cell r="BF42">
            <v>0</v>
          </cell>
        </row>
        <row r="43">
          <cell r="O43">
            <v>1.2388993693114601</v>
          </cell>
          <cell r="P43">
            <v>1.23963304991793</v>
          </cell>
          <cell r="Q43">
            <v>1.2385164066068599</v>
          </cell>
          <cell r="U43">
            <v>7.4770206074728496E-4</v>
          </cell>
          <cell r="V43">
            <v>1.28096202089354E-3</v>
          </cell>
          <cell r="W43">
            <v>4.2871565494196202E-4</v>
          </cell>
          <cell r="Y43">
            <v>1.23733334869304</v>
          </cell>
          <cell r="Z43">
            <v>1.2374704006544801</v>
          </cell>
          <cell r="AA43">
            <v>1.23742597668724</v>
          </cell>
          <cell r="AF43">
            <v>-3.63773411846778E-4</v>
          </cell>
          <cell r="AG43">
            <v>-3.54668704258658E-4</v>
          </cell>
          <cell r="AR43">
            <v>0</v>
          </cell>
          <cell r="BC43">
            <v>0</v>
          </cell>
          <cell r="BF43">
            <v>0</v>
          </cell>
        </row>
        <row r="44">
          <cell r="O44">
            <v>1.2388993693114601</v>
          </cell>
          <cell r="P44">
            <v>1.23964257546728</v>
          </cell>
          <cell r="Q44">
            <v>1.2385601252090199</v>
          </cell>
          <cell r="U44">
            <v>1.2593418774856399E-3</v>
          </cell>
          <cell r="V44">
            <v>1.8513701456682699E-3</v>
          </cell>
          <cell r="W44">
            <v>9.5017882833356502E-4</v>
          </cell>
          <cell r="Y44">
            <v>1.23733334869304</v>
          </cell>
          <cell r="Z44">
            <v>1.23747055034459</v>
          </cell>
          <cell r="AA44">
            <v>1.23746487424616</v>
          </cell>
          <cell r="AF44">
            <v>1.9531141157355799E-4</v>
          </cell>
          <cell r="AG44">
            <v>1.59411753181855E-4</v>
          </cell>
          <cell r="AR44">
            <v>0</v>
          </cell>
          <cell r="BC44">
            <v>0</v>
          </cell>
          <cell r="BF44">
            <v>0</v>
          </cell>
        </row>
        <row r="45">
          <cell r="O45">
            <v>1.2388993693114601</v>
          </cell>
          <cell r="P45">
            <v>1.23970338239875</v>
          </cell>
          <cell r="Q45">
            <v>1.23862340385855</v>
          </cell>
          <cell r="U45">
            <v>4.32895549454491E-4</v>
          </cell>
          <cell r="V45">
            <v>1.0326079567078499E-3</v>
          </cell>
          <cell r="W45">
            <v>1.59031048084125E-4</v>
          </cell>
          <cell r="Y45">
            <v>1.23733334869304</v>
          </cell>
          <cell r="Z45">
            <v>1.2375214581610601</v>
          </cell>
          <cell r="AA45">
            <v>1.2375230916692099</v>
          </cell>
          <cell r="AF45">
            <v>-6.2544656032993305E-4</v>
          </cell>
          <cell r="AG45">
            <v>-6.3003342621684004E-4</v>
          </cell>
          <cell r="AR45">
            <v>0</v>
          </cell>
          <cell r="BC45">
            <v>0</v>
          </cell>
          <cell r="BF45">
            <v>0</v>
          </cell>
        </row>
        <row r="46">
          <cell r="O46">
            <v>1.2388993693114601</v>
          </cell>
          <cell r="P46">
            <v>1.2392063868616401</v>
          </cell>
          <cell r="Q46">
            <v>1.23860392218333</v>
          </cell>
          <cell r="U46">
            <v>1.45539052606444E-3</v>
          </cell>
          <cell r="V46">
            <v>2.1041537172855501E-3</v>
          </cell>
          <cell r="W46">
            <v>1.23261521433547E-3</v>
          </cell>
          <cell r="Y46">
            <v>1.23733334869304</v>
          </cell>
          <cell r="Z46">
            <v>1.2374388247805299</v>
          </cell>
          <cell r="AA46">
            <v>1.2374990530341801</v>
          </cell>
          <cell r="AF46">
            <v>4.31207359275914E-4</v>
          </cell>
          <cell r="AG46">
            <v>4.32527342107143E-4</v>
          </cell>
          <cell r="AR46">
            <v>0</v>
          </cell>
          <cell r="BC46">
            <v>0</v>
          </cell>
          <cell r="BF46">
            <v>0</v>
          </cell>
        </row>
        <row r="47">
          <cell r="O47">
            <v>1.2388993693114601</v>
          </cell>
          <cell r="P47">
            <v>1.23878504574584</v>
          </cell>
          <cell r="Q47">
            <v>1.2385649650236701</v>
          </cell>
          <cell r="U47">
            <v>1.3574115120773399E-3</v>
          </cell>
          <cell r="V47">
            <v>1.6051955713187E-3</v>
          </cell>
          <cell r="W47">
            <v>1.1189075871391901E-3</v>
          </cell>
          <cell r="Y47">
            <v>1.23733334869304</v>
          </cell>
          <cell r="Z47">
            <v>1.23743110759722</v>
          </cell>
          <cell r="AA47">
            <v>1.2374555826120299</v>
          </cell>
          <cell r="AF47">
            <v>2.67157907220268E-4</v>
          </cell>
          <cell r="AG47">
            <v>3.1582842473389799E-4</v>
          </cell>
          <cell r="AR47">
            <v>0</v>
          </cell>
          <cell r="BC47">
            <v>0</v>
          </cell>
          <cell r="BF47">
            <v>0</v>
          </cell>
        </row>
        <row r="48">
          <cell r="O48">
            <v>1.2388993693114601</v>
          </cell>
          <cell r="P48">
            <v>1.2384146336853299</v>
          </cell>
          <cell r="Q48">
            <v>1.23858318655041</v>
          </cell>
          <cell r="U48">
            <v>8.4603333678089402E-4</v>
          </cell>
          <cell r="V48">
            <v>7.5375074823877603E-4</v>
          </cell>
          <cell r="W48">
            <v>5.7607644158965603E-4</v>
          </cell>
          <cell r="Y48">
            <v>1.23733334869304</v>
          </cell>
          <cell r="Z48">
            <v>1.2374741819674899</v>
          </cell>
          <cell r="AA48">
            <v>1.2374689841426201</v>
          </cell>
          <cell r="AF48">
            <v>-2.4696551602185402E-4</v>
          </cell>
          <cell r="AG48">
            <v>-2.2718682077354799E-4</v>
          </cell>
          <cell r="AR48">
            <v>0</v>
          </cell>
          <cell r="BC48">
            <v>0</v>
          </cell>
          <cell r="BF48">
            <v>0</v>
          </cell>
        </row>
        <row r="49">
          <cell r="O49">
            <v>1.2388993693114601</v>
          </cell>
          <cell r="P49">
            <v>1.23799307072967</v>
          </cell>
          <cell r="Q49">
            <v>1.2385758326295899</v>
          </cell>
          <cell r="U49">
            <v>1.2593418774856399E-3</v>
          </cell>
          <cell r="V49">
            <v>8.6800219932083999E-4</v>
          </cell>
          <cell r="W49">
            <v>1.0040966794780299E-3</v>
          </cell>
          <cell r="Y49">
            <v>1.23733334869304</v>
          </cell>
          <cell r="Z49">
            <v>1.2374664547393399</v>
          </cell>
          <cell r="AA49">
            <v>1.23745698487399</v>
          </cell>
          <cell r="AF49">
            <v>1.9836708646509799E-4</v>
          </cell>
          <cell r="AG49">
            <v>1.9416672748790101E-4</v>
          </cell>
          <cell r="AR49">
            <v>0</v>
          </cell>
          <cell r="BC49">
            <v>0</v>
          </cell>
          <cell r="BF49">
            <v>0</v>
          </cell>
        </row>
        <row r="50">
          <cell r="O50">
            <v>1.2388993693114601</v>
          </cell>
          <cell r="P50">
            <v>1.23750850943943</v>
          </cell>
          <cell r="Q50">
            <v>1.2385308016442</v>
          </cell>
          <cell r="U50">
            <v>1.8685283133910999E-3</v>
          </cell>
          <cell r="V50">
            <v>1.1367253431977E-3</v>
          </cell>
          <cell r="W50">
            <v>1.6073457324606399E-3</v>
          </cell>
          <cell r="Y50">
            <v>1.23733334869304</v>
          </cell>
          <cell r="Z50">
            <v>1.23739595426795</v>
          </cell>
          <cell r="AA50">
            <v>1.23740757122158</v>
          </cell>
          <cell r="AF50">
            <v>7.97115170703289E-4</v>
          </cell>
          <cell r="AG50">
            <v>7.8946251753980495E-4</v>
          </cell>
          <cell r="AR50">
            <v>0</v>
          </cell>
          <cell r="BC50">
            <v>0</v>
          </cell>
          <cell r="BF50">
            <v>0</v>
          </cell>
        </row>
        <row r="51">
          <cell r="O51">
            <v>1.2388993693114601</v>
          </cell>
          <cell r="P51">
            <v>1.2374963754847501</v>
          </cell>
          <cell r="Q51">
            <v>1.23852344218635</v>
          </cell>
          <cell r="U51">
            <v>1.3574115120773399E-3</v>
          </cell>
          <cell r="V51">
            <v>2.3412319578922899E-4</v>
          </cell>
          <cell r="W51">
            <v>1.05987120252046E-3</v>
          </cell>
          <cell r="Y51">
            <v>1.23733334869304</v>
          </cell>
          <cell r="Z51">
            <v>1.2373839087884599</v>
          </cell>
          <cell r="AA51">
            <v>1.2373955893411599</v>
          </cell>
          <cell r="AF51">
            <v>2.3251275599847401E-4</v>
          </cell>
          <cell r="AG51">
            <v>2.4190093854267801E-4</v>
          </cell>
          <cell r="AR51">
            <v>0</v>
          </cell>
          <cell r="BC51">
            <v>0</v>
          </cell>
          <cell r="BF51">
            <v>0</v>
          </cell>
        </row>
        <row r="52">
          <cell r="O52">
            <v>1.2388993693114601</v>
          </cell>
          <cell r="P52">
            <v>1.23735769790868</v>
          </cell>
          <cell r="Q52">
            <v>1.2384589494151499</v>
          </cell>
          <cell r="U52">
            <v>1.8685283133910999E-3</v>
          </cell>
          <cell r="V52">
            <v>7.3543480055601295E-4</v>
          </cell>
          <cell r="W52">
            <v>1.5650458991255799E-3</v>
          </cell>
          <cell r="Y52">
            <v>1.23733334869304</v>
          </cell>
          <cell r="Z52">
            <v>1.2372461948770199</v>
          </cell>
          <cell r="AA52">
            <v>1.23732678034876</v>
          </cell>
          <cell r="AF52">
            <v>7.3040733888949402E-4</v>
          </cell>
          <cell r="AG52">
            <v>7.3984701034693996E-4</v>
          </cell>
          <cell r="AR52">
            <v>0</v>
          </cell>
          <cell r="BC52">
            <v>0</v>
          </cell>
          <cell r="BF52">
            <v>0</v>
          </cell>
        </row>
        <row r="53">
          <cell r="O53">
            <v>1.2388993693114601</v>
          </cell>
          <cell r="P53">
            <v>1.23727011895294</v>
          </cell>
          <cell r="Q53">
            <v>1.23845158443543</v>
          </cell>
          <cell r="U53">
            <v>1.45539052606444E-3</v>
          </cell>
          <cell r="V53">
            <v>2.1022771774242401E-4</v>
          </cell>
          <cell r="W53">
            <v>1.0998344503676E-3</v>
          </cell>
          <cell r="Y53">
            <v>1.23733334869304</v>
          </cell>
          <cell r="Z53">
            <v>1.2371592310003501</v>
          </cell>
          <cell r="AA53">
            <v>1.2373148158274101</v>
          </cell>
          <cell r="AF53">
            <v>2.08751497747836E-4</v>
          </cell>
          <cell r="AG53">
            <v>2.7388230825583902E-4</v>
          </cell>
          <cell r="AR53">
            <v>0</v>
          </cell>
          <cell r="BC53">
            <v>0</v>
          </cell>
          <cell r="BF53">
            <v>0</v>
          </cell>
        </row>
        <row r="54">
          <cell r="O54">
            <v>1.2388993693114601</v>
          </cell>
          <cell r="P54">
            <v>1.2372579849982599</v>
          </cell>
          <cell r="Q54">
            <v>1.2384502802327699</v>
          </cell>
          <cell r="U54">
            <v>1.3574115120773399E-3</v>
          </cell>
          <cell r="V54">
            <v>4.1467186489152403E-5</v>
          </cell>
          <cell r="W54">
            <v>9.95908528232847E-4</v>
          </cell>
          <cell r="Y54">
            <v>1.23733334869304</v>
          </cell>
          <cell r="Z54">
            <v>1.23714718552086</v>
          </cell>
          <cell r="AA54">
            <v>1.23730886793273</v>
          </cell>
          <cell r="AF54">
            <v>4.1186840349336899E-5</v>
          </cell>
          <cell r="AG54">
            <v>1.6693867635762401E-4</v>
          </cell>
          <cell r="AR54">
            <v>0</v>
          </cell>
          <cell r="BC54">
            <v>0</v>
          </cell>
          <cell r="BF54">
            <v>0</v>
          </cell>
        </row>
        <row r="55">
          <cell r="O55">
            <v>1.2388993693114601</v>
          </cell>
          <cell r="P55">
            <v>1.2371314276992</v>
          </cell>
          <cell r="Q55">
            <v>1.23841740504897</v>
          </cell>
          <cell r="U55">
            <v>1.45539052606444E-3</v>
          </cell>
          <cell r="V55">
            <v>1.29639114708363E-4</v>
          </cell>
          <cell r="W55">
            <v>1.09283445030624E-3</v>
          </cell>
          <cell r="Y55">
            <v>1.23733334869304</v>
          </cell>
          <cell r="Z55">
            <v>1.23702150359121</v>
          </cell>
          <cell r="AA55">
            <v>1.23727148087613</v>
          </cell>
          <cell r="AF55">
            <v>1.2872432260199401E-4</v>
          </cell>
          <cell r="AG55">
            <v>2.5940549745873099E-4</v>
          </cell>
          <cell r="AR55">
            <v>0</v>
          </cell>
          <cell r="BC55">
            <v>0</v>
          </cell>
          <cell r="BF55">
            <v>0</v>
          </cell>
        </row>
        <row r="56">
          <cell r="O56">
            <v>1.2388993693114601</v>
          </cell>
          <cell r="P56">
            <v>1.23762679606784</v>
          </cell>
          <cell r="Q56">
            <v>1.23841659146474</v>
          </cell>
          <cell r="U56">
            <v>-2.5408924871983202E-3</v>
          </cell>
          <cell r="V56">
            <v>-3.9689376592101904E-3</v>
          </cell>
          <cell r="W56">
            <v>-2.9299943360682501E-3</v>
          </cell>
          <cell r="Y56">
            <v>1.23733334869304</v>
          </cell>
          <cell r="Z56">
            <v>1.2371024692144601</v>
          </cell>
          <cell r="AA56">
            <v>1.2372706469974899</v>
          </cell>
          <cell r="AF56">
            <v>-6.2719533886582102E-4</v>
          </cell>
          <cell r="AG56">
            <v>-4.2513577086455002E-4</v>
          </cell>
          <cell r="AR56">
            <v>0</v>
          </cell>
          <cell r="BC56">
            <v>0</v>
          </cell>
          <cell r="BF56">
            <v>0</v>
          </cell>
        </row>
        <row r="57">
          <cell r="O57">
            <v>1.2388993693114601</v>
          </cell>
          <cell r="P57">
            <v>1.2381100428823799</v>
          </cell>
          <cell r="Q57">
            <v>1.2384475443141101</v>
          </cell>
          <cell r="U57">
            <v>-2.5408924871983202E-3</v>
          </cell>
          <cell r="V57">
            <v>-3.5686008743862499E-3</v>
          </cell>
          <cell r="W57">
            <v>-2.9306512910626998E-3</v>
          </cell>
          <cell r="Y57">
            <v>1.23733334869304</v>
          </cell>
          <cell r="Z57">
            <v>1.23717140158439</v>
          </cell>
          <cell r="AA57">
            <v>1.23730125459081</v>
          </cell>
          <cell r="AF57">
            <v>-5.6174540654993304E-4</v>
          </cell>
          <cell r="AG57">
            <v>-4.2580973687084101E-4</v>
          </cell>
          <cell r="AR57">
            <v>0</v>
          </cell>
          <cell r="BC57">
            <v>0</v>
          </cell>
          <cell r="BF57">
            <v>0</v>
          </cell>
        </row>
        <row r="58">
          <cell r="O58">
            <v>1.2388993693114601</v>
          </cell>
          <cell r="P58">
            <v>1.2385300048471</v>
          </cell>
          <cell r="Q58">
            <v>1.2384723192662099</v>
          </cell>
          <cell r="U58">
            <v>-2.5408924871983202E-3</v>
          </cell>
          <cell r="V58">
            <v>-3.1782146159844101E-3</v>
          </cell>
          <cell r="W58">
            <v>-2.9056577123503101E-3</v>
          </cell>
          <cell r="Y58">
            <v>1.23733334869304</v>
          </cell>
          <cell r="Z58">
            <v>1.23717748687641</v>
          </cell>
          <cell r="AA58">
            <v>1.23732583442195</v>
          </cell>
          <cell r="AF58">
            <v>-5.0602613410920499E-4</v>
          </cell>
          <cell r="AG58">
            <v>-4.0107204927622398E-4</v>
          </cell>
          <cell r="AR58">
            <v>0</v>
          </cell>
          <cell r="BC58">
            <v>0</v>
          </cell>
          <cell r="BF58">
            <v>0</v>
          </cell>
        </row>
        <row r="59">
          <cell r="O59">
            <v>1.2388993693114601</v>
          </cell>
          <cell r="P59">
            <v>1.23900111770696</v>
          </cell>
          <cell r="Q59">
            <v>1.23849709421832</v>
          </cell>
          <cell r="U59">
            <v>-2.5408924871983202E-3</v>
          </cell>
          <cell r="V59">
            <v>-2.8390761375212499E-3</v>
          </cell>
          <cell r="W59">
            <v>-2.88565306668643E-3</v>
          </cell>
          <cell r="Y59">
            <v>1.23733334869304</v>
          </cell>
          <cell r="Z59">
            <v>1.2372343737668601</v>
          </cell>
          <cell r="AA59">
            <v>1.2373504142531</v>
          </cell>
          <cell r="AF59">
            <v>-5.0110743242563999E-4</v>
          </cell>
          <cell r="AG59">
            <v>-3.8120656630825402E-4</v>
          </cell>
          <cell r="AR59">
            <v>0</v>
          </cell>
          <cell r="BC59">
            <v>0</v>
          </cell>
          <cell r="BF59">
            <v>0</v>
          </cell>
        </row>
        <row r="60">
          <cell r="O60">
            <v>1.2388993693114601</v>
          </cell>
          <cell r="P60">
            <v>1.2394715548514701</v>
          </cell>
          <cell r="Q60">
            <v>1.2384900321454499</v>
          </cell>
          <cell r="U60">
            <v>-1.9285737754411701E-3</v>
          </cell>
          <cell r="V60">
            <v>-1.8464490928040199E-3</v>
          </cell>
          <cell r="W60">
            <v>-2.2533301094433298E-3</v>
          </cell>
          <cell r="Y60">
            <v>1.23733334869304</v>
          </cell>
          <cell r="Z60">
            <v>1.2372912606020801</v>
          </cell>
          <cell r="AA60">
            <v>1.2373436074350199</v>
          </cell>
          <cell r="AF60">
            <v>1.4958747602575499E-4</v>
          </cell>
          <cell r="AG60">
            <v>2.43373299721699E-4</v>
          </cell>
          <cell r="AR60">
            <v>0</v>
          </cell>
          <cell r="BC60">
            <v>0</v>
          </cell>
          <cell r="BF60">
            <v>0</v>
          </cell>
        </row>
        <row r="61">
          <cell r="O61">
            <v>1.2388993693114601</v>
          </cell>
          <cell r="P61">
            <v>1.2399423951420601</v>
          </cell>
          <cell r="Q61">
            <v>1.23871938531341</v>
          </cell>
          <cell r="U61">
            <v>-2.4410001253676599E-3</v>
          </cell>
          <cell r="V61">
            <v>-1.9792568531313E-3</v>
          </cell>
          <cell r="W61">
            <v>-2.7714586067844201E-3</v>
          </cell>
          <cell r="Y61">
            <v>1.23733334869304</v>
          </cell>
          <cell r="Z61">
            <v>1.23734812791334</v>
          </cell>
          <cell r="AA61">
            <v>1.2373660183509001</v>
          </cell>
          <cell r="AF61">
            <v>-3.1167259590483999E-4</v>
          </cell>
          <cell r="AG61">
            <v>-2.69365883414131E-4</v>
          </cell>
          <cell r="AR61">
            <v>0</v>
          </cell>
          <cell r="BC61">
            <v>0</v>
          </cell>
          <cell r="BF61">
            <v>0</v>
          </cell>
        </row>
        <row r="62">
          <cell r="O62">
            <v>1.2388993693114601</v>
          </cell>
          <cell r="P62">
            <v>1.2404004773974999</v>
          </cell>
          <cell r="Q62">
            <v>1.23887908765309</v>
          </cell>
          <cell r="U62">
            <v>-1.8290362444792899E-3</v>
          </cell>
          <cell r="V62">
            <v>-9.8749330526369094E-4</v>
          </cell>
          <cell r="W62">
            <v>-1.9743241327281201E-3</v>
          </cell>
          <cell r="Y62">
            <v>1.23733334869304</v>
          </cell>
          <cell r="Z62">
            <v>1.23739299984747</v>
          </cell>
          <cell r="AA62">
            <v>1.2373195973622499</v>
          </cell>
          <cell r="AF62">
            <v>3.3865572653845802E-4</v>
          </cell>
          <cell r="AG62">
            <v>3.5311431569389699E-4</v>
          </cell>
          <cell r="AR62">
            <v>0</v>
          </cell>
          <cell r="BC62">
            <v>0</v>
          </cell>
          <cell r="BF62">
            <v>0</v>
          </cell>
        </row>
        <row r="63">
          <cell r="O63">
            <v>1.2388993693114601</v>
          </cell>
          <cell r="P63">
            <v>1.2404612093642899</v>
          </cell>
          <cell r="Q63">
            <v>1.23886566415862</v>
          </cell>
          <cell r="U63">
            <v>9.64587986378991E-4</v>
          </cell>
          <cell r="V63">
            <v>2.17550103624735E-3</v>
          </cell>
          <cell r="W63">
            <v>9.4821714554044201E-4</v>
          </cell>
          <cell r="Y63">
            <v>1.23733334869304</v>
          </cell>
          <cell r="Z63">
            <v>1.2374550403904501</v>
          </cell>
          <cell r="AA63">
            <v>1.2373071356954</v>
          </cell>
          <cell r="AF63">
            <v>-1.7402044618527801E-4</v>
          </cell>
          <cell r="AG63">
            <v>-2.3334247439163301E-4</v>
          </cell>
          <cell r="AR63">
            <v>0</v>
          </cell>
          <cell r="BC63">
            <v>0</v>
          </cell>
          <cell r="BF63">
            <v>0</v>
          </cell>
        </row>
        <row r="64">
          <cell r="O64">
            <v>1.2388993693114601</v>
          </cell>
          <cell r="P64">
            <v>1.2404343126205799</v>
          </cell>
          <cell r="Q64">
            <v>1.23884614880942</v>
          </cell>
          <cell r="U64">
            <v>1.5748319672916301E-3</v>
          </cell>
          <cell r="V64">
            <v>2.83470539824902E-3</v>
          </cell>
          <cell r="W64">
            <v>1.5476258743864701E-3</v>
          </cell>
          <cell r="Y64">
            <v>1.23733334869304</v>
          </cell>
          <cell r="Z64">
            <v>1.2374303138479601</v>
          </cell>
          <cell r="AA64">
            <v>1.23728874968441</v>
          </cell>
          <cell r="AF64">
            <v>4.8015568285492599E-4</v>
          </cell>
          <cell r="AG64">
            <v>3.6062525147944902E-4</v>
          </cell>
          <cell r="AR64">
            <v>0</v>
          </cell>
          <cell r="BC64">
            <v>0</v>
          </cell>
          <cell r="BF64">
            <v>0</v>
          </cell>
        </row>
        <row r="65">
          <cell r="O65">
            <v>1.2388993693114601</v>
          </cell>
          <cell r="P65">
            <v>1.2404195374309701</v>
          </cell>
          <cell r="Q65">
            <v>1.2387754825650801</v>
          </cell>
          <cell r="U65">
            <v>1.5748319672916301E-3</v>
          </cell>
          <cell r="V65">
            <v>2.8130223056097399E-3</v>
          </cell>
          <cell r="W65">
            <v>1.5318731552094701E-3</v>
          </cell>
          <cell r="Y65">
            <v>1.23733334869304</v>
          </cell>
          <cell r="Z65">
            <v>1.2374176205587899</v>
          </cell>
          <cell r="AA65">
            <v>1.2372195620749999</v>
          </cell>
          <cell r="AF65">
            <v>4.6017371282107297E-4</v>
          </cell>
          <cell r="AG65">
            <v>3.4576544257137098E-4</v>
          </cell>
          <cell r="AR65">
            <v>0</v>
          </cell>
          <cell r="BC65">
            <v>0</v>
          </cell>
          <cell r="BF65">
            <v>0</v>
          </cell>
        </row>
        <row r="66">
          <cell r="O66">
            <v>1.2388993693114601</v>
          </cell>
          <cell r="P66">
            <v>1.23984612278083</v>
          </cell>
          <cell r="Q66">
            <v>1.23873645942434</v>
          </cell>
          <cell r="U66">
            <v>2.0864717840299199E-3</v>
          </cell>
          <cell r="V66">
            <v>3.3127507478780899E-3</v>
          </cell>
          <cell r="W66">
            <v>1.98646935926654E-3</v>
          </cell>
          <cell r="Y66">
            <v>1.23733334869304</v>
          </cell>
          <cell r="Z66">
            <v>1.23726133453566</v>
          </cell>
          <cell r="AA66">
            <v>1.2371819018750601</v>
          </cell>
          <cell r="AF66">
            <v>9.5638322465734795E-4</v>
          </cell>
          <cell r="AG66">
            <v>7.9631249945789396E-4</v>
          </cell>
          <cell r="AR66">
            <v>0</v>
          </cell>
          <cell r="BC66">
            <v>0</v>
          </cell>
          <cell r="BF66">
            <v>0</v>
          </cell>
        </row>
        <row r="67">
          <cell r="O67">
            <v>1.2388993693114601</v>
          </cell>
          <cell r="P67">
            <v>1.23943833336792</v>
          </cell>
          <cell r="Q67">
            <v>1.2387741881251499</v>
          </cell>
          <cell r="U67">
            <v>7.4770206074728496E-4</v>
          </cell>
          <cell r="V67">
            <v>1.51159937769722E-3</v>
          </cell>
          <cell r="W67">
            <v>6.1619775694967197E-4</v>
          </cell>
          <cell r="Y67">
            <v>1.23733334869304</v>
          </cell>
          <cell r="Z67">
            <v>1.2372689947475699</v>
          </cell>
          <cell r="AA67">
            <v>1.2372201981659801</v>
          </cell>
          <cell r="AF67">
            <v>-4.9522028667483295E-4</v>
          </cell>
          <cell r="AG67">
            <v>-5.5942273792311103E-4</v>
          </cell>
          <cell r="AR67">
            <v>0</v>
          </cell>
          <cell r="BC67">
            <v>0</v>
          </cell>
          <cell r="BF67">
            <v>0</v>
          </cell>
        </row>
        <row r="68">
          <cell r="O68">
            <v>1.2388993693114601</v>
          </cell>
          <cell r="P68">
            <v>1.23896722050806</v>
          </cell>
          <cell r="Q68">
            <v>1.23874861267758</v>
          </cell>
          <cell r="U68">
            <v>1.2593418774856399E-3</v>
          </cell>
          <cell r="V68">
            <v>1.6942818490423501E-3</v>
          </cell>
          <cell r="W68">
            <v>1.15829451711551E-3</v>
          </cell>
          <cell r="Y68">
            <v>1.23733334869304</v>
          </cell>
          <cell r="Z68">
            <v>1.2372139765469401</v>
          </cell>
          <cell r="AA68">
            <v>1.23719573171168</v>
          </cell>
          <cell r="AF68">
            <v>1.7438303902930098E-5</v>
          </cell>
          <cell r="AG68">
            <v>-2.2001417019361099E-5</v>
          </cell>
          <cell r="AR68">
            <v>0</v>
          </cell>
          <cell r="BC68">
            <v>0</v>
          </cell>
          <cell r="BF68">
            <v>0</v>
          </cell>
        </row>
        <row r="69">
          <cell r="O69">
            <v>1.2388993693114601</v>
          </cell>
          <cell r="P69">
            <v>1.2385472585433399</v>
          </cell>
          <cell r="Q69">
            <v>1.2387741881251499</v>
          </cell>
          <cell r="U69">
            <v>8.4603333678089402E-4</v>
          </cell>
          <cell r="V69">
            <v>9.0079915580852405E-4</v>
          </cell>
          <cell r="W69">
            <v>7.2433999279909495E-4</v>
          </cell>
          <cell r="Y69">
            <v>1.23733334869304</v>
          </cell>
          <cell r="Z69">
            <v>1.2372095922575601</v>
          </cell>
          <cell r="AA69">
            <v>1.23722198301221</v>
          </cell>
          <cell r="AF69">
            <v>-4.3619286790436102E-4</v>
          </cell>
          <cell r="AG69">
            <v>-4.5093968627017299E-4</v>
          </cell>
          <cell r="AR69">
            <v>0</v>
          </cell>
          <cell r="BC69">
            <v>0</v>
          </cell>
          <cell r="BF69">
            <v>0</v>
          </cell>
        </row>
        <row r="70">
          <cell r="O70">
            <v>1.2388993693114601</v>
          </cell>
          <cell r="P70">
            <v>1.2381279200191699</v>
          </cell>
          <cell r="Q70">
            <v>1.2387997374353199</v>
          </cell>
          <cell r="U70">
            <v>1.45539052606444E-3</v>
          </cell>
          <cell r="V70">
            <v>1.1711375645425E-3</v>
          </cell>
          <cell r="W70">
            <v>1.3543431656942201E-3</v>
          </cell>
          <cell r="Y70">
            <v>1.23733334869304</v>
          </cell>
          <cell r="Z70">
            <v>1.2372054016557199</v>
          </cell>
          <cell r="AA70">
            <v>1.2372483311289</v>
          </cell>
          <cell r="AF70">
            <v>1.63433874390905E-4</v>
          </cell>
          <cell r="AG70">
            <v>1.7344890553587701E-4</v>
          </cell>
          <cell r="AR70">
            <v>0</v>
          </cell>
          <cell r="BC70">
            <v>0</v>
          </cell>
          <cell r="BF70">
            <v>0</v>
          </cell>
        </row>
        <row r="71">
          <cell r="O71">
            <v>1.2388993693114601</v>
          </cell>
          <cell r="P71">
            <v>1.23759385955413</v>
          </cell>
          <cell r="Q71">
            <v>1.2387681273480999</v>
          </cell>
          <cell r="U71">
            <v>1.8685283133910999E-3</v>
          </cell>
          <cell r="V71">
            <v>1.24564513357631E-3</v>
          </cell>
          <cell r="W71">
            <v>1.7881054114120801E-3</v>
          </cell>
          <cell r="Y71">
            <v>1.23733334869304</v>
          </cell>
          <cell r="Z71">
            <v>1.2370878646024901</v>
          </cell>
          <cell r="AA71">
            <v>1.23721799625791</v>
          </cell>
          <cell r="AF71">
            <v>5.6904211348313897E-4</v>
          </cell>
          <cell r="AG71">
            <v>6.0374025523385496E-4</v>
          </cell>
          <cell r="AR71">
            <v>0</v>
          </cell>
          <cell r="BC71">
            <v>0</v>
          </cell>
          <cell r="BF71">
            <v>0</v>
          </cell>
        </row>
        <row r="72">
          <cell r="O72">
            <v>1.2388993693114601</v>
          </cell>
          <cell r="P72">
            <v>1.23713577729869</v>
          </cell>
          <cell r="Q72">
            <v>1.2387681273480999</v>
          </cell>
          <cell r="U72">
            <v>1.8685283133910999E-3</v>
          </cell>
          <cell r="V72">
            <v>8.1420693423362703E-4</v>
          </cell>
          <cell r="W72">
            <v>1.76258838104194E-3</v>
          </cell>
          <cell r="Y72">
            <v>1.23733334869304</v>
          </cell>
          <cell r="Z72">
            <v>1.2370451062144701</v>
          </cell>
          <cell r="AA72">
            <v>1.2372190530309699</v>
          </cell>
          <cell r="AF72">
            <v>4.7403554742957897E-4</v>
          </cell>
          <cell r="AG72">
            <v>5.7922194140541802E-4</v>
          </cell>
          <cell r="AR72">
            <v>0</v>
          </cell>
          <cell r="BC72">
            <v>0</v>
          </cell>
          <cell r="BF72">
            <v>0</v>
          </cell>
        </row>
        <row r="73">
          <cell r="O73">
            <v>1.2388993693114601</v>
          </cell>
          <cell r="P73">
            <v>1.2370871668860099</v>
          </cell>
          <cell r="Q73">
            <v>1.2387741881251499</v>
          </cell>
          <cell r="U73">
            <v>1.3574115120773399E-3</v>
          </cell>
          <cell r="V73">
            <v>-6.7117791085499301E-5</v>
          </cell>
          <cell r="W73">
            <v>1.2514715797284099E-3</v>
          </cell>
          <cell r="Y73">
            <v>1.23733334869304</v>
          </cell>
          <cell r="Z73">
            <v>1.2369970064088001</v>
          </cell>
          <cell r="AA73">
            <v>1.2372260233996299</v>
          </cell>
          <cell r="AF73">
            <v>-6.6483639944680303E-5</v>
          </cell>
          <cell r="AG73">
            <v>7.4121247483015096E-5</v>
          </cell>
          <cell r="AR73">
            <v>0</v>
          </cell>
          <cell r="BC73">
            <v>0</v>
          </cell>
          <cell r="BF73">
            <v>0</v>
          </cell>
        </row>
        <row r="74">
          <cell r="O74">
            <v>1.2388993693114601</v>
          </cell>
          <cell r="P74">
            <v>1.23710194207562</v>
          </cell>
          <cell r="Q74">
            <v>1.2387681273480999</v>
          </cell>
          <cell r="U74">
            <v>1.45539052606444E-3</v>
          </cell>
          <cell r="V74">
            <v>-8.4322553243452505E-6</v>
          </cell>
          <cell r="W74">
            <v>1.35434316569444E-3</v>
          </cell>
          <cell r="Y74">
            <v>1.23733334869304</v>
          </cell>
          <cell r="Z74">
            <v>1.2370116458965901</v>
          </cell>
          <cell r="AA74">
            <v>1.23722097987228</v>
          </cell>
          <cell r="AF74">
            <v>-8.4077571040091594E-6</v>
          </cell>
          <cell r="AG74">
            <v>1.76714593404864E-4</v>
          </cell>
          <cell r="AR74">
            <v>0</v>
          </cell>
          <cell r="BC74">
            <v>0</v>
          </cell>
          <cell r="BF74">
            <v>0</v>
          </cell>
        </row>
        <row r="75">
          <cell r="O75">
            <v>1.2388993693114601</v>
          </cell>
          <cell r="P75">
            <v>1.23754842334365</v>
          </cell>
          <cell r="Q75">
            <v>1.2389839803873099</v>
          </cell>
          <cell r="U75">
            <v>-2.02820342187942E-3</v>
          </cell>
          <cell r="V75">
            <v>-3.48008274304274E-3</v>
          </cell>
          <cell r="W75">
            <v>-2.1341433542283201E-3</v>
          </cell>
          <cell r="Y75">
            <v>1.23733334869304</v>
          </cell>
          <cell r="Z75">
            <v>1.23704795513223</v>
          </cell>
          <cell r="AA75">
            <v>1.2372327878455101</v>
          </cell>
          <cell r="AF75">
            <v>-1.7173659002962899E-4</v>
          </cell>
          <cell r="AG75">
            <v>-2.52535741877753E-6</v>
          </cell>
          <cell r="AR75">
            <v>0</v>
          </cell>
          <cell r="BC75">
            <v>0</v>
          </cell>
          <cell r="BF75">
            <v>0</v>
          </cell>
        </row>
        <row r="76">
          <cell r="O76">
            <v>1.2388993693114601</v>
          </cell>
          <cell r="P76">
            <v>1.23804580814932</v>
          </cell>
          <cell r="Q76">
            <v>1.2389459654650801</v>
          </cell>
          <cell r="U76">
            <v>-1.9285737754411701E-3</v>
          </cell>
          <cell r="V76">
            <v>-3.0196091736642201E-3</v>
          </cell>
          <cell r="W76">
            <v>-1.86028074954732E-3</v>
          </cell>
          <cell r="Y76">
            <v>1.23733334869304</v>
          </cell>
          <cell r="Z76">
            <v>1.23713490091315</v>
          </cell>
          <cell r="AA76">
            <v>1.2371981177244</v>
          </cell>
          <cell r="AF76">
            <v>-4.5464879591260698E-5</v>
          </cell>
          <cell r="AG76">
            <v>1.03938306889988E-4</v>
          </cell>
          <cell r="AR76">
            <v>0</v>
          </cell>
          <cell r="BC76">
            <v>0</v>
          </cell>
          <cell r="BF76">
            <v>0</v>
          </cell>
        </row>
        <row r="77">
          <cell r="O77">
            <v>1.2388993693114601</v>
          </cell>
          <cell r="P77">
            <v>1.23837756771776</v>
          </cell>
          <cell r="Q77">
            <v>1.23890795054284</v>
          </cell>
          <cell r="U77">
            <v>-1.9285737754411701E-3</v>
          </cell>
          <cell r="V77">
            <v>-2.6177785295032098E-3</v>
          </cell>
          <cell r="W77">
            <v>-1.89096355581697E-3</v>
          </cell>
          <cell r="Y77">
            <v>1.23733334869304</v>
          </cell>
          <cell r="Z77">
            <v>1.2370579004590201</v>
          </cell>
          <cell r="AA77">
            <v>1.23716344760329</v>
          </cell>
          <cell r="AF77">
            <v>2.4817541727373998E-5</v>
          </cell>
          <cell r="AG77">
            <v>7.5915603946790196E-5</v>
          </cell>
          <cell r="AR77">
            <v>0</v>
          </cell>
          <cell r="BC77">
            <v>0</v>
          </cell>
          <cell r="BF77">
            <v>0</v>
          </cell>
        </row>
        <row r="78">
          <cell r="O78">
            <v>1.2388993693114601</v>
          </cell>
          <cell r="P78">
            <v>1.23888752981995</v>
          </cell>
          <cell r="Q78">
            <v>1.23892737516401</v>
          </cell>
          <cell r="U78">
            <v>-2.8536264980468999E-3</v>
          </cell>
          <cell r="V78">
            <v>-3.2748967998238402E-3</v>
          </cell>
          <cell r="W78">
            <v>-2.8467000261558802E-3</v>
          </cell>
          <cell r="Y78">
            <v>1.23733334869304</v>
          </cell>
          <cell r="Z78">
            <v>1.2371567107213799</v>
          </cell>
          <cell r="AA78">
            <v>1.23718534363416</v>
          </cell>
          <cell r="AF78">
            <v>-9.5150038039851497E-4</v>
          </cell>
          <cell r="AG78">
            <v>-8.6618291725031895E-4</v>
          </cell>
          <cell r="AR78">
            <v>0</v>
          </cell>
          <cell r="BC78">
            <v>0</v>
          </cell>
          <cell r="BF78">
            <v>0</v>
          </cell>
        </row>
        <row r="79">
          <cell r="O79">
            <v>1.2388993693114601</v>
          </cell>
          <cell r="P79">
            <v>1.2393339209565899</v>
          </cell>
          <cell r="Q79">
            <v>1.2389405897499699</v>
          </cell>
          <cell r="U79">
            <v>-2.7536563304990402E-3</v>
          </cell>
          <cell r="V79">
            <v>-2.7632128355533098E-3</v>
          </cell>
          <cell r="W79">
            <v>-2.7310511563422598E-3</v>
          </cell>
          <cell r="Y79">
            <v>1.23733334869304</v>
          </cell>
          <cell r="Z79">
            <v>1.2371928453846499</v>
          </cell>
          <cell r="AA79">
            <v>1.2372012188211099</v>
          </cell>
          <cell r="AF79">
            <v>-7.7437486155852503E-4</v>
          </cell>
          <cell r="AG79">
            <v>-7.5123100177264604E-4</v>
          </cell>
          <cell r="AR79">
            <v>0</v>
          </cell>
          <cell r="BC79">
            <v>0</v>
          </cell>
          <cell r="BF79">
            <v>0</v>
          </cell>
        </row>
        <row r="80">
          <cell r="O80">
            <v>1.2388993693114601</v>
          </cell>
          <cell r="P80">
            <v>1.2398557184971499</v>
          </cell>
          <cell r="Q80">
            <v>1.2389918192581599</v>
          </cell>
          <cell r="U80">
            <v>-2.7536563304990402E-3</v>
          </cell>
          <cell r="V80">
            <v>-2.4029616228718699E-3</v>
          </cell>
          <cell r="W80">
            <v>-2.7203850626296802E-3</v>
          </cell>
          <cell r="Y80">
            <v>1.23733334869304</v>
          </cell>
          <cell r="Z80">
            <v>1.23730361518318</v>
          </cell>
          <cell r="AA80">
            <v>1.2372545084194499</v>
          </cell>
          <cell r="AF80">
            <v>-7.4516745778813599E-4</v>
          </cell>
          <cell r="AG80">
            <v>-7.3839938751361499E-4</v>
          </cell>
          <cell r="AR80">
            <v>0</v>
          </cell>
          <cell r="BC80">
            <v>0</v>
          </cell>
          <cell r="BF80">
            <v>0</v>
          </cell>
        </row>
        <row r="81">
          <cell r="O81">
            <v>1.2388993693114601</v>
          </cell>
          <cell r="P81">
            <v>1.2404286146580601</v>
          </cell>
          <cell r="Q81">
            <v>1.23901123710609</v>
          </cell>
          <cell r="U81">
            <v>-2.7536563304990402E-3</v>
          </cell>
          <cell r="V81">
            <v>-1.9820196021683402E-3</v>
          </cell>
          <cell r="W81">
            <v>-2.6790364705389798E-3</v>
          </cell>
          <cell r="Y81">
            <v>1.23733334869304</v>
          </cell>
          <cell r="Z81">
            <v>1.23746496766898</v>
          </cell>
          <cell r="AA81">
            <v>1.2372764161357299</v>
          </cell>
          <cell r="AF81">
            <v>-6.5563829468636196E-4</v>
          </cell>
          <cell r="AG81">
            <v>-6.9532761398087702E-4</v>
          </cell>
          <cell r="AR81">
            <v>0</v>
          </cell>
          <cell r="BC81">
            <v>0</v>
          </cell>
          <cell r="BF81">
            <v>0</v>
          </cell>
        </row>
        <row r="82">
          <cell r="O82">
            <v>1.2388993693114601</v>
          </cell>
          <cell r="P82">
            <v>1.2408743546701599</v>
          </cell>
          <cell r="Q82">
            <v>1.2390050659844301</v>
          </cell>
          <cell r="U82">
            <v>-1.7295907008089001E-3</v>
          </cell>
          <cell r="V82">
            <v>-4.9599389521422905E-4</v>
          </cell>
          <cell r="W82">
            <v>-1.63929866653042E-3</v>
          </cell>
          <cell r="Y82">
            <v>1.23733334869304</v>
          </cell>
          <cell r="Z82">
            <v>1.2375012847350899</v>
          </cell>
          <cell r="AA82">
            <v>1.23727319547478</v>
          </cell>
          <cell r="AF82">
            <v>4.8515528465419401E-4</v>
          </cell>
          <cell r="AG82">
            <v>3.3277448652568599E-4</v>
          </cell>
          <cell r="AR82">
            <v>0</v>
          </cell>
          <cell r="BC82">
            <v>0</v>
          </cell>
          <cell r="BF82">
            <v>0</v>
          </cell>
        </row>
        <row r="83">
          <cell r="O83">
            <v>1.2388993693114601</v>
          </cell>
          <cell r="P83">
            <v>1.2413716233051699</v>
          </cell>
          <cell r="Q83">
            <v>1.2392293950955899</v>
          </cell>
          <cell r="U83">
            <v>-2.6537785592697901E-3</v>
          </cell>
          <cell r="V83">
            <v>-1.0609027600116301E-3</v>
          </cell>
          <cell r="W83">
            <v>-2.5684672199596599E-3</v>
          </cell>
          <cell r="Y83">
            <v>1.23733334869304</v>
          </cell>
          <cell r="Z83">
            <v>1.2375880304739599</v>
          </cell>
          <cell r="AA83">
            <v>1.2372925184413801</v>
          </cell>
          <cell r="AF83">
            <v>-3.9872805384287102E-4</v>
          </cell>
          <cell r="AG83">
            <v>-5.8305940426060603E-4</v>
          </cell>
          <cell r="AR83">
            <v>0</v>
          </cell>
          <cell r="BC83">
            <v>0</v>
          </cell>
          <cell r="BF83">
            <v>0</v>
          </cell>
        </row>
        <row r="84">
          <cell r="O84">
            <v>1.2388993693114601</v>
          </cell>
          <cell r="P84">
            <v>1.24140802518823</v>
          </cell>
          <cell r="Q84">
            <v>1.23925498363192</v>
          </cell>
          <cell r="U84">
            <v>1.1611814960366799E-3</v>
          </cell>
          <cell r="V84">
            <v>3.1547175409538798E-3</v>
          </cell>
          <cell r="W84">
            <v>1.4275322933134499E-3</v>
          </cell>
          <cell r="Y84">
            <v>1.23733334869304</v>
          </cell>
          <cell r="Z84">
            <v>1.23762528414944</v>
          </cell>
          <cell r="AA84">
            <v>1.23731846502302</v>
          </cell>
          <cell r="AF84">
            <v>1.68153203537961E-4</v>
          </cell>
          <cell r="AG84">
            <v>-7.0655925341700298E-5</v>
          </cell>
          <cell r="AR84">
            <v>0</v>
          </cell>
          <cell r="BC84">
            <v>0</v>
          </cell>
          <cell r="BF84">
            <v>0</v>
          </cell>
        </row>
        <row r="85">
          <cell r="O85">
            <v>1.2388993693114601</v>
          </cell>
          <cell r="P85">
            <v>1.2410005746185899</v>
          </cell>
          <cell r="Q85">
            <v>1.23927449898112</v>
          </cell>
          <cell r="U85">
            <v>1.2593418774856399E-3</v>
          </cell>
          <cell r="V85">
            <v>3.2822014131844899E-3</v>
          </cell>
          <cell r="W85">
            <v>1.5463412102594901E-3</v>
          </cell>
          <cell r="Y85">
            <v>1.23733334869304</v>
          </cell>
          <cell r="Z85">
            <v>1.2376288878010999</v>
          </cell>
          <cell r="AA85">
            <v>1.2373384214666601</v>
          </cell>
          <cell r="AF85">
            <v>2.9507898056602301E-4</v>
          </cell>
          <cell r="AG85">
            <v>4.7138696589116997E-5</v>
          </cell>
          <cell r="AR85">
            <v>0</v>
          </cell>
          <cell r="BC85">
            <v>0</v>
          </cell>
          <cell r="BF85">
            <v>0</v>
          </cell>
        </row>
        <row r="86">
          <cell r="O86">
            <v>1.2388993693114601</v>
          </cell>
          <cell r="P86">
            <v>1.2406054916032001</v>
          </cell>
          <cell r="Q86">
            <v>1.2393256498762599</v>
          </cell>
          <cell r="U86">
            <v>1.2593418774856399E-3</v>
          </cell>
          <cell r="V86">
            <v>2.9539310604815099E-3</v>
          </cell>
          <cell r="W86">
            <v>1.56208873259677E-3</v>
          </cell>
          <cell r="Y86">
            <v>1.23733334869304</v>
          </cell>
          <cell r="Z86">
            <v>1.23764448201819</v>
          </cell>
          <cell r="AA86">
            <v>1.2373896914656699</v>
          </cell>
          <cell r="AF86">
            <v>2.9799072328650701E-4</v>
          </cell>
          <cell r="AG86">
            <v>6.3267351642677395E-5</v>
          </cell>
          <cell r="AR86">
            <v>0</v>
          </cell>
          <cell r="BC86">
            <v>0</v>
          </cell>
          <cell r="BF86">
            <v>0</v>
          </cell>
        </row>
        <row r="87">
          <cell r="O87">
            <v>1.2388993693114601</v>
          </cell>
          <cell r="P87">
            <v>1.2402104085878101</v>
          </cell>
          <cell r="Q87">
            <v>1.23929398815278</v>
          </cell>
          <cell r="U87">
            <v>1.2593418774856399E-3</v>
          </cell>
          <cell r="V87">
            <v>2.63552192689431E-3</v>
          </cell>
          <cell r="W87">
            <v>1.60336275186255E-3</v>
          </cell>
          <cell r="Y87">
            <v>1.23733334869304</v>
          </cell>
          <cell r="Z87">
            <v>1.2376600762352801</v>
          </cell>
          <cell r="AA87">
            <v>1.2373589883471501</v>
          </cell>
          <cell r="AF87">
            <v>3.10590719132271E-4</v>
          </cell>
          <cell r="AG87">
            <v>1.04702205631344E-4</v>
          </cell>
          <cell r="AR87">
            <v>0</v>
          </cell>
          <cell r="BC87">
            <v>0</v>
          </cell>
          <cell r="BF87">
            <v>0</v>
          </cell>
        </row>
        <row r="88">
          <cell r="O88">
            <v>1.2388993693114601</v>
          </cell>
          <cell r="P88">
            <v>1.23975159738076</v>
          </cell>
          <cell r="Q88">
            <v>1.23931956360035</v>
          </cell>
          <cell r="U88">
            <v>8.4603333678089402E-4</v>
          </cell>
          <cell r="V88">
            <v>1.90370283593313E-3</v>
          </cell>
          <cell r="W88">
            <v>1.16450634331043E-3</v>
          </cell>
          <cell r="Y88">
            <v>1.23733334869304</v>
          </cell>
          <cell r="Z88">
            <v>1.2376130069276801</v>
          </cell>
          <cell r="AA88">
            <v>1.23738485882453</v>
          </cell>
          <cell r="AF88">
            <v>-8.4633854272652103E-5</v>
          </cell>
          <cell r="AG88">
            <v>-3.27935325299257E-4</v>
          </cell>
          <cell r="AR88">
            <v>0</v>
          </cell>
          <cell r="BC88">
            <v>0</v>
          </cell>
          <cell r="BF88">
            <v>0</v>
          </cell>
        </row>
        <row r="89">
          <cell r="O89">
            <v>1.2388993693114601</v>
          </cell>
          <cell r="P89">
            <v>1.2393052062441201</v>
          </cell>
          <cell r="Q89">
            <v>1.23931956360035</v>
          </cell>
          <cell r="U89">
            <v>8.4603333678089402E-4</v>
          </cell>
          <cell r="V89">
            <v>1.53368812507546E-3</v>
          </cell>
          <cell r="W89">
            <v>1.18514324134819E-3</v>
          </cell>
          <cell r="Y89">
            <v>1.23733334869304</v>
          </cell>
          <cell r="Z89">
            <v>1.23757797930791</v>
          </cell>
          <cell r="AA89">
            <v>1.23738541234628</v>
          </cell>
          <cell r="AF89">
            <v>-1.2266546211962999E-4</v>
          </cell>
          <cell r="AG89">
            <v>-3.0702772517719599E-4</v>
          </cell>
          <cell r="AR89">
            <v>0</v>
          </cell>
          <cell r="BC89">
            <v>0</v>
          </cell>
          <cell r="BF89">
            <v>0</v>
          </cell>
        </row>
        <row r="90">
          <cell r="O90">
            <v>1.2388993693114601</v>
          </cell>
          <cell r="P90">
            <v>1.2389099660026199</v>
          </cell>
          <cell r="Q90">
            <v>1.23938284224989</v>
          </cell>
          <cell r="U90">
            <v>4.32895549454491E-4</v>
          </cell>
          <cell r="V90">
            <v>7.6042051675270295E-4</v>
          </cell>
          <cell r="W90">
            <v>7.7200545402180505E-4</v>
          </cell>
          <cell r="Y90">
            <v>1.23733334869304</v>
          </cell>
          <cell r="Z90">
            <v>1.2375934204674</v>
          </cell>
          <cell r="AA90">
            <v>1.2374485178252901</v>
          </cell>
          <cell r="AF90">
            <v>-5.5862658292036595E-4</v>
          </cell>
          <cell r="AG90">
            <v>-7.1423855089310703E-4</v>
          </cell>
          <cell r="AR90">
            <v>0</v>
          </cell>
          <cell r="BC90">
            <v>0</v>
          </cell>
          <cell r="BF90">
            <v>0</v>
          </cell>
        </row>
        <row r="91">
          <cell r="O91">
            <v>1.2388993693114601</v>
          </cell>
          <cell r="P91">
            <v>1.2384002900161599</v>
          </cell>
          <cell r="Q91">
            <v>1.23941445233711</v>
          </cell>
          <cell r="U91">
            <v>1.3574115120773399E-3</v>
          </cell>
          <cell r="V91">
            <v>1.3659647861373101E-3</v>
          </cell>
          <cell r="W91">
            <v>1.7475793003157399E-3</v>
          </cell>
          <cell r="Y91">
            <v>1.23733334869304</v>
          </cell>
          <cell r="Z91">
            <v>1.2374959558789</v>
          </cell>
          <cell r="AA91">
            <v>1.2374804617739401</v>
          </cell>
          <cell r="AF91">
            <v>3.6606889571876499E-4</v>
          </cell>
          <cell r="AG91">
            <v>2.4897783553861399E-4</v>
          </cell>
          <cell r="AR91">
            <v>0</v>
          </cell>
          <cell r="BC91">
            <v>0</v>
          </cell>
          <cell r="BF91">
            <v>0</v>
          </cell>
        </row>
        <row r="92">
          <cell r="O92">
            <v>1.2388993693114601</v>
          </cell>
          <cell r="P92">
            <v>1.2380056486244</v>
          </cell>
          <cell r="Q92">
            <v>1.23944000164728</v>
          </cell>
          <cell r="U92">
            <v>1.45539052606444E-3</v>
          </cell>
          <cell r="V92">
            <v>1.0524684974982199E-3</v>
          </cell>
          <cell r="W92">
            <v>1.8710626887779901E-3</v>
          </cell>
          <cell r="Y92">
            <v>1.23733334869304</v>
          </cell>
          <cell r="Z92">
            <v>1.23751157058883</v>
          </cell>
          <cell r="AA92">
            <v>1.2375064276619601</v>
          </cell>
          <cell r="AF92">
            <v>3.8396034634119501E-4</v>
          </cell>
          <cell r="AG92">
            <v>3.7143973818620503E-4</v>
          </cell>
          <cell r="AR92">
            <v>0</v>
          </cell>
          <cell r="BC92">
            <v>0</v>
          </cell>
          <cell r="BF92">
            <v>0</v>
          </cell>
        </row>
        <row r="93">
          <cell r="O93">
            <v>1.2388993693114601</v>
          </cell>
          <cell r="P93">
            <v>1.23755950473377</v>
          </cell>
          <cell r="Q93">
            <v>1.2394655640194701</v>
          </cell>
          <cell r="U93">
            <v>9.4427372475070295E-4</v>
          </cell>
          <cell r="V93">
            <v>2.2263061015560299E-4</v>
          </cell>
          <cell r="W93">
            <v>1.38055969165814E-3</v>
          </cell>
          <cell r="Y93">
            <v>1.23733334869304</v>
          </cell>
          <cell r="Z93">
            <v>1.23747657884243</v>
          </cell>
          <cell r="AA93">
            <v>1.2375323046581901</v>
          </cell>
          <cell r="AF93">
            <v>-1.0772777222400599E-4</v>
          </cell>
          <cell r="AG93">
            <v>-1.1188364250237099E-4</v>
          </cell>
          <cell r="AR93">
            <v>0</v>
          </cell>
          <cell r="BC93">
            <v>0</v>
          </cell>
          <cell r="BF93">
            <v>0</v>
          </cell>
        </row>
        <row r="94">
          <cell r="O94">
            <v>1.2388993693114601</v>
          </cell>
          <cell r="P94">
            <v>1.23745992115518</v>
          </cell>
          <cell r="Q94">
            <v>1.2394339731716999</v>
          </cell>
          <cell r="U94">
            <v>1.9662462204438399E-3</v>
          </cell>
          <cell r="V94">
            <v>8.8416509042618099E-4</v>
          </cell>
          <cell r="W94">
            <v>2.42315610505344E-3</v>
          </cell>
          <cell r="Y94">
            <v>1.23733334869304</v>
          </cell>
          <cell r="Z94">
            <v>1.23737833770259</v>
          </cell>
          <cell r="AA94">
            <v>1.2375018109260201</v>
          </cell>
          <cell r="AF94">
            <v>8.7235379251984497E-4</v>
          </cell>
          <cell r="AG94">
            <v>9.1738459313425301E-4</v>
          </cell>
          <cell r="AR94">
            <v>0</v>
          </cell>
          <cell r="BC94">
            <v>0</v>
          </cell>
          <cell r="BF94">
            <v>0</v>
          </cell>
        </row>
        <row r="95">
          <cell r="O95">
            <v>1.2388993693114601</v>
          </cell>
          <cell r="P95">
            <v>1.2378161159585499</v>
          </cell>
          <cell r="Q95">
            <v>1.23940834528857</v>
          </cell>
          <cell r="U95">
            <v>-1.6152362469004E-3</v>
          </cell>
          <cell r="V95">
            <v>-2.77778832401584E-3</v>
          </cell>
          <cell r="W95">
            <v>-1.1838141622519699E-3</v>
          </cell>
          <cell r="Y95">
            <v>1.23733334869304</v>
          </cell>
          <cell r="Z95">
            <v>1.23731631829024</v>
          </cell>
          <cell r="AA95">
            <v>1.23747260304567</v>
          </cell>
          <cell r="AF95">
            <v>5.9691638879070001E-4</v>
          </cell>
          <cell r="AG95">
            <v>6.9669756291717904E-4</v>
          </cell>
          <cell r="AR95">
            <v>0</v>
          </cell>
          <cell r="BC95">
            <v>0</v>
          </cell>
          <cell r="BF95">
            <v>0</v>
          </cell>
        </row>
        <row r="96">
          <cell r="O96">
            <v>1.2388993693114601</v>
          </cell>
          <cell r="P96">
            <v>1.2382872288184099</v>
          </cell>
          <cell r="Q96">
            <v>1.2394463602107999</v>
          </cell>
          <cell r="U96">
            <v>-2.5408924871983202E-3</v>
          </cell>
          <cell r="V96">
            <v>-3.41564247639203E-3</v>
          </cell>
          <cell r="W96">
            <v>-2.13014770255144E-3</v>
          </cell>
          <cell r="Y96">
            <v>1.23733334869304</v>
          </cell>
          <cell r="Z96">
            <v>1.23736708766248</v>
          </cell>
          <cell r="AA96">
            <v>1.2375057848403399</v>
          </cell>
          <cell r="AF96">
            <v>-3.6484921504720302E-4</v>
          </cell>
          <cell r="AG96">
            <v>-2.3854773188666201E-4</v>
          </cell>
          <cell r="AR96">
            <v>0</v>
          </cell>
          <cell r="BC96">
            <v>0</v>
          </cell>
          <cell r="BF96">
            <v>0</v>
          </cell>
        </row>
        <row r="97">
          <cell r="O97">
            <v>1.2388993693114601</v>
          </cell>
          <cell r="P97">
            <v>1.2387583416782699</v>
          </cell>
          <cell r="Q97">
            <v>1.23948437513304</v>
          </cell>
          <cell r="U97">
            <v>-2.5408924871983202E-3</v>
          </cell>
          <cell r="V97">
            <v>-3.0351148489501101E-3</v>
          </cell>
          <cell r="W97">
            <v>-2.0994763427860199E-3</v>
          </cell>
          <cell r="Y97">
            <v>1.23733334869304</v>
          </cell>
          <cell r="Z97">
            <v>1.2374178570347301</v>
          </cell>
          <cell r="AA97">
            <v>1.2375389666350001</v>
          </cell>
          <cell r="AF97">
            <v>-3.2381821114011897E-4</v>
          </cell>
          <cell r="AG97">
            <v>-2.1173392629588499E-4</v>
          </cell>
          <cell r="AR97">
            <v>0</v>
          </cell>
          <cell r="BC97">
            <v>0</v>
          </cell>
          <cell r="BF97">
            <v>0</v>
          </cell>
        </row>
        <row r="98">
          <cell r="O98">
            <v>1.2388993693114601</v>
          </cell>
          <cell r="P98">
            <v>1.2391146413527701</v>
          </cell>
          <cell r="Q98">
            <v>1.23943311936677</v>
          </cell>
          <cell r="U98">
            <v>-2.02820342187942E-3</v>
          </cell>
          <cell r="V98">
            <v>-2.1420429023862701E-3</v>
          </cell>
          <cell r="W98">
            <v>-1.5561168584055101E-3</v>
          </cell>
          <cell r="Y98">
            <v>1.23733334869304</v>
          </cell>
          <cell r="Z98">
            <v>1.2373557712051699</v>
          </cell>
          <cell r="AA98">
            <v>1.23748438906642</v>
          </cell>
          <cell r="AF98">
            <v>2.2136179245734499E-4</v>
          </cell>
          <cell r="AG98">
            <v>3.1922984349874403E-4</v>
          </cell>
          <cell r="AR98">
            <v>0</v>
          </cell>
          <cell r="BC98">
            <v>0</v>
          </cell>
          <cell r="BF98">
            <v>0</v>
          </cell>
        </row>
        <row r="99">
          <cell r="O99">
            <v>1.2388993693114601</v>
          </cell>
          <cell r="P99">
            <v>1.2395098029812199</v>
          </cell>
          <cell r="Q99">
            <v>1.23940750461267</v>
          </cell>
          <cell r="U99">
            <v>-2.3412001481204802E-3</v>
          </cell>
          <cell r="V99">
            <v>-2.1674545268873099E-3</v>
          </cell>
          <cell r="W99">
            <v>-1.9104669305281101E-3</v>
          </cell>
          <cell r="Y99">
            <v>1.23733334869304</v>
          </cell>
          <cell r="Z99">
            <v>1.23733211575161</v>
          </cell>
          <cell r="AA99">
            <v>1.2374550475297601</v>
          </cell>
          <cell r="AF99">
            <v>-1.39402789663994E-4</v>
          </cell>
          <cell r="AG99">
            <v>-3.54624516722461E-5</v>
          </cell>
          <cell r="AR99">
            <v>0</v>
          </cell>
          <cell r="BC99">
            <v>0</v>
          </cell>
          <cell r="BF99">
            <v>0</v>
          </cell>
        </row>
        <row r="100">
          <cell r="O100">
            <v>1.2388993693114601</v>
          </cell>
          <cell r="P100">
            <v>1.2397390260402401</v>
          </cell>
          <cell r="Q100">
            <v>1.23932449602143</v>
          </cell>
          <cell r="U100">
            <v>-1.41640987180001E-3</v>
          </cell>
          <cell r="V100">
            <v>-9.2380865895482097E-4</v>
          </cell>
          <cell r="W100">
            <v>-1.0063433754573599E-3</v>
          </cell>
          <cell r="Y100">
            <v>1.23733334869304</v>
          </cell>
          <cell r="Z100">
            <v>1.23714532837837</v>
          </cell>
          <cell r="AA100">
            <v>1.23736937442289</v>
          </cell>
          <cell r="AF100">
            <v>7.5228235177465905E-4</v>
          </cell>
          <cell r="AG100">
            <v>8.5162970582195504E-4</v>
          </cell>
          <cell r="AR100">
            <v>0</v>
          </cell>
          <cell r="BC100">
            <v>0</v>
          </cell>
          <cell r="BF100">
            <v>0</v>
          </cell>
        </row>
        <row r="101">
          <cell r="O101">
            <v>1.2388993693114601</v>
          </cell>
          <cell r="P101">
            <v>1.24013388812123</v>
          </cell>
          <cell r="Q101">
            <v>1.2392670890687001</v>
          </cell>
          <cell r="U101">
            <v>-1.8290362444792899E-3</v>
          </cell>
          <cell r="V101">
            <v>-1.15152171676823E-3</v>
          </cell>
          <cell r="W101">
            <v>-1.48594640494994E-3</v>
          </cell>
          <cell r="Y101">
            <v>1.23733334869304</v>
          </cell>
          <cell r="Z101">
            <v>1.23712179835839</v>
          </cell>
          <cell r="AA101">
            <v>1.23730887711864</v>
          </cell>
          <cell r="AF101">
            <v>1.9415097389580201E-4</v>
          </cell>
          <cell r="AG101">
            <v>3.7523378974604898E-4</v>
          </cell>
          <cell r="AR101">
            <v>0</v>
          </cell>
          <cell r="BC101">
            <v>0</v>
          </cell>
          <cell r="BF101">
            <v>0</v>
          </cell>
        </row>
        <row r="102">
          <cell r="O102">
            <v>1.2388993693114601</v>
          </cell>
          <cell r="P102">
            <v>1.2405920750333399</v>
          </cell>
          <cell r="Q102">
            <v>1.2392988618288701</v>
          </cell>
          <cell r="U102">
            <v>-2.2414924268578502E-3</v>
          </cell>
          <cell r="V102">
            <v>-1.2455244154452099E-3</v>
          </cell>
          <cell r="W102">
            <v>-1.9447248237867E-3</v>
          </cell>
          <cell r="Y102">
            <v>1.23733334869304</v>
          </cell>
          <cell r="Z102">
            <v>1.23716057606492</v>
          </cell>
          <cell r="AA102">
            <v>1.2373360733268699</v>
          </cell>
          <cell r="AF102">
            <v>-2.3186331465204101E-4</v>
          </cell>
          <cell r="AG102">
            <v>-8.0653775854545704E-5</v>
          </cell>
          <cell r="AR102">
            <v>0</v>
          </cell>
          <cell r="BC102">
            <v>0</v>
          </cell>
          <cell r="BF102">
            <v>0</v>
          </cell>
        </row>
        <row r="103">
          <cell r="O103">
            <v>1.2388993693114601</v>
          </cell>
          <cell r="P103">
            <v>1.24098701564696</v>
          </cell>
          <cell r="Q103">
            <v>1.23927326019036</v>
          </cell>
          <cell r="U103">
            <v>-2.2414924268578502E-3</v>
          </cell>
          <cell r="V103">
            <v>-8.7612696959836597E-4</v>
          </cell>
          <cell r="W103">
            <v>-1.91908680502714E-3</v>
          </cell>
          <cell r="Y103">
            <v>1.23733334869304</v>
          </cell>
          <cell r="Z103">
            <v>1.23713695432906</v>
          </cell>
          <cell r="AA103">
            <v>1.23730676658574</v>
          </cell>
          <cell r="AF103">
            <v>-2.00518705861524E-4</v>
          </cell>
          <cell r="AG103">
            <v>-5.8673888819357502E-5</v>
          </cell>
          <cell r="AR103">
            <v>0</v>
          </cell>
          <cell r="BC103">
            <v>0</v>
          </cell>
          <cell r="BF103">
            <v>0</v>
          </cell>
        </row>
        <row r="104">
          <cell r="O104">
            <v>1.2388993693114601</v>
          </cell>
          <cell r="P104">
            <v>1.2411499613155199</v>
          </cell>
          <cell r="Q104">
            <v>1.2393049412353501</v>
          </cell>
          <cell r="U104">
            <v>6.4927976998778295E-4</v>
          </cell>
          <cell r="V104">
            <v>2.3329430549815702E-3</v>
          </cell>
          <cell r="W104">
            <v>9.5102701494233395E-4</v>
          </cell>
          <cell r="Y104">
            <v>1.23733334869304</v>
          </cell>
          <cell r="Z104">
            <v>1.2372897746521601</v>
          </cell>
          <cell r="AA104">
            <v>1.23733405617738</v>
          </cell>
          <cell r="AF104">
            <v>-6.3738273077354804E-4</v>
          </cell>
          <cell r="AG104">
            <v>-5.0012985610447397E-4</v>
          </cell>
          <cell r="AR104">
            <v>0</v>
          </cell>
          <cell r="BC104">
            <v>0</v>
          </cell>
          <cell r="BF104">
            <v>0</v>
          </cell>
        </row>
        <row r="105">
          <cell r="O105">
            <v>1.2388993693114601</v>
          </cell>
          <cell r="P105">
            <v>1.2408692749764101</v>
          </cell>
          <cell r="Q105">
            <v>1.23934269546748</v>
          </cell>
          <cell r="U105">
            <v>6.4927976998778295E-4</v>
          </cell>
          <cell r="V105">
            <v>2.4642377178545299E-3</v>
          </cell>
          <cell r="W105">
            <v>9.7659090069784102E-4</v>
          </cell>
          <cell r="Y105">
            <v>1.23733334869304</v>
          </cell>
          <cell r="Z105">
            <v>1.23741835352375</v>
          </cell>
          <cell r="AA105">
            <v>1.2373673359070001</v>
          </cell>
          <cell r="AF105">
            <v>-5.1386295020887601E-4</v>
          </cell>
          <cell r="AG105">
            <v>-4.7807446011902599E-4</v>
          </cell>
          <cell r="AR105">
            <v>0</v>
          </cell>
          <cell r="BC105">
            <v>0</v>
          </cell>
          <cell r="BF105">
            <v>0</v>
          </cell>
        </row>
        <row r="106">
          <cell r="O106">
            <v>1.2388993693114601</v>
          </cell>
          <cell r="P106">
            <v>1.2402958603262599</v>
          </cell>
          <cell r="Q106">
            <v>1.23929154457234</v>
          </cell>
          <cell r="U106">
            <v>2.0864717840299199E-3</v>
          </cell>
          <cell r="V106">
            <v>3.6752539342154202E-3</v>
          </cell>
          <cell r="W106">
            <v>2.4442464881590902E-3</v>
          </cell>
          <cell r="Y106">
            <v>1.23733334869304</v>
          </cell>
          <cell r="Z106">
            <v>1.2372593049776599</v>
          </cell>
          <cell r="AA106">
            <v>1.2373131963200701</v>
          </cell>
          <cell r="AF106">
            <v>1.00340128099868E-3</v>
          </cell>
          <cell r="AG106">
            <v>9.6217135391555696E-4</v>
          </cell>
          <cell r="AR106">
            <v>0</v>
          </cell>
          <cell r="BC106">
            <v>0</v>
          </cell>
          <cell r="BF106">
            <v>0</v>
          </cell>
        </row>
        <row r="107">
          <cell r="O107">
            <v>1.2388993693114601</v>
          </cell>
          <cell r="P107">
            <v>1.23977359657126</v>
          </cell>
          <cell r="Q107">
            <v>1.2392659691247701</v>
          </cell>
          <cell r="U107">
            <v>1.67282131277501E-3</v>
          </cell>
          <cell r="V107">
            <v>2.7993894392412799E-3</v>
          </cell>
          <cell r="W107">
            <v>1.9893225653221098E-3</v>
          </cell>
          <cell r="Y107">
            <v>1.23733334869304</v>
          </cell>
          <cell r="Z107">
            <v>1.23715055738216</v>
          </cell>
          <cell r="AA107">
            <v>1.23728420720844</v>
          </cell>
          <cell r="AF107">
            <v>4.68035992426358E-4</v>
          </cell>
          <cell r="AG107">
            <v>5.1159207525770095E-4</v>
          </cell>
          <cell r="AR107">
            <v>0</v>
          </cell>
          <cell r="BC107">
            <v>0</v>
          </cell>
          <cell r="BF107">
            <v>0</v>
          </cell>
        </row>
        <row r="108">
          <cell r="O108">
            <v>1.2388993693114601</v>
          </cell>
          <cell r="P108">
            <v>1.2393661460016201</v>
          </cell>
          <cell r="Q108">
            <v>1.2392403936772001</v>
          </cell>
          <cell r="U108">
            <v>1.2593418774856399E-3</v>
          </cell>
          <cell r="V108">
            <v>1.9647413457374598E-3</v>
          </cell>
          <cell r="W108">
            <v>1.55520576541265E-3</v>
          </cell>
          <cell r="Y108">
            <v>1.23733334869304</v>
          </cell>
          <cell r="Z108">
            <v>1.2371544971597901</v>
          </cell>
          <cell r="AA108">
            <v>1.23725513418248</v>
          </cell>
          <cell r="AF108">
            <v>-2.6520841658495401E-5</v>
          </cell>
          <cell r="AG108">
            <v>8.1503688487677604E-5</v>
          </cell>
          <cell r="AR108">
            <v>0</v>
          </cell>
          <cell r="BC108">
            <v>0</v>
          </cell>
          <cell r="BF108">
            <v>0</v>
          </cell>
        </row>
        <row r="109">
          <cell r="O109">
            <v>1.2388993693114601</v>
          </cell>
          <cell r="P109">
            <v>1.23897098437317</v>
          </cell>
          <cell r="Q109">
            <v>1.2392403936772001</v>
          </cell>
          <cell r="U109">
            <v>8.4603333678089402E-4</v>
          </cell>
          <cell r="V109">
            <v>1.22272961309989E-3</v>
          </cell>
          <cell r="W109">
            <v>1.1212594341781E-3</v>
          </cell>
          <cell r="Y109">
            <v>1.23733334869304</v>
          </cell>
          <cell r="Z109">
            <v>1.23717030751202</v>
          </cell>
          <cell r="AA109">
            <v>1.23725121163181</v>
          </cell>
          <cell r="AF109">
            <v>-4.2983001532167603E-4</v>
          </cell>
          <cell r="AG109">
            <v>-3.48487765863573E-4</v>
          </cell>
          <cell r="AR109">
            <v>0</v>
          </cell>
          <cell r="BC109">
            <v>0</v>
          </cell>
          <cell r="BF109">
            <v>0</v>
          </cell>
        </row>
        <row r="110">
          <cell r="O110">
            <v>1.2388993693114601</v>
          </cell>
          <cell r="P110">
            <v>1.2386906104190101</v>
          </cell>
          <cell r="Q110">
            <v>1.2392148182296301</v>
          </cell>
          <cell r="U110">
            <v>8.4603333678089402E-4</v>
          </cell>
          <cell r="V110">
            <v>9.0383705651528399E-4</v>
          </cell>
          <cell r="W110">
            <v>1.1212594341781E-3</v>
          </cell>
          <cell r="Y110">
            <v>1.23733334869304</v>
          </cell>
          <cell r="Z110">
            <v>1.2372987810046601</v>
          </cell>
          <cell r="AA110">
            <v>1.23722205469152</v>
          </cell>
          <cell r="AF110">
            <v>-4.1705048678395199E-4</v>
          </cell>
          <cell r="AG110">
            <v>-3.5165813612815901E-4</v>
          </cell>
          <cell r="AR110">
            <v>0</v>
          </cell>
          <cell r="BC110">
            <v>0</v>
          </cell>
          <cell r="BF110">
            <v>0</v>
          </cell>
        </row>
        <row r="111">
          <cell r="O111">
            <v>1.2388993693114601</v>
          </cell>
          <cell r="P111">
            <v>1.23835903318784</v>
          </cell>
          <cell r="Q111">
            <v>1.2392464606545299</v>
          </cell>
          <cell r="U111">
            <v>8.4603333678089402E-4</v>
          </cell>
          <cell r="V111">
            <v>6.7751562831884797E-4</v>
          </cell>
          <cell r="W111">
            <v>1.1006212177207899E-3</v>
          </cell>
          <cell r="Y111">
            <v>1.23733334869304</v>
          </cell>
          <cell r="Z111">
            <v>1.2373769028920401</v>
          </cell>
          <cell r="AA111">
            <v>1.23724935062521</v>
          </cell>
          <cell r="AF111">
            <v>-3.1321124841896398E-4</v>
          </cell>
          <cell r="AG111">
            <v>-3.7522431539990499E-4</v>
          </cell>
          <cell r="AR111">
            <v>0</v>
          </cell>
          <cell r="BC111">
            <v>0</v>
          </cell>
          <cell r="BF111">
            <v>0</v>
          </cell>
        </row>
        <row r="112">
          <cell r="O112">
            <v>1.2388993693114601</v>
          </cell>
          <cell r="P112">
            <v>1.23786184308546</v>
          </cell>
          <cell r="Q112">
            <v>1.2392269590594001</v>
          </cell>
          <cell r="U112">
            <v>1.7707200527819599E-3</v>
          </cell>
          <cell r="V112">
            <v>1.3344828547175701E-3</v>
          </cell>
          <cell r="W112">
            <v>2.0508418609043802E-3</v>
          </cell>
          <cell r="Y112">
            <v>1.23733334869304</v>
          </cell>
          <cell r="Z112">
            <v>1.2372921720114001</v>
          </cell>
          <cell r="AA112">
            <v>1.2372263740381599</v>
          </cell>
          <cell r="AF112">
            <v>6.5930258829415998E-4</v>
          </cell>
          <cell r="AG112">
            <v>5.5621448215613302E-4</v>
          </cell>
          <cell r="AR112">
            <v>0</v>
          </cell>
          <cell r="BC112">
            <v>0</v>
          </cell>
          <cell r="BF112">
            <v>0</v>
          </cell>
        </row>
        <row r="113">
          <cell r="O113">
            <v>1.2388993693114601</v>
          </cell>
          <cell r="P113">
            <v>1.23753021347242</v>
          </cell>
          <cell r="Q113">
            <v>1.23925861455969</v>
          </cell>
          <cell r="U113">
            <v>4.32895549454491E-4</v>
          </cell>
          <cell r="V113">
            <v>-4.04913345077532E-4</v>
          </cell>
          <cell r="W113">
            <v>6.97280577848556E-4</v>
          </cell>
          <cell r="Y113">
            <v>1.23733334869304</v>
          </cell>
          <cell r="Z113">
            <v>1.23737024324411</v>
          </cell>
          <cell r="AA113">
            <v>1.23725359878658</v>
          </cell>
          <cell r="AF113">
            <v>-7.2488128834197901E-4</v>
          </cell>
          <cell r="AG113">
            <v>-7.7806171276309402E-4</v>
          </cell>
          <cell r="AR113">
            <v>0</v>
          </cell>
          <cell r="BC113">
            <v>0</v>
          </cell>
          <cell r="BF113">
            <v>0</v>
          </cell>
        </row>
        <row r="114">
          <cell r="O114">
            <v>1.2388993693114601</v>
          </cell>
          <cell r="P114">
            <v>1.2374936957978699</v>
          </cell>
          <cell r="Q114">
            <v>1.23932182855669</v>
          </cell>
          <cell r="U114">
            <v>9.4427372475070295E-4</v>
          </cell>
          <cell r="V114">
            <v>-1.6147625341458399E-4</v>
          </cell>
          <cell r="W114">
            <v>1.23420298114375E-3</v>
          </cell>
          <cell r="Y114">
            <v>1.23733334869304</v>
          </cell>
          <cell r="Z114">
            <v>1.2373343576229401</v>
          </cell>
          <cell r="AA114">
            <v>1.2373120661375501</v>
          </cell>
          <cell r="AF114">
            <v>-1.5890177828270399E-4</v>
          </cell>
          <cell r="AG114">
            <v>-2.5317425366241399E-4</v>
          </cell>
          <cell r="AR114">
            <v>0</v>
          </cell>
          <cell r="BC114">
            <v>0</v>
          </cell>
          <cell r="BF114">
            <v>0</v>
          </cell>
        </row>
        <row r="115">
          <cell r="O115">
            <v>1.2388993693114601</v>
          </cell>
          <cell r="P115">
            <v>1.2373939318248299</v>
          </cell>
          <cell r="Q115">
            <v>1.2391316034006199</v>
          </cell>
          <cell r="U115">
            <v>1.45539052606444E-3</v>
          </cell>
          <cell r="V115">
            <v>3.2013160099932098E-4</v>
          </cell>
          <cell r="W115">
            <v>1.7963280095204799E-3</v>
          </cell>
          <cell r="Y115">
            <v>1.23733334869304</v>
          </cell>
          <cell r="Z115">
            <v>1.23723628377386</v>
          </cell>
          <cell r="AA115">
            <v>1.2373273186488101</v>
          </cell>
          <cell r="AF115">
            <v>3.1472655323982898E-4</v>
          </cell>
          <cell r="AG115">
            <v>2.9671065797861598E-4</v>
          </cell>
          <cell r="AR115">
            <v>0</v>
          </cell>
          <cell r="BC115">
            <v>0</v>
          </cell>
          <cell r="BF115">
            <v>0</v>
          </cell>
        </row>
        <row r="116">
          <cell r="O116">
            <v>1.2388993693114601</v>
          </cell>
          <cell r="P116">
            <v>1.23742087948599</v>
          </cell>
          <cell r="Q116">
            <v>1.23885836990613</v>
          </cell>
          <cell r="U116">
            <v>1.8685283133910999E-3</v>
          </cell>
          <cell r="V116">
            <v>6.5264837589691497E-4</v>
          </cell>
          <cell r="W116">
            <v>2.05596268559269E-3</v>
          </cell>
          <cell r="Y116">
            <v>1.23733334869304</v>
          </cell>
          <cell r="Z116">
            <v>1.2372627981601401</v>
          </cell>
          <cell r="AA116">
            <v>1.2372610515689</v>
          </cell>
          <cell r="AF116">
            <v>6.4178976369546595E-4</v>
          </cell>
          <cell r="AG116">
            <v>7.1536627221145297E-4</v>
          </cell>
          <cell r="AR116">
            <v>0</v>
          </cell>
          <cell r="BC116">
            <v>0</v>
          </cell>
          <cell r="BF116">
            <v>0</v>
          </cell>
        </row>
        <row r="117">
          <cell r="O117">
            <v>1.2388993693114601</v>
          </cell>
          <cell r="P117">
            <v>1.23749887349268</v>
          </cell>
          <cell r="Q117">
            <v>1.23863623503197</v>
          </cell>
          <cell r="U117">
            <v>1.0424233510854899E-3</v>
          </cell>
          <cell r="V117">
            <v>-1.5167906912712099E-4</v>
          </cell>
          <cell r="W117">
            <v>1.0093293930348501E-3</v>
          </cell>
          <cell r="Y117">
            <v>1.23733334869304</v>
          </cell>
          <cell r="Z117">
            <v>1.2373395123913</v>
          </cell>
          <cell r="AA117">
            <v>1.2372450348867301</v>
          </cell>
          <cell r="AF117">
            <v>-1.4927220954730799E-4</v>
          </cell>
          <cell r="AG117">
            <v>-1.5068386798846E-4</v>
          </cell>
          <cell r="AR117">
            <v>0</v>
          </cell>
          <cell r="BC117">
            <v>0</v>
          </cell>
          <cell r="BF117">
            <v>0</v>
          </cell>
        </row>
        <row r="118">
          <cell r="O118">
            <v>1.2388993693114601</v>
          </cell>
          <cell r="P118">
            <v>1.23796998635254</v>
          </cell>
          <cell r="Q118">
            <v>1.2386680661770799</v>
          </cell>
          <cell r="U118">
            <v>-2.5408924871983202E-3</v>
          </cell>
          <cell r="V118">
            <v>-3.6719674038921202E-3</v>
          </cell>
          <cell r="W118">
            <v>-2.7533086317079502E-3</v>
          </cell>
          <cell r="Y118">
            <v>1.23733334869304</v>
          </cell>
          <cell r="Z118">
            <v>1.2373990776792301</v>
          </cell>
          <cell r="AA118">
            <v>1.2372767874195101</v>
          </cell>
          <cell r="AF118">
            <v>-3.5514144310866701E-4</v>
          </cell>
          <cell r="AG118">
            <v>-4.3149971885813497E-4</v>
          </cell>
          <cell r="AR118">
            <v>0</v>
          </cell>
          <cell r="BC118">
            <v>0</v>
          </cell>
          <cell r="BF118">
            <v>0</v>
          </cell>
        </row>
        <row r="119">
          <cell r="O119">
            <v>1.2388993693114601</v>
          </cell>
          <cell r="P119">
            <v>1.2384412303685399</v>
          </cell>
          <cell r="Q119">
            <v>1.2387061073708601</v>
          </cell>
          <cell r="U119">
            <v>-2.9536891906865202E-3</v>
          </cell>
          <cell r="V119">
            <v>-3.7041389472831101E-3</v>
          </cell>
          <cell r="W119">
            <v>-3.1404071235612199E-3</v>
          </cell>
          <cell r="Y119">
            <v>1.23733334869304</v>
          </cell>
          <cell r="Z119">
            <v>1.2374586058767001</v>
          </cell>
          <cell r="AA119">
            <v>1.2373144566943599</v>
          </cell>
          <cell r="AF119">
            <v>-7.1300141153143295E-4</v>
          </cell>
          <cell r="AG119">
            <v>-8.1183476707743498E-4</v>
          </cell>
          <cell r="AR119">
            <v>0</v>
          </cell>
          <cell r="BC119">
            <v>0</v>
          </cell>
          <cell r="BF119">
            <v>0</v>
          </cell>
        </row>
        <row r="120">
          <cell r="O120">
            <v>1.2388993693114601</v>
          </cell>
          <cell r="P120">
            <v>1.23886119233326</v>
          </cell>
          <cell r="Q120">
            <v>1.2387759013761399</v>
          </cell>
          <cell r="U120">
            <v>-2.5408924871983202E-3</v>
          </cell>
          <cell r="V120">
            <v>-2.91075599987286E-3</v>
          </cell>
          <cell r="W120">
            <v>-2.6968995212607802E-3</v>
          </cell>
          <cell r="Y120">
            <v>1.23733334869304</v>
          </cell>
          <cell r="Z120">
            <v>1.23746787021405</v>
          </cell>
          <cell r="AA120">
            <v>1.23738332560935</v>
          </cell>
          <cell r="AF120">
            <v>-2.5889643256163299E-4</v>
          </cell>
          <cell r="AG120">
            <v>-3.7539130208060102E-4</v>
          </cell>
          <cell r="AR120">
            <v>0</v>
          </cell>
          <cell r="BC120">
            <v>0</v>
          </cell>
          <cell r="BF120">
            <v>0</v>
          </cell>
        </row>
        <row r="121">
          <cell r="O121">
            <v>1.2388993693114601</v>
          </cell>
          <cell r="P121">
            <v>1.23915389494531</v>
          </cell>
          <cell r="Q121">
            <v>1.23875646406657</v>
          </cell>
          <cell r="U121">
            <v>-1.5157770719528901E-3</v>
          </cell>
          <cell r="V121">
            <v>-1.5465927841703301E-3</v>
          </cell>
          <cell r="W121">
            <v>-1.6154414120625399E-3</v>
          </cell>
          <cell r="Y121">
            <v>1.23733334869304</v>
          </cell>
          <cell r="Z121">
            <v>1.2373528284103401</v>
          </cell>
          <cell r="AA121">
            <v>1.23736486565119</v>
          </cell>
          <cell r="AF121">
            <v>7.5336237297626602E-4</v>
          </cell>
          <cell r="AG121">
            <v>6.85039392693085E-4</v>
          </cell>
          <cell r="AR121">
            <v>0</v>
          </cell>
          <cell r="BC121">
            <v>0</v>
          </cell>
          <cell r="BF121">
            <v>0</v>
          </cell>
        </row>
        <row r="122">
          <cell r="O122">
            <v>1.2388993693114601</v>
          </cell>
          <cell r="P122">
            <v>1.23954867849367</v>
          </cell>
          <cell r="Q122">
            <v>1.2387052607895599</v>
          </cell>
          <cell r="U122">
            <v>-1.41640987180001E-3</v>
          </cell>
          <cell r="V122">
            <v>-1.21098601072855E-3</v>
          </cell>
          <cell r="W122">
            <v>-1.53176507418294E-3</v>
          </cell>
          <cell r="Y122">
            <v>1.23733334869304</v>
          </cell>
          <cell r="Z122">
            <v>1.2373384164599499</v>
          </cell>
          <cell r="AA122">
            <v>1.23731529423567</v>
          </cell>
          <cell r="AF122">
            <v>7.5640173582455501E-4</v>
          </cell>
          <cell r="AG122">
            <v>7.6612990875880101E-4</v>
          </cell>
          <cell r="AR122">
            <v>0</v>
          </cell>
          <cell r="BC122">
            <v>0</v>
          </cell>
          <cell r="BF122">
            <v>0</v>
          </cell>
        </row>
        <row r="123">
          <cell r="O123">
            <v>1.2388993693114601</v>
          </cell>
          <cell r="P123">
            <v>1.23977790155269</v>
          </cell>
          <cell r="Q123">
            <v>1.23865405751255</v>
          </cell>
          <cell r="U123">
            <v>-1.41640987180001E-3</v>
          </cell>
          <cell r="V123">
            <v>-8.92445532395618E-4</v>
          </cell>
          <cell r="W123">
            <v>-1.5731003460891101E-3</v>
          </cell>
          <cell r="Y123">
            <v>1.23733334869304</v>
          </cell>
          <cell r="Z123">
            <v>1.2371612023962</v>
          </cell>
          <cell r="AA123">
            <v>1.23726572282016</v>
          </cell>
          <cell r="AF123">
            <v>7.4475426228318002E-4</v>
          </cell>
          <cell r="AG123">
            <v>7.2606702198488803E-4</v>
          </cell>
          <cell r="AR123">
            <v>0</v>
          </cell>
          <cell r="BC123">
            <v>0</v>
          </cell>
          <cell r="BF123">
            <v>0</v>
          </cell>
        </row>
        <row r="124">
          <cell r="O124">
            <v>1.2388993693114601</v>
          </cell>
          <cell r="P124">
            <v>1.24007043561229</v>
          </cell>
          <cell r="Q124">
            <v>1.2387820657050801</v>
          </cell>
          <cell r="U124">
            <v>-1.41640987180001E-3</v>
          </cell>
          <cell r="V124">
            <v>-7.0753801636251796E-4</v>
          </cell>
          <cell r="W124">
            <v>-1.61443732667071E-3</v>
          </cell>
          <cell r="Y124">
            <v>1.23733334869304</v>
          </cell>
          <cell r="Z124">
            <v>1.2370462391229</v>
          </cell>
          <cell r="AA124">
            <v>1.2371902983729199</v>
          </cell>
          <cell r="AF124">
            <v>6.0152202034289605E-4</v>
          </cell>
          <cell r="AG124">
            <v>6.8600253011199402E-4</v>
          </cell>
          <cell r="AR124">
            <v>0</v>
          </cell>
          <cell r="BC124">
            <v>0</v>
          </cell>
          <cell r="BF124">
            <v>0</v>
          </cell>
        </row>
        <row r="125">
          <cell r="O125">
            <v>1.2388993693114601</v>
          </cell>
          <cell r="P125">
            <v>1.24006779303131</v>
          </cell>
          <cell r="Q125">
            <v>1.23873086242807</v>
          </cell>
          <cell r="U125">
            <v>1.4767518900202299E-3</v>
          </cell>
          <cell r="V125">
            <v>2.4215527388367201E-3</v>
          </cell>
          <cell r="W125">
            <v>1.38206368288126E-3</v>
          </cell>
          <cell r="Y125">
            <v>1.23733334869304</v>
          </cell>
          <cell r="Z125">
            <v>1.23704367233335</v>
          </cell>
          <cell r="AA125">
            <v>1.2371399780536101</v>
          </cell>
          <cell r="AF125">
            <v>1.02596495663219E-4</v>
          </cell>
          <cell r="AG125">
            <v>2.1904393146546201E-4</v>
          </cell>
          <cell r="AR125">
            <v>0</v>
          </cell>
          <cell r="BC125">
            <v>0</v>
          </cell>
          <cell r="BF125">
            <v>0</v>
          </cell>
        </row>
        <row r="126">
          <cell r="O126">
            <v>1.2388993693114601</v>
          </cell>
          <cell r="P126">
            <v>1.24015529353471</v>
          </cell>
          <cell r="Q126">
            <v>1.23878808651035</v>
          </cell>
          <cell r="U126">
            <v>1.1611814960366799E-3</v>
          </cell>
          <cell r="V126">
            <v>2.1038513499356702E-3</v>
          </cell>
          <cell r="W126">
            <v>1.02515887127612E-3</v>
          </cell>
          <cell r="Y126">
            <v>1.23733334869304</v>
          </cell>
          <cell r="Z126">
            <v>1.23712963436081</v>
          </cell>
          <cell r="AA126">
            <v>1.2371962162604799</v>
          </cell>
          <cell r="AF126">
            <v>-2.0889633614542299E-4</v>
          </cell>
          <cell r="AG126">
            <v>-1.31047854454683E-4</v>
          </cell>
          <cell r="AR126">
            <v>0</v>
          </cell>
          <cell r="BC126">
            <v>0</v>
          </cell>
          <cell r="BF126">
            <v>0</v>
          </cell>
        </row>
        <row r="127">
          <cell r="O127">
            <v>1.2388993693114601</v>
          </cell>
          <cell r="P127">
            <v>1.24008941972477</v>
          </cell>
          <cell r="Q127">
            <v>1.23879414660873</v>
          </cell>
          <cell r="U127">
            <v>1.5748319672916301E-3</v>
          </cell>
          <cell r="V127">
            <v>2.5880603962741299E-3</v>
          </cell>
          <cell r="W127">
            <v>1.48500401023771E-3</v>
          </cell>
          <cell r="Y127">
            <v>1.23733334869304</v>
          </cell>
          <cell r="Z127">
            <v>1.23706493258812</v>
          </cell>
          <cell r="AA127">
            <v>1.2372022224897099</v>
          </cell>
          <cell r="AF127">
            <v>2.6609578853027601E-4</v>
          </cell>
          <cell r="AG127">
            <v>3.1991400302729302E-4</v>
          </cell>
          <cell r="AR127">
            <v>0</v>
          </cell>
          <cell r="BC127">
            <v>0</v>
          </cell>
          <cell r="BF127">
            <v>0</v>
          </cell>
        </row>
        <row r="128">
          <cell r="O128">
            <v>1.2388993693114601</v>
          </cell>
          <cell r="P128">
            <v>1.2396938153291699</v>
          </cell>
          <cell r="Q128">
            <v>1.2388319008408499</v>
          </cell>
          <cell r="U128">
            <v>6.4927976998778295E-4</v>
          </cell>
          <cell r="V128">
            <v>1.60938940016226E-3</v>
          </cell>
          <cell r="W128">
            <v>5.6434375822976405E-4</v>
          </cell>
          <cell r="Y128">
            <v>1.23733334869304</v>
          </cell>
          <cell r="Z128">
            <v>1.23707933975465</v>
          </cell>
          <cell r="AA128">
            <v>1.2372392087169399</v>
          </cell>
          <cell r="AF128">
            <v>-6.93466047801167E-4</v>
          </cell>
          <cell r="AG128">
            <v>-5.8249185372649898E-4</v>
          </cell>
          <cell r="AR128">
            <v>0</v>
          </cell>
          <cell r="BC128">
            <v>0</v>
          </cell>
          <cell r="BF128">
            <v>0</v>
          </cell>
        </row>
        <row r="129">
          <cell r="O129">
            <v>1.2388993693114601</v>
          </cell>
          <cell r="P129">
            <v>1.2391835667923099</v>
          </cell>
          <cell r="Q129">
            <v>1.23881239858042</v>
          </cell>
          <cell r="U129">
            <v>1.1611814960366799E-3</v>
          </cell>
          <cell r="V129">
            <v>1.8022274327657E-3</v>
          </cell>
          <cell r="W129">
            <v>1.1067216186165299E-3</v>
          </cell>
          <cell r="Y129">
            <v>1.23733334869304</v>
          </cell>
          <cell r="Z129">
            <v>1.23698138511914</v>
          </cell>
          <cell r="AA129">
            <v>1.2372199954979199</v>
          </cell>
          <cell r="AF129">
            <v>-1.8006396110229199E-4</v>
          </cell>
          <cell r="AG129">
            <v>-5.0841341312960103E-5</v>
          </cell>
          <cell r="AR129">
            <v>0</v>
          </cell>
          <cell r="BC129">
            <v>0</v>
          </cell>
          <cell r="BF129">
            <v>0</v>
          </cell>
        </row>
        <row r="130">
          <cell r="O130">
            <v>1.2388993693114601</v>
          </cell>
          <cell r="P130">
            <v>1.2387636048275901</v>
          </cell>
          <cell r="Q130">
            <v>1.23881239858042</v>
          </cell>
          <cell r="U130">
            <v>8.4603333678089402E-4</v>
          </cell>
          <cell r="V130">
            <v>1.07540215890374E-3</v>
          </cell>
          <cell r="W130">
            <v>7.7583087642838899E-4</v>
          </cell>
          <cell r="Y130">
            <v>1.23733334869304</v>
          </cell>
          <cell r="Z130">
            <v>1.2369719343790899</v>
          </cell>
          <cell r="AA130">
            <v>1.23721990229657</v>
          </cell>
          <cell r="AF130">
            <v>-5.6826133192910099E-4</v>
          </cell>
          <cell r="AG130">
            <v>-3.75382626590837E-4</v>
          </cell>
          <cell r="AR130">
            <v>0</v>
          </cell>
          <cell r="BC130">
            <v>0</v>
          </cell>
          <cell r="BF130">
            <v>0</v>
          </cell>
        </row>
        <row r="131">
          <cell r="O131">
            <v>1.2388993693114601</v>
          </cell>
          <cell r="P131">
            <v>1.2384197513204001</v>
          </cell>
          <cell r="Q131">
            <v>1.23878682313285</v>
          </cell>
          <cell r="U131">
            <v>1.2593418774856399E-3</v>
          </cell>
          <cell r="V131">
            <v>1.14975111762102E-3</v>
          </cell>
          <cell r="W131">
            <v>1.1891394171331499E-3</v>
          </cell>
          <cell r="Y131">
            <v>1.23733334869304</v>
          </cell>
          <cell r="Z131">
            <v>1.2370366519260501</v>
          </cell>
          <cell r="AA131">
            <v>1.2371947401682</v>
          </cell>
          <cell r="AF131">
            <v>-1.7072547617847701E-4</v>
          </cell>
          <cell r="AG131">
            <v>2.97180905912072E-5</v>
          </cell>
          <cell r="AR131">
            <v>0</v>
          </cell>
          <cell r="BC131">
            <v>0</v>
          </cell>
          <cell r="BF131">
            <v>0</v>
          </cell>
        </row>
        <row r="132">
          <cell r="O132">
            <v>1.2388993693114601</v>
          </cell>
          <cell r="P132">
            <v>1.23808822647109</v>
          </cell>
          <cell r="Q132">
            <v>1.23881845248238</v>
          </cell>
          <cell r="U132">
            <v>1.2593418774856399E-3</v>
          </cell>
          <cell r="V132">
            <v>8.72134599210621E-4</v>
          </cell>
          <cell r="W132">
            <v>1.16849407034155E-3</v>
          </cell>
          <cell r="Y132">
            <v>1.23733334869304</v>
          </cell>
          <cell r="Z132">
            <v>1.2371132407824701</v>
          </cell>
          <cell r="AA132">
            <v>1.2372258286212101</v>
          </cell>
          <cell r="AF132">
            <v>-1.18407511451797E-4</v>
          </cell>
          <cell r="AG132">
            <v>9.3802474995617895E-6</v>
          </cell>
          <cell r="AR132">
            <v>0</v>
          </cell>
          <cell r="BC132">
            <v>0</v>
          </cell>
          <cell r="BF132">
            <v>0</v>
          </cell>
        </row>
        <row r="133">
          <cell r="O133">
            <v>1.2388993693114601</v>
          </cell>
          <cell r="P133">
            <v>1.2377567016217901</v>
          </cell>
          <cell r="Q133">
            <v>1.23876730158724</v>
          </cell>
          <cell r="U133">
            <v>1.2593418774856399E-3</v>
          </cell>
          <cell r="V133">
            <v>6.0439885657843895E-4</v>
          </cell>
          <cell r="W133">
            <v>1.1940262645444299E-3</v>
          </cell>
          <cell r="Y133">
            <v>1.23733334869304</v>
          </cell>
          <cell r="Z133">
            <v>1.2371898296388799</v>
          </cell>
          <cell r="AA133">
            <v>1.2371755160175399</v>
          </cell>
          <cell r="AF133">
            <v>-5.64962613173881E-5</v>
          </cell>
          <cell r="AG133">
            <v>3.4508112504784198E-5</v>
          </cell>
          <cell r="AR133">
            <v>0</v>
          </cell>
          <cell r="BC133">
            <v>0</v>
          </cell>
          <cell r="BF133">
            <v>0</v>
          </cell>
        </row>
        <row r="134">
          <cell r="O134">
            <v>1.2388993693114601</v>
          </cell>
          <cell r="P134">
            <v>1.2375274785627699</v>
          </cell>
          <cell r="Q134">
            <v>1.23879895708753</v>
          </cell>
          <cell r="U134">
            <v>4.32895549454491E-4</v>
          </cell>
          <cell r="V134">
            <v>-4.8985491571047301E-4</v>
          </cell>
          <cell r="W134">
            <v>3.2628901847831302E-4</v>
          </cell>
          <cell r="Y134">
            <v>1.23733334869304</v>
          </cell>
          <cell r="Z134">
            <v>1.2373666942033501</v>
          </cell>
          <cell r="AA134">
            <v>1.2372064666631299</v>
          </cell>
          <cell r="AF134">
            <v>-8.0477683971798503E-4</v>
          </cell>
          <cell r="AG134">
            <v>-8.1634636914367301E-4</v>
          </cell>
          <cell r="AR134">
            <v>0</v>
          </cell>
          <cell r="BC134">
            <v>0</v>
          </cell>
          <cell r="BF134">
            <v>0</v>
          </cell>
        </row>
        <row r="135">
          <cell r="O135">
            <v>1.2388993693114601</v>
          </cell>
          <cell r="P135">
            <v>1.2376055275476701</v>
          </cell>
          <cell r="Q135">
            <v>1.23883666028949</v>
          </cell>
          <cell r="U135">
            <v>8.4603333678089402E-4</v>
          </cell>
          <cell r="V135">
            <v>-2.6192661787431698E-4</v>
          </cell>
          <cell r="W135">
            <v>7.6498051213342796E-4</v>
          </cell>
          <cell r="Y135">
            <v>1.23733334869304</v>
          </cell>
          <cell r="Z135">
            <v>1.23744321265794</v>
          </cell>
          <cell r="AA135">
            <v>1.23724344249565</v>
          </cell>
          <cell r="AF135">
            <v>-2.5681841850451898E-4</v>
          </cell>
          <cell r="AG135">
            <v>-3.8631755232208402E-4</v>
          </cell>
          <cell r="AR135">
            <v>0</v>
          </cell>
          <cell r="BC135">
            <v>0</v>
          </cell>
          <cell r="BF135">
            <v>0</v>
          </cell>
        </row>
        <row r="136">
          <cell r="O136">
            <v>1.2388993693114601</v>
          </cell>
          <cell r="P136">
            <v>1.2376202242849399</v>
          </cell>
          <cell r="Q136">
            <v>1.2388877589098299</v>
          </cell>
          <cell r="U136">
            <v>1.0424233510854899E-3</v>
          </cell>
          <cell r="V136">
            <v>-2.4701059407156499E-6</v>
          </cell>
          <cell r="W136">
            <v>9.9180535042984802E-4</v>
          </cell>
          <cell r="Y136">
            <v>1.23733334869304</v>
          </cell>
          <cell r="Z136">
            <v>1.2374576425861199</v>
          </cell>
          <cell r="AA136">
            <v>1.2372936384734601</v>
          </cell>
          <cell r="AF136">
            <v>-2.5858451924956501E-6</v>
          </cell>
          <cell r="AG136">
            <v>-1.64036720042937E-4</v>
          </cell>
          <cell r="AR136">
            <v>0</v>
          </cell>
          <cell r="BC136">
            <v>0</v>
          </cell>
          <cell r="BF136">
            <v>0</v>
          </cell>
        </row>
        <row r="137">
          <cell r="O137">
            <v>1.2388993693114601</v>
          </cell>
          <cell r="P137">
            <v>1.23801544978671</v>
          </cell>
          <cell r="Q137">
            <v>1.2390524347557399</v>
          </cell>
          <cell r="U137">
            <v>-1.6152362469004E-3</v>
          </cell>
          <cell r="V137">
            <v>-2.6482546357545198E-3</v>
          </cell>
          <cell r="W137">
            <v>-1.62460783617278E-3</v>
          </cell>
          <cell r="Y137">
            <v>1.23733334869304</v>
          </cell>
          <cell r="Z137">
            <v>1.23744563654803</v>
          </cell>
          <cell r="AA137">
            <v>1.23725528456808</v>
          </cell>
          <cell r="AF137">
            <v>6.2827522309568903E-4</v>
          </cell>
          <cell r="AG137">
            <v>4.9573332755327795E-4</v>
          </cell>
          <cell r="AR137">
            <v>0</v>
          </cell>
          <cell r="BC137">
            <v>0</v>
          </cell>
          <cell r="BF137">
            <v>0</v>
          </cell>
        </row>
        <row r="138">
          <cell r="O138">
            <v>1.2388993693114601</v>
          </cell>
          <cell r="P138">
            <v>1.23835977213103</v>
          </cell>
          <cell r="Q138">
            <v>1.2390267937301001</v>
          </cell>
          <cell r="U138">
            <v>-2.12792531221929E-3</v>
          </cell>
          <cell r="V138">
            <v>-2.8416515618782498E-3</v>
          </cell>
          <cell r="W138">
            <v>-2.0043834061831498E-3</v>
          </cell>
          <cell r="Y138">
            <v>1.23733334869304</v>
          </cell>
          <cell r="Z138">
            <v>1.2373833297043699</v>
          </cell>
          <cell r="AA138">
            <v>1.2372313347295101</v>
          </cell>
          <cell r="AF138">
            <v>1.17678637652996E-4</v>
          </cell>
          <cell r="AG138">
            <v>-3.6159734254675701E-5</v>
          </cell>
          <cell r="AR138">
            <v>0</v>
          </cell>
          <cell r="BC138">
            <v>0</v>
          </cell>
          <cell r="BF138">
            <v>0</v>
          </cell>
        </row>
        <row r="139">
          <cell r="O139">
            <v>1.2388993693114601</v>
          </cell>
          <cell r="P139">
            <v>1.2388187386166101</v>
          </cell>
          <cell r="Q139">
            <v>1.23900115270446</v>
          </cell>
          <cell r="U139">
            <v>-2.5408924871983202E-3</v>
          </cell>
          <cell r="V139">
            <v>-2.9765329738484802E-3</v>
          </cell>
          <cell r="W139">
            <v>-2.4380448554590802E-3</v>
          </cell>
          <cell r="Y139">
            <v>1.23733334869304</v>
          </cell>
          <cell r="Z139">
            <v>1.2374332227852001</v>
          </cell>
          <cell r="AA139">
            <v>1.23720730395217</v>
          </cell>
          <cell r="AF139">
            <v>-3.3752178555538102E-4</v>
          </cell>
          <cell r="AG139">
            <v>-4.6036513344305903E-4</v>
          </cell>
          <cell r="AR139">
            <v>0</v>
          </cell>
          <cell r="BC139">
            <v>0</v>
          </cell>
          <cell r="BF139">
            <v>0</v>
          </cell>
        </row>
        <row r="140">
          <cell r="O140">
            <v>1.2388993693114601</v>
          </cell>
          <cell r="P140">
            <v>1.23918741853004</v>
          </cell>
          <cell r="Q140">
            <v>1.2389755116788199</v>
          </cell>
          <cell r="U140">
            <v>-2.12792531221929E-3</v>
          </cell>
          <cell r="V140">
            <v>-2.1930099516918201E-3</v>
          </cell>
          <cell r="W140">
            <v>-2.0457723830388901E-3</v>
          </cell>
          <cell r="Y140">
            <v>1.23733334869304</v>
          </cell>
          <cell r="Z140">
            <v>1.2373947738481199</v>
          </cell>
          <cell r="AA140">
            <v>1.2371833541135999</v>
          </cell>
          <cell r="AF140">
            <v>1.07646823134252E-4</v>
          </cell>
          <cell r="AG140">
            <v>-7.4940369803881999E-5</v>
          </cell>
          <cell r="AR140">
            <v>0</v>
          </cell>
          <cell r="BC140">
            <v>0</v>
          </cell>
          <cell r="BF140">
            <v>0</v>
          </cell>
        </row>
        <row r="141">
          <cell r="O141">
            <v>1.2388993693114601</v>
          </cell>
          <cell r="P141">
            <v>1.23953127203723</v>
          </cell>
          <cell r="Q141">
            <v>1.2389755116788199</v>
          </cell>
          <cell r="U141">
            <v>-1.5157770719528901E-3</v>
          </cell>
          <cell r="V141">
            <v>-1.2832999680101899E-3</v>
          </cell>
          <cell r="W141">
            <v>-1.45431927361094E-3</v>
          </cell>
          <cell r="Y141">
            <v>1.23733334869304</v>
          </cell>
          <cell r="Z141">
            <v>1.23733265633609</v>
          </cell>
          <cell r="AA141">
            <v>1.23718465413107</v>
          </cell>
          <cell r="AF141">
            <v>6.7326478165788102E-4</v>
          </cell>
          <cell r="AG141">
            <v>5.0239142539760997E-4</v>
          </cell>
          <cell r="AR141">
            <v>0</v>
          </cell>
          <cell r="BC141">
            <v>0</v>
          </cell>
          <cell r="BF141">
            <v>0</v>
          </cell>
        </row>
        <row r="142">
          <cell r="O142">
            <v>1.2388993693114601</v>
          </cell>
          <cell r="P142">
            <v>1.2399263550526201</v>
          </cell>
          <cell r="Q142">
            <v>1.2390072907618599</v>
          </cell>
          <cell r="U142">
            <v>-1.9285737754411701E-3</v>
          </cell>
          <cell r="V142">
            <v>-1.4186521105608099E-3</v>
          </cell>
          <cell r="W142">
            <v>-1.8671159770991101E-3</v>
          </cell>
          <cell r="Y142">
            <v>1.23733334869304</v>
          </cell>
          <cell r="Z142">
            <v>1.23732059065273</v>
          </cell>
          <cell r="AA142">
            <v>1.2372169157176001</v>
          </cell>
          <cell r="AF142">
            <v>2.18379140196945E-4</v>
          </cell>
          <cell r="AG142">
            <v>9.8758069398414104E-5</v>
          </cell>
          <cell r="AR142">
            <v>0</v>
          </cell>
          <cell r="BC142">
            <v>0</v>
          </cell>
          <cell r="BF142">
            <v>0</v>
          </cell>
        </row>
        <row r="143">
          <cell r="O143">
            <v>1.2388993693114601</v>
          </cell>
          <cell r="P143">
            <v>1.2403726675762099</v>
          </cell>
          <cell r="Q143">
            <v>1.2390646845990001</v>
          </cell>
          <cell r="U143">
            <v>-2.3412001481204802E-3</v>
          </cell>
          <cell r="V143">
            <v>-1.5125934495339201E-3</v>
          </cell>
          <cell r="W143">
            <v>-2.25409319433479E-3</v>
          </cell>
          <cell r="Y143">
            <v>1.23733334869304</v>
          </cell>
          <cell r="Z143">
            <v>1.23735857679804</v>
          </cell>
          <cell r="AA143">
            <v>1.23727420321846</v>
          </cell>
          <cell r="AF143">
            <v>-1.9589271362922399E-4</v>
          </cell>
          <cell r="AG143">
            <v>-2.7968609718058098E-4</v>
          </cell>
          <cell r="AR143">
            <v>0</v>
          </cell>
          <cell r="BC143">
            <v>0</v>
          </cell>
          <cell r="BF143">
            <v>0</v>
          </cell>
        </row>
        <row r="144">
          <cell r="O144">
            <v>1.2388993693114601</v>
          </cell>
          <cell r="P144">
            <v>1.24078032788812</v>
          </cell>
          <cell r="Q144">
            <v>1.2391539032254399</v>
          </cell>
          <cell r="U144">
            <v>-2.8536264980468999E-3</v>
          </cell>
          <cell r="V144">
            <v>-1.66513373384562E-3</v>
          </cell>
          <cell r="W144">
            <v>-2.72019818013527E-3</v>
          </cell>
          <cell r="Y144">
            <v>1.23733334869304</v>
          </cell>
          <cell r="Z144">
            <v>1.2373582605451301</v>
          </cell>
          <cell r="AA144">
            <v>1.23736247737424</v>
          </cell>
          <cell r="AF144">
            <v>-6.6583644680398297E-4</v>
          </cell>
          <cell r="AG144">
            <v>-7.3402723478067195E-4</v>
          </cell>
          <cell r="AR144">
            <v>0</v>
          </cell>
          <cell r="BC144">
            <v>0</v>
          </cell>
          <cell r="BF144">
            <v>0</v>
          </cell>
        </row>
        <row r="145">
          <cell r="O145">
            <v>1.2388993693114601</v>
          </cell>
          <cell r="P145">
            <v>1.2411631083963</v>
          </cell>
          <cell r="Q145">
            <v>1.2393843179719899</v>
          </cell>
          <cell r="U145">
            <v>-2.2414924268578502E-3</v>
          </cell>
          <cell r="V145">
            <v>-7.2439411811582805E-4</v>
          </cell>
          <cell r="W145">
            <v>-2.0360618837012298E-3</v>
          </cell>
          <cell r="Y145">
            <v>1.23733334869304</v>
          </cell>
          <cell r="Z145">
            <v>1.2373342243224299</v>
          </cell>
          <cell r="AA145">
            <v>1.23738871849018</v>
          </cell>
          <cell r="AF145">
            <v>-6.9412246838343906E-5</v>
          </cell>
          <cell r="AG145">
            <v>-6.6004323634759305E-5</v>
          </cell>
          <cell r="AR145">
            <v>0</v>
          </cell>
          <cell r="BC145">
            <v>0</v>
          </cell>
          <cell r="BF145">
            <v>0</v>
          </cell>
        </row>
        <row r="146">
          <cell r="O146">
            <v>1.2388993693114601</v>
          </cell>
          <cell r="P146">
            <v>1.24151899341106</v>
          </cell>
          <cell r="Q146">
            <v>1.2395696088479999</v>
          </cell>
          <cell r="U146">
            <v>-1.8290362444792899E-3</v>
          </cell>
          <cell r="V146">
            <v>-3.4856917245787598E-6</v>
          </cell>
          <cell r="W146">
            <v>-1.4376777658668999E-3</v>
          </cell>
          <cell r="Y146">
            <v>1.23733334869304</v>
          </cell>
          <cell r="Z146">
            <v>1.2372839714175199</v>
          </cell>
          <cell r="AA146">
            <v>1.2373708070018199</v>
          </cell>
          <cell r="AF146">
            <v>3.1551899914317199E-4</v>
          </cell>
          <cell r="AG146">
            <v>3.5955962027600701E-4</v>
          </cell>
          <cell r="AR146">
            <v>0</v>
          </cell>
          <cell r="BC146">
            <v>0</v>
          </cell>
          <cell r="BF146">
            <v>0</v>
          </cell>
        </row>
        <row r="147">
          <cell r="O147">
            <v>1.2388993693114601</v>
          </cell>
          <cell r="P147">
            <v>1.2411237679092999</v>
          </cell>
          <cell r="Q147">
            <v>1.2395696088479999</v>
          </cell>
          <cell r="U147">
            <v>1.5748319672916301E-3</v>
          </cell>
          <cell r="V147">
            <v>3.6870765087283798E-3</v>
          </cell>
          <cell r="W147">
            <v>2.1156816279358399E-3</v>
          </cell>
          <cell r="Y147">
            <v>1.23733334869304</v>
          </cell>
          <cell r="Z147">
            <v>1.23729919989471</v>
          </cell>
          <cell r="AA147">
            <v>1.2373724182213699</v>
          </cell>
          <cell r="AF147">
            <v>3.6478785761736199E-4</v>
          </cell>
          <cell r="AG147">
            <v>4.3496781572094302E-4</v>
          </cell>
          <cell r="AR147">
            <v>0</v>
          </cell>
          <cell r="BC147">
            <v>0</v>
          </cell>
          <cell r="BF147">
            <v>0</v>
          </cell>
        </row>
        <row r="148">
          <cell r="O148">
            <v>1.2388993693114601</v>
          </cell>
          <cell r="P148">
            <v>1.2406649064023301</v>
          </cell>
          <cell r="Q148">
            <v>1.23951233926668</v>
          </cell>
          <cell r="U148">
            <v>1.5748319672916301E-3</v>
          </cell>
          <cell r="V148">
            <v>3.3686855494971801E-3</v>
          </cell>
          <cell r="W148">
            <v>2.1156816279358399E-3</v>
          </cell>
          <cell r="Y148">
            <v>1.23733334869304</v>
          </cell>
          <cell r="Z148">
            <v>1.2372524682309001</v>
          </cell>
          <cell r="AA148">
            <v>1.2373178989676401</v>
          </cell>
          <cell r="AF148">
            <v>3.7709577061778202E-4</v>
          </cell>
          <cell r="AG148">
            <v>4.3626994641187398E-4</v>
          </cell>
          <cell r="AR148">
            <v>0</v>
          </cell>
          <cell r="BC148">
            <v>0</v>
          </cell>
          <cell r="BF148">
            <v>0</v>
          </cell>
        </row>
        <row r="149">
          <cell r="O149">
            <v>1.2388993693114601</v>
          </cell>
          <cell r="P149">
            <v>1.2401547628440801</v>
          </cell>
          <cell r="Q149">
            <v>1.23948675073034</v>
          </cell>
          <cell r="U149">
            <v>1.5748319672916301E-3</v>
          </cell>
          <cell r="V149">
            <v>2.9989026449767E-3</v>
          </cell>
          <cell r="W149">
            <v>2.06947937844865E-3</v>
          </cell>
          <cell r="Y149">
            <v>1.23733334869304</v>
          </cell>
          <cell r="Z149">
            <v>1.2371556345845001</v>
          </cell>
          <cell r="AA149">
            <v>1.23729442868485</v>
          </cell>
          <cell r="AF149">
            <v>3.3932596817546598E-4</v>
          </cell>
          <cell r="AG149">
            <v>3.9220847062543203E-4</v>
          </cell>
          <cell r="AR149">
            <v>0</v>
          </cell>
          <cell r="BC149">
            <v>0</v>
          </cell>
          <cell r="BF149">
            <v>0</v>
          </cell>
        </row>
        <row r="150">
          <cell r="O150">
            <v>1.2388993693114601</v>
          </cell>
          <cell r="P150">
            <v>1.2397470784097799</v>
          </cell>
          <cell r="Q150">
            <v>1.2394672484699101</v>
          </cell>
          <cell r="U150">
            <v>1.1611814960366799E-3</v>
          </cell>
          <cell r="V150">
            <v>2.1739820022018E-3</v>
          </cell>
          <cell r="W150">
            <v>1.6351846589242899E-3</v>
          </cell>
          <cell r="Y150">
            <v>1.23733334869304</v>
          </cell>
          <cell r="Z150">
            <v>1.2371589046957501</v>
          </cell>
          <cell r="AA150">
            <v>1.23727683927193</v>
          </cell>
          <cell r="AF150">
            <v>-1.43133207185679E-4</v>
          </cell>
          <cell r="AG150">
            <v>-3.0951431885696201E-5</v>
          </cell>
          <cell r="AR150">
            <v>0</v>
          </cell>
          <cell r="BC150">
            <v>0</v>
          </cell>
          <cell r="BF150">
            <v>0</v>
          </cell>
        </row>
        <row r="151">
          <cell r="O151">
            <v>1.2388993693114601</v>
          </cell>
          <cell r="P151">
            <v>1.2394032249025899</v>
          </cell>
          <cell r="Q151">
            <v>1.2394672484699101</v>
          </cell>
          <cell r="U151">
            <v>1.2593418774856399E-3</v>
          </cell>
          <cell r="V151">
            <v>1.9433515975097E-3</v>
          </cell>
          <cell r="W151">
            <v>1.71761077468174E-3</v>
          </cell>
          <cell r="Y151">
            <v>1.23733334869304</v>
          </cell>
          <cell r="Z151">
            <v>1.2372241201092</v>
          </cell>
          <cell r="AA151">
            <v>1.2372783882226399</v>
          </cell>
          <cell r="AF151">
            <v>-4.46249194160678E-5</v>
          </cell>
          <cell r="AG151">
            <v>5.0697480093042902E-5</v>
          </cell>
          <cell r="AR151">
            <v>0</v>
          </cell>
          <cell r="BC151">
            <v>0</v>
          </cell>
          <cell r="BF151">
            <v>0</v>
          </cell>
        </row>
        <row r="152">
          <cell r="O152">
            <v>1.2388993693114601</v>
          </cell>
          <cell r="P152">
            <v>1.23902028826149</v>
          </cell>
          <cell r="Q152">
            <v>1.2394733216570499</v>
          </cell>
          <cell r="U152">
            <v>1.1611814960366799E-3</v>
          </cell>
          <cell r="V152">
            <v>1.5677949574023E-3</v>
          </cell>
          <cell r="W152">
            <v>1.6194503932330101E-3</v>
          </cell>
          <cell r="Y152">
            <v>1.23733334869304</v>
          </cell>
          <cell r="Z152">
            <v>1.2372511448207599</v>
          </cell>
          <cell r="AA152">
            <v>1.23728586773674</v>
          </cell>
          <cell r="AF152">
            <v>-8.7777496655960997E-5</v>
          </cell>
          <cell r="AG152">
            <v>-4.3915659160296498E-5</v>
          </cell>
          <cell r="AR152">
            <v>0</v>
          </cell>
          <cell r="BC152">
            <v>0</v>
          </cell>
          <cell r="BF152">
            <v>0</v>
          </cell>
        </row>
        <row r="153">
          <cell r="O153">
            <v>1.2388993693114601</v>
          </cell>
          <cell r="P153">
            <v>1.23852282484276</v>
          </cell>
          <cell r="Q153">
            <v>1.23944774620948</v>
          </cell>
          <cell r="U153">
            <v>1.67282131277501E-3</v>
          </cell>
          <cell r="V153">
            <v>1.77041846428119E-3</v>
          </cell>
          <cell r="W153">
            <v>2.1359900346896699E-3</v>
          </cell>
          <cell r="Y153">
            <v>1.23733334869304</v>
          </cell>
          <cell r="Z153">
            <v>1.2371662797910901</v>
          </cell>
          <cell r="AA153">
            <v>1.2372624282945699</v>
          </cell>
          <cell r="AF153">
            <v>4.3395806848806902E-4</v>
          </cell>
          <cell r="AG153">
            <v>4.6202224033976602E-4</v>
          </cell>
          <cell r="AR153">
            <v>0</v>
          </cell>
          <cell r="BC153">
            <v>0</v>
          </cell>
          <cell r="BF153">
            <v>0</v>
          </cell>
        </row>
        <row r="154">
          <cell r="O154">
            <v>1.2388993693114601</v>
          </cell>
          <cell r="P154">
            <v>1.2380640136357099</v>
          </cell>
          <cell r="Q154">
            <v>1.23942217076191</v>
          </cell>
          <cell r="U154">
            <v>8.4603333678089402E-4</v>
          </cell>
          <cell r="V154">
            <v>5.4205247111469696E-4</v>
          </cell>
          <cell r="W154">
            <v>1.2885677207145499E-3</v>
          </cell>
          <cell r="Y154">
            <v>1.23733334869304</v>
          </cell>
          <cell r="Z154">
            <v>1.23711939502315</v>
          </cell>
          <cell r="AA154">
            <v>1.23723882778414</v>
          </cell>
          <cell r="AF154">
            <v>-4.4252819039173599E-4</v>
          </cell>
          <cell r="AG154">
            <v>-3.6481449170522101E-4</v>
          </cell>
          <cell r="AR154">
            <v>0</v>
          </cell>
          <cell r="BC154">
            <v>0</v>
          </cell>
          <cell r="BF154">
            <v>0</v>
          </cell>
        </row>
        <row r="155">
          <cell r="O155">
            <v>1.2388993693114601</v>
          </cell>
          <cell r="P155">
            <v>1.23763008223239</v>
          </cell>
          <cell r="Q155">
            <v>1.23939659531434</v>
          </cell>
          <cell r="U155">
            <v>1.2593418774856399E-3</v>
          </cell>
          <cell r="V155">
            <v>5.8484203370465801E-4</v>
          </cell>
          <cell r="W155">
            <v>1.68124149765358E-3</v>
          </cell>
          <cell r="Y155">
            <v>1.23733334869304</v>
          </cell>
          <cell r="Z155">
            <v>1.23709639129325</v>
          </cell>
          <cell r="AA155">
            <v>1.2372153078078401</v>
          </cell>
          <cell r="AF155">
            <v>-7.6561240082889497E-5</v>
          </cell>
          <cell r="AG155">
            <v>1.9975114257820999E-5</v>
          </cell>
          <cell r="AR155">
            <v>0</v>
          </cell>
          <cell r="BC155">
            <v>0</v>
          </cell>
          <cell r="BF155">
            <v>0</v>
          </cell>
        </row>
        <row r="156">
          <cell r="O156">
            <v>1.2388993693114601</v>
          </cell>
          <cell r="P156">
            <v>1.23729850500121</v>
          </cell>
          <cell r="Q156">
            <v>1.2394087492061401</v>
          </cell>
          <cell r="U156">
            <v>8.4603333678089402E-4</v>
          </cell>
          <cell r="V156">
            <v>-1.79019839490762E-4</v>
          </cell>
          <cell r="W156">
            <v>1.2472977673809501E-3</v>
          </cell>
          <cell r="Y156">
            <v>1.23733334869304</v>
          </cell>
          <cell r="Z156">
            <v>1.2371733911384799</v>
          </cell>
          <cell r="AA156">
            <v>1.237228681278</v>
          </cell>
          <cell r="AF156">
            <v>-4.9902057390348504E-4</v>
          </cell>
          <cell r="AG156">
            <v>-4.0289968927627399E-4</v>
          </cell>
          <cell r="AR156">
            <v>0</v>
          </cell>
          <cell r="BC156">
            <v>0</v>
          </cell>
          <cell r="BF156">
            <v>0</v>
          </cell>
        </row>
        <row r="157">
          <cell r="O157">
            <v>1.2388993693114601</v>
          </cell>
          <cell r="P157">
            <v>1.23732540174493</v>
          </cell>
          <cell r="Q157">
            <v>1.23922458482711</v>
          </cell>
          <cell r="U157">
            <v>1.3574115120773399E-3</v>
          </cell>
          <cell r="V157">
            <v>6.4409405992442599E-5</v>
          </cell>
          <cell r="W157">
            <v>1.7684821921441899E-3</v>
          </cell>
          <cell r="Y157">
            <v>1.23733334869304</v>
          </cell>
          <cell r="Z157">
            <v>1.23719968250969</v>
          </cell>
          <cell r="AA157">
            <v>1.2372494412021999</v>
          </cell>
          <cell r="AF157">
            <v>6.2862902000553902E-5</v>
          </cell>
          <cell r="AG157">
            <v>1.0755259907661E-4</v>
          </cell>
          <cell r="AR157">
            <v>0</v>
          </cell>
          <cell r="BC157">
            <v>0</v>
          </cell>
          <cell r="BF157">
            <v>0</v>
          </cell>
        </row>
        <row r="158">
          <cell r="O158">
            <v>1.2388993693114601</v>
          </cell>
          <cell r="P158">
            <v>1.23740342323302</v>
          </cell>
          <cell r="Q158">
            <v>1.2390341648176699</v>
          </cell>
          <cell r="U158">
            <v>9.4427372475070295E-4</v>
          </cell>
          <cell r="V158">
            <v>-3.2699033569188801E-4</v>
          </cell>
          <cell r="W158">
            <v>1.2067428534430101E-3</v>
          </cell>
          <cell r="Y158">
            <v>1.23733334869304</v>
          </cell>
          <cell r="Z158">
            <v>1.23727592570238</v>
          </cell>
          <cell r="AA158">
            <v>1.23726419696664</v>
          </cell>
          <cell r="AF158">
            <v>-3.19587691162985E-4</v>
          </cell>
          <cell r="AG158">
            <v>-2.7936969513366402E-4</v>
          </cell>
          <cell r="AR158">
            <v>0</v>
          </cell>
          <cell r="BC158">
            <v>0</v>
          </cell>
          <cell r="BF158">
            <v>0</v>
          </cell>
        </row>
        <row r="159">
          <cell r="O159">
            <v>1.2388993693114601</v>
          </cell>
          <cell r="P159">
            <v>1.23741819842262</v>
          </cell>
          <cell r="Q159">
            <v>1.23878648063335</v>
          </cell>
          <cell r="U159">
            <v>1.45539052606444E-3</v>
          </cell>
          <cell r="V159">
            <v>2.4718104140360501E-4</v>
          </cell>
          <cell r="W159">
            <v>1.56418723468305E-3</v>
          </cell>
          <cell r="Y159">
            <v>1.23733334869304</v>
          </cell>
          <cell r="Z159">
            <v>1.23729037962847</v>
          </cell>
          <cell r="AA159">
            <v>1.23722300710648</v>
          </cell>
          <cell r="AF159">
            <v>2.4142952315512399E-4</v>
          </cell>
          <cell r="AG159">
            <v>2.31949995519072E-4</v>
          </cell>
          <cell r="AR159">
            <v>0</v>
          </cell>
          <cell r="BC159">
            <v>0</v>
          </cell>
          <cell r="BF159">
            <v>0</v>
          </cell>
        </row>
        <row r="160">
          <cell r="O160">
            <v>1.2388993693114601</v>
          </cell>
          <cell r="P160">
            <v>1.2374450428380399</v>
          </cell>
          <cell r="Q160">
            <v>1.2385960606239099</v>
          </cell>
          <cell r="U160">
            <v>9.4427372475070295E-4</v>
          </cell>
          <cell r="V160">
            <v>-2.5199535218370698E-4</v>
          </cell>
          <cell r="W160">
            <v>8.5314943779473697E-4</v>
          </cell>
          <cell r="Y160">
            <v>1.23733334869304</v>
          </cell>
          <cell r="Z160">
            <v>1.23731662104609</v>
          </cell>
          <cell r="AA160">
            <v>1.2372377628709199</v>
          </cell>
          <cell r="AF160">
            <v>-2.4628198652142298E-4</v>
          </cell>
          <cell r="AG160">
            <v>-3.0073513465407001E-4</v>
          </cell>
          <cell r="AR160">
            <v>0</v>
          </cell>
          <cell r="BC160">
            <v>0</v>
          </cell>
          <cell r="BF160">
            <v>0</v>
          </cell>
        </row>
        <row r="161">
          <cell r="O161">
            <v>1.2388993693114601</v>
          </cell>
          <cell r="P161">
            <v>1.23752298456993</v>
          </cell>
          <cell r="Q161">
            <v>1.23846310473626</v>
          </cell>
          <cell r="U161">
            <v>6.2962664759725403E-4</v>
          </cell>
          <cell r="V161">
            <v>-5.4494877372587402E-4</v>
          </cell>
          <cell r="W161">
            <v>3.8477558922643101E-4</v>
          </cell>
          <cell r="Y161">
            <v>1.23733334869304</v>
          </cell>
          <cell r="Z161">
            <v>1.23739278808805</v>
          </cell>
          <cell r="AA161">
            <v>1.2373084540986301</v>
          </cell>
          <cell r="AF161">
            <v>-5.3259439706761897E-4</v>
          </cell>
          <cell r="AG161">
            <v>-5.9632965034042001E-4</v>
          </cell>
          <cell r="AR161">
            <v>0</v>
          </cell>
          <cell r="BC161">
            <v>0</v>
          </cell>
          <cell r="BF161">
            <v>0</v>
          </cell>
        </row>
        <row r="162">
          <cell r="O162">
            <v>1.2388993693114601</v>
          </cell>
          <cell r="P162">
            <v>1.2379182887653</v>
          </cell>
          <cell r="Q162">
            <v>1.2384692885133901</v>
          </cell>
          <cell r="U162">
            <v>-2.02820342187942E-3</v>
          </cell>
          <cell r="V162">
            <v>-3.1397948118510699E-3</v>
          </cell>
          <cell r="W162">
            <v>-2.3804042679638699E-3</v>
          </cell>
          <cell r="Y162">
            <v>1.23733334869304</v>
          </cell>
          <cell r="Z162">
            <v>1.23739530585612</v>
          </cell>
          <cell r="AA162">
            <v>1.2373232253384401</v>
          </cell>
          <cell r="AF162">
            <v>2.8192816194069E-5</v>
          </cell>
          <cell r="AG162">
            <v>-3.99640893919122E-5</v>
          </cell>
          <cell r="AR162">
            <v>0</v>
          </cell>
          <cell r="BC162">
            <v>0</v>
          </cell>
          <cell r="BF162">
            <v>0</v>
          </cell>
        </row>
        <row r="163">
          <cell r="O163">
            <v>1.2388993693114601</v>
          </cell>
          <cell r="P163">
            <v>1.23836452267583</v>
          </cell>
          <cell r="Q163">
            <v>1.2384436737593001</v>
          </cell>
          <cell r="U163">
            <v>-1.9285737754411701E-3</v>
          </cell>
          <cell r="V163">
            <v>-2.72078437219109E-3</v>
          </cell>
          <cell r="W163">
            <v>-2.2757815283375401E-3</v>
          </cell>
          <cell r="Y163">
            <v>1.23733334869304</v>
          </cell>
          <cell r="Z163">
            <v>1.2374478180451001</v>
          </cell>
          <cell r="AA163">
            <v>1.2373070489180999</v>
          </cell>
          <cell r="AF163">
            <v>1.2594810510154999E-4</v>
          </cell>
          <cell r="AG163">
            <v>6.7694597245711199E-5</v>
          </cell>
          <cell r="AR163">
            <v>0</v>
          </cell>
          <cell r="BC163">
            <v>0</v>
          </cell>
          <cell r="BF163">
            <v>0</v>
          </cell>
        </row>
        <row r="164">
          <cell r="O164">
            <v>1.2388993693114601</v>
          </cell>
          <cell r="P164">
            <v>1.2386448966299901</v>
          </cell>
          <cell r="Q164">
            <v>1.23835445513285</v>
          </cell>
          <cell r="U164">
            <v>-1.41640987180001E-3</v>
          </cell>
          <cell r="V164">
            <v>-1.8482142069577E-3</v>
          </cell>
          <cell r="W164">
            <v>-1.7843004298571199E-3</v>
          </cell>
          <cell r="Y164">
            <v>1.23733334869304</v>
          </cell>
          <cell r="Z164">
            <v>1.23733867268215</v>
          </cell>
          <cell r="AA164">
            <v>1.2372290338526499</v>
          </cell>
          <cell r="AF164">
            <v>6.6723231043749605E-4</v>
          </cell>
          <cell r="AG164">
            <v>5.5346821280177901E-4</v>
          </cell>
          <cell r="AR164">
            <v>0</v>
          </cell>
          <cell r="BC164">
            <v>0</v>
          </cell>
          <cell r="BF164">
            <v>0</v>
          </cell>
        </row>
        <row r="165">
          <cell r="O165">
            <v>1.2388993693114601</v>
          </cell>
          <cell r="P165">
            <v>1.23909120915358</v>
          </cell>
          <cell r="Q165">
            <v>1.2383606456929801</v>
          </cell>
          <cell r="U165">
            <v>-2.3412001481204802E-3</v>
          </cell>
          <cell r="V165">
            <v>-2.5466234665768501E-3</v>
          </cell>
          <cell r="W165">
            <v>-2.7811342251408701E-3</v>
          </cell>
          <cell r="Y165">
            <v>1.23733334869304</v>
          </cell>
          <cell r="Z165">
            <v>1.2373911052722</v>
          </cell>
          <cell r="AA165">
            <v>1.2372437482827301</v>
          </cell>
          <cell r="AF165">
            <v>-3.2303419054851001E-4</v>
          </cell>
          <cell r="AG165">
            <v>-4.1164670196515999E-4</v>
          </cell>
          <cell r="AR165">
            <v>0</v>
          </cell>
          <cell r="BC165">
            <v>0</v>
          </cell>
          <cell r="BF165">
            <v>0</v>
          </cell>
        </row>
        <row r="166">
          <cell r="O166">
            <v>1.2388993693114601</v>
          </cell>
          <cell r="P166">
            <v>1.23942278638475</v>
          </cell>
          <cell r="Q166">
            <v>1.2383606456929801</v>
          </cell>
          <cell r="U166">
            <v>-1.8290362444792899E-3</v>
          </cell>
          <cell r="V166">
            <v>-1.6742012389200801E-3</v>
          </cell>
          <cell r="W166">
            <v>-2.2639713128304799E-3</v>
          </cell>
          <cell r="Y166">
            <v>1.23733334869304</v>
          </cell>
          <cell r="Z166">
            <v>1.2373318322112301</v>
          </cell>
          <cell r="AA166">
            <v>1.2372526116748499</v>
          </cell>
          <cell r="AF166">
            <v>2.1818762905259799E-4</v>
          </cell>
          <cell r="AG166">
            <v>9.9093703386589894E-5</v>
          </cell>
          <cell r="AR166">
            <v>0</v>
          </cell>
          <cell r="BC166">
            <v>0</v>
          </cell>
          <cell r="BF166">
            <v>0</v>
          </cell>
        </row>
        <row r="167">
          <cell r="O167">
            <v>1.2388993693114601</v>
          </cell>
          <cell r="P167">
            <v>1.2398688517427501</v>
          </cell>
          <cell r="Q167">
            <v>1.23859712674384</v>
          </cell>
          <cell r="U167">
            <v>-2.2414924268578502E-3</v>
          </cell>
          <cell r="V167">
            <v>-1.8190961053263801E-3</v>
          </cell>
          <cell r="W167">
            <v>-2.6764274952090499E-3</v>
          </cell>
          <cell r="Y167">
            <v>1.23733334869304</v>
          </cell>
          <cell r="Z167">
            <v>1.23738425751508</v>
          </cell>
          <cell r="AA167">
            <v>1.2372919700123901</v>
          </cell>
          <cell r="AF167">
            <v>-2.32765836305955E-4</v>
          </cell>
          <cell r="AG167">
            <v>-2.9679318166342497E-4</v>
          </cell>
          <cell r="AR167">
            <v>0</v>
          </cell>
          <cell r="BC167">
            <v>0</v>
          </cell>
          <cell r="BF167">
            <v>0</v>
          </cell>
        </row>
        <row r="168">
          <cell r="O168">
            <v>1.2388993693114601</v>
          </cell>
          <cell r="P168">
            <v>1.2398663374110599</v>
          </cell>
          <cell r="Q168">
            <v>1.2386348803220399</v>
          </cell>
          <cell r="U168">
            <v>9.64587986378991E-4</v>
          </cell>
          <cell r="V168">
            <v>1.7468172182078701E-3</v>
          </cell>
          <cell r="W168">
            <v>7.2059767631696403E-4</v>
          </cell>
          <cell r="Y168">
            <v>1.23733334869304</v>
          </cell>
          <cell r="Z168">
            <v>1.23739209094701</v>
          </cell>
          <cell r="AA168">
            <v>1.23733400832469</v>
          </cell>
          <cell r="AF168">
            <v>-2.33704684775651E-4</v>
          </cell>
          <cell r="AG168">
            <v>-3.0829020162879002E-4</v>
          </cell>
          <cell r="AR168">
            <v>0</v>
          </cell>
          <cell r="BC168">
            <v>0</v>
          </cell>
          <cell r="BF168">
            <v>0</v>
          </cell>
        </row>
        <row r="169">
          <cell r="O169">
            <v>1.2388993693114601</v>
          </cell>
          <cell r="P169">
            <v>1.23991489810709</v>
          </cell>
          <cell r="Q169">
            <v>1.23866654826486</v>
          </cell>
          <cell r="U169">
            <v>1.0629302412425499E-3</v>
          </cell>
          <cell r="V169">
            <v>1.8431315696876499E-3</v>
          </cell>
          <cell r="W169">
            <v>8.4942038524858502E-4</v>
          </cell>
          <cell r="Y169">
            <v>1.23733334869304</v>
          </cell>
          <cell r="Z169">
            <v>1.2374498603222699</v>
          </cell>
          <cell r="AA169">
            <v>1.2373701199753699</v>
          </cell>
          <cell r="AF169">
            <v>-1.3159847528652801E-4</v>
          </cell>
          <cell r="AG169">
            <v>-1.78539122449409E-4</v>
          </cell>
          <cell r="AR169">
            <v>0</v>
          </cell>
          <cell r="BC169">
            <v>0</v>
          </cell>
          <cell r="BF169">
            <v>0</v>
          </cell>
        </row>
        <row r="170">
          <cell r="O170">
            <v>1.2388993693114601</v>
          </cell>
          <cell r="P170">
            <v>1.2399002125046299</v>
          </cell>
          <cell r="Q170">
            <v>1.23867262767134</v>
          </cell>
          <cell r="U170">
            <v>1.0629302412425499E-3</v>
          </cell>
          <cell r="V170">
            <v>1.8822968761592299E-3</v>
          </cell>
          <cell r="W170">
            <v>8.74986868563124E-4</v>
          </cell>
          <cell r="Y170">
            <v>1.23733334869304</v>
          </cell>
          <cell r="Z170">
            <v>1.2374458404309401</v>
          </cell>
          <cell r="AA170">
            <v>1.2373812307385099</v>
          </cell>
          <cell r="AF170">
            <v>-8.4913170599504702E-5</v>
          </cell>
          <cell r="AG170">
            <v>-1.49354501737493E-4</v>
          </cell>
          <cell r="AR170">
            <v>0</v>
          </cell>
          <cell r="BC170">
            <v>0</v>
          </cell>
          <cell r="BF170">
            <v>0</v>
          </cell>
        </row>
        <row r="171">
          <cell r="O171">
            <v>1.2388993693114601</v>
          </cell>
          <cell r="P171">
            <v>1.23978324007435</v>
          </cell>
          <cell r="Q171">
            <v>1.23865311232214</v>
          </cell>
          <cell r="U171">
            <v>1.5748319672916301E-3</v>
          </cell>
          <cell r="V171">
            <v>2.3823544914174199E-3</v>
          </cell>
          <cell r="W171">
            <v>1.3917966076457901E-3</v>
          </cell>
          <cell r="Y171">
            <v>1.23733334869304</v>
          </cell>
          <cell r="Z171">
            <v>1.23734206709404</v>
          </cell>
          <cell r="AA171">
            <v>1.23736742759104</v>
          </cell>
          <cell r="AF171">
            <v>4.1043699418421198E-4</v>
          </cell>
          <cell r="AG171">
            <v>3.5822349353840298E-4</v>
          </cell>
          <cell r="AR171">
            <v>0</v>
          </cell>
          <cell r="BC171">
            <v>0</v>
          </cell>
          <cell r="BF171">
            <v>0</v>
          </cell>
        </row>
        <row r="172">
          <cell r="O172">
            <v>1.2388993693114601</v>
          </cell>
          <cell r="P172">
            <v>1.23943911295166</v>
          </cell>
          <cell r="Q172">
            <v>1.2386787008584801</v>
          </cell>
          <cell r="U172">
            <v>7.4770206074728496E-4</v>
          </cell>
          <cell r="V172">
            <v>1.46087993757904E-3</v>
          </cell>
          <cell r="W172">
            <v>5.4891152697945195E-4</v>
          </cell>
          <cell r="Y172">
            <v>1.23733334869304</v>
          </cell>
          <cell r="Z172">
            <v>1.23739977678807</v>
          </cell>
          <cell r="AA172">
            <v>1.2373975413220899</v>
          </cell>
          <cell r="AF172">
            <v>-4.7908402489867802E-4</v>
          </cell>
          <cell r="AG172">
            <v>-4.5858828827714598E-4</v>
          </cell>
          <cell r="AR172">
            <v>0</v>
          </cell>
          <cell r="BC172">
            <v>0</v>
          </cell>
          <cell r="BF172">
            <v>0</v>
          </cell>
        </row>
        <row r="173">
          <cell r="O173">
            <v>1.2388993693114601</v>
          </cell>
          <cell r="P173">
            <v>1.23910735338322</v>
          </cell>
          <cell r="Q173">
            <v>1.23873593802952</v>
          </cell>
          <cell r="U173">
            <v>7.4770206074728496E-4</v>
          </cell>
          <cell r="V173">
            <v>1.1832710135675801E-3</v>
          </cell>
          <cell r="W173">
            <v>5.69569669098654E-4</v>
          </cell>
          <cell r="Y173">
            <v>1.23733334869304</v>
          </cell>
          <cell r="Z173">
            <v>1.23746932997374</v>
          </cell>
          <cell r="AA173">
            <v>1.2374585740094199</v>
          </cell>
          <cell r="AF173">
            <v>-4.3244506400203398E-4</v>
          </cell>
          <cell r="AG173">
            <v>-4.34251649099179E-4</v>
          </cell>
          <cell r="AR173">
            <v>0</v>
          </cell>
          <cell r="BC173">
            <v>0</v>
          </cell>
          <cell r="BF173">
            <v>0</v>
          </cell>
        </row>
        <row r="174">
          <cell r="O174">
            <v>1.2388993693114601</v>
          </cell>
          <cell r="P174">
            <v>1.2387758285339201</v>
          </cell>
          <cell r="Q174">
            <v>1.23871036258195</v>
          </cell>
          <cell r="U174">
            <v>1.2593418774856399E-3</v>
          </cell>
          <cell r="V174">
            <v>1.4272058871689899E-3</v>
          </cell>
          <cell r="W174">
            <v>1.1274166650134499E-3</v>
          </cell>
          <cell r="Y174">
            <v>1.23733334869304</v>
          </cell>
          <cell r="Z174">
            <v>1.2375389099912599</v>
          </cell>
          <cell r="AA174">
            <v>1.23743879133671</v>
          </cell>
          <cell r="AF174">
            <v>1.2211272503228899E-4</v>
          </cell>
          <cell r="AG174">
            <v>1.13420783500006E-4</v>
          </cell>
          <cell r="AR174">
            <v>0</v>
          </cell>
          <cell r="BC174">
            <v>0</v>
          </cell>
          <cell r="BF174">
            <v>0</v>
          </cell>
        </row>
        <row r="175">
          <cell r="O175">
            <v>1.2388993693114601</v>
          </cell>
          <cell r="P175">
            <v>1.23832951601033</v>
          </cell>
          <cell r="Q175">
            <v>1.23871036258195</v>
          </cell>
          <cell r="U175">
            <v>1.2593418774856399E-3</v>
          </cell>
          <cell r="V175">
            <v>1.15961873560256E-3</v>
          </cell>
          <cell r="W175">
            <v>1.10677004388175E-3</v>
          </cell>
          <cell r="Y175">
            <v>1.23733334869304</v>
          </cell>
          <cell r="Z175">
            <v>1.2374968888415701</v>
          </cell>
          <cell r="AA175">
            <v>1.23744399705689</v>
          </cell>
          <cell r="AF175">
            <v>1.7833881463879701E-4</v>
          </cell>
          <cell r="AG175">
            <v>9.7434122404894803E-5</v>
          </cell>
          <cell r="AR175">
            <v>0</v>
          </cell>
          <cell r="BC175">
            <v>0</v>
          </cell>
          <cell r="BF175">
            <v>0</v>
          </cell>
        </row>
        <row r="176">
          <cell r="O176">
            <v>1.2388993693114601</v>
          </cell>
          <cell r="P176">
            <v>1.23794678788402</v>
          </cell>
          <cell r="Q176">
            <v>1.23868478713438</v>
          </cell>
          <cell r="U176">
            <v>1.2593418774856399E-3</v>
          </cell>
          <cell r="V176">
            <v>7.9926867669466797E-4</v>
          </cell>
          <cell r="W176">
            <v>1.10677004388175E-3</v>
          </cell>
          <cell r="Y176">
            <v>1.23733334869304</v>
          </cell>
          <cell r="Z176">
            <v>1.23751659655712</v>
          </cell>
          <cell r="AA176">
            <v>1.2374242143841701</v>
          </cell>
          <cell r="AF176">
            <v>1.4438282118449901E-4</v>
          </cell>
          <cell r="AG176">
            <v>1.01640964202407E-4</v>
          </cell>
          <cell r="AR176">
            <v>0</v>
          </cell>
          <cell r="BC176">
            <v>0</v>
          </cell>
          <cell r="BF17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891C-06E4-49FD-86D5-66B830185700}">
  <dimension ref="A1:DZ183"/>
  <sheetViews>
    <sheetView tabSelected="1" topLeftCell="AV1" workbookViewId="0">
      <selection activeCell="BN17" sqref="BN17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1.4262885591675509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>
        <f>BB16</f>
        <v>1.7912168030323941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21.46</v>
      </c>
      <c r="C2" s="33">
        <v>26.12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21.46</v>
      </c>
      <c r="M2" s="33">
        <v>26.12</v>
      </c>
      <c r="N2" s="34">
        <v>1.21714818266542</v>
      </c>
      <c r="O2" s="34">
        <v>1.2195304988600599</v>
      </c>
      <c r="X2" s="34">
        <v>1.21714818266542</v>
      </c>
      <c r="Y2" s="34">
        <v>1.2179193246936699</v>
      </c>
      <c r="AI2" s="4">
        <v>0</v>
      </c>
      <c r="AJ2" s="10">
        <v>4.9726253941699152</v>
      </c>
      <c r="AK2" s="10">
        <v>5.5499373561338494</v>
      </c>
      <c r="AL2" s="10">
        <v>4.6789532362431077</v>
      </c>
      <c r="AM2" s="10">
        <v>3.308870615782729</v>
      </c>
      <c r="AN2" s="10">
        <v>1.9308233468844676</v>
      </c>
      <c r="AO2" s="10">
        <v>1.2750711555097243</v>
      </c>
      <c r="AP2" s="10" t="e">
        <v>#DIV/0!</v>
      </c>
      <c r="AQ2" s="10" t="e">
        <v>#DIV/0!</v>
      </c>
      <c r="AR2"/>
      <c r="AT2" s="4">
        <v>0</v>
      </c>
      <c r="AU2" s="10">
        <v>6.0644983507490791</v>
      </c>
      <c r="AV2" s="11">
        <v>5.7806652793741193</v>
      </c>
      <c r="AW2" s="11">
        <v>4.1744531311271995</v>
      </c>
      <c r="AX2" s="11">
        <v>3.3591708175098658</v>
      </c>
      <c r="AY2" s="11">
        <v>1.2750711555097243</v>
      </c>
      <c r="AZ2" s="11">
        <v>1.2750711555097243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B3" s="33">
        <v>21.5</v>
      </c>
      <c r="C3" s="33">
        <v>26.18</v>
      </c>
      <c r="D3" s="15">
        <v>1.86219793106462E-3</v>
      </c>
      <c r="E3" s="15">
        <v>2.2944560735233999E-3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21.5</v>
      </c>
      <c r="M3" s="33">
        <v>26.18</v>
      </c>
      <c r="N3" s="34">
        <v>1.21767441860465</v>
      </c>
      <c r="O3" s="34">
        <v>1.2195304988600599</v>
      </c>
      <c r="R3" s="33">
        <v>26.219905725491301</v>
      </c>
      <c r="U3" s="15">
        <v>1.5231223283178399E-3</v>
      </c>
      <c r="X3" s="34">
        <v>1.21767441860465</v>
      </c>
      <c r="Y3" s="34">
        <v>1.2179193246936699</v>
      </c>
      <c r="AB3" s="33">
        <v>26.185265480914001</v>
      </c>
      <c r="AE3" s="15">
        <v>2.01105862194745E-4</v>
      </c>
      <c r="AI3" s="4">
        <f t="shared" ref="AI3:AI9" si="2">AI2-AK$12</f>
        <v>-2.0000000000000001E-4</v>
      </c>
      <c r="AJ3" s="10">
        <v>4.9726253941699152</v>
      </c>
      <c r="AK3" s="10">
        <v>6.0316130915469648</v>
      </c>
      <c r="AL3" s="10">
        <v>4.9905736436251305</v>
      </c>
      <c r="AM3" s="10">
        <v>3.308870615782729</v>
      </c>
      <c r="AN3" s="10">
        <v>1.9308233468844676</v>
      </c>
      <c r="AO3" s="11">
        <v>1.2750711555097243</v>
      </c>
      <c r="AP3" s="10" t="e">
        <v>#DIV/0!</v>
      </c>
      <c r="AQ3" s="10" t="e">
        <v>#DIV/0!</v>
      </c>
      <c r="AR3"/>
      <c r="AT3" s="4">
        <f>AT2+AV$12</f>
        <v>2.0000000000000001E-4</v>
      </c>
      <c r="AU3" s="10">
        <v>6.0644983507490791</v>
      </c>
      <c r="AV3" s="11">
        <v>6.1517170629025344</v>
      </c>
      <c r="AW3" s="11">
        <v>3.8684684629709261</v>
      </c>
      <c r="AX3" s="11">
        <v>3.0442726066153996</v>
      </c>
      <c r="AY3" s="11">
        <v>1.2750711555097243</v>
      </c>
      <c r="AZ3" s="11">
        <v>1.2750711555097243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B4" s="33">
        <v>21.5</v>
      </c>
      <c r="C4" s="33">
        <v>26.19</v>
      </c>
      <c r="D4" s="15">
        <v>0</v>
      </c>
      <c r="E4" s="15">
        <v>3.8189803786681698E-4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21.5</v>
      </c>
      <c r="M4" s="33">
        <v>26.19</v>
      </c>
      <c r="N4" s="34">
        <v>1.2181395348837201</v>
      </c>
      <c r="O4" s="34">
        <v>1.2195304988600599</v>
      </c>
      <c r="R4" s="33">
        <v>26.219905725491301</v>
      </c>
      <c r="U4" s="15">
        <v>1.14122429045118E-3</v>
      </c>
      <c r="X4" s="34">
        <v>1.2181395348837201</v>
      </c>
      <c r="Y4" s="34">
        <v>1.2179193246936699</v>
      </c>
      <c r="AB4" s="33">
        <v>26.185265480914001</v>
      </c>
      <c r="AE4" s="15">
        <v>-1.8079217567196901E-4</v>
      </c>
      <c r="AG4"/>
      <c r="AI4" s="4">
        <f t="shared" si="2"/>
        <v>-4.0000000000000002E-4</v>
      </c>
      <c r="AJ4" s="10">
        <v>4.9726253941699152</v>
      </c>
      <c r="AK4" s="11">
        <v>6.0316130915469648</v>
      </c>
      <c r="AL4" s="11">
        <v>4.8548834221129722</v>
      </c>
      <c r="AM4" s="11">
        <v>2.9982522769160713</v>
      </c>
      <c r="AN4" s="10">
        <v>1.9308233468844676</v>
      </c>
      <c r="AO4" s="11">
        <v>1.2750711555097243</v>
      </c>
      <c r="AP4" s="11" t="e">
        <v>#DIV/0!</v>
      </c>
      <c r="AQ4" s="11" t="e">
        <v>#DIV/0!</v>
      </c>
      <c r="AR4"/>
      <c r="AT4" s="4">
        <f t="shared" ref="AT4:AT9" si="3">AT3+AV$12</f>
        <v>4.0000000000000002E-4</v>
      </c>
      <c r="AU4" s="10">
        <v>6.0644983507490791</v>
      </c>
      <c r="AV4" s="11">
        <v>6.1517170629025344</v>
      </c>
      <c r="AW4" s="11">
        <v>3.7774223583440243</v>
      </c>
      <c r="AX4" s="11">
        <v>2.6627809813420398</v>
      </c>
      <c r="AY4" s="11">
        <v>1.2750711555097243</v>
      </c>
      <c r="AZ4" s="11">
        <v>1.2750711555097243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21.51</v>
      </c>
      <c r="C5" s="33">
        <v>26.19</v>
      </c>
      <c r="D5" s="15">
        <v>4.6500814602166599E-4</v>
      </c>
      <c r="E5" s="15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21.51</v>
      </c>
      <c r="M5" s="33">
        <v>26.19</v>
      </c>
      <c r="N5" s="34">
        <v>1.2175732217573201</v>
      </c>
      <c r="O5" s="34">
        <v>1.2195304988600599</v>
      </c>
      <c r="R5" s="33">
        <v>26.2321010304799</v>
      </c>
      <c r="U5" s="15">
        <v>1.60623243647284E-3</v>
      </c>
      <c r="X5" s="34">
        <v>1.2175732217573201</v>
      </c>
      <c r="Y5" s="34">
        <v>1.2179193246936699</v>
      </c>
      <c r="AB5" s="33">
        <v>26.197444674160899</v>
      </c>
      <c r="AE5" s="15">
        <v>2.8421597034963299E-4</v>
      </c>
      <c r="AG5" s="29"/>
      <c r="AI5" s="4">
        <f t="shared" si="2"/>
        <v>-6.0000000000000006E-4</v>
      </c>
      <c r="AJ5" s="10">
        <v>4.9726253941699152</v>
      </c>
      <c r="AK5" s="11">
        <v>6.0316130915469648</v>
      </c>
      <c r="AL5" s="11">
        <v>4.8548834221129722</v>
      </c>
      <c r="AM5" s="11">
        <v>3.1942535487532417</v>
      </c>
      <c r="AN5" s="11">
        <v>1.9308233468844676</v>
      </c>
      <c r="AO5" s="11">
        <v>1.2750711555097243</v>
      </c>
      <c r="AP5" s="10" t="e">
        <v>#DIV/0!</v>
      </c>
      <c r="AQ5" s="11" t="e">
        <v>#DIV/0!</v>
      </c>
      <c r="AR5"/>
      <c r="AT5" s="4">
        <f t="shared" si="3"/>
        <v>6.0000000000000006E-4</v>
      </c>
      <c r="AU5" s="10">
        <v>6.0644983507490791</v>
      </c>
      <c r="AV5" s="11">
        <v>6.1517170629025344</v>
      </c>
      <c r="AW5" s="11">
        <v>3.7774223583440243</v>
      </c>
      <c r="AX5" s="11">
        <v>2.33133009002148</v>
      </c>
      <c r="AY5" s="11">
        <v>1.2750711555097243</v>
      </c>
      <c r="AZ5" s="11">
        <v>1.2750711555097243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3">
        <v>21.46</v>
      </c>
      <c r="C6" s="33">
        <v>26.13</v>
      </c>
      <c r="D6" s="15">
        <v>-2.3272060770862502E-3</v>
      </c>
      <c r="E6" s="15">
        <v>-2.2935789870995099E-3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21.46</v>
      </c>
      <c r="M6" s="33">
        <v>26.13</v>
      </c>
      <c r="N6" s="34">
        <v>1.2176141658900199</v>
      </c>
      <c r="O6" s="34">
        <v>1.2195304988600599</v>
      </c>
      <c r="R6" s="33">
        <v>26.171124505536898</v>
      </c>
      <c r="U6" s="15">
        <v>1.572605346486E-3</v>
      </c>
      <c r="X6" s="34">
        <v>1.2176141658900199</v>
      </c>
      <c r="Y6" s="34">
        <v>1.2179193246936699</v>
      </c>
      <c r="AB6" s="33">
        <v>26.136548707926298</v>
      </c>
      <c r="AE6" s="15">
        <v>2.5058888036288502E-4</v>
      </c>
      <c r="AG6" s="29"/>
      <c r="AI6" s="4">
        <f t="shared" si="2"/>
        <v>-8.0000000000000004E-4</v>
      </c>
      <c r="AJ6" s="10">
        <v>4.9726253941699152</v>
      </c>
      <c r="AK6" s="11">
        <v>6.0316130915469648</v>
      </c>
      <c r="AL6" s="11">
        <v>4.8548834221129722</v>
      </c>
      <c r="AM6" s="11">
        <v>3.1942535487532417</v>
      </c>
      <c r="AN6" s="11">
        <v>1.9308233468844676</v>
      </c>
      <c r="AO6" s="11">
        <v>1.2750711555097243</v>
      </c>
      <c r="AP6" s="11" t="e">
        <v>#DIV/0!</v>
      </c>
      <c r="AQ6" s="11" t="e">
        <v>#DIV/0!</v>
      </c>
      <c r="AR6"/>
      <c r="AT6" s="4">
        <f t="shared" si="3"/>
        <v>8.0000000000000004E-4</v>
      </c>
      <c r="AU6" s="10">
        <v>6.0644983507490791</v>
      </c>
      <c r="AV6" s="11">
        <v>6.1517170629025344</v>
      </c>
      <c r="AW6" s="11">
        <v>3.7774223583440243</v>
      </c>
      <c r="AX6" s="11">
        <v>2.33133009002148</v>
      </c>
      <c r="AY6" s="11">
        <v>1.2750711555097243</v>
      </c>
      <c r="AZ6" s="11">
        <v>1.2750711555097243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3">
        <v>21.5</v>
      </c>
      <c r="C7" s="33">
        <v>26.16</v>
      </c>
      <c r="D7" s="15">
        <v>1.86219793106462E-3</v>
      </c>
      <c r="E7" s="15">
        <v>1.1474470564769199E-3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21.5</v>
      </c>
      <c r="M7" s="33">
        <v>26.16</v>
      </c>
      <c r="N7" s="34">
        <v>1.21674418604651</v>
      </c>
      <c r="O7" s="34">
        <v>1.2195304988600599</v>
      </c>
      <c r="R7" s="33">
        <v>26.219905725491301</v>
      </c>
      <c r="U7" s="15">
        <v>2.2873562210738601E-3</v>
      </c>
      <c r="X7" s="34">
        <v>1.21674418604651</v>
      </c>
      <c r="Y7" s="34">
        <v>1.2179193246936699</v>
      </c>
      <c r="AB7" s="33">
        <v>26.185265480914001</v>
      </c>
      <c r="AE7" s="15">
        <v>9.6533975495063495E-4</v>
      </c>
      <c r="AG7"/>
      <c r="AI7" s="4">
        <f t="shared" si="2"/>
        <v>-1E-3</v>
      </c>
      <c r="AJ7" s="10">
        <v>4.9726253941699152</v>
      </c>
      <c r="AK7" s="11">
        <v>6.0316130915469648</v>
      </c>
      <c r="AL7" s="11">
        <v>4.8548834221129722</v>
      </c>
      <c r="AM7" s="11">
        <v>3.1942535487532417</v>
      </c>
      <c r="AN7" s="11">
        <v>1.9308233468844676</v>
      </c>
      <c r="AO7" s="11">
        <v>1.2750711555097243</v>
      </c>
      <c r="AP7" s="11" t="e">
        <v>#DIV/0!</v>
      </c>
      <c r="AQ7" s="11" t="e">
        <v>#DIV/0!</v>
      </c>
      <c r="AR7"/>
      <c r="AT7" s="4">
        <f t="shared" si="3"/>
        <v>1E-3</v>
      </c>
      <c r="AU7" s="10">
        <v>6.0644983507490791</v>
      </c>
      <c r="AV7" s="11">
        <v>6.1517170629025344</v>
      </c>
      <c r="AW7" s="11">
        <v>3.7774223583440243</v>
      </c>
      <c r="AX7" s="11">
        <v>2.33133009002148</v>
      </c>
      <c r="AY7" s="11">
        <v>1.2750711555097243</v>
      </c>
      <c r="AZ7" s="11">
        <v>1.2750711555097243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3">
        <v>21.48</v>
      </c>
      <c r="C8" s="33">
        <v>26.15</v>
      </c>
      <c r="D8" s="15">
        <v>-9.3066549295314999E-4</v>
      </c>
      <c r="E8" s="15">
        <v>-3.8233607806614398E-4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21.48</v>
      </c>
      <c r="M8" s="33">
        <v>26.15</v>
      </c>
      <c r="N8" s="34">
        <v>1.2174115456238299</v>
      </c>
      <c r="O8" s="34">
        <v>1.2195304988600599</v>
      </c>
      <c r="R8" s="33">
        <v>26.195515115514102</v>
      </c>
      <c r="U8" s="15">
        <v>1.7390268061867999E-3</v>
      </c>
      <c r="X8" s="34">
        <v>1.2174115456238299</v>
      </c>
      <c r="Y8" s="34">
        <v>1.2179193246936699</v>
      </c>
      <c r="AB8" s="33">
        <v>26.1609070944201</v>
      </c>
      <c r="AE8" s="15">
        <v>4.17010340063649E-4</v>
      </c>
      <c r="AG8"/>
      <c r="AI8" s="4">
        <f t="shared" si="2"/>
        <v>-1.2000000000000001E-3</v>
      </c>
      <c r="AJ8" s="10">
        <v>4.9726253941699152</v>
      </c>
      <c r="AK8" s="11">
        <v>6.0316130915469648</v>
      </c>
      <c r="AL8" s="11">
        <v>4.8548834221129722</v>
      </c>
      <c r="AM8" s="11">
        <v>3.1942535487532417</v>
      </c>
      <c r="AN8" s="11">
        <v>1.9308233468844676</v>
      </c>
      <c r="AO8" s="11">
        <v>1.2750711555097243</v>
      </c>
      <c r="AP8" s="11" t="e">
        <v>#DIV/0!</v>
      </c>
      <c r="AQ8" s="11" t="e">
        <v>#DIV/0!</v>
      </c>
      <c r="AR8"/>
      <c r="AT8" s="4">
        <f t="shared" si="3"/>
        <v>1.2000000000000001E-3</v>
      </c>
      <c r="AU8" s="10">
        <v>6.0644983507490791</v>
      </c>
      <c r="AV8" s="11">
        <v>6.1517170629025344</v>
      </c>
      <c r="AW8" s="11">
        <v>3.7774223583440243</v>
      </c>
      <c r="AX8" s="11">
        <v>2.33133009002148</v>
      </c>
      <c r="AY8" s="11">
        <v>1.2750711555097243</v>
      </c>
      <c r="AZ8" s="11">
        <v>1.2750711555097243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3">
        <v>21.5</v>
      </c>
      <c r="C9" s="33">
        <v>26.18</v>
      </c>
      <c r="D9" s="15">
        <v>9.30665492953257E-4</v>
      </c>
      <c r="E9" s="15">
        <v>1.1465699708218999E-3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21.5</v>
      </c>
      <c r="M9" s="33">
        <v>26.18</v>
      </c>
      <c r="N9" s="34">
        <v>1.21767441860465</v>
      </c>
      <c r="O9" s="34">
        <v>1.2195304988600599</v>
      </c>
      <c r="R9" s="33">
        <v>26.219905725491301</v>
      </c>
      <c r="U9" s="15">
        <v>1.5231223283178399E-3</v>
      </c>
      <c r="X9" s="34">
        <v>1.21767441860465</v>
      </c>
      <c r="Y9" s="34">
        <v>1.2179193246936699</v>
      </c>
      <c r="AB9" s="33">
        <v>26.185265480914001</v>
      </c>
      <c r="AE9" s="15">
        <v>2.01105862194745E-4</v>
      </c>
      <c r="AF9"/>
      <c r="AI9" s="4">
        <f t="shared" si="2"/>
        <v>-1.4000000000000002E-3</v>
      </c>
      <c r="AJ9" s="10">
        <v>4.9726253941699152</v>
      </c>
      <c r="AK9" s="11">
        <v>6.0316130915469648</v>
      </c>
      <c r="AL9" s="11">
        <v>4.8548834221129722</v>
      </c>
      <c r="AM9" s="11">
        <v>3.1942535487532417</v>
      </c>
      <c r="AN9" s="11">
        <v>1.9308233468844676</v>
      </c>
      <c r="AO9" s="11">
        <v>1.2750711555097243</v>
      </c>
      <c r="AP9" s="11" t="e">
        <v>#DIV/0!</v>
      </c>
      <c r="AQ9" s="11" t="e">
        <v>#DIV/0!</v>
      </c>
      <c r="AR9"/>
      <c r="AT9" s="4">
        <f t="shared" si="3"/>
        <v>1.4000000000000002E-3</v>
      </c>
      <c r="AU9" s="10">
        <v>6.0644983507490791</v>
      </c>
      <c r="AV9" s="10">
        <v>6.1517170629025344</v>
      </c>
      <c r="AW9" s="10">
        <v>3.7774223583440243</v>
      </c>
      <c r="AX9" s="10">
        <v>2.33133009002148</v>
      </c>
      <c r="AY9" s="10">
        <v>1.2750711555097243</v>
      </c>
      <c r="AZ9" s="10">
        <v>1.2750711555097243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3">
        <v>21.55</v>
      </c>
      <c r="C10" s="33">
        <v>26.22</v>
      </c>
      <c r="D10" s="15">
        <v>2.3228814161397201E-3</v>
      </c>
      <c r="E10" s="15">
        <v>1.5267178537998801E-3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21.55</v>
      </c>
      <c r="M10" s="33">
        <v>26.22</v>
      </c>
      <c r="N10" s="34">
        <v>1.21670533642691</v>
      </c>
      <c r="O10" s="34">
        <v>1.2195304988600599</v>
      </c>
      <c r="R10" s="33">
        <v>26.280882250434299</v>
      </c>
      <c r="U10" s="15">
        <v>2.31928589065765E-3</v>
      </c>
      <c r="X10" s="34">
        <v>1.21670533642691</v>
      </c>
      <c r="Y10" s="34">
        <v>1.2179193246936699</v>
      </c>
      <c r="AB10" s="33">
        <v>26.246161447148701</v>
      </c>
      <c r="AE10" s="15">
        <v>9.9726942453455211E-4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21.52</v>
      </c>
      <c r="C11" s="33">
        <v>26.19</v>
      </c>
      <c r="D11" s="15">
        <v>-1.39308125617321E-3</v>
      </c>
      <c r="E11" s="15">
        <v>-1.14481981593319E-3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21.52</v>
      </c>
      <c r="M11" s="33">
        <v>26.19</v>
      </c>
      <c r="N11" s="34">
        <v>1.2170074349442299</v>
      </c>
      <c r="O11" s="34">
        <v>1.2195304988600599</v>
      </c>
      <c r="P11" s="34">
        <v>1.21736924454472</v>
      </c>
      <c r="R11" s="33">
        <v>26.244296335468501</v>
      </c>
      <c r="U11" s="15">
        <v>2.0710244504177E-3</v>
      </c>
      <c r="X11" s="34">
        <v>1.2170074349442299</v>
      </c>
      <c r="Y11" s="34">
        <v>1.2179193246936699</v>
      </c>
      <c r="Z11" s="34">
        <v>1.21736924454472</v>
      </c>
      <c r="AB11" s="33">
        <v>26.209623867407899</v>
      </c>
      <c r="AE11" s="15">
        <v>7.49007984294543E-4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21.47</v>
      </c>
      <c r="C12" s="33">
        <v>26.15</v>
      </c>
      <c r="D12" s="15">
        <v>-2.32612340289405E-3</v>
      </c>
      <c r="E12" s="15">
        <v>-1.52846800868868E-3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21.47</v>
      </c>
      <c r="M12" s="33">
        <v>26.15</v>
      </c>
      <c r="N12" s="34">
        <v>1.2179785747554699</v>
      </c>
      <c r="O12" s="34">
        <v>1.2195304988600599</v>
      </c>
      <c r="P12" s="34">
        <v>1.21745228375373</v>
      </c>
      <c r="R12" s="33">
        <v>26.1833198105255</v>
      </c>
      <c r="S12" s="33">
        <v>26.136917680375301</v>
      </c>
      <c r="U12" s="15">
        <v>1.27336905621235E-3</v>
      </c>
      <c r="V12" s="15">
        <v>-5.0040509091067503E-4</v>
      </c>
      <c r="X12" s="34">
        <v>1.2179785747554699</v>
      </c>
      <c r="Y12" s="34">
        <v>1.2179193246936699</v>
      </c>
      <c r="Z12" s="34">
        <v>1.21745228375373</v>
      </c>
      <c r="AB12" s="33">
        <v>26.148727901173199</v>
      </c>
      <c r="AC12" s="33">
        <v>26.136917680375301</v>
      </c>
      <c r="AE12" s="15">
        <v>-4.8647409910857302E-5</v>
      </c>
      <c r="AF12" s="15">
        <v>-5.0040509091067503E-4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21.31</v>
      </c>
      <c r="C13" s="33">
        <v>26.03</v>
      </c>
      <c r="D13" s="15">
        <v>-7.48016578016392E-3</v>
      </c>
      <c r="E13" s="15">
        <v>-4.5994715044577897E-3</v>
      </c>
      <c r="F13" s="33">
        <v>8.4909999999999999E-2</v>
      </c>
      <c r="G13" s="33">
        <v>8.4909999999999999E-2</v>
      </c>
      <c r="H13" s="33">
        <v>0</v>
      </c>
      <c r="I13" s="33">
        <v>0</v>
      </c>
      <c r="J13" s="33">
        <v>8.4909999999999999E-2</v>
      </c>
      <c r="K13" s="33">
        <v>0</v>
      </c>
      <c r="L13" s="33">
        <v>21.394909999999999</v>
      </c>
      <c r="M13" s="33">
        <v>26.03</v>
      </c>
      <c r="N13" s="34">
        <v>1.2214922571562601</v>
      </c>
      <c r="O13" s="34">
        <v>1.2195304988600599</v>
      </c>
      <c r="P13" s="34">
        <v>1.2178340676088899</v>
      </c>
      <c r="R13" s="33">
        <v>25.988194930707898</v>
      </c>
      <c r="S13" s="33">
        <v>25.943908166791999</v>
      </c>
      <c r="U13" s="15">
        <v>-1.60732521949354E-3</v>
      </c>
      <c r="V13" s="15">
        <v>-3.31288967808565E-3</v>
      </c>
      <c r="X13" s="34">
        <v>1.21664451965444</v>
      </c>
      <c r="Y13" s="34">
        <v>1.2179193246936699</v>
      </c>
      <c r="Z13" s="34">
        <v>1.21734929385871</v>
      </c>
      <c r="AB13" s="33">
        <v>26.0572743390819</v>
      </c>
      <c r="AC13" s="33">
        <v>26.047282040205602</v>
      </c>
      <c r="AE13" s="15">
        <v>1.04725547346502E-3</v>
      </c>
      <c r="AF13" s="15">
        <v>6.6370748099623105E-4</v>
      </c>
    </row>
    <row r="14" spans="1:130" x14ac:dyDescent="0.25">
      <c r="A14" s="1">
        <v>46043</v>
      </c>
      <c r="B14" s="33">
        <v>21.39</v>
      </c>
      <c r="C14" s="33">
        <v>26.15</v>
      </c>
      <c r="D14" s="15">
        <v>3.7470769837884901E-3</v>
      </c>
      <c r="E14" s="15">
        <v>4.5994715044578001E-3</v>
      </c>
      <c r="F14" s="33">
        <v>0</v>
      </c>
      <c r="G14" s="33">
        <v>8.4909999999999999E-2</v>
      </c>
      <c r="H14" s="33">
        <v>0</v>
      </c>
      <c r="I14" s="33">
        <v>0</v>
      </c>
      <c r="J14" s="33">
        <v>8.4909999999999999E-2</v>
      </c>
      <c r="K14" s="33">
        <v>0</v>
      </c>
      <c r="L14" s="33">
        <v>21.474910000000001</v>
      </c>
      <c r="M14" s="33">
        <v>26.15</v>
      </c>
      <c r="N14" s="34">
        <v>1.2225338943431501</v>
      </c>
      <c r="O14" s="34">
        <v>1.2195304988600599</v>
      </c>
      <c r="P14" s="34">
        <v>1.21827350355483</v>
      </c>
      <c r="R14" s="33">
        <v>26.085757370616701</v>
      </c>
      <c r="S14" s="33">
        <v>26.049470706154199</v>
      </c>
      <c r="U14" s="15">
        <v>-2.4597197401628398E-3</v>
      </c>
      <c r="V14" s="15">
        <v>-3.8517408997705998E-3</v>
      </c>
      <c r="X14" s="34">
        <v>1.21770009746257</v>
      </c>
      <c r="Y14" s="34">
        <v>1.2179193246936699</v>
      </c>
      <c r="Z14" s="34">
        <v>1.21730535011659</v>
      </c>
      <c r="AB14" s="33">
        <v>26.154707885057402</v>
      </c>
      <c r="AC14" s="33">
        <v>26.142466524179401</v>
      </c>
      <c r="AE14" s="15">
        <v>1.8001764126263E-4</v>
      </c>
      <c r="AF14" s="15">
        <v>-2.8812853450742803E-4</v>
      </c>
      <c r="AQ14" s="20">
        <f>AVERAGE(AQ22:AQ176)</f>
        <v>8.2767401460963691E-6</v>
      </c>
      <c r="AR14" s="21" t="s">
        <v>41</v>
      </c>
      <c r="BB14" s="20">
        <f>AVERAGE(BB22:BB176)</f>
        <v>6.8831114467488301E-6</v>
      </c>
      <c r="BC14" s="21" t="s">
        <v>41</v>
      </c>
      <c r="BD14" s="22"/>
      <c r="BE14" s="20">
        <f>AVERAGE(BE22:BE176)</f>
        <v>1.51598515928452E-5</v>
      </c>
      <c r="BF14" s="21" t="s">
        <v>41</v>
      </c>
    </row>
    <row r="15" spans="1:130" x14ac:dyDescent="0.25">
      <c r="A15" s="1">
        <v>46044</v>
      </c>
      <c r="B15" s="33">
        <v>21.4</v>
      </c>
      <c r="C15" s="33">
        <v>26.15</v>
      </c>
      <c r="D15" s="15">
        <v>4.6739893349154697E-4</v>
      </c>
      <c r="E15" s="15">
        <v>0</v>
      </c>
      <c r="F15" s="33">
        <v>0</v>
      </c>
      <c r="G15" s="33">
        <v>8.4909999999999999E-2</v>
      </c>
      <c r="H15" s="33">
        <v>0</v>
      </c>
      <c r="I15" s="33">
        <v>0</v>
      </c>
      <c r="J15" s="33">
        <v>8.4909999999999999E-2</v>
      </c>
      <c r="K15" s="33">
        <v>0</v>
      </c>
      <c r="L15" s="33">
        <v>21.484909999999999</v>
      </c>
      <c r="M15" s="33">
        <v>26.15</v>
      </c>
      <c r="N15" s="34">
        <v>1.22196261682243</v>
      </c>
      <c r="O15" s="34">
        <v>1.2195304988600599</v>
      </c>
      <c r="P15" s="34">
        <v>1.2187124430613401</v>
      </c>
      <c r="R15" s="33">
        <v>26.097952675605299</v>
      </c>
      <c r="S15" s="33">
        <v>26.071052976073499</v>
      </c>
      <c r="U15" s="15">
        <v>-1.99232080667136E-3</v>
      </c>
      <c r="V15" s="15">
        <v>-3.02357304465108E-3</v>
      </c>
      <c r="X15" s="34">
        <v>1.21713332753081</v>
      </c>
      <c r="Y15" s="34">
        <v>1.2179193246936699</v>
      </c>
      <c r="Z15" s="34">
        <v>1.21726136069394</v>
      </c>
      <c r="AB15" s="33">
        <v>26.166887078304399</v>
      </c>
      <c r="AC15" s="33">
        <v>26.153695889773601</v>
      </c>
      <c r="AE15" s="15">
        <v>6.4556894853615003E-4</v>
      </c>
      <c r="AF15" s="15">
        <v>1.4132423022479701E-4</v>
      </c>
      <c r="AQ15" s="20">
        <f>STDEV(AQ22:AQ176)</f>
        <v>9.2119631551933149E-5</v>
      </c>
      <c r="AR15" s="21" t="s">
        <v>42</v>
      </c>
      <c r="BB15" s="20">
        <f>STDEV(BB22:BB176)</f>
        <v>6.1000994754882489E-5</v>
      </c>
      <c r="BC15" s="21" t="s">
        <v>42</v>
      </c>
      <c r="BD15" s="22"/>
      <c r="BE15" s="20">
        <f>STDEV(BE22:BE176)</f>
        <v>1.0996576086268867E-4</v>
      </c>
      <c r="BF15" s="21" t="s">
        <v>42</v>
      </c>
    </row>
    <row r="16" spans="1:130" x14ac:dyDescent="0.25">
      <c r="A16" s="1">
        <v>46045</v>
      </c>
      <c r="B16" s="33">
        <v>21.42</v>
      </c>
      <c r="C16" s="33">
        <v>26.17</v>
      </c>
      <c r="D16" s="15">
        <v>9.34142991797143E-4</v>
      </c>
      <c r="E16" s="15">
        <v>7.6452603112261899E-4</v>
      </c>
      <c r="F16" s="33">
        <v>0</v>
      </c>
      <c r="G16" s="33">
        <v>8.4909999999999999E-2</v>
      </c>
      <c r="H16" s="33">
        <v>0</v>
      </c>
      <c r="I16" s="33">
        <v>0</v>
      </c>
      <c r="J16" s="33">
        <v>8.4909999999999999E-2</v>
      </c>
      <c r="K16" s="33">
        <v>0</v>
      </c>
      <c r="L16" s="33">
        <v>21.504909999999999</v>
      </c>
      <c r="M16" s="33">
        <v>26.17</v>
      </c>
      <c r="N16" s="34">
        <v>1.22175536881419</v>
      </c>
      <c r="O16" s="34">
        <v>1.2195304988600599</v>
      </c>
      <c r="P16" s="34">
        <v>1.21912656335376</v>
      </c>
      <c r="R16" s="33">
        <v>26.122343285582499</v>
      </c>
      <c r="S16" s="33">
        <v>26.104820530374099</v>
      </c>
      <c r="U16" s="15">
        <v>-1.82270384599709E-3</v>
      </c>
      <c r="V16" s="15">
        <v>-2.4937246170146799E-3</v>
      </c>
      <c r="X16" s="34">
        <v>1.21693138915717</v>
      </c>
      <c r="Y16" s="34">
        <v>1.2179193246936699</v>
      </c>
      <c r="Z16" s="34">
        <v>1.2171930830206601</v>
      </c>
      <c r="AB16" s="33">
        <v>26.1912454647983</v>
      </c>
      <c r="AC16" s="33">
        <v>26.177096008200799</v>
      </c>
      <c r="AE16" s="15">
        <v>8.1149582198034595E-4</v>
      </c>
      <c r="AF16" s="15">
        <v>2.7111373067336699E-4</v>
      </c>
      <c r="AQ16" s="23">
        <f>SQRT(252)*AQ14/AQ15</f>
        <v>1.4262885591675509</v>
      </c>
      <c r="AR16" s="21" t="s">
        <v>43</v>
      </c>
      <c r="BB16" s="23">
        <f>SQRT(252)*BB14/BB15</f>
        <v>1.7912168030323941</v>
      </c>
      <c r="BC16" s="21" t="s">
        <v>43</v>
      </c>
      <c r="BD16" s="22"/>
      <c r="BE16" s="23">
        <f>SQRT(252)*BE14/BE15</f>
        <v>2.1884555835919564</v>
      </c>
      <c r="BF16" s="21" t="s">
        <v>43</v>
      </c>
    </row>
    <row r="17" spans="1:124" x14ac:dyDescent="0.25">
      <c r="A17" s="1">
        <v>46048</v>
      </c>
      <c r="B17" s="33">
        <v>21.43</v>
      </c>
      <c r="C17" s="33">
        <v>26.19</v>
      </c>
      <c r="D17" s="15">
        <v>4.6674446588293802E-4</v>
      </c>
      <c r="E17" s="15">
        <v>7.6394197756603005E-4</v>
      </c>
      <c r="F17" s="33">
        <v>0</v>
      </c>
      <c r="G17" s="33">
        <v>8.4909999999999999E-2</v>
      </c>
      <c r="H17" s="33">
        <v>0</v>
      </c>
      <c r="I17" s="33">
        <v>0</v>
      </c>
      <c r="J17" s="33">
        <v>8.4909999999999999E-2</v>
      </c>
      <c r="K17" s="33">
        <v>0</v>
      </c>
      <c r="L17" s="33">
        <v>21.51491</v>
      </c>
      <c r="M17" s="33">
        <v>26.19</v>
      </c>
      <c r="N17" s="34">
        <v>1.22211852543163</v>
      </c>
      <c r="O17" s="34">
        <v>1.2195304988600599</v>
      </c>
      <c r="P17" s="34">
        <v>1.21966399729227</v>
      </c>
      <c r="R17" s="33">
        <v>26.134538590571101</v>
      </c>
      <c r="S17" s="33">
        <v>26.1258822526712</v>
      </c>
      <c r="U17" s="15">
        <v>-2.1199013576802899E-3</v>
      </c>
      <c r="V17" s="15">
        <v>-2.4511783676785799E-3</v>
      </c>
      <c r="X17" s="34">
        <v>1.21729535470982</v>
      </c>
      <c r="Y17" s="34">
        <v>1.2179193246936699</v>
      </c>
      <c r="Z17" s="34">
        <v>1.21724819988699</v>
      </c>
      <c r="AB17" s="33">
        <v>26.203424658045201</v>
      </c>
      <c r="AC17" s="33">
        <v>26.187799633811998</v>
      </c>
      <c r="AE17" s="15">
        <v>5.1245584447442397E-4</v>
      </c>
      <c r="AF17" s="15">
        <v>-8.4019038776092807E-5</v>
      </c>
    </row>
    <row r="18" spans="1:124" x14ac:dyDescent="0.25">
      <c r="A18" s="1">
        <v>46049</v>
      </c>
      <c r="B18" s="33">
        <v>21.41</v>
      </c>
      <c r="C18" s="33">
        <v>26.19</v>
      </c>
      <c r="D18" s="15">
        <v>-9.3370688389422004E-4</v>
      </c>
      <c r="E18" s="15">
        <v>0</v>
      </c>
      <c r="F18" s="33">
        <v>0</v>
      </c>
      <c r="G18" s="33">
        <v>8.4909999999999999E-2</v>
      </c>
      <c r="H18" s="33">
        <v>0</v>
      </c>
      <c r="I18" s="33">
        <v>0</v>
      </c>
      <c r="J18" s="33">
        <v>8.4909999999999999E-2</v>
      </c>
      <c r="K18" s="33">
        <v>0</v>
      </c>
      <c r="L18" s="33">
        <v>21.494910000000001</v>
      </c>
      <c r="M18" s="33">
        <v>26.19</v>
      </c>
      <c r="N18" s="34">
        <v>1.22326015880429</v>
      </c>
      <c r="O18" s="34">
        <v>1.2195304988600599</v>
      </c>
      <c r="P18" s="34">
        <v>1.22024885861032</v>
      </c>
      <c r="R18" s="33">
        <v>26.110147980593901</v>
      </c>
      <c r="S18" s="33">
        <v>26.1130061820276</v>
      </c>
      <c r="U18" s="15">
        <v>-3.0536082415744798E-3</v>
      </c>
      <c r="V18" s="15">
        <v>-2.9441471612383402E-3</v>
      </c>
      <c r="X18" s="34">
        <v>1.21842799062661</v>
      </c>
      <c r="Y18" s="34">
        <v>1.2179193246936699</v>
      </c>
      <c r="Z18" s="34">
        <v>1.2173498443872699</v>
      </c>
      <c r="AB18" s="33">
        <v>26.179066271551299</v>
      </c>
      <c r="AC18" s="33">
        <v>26.164640504232899</v>
      </c>
      <c r="AE18" s="15">
        <v>-4.1756439004698699E-4</v>
      </c>
      <c r="AF18" s="15">
        <v>-9.6875835670432798E-4</v>
      </c>
      <c r="BE18" s="24">
        <f>SUM(BE22:BE176)</f>
        <v>2.349776996891006E-3</v>
      </c>
      <c r="BF18" s="20">
        <f>BF176</f>
        <v>2.349776996891006E-3</v>
      </c>
    </row>
    <row r="19" spans="1:124" x14ac:dyDescent="0.25">
      <c r="A19" s="1">
        <v>46050</v>
      </c>
      <c r="B19" s="33">
        <v>21.39</v>
      </c>
      <c r="C19" s="33">
        <v>26.16</v>
      </c>
      <c r="D19" s="15">
        <v>-9.3457950727710297E-4</v>
      </c>
      <c r="E19" s="15">
        <v>-1.14613193062257E-3</v>
      </c>
      <c r="F19" s="33">
        <v>0</v>
      </c>
      <c r="G19" s="33">
        <v>8.4909999999999999E-2</v>
      </c>
      <c r="H19" s="33">
        <v>0</v>
      </c>
      <c r="I19" s="33">
        <v>0</v>
      </c>
      <c r="J19" s="33">
        <v>8.4909999999999999E-2</v>
      </c>
      <c r="K19" s="33">
        <v>0</v>
      </c>
      <c r="L19" s="33">
        <v>21.474910000000001</v>
      </c>
      <c r="M19" s="33">
        <v>26.16</v>
      </c>
      <c r="N19" s="34">
        <v>1.2230014025245399</v>
      </c>
      <c r="O19" s="34">
        <v>1.2195304988600599</v>
      </c>
      <c r="P19" s="34">
        <v>1.2207815570023099</v>
      </c>
      <c r="R19" s="33">
        <v>26.085757370616701</v>
      </c>
      <c r="S19" s="33">
        <v>26.1011230856748</v>
      </c>
      <c r="U19" s="15">
        <v>-2.8420558182289599E-3</v>
      </c>
      <c r="V19" s="15">
        <v>-2.25318308363385E-3</v>
      </c>
      <c r="X19" s="34">
        <v>1.2181657571556701</v>
      </c>
      <c r="Y19" s="34">
        <v>1.2179193246936699</v>
      </c>
      <c r="Z19" s="34">
        <v>1.21739897824237</v>
      </c>
      <c r="AB19" s="33">
        <v>26.154707885057402</v>
      </c>
      <c r="AC19" s="33">
        <v>26.142478346730599</v>
      </c>
      <c r="AE19" s="15">
        <v>-2.02318436803359E-4</v>
      </c>
      <c r="AF19" s="15">
        <v>-6.7001237718208797E-4</v>
      </c>
      <c r="AI19" s="12"/>
      <c r="AJ19"/>
      <c r="AK19"/>
      <c r="AL19"/>
      <c r="AM19"/>
      <c r="AN19"/>
      <c r="AO19"/>
      <c r="AP19"/>
      <c r="AQ19" s="24">
        <f>SUM(AQ22:AQ176)</f>
        <v>1.2828947226449371E-3</v>
      </c>
      <c r="AR19" s="24">
        <f>AR176</f>
        <v>1.2828947226449371E-3</v>
      </c>
      <c r="AU19"/>
      <c r="AV19"/>
      <c r="AW19"/>
      <c r="AX19"/>
      <c r="AY19"/>
      <c r="AZ19"/>
      <c r="BA19"/>
      <c r="BB19" s="24">
        <f>SUM(BB22:BB176)</f>
        <v>1.0668822742460687E-3</v>
      </c>
      <c r="BC19" s="24">
        <f>BC176</f>
        <v>1.0668822742460687E-3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21.41</v>
      </c>
      <c r="C20" s="33">
        <v>26.17</v>
      </c>
      <c r="D20" s="15">
        <v>9.3457950727718602E-4</v>
      </c>
      <c r="E20" s="15">
        <v>3.8218995305652499E-4</v>
      </c>
      <c r="F20" s="33">
        <v>0</v>
      </c>
      <c r="G20" s="33">
        <v>8.4909999999999999E-2</v>
      </c>
      <c r="H20" s="33">
        <v>0</v>
      </c>
      <c r="I20" s="33">
        <v>0</v>
      </c>
      <c r="J20" s="33">
        <v>8.4909999999999999E-2</v>
      </c>
      <c r="K20" s="33">
        <v>0</v>
      </c>
      <c r="L20" s="33">
        <v>21.494910000000001</v>
      </c>
      <c r="M20" s="33">
        <v>26.17</v>
      </c>
      <c r="N20" s="34">
        <v>1.2223260158804199</v>
      </c>
      <c r="O20" s="34">
        <v>1.2195304988600599</v>
      </c>
      <c r="P20" s="34">
        <v>1.2213436249476599</v>
      </c>
      <c r="R20" s="33">
        <v>26.110147980593901</v>
      </c>
      <c r="S20" s="33">
        <v>26.1369331354195</v>
      </c>
      <c r="U20" s="15">
        <v>-2.2896662640084901E-3</v>
      </c>
      <c r="V20" s="15">
        <v>-1.2643398113125E-3</v>
      </c>
      <c r="X20" s="34">
        <v>1.2174975377891699</v>
      </c>
      <c r="Y20" s="34">
        <v>1.2179193246936699</v>
      </c>
      <c r="Z20" s="34">
        <v>1.2174781983786001</v>
      </c>
      <c r="AB20" s="33">
        <v>26.179066271551299</v>
      </c>
      <c r="AC20" s="33">
        <v>26.1678814714118</v>
      </c>
      <c r="AE20" s="15">
        <v>3.4637758751913402E-4</v>
      </c>
      <c r="AF20" s="15">
        <v>-8.0955840389290804E-5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BSCX log rtn</v>
      </c>
      <c r="AP20" s="7" t="str">
        <f>E1</f>
        <v>IBDY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BSCX log rtn</v>
      </c>
      <c r="BA20" s="24" t="str">
        <f>E1</f>
        <v>IBDY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21.41</v>
      </c>
      <c r="C21" s="33">
        <v>26.18</v>
      </c>
      <c r="D21" s="15">
        <v>0</v>
      </c>
      <c r="E21" s="15">
        <v>3.8204393969926598E-4</v>
      </c>
      <c r="F21" s="33">
        <v>0</v>
      </c>
      <c r="G21" s="33">
        <v>8.4909999999999999E-2</v>
      </c>
      <c r="H21" s="33">
        <v>0</v>
      </c>
      <c r="I21" s="33">
        <v>0</v>
      </c>
      <c r="J21" s="33">
        <v>8.4909999999999999E-2</v>
      </c>
      <c r="K21" s="33">
        <v>0</v>
      </c>
      <c r="L21" s="33">
        <v>21.494910000000001</v>
      </c>
      <c r="M21" s="33">
        <v>26.18</v>
      </c>
      <c r="N21" s="34">
        <v>1.22279308734236</v>
      </c>
      <c r="O21" s="34">
        <v>1.2195304988600599</v>
      </c>
      <c r="P21" s="34">
        <v>1.2219221901874699</v>
      </c>
      <c r="Q21" s="34">
        <v>1.2196457173660999</v>
      </c>
      <c r="R21" s="33">
        <v>26.110147980593901</v>
      </c>
      <c r="S21" s="33">
        <v>26.1489670101295</v>
      </c>
      <c r="U21" s="15">
        <v>-2.6717102037077702E-3</v>
      </c>
      <c r="V21" s="15">
        <v>-1.18607323177216E-3</v>
      </c>
      <c r="X21" s="34">
        <v>1.2179627642078901</v>
      </c>
      <c r="Y21" s="34">
        <v>1.2179193246936699</v>
      </c>
      <c r="Z21" s="34">
        <v>1.2175737313049599</v>
      </c>
      <c r="AA21" s="34">
        <v>1.2174714879248401</v>
      </c>
      <c r="AB21" s="33">
        <v>26.179066271551299</v>
      </c>
      <c r="AC21" s="33">
        <v>26.169584301110099</v>
      </c>
      <c r="AE21" s="15">
        <v>-3.5666352180217498E-5</v>
      </c>
      <c r="AF21" s="15">
        <v>-3.9792862412634298E-4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21.39</v>
      </c>
      <c r="C22" s="33">
        <v>26.04</v>
      </c>
      <c r="D22" s="15">
        <v>-9.3457950727710297E-4</v>
      </c>
      <c r="E22" s="15">
        <v>-5.3619431413853896E-3</v>
      </c>
      <c r="F22" s="33">
        <v>0</v>
      </c>
      <c r="G22" s="33">
        <v>8.4909999999999999E-2</v>
      </c>
      <c r="H22" s="33">
        <v>0.10385999999999999</v>
      </c>
      <c r="I22" s="33">
        <v>0.10385999999999999</v>
      </c>
      <c r="J22" s="33">
        <v>8.4909999999999999E-2</v>
      </c>
      <c r="K22" s="33">
        <v>0.10385999999999999</v>
      </c>
      <c r="L22" s="33">
        <v>21.474910000000001</v>
      </c>
      <c r="M22" s="33">
        <v>26.14386</v>
      </c>
      <c r="N22" s="34">
        <v>1.2173913043478199</v>
      </c>
      <c r="O22" s="34">
        <v>1.2195304988600599</v>
      </c>
      <c r="P22" s="34">
        <v>1.22186346314671</v>
      </c>
      <c r="Q22" s="34">
        <v>1.2196578734502199</v>
      </c>
      <c r="R22" s="33">
        <v>26.085757370616701</v>
      </c>
      <c r="S22" s="33">
        <v>26.136915648110101</v>
      </c>
      <c r="T22" s="33">
        <v>26.088221894460901</v>
      </c>
      <c r="U22" s="15">
        <v>1.7556534304006199E-3</v>
      </c>
      <c r="V22" s="15">
        <v>3.7148903250646299E-3</v>
      </c>
      <c r="W22" s="15">
        <v>1.85012672458937E-3</v>
      </c>
      <c r="X22" s="34">
        <v>1.2174141824110001</v>
      </c>
      <c r="Y22" s="34">
        <v>1.2179193246936699</v>
      </c>
      <c r="Z22" s="34">
        <v>1.21751729207052</v>
      </c>
      <c r="AA22" s="34">
        <v>1.21748478791212</v>
      </c>
      <c r="AB22" s="33">
        <v>26.154707885057402</v>
      </c>
      <c r="AC22" s="33">
        <v>26.147286298138301</v>
      </c>
      <c r="AD22" s="33">
        <v>26.1450906307522</v>
      </c>
      <c r="AE22" s="15">
        <v>4.1484444610045198E-4</v>
      </c>
      <c r="AF22" s="15">
        <v>1.31046970120586E-4</v>
      </c>
      <c r="AG22" s="15">
        <v>4.7070393939373298E-5</v>
      </c>
      <c r="AI22" s="26">
        <v>-2.0000000000000001E-4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2.0000000000000001E-4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21.39</v>
      </c>
      <c r="C23" s="33">
        <v>26.03</v>
      </c>
      <c r="D23" s="15">
        <v>0</v>
      </c>
      <c r="E23" s="15">
        <v>-3.8409833389443801E-4</v>
      </c>
      <c r="F23" s="33">
        <v>0</v>
      </c>
      <c r="G23" s="33">
        <v>8.4909999999999999E-2</v>
      </c>
      <c r="H23" s="33">
        <v>0</v>
      </c>
      <c r="I23" s="33">
        <v>0.10385999999999999</v>
      </c>
      <c r="J23" s="33">
        <v>8.4909999999999999E-2</v>
      </c>
      <c r="K23" s="33">
        <v>0.10385999999999999</v>
      </c>
      <c r="L23" s="33">
        <v>21.474910000000001</v>
      </c>
      <c r="M23" s="33">
        <v>26.133859999999999</v>
      </c>
      <c r="N23" s="34">
        <v>1.2169237961664301</v>
      </c>
      <c r="O23" s="34">
        <v>1.2195304988600599</v>
      </c>
      <c r="P23" s="34">
        <v>1.22140661704773</v>
      </c>
      <c r="Q23" s="34">
        <v>1.2196203423283101</v>
      </c>
      <c r="R23" s="33">
        <v>26.085757370616701</v>
      </c>
      <c r="S23" s="33">
        <v>26.135659476708199</v>
      </c>
      <c r="T23" s="33">
        <v>26.088481913100299</v>
      </c>
      <c r="U23" s="15">
        <v>2.1397517642949599E-3</v>
      </c>
      <c r="V23" s="15">
        <v>4.0509263088950899E-3</v>
      </c>
      <c r="W23" s="15">
        <v>2.2441919065351798E-3</v>
      </c>
      <c r="X23" s="34">
        <v>1.2169485227179</v>
      </c>
      <c r="Y23" s="34">
        <v>1.2179193246936699</v>
      </c>
      <c r="Z23" s="34">
        <v>1.21754769237686</v>
      </c>
      <c r="AA23" s="34">
        <v>1.21744849311779</v>
      </c>
      <c r="AB23" s="33">
        <v>26.154707885057402</v>
      </c>
      <c r="AC23" s="33">
        <v>26.146074270658101</v>
      </c>
      <c r="AD23" s="33">
        <v>26.145376246782</v>
      </c>
      <c r="AE23" s="15">
        <v>7.97416605787685E-4</v>
      </c>
      <c r="AF23" s="15">
        <v>4.67264201869344E-4</v>
      </c>
      <c r="AG23" s="15">
        <v>4.4056676398014898E-4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0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21.38</v>
      </c>
      <c r="C24" s="33">
        <v>26.03</v>
      </c>
      <c r="D24" s="15">
        <v>-4.67617497415213E-4</v>
      </c>
      <c r="E24" s="15">
        <v>0</v>
      </c>
      <c r="F24" s="33">
        <v>0</v>
      </c>
      <c r="G24" s="33">
        <v>8.4909999999999999E-2</v>
      </c>
      <c r="H24" s="33">
        <v>0</v>
      </c>
      <c r="I24" s="33">
        <v>0.10385999999999999</v>
      </c>
      <c r="J24" s="33">
        <v>8.4909999999999999E-2</v>
      </c>
      <c r="K24" s="33">
        <v>0.10385999999999999</v>
      </c>
      <c r="L24" s="33">
        <v>21.46491</v>
      </c>
      <c r="M24" s="33">
        <v>26.133859999999999</v>
      </c>
      <c r="N24" s="34">
        <v>1.2174929840972799</v>
      </c>
      <c r="O24" s="34">
        <v>1.2195304988600599</v>
      </c>
      <c r="P24" s="34">
        <v>1.2209025260231401</v>
      </c>
      <c r="Q24" s="34">
        <v>1.2195880147889899</v>
      </c>
      <c r="R24" s="33">
        <v>26.073562065628099</v>
      </c>
      <c r="S24" s="33">
        <v>26.1136734724804</v>
      </c>
      <c r="T24" s="33">
        <v>26.075482918979301</v>
      </c>
      <c r="U24" s="15">
        <v>1.67213426687986E-3</v>
      </c>
      <c r="V24" s="15">
        <v>3.2093459753528798E-3</v>
      </c>
      <c r="W24" s="15">
        <v>1.7458020915785901E-3</v>
      </c>
      <c r="X24" s="34">
        <v>1.21751547059829</v>
      </c>
      <c r="Y24" s="34">
        <v>1.2179193246936699</v>
      </c>
      <c r="Z24" s="34">
        <v>1.2175292296904301</v>
      </c>
      <c r="AA24" s="34">
        <v>1.2174172899035101</v>
      </c>
      <c r="AB24" s="33">
        <v>26.142528691810501</v>
      </c>
      <c r="AC24" s="33">
        <v>26.134551637577101</v>
      </c>
      <c r="AD24" s="33">
        <v>26.132422334408901</v>
      </c>
      <c r="AE24" s="15">
        <v>3.31648459540985E-4</v>
      </c>
      <c r="AF24" s="15">
        <v>2.6464840063424899E-5</v>
      </c>
      <c r="AG24" s="15">
        <v>-5.5013118483277297E-5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21.48</v>
      </c>
      <c r="C25" s="33">
        <v>26.14</v>
      </c>
      <c r="D25" s="15">
        <v>4.6663640437648399E-3</v>
      </c>
      <c r="E25" s="15">
        <v>4.2169891896017501E-3</v>
      </c>
      <c r="F25" s="33">
        <v>0</v>
      </c>
      <c r="G25" s="33">
        <v>8.4909999999999999E-2</v>
      </c>
      <c r="H25" s="33">
        <v>0</v>
      </c>
      <c r="I25" s="33">
        <v>0.10385999999999999</v>
      </c>
      <c r="J25" s="33">
        <v>8.4909999999999999E-2</v>
      </c>
      <c r="K25" s="33">
        <v>0.10385999999999999</v>
      </c>
      <c r="L25" s="33">
        <v>21.564910000000001</v>
      </c>
      <c r="M25" s="33">
        <v>26.243860000000002</v>
      </c>
      <c r="N25" s="34">
        <v>1.2169459962756</v>
      </c>
      <c r="O25" s="34">
        <v>1.2195304988600599</v>
      </c>
      <c r="P25" s="34">
        <v>1.22040086396846</v>
      </c>
      <c r="Q25" s="34">
        <v>1.2195566535149001</v>
      </c>
      <c r="R25" s="33">
        <v>26.195515115514102</v>
      </c>
      <c r="S25" s="33">
        <v>26.224986258977101</v>
      </c>
      <c r="T25" s="33">
        <v>26.196750557667499</v>
      </c>
      <c r="U25" s="15">
        <v>2.12150912104264E-3</v>
      </c>
      <c r="V25" s="15">
        <v>3.2459221195944802E-3</v>
      </c>
      <c r="W25" s="15">
        <v>2.1686703627928302E-3</v>
      </c>
      <c r="X25" s="34">
        <v>1.21697053222109</v>
      </c>
      <c r="Y25" s="34">
        <v>1.2179193246936699</v>
      </c>
      <c r="Z25" s="34">
        <v>1.2175129501594599</v>
      </c>
      <c r="AA25" s="34">
        <v>1.2173871554267</v>
      </c>
      <c r="AB25" s="33">
        <v>26.2643206242799</v>
      </c>
      <c r="AC25" s="33">
        <v>26.255908260643601</v>
      </c>
      <c r="AD25" s="33">
        <v>26.253494289213201</v>
      </c>
      <c r="AE25" s="15">
        <v>7.7933095651880205E-4</v>
      </c>
      <c r="AF25" s="15">
        <v>4.5898339190173399E-4</v>
      </c>
      <c r="AG25" s="15">
        <v>3.6703904232503101E-4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0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21.48</v>
      </c>
      <c r="C26" s="33">
        <v>26.16</v>
      </c>
      <c r="D26" s="15">
        <v>0</v>
      </c>
      <c r="E26" s="15">
        <v>7.6481839292204896E-4</v>
      </c>
      <c r="F26" s="33">
        <v>0</v>
      </c>
      <c r="G26" s="33">
        <v>8.4909999999999999E-2</v>
      </c>
      <c r="H26" s="33">
        <v>0</v>
      </c>
      <c r="I26" s="33">
        <v>0.10385999999999999</v>
      </c>
      <c r="J26" s="33">
        <v>8.4909999999999999E-2</v>
      </c>
      <c r="K26" s="33">
        <v>0.10385999999999999</v>
      </c>
      <c r="L26" s="33">
        <v>21.564910000000001</v>
      </c>
      <c r="M26" s="33">
        <v>26.263860000000001</v>
      </c>
      <c r="N26" s="34">
        <v>1.2178770949720601</v>
      </c>
      <c r="O26" s="34">
        <v>1.2195304988600599</v>
      </c>
      <c r="P26" s="34">
        <v>1.2200130365842401</v>
      </c>
      <c r="Q26" s="34">
        <v>1.2195697999690001</v>
      </c>
      <c r="R26" s="33">
        <v>26.195515115514102</v>
      </c>
      <c r="S26" s="33">
        <v>26.214210558042499</v>
      </c>
      <c r="T26" s="33">
        <v>26.1960769175001</v>
      </c>
      <c r="U26" s="15">
        <v>1.3566907281206699E-3</v>
      </c>
      <c r="V26" s="15">
        <v>2.0701248505519501E-3</v>
      </c>
      <c r="W26" s="15">
        <v>1.37813699322718E-3</v>
      </c>
      <c r="X26" s="34">
        <v>1.2178979647955801</v>
      </c>
      <c r="Y26" s="34">
        <v>1.2179193246936699</v>
      </c>
      <c r="Z26" s="34">
        <v>1.2176096077233001</v>
      </c>
      <c r="AA26" s="34">
        <v>1.2174013453719801</v>
      </c>
      <c r="AB26" s="33">
        <v>26.2643206242799</v>
      </c>
      <c r="AC26" s="33">
        <v>26.2555571940234</v>
      </c>
      <c r="AD26" s="33">
        <v>26.252844441932901</v>
      </c>
      <c r="AE26" s="15">
        <v>1.7538177582229399E-5</v>
      </c>
      <c r="AF26" s="15">
        <v>-3.1618043342308502E-4</v>
      </c>
      <c r="AG26" s="15">
        <v>-4.1950683484983698E-4</v>
      </c>
      <c r="AI26" s="12"/>
      <c r="AJ26">
        <f t="shared" si="6"/>
        <v>0</v>
      </c>
      <c r="AK26">
        <f t="shared" si="7"/>
        <v>0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21.49</v>
      </c>
      <c r="C27" s="33">
        <v>26.16</v>
      </c>
      <c r="D27" s="15">
        <v>4.6544101375508201E-4</v>
      </c>
      <c r="E27" s="15">
        <v>0</v>
      </c>
      <c r="F27" s="33">
        <v>0</v>
      </c>
      <c r="G27" s="33">
        <v>8.4909999999999999E-2</v>
      </c>
      <c r="H27" s="33">
        <v>0</v>
      </c>
      <c r="I27" s="33">
        <v>0.10385999999999999</v>
      </c>
      <c r="J27" s="33">
        <v>8.4909999999999999E-2</v>
      </c>
      <c r="K27" s="33">
        <v>0.10385999999999999</v>
      </c>
      <c r="L27" s="33">
        <v>21.574909999999999</v>
      </c>
      <c r="M27" s="33">
        <v>26.263860000000001</v>
      </c>
      <c r="N27" s="34">
        <v>1.21731037691949</v>
      </c>
      <c r="O27" s="34">
        <v>1.2195304988600599</v>
      </c>
      <c r="P27" s="34">
        <v>1.21953222173303</v>
      </c>
      <c r="Q27" s="34">
        <v>1.21959810951265</v>
      </c>
      <c r="R27" s="33">
        <v>26.2077104205027</v>
      </c>
      <c r="S27" s="33">
        <v>26.218080156195501</v>
      </c>
      <c r="T27" s="33">
        <v>26.208555001333899</v>
      </c>
      <c r="U27" s="15">
        <v>1.82213174187572E-3</v>
      </c>
      <c r="V27" s="15">
        <v>2.2177284782887601E-3</v>
      </c>
      <c r="W27" s="15">
        <v>1.8543576482620699E-3</v>
      </c>
      <c r="X27" s="34">
        <v>1.21733346743972</v>
      </c>
      <c r="Y27" s="34">
        <v>1.2179193246936699</v>
      </c>
      <c r="Z27" s="34">
        <v>1.2176134189962899</v>
      </c>
      <c r="AA27" s="34">
        <v>1.2174308094416399</v>
      </c>
      <c r="AB27" s="33">
        <v>26.276499817526801</v>
      </c>
      <c r="AC27" s="33">
        <v>26.2698177017656</v>
      </c>
      <c r="AD27" s="33">
        <v>26.265324460279501</v>
      </c>
      <c r="AE27" s="15">
        <v>4.8114698165734802E-4</v>
      </c>
      <c r="AF27" s="15">
        <v>2.2681457121879401E-4</v>
      </c>
      <c r="AG27" s="15">
        <v>5.5757967496847003E-5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21.52</v>
      </c>
      <c r="C28" s="33">
        <v>26.21</v>
      </c>
      <c r="D28" s="15">
        <v>1.39502463916473E-3</v>
      </c>
      <c r="E28" s="15">
        <v>1.9094907463169601E-3</v>
      </c>
      <c r="F28" s="33">
        <v>0</v>
      </c>
      <c r="G28" s="33">
        <v>8.4909999999999999E-2</v>
      </c>
      <c r="H28" s="33">
        <v>0</v>
      </c>
      <c r="I28" s="33">
        <v>0.10385999999999999</v>
      </c>
      <c r="J28" s="33">
        <v>8.4909999999999999E-2</v>
      </c>
      <c r="K28" s="33">
        <v>0.10385999999999999</v>
      </c>
      <c r="L28" s="33">
        <v>21.60491</v>
      </c>
      <c r="M28" s="33">
        <v>26.313859999999998</v>
      </c>
      <c r="N28" s="34">
        <v>1.2179368029739699</v>
      </c>
      <c r="O28" s="34">
        <v>1.2195304988600599</v>
      </c>
      <c r="P28" s="34">
        <v>1.21899988615</v>
      </c>
      <c r="Q28" s="34">
        <v>1.2196243723801601</v>
      </c>
      <c r="R28" s="33">
        <v>26.244296335468501</v>
      </c>
      <c r="S28" s="33">
        <v>26.2443334116949</v>
      </c>
      <c r="T28" s="33">
        <v>26.245751316712301</v>
      </c>
      <c r="U28" s="15">
        <v>1.30766563472328E-3</v>
      </c>
      <c r="V28" s="15">
        <v>1.30907836835898E-3</v>
      </c>
      <c r="W28" s="15">
        <v>1.3631040010148E-3</v>
      </c>
      <c r="X28" s="34">
        <v>1.21795739949854</v>
      </c>
      <c r="Y28" s="34">
        <v>1.2179193246936699</v>
      </c>
      <c r="Z28" s="34">
        <v>1.21756635988349</v>
      </c>
      <c r="AA28" s="34">
        <v>1.2174581021353801</v>
      </c>
      <c r="AB28" s="33">
        <v>26.3130373972676</v>
      </c>
      <c r="AC28" s="33">
        <v>26.3064283322073</v>
      </c>
      <c r="AD28" s="33">
        <v>26.302483069213899</v>
      </c>
      <c r="AE28" s="15">
        <v>-3.1261684541058201E-5</v>
      </c>
      <c r="AF28" s="15">
        <v>-2.8246397264776999E-4</v>
      </c>
      <c r="AG28" s="15">
        <v>-4.3244856254719398E-4</v>
      </c>
      <c r="AI28" s="12"/>
      <c r="AJ28">
        <f t="shared" si="6"/>
        <v>0</v>
      </c>
      <c r="AK28">
        <f t="shared" si="7"/>
        <v>0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21.51</v>
      </c>
      <c r="C29" s="33">
        <v>26.18</v>
      </c>
      <c r="D29" s="15">
        <v>-4.64792013944861E-4</v>
      </c>
      <c r="E29" s="15">
        <v>-1.1452568535611301E-3</v>
      </c>
      <c r="F29" s="33">
        <v>0</v>
      </c>
      <c r="G29" s="33">
        <v>8.4909999999999999E-2</v>
      </c>
      <c r="H29" s="33">
        <v>0</v>
      </c>
      <c r="I29" s="33">
        <v>0.10385999999999999</v>
      </c>
      <c r="J29" s="33">
        <v>8.4909999999999999E-2</v>
      </c>
      <c r="K29" s="33">
        <v>0.10385999999999999</v>
      </c>
      <c r="L29" s="33">
        <v>21.594909999999999</v>
      </c>
      <c r="M29" s="33">
        <v>26.283860000000001</v>
      </c>
      <c r="N29" s="34">
        <v>1.2171083217108301</v>
      </c>
      <c r="O29" s="34">
        <v>1.2195304988600599</v>
      </c>
      <c r="P29" s="34">
        <v>1.2184105780686301</v>
      </c>
      <c r="Q29" s="34">
        <v>1.21959606753547</v>
      </c>
      <c r="R29" s="33">
        <v>26.2321010304799</v>
      </c>
      <c r="S29" s="33">
        <v>26.220687551086499</v>
      </c>
      <c r="T29" s="33">
        <v>26.234120249897298</v>
      </c>
      <c r="U29" s="15">
        <v>1.9881304743397002E-3</v>
      </c>
      <c r="V29" s="15">
        <v>1.5529399007912701E-3</v>
      </c>
      <c r="W29" s="15">
        <v>2.0651026430646801E-3</v>
      </c>
      <c r="X29" s="34">
        <v>1.2171321853158901</v>
      </c>
      <c r="Y29" s="34">
        <v>1.2179193246936699</v>
      </c>
      <c r="Z29" s="34">
        <v>1.2174630026995099</v>
      </c>
      <c r="AA29" s="34">
        <v>1.2174309904709399</v>
      </c>
      <c r="AB29" s="33">
        <v>26.300858204020699</v>
      </c>
      <c r="AC29" s="33">
        <v>26.293235960711598</v>
      </c>
      <c r="AD29" s="33">
        <v>26.2908981443843</v>
      </c>
      <c r="AE29" s="15">
        <v>6.4650739581204898E-4</v>
      </c>
      <c r="AF29" s="15">
        <v>3.56655712517597E-4</v>
      </c>
      <c r="AG29" s="15">
        <v>2.67738537458852E-4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0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21.59</v>
      </c>
      <c r="C30" s="33">
        <v>26.28</v>
      </c>
      <c r="D30" s="15">
        <v>3.7123012470772301E-3</v>
      </c>
      <c r="E30" s="15">
        <v>3.8124331346559301E-3</v>
      </c>
      <c r="F30" s="33">
        <v>0</v>
      </c>
      <c r="G30" s="33">
        <v>8.4909999999999999E-2</v>
      </c>
      <c r="H30" s="33">
        <v>0</v>
      </c>
      <c r="I30" s="33">
        <v>0.10385999999999999</v>
      </c>
      <c r="J30" s="33">
        <v>8.4909999999999999E-2</v>
      </c>
      <c r="K30" s="33">
        <v>0.10385999999999999</v>
      </c>
      <c r="L30" s="33">
        <v>21.674910000000001</v>
      </c>
      <c r="M30" s="33">
        <v>26.383859999999999</v>
      </c>
      <c r="N30" s="34">
        <v>1.2172301991662799</v>
      </c>
      <c r="O30" s="34">
        <v>1.2195304988600599</v>
      </c>
      <c r="P30" s="34">
        <v>1.2179009963972101</v>
      </c>
      <c r="Q30" s="34">
        <v>1.21962231067244</v>
      </c>
      <c r="R30" s="33">
        <v>26.329663470388699</v>
      </c>
      <c r="S30" s="33">
        <v>26.305484380501699</v>
      </c>
      <c r="T30" s="33">
        <v>26.3310790980908</v>
      </c>
      <c r="U30" s="15">
        <v>1.88799858676098E-3</v>
      </c>
      <c r="V30" s="15">
        <v>9.6925540563564804E-4</v>
      </c>
      <c r="W30" s="15">
        <v>1.9417626483143101E-3</v>
      </c>
      <c r="X30" s="34">
        <v>1.21725349724635</v>
      </c>
      <c r="Y30" s="34">
        <v>1.2179193246936699</v>
      </c>
      <c r="Z30" s="34">
        <v>1.2174385986452301</v>
      </c>
      <c r="AA30" s="34">
        <v>1.2174583985119101</v>
      </c>
      <c r="AB30" s="33">
        <v>26.398291749996201</v>
      </c>
      <c r="AC30" s="33">
        <v>26.388401011841601</v>
      </c>
      <c r="AD30" s="33">
        <v>26.387707149668501</v>
      </c>
      <c r="AE30" s="15">
        <v>5.4684206222634904E-4</v>
      </c>
      <c r="AF30" s="15">
        <v>1.7209843830183399E-4</v>
      </c>
      <c r="AG30" s="15">
        <v>1.4580388202067599E-4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21.64</v>
      </c>
      <c r="C31" s="33">
        <v>26.36</v>
      </c>
      <c r="D31" s="15">
        <v>2.3132094515647102E-3</v>
      </c>
      <c r="E31" s="15">
        <v>3.0395160178965899E-3</v>
      </c>
      <c r="F31" s="33">
        <v>0</v>
      </c>
      <c r="G31" s="33">
        <v>8.4909999999999999E-2</v>
      </c>
      <c r="H31" s="33">
        <v>0</v>
      </c>
      <c r="I31" s="33">
        <v>0.10385999999999999</v>
      </c>
      <c r="J31" s="33">
        <v>8.4909999999999999E-2</v>
      </c>
      <c r="K31" s="33">
        <v>0.10385999999999999</v>
      </c>
      <c r="L31" s="33">
        <v>21.724910000000001</v>
      </c>
      <c r="M31" s="33">
        <v>26.46386</v>
      </c>
      <c r="N31" s="34">
        <v>1.2181146025878</v>
      </c>
      <c r="O31" s="34">
        <v>1.2195304988600599</v>
      </c>
      <c r="P31" s="34">
        <v>1.2174331479217599</v>
      </c>
      <c r="Q31" s="34">
        <v>1.2196776690546101</v>
      </c>
      <c r="R31" s="33">
        <v>26.3906399953317</v>
      </c>
      <c r="S31" s="33">
        <v>26.355377562035699</v>
      </c>
      <c r="T31" s="33">
        <v>26.3926268029516</v>
      </c>
      <c r="U31" s="15">
        <v>1.1616920204290499E-3</v>
      </c>
      <c r="V31" s="15">
        <v>-1.75373418150311E-4</v>
      </c>
      <c r="W31" s="15">
        <v>1.23697374288892E-3</v>
      </c>
      <c r="X31" s="34">
        <v>1.21813439043015</v>
      </c>
      <c r="Y31" s="34">
        <v>1.2179193246936699</v>
      </c>
      <c r="Z31" s="34">
        <v>1.2174557612674499</v>
      </c>
      <c r="AA31" s="34">
        <v>1.2175147462862099</v>
      </c>
      <c r="AB31" s="33">
        <v>26.4591877162309</v>
      </c>
      <c r="AC31" s="33">
        <v>26.448743986093699</v>
      </c>
      <c r="AD31" s="33">
        <v>26.4491741364155</v>
      </c>
      <c r="AE31" s="15">
        <v>-1.7656896126939001E-4</v>
      </c>
      <c r="AF31" s="15">
        <v>-5.7135779299182497E-4</v>
      </c>
      <c r="AG31" s="15">
        <v>-5.5509438085638702E-4</v>
      </c>
      <c r="AI31" s="12"/>
      <c r="AJ31">
        <f t="shared" si="6"/>
        <v>0</v>
      </c>
      <c r="AK31">
        <f t="shared" si="7"/>
        <v>0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21.64</v>
      </c>
      <c r="C32" s="33">
        <v>26.35</v>
      </c>
      <c r="D32" s="15">
        <v>0</v>
      </c>
      <c r="E32" s="15">
        <v>-3.7943464693508103E-4</v>
      </c>
      <c r="F32" s="33">
        <v>0</v>
      </c>
      <c r="G32" s="33">
        <v>8.4909999999999999E-2</v>
      </c>
      <c r="H32" s="33">
        <v>0</v>
      </c>
      <c r="I32" s="33">
        <v>0.10385999999999999</v>
      </c>
      <c r="J32" s="33">
        <v>8.4909999999999999E-2</v>
      </c>
      <c r="K32" s="33">
        <v>0.10385999999999999</v>
      </c>
      <c r="L32" s="33">
        <v>21.724910000000001</v>
      </c>
      <c r="M32" s="33">
        <v>26.453859999999999</v>
      </c>
      <c r="N32" s="34">
        <v>1.2176524953789201</v>
      </c>
      <c r="O32" s="34">
        <v>1.2195304988600599</v>
      </c>
      <c r="P32" s="34">
        <v>1.2174592670248701</v>
      </c>
      <c r="Q32" s="34">
        <v>1.2196613650857899</v>
      </c>
      <c r="R32" s="33">
        <v>26.3906399953317</v>
      </c>
      <c r="S32" s="33">
        <v>26.345253321026899</v>
      </c>
      <c r="T32" s="33">
        <v>26.3938247583419</v>
      </c>
      <c r="U32" s="15">
        <v>1.54112666736413E-3</v>
      </c>
      <c r="V32" s="15">
        <v>-1.8015584656264999E-4</v>
      </c>
      <c r="W32" s="15">
        <v>1.66179713466685E-3</v>
      </c>
      <c r="X32" s="34">
        <v>1.2176740893287901</v>
      </c>
      <c r="Y32" s="34">
        <v>1.2179193246936699</v>
      </c>
      <c r="Z32" s="34">
        <v>1.21748175195923</v>
      </c>
      <c r="AA32" s="34">
        <v>1.2174995220148701</v>
      </c>
      <c r="AB32" s="33">
        <v>26.4591877162309</v>
      </c>
      <c r="AC32" s="33">
        <v>26.449116842516901</v>
      </c>
      <c r="AD32" s="33">
        <v>26.4503982867407</v>
      </c>
      <c r="AE32" s="15">
        <v>2.0137627594166599E-4</v>
      </c>
      <c r="AF32" s="15">
        <v>-1.7931533455525499E-4</v>
      </c>
      <c r="AG32" s="15">
        <v>-1.30867093737604E-4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21.63</v>
      </c>
      <c r="C33" s="33">
        <v>26.35</v>
      </c>
      <c r="D33" s="15">
        <v>-4.6221401331343398E-4</v>
      </c>
      <c r="E33" s="15">
        <v>0</v>
      </c>
      <c r="F33" s="33">
        <v>0</v>
      </c>
      <c r="G33" s="33">
        <v>8.4909999999999999E-2</v>
      </c>
      <c r="H33" s="33">
        <v>0</v>
      </c>
      <c r="I33" s="33">
        <v>0.10385999999999999</v>
      </c>
      <c r="J33" s="33">
        <v>8.4909999999999999E-2</v>
      </c>
      <c r="K33" s="33">
        <v>0.10385999999999999</v>
      </c>
      <c r="L33" s="33">
        <v>21.71491</v>
      </c>
      <c r="M33" s="33">
        <v>26.453859999999999</v>
      </c>
      <c r="N33" s="34">
        <v>1.2182154415164099</v>
      </c>
      <c r="O33" s="34">
        <v>1.2195304988600599</v>
      </c>
      <c r="P33" s="34">
        <v>1.21758843155986</v>
      </c>
      <c r="Q33" s="34">
        <v>1.21949752430379</v>
      </c>
      <c r="R33" s="33">
        <v>26.378444690343098</v>
      </c>
      <c r="S33" s="33">
        <v>26.333643945747902</v>
      </c>
      <c r="T33" s="33">
        <v>26.3812753268056</v>
      </c>
      <c r="U33" s="15">
        <v>1.0789126540505501E-3</v>
      </c>
      <c r="V33" s="15">
        <v>-6.2091584987450203E-4</v>
      </c>
      <c r="W33" s="15">
        <v>1.18621559137986E-3</v>
      </c>
      <c r="X33" s="34">
        <v>1.2182348441692801</v>
      </c>
      <c r="Y33" s="34">
        <v>1.2179193246936699</v>
      </c>
      <c r="Z33" s="34">
        <v>1.2176103841043699</v>
      </c>
      <c r="AA33" s="34">
        <v>1.21757903824061</v>
      </c>
      <c r="AB33" s="33">
        <v>26.4470085229839</v>
      </c>
      <c r="AC33" s="33">
        <v>26.437506670436999</v>
      </c>
      <c r="AD33" s="33">
        <v>26.437892545596</v>
      </c>
      <c r="AE33" s="15">
        <v>-2.5903079649319702E-4</v>
      </c>
      <c r="AF33" s="15">
        <v>-6.1837426837205297E-4</v>
      </c>
      <c r="AG33" s="15">
        <v>-6.0377862787693297E-4</v>
      </c>
      <c r="AI33" s="12"/>
      <c r="AJ33">
        <f t="shared" si="6"/>
        <v>0</v>
      </c>
      <c r="AK33">
        <f t="shared" si="7"/>
        <v>0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21.64</v>
      </c>
      <c r="C34" s="33">
        <v>26.37</v>
      </c>
      <c r="D34" s="15">
        <v>4.6221401331344601E-4</v>
      </c>
      <c r="E34" s="15">
        <v>7.58725377823963E-4</v>
      </c>
      <c r="F34" s="33">
        <v>0</v>
      </c>
      <c r="G34" s="33">
        <v>8.4909999999999999E-2</v>
      </c>
      <c r="H34" s="33">
        <v>0</v>
      </c>
      <c r="I34" s="33">
        <v>0.10385999999999999</v>
      </c>
      <c r="J34" s="33">
        <v>8.4909999999999999E-2</v>
      </c>
      <c r="K34" s="33">
        <v>0.10385999999999999</v>
      </c>
      <c r="L34" s="33">
        <v>21.724910000000001</v>
      </c>
      <c r="M34" s="33">
        <v>26.473859999999998</v>
      </c>
      <c r="N34" s="34">
        <v>1.21857670979667</v>
      </c>
      <c r="O34" s="34">
        <v>1.2195304988600599</v>
      </c>
      <c r="P34" s="34">
        <v>1.2176968041298</v>
      </c>
      <c r="Q34" s="34">
        <v>1.21929966507647</v>
      </c>
      <c r="R34" s="33">
        <v>26.3906399953317</v>
      </c>
      <c r="S34" s="33">
        <v>26.3486136589555</v>
      </c>
      <c r="T34" s="33">
        <v>26.389926425934199</v>
      </c>
      <c r="U34" s="15">
        <v>7.8240128954025999E-4</v>
      </c>
      <c r="V34" s="15">
        <v>-8.1133932526998001E-4</v>
      </c>
      <c r="W34" s="15">
        <v>7.5536219367741404E-4</v>
      </c>
      <c r="X34" s="34">
        <v>1.21859469153151</v>
      </c>
      <c r="Y34" s="34">
        <v>1.2179193246936699</v>
      </c>
      <c r="Z34" s="34">
        <v>1.2177183061976899</v>
      </c>
      <c r="AA34" s="34">
        <v>1.21762376794406</v>
      </c>
      <c r="AB34" s="33">
        <v>26.4591877162309</v>
      </c>
      <c r="AC34" s="33">
        <v>26.452476009732901</v>
      </c>
      <c r="AD34" s="33">
        <v>26.451795023664001</v>
      </c>
      <c r="AE34" s="15">
        <v>-5.5437140984280196E-4</v>
      </c>
      <c r="AF34" s="15">
        <v>-8.0806619323718404E-4</v>
      </c>
      <c r="AG34" s="15">
        <v>-8.3381027989117896E-4</v>
      </c>
      <c r="AI34" s="12"/>
      <c r="AJ34">
        <f t="shared" si="6"/>
        <v>0</v>
      </c>
      <c r="AK34">
        <f t="shared" si="7"/>
        <v>0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B35" s="33">
        <v>21.65</v>
      </c>
      <c r="C35" s="33">
        <v>26.37</v>
      </c>
      <c r="D35" s="15">
        <v>4.6200047021803102E-4</v>
      </c>
      <c r="E35" s="15">
        <v>0</v>
      </c>
      <c r="F35" s="33">
        <v>0</v>
      </c>
      <c r="G35" s="33">
        <v>8.4909999999999999E-2</v>
      </c>
      <c r="H35" s="33">
        <v>0</v>
      </c>
      <c r="I35" s="33">
        <v>0.10385999999999999</v>
      </c>
      <c r="J35" s="33">
        <v>8.4909999999999999E-2</v>
      </c>
      <c r="K35" s="33">
        <v>0.10385999999999999</v>
      </c>
      <c r="L35" s="33">
        <v>21.734909999999999</v>
      </c>
      <c r="M35" s="33">
        <v>26.473859999999998</v>
      </c>
      <c r="N35" s="34">
        <v>1.21801385681293</v>
      </c>
      <c r="O35" s="34">
        <v>1.2195304988600599</v>
      </c>
      <c r="P35" s="34">
        <v>1.21780359018354</v>
      </c>
      <c r="Q35" s="34">
        <v>1.2191022270759999</v>
      </c>
      <c r="R35" s="33">
        <v>26.402835300320302</v>
      </c>
      <c r="S35" s="33">
        <v>26.363135809410299</v>
      </c>
      <c r="T35" s="33">
        <v>26.397837748905602</v>
      </c>
      <c r="U35" s="15">
        <v>1.2444017597581999E-3</v>
      </c>
      <c r="V35" s="15">
        <v>-2.6033690290109499E-4</v>
      </c>
      <c r="W35" s="15">
        <v>1.0551029822624899E-3</v>
      </c>
      <c r="X35" s="34">
        <v>1.21803402912641</v>
      </c>
      <c r="Y35" s="34">
        <v>1.2179193246936699</v>
      </c>
      <c r="Z35" s="34">
        <v>1.21782465588822</v>
      </c>
      <c r="AA35" s="34">
        <v>1.2176688030238401</v>
      </c>
      <c r="AB35" s="33">
        <v>26.471366909477801</v>
      </c>
      <c r="AC35" s="33">
        <v>26.466997790559301</v>
      </c>
      <c r="AD35" s="33">
        <v>26.464943010125101</v>
      </c>
      <c r="AE35" s="15">
        <v>-9.4176214534450305E-5</v>
      </c>
      <c r="AF35" s="15">
        <v>-2.5924058526774599E-4</v>
      </c>
      <c r="AG35" s="15">
        <v>-3.3687916810099899E-4</v>
      </c>
      <c r="AI35" s="12"/>
      <c r="AJ35">
        <f t="shared" si="6"/>
        <v>0</v>
      </c>
      <c r="AK35">
        <f t="shared" si="7"/>
        <v>0</v>
      </c>
      <c r="AL35">
        <f t="shared" si="14"/>
        <v>0</v>
      </c>
      <c r="AM35">
        <f t="shared" si="4"/>
        <v>0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0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B36" s="33">
        <v>21.61</v>
      </c>
      <c r="C36" s="33">
        <v>26.4</v>
      </c>
      <c r="D36" s="15">
        <v>-1.84928392970422E-3</v>
      </c>
      <c r="E36" s="15">
        <v>1.1370097870751E-3</v>
      </c>
      <c r="F36" s="33">
        <v>8.2699999999999996E-2</v>
      </c>
      <c r="G36" s="33">
        <v>0.16760999999999901</v>
      </c>
      <c r="H36" s="33">
        <v>0</v>
      </c>
      <c r="I36" s="33">
        <v>0.10385999999999999</v>
      </c>
      <c r="J36" s="33">
        <v>0.16760999999999901</v>
      </c>
      <c r="K36" s="33">
        <v>0.10385999999999999</v>
      </c>
      <c r="L36" s="33">
        <v>21.777609999999999</v>
      </c>
      <c r="M36" s="33">
        <v>26.50386</v>
      </c>
      <c r="N36" s="34">
        <v>1.2216566404442299</v>
      </c>
      <c r="O36" s="34">
        <v>1.2195304988600599</v>
      </c>
      <c r="P36" s="34">
        <v>1.21818154473075</v>
      </c>
      <c r="Q36" s="34">
        <v>1.2190972906574999</v>
      </c>
      <c r="R36" s="33">
        <v>26.354054080365898</v>
      </c>
      <c r="S36" s="33">
        <v>26.316735583866301</v>
      </c>
      <c r="T36" s="33">
        <v>26.344799127112299</v>
      </c>
      <c r="U36" s="15">
        <v>-1.74189195702115E-3</v>
      </c>
      <c r="V36" s="15">
        <v>-3.1589393558640899E-3</v>
      </c>
      <c r="W36" s="15">
        <v>-2.0931312263950301E-3</v>
      </c>
      <c r="X36" s="34">
        <v>1.2170233556391099</v>
      </c>
      <c r="Y36" s="34">
        <v>1.2179193246936699</v>
      </c>
      <c r="Z36" s="34">
        <v>1.2177371949725699</v>
      </c>
      <c r="AA36" s="34">
        <v>1.21767340134794</v>
      </c>
      <c r="AB36" s="33">
        <v>26.523372064642199</v>
      </c>
      <c r="AC36" s="33">
        <v>26.521310404317902</v>
      </c>
      <c r="AD36" s="33">
        <v>26.517916301420101</v>
      </c>
      <c r="AE36" s="15">
        <v>7.3592623122787401E-4</v>
      </c>
      <c r="AF36" s="15">
        <v>6.5819326236668898E-4</v>
      </c>
      <c r="AG36" s="15">
        <v>5.3020863237555199E-4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0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B37" s="33">
        <v>21.59</v>
      </c>
      <c r="C37" s="33">
        <v>26.4</v>
      </c>
      <c r="D37" s="15">
        <v>-9.2592599207864002E-4</v>
      </c>
      <c r="E37" s="15">
        <v>0</v>
      </c>
      <c r="F37" s="33">
        <v>0</v>
      </c>
      <c r="G37" s="33">
        <v>0.16760999999999901</v>
      </c>
      <c r="H37" s="33">
        <v>0</v>
      </c>
      <c r="I37" s="33">
        <v>0.10385999999999999</v>
      </c>
      <c r="J37" s="33">
        <v>0.16760999999999901</v>
      </c>
      <c r="K37" s="33">
        <v>0.10385999999999999</v>
      </c>
      <c r="L37" s="33">
        <v>21.75761</v>
      </c>
      <c r="M37" s="33">
        <v>26.50386</v>
      </c>
      <c r="N37" s="34">
        <v>1.2227883279295899</v>
      </c>
      <c r="O37" s="34">
        <v>1.2195304988600599</v>
      </c>
      <c r="P37" s="34">
        <v>1.21872933983176</v>
      </c>
      <c r="Q37" s="34">
        <v>1.2191307807823999</v>
      </c>
      <c r="R37" s="33">
        <v>26.329663470388699</v>
      </c>
      <c r="S37" s="33">
        <v>26.300539550737</v>
      </c>
      <c r="T37" s="33">
        <v>26.320310505295399</v>
      </c>
      <c r="U37" s="15">
        <v>-2.66781794909975E-3</v>
      </c>
      <c r="V37" s="15">
        <v>-3.77455594183599E-3</v>
      </c>
      <c r="W37" s="15">
        <v>-3.0231064510831398E-3</v>
      </c>
      <c r="X37" s="34">
        <v>1.21814206615524</v>
      </c>
      <c r="Y37" s="34">
        <v>1.2179193246936699</v>
      </c>
      <c r="Z37" s="34">
        <v>1.21781805484413</v>
      </c>
      <c r="AA37" s="34">
        <v>1.2177157369202101</v>
      </c>
      <c r="AB37" s="33">
        <v>26.499013678148302</v>
      </c>
      <c r="AC37" s="33">
        <v>26.4950509707073</v>
      </c>
      <c r="AD37" s="33">
        <v>26.493662973902001</v>
      </c>
      <c r="AE37" s="15">
        <v>-1.8287015509922799E-4</v>
      </c>
      <c r="AF37" s="15">
        <v>-3.3242303332024E-4</v>
      </c>
      <c r="AG37" s="15">
        <v>-3.8481142708532201E-4</v>
      </c>
      <c r="AI37" s="12"/>
      <c r="AJ37">
        <f t="shared" si="6"/>
        <v>0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B38" s="33">
        <v>21.59</v>
      </c>
      <c r="C38" s="33">
        <v>26.39</v>
      </c>
      <c r="D38" s="15">
        <v>0</v>
      </c>
      <c r="E38" s="15">
        <v>-3.7885963703765602E-4</v>
      </c>
      <c r="F38" s="33">
        <v>0</v>
      </c>
      <c r="G38" s="33">
        <v>0.16760999999999901</v>
      </c>
      <c r="H38" s="33">
        <v>0</v>
      </c>
      <c r="I38" s="33">
        <v>0.10385999999999999</v>
      </c>
      <c r="J38" s="33">
        <v>0.16760999999999901</v>
      </c>
      <c r="K38" s="33">
        <v>0.10385999999999999</v>
      </c>
      <c r="L38" s="33">
        <v>21.75761</v>
      </c>
      <c r="M38" s="33">
        <v>26.493860000000002</v>
      </c>
      <c r="N38" s="34">
        <v>1.22232515053265</v>
      </c>
      <c r="O38" s="34">
        <v>1.2195304988600599</v>
      </c>
      <c r="P38" s="34">
        <v>1.2191681745876299</v>
      </c>
      <c r="Q38" s="34">
        <v>1.21908403036881</v>
      </c>
      <c r="R38" s="33">
        <v>26.329663470388699</v>
      </c>
      <c r="S38" s="33">
        <v>26.3123664469678</v>
      </c>
      <c r="T38" s="33">
        <v>26.321033557092001</v>
      </c>
      <c r="U38" s="15">
        <v>-2.2889583120620101E-3</v>
      </c>
      <c r="V38" s="15">
        <v>-2.9461147351913198E-3</v>
      </c>
      <c r="W38" s="15">
        <v>-2.6167759426432399E-3</v>
      </c>
      <c r="X38" s="34">
        <v>1.2176824568507201</v>
      </c>
      <c r="Y38" s="34">
        <v>1.2179193246936699</v>
      </c>
      <c r="Z38" s="34">
        <v>1.21779056057935</v>
      </c>
      <c r="AA38" s="34">
        <v>1.2176784602314199</v>
      </c>
      <c r="AB38" s="33">
        <v>26.499013678148302</v>
      </c>
      <c r="AC38" s="33">
        <v>26.496810288257201</v>
      </c>
      <c r="AD38" s="33">
        <v>26.494584094772598</v>
      </c>
      <c r="AE38" s="15">
        <v>1.9450457417863001E-4</v>
      </c>
      <c r="AF38" s="15">
        <v>1.11351233876332E-4</v>
      </c>
      <c r="AG38" s="15">
        <v>2.7330290030352E-5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25">
      <c r="A39" s="1">
        <v>46079</v>
      </c>
      <c r="B39" s="33">
        <v>21.61</v>
      </c>
      <c r="C39" s="33">
        <v>26.4</v>
      </c>
      <c r="D39" s="15">
        <v>9.2592599207859296E-4</v>
      </c>
      <c r="E39" s="15">
        <v>3.7885963703776997E-4</v>
      </c>
      <c r="F39" s="33">
        <v>0</v>
      </c>
      <c r="G39" s="33">
        <v>0.16760999999999901</v>
      </c>
      <c r="H39" s="33">
        <v>0</v>
      </c>
      <c r="I39" s="33">
        <v>0.10385999999999999</v>
      </c>
      <c r="J39" s="33">
        <v>0.16760999999999901</v>
      </c>
      <c r="K39" s="33">
        <v>0.10385999999999999</v>
      </c>
      <c r="L39" s="33">
        <v>21.777609999999999</v>
      </c>
      <c r="M39" s="33">
        <v>26.50386</v>
      </c>
      <c r="N39" s="34">
        <v>1.2216566404442299</v>
      </c>
      <c r="O39" s="34">
        <v>1.2195304988600599</v>
      </c>
      <c r="P39" s="34">
        <v>1.2196230064609701</v>
      </c>
      <c r="Q39" s="34">
        <v>1.2190167922648001</v>
      </c>
      <c r="R39" s="33">
        <v>26.354054080365898</v>
      </c>
      <c r="S39" s="33">
        <v>26.346224252838699</v>
      </c>
      <c r="T39" s="33">
        <v>26.3444058962701</v>
      </c>
      <c r="U39" s="15">
        <v>-1.74189195702115E-3</v>
      </c>
      <c r="V39" s="15">
        <v>-2.0390375445746502E-3</v>
      </c>
      <c r="W39" s="15">
        <v>-2.1080576555199599E-3</v>
      </c>
      <c r="X39" s="34">
        <v>1.2170233556391099</v>
      </c>
      <c r="Y39" s="34">
        <v>1.2179193246936699</v>
      </c>
      <c r="Z39" s="34">
        <v>1.2177796776116701</v>
      </c>
      <c r="AA39" s="34">
        <v>1.21762134015559</v>
      </c>
      <c r="AB39" s="33">
        <v>26.523372064642199</v>
      </c>
      <c r="AC39" s="33">
        <v>26.520567889978398</v>
      </c>
      <c r="AD39" s="33">
        <v>26.518126612320302</v>
      </c>
      <c r="AE39" s="15">
        <v>7.3592623122787401E-4</v>
      </c>
      <c r="AF39" s="15">
        <v>6.3019597556396095E-4</v>
      </c>
      <c r="AG39" s="15">
        <v>5.3813949933625396E-4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0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25">
      <c r="A40" s="1">
        <v>46080</v>
      </c>
      <c r="B40" s="33">
        <v>21.64</v>
      </c>
      <c r="C40" s="33">
        <v>26.44</v>
      </c>
      <c r="D40" s="15">
        <v>1.3872834594862999E-3</v>
      </c>
      <c r="E40" s="15">
        <v>1.5140048312152299E-3</v>
      </c>
      <c r="F40" s="33">
        <v>0</v>
      </c>
      <c r="G40" s="33">
        <v>0.16760999999999901</v>
      </c>
      <c r="H40" s="33">
        <v>0</v>
      </c>
      <c r="I40" s="33">
        <v>0.10385999999999999</v>
      </c>
      <c r="J40" s="33">
        <v>0.16760999999999901</v>
      </c>
      <c r="K40" s="33">
        <v>0.10385999999999999</v>
      </c>
      <c r="L40" s="33">
        <v>21.80761</v>
      </c>
      <c r="M40" s="33">
        <v>26.543859999999999</v>
      </c>
      <c r="N40" s="34">
        <v>1.22181146025878</v>
      </c>
      <c r="O40" s="34">
        <v>1.2195304988600599</v>
      </c>
      <c r="P40" s="34">
        <v>1.2200811325702201</v>
      </c>
      <c r="Q40" s="34">
        <v>1.2189910644837201</v>
      </c>
      <c r="R40" s="33">
        <v>26.3906399953317</v>
      </c>
      <c r="S40" s="33">
        <v>26.392641859815502</v>
      </c>
      <c r="T40" s="33">
        <v>26.379523384610302</v>
      </c>
      <c r="U40" s="15">
        <v>-1.86861332875006E-3</v>
      </c>
      <c r="V40" s="15">
        <v>-1.7927611113676999E-3</v>
      </c>
      <c r="W40" s="15">
        <v>-2.2899351581257398E-3</v>
      </c>
      <c r="X40" s="34">
        <v>1.2171833593869199</v>
      </c>
      <c r="Y40" s="34">
        <v>1.2179193246936699</v>
      </c>
      <c r="Z40" s="34">
        <v>1.21777266382573</v>
      </c>
      <c r="AA40" s="34">
        <v>1.2176056312354799</v>
      </c>
      <c r="AB40" s="33">
        <v>26.559909644383001</v>
      </c>
      <c r="AC40" s="33">
        <v>26.556864275281001</v>
      </c>
      <c r="AD40" s="33">
        <v>26.553411313790502</v>
      </c>
      <c r="AE40" s="15">
        <v>6.0446348646161401E-4</v>
      </c>
      <c r="AF40" s="15">
        <v>4.8979654114167099E-4</v>
      </c>
      <c r="AG40" s="15">
        <v>3.59766656824197E-4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0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0</v>
      </c>
      <c r="BH40" s="29"/>
    </row>
    <row r="41" spans="1:124" x14ac:dyDescent="0.25">
      <c r="A41" s="1">
        <v>46083</v>
      </c>
      <c r="B41" s="33">
        <v>21.57</v>
      </c>
      <c r="C41" s="33">
        <v>26.26</v>
      </c>
      <c r="D41" s="15">
        <v>-3.2399935772157401E-3</v>
      </c>
      <c r="E41" s="15">
        <v>-6.8311461088353597E-3</v>
      </c>
      <c r="F41" s="33">
        <v>0</v>
      </c>
      <c r="G41" s="33">
        <v>0.16760999999999901</v>
      </c>
      <c r="H41" s="33">
        <v>0.102746</v>
      </c>
      <c r="I41" s="33">
        <v>0.20660600000000001</v>
      </c>
      <c r="J41" s="33">
        <v>0.16760999999999901</v>
      </c>
      <c r="K41" s="33">
        <v>0.20660600000000001</v>
      </c>
      <c r="L41" s="33">
        <v>21.73761</v>
      </c>
      <c r="M41" s="33">
        <v>26.466605999999999</v>
      </c>
      <c r="N41" s="34">
        <v>1.2174316179879401</v>
      </c>
      <c r="O41" s="34">
        <v>1.2195304988600599</v>
      </c>
      <c r="P41" s="34">
        <v>1.2200128341102401</v>
      </c>
      <c r="Q41" s="34">
        <v>1.218722991016</v>
      </c>
      <c r="R41" s="33">
        <v>26.305272860411499</v>
      </c>
      <c r="S41" s="33">
        <v>26.3171500295397</v>
      </c>
      <c r="T41" s="33">
        <v>26.293637260913801</v>
      </c>
      <c r="U41" s="15">
        <v>1.7225392028695601E-3</v>
      </c>
      <c r="V41" s="15">
        <v>2.17395016715533E-3</v>
      </c>
      <c r="W41" s="15">
        <v>1.2801117966498E-3</v>
      </c>
      <c r="X41" s="34">
        <v>1.2175490313792501</v>
      </c>
      <c r="Y41" s="34">
        <v>1.2179193246936699</v>
      </c>
      <c r="Z41" s="34">
        <v>1.21771412792064</v>
      </c>
      <c r="AA41" s="34">
        <v>1.2175849445940401</v>
      </c>
      <c r="AB41" s="33">
        <v>26.4746552916545</v>
      </c>
      <c r="AC41" s="33">
        <v>26.4714672349048</v>
      </c>
      <c r="AD41" s="33">
        <v>26.467836345600599</v>
      </c>
      <c r="AE41" s="15">
        <v>3.0408386654015302E-4</v>
      </c>
      <c r="AF41" s="15">
        <v>1.8365741786333201E-4</v>
      </c>
      <c r="AG41" s="15">
        <v>4.6485635680132799E-5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0</v>
      </c>
      <c r="BH41" s="29"/>
    </row>
    <row r="42" spans="1:124" x14ac:dyDescent="0.25">
      <c r="A42" s="1">
        <v>46084</v>
      </c>
      <c r="B42" s="33">
        <v>21.56</v>
      </c>
      <c r="C42" s="33">
        <v>26.24</v>
      </c>
      <c r="D42" s="15">
        <v>-4.6371436026864001E-4</v>
      </c>
      <c r="E42" s="15">
        <v>-7.6190479876191305E-4</v>
      </c>
      <c r="F42" s="33">
        <v>0</v>
      </c>
      <c r="G42" s="33">
        <v>0.16760999999999901</v>
      </c>
      <c r="H42" s="33">
        <v>0</v>
      </c>
      <c r="I42" s="33">
        <v>0.20660600000000001</v>
      </c>
      <c r="J42" s="33">
        <v>0.16760999999999901</v>
      </c>
      <c r="K42" s="33">
        <v>0.20660600000000001</v>
      </c>
      <c r="L42" s="33">
        <v>21.727609999999999</v>
      </c>
      <c r="M42" s="33">
        <v>26.446605999999999</v>
      </c>
      <c r="N42" s="34">
        <v>1.2170686456400699</v>
      </c>
      <c r="O42" s="34">
        <v>1.2195304988600599</v>
      </c>
      <c r="P42" s="34">
        <v>1.2199544491363501</v>
      </c>
      <c r="Q42" s="34">
        <v>1.21870685808061</v>
      </c>
      <c r="R42" s="33">
        <v>26.293077555422901</v>
      </c>
      <c r="S42" s="33">
        <v>26.303476703416699</v>
      </c>
      <c r="T42" s="33">
        <v>26.275667686304899</v>
      </c>
      <c r="U42" s="15">
        <v>2.0207296413626702E-3</v>
      </c>
      <c r="V42" s="15">
        <v>2.41616041723316E-3</v>
      </c>
      <c r="W42" s="15">
        <v>1.35836383162389E-3</v>
      </c>
      <c r="X42" s="34">
        <v>1.2171889130925999</v>
      </c>
      <c r="Y42" s="34">
        <v>1.2179193246936699</v>
      </c>
      <c r="Z42" s="34">
        <v>1.21766561029702</v>
      </c>
      <c r="AA42" s="34">
        <v>1.2175736811281199</v>
      </c>
      <c r="AB42" s="33">
        <v>26.4624760984075</v>
      </c>
      <c r="AC42" s="33">
        <v>26.4580176629497</v>
      </c>
      <c r="AD42" s="33">
        <v>26.455210818011</v>
      </c>
      <c r="AE42" s="15">
        <v>5.9990074498003404E-4</v>
      </c>
      <c r="AF42" s="15">
        <v>4.3140513386766499E-4</v>
      </c>
      <c r="AG42" s="15">
        <v>3.25312762568198E-4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0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0</v>
      </c>
      <c r="BH42" s="29"/>
    </row>
    <row r="43" spans="1:124" x14ac:dyDescent="0.25">
      <c r="A43" s="1">
        <v>46085</v>
      </c>
      <c r="B43" s="33">
        <v>21.55</v>
      </c>
      <c r="C43" s="33">
        <v>26.24</v>
      </c>
      <c r="D43" s="15">
        <v>-4.6392949103953501E-4</v>
      </c>
      <c r="E43" s="15">
        <v>0</v>
      </c>
      <c r="F43" s="33">
        <v>0</v>
      </c>
      <c r="G43" s="33">
        <v>0.16760999999999901</v>
      </c>
      <c r="H43" s="33">
        <v>0</v>
      </c>
      <c r="I43" s="33">
        <v>0.20660600000000001</v>
      </c>
      <c r="J43" s="33">
        <v>0.16760999999999901</v>
      </c>
      <c r="K43" s="33">
        <v>0.20660600000000001</v>
      </c>
      <c r="L43" s="33">
        <v>21.717610000000001</v>
      </c>
      <c r="M43" s="33">
        <v>26.446605999999999</v>
      </c>
      <c r="N43" s="34">
        <v>1.2176334106728499</v>
      </c>
      <c r="O43" s="34">
        <v>1.2195304988600599</v>
      </c>
      <c r="P43" s="34">
        <v>1.21989624605199</v>
      </c>
      <c r="Q43" s="34">
        <v>1.21874233880593</v>
      </c>
      <c r="R43" s="33">
        <v>26.280882250434299</v>
      </c>
      <c r="S43" s="33">
        <v>26.290018378888401</v>
      </c>
      <c r="T43" s="33">
        <v>26.263132791637201</v>
      </c>
      <c r="U43" s="15">
        <v>1.55680015032329E-3</v>
      </c>
      <c r="V43" s="15">
        <v>1.9043737485193999E-3</v>
      </c>
      <c r="W43" s="15">
        <v>8.8119667928817302E-4</v>
      </c>
      <c r="X43" s="34">
        <v>1.2177493748160999</v>
      </c>
      <c r="Y43" s="34">
        <v>1.2179193246936699</v>
      </c>
      <c r="Z43" s="34">
        <v>1.2176170633617001</v>
      </c>
      <c r="AA43" s="34">
        <v>1.21761372373303</v>
      </c>
      <c r="AB43" s="33">
        <v>26.450296905160599</v>
      </c>
      <c r="AC43" s="33">
        <v>26.444786834842599</v>
      </c>
      <c r="AD43" s="33">
        <v>26.442790353005002</v>
      </c>
      <c r="AE43" s="15">
        <v>1.3955089859412701E-4</v>
      </c>
      <c r="AF43" s="15">
        <v>-6.8788703058031395E-5</v>
      </c>
      <c r="AG43" s="15">
        <v>-1.442877879001E-4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0</v>
      </c>
      <c r="BH43" s="29"/>
    </row>
    <row r="44" spans="1:124" x14ac:dyDescent="0.25">
      <c r="A44" s="1">
        <v>46086</v>
      </c>
      <c r="B44" s="33">
        <v>21.49</v>
      </c>
      <c r="C44" s="33">
        <v>26.16</v>
      </c>
      <c r="D44" s="15">
        <v>-2.78810589533776E-3</v>
      </c>
      <c r="E44" s="15">
        <v>-3.0534374868902299E-3</v>
      </c>
      <c r="F44" s="33">
        <v>0</v>
      </c>
      <c r="G44" s="33">
        <v>0.16760999999999901</v>
      </c>
      <c r="H44" s="33">
        <v>0</v>
      </c>
      <c r="I44" s="33">
        <v>0.20660600000000001</v>
      </c>
      <c r="J44" s="33">
        <v>0.16760999999999901</v>
      </c>
      <c r="K44" s="33">
        <v>0.20660600000000001</v>
      </c>
      <c r="L44" s="33">
        <v>21.657609999999998</v>
      </c>
      <c r="M44" s="33">
        <v>26.366606000000001</v>
      </c>
      <c r="N44" s="34">
        <v>1.21731037691949</v>
      </c>
      <c r="O44" s="34">
        <v>1.2195304988600599</v>
      </c>
      <c r="P44" s="34">
        <v>1.2197696127642801</v>
      </c>
      <c r="Q44" s="34">
        <v>1.2187332084470399</v>
      </c>
      <c r="R44" s="33">
        <v>26.2077104205027</v>
      </c>
      <c r="S44" s="33">
        <v>26.215570327657399</v>
      </c>
      <c r="T44" s="33">
        <v>26.1907728609395</v>
      </c>
      <c r="U44" s="15">
        <v>1.82213174187572E-3</v>
      </c>
      <c r="V44" s="15">
        <v>2.1219949744484901E-3</v>
      </c>
      <c r="W44" s="15">
        <v>1.17564126763138E-3</v>
      </c>
      <c r="X44" s="34">
        <v>1.2174291623129201</v>
      </c>
      <c r="Y44" s="34">
        <v>1.2179193246936699</v>
      </c>
      <c r="Z44" s="34">
        <v>1.21750051043984</v>
      </c>
      <c r="AA44" s="34">
        <v>1.2176094083187601</v>
      </c>
      <c r="AB44" s="33">
        <v>26.377221745679002</v>
      </c>
      <c r="AC44" s="33">
        <v>26.370675487633001</v>
      </c>
      <c r="AD44" s="33">
        <v>26.370603159257801</v>
      </c>
      <c r="AE44" s="15">
        <v>4.0253983361056002E-4</v>
      </c>
      <c r="AF44" s="15">
        <v>1.5433058080906699E-4</v>
      </c>
      <c r="AG44" s="15">
        <v>1.5158781927415699E-4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0</v>
      </c>
      <c r="BH44" s="29"/>
    </row>
    <row r="45" spans="1:124" x14ac:dyDescent="0.25">
      <c r="A45" s="1">
        <v>46087</v>
      </c>
      <c r="B45" s="33">
        <v>21.43</v>
      </c>
      <c r="C45" s="33">
        <v>26.11</v>
      </c>
      <c r="D45" s="15">
        <v>-2.7959011689334201E-3</v>
      </c>
      <c r="E45" s="15">
        <v>-1.91314387796052E-3</v>
      </c>
      <c r="F45" s="33">
        <v>0</v>
      </c>
      <c r="G45" s="33">
        <v>0.16760999999999901</v>
      </c>
      <c r="H45" s="33">
        <v>0</v>
      </c>
      <c r="I45" s="33">
        <v>0.20660600000000001</v>
      </c>
      <c r="J45" s="33">
        <v>0.16760999999999901</v>
      </c>
      <c r="K45" s="33">
        <v>0.20660600000000001</v>
      </c>
      <c r="L45" s="33">
        <v>21.59761</v>
      </c>
      <c r="M45" s="33">
        <v>26.316606</v>
      </c>
      <c r="N45" s="34">
        <v>1.2183854409706001</v>
      </c>
      <c r="O45" s="34">
        <v>1.2195304988600599</v>
      </c>
      <c r="P45" s="34">
        <v>1.21980677118004</v>
      </c>
      <c r="Q45" s="34">
        <v>1.2188051806817899</v>
      </c>
      <c r="R45" s="33">
        <v>26.134538590571101</v>
      </c>
      <c r="S45" s="33">
        <v>26.139662801538499</v>
      </c>
      <c r="T45" s="33">
        <v>26.117452657020099</v>
      </c>
      <c r="U45" s="15">
        <v>9.3937445090278905E-4</v>
      </c>
      <c r="V45" s="15">
        <v>1.13542569022783E-3</v>
      </c>
      <c r="W45" s="15">
        <v>2.8539232497847E-4</v>
      </c>
      <c r="X45" s="34">
        <v>1.2184962132384001</v>
      </c>
      <c r="Y45" s="34">
        <v>1.2179193246936699</v>
      </c>
      <c r="Z45" s="34">
        <v>1.21754672885104</v>
      </c>
      <c r="AA45" s="34">
        <v>1.21768569236963</v>
      </c>
      <c r="AB45" s="33">
        <v>26.304146586197401</v>
      </c>
      <c r="AC45" s="33">
        <v>26.295101199280602</v>
      </c>
      <c r="AD45" s="33">
        <v>26.2974531331995</v>
      </c>
      <c r="AE45" s="15">
        <v>-4.7355514404809302E-4</v>
      </c>
      <c r="AF45" s="15">
        <v>-8.1749112742111202E-4</v>
      </c>
      <c r="AG45" s="15">
        <v>-7.2805132171961499E-4</v>
      </c>
      <c r="AI45" s="12"/>
      <c r="AJ45">
        <f t="shared" si="6"/>
        <v>0</v>
      </c>
      <c r="AK45">
        <f t="shared" si="7"/>
        <v>0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0</v>
      </c>
      <c r="BH45" s="29"/>
    </row>
    <row r="46" spans="1:124" x14ac:dyDescent="0.25">
      <c r="A46" s="1">
        <v>46090</v>
      </c>
      <c r="B46" s="33">
        <v>21.52</v>
      </c>
      <c r="C46" s="33">
        <v>26.2</v>
      </c>
      <c r="D46" s="15">
        <v>4.1909258080980102E-3</v>
      </c>
      <c r="E46" s="15">
        <v>3.4410280560137501E-3</v>
      </c>
      <c r="F46" s="33">
        <v>0</v>
      </c>
      <c r="G46" s="33">
        <v>0.16760999999999901</v>
      </c>
      <c r="H46" s="33">
        <v>0</v>
      </c>
      <c r="I46" s="33">
        <v>0.20660600000000001</v>
      </c>
      <c r="J46" s="33">
        <v>0.16760999999999901</v>
      </c>
      <c r="K46" s="33">
        <v>0.20660600000000001</v>
      </c>
      <c r="L46" s="33">
        <v>21.687609999999999</v>
      </c>
      <c r="M46" s="33">
        <v>26.406606</v>
      </c>
      <c r="N46" s="34">
        <v>1.2174721189591</v>
      </c>
      <c r="O46" s="34">
        <v>1.2195304988600599</v>
      </c>
      <c r="P46" s="34">
        <v>1.21938831903153</v>
      </c>
      <c r="Q46" s="34">
        <v>1.2187849318811399</v>
      </c>
      <c r="R46" s="33">
        <v>26.244296335468501</v>
      </c>
      <c r="S46" s="33">
        <v>26.250241715794601</v>
      </c>
      <c r="T46" s="33">
        <v>26.2286874882722</v>
      </c>
      <c r="U46" s="15">
        <v>1.68927220298724E-3</v>
      </c>
      <c r="V46" s="15">
        <v>1.91578644893446E-3</v>
      </c>
      <c r="W46" s="15">
        <v>1.09434328836127E-3</v>
      </c>
      <c r="X46" s="34">
        <v>1.21758949003601</v>
      </c>
      <c r="Y46" s="34">
        <v>1.2179193246936699</v>
      </c>
      <c r="Z46" s="34">
        <v>1.21760334229073</v>
      </c>
      <c r="AA46" s="34">
        <v>1.2176702686316501</v>
      </c>
      <c r="AB46" s="33">
        <v>26.4137593254198</v>
      </c>
      <c r="AC46" s="33">
        <v>26.405678612097098</v>
      </c>
      <c r="AD46" s="33">
        <v>26.408692398692601</v>
      </c>
      <c r="AE46" s="15">
        <v>2.7085482728080501E-4</v>
      </c>
      <c r="AF46" s="15">
        <v>-3.5120158490691202E-5</v>
      </c>
      <c r="AG46" s="15">
        <v>7.9007361766881396E-5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0</v>
      </c>
      <c r="BH46" s="29"/>
    </row>
    <row r="47" spans="1:124" x14ac:dyDescent="0.25">
      <c r="A47" s="1">
        <v>46091</v>
      </c>
      <c r="B47" s="33">
        <v>21.43</v>
      </c>
      <c r="C47" s="33">
        <v>26.09</v>
      </c>
      <c r="D47" s="15">
        <v>-4.1909258080980102E-3</v>
      </c>
      <c r="E47" s="15">
        <v>-4.20731161841407E-3</v>
      </c>
      <c r="F47" s="33">
        <v>0</v>
      </c>
      <c r="G47" s="33">
        <v>0.16760999999999901</v>
      </c>
      <c r="H47" s="33">
        <v>0</v>
      </c>
      <c r="I47" s="33">
        <v>0.20660600000000001</v>
      </c>
      <c r="J47" s="33">
        <v>0.16760999999999901</v>
      </c>
      <c r="K47" s="33">
        <v>0.20660600000000001</v>
      </c>
      <c r="L47" s="33">
        <v>21.59761</v>
      </c>
      <c r="M47" s="33">
        <v>26.296606000000001</v>
      </c>
      <c r="N47" s="34">
        <v>1.21745216985534</v>
      </c>
      <c r="O47" s="34">
        <v>1.2195304988600599</v>
      </c>
      <c r="P47" s="34">
        <v>1.2188547032240999</v>
      </c>
      <c r="Q47" s="34">
        <v>1.21879202152793</v>
      </c>
      <c r="R47" s="33">
        <v>26.134538590571101</v>
      </c>
      <c r="S47" s="33">
        <v>26.131491676845702</v>
      </c>
      <c r="T47" s="33">
        <v>26.1185610902129</v>
      </c>
      <c r="U47" s="15">
        <v>1.70565801330312E-3</v>
      </c>
      <c r="V47" s="15">
        <v>1.5890655071110599E-3</v>
      </c>
      <c r="W47" s="15">
        <v>1.09411531234476E-3</v>
      </c>
      <c r="X47" s="34">
        <v>1.21757018484915</v>
      </c>
      <c r="Y47" s="34">
        <v>1.2179193246936699</v>
      </c>
      <c r="Z47" s="34">
        <v>1.21754615416012</v>
      </c>
      <c r="AA47" s="34">
        <v>1.21768210450212</v>
      </c>
      <c r="AB47" s="33">
        <v>26.304146586197401</v>
      </c>
      <c r="AC47" s="33">
        <v>26.2973221214917</v>
      </c>
      <c r="AD47" s="33">
        <v>26.298767570501699</v>
      </c>
      <c r="AE47" s="15">
        <v>2.8671020387781201E-4</v>
      </c>
      <c r="AF47" s="15">
        <v>2.7232097597153801E-5</v>
      </c>
      <c r="AG47" s="15">
        <v>8.2196222071316804E-5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0</v>
      </c>
      <c r="BH47" s="29"/>
    </row>
    <row r="48" spans="1:124" x14ac:dyDescent="0.25">
      <c r="A48" s="1">
        <v>46092</v>
      </c>
      <c r="B48" s="33">
        <v>21.33</v>
      </c>
      <c r="C48" s="33">
        <v>25.95</v>
      </c>
      <c r="D48" s="15">
        <v>-4.6772770022265502E-3</v>
      </c>
      <c r="E48" s="15">
        <v>-5.3804895367394398E-3</v>
      </c>
      <c r="F48" s="33">
        <v>0</v>
      </c>
      <c r="G48" s="33">
        <v>0.16760999999999901</v>
      </c>
      <c r="H48" s="33">
        <v>0</v>
      </c>
      <c r="I48" s="33">
        <v>0.20660600000000001</v>
      </c>
      <c r="J48" s="33">
        <v>0.16760999999999901</v>
      </c>
      <c r="K48" s="33">
        <v>0.20660600000000001</v>
      </c>
      <c r="L48" s="33">
        <v>21.497609999999899</v>
      </c>
      <c r="M48" s="33">
        <v>26.156606</v>
      </c>
      <c r="N48" s="34">
        <v>1.21659634317862</v>
      </c>
      <c r="O48" s="34">
        <v>1.2195304988600599</v>
      </c>
      <c r="P48" s="34">
        <v>1.2182818224887</v>
      </c>
      <c r="Q48" s="34">
        <v>1.2187249985381701</v>
      </c>
      <c r="R48" s="33">
        <v>26.012585540685102</v>
      </c>
      <c r="S48" s="33">
        <v>25.998170819770198</v>
      </c>
      <c r="T48" s="33">
        <v>25.996833819190901</v>
      </c>
      <c r="U48" s="15">
        <v>2.4088705478161701E-3</v>
      </c>
      <c r="V48" s="15">
        <v>1.8545728489307201E-3</v>
      </c>
      <c r="W48" s="15">
        <v>1.8031448092982901E-3</v>
      </c>
      <c r="X48" s="34">
        <v>1.2167215797477</v>
      </c>
      <c r="Y48" s="34">
        <v>1.2179193246936699</v>
      </c>
      <c r="Z48" s="34">
        <v>1.21745006644982</v>
      </c>
      <c r="AA48" s="34">
        <v>1.21762031351458</v>
      </c>
      <c r="AB48" s="33">
        <v>26.182354653728002</v>
      </c>
      <c r="AC48" s="33">
        <v>26.174332379134199</v>
      </c>
      <c r="AD48" s="33">
        <v>26.177254986565899</v>
      </c>
      <c r="AE48" s="15">
        <v>9.8391926334371205E-4</v>
      </c>
      <c r="AF48" s="15">
        <v>6.7747227018165703E-4</v>
      </c>
      <c r="AG48" s="15">
        <v>7.8912532911875905E-4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0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0</v>
      </c>
      <c r="BH48" s="29"/>
    </row>
    <row r="49" spans="1:60" x14ac:dyDescent="0.25">
      <c r="A49" s="1">
        <v>46093</v>
      </c>
      <c r="B49" s="33">
        <v>21.21</v>
      </c>
      <c r="C49" s="33">
        <v>25.82</v>
      </c>
      <c r="D49" s="15">
        <v>-5.6417639066680099E-3</v>
      </c>
      <c r="E49" s="15">
        <v>-5.0222241934011801E-3</v>
      </c>
      <c r="F49" s="33">
        <v>0</v>
      </c>
      <c r="G49" s="33">
        <v>0.16760999999999901</v>
      </c>
      <c r="H49" s="33">
        <v>0</v>
      </c>
      <c r="I49" s="33">
        <v>0.20660600000000001</v>
      </c>
      <c r="J49" s="33">
        <v>0.16760999999999901</v>
      </c>
      <c r="K49" s="33">
        <v>0.20660600000000001</v>
      </c>
      <c r="L49" s="33">
        <v>21.377610000000001</v>
      </c>
      <c r="M49" s="33">
        <v>26.026606000000001</v>
      </c>
      <c r="N49" s="34">
        <v>1.2173503064592099</v>
      </c>
      <c r="O49" s="34">
        <v>1.2195304988600599</v>
      </c>
      <c r="P49" s="34">
        <v>1.2178511890902</v>
      </c>
      <c r="Q49" s="34">
        <v>1.21873709777558</v>
      </c>
      <c r="R49" s="33">
        <v>25.866241880821899</v>
      </c>
      <c r="S49" s="33">
        <v>25.839757454985399</v>
      </c>
      <c r="T49" s="33">
        <v>25.849157218994598</v>
      </c>
      <c r="U49" s="15">
        <v>1.7893308345493201E-3</v>
      </c>
      <c r="V49" s="15">
        <v>7.6490703488070401E-4</v>
      </c>
      <c r="W49" s="15">
        <v>1.12861225763669E-3</v>
      </c>
      <c r="X49" s="34">
        <v>1.2174703346164499</v>
      </c>
      <c r="Y49" s="34">
        <v>1.2179193246936699</v>
      </c>
      <c r="Z49" s="34">
        <v>1.21749476434755</v>
      </c>
      <c r="AA49" s="34">
        <v>1.21763722097961</v>
      </c>
      <c r="AB49" s="33">
        <v>26.036204334764701</v>
      </c>
      <c r="AC49" s="33">
        <v>26.0261727150383</v>
      </c>
      <c r="AD49" s="33">
        <v>26.029812190392501</v>
      </c>
      <c r="AE49" s="15">
        <v>3.6872135068471599E-4</v>
      </c>
      <c r="AF49" s="15">
        <v>-1.66479090003173E-5</v>
      </c>
      <c r="AG49" s="15">
        <v>1.2318136775695099E-4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0</v>
      </c>
      <c r="BH49" s="29"/>
    </row>
    <row r="50" spans="1:60" x14ac:dyDescent="0.25">
      <c r="A50" s="1">
        <v>46094</v>
      </c>
      <c r="B50" s="33">
        <v>21.16</v>
      </c>
      <c r="C50" s="33">
        <v>25.76</v>
      </c>
      <c r="D50" s="15">
        <v>-2.3601615864924899E-3</v>
      </c>
      <c r="E50" s="15">
        <v>-2.3264841823435298E-3</v>
      </c>
      <c r="F50" s="33">
        <v>0</v>
      </c>
      <c r="G50" s="33">
        <v>0.16760999999999901</v>
      </c>
      <c r="H50" s="33">
        <v>0</v>
      </c>
      <c r="I50" s="33">
        <v>0.20660600000000001</v>
      </c>
      <c r="J50" s="33">
        <v>0.16760999999999901</v>
      </c>
      <c r="K50" s="33">
        <v>0.20660600000000001</v>
      </c>
      <c r="L50" s="33">
        <v>21.32761</v>
      </c>
      <c r="M50" s="33">
        <v>25.966605999999999</v>
      </c>
      <c r="N50" s="34">
        <v>1.2173913043478199</v>
      </c>
      <c r="O50" s="34">
        <v>1.2195304988600599</v>
      </c>
      <c r="P50" s="34">
        <v>1.2174091734990999</v>
      </c>
      <c r="Q50" s="34">
        <v>1.21874515303466</v>
      </c>
      <c r="R50" s="33">
        <v>25.805265355878898</v>
      </c>
      <c r="S50" s="33">
        <v>25.769731161148702</v>
      </c>
      <c r="T50" s="33">
        <v>25.7884769889314</v>
      </c>
      <c r="U50" s="15">
        <v>1.7556534304004E-3</v>
      </c>
      <c r="V50" s="15">
        <v>3.7769113267730202E-4</v>
      </c>
      <c r="W50" s="15">
        <v>1.10486258728724E-3</v>
      </c>
      <c r="X50" s="34">
        <v>1.2175112917012201</v>
      </c>
      <c r="Y50" s="34">
        <v>1.2179193246936699</v>
      </c>
      <c r="Z50" s="34">
        <v>1.2175275575789799</v>
      </c>
      <c r="AA50" s="34">
        <v>1.2176501107023501</v>
      </c>
      <c r="AB50" s="33">
        <v>25.975308368530101</v>
      </c>
      <c r="AC50" s="33">
        <v>25.966253511046499</v>
      </c>
      <c r="AD50" s="33">
        <v>25.969291770537001</v>
      </c>
      <c r="AE50" s="15">
        <v>3.3508078080399099E-4</v>
      </c>
      <c r="AF50" s="15">
        <v>-1.3574794715897899E-5</v>
      </c>
      <c r="AG50" s="15">
        <v>1.03426364218802E-4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0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0</v>
      </c>
      <c r="BH50" s="29"/>
    </row>
    <row r="51" spans="1:60" x14ac:dyDescent="0.25">
      <c r="A51" s="1">
        <v>46097</v>
      </c>
      <c r="B51" s="33">
        <v>21.23</v>
      </c>
      <c r="C51" s="33">
        <v>25.85</v>
      </c>
      <c r="D51" s="15">
        <v>3.30266872506607E-3</v>
      </c>
      <c r="E51" s="15">
        <v>3.48769971828532E-3</v>
      </c>
      <c r="F51" s="33">
        <v>0</v>
      </c>
      <c r="G51" s="33">
        <v>0.16760999999999901</v>
      </c>
      <c r="H51" s="33">
        <v>0</v>
      </c>
      <c r="I51" s="33">
        <v>0.20660600000000001</v>
      </c>
      <c r="J51" s="33">
        <v>0.16760999999999901</v>
      </c>
      <c r="K51" s="33">
        <v>0.20660600000000001</v>
      </c>
      <c r="L51" s="33">
        <v>21.39761</v>
      </c>
      <c r="M51" s="33">
        <v>26.056605999999999</v>
      </c>
      <c r="N51" s="34">
        <v>1.21761658031088</v>
      </c>
      <c r="O51" s="34">
        <v>1.2195304988600599</v>
      </c>
      <c r="P51" s="34">
        <v>1.2174276697313999</v>
      </c>
      <c r="Q51" s="34">
        <v>1.21872025192082</v>
      </c>
      <c r="R51" s="33">
        <v>25.890632490799099</v>
      </c>
      <c r="S51" s="33">
        <v>25.845596753386001</v>
      </c>
      <c r="T51" s="33">
        <v>25.8739595989259</v>
      </c>
      <c r="U51" s="15">
        <v>1.5706224371811099E-3</v>
      </c>
      <c r="V51" s="15">
        <v>-1.7035286953261399E-4</v>
      </c>
      <c r="W51" s="15">
        <v>9.2644108554215405E-4</v>
      </c>
      <c r="X51" s="34">
        <v>1.2177344105252801</v>
      </c>
      <c r="Y51" s="34">
        <v>1.2179193246936699</v>
      </c>
      <c r="Z51" s="34">
        <v>1.2175460954935799</v>
      </c>
      <c r="AA51" s="34">
        <v>1.21763011170711</v>
      </c>
      <c r="AB51" s="33">
        <v>26.060562721258599</v>
      </c>
      <c r="AC51" s="33">
        <v>26.0521798413276</v>
      </c>
      <c r="AD51" s="33">
        <v>26.0548021852658</v>
      </c>
      <c r="AE51" s="15">
        <v>1.51839455724383E-4</v>
      </c>
      <c r="AF51" s="15">
        <v>-1.69881474362537E-4</v>
      </c>
      <c r="AG51" s="15">
        <v>-6.92291687236373E-5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0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0</v>
      </c>
      <c r="BH51" s="29"/>
    </row>
    <row r="52" spans="1:60" x14ac:dyDescent="0.25">
      <c r="A52" s="1">
        <v>46098</v>
      </c>
      <c r="B52" s="33">
        <v>21.32</v>
      </c>
      <c r="C52" s="33">
        <v>25.96</v>
      </c>
      <c r="D52" s="15">
        <v>4.2303235824791303E-3</v>
      </c>
      <c r="E52" s="15">
        <v>4.2462908814509997E-3</v>
      </c>
      <c r="F52" s="33">
        <v>0</v>
      </c>
      <c r="G52" s="33">
        <v>0.16760999999999901</v>
      </c>
      <c r="H52" s="33">
        <v>0</v>
      </c>
      <c r="I52" s="33">
        <v>0.20660600000000001</v>
      </c>
      <c r="J52" s="33">
        <v>0.16760999999999901</v>
      </c>
      <c r="K52" s="33">
        <v>0.20660600000000001</v>
      </c>
      <c r="L52" s="33">
        <v>21.48761</v>
      </c>
      <c r="M52" s="33">
        <v>26.166606000000002</v>
      </c>
      <c r="N52" s="34">
        <v>1.2176360225140701</v>
      </c>
      <c r="O52" s="34">
        <v>1.2195304988600599</v>
      </c>
      <c r="P52" s="34">
        <v>1.2174844074188</v>
      </c>
      <c r="Q52" s="34">
        <v>1.21871942827757</v>
      </c>
      <c r="R52" s="33">
        <v>26.0003902356965</v>
      </c>
      <c r="S52" s="33">
        <v>25.955557918673399</v>
      </c>
      <c r="T52" s="33">
        <v>25.983115770951901</v>
      </c>
      <c r="U52" s="15">
        <v>1.5546551382092399E-3</v>
      </c>
      <c r="V52" s="15">
        <v>-1.71127173257178E-4</v>
      </c>
      <c r="W52" s="15">
        <v>8.9004181342608197E-4</v>
      </c>
      <c r="X52" s="34">
        <v>1.2177532075461099</v>
      </c>
      <c r="Y52" s="34">
        <v>1.2179193246936699</v>
      </c>
      <c r="Z52" s="34">
        <v>1.21760252493893</v>
      </c>
      <c r="AA52" s="34">
        <v>1.21763406761798</v>
      </c>
      <c r="AB52" s="33">
        <v>26.170175460481001</v>
      </c>
      <c r="AC52" s="33">
        <v>26.162155656988901</v>
      </c>
      <c r="AD52" s="33">
        <v>26.163960964618902</v>
      </c>
      <c r="AE52" s="15">
        <v>1.36403515349057E-4</v>
      </c>
      <c r="AF52" s="15">
        <v>-1.7009166205452501E-4</v>
      </c>
      <c r="AG52" s="15">
        <v>-1.01089498423939E-4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0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0</v>
      </c>
      <c r="BH52" s="29"/>
    </row>
    <row r="53" spans="1:60" x14ac:dyDescent="0.25">
      <c r="A53" s="1">
        <v>46099</v>
      </c>
      <c r="B53" s="33">
        <v>21.23</v>
      </c>
      <c r="C53" s="33">
        <v>25.84</v>
      </c>
      <c r="D53" s="15">
        <v>-4.2303235824790097E-3</v>
      </c>
      <c r="E53" s="15">
        <v>-4.6332129214881404E-3</v>
      </c>
      <c r="F53" s="33">
        <v>0</v>
      </c>
      <c r="G53" s="33">
        <v>0.16760999999999901</v>
      </c>
      <c r="H53" s="33">
        <v>0</v>
      </c>
      <c r="I53" s="33">
        <v>0.20660600000000001</v>
      </c>
      <c r="J53" s="33">
        <v>0.16760999999999901</v>
      </c>
      <c r="K53" s="33">
        <v>0.20660600000000001</v>
      </c>
      <c r="L53" s="33">
        <v>21.39761</v>
      </c>
      <c r="M53" s="33">
        <v>26.046606000000001</v>
      </c>
      <c r="N53" s="34">
        <v>1.21714554875176</v>
      </c>
      <c r="O53" s="34">
        <v>1.2195304988600599</v>
      </c>
      <c r="P53" s="34">
        <v>1.2174356212266899</v>
      </c>
      <c r="Q53" s="34">
        <v>1.2186659336393399</v>
      </c>
      <c r="R53" s="33">
        <v>25.890632490799099</v>
      </c>
      <c r="S53" s="33">
        <v>25.847193969501099</v>
      </c>
      <c r="T53" s="33">
        <v>25.873413462332898</v>
      </c>
      <c r="U53" s="15">
        <v>1.9575444772183502E-3</v>
      </c>
      <c r="V53" s="15">
        <v>2.7836564514853999E-4</v>
      </c>
      <c r="W53" s="15">
        <v>1.2922553258704901E-3</v>
      </c>
      <c r="X53" s="34">
        <v>1.2172670686118601</v>
      </c>
      <c r="Y53" s="34">
        <v>1.2179193246936699</v>
      </c>
      <c r="Z53" s="34">
        <v>1.21755429431851</v>
      </c>
      <c r="AA53" s="34">
        <v>1.2175856788401</v>
      </c>
      <c r="AB53" s="33">
        <v>26.060562721258599</v>
      </c>
      <c r="AC53" s="33">
        <v>26.053783963658699</v>
      </c>
      <c r="AD53" s="33">
        <v>26.054458901603098</v>
      </c>
      <c r="AE53" s="15">
        <v>5.3569295492078995E-4</v>
      </c>
      <c r="AF53" s="15">
        <v>2.7554356921784099E-4</v>
      </c>
      <c r="AG53" s="15">
        <v>3.0144879677479301E-4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0</v>
      </c>
      <c r="AT53" s="12"/>
      <c r="AU53">
        <f t="shared" si="10"/>
        <v>0</v>
      </c>
      <c r="AV53">
        <f t="shared" si="11"/>
        <v>0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0</v>
      </c>
      <c r="BH53" s="29"/>
    </row>
    <row r="54" spans="1:60" x14ac:dyDescent="0.25">
      <c r="A54" s="1">
        <v>46100</v>
      </c>
      <c r="B54" s="33">
        <v>21.27</v>
      </c>
      <c r="C54" s="33">
        <v>25.89</v>
      </c>
      <c r="D54" s="15">
        <v>1.88235349698098E-3</v>
      </c>
      <c r="E54" s="15">
        <v>1.9331148490453001E-3</v>
      </c>
      <c r="F54" s="33">
        <v>0</v>
      </c>
      <c r="G54" s="33">
        <v>0.16760999999999901</v>
      </c>
      <c r="H54" s="33">
        <v>0</v>
      </c>
      <c r="I54" s="33">
        <v>0.20660600000000001</v>
      </c>
      <c r="J54" s="33">
        <v>0.16760999999999901</v>
      </c>
      <c r="K54" s="33">
        <v>0.20660600000000001</v>
      </c>
      <c r="L54" s="33">
        <v>21.437609999999999</v>
      </c>
      <c r="M54" s="33">
        <v>26.096606000000001</v>
      </c>
      <c r="N54" s="34">
        <v>1.21720733427362</v>
      </c>
      <c r="O54" s="34">
        <v>1.2195304988600599</v>
      </c>
      <c r="P54" s="34">
        <v>1.2174253169621001</v>
      </c>
      <c r="Q54" s="34">
        <v>1.2185974648631901</v>
      </c>
      <c r="R54" s="33">
        <v>25.939413710753499</v>
      </c>
      <c r="S54" s="33">
        <v>25.8948556634917</v>
      </c>
      <c r="T54" s="33">
        <v>25.921024408508799</v>
      </c>
      <c r="U54" s="15">
        <v>1.90678312515426E-3</v>
      </c>
      <c r="V54" s="15">
        <v>1.8753218267320701E-4</v>
      </c>
      <c r="W54" s="15">
        <v>1.1975988728699699E-3</v>
      </c>
      <c r="X54" s="34">
        <v>1.2173281443220501</v>
      </c>
      <c r="Y54" s="34">
        <v>1.2179193246936699</v>
      </c>
      <c r="Z54" s="34">
        <v>1.2175441925194199</v>
      </c>
      <c r="AA54" s="34">
        <v>1.2175223514796301</v>
      </c>
      <c r="AB54" s="33">
        <v>26.109279494246401</v>
      </c>
      <c r="AC54" s="33">
        <v>26.101454115425501</v>
      </c>
      <c r="AD54" s="33">
        <v>26.102126924559499</v>
      </c>
      <c r="AE54" s="15">
        <v>4.8551975990397098E-4</v>
      </c>
      <c r="AF54" s="15">
        <v>1.85758452661816E-4</v>
      </c>
      <c r="AG54" s="15">
        <v>2.11534812083899E-4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0</v>
      </c>
      <c r="AT54" s="12"/>
      <c r="AU54">
        <f t="shared" si="10"/>
        <v>0</v>
      </c>
      <c r="AV54">
        <f t="shared" si="11"/>
        <v>0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0</v>
      </c>
      <c r="BH54" s="29"/>
    </row>
    <row r="55" spans="1:60" x14ac:dyDescent="0.25">
      <c r="A55" s="1">
        <v>46101</v>
      </c>
      <c r="B55" s="33">
        <v>21.07</v>
      </c>
      <c r="C55" s="33">
        <v>25.65</v>
      </c>
      <c r="D55" s="15">
        <v>-9.4474013960481398E-3</v>
      </c>
      <c r="E55" s="15">
        <v>-9.3132221466678301E-3</v>
      </c>
      <c r="F55" s="33">
        <v>0</v>
      </c>
      <c r="G55" s="33">
        <v>0.16760999999999901</v>
      </c>
      <c r="H55" s="33">
        <v>0</v>
      </c>
      <c r="I55" s="33">
        <v>0.20660600000000001</v>
      </c>
      <c r="J55" s="33">
        <v>0.16760999999999901</v>
      </c>
      <c r="K55" s="33">
        <v>0.20660600000000001</v>
      </c>
      <c r="L55" s="33">
        <v>21.23761</v>
      </c>
      <c r="M55" s="33">
        <v>25.856605999999999</v>
      </c>
      <c r="N55" s="34">
        <v>1.21737066919791</v>
      </c>
      <c r="O55" s="34">
        <v>1.2195304988600599</v>
      </c>
      <c r="P55" s="34">
        <v>1.2173238397848301</v>
      </c>
      <c r="Q55" s="34">
        <v>1.2185653054824399</v>
      </c>
      <c r="R55" s="33">
        <v>25.695507610981501</v>
      </c>
      <c r="S55" s="33">
        <v>25.651151428391501</v>
      </c>
      <c r="T55" s="33">
        <v>25.675848584667399</v>
      </c>
      <c r="U55" s="15">
        <v>1.7726038757739399E-3</v>
      </c>
      <c r="V55" s="15">
        <v>4.4888988247303497E-5</v>
      </c>
      <c r="W55" s="15">
        <v>1.0072346611154099E-3</v>
      </c>
      <c r="X55" s="34">
        <v>1.2174913278848201</v>
      </c>
      <c r="Y55" s="34">
        <v>1.2179193246936699</v>
      </c>
      <c r="Z55" s="34">
        <v>1.21744370398407</v>
      </c>
      <c r="AA55" s="34">
        <v>1.2174952164175501</v>
      </c>
      <c r="AB55" s="33">
        <v>25.865695629307599</v>
      </c>
      <c r="AC55" s="33">
        <v>25.857728718492499</v>
      </c>
      <c r="AD55" s="33">
        <v>25.857264867007402</v>
      </c>
      <c r="AE55" s="15">
        <v>3.5147814830042501E-4</v>
      </c>
      <c r="AF55" s="15">
        <v>4.3420011060682E-5</v>
      </c>
      <c r="AG55" s="15">
        <v>2.54812488965352E-5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0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0</v>
      </c>
      <c r="BH55" s="29"/>
    </row>
    <row r="56" spans="1:60" x14ac:dyDescent="0.25">
      <c r="A56" s="1">
        <v>46104</v>
      </c>
      <c r="B56" s="33">
        <v>21.09</v>
      </c>
      <c r="C56" s="33">
        <v>25.78</v>
      </c>
      <c r="D56" s="15">
        <v>9.4876667458556805E-4</v>
      </c>
      <c r="E56" s="15">
        <v>5.0554258942629698E-3</v>
      </c>
      <c r="F56" s="33">
        <v>8.3080000000000001E-2</v>
      </c>
      <c r="G56" s="33">
        <v>0.25068999999999902</v>
      </c>
      <c r="H56" s="33">
        <v>0</v>
      </c>
      <c r="I56" s="33">
        <v>0.20660600000000001</v>
      </c>
      <c r="J56" s="33">
        <v>0.25068999999999902</v>
      </c>
      <c r="K56" s="33">
        <v>0.20660600000000001</v>
      </c>
      <c r="L56" s="33">
        <v>21.340689999999999</v>
      </c>
      <c r="M56" s="33">
        <v>25.986605999999998</v>
      </c>
      <c r="N56" s="34">
        <v>1.22238027501185</v>
      </c>
      <c r="O56" s="34">
        <v>1.2195304988600599</v>
      </c>
      <c r="P56" s="34">
        <v>1.2178146553901099</v>
      </c>
      <c r="Q56" s="34">
        <v>1.21860148721082</v>
      </c>
      <c r="R56" s="33">
        <v>25.719898220958701</v>
      </c>
      <c r="S56" s="33">
        <v>25.673359781062199</v>
      </c>
      <c r="T56" s="33">
        <v>25.699542292624699</v>
      </c>
      <c r="U56" s="15">
        <v>-2.33405534390355E-3</v>
      </c>
      <c r="V56" s="15">
        <v>-4.14512762949832E-3</v>
      </c>
      <c r="W56" s="15">
        <v>-3.1258153939580599E-3</v>
      </c>
      <c r="X56" s="34">
        <v>1.21770223924343</v>
      </c>
      <c r="Y56" s="34">
        <v>1.2179193246936699</v>
      </c>
      <c r="Z56" s="34">
        <v>1.2174549789048099</v>
      </c>
      <c r="AA56" s="34">
        <v>1.2175291605977701</v>
      </c>
      <c r="AB56" s="33">
        <v>25.9912387532971</v>
      </c>
      <c r="AC56" s="33">
        <v>25.981088679175802</v>
      </c>
      <c r="AD56" s="33">
        <v>25.982187990049901</v>
      </c>
      <c r="AE56" s="15">
        <v>1.78258768956342E-4</v>
      </c>
      <c r="AF56" s="15">
        <v>-2.1233656328124799E-4</v>
      </c>
      <c r="AG56" s="15">
        <v>-1.7002549497272101E-4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0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0</v>
      </c>
      <c r="BH56" s="29"/>
    </row>
    <row r="57" spans="1:60" x14ac:dyDescent="0.25">
      <c r="A57" s="1">
        <v>46105</v>
      </c>
      <c r="B57" s="33">
        <v>21.04</v>
      </c>
      <c r="C57" s="33">
        <v>25.71</v>
      </c>
      <c r="D57" s="15">
        <v>-2.3736066211741398E-3</v>
      </c>
      <c r="E57" s="15">
        <v>-2.71897623324322E-3</v>
      </c>
      <c r="F57" s="33">
        <v>0</v>
      </c>
      <c r="G57" s="33">
        <v>0.25068999999999902</v>
      </c>
      <c r="H57" s="33">
        <v>0</v>
      </c>
      <c r="I57" s="33">
        <v>0.20660600000000001</v>
      </c>
      <c r="J57" s="33">
        <v>0.25068999999999902</v>
      </c>
      <c r="K57" s="33">
        <v>0.20660600000000001</v>
      </c>
      <c r="L57" s="33">
        <v>21.290689999999898</v>
      </c>
      <c r="M57" s="33">
        <v>25.916606000000002</v>
      </c>
      <c r="N57" s="34">
        <v>1.22195817490494</v>
      </c>
      <c r="O57" s="34">
        <v>1.2195304988600599</v>
      </c>
      <c r="P57" s="34">
        <v>1.21826525589507</v>
      </c>
      <c r="Q57" s="34">
        <v>1.2185599795595901</v>
      </c>
      <c r="R57" s="33">
        <v>25.6589216960157</v>
      </c>
      <c r="S57" s="33">
        <v>25.622820349407899</v>
      </c>
      <c r="T57" s="33">
        <v>25.639375290915702</v>
      </c>
      <c r="U57" s="15">
        <v>-1.9886857318343301E-3</v>
      </c>
      <c r="V57" s="15">
        <v>-3.39664697229271E-3</v>
      </c>
      <c r="W57" s="15">
        <v>-2.75075415102311E-3</v>
      </c>
      <c r="X57" s="34">
        <v>1.2172741231026301</v>
      </c>
      <c r="Y57" s="34">
        <v>1.2179193246936699</v>
      </c>
      <c r="Z57" s="34">
        <v>1.21742537273016</v>
      </c>
      <c r="AA57" s="34">
        <v>1.2174857634451399</v>
      </c>
      <c r="AB57" s="33">
        <v>25.930342787062401</v>
      </c>
      <c r="AC57" s="33">
        <v>25.920456544818901</v>
      </c>
      <c r="AD57" s="33">
        <v>25.9220359242474</v>
      </c>
      <c r="AE57" s="15">
        <v>5.29897620022353E-4</v>
      </c>
      <c r="AF57" s="15">
        <v>1.4856338831539399E-4</v>
      </c>
      <c r="AG57" s="15">
        <v>2.09493307143125E-4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0</v>
      </c>
      <c r="AT57" s="12"/>
      <c r="AU57">
        <f t="shared" si="10"/>
        <v>0</v>
      </c>
      <c r="AV57">
        <f t="shared" si="11"/>
        <v>0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0</v>
      </c>
      <c r="BH57" s="29"/>
    </row>
    <row r="58" spans="1:60" x14ac:dyDescent="0.25">
      <c r="A58" s="1">
        <v>46106</v>
      </c>
      <c r="B58" s="33">
        <v>21.11</v>
      </c>
      <c r="C58" s="33">
        <v>25.81</v>
      </c>
      <c r="D58" s="15">
        <v>3.3214739907202E-3</v>
      </c>
      <c r="E58" s="15">
        <v>3.8819924527242001E-3</v>
      </c>
      <c r="F58" s="33">
        <v>0</v>
      </c>
      <c r="G58" s="33">
        <v>0.25068999999999902</v>
      </c>
      <c r="H58" s="33">
        <v>0</v>
      </c>
      <c r="I58" s="33">
        <v>0.20660600000000001</v>
      </c>
      <c r="J58" s="33">
        <v>0.25068999999999902</v>
      </c>
      <c r="K58" s="33">
        <v>0.20660600000000001</v>
      </c>
      <c r="L58" s="33">
        <v>21.360689999999899</v>
      </c>
      <c r="M58" s="33">
        <v>26.016605999999999</v>
      </c>
      <c r="N58" s="34">
        <v>1.22264329701563</v>
      </c>
      <c r="O58" s="34">
        <v>1.2195304988600599</v>
      </c>
      <c r="P58" s="34">
        <v>1.21886995127877</v>
      </c>
      <c r="Q58" s="34">
        <v>1.21857588688373</v>
      </c>
      <c r="R58" s="33">
        <v>25.744288830935901</v>
      </c>
      <c r="S58" s="33">
        <v>25.717579551944901</v>
      </c>
      <c r="T58" s="33">
        <v>25.723801168502899</v>
      </c>
      <c r="U58" s="15">
        <v>-2.5492041938384698E-3</v>
      </c>
      <c r="V58" s="15">
        <v>-3.58722641217248E-3</v>
      </c>
      <c r="W58" s="15">
        <v>-3.3453349037722798E-3</v>
      </c>
      <c r="X58" s="34">
        <v>1.21796655445119</v>
      </c>
      <c r="Y58" s="34">
        <v>1.2179193246936699</v>
      </c>
      <c r="Z58" s="34">
        <v>1.2175498702005001</v>
      </c>
      <c r="AA58" s="34">
        <v>1.2174999683251599</v>
      </c>
      <c r="AB58" s="33">
        <v>26.015597139790898</v>
      </c>
      <c r="AC58" s="33">
        <v>26.005045985023401</v>
      </c>
      <c r="AD58" s="33">
        <v>26.006335972365001</v>
      </c>
      <c r="AE58" s="15">
        <v>-3.8778300678237198E-5</v>
      </c>
      <c r="AF58" s="15">
        <v>-4.4443091388921501E-4</v>
      </c>
      <c r="AG58" s="15">
        <v>-3.9482687364536902E-4</v>
      </c>
      <c r="AI58" s="12"/>
      <c r="AJ58">
        <f t="shared" si="6"/>
        <v>0</v>
      </c>
      <c r="AK58">
        <f t="shared" si="7"/>
        <v>0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0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0</v>
      </c>
      <c r="BH58" s="29"/>
    </row>
    <row r="59" spans="1:60" x14ac:dyDescent="0.25">
      <c r="A59" s="1">
        <v>46107</v>
      </c>
      <c r="B59" s="33">
        <v>20.97</v>
      </c>
      <c r="C59" s="33">
        <v>25.63</v>
      </c>
      <c r="D59" s="15">
        <v>-6.6540169464006996E-3</v>
      </c>
      <c r="E59" s="15">
        <v>-6.9984733545427396E-3</v>
      </c>
      <c r="F59" s="33">
        <v>0</v>
      </c>
      <c r="G59" s="33">
        <v>0.25068999999999902</v>
      </c>
      <c r="H59" s="33">
        <v>0</v>
      </c>
      <c r="I59" s="33">
        <v>0.20660600000000001</v>
      </c>
      <c r="J59" s="33">
        <v>0.25068999999999902</v>
      </c>
      <c r="K59" s="33">
        <v>0.20660600000000001</v>
      </c>
      <c r="L59" s="33">
        <v>21.220689999999902</v>
      </c>
      <c r="M59" s="33">
        <v>25.836606</v>
      </c>
      <c r="N59" s="34">
        <v>1.2222222222222201</v>
      </c>
      <c r="O59" s="34">
        <v>1.2195304988600599</v>
      </c>
      <c r="P59" s="34">
        <v>1.21935714285507</v>
      </c>
      <c r="Q59" s="34">
        <v>1.2186041659726301</v>
      </c>
      <c r="R59" s="33">
        <v>25.573554561095499</v>
      </c>
      <c r="S59" s="33">
        <v>25.5597028783158</v>
      </c>
      <c r="T59" s="33">
        <v>25.553536347952001</v>
      </c>
      <c r="U59" s="15">
        <v>-2.2047477856964302E-3</v>
      </c>
      <c r="V59" s="15">
        <v>-2.7465354132455901E-3</v>
      </c>
      <c r="W59" s="15">
        <v>-2.9878243820961E-3</v>
      </c>
      <c r="X59" s="34">
        <v>1.2175195999752999</v>
      </c>
      <c r="Y59" s="34">
        <v>1.2179193246936699</v>
      </c>
      <c r="Z59" s="34">
        <v>1.21755479673639</v>
      </c>
      <c r="AA59" s="34">
        <v>1.21752478054197</v>
      </c>
      <c r="AB59" s="33">
        <v>25.8450884343338</v>
      </c>
      <c r="AC59" s="33">
        <v>25.837248355065199</v>
      </c>
      <c r="AD59" s="33">
        <v>25.836189402838102</v>
      </c>
      <c r="AE59" s="15">
        <v>3.2825682295703598E-4</v>
      </c>
      <c r="AF59" s="15">
        <v>2.48618986639E-5</v>
      </c>
      <c r="AG59" s="15">
        <v>-1.61244290580792E-5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0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0</v>
      </c>
      <c r="BH59" s="29"/>
    </row>
    <row r="60" spans="1:60" x14ac:dyDescent="0.25">
      <c r="A60" s="1">
        <v>46108</v>
      </c>
      <c r="B60" s="33">
        <v>20.93</v>
      </c>
      <c r="C60" s="33">
        <v>25.59</v>
      </c>
      <c r="D60" s="15">
        <v>-1.9093084559201499E-3</v>
      </c>
      <c r="E60" s="15">
        <v>-1.5618902042822699E-3</v>
      </c>
      <c r="F60" s="33">
        <v>0</v>
      </c>
      <c r="G60" s="33">
        <v>0.25068999999999902</v>
      </c>
      <c r="H60" s="33">
        <v>0</v>
      </c>
      <c r="I60" s="33">
        <v>0.20660600000000001</v>
      </c>
      <c r="J60" s="33">
        <v>0.25068999999999902</v>
      </c>
      <c r="K60" s="33">
        <v>0.20660600000000001</v>
      </c>
      <c r="L60" s="33">
        <v>21.180689999999998</v>
      </c>
      <c r="M60" s="33">
        <v>25.796606000000001</v>
      </c>
      <c r="N60" s="34">
        <v>1.22264691829909</v>
      </c>
      <c r="O60" s="34">
        <v>1.2195304988600599</v>
      </c>
      <c r="P60" s="34">
        <v>1.2198827042501901</v>
      </c>
      <c r="Q60" s="34">
        <v>1.21864593887465</v>
      </c>
      <c r="R60" s="33">
        <v>25.524773341141099</v>
      </c>
      <c r="S60" s="33">
        <v>25.521144999956601</v>
      </c>
      <c r="T60" s="33">
        <v>25.5053851938073</v>
      </c>
      <c r="U60" s="15">
        <v>-2.5521660373343802E-3</v>
      </c>
      <c r="V60" s="15">
        <v>-2.6943259321290298E-3</v>
      </c>
      <c r="W60" s="15">
        <v>-3.3120362326582299E-3</v>
      </c>
      <c r="X60" s="34">
        <v>1.2179303884812001</v>
      </c>
      <c r="Y60" s="34">
        <v>1.2179193246936699</v>
      </c>
      <c r="Z60" s="34">
        <v>1.21759670641439</v>
      </c>
      <c r="AA60" s="34">
        <v>1.2175621319966801</v>
      </c>
      <c r="AB60" s="33">
        <v>25.7963716613461</v>
      </c>
      <c r="AC60" s="33">
        <v>25.7886507076865</v>
      </c>
      <c r="AD60" s="33">
        <v>25.788014943977601</v>
      </c>
      <c r="AE60" s="15">
        <v>-9.0841298376096508E-6</v>
      </c>
      <c r="AF60" s="15">
        <v>-3.0843279201117499E-4</v>
      </c>
      <c r="AG60" s="15">
        <v>-3.33085944788007E-4</v>
      </c>
      <c r="AI60" s="12"/>
      <c r="AJ60">
        <f t="shared" si="6"/>
        <v>0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0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0</v>
      </c>
      <c r="BH60" s="29"/>
    </row>
    <row r="61" spans="1:60" x14ac:dyDescent="0.25">
      <c r="A61" s="1">
        <v>46111</v>
      </c>
      <c r="B61" s="33">
        <v>21.03</v>
      </c>
      <c r="C61" s="33">
        <v>25.71</v>
      </c>
      <c r="D61" s="15">
        <v>4.7664532567001103E-3</v>
      </c>
      <c r="E61" s="15">
        <v>4.67837110610072E-3</v>
      </c>
      <c r="F61" s="33">
        <v>0</v>
      </c>
      <c r="G61" s="33">
        <v>0.25068999999999902</v>
      </c>
      <c r="H61" s="33">
        <v>0</v>
      </c>
      <c r="I61" s="33">
        <v>0.20660600000000001</v>
      </c>
      <c r="J61" s="33">
        <v>0.25068999999999902</v>
      </c>
      <c r="K61" s="33">
        <v>0.20660600000000001</v>
      </c>
      <c r="L61" s="33">
        <v>21.28069</v>
      </c>
      <c r="M61" s="33">
        <v>25.916606000000002</v>
      </c>
      <c r="N61" s="34">
        <v>1.22253922967189</v>
      </c>
      <c r="O61" s="34">
        <v>1.2195304988600599</v>
      </c>
      <c r="P61" s="34">
        <v>1.2203749691863</v>
      </c>
      <c r="Q61" s="34">
        <v>1.2189013194588501</v>
      </c>
      <c r="R61" s="33">
        <v>25.646726391027101</v>
      </c>
      <c r="S61" s="33">
        <v>25.654133270381699</v>
      </c>
      <c r="T61" s="33">
        <v>25.628124094533899</v>
      </c>
      <c r="U61" s="15">
        <v>-2.4640838867349699E-3</v>
      </c>
      <c r="V61" s="15">
        <v>-2.1753214973739602E-3</v>
      </c>
      <c r="W61" s="15">
        <v>-3.1896753661103299E-3</v>
      </c>
      <c r="X61" s="34">
        <v>1.2178461318688401</v>
      </c>
      <c r="Y61" s="34">
        <v>1.2179193246936699</v>
      </c>
      <c r="Z61" s="34">
        <v>1.2176078785487401</v>
      </c>
      <c r="AA61" s="34">
        <v>1.2175769870211599</v>
      </c>
      <c r="AB61" s="33">
        <v>25.9181635938154</v>
      </c>
      <c r="AC61" s="33">
        <v>25.9112980542257</v>
      </c>
      <c r="AD61" s="33">
        <v>25.910562286760602</v>
      </c>
      <c r="AE61" s="15">
        <v>6.0098417651068101E-5</v>
      </c>
      <c r="AF61" s="15">
        <v>-2.0482965266384399E-4</v>
      </c>
      <c r="AG61" s="15">
        <v>-2.33225679371278E-4</v>
      </c>
      <c r="AI61" s="12"/>
      <c r="AJ61">
        <f t="shared" si="6"/>
        <v>0</v>
      </c>
      <c r="AK61">
        <f t="shared" si="7"/>
        <v>0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0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0</v>
      </c>
      <c r="BF61" s="29">
        <f t="shared" si="23"/>
        <v>0</v>
      </c>
      <c r="BH61" s="29"/>
    </row>
    <row r="62" spans="1:60" x14ac:dyDescent="0.25">
      <c r="A62" s="1">
        <v>46112</v>
      </c>
      <c r="B62" s="33">
        <v>21.15</v>
      </c>
      <c r="C62" s="33">
        <v>25.85</v>
      </c>
      <c r="D62" s="15">
        <v>5.6899157776784497E-3</v>
      </c>
      <c r="E62" s="15">
        <v>5.4305796766400804E-3</v>
      </c>
      <c r="F62" s="33">
        <v>0</v>
      </c>
      <c r="G62" s="33">
        <v>0.25068999999999902</v>
      </c>
      <c r="H62" s="33">
        <v>0</v>
      </c>
      <c r="I62" s="33">
        <v>0.20660600000000001</v>
      </c>
      <c r="J62" s="33">
        <v>0.25068999999999902</v>
      </c>
      <c r="K62" s="33">
        <v>0.20660600000000001</v>
      </c>
      <c r="L62" s="33">
        <v>21.400689999999901</v>
      </c>
      <c r="M62" s="33">
        <v>26.056605999999999</v>
      </c>
      <c r="N62" s="34">
        <v>1.2222222222222201</v>
      </c>
      <c r="O62" s="34">
        <v>1.2195304988600599</v>
      </c>
      <c r="P62" s="34">
        <v>1.22083358915711</v>
      </c>
      <c r="Q62" s="34">
        <v>1.21915899828795</v>
      </c>
      <c r="R62" s="33">
        <v>25.7930700508903</v>
      </c>
      <c r="S62" s="33">
        <v>25.810930598290199</v>
      </c>
      <c r="T62" s="33">
        <v>25.779762906554701</v>
      </c>
      <c r="U62" s="15">
        <v>-2.2047477856966501E-3</v>
      </c>
      <c r="V62" s="15">
        <v>-1.51253214782172E-3</v>
      </c>
      <c r="W62" s="15">
        <v>-2.7208002834100699E-3</v>
      </c>
      <c r="X62" s="34">
        <v>1.21755915346654</v>
      </c>
      <c r="Y62" s="34">
        <v>1.2179193246936699</v>
      </c>
      <c r="Z62" s="34">
        <v>1.21758847314079</v>
      </c>
      <c r="AA62" s="34">
        <v>1.2175954990398601</v>
      </c>
      <c r="AB62" s="33">
        <v>26.064313912778701</v>
      </c>
      <c r="AC62" s="33">
        <v>26.0576487503794</v>
      </c>
      <c r="AD62" s="33">
        <v>26.056987650374001</v>
      </c>
      <c r="AE62" s="15">
        <v>2.9577040650108501E-4</v>
      </c>
      <c r="AF62" s="15">
        <v>4.0017856325295497E-5</v>
      </c>
      <c r="AG62" s="15">
        <v>1.46468645633352E-5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0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0</v>
      </c>
      <c r="BF62" s="29">
        <f t="shared" si="23"/>
        <v>0</v>
      </c>
      <c r="BH62" s="29"/>
    </row>
    <row r="63" spans="1:60" x14ac:dyDescent="0.25">
      <c r="A63" s="1">
        <v>46113</v>
      </c>
      <c r="B63" s="33">
        <v>21.16</v>
      </c>
      <c r="C63" s="33">
        <v>25.76</v>
      </c>
      <c r="D63" s="15">
        <v>4.7270149781176697E-4</v>
      </c>
      <c r="E63" s="15">
        <v>-3.4876997182852099E-3</v>
      </c>
      <c r="F63" s="33">
        <v>0</v>
      </c>
      <c r="G63" s="33">
        <v>0.25068999999999902</v>
      </c>
      <c r="H63" s="33">
        <v>0.105805</v>
      </c>
      <c r="I63" s="33">
        <v>0.31241099999999999</v>
      </c>
      <c r="J63" s="33">
        <v>0.25068999999999902</v>
      </c>
      <c r="K63" s="33">
        <v>0.31241099999999999</v>
      </c>
      <c r="L63" s="33">
        <v>21.410689999999999</v>
      </c>
      <c r="M63" s="33">
        <v>26.072410999999999</v>
      </c>
      <c r="N63" s="34">
        <v>1.2173913043478199</v>
      </c>
      <c r="O63" s="34">
        <v>1.2195304988600599</v>
      </c>
      <c r="P63" s="34">
        <v>1.22085816471672</v>
      </c>
      <c r="Q63" s="34">
        <v>1.2191468929717</v>
      </c>
      <c r="R63" s="33">
        <v>25.805265355878898</v>
      </c>
      <c r="S63" s="33">
        <v>25.832838746564502</v>
      </c>
      <c r="T63" s="33">
        <v>25.7974044037732</v>
      </c>
      <c r="U63" s="15">
        <v>1.7556534304004E-3</v>
      </c>
      <c r="V63" s="15">
        <v>2.8236009774911799E-3</v>
      </c>
      <c r="W63" s="15">
        <v>1.45098112553235E-3</v>
      </c>
      <c r="X63" s="34">
        <v>1.2177286673152501</v>
      </c>
      <c r="Y63" s="34">
        <v>1.2179193246936699</v>
      </c>
      <c r="Z63" s="34">
        <v>1.2176346330111201</v>
      </c>
      <c r="AA63" s="34">
        <v>1.2175944636648199</v>
      </c>
      <c r="AB63" s="33">
        <v>26.076493106025602</v>
      </c>
      <c r="AC63" s="33">
        <v>26.069409345990799</v>
      </c>
      <c r="AD63" s="33">
        <v>26.069559775337801</v>
      </c>
      <c r="AE63" s="15">
        <v>1.56555774429895E-4</v>
      </c>
      <c r="AF63" s="15">
        <v>-1.15134224029326E-4</v>
      </c>
      <c r="AG63" s="15">
        <v>-1.0936390100306999E-4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0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0</v>
      </c>
      <c r="BE63" s="29">
        <f t="shared" si="22"/>
        <v>0</v>
      </c>
      <c r="BF63" s="29">
        <f t="shared" si="23"/>
        <v>0</v>
      </c>
      <c r="BH63" s="29"/>
    </row>
    <row r="64" spans="1:60" x14ac:dyDescent="0.25">
      <c r="A64" s="1">
        <v>46114</v>
      </c>
      <c r="B64" s="33">
        <v>21.23</v>
      </c>
      <c r="C64" s="33">
        <v>25.83</v>
      </c>
      <c r="D64" s="15">
        <v>3.30266872506607E-3</v>
      </c>
      <c r="E64" s="15">
        <v>2.7137058715960998E-3</v>
      </c>
      <c r="F64" s="33">
        <v>0</v>
      </c>
      <c r="G64" s="33">
        <v>0.25068999999999902</v>
      </c>
      <c r="H64" s="33">
        <v>0</v>
      </c>
      <c r="I64" s="33">
        <v>0.31241099999999999</v>
      </c>
      <c r="J64" s="33">
        <v>0.25068999999999902</v>
      </c>
      <c r="K64" s="33">
        <v>0.31241099999999999</v>
      </c>
      <c r="L64" s="33">
        <v>21.480689999999999</v>
      </c>
      <c r="M64" s="33">
        <v>26.142410999999999</v>
      </c>
      <c r="N64" s="34">
        <v>1.2166745171926501</v>
      </c>
      <c r="O64" s="34">
        <v>1.2195304988600599</v>
      </c>
      <c r="P64" s="34">
        <v>1.22080488300862</v>
      </c>
      <c r="Q64" s="34">
        <v>1.2191150999853599</v>
      </c>
      <c r="R64" s="33">
        <v>25.890632490799099</v>
      </c>
      <c r="S64" s="33">
        <v>25.918818836936001</v>
      </c>
      <c r="T64" s="33">
        <v>25.8824885377893</v>
      </c>
      <c r="U64" s="15">
        <v>2.3446162838703299E-3</v>
      </c>
      <c r="V64" s="15">
        <v>3.4326937753473602E-3</v>
      </c>
      <c r="W64" s="15">
        <v>2.0300146946618598E-3</v>
      </c>
      <c r="X64" s="34">
        <v>1.21701914603301</v>
      </c>
      <c r="Y64" s="34">
        <v>1.2179193246936699</v>
      </c>
      <c r="Z64" s="34">
        <v>1.21760373318222</v>
      </c>
      <c r="AA64" s="34">
        <v>1.21757396285082</v>
      </c>
      <c r="AB64" s="33">
        <v>26.161747458754199</v>
      </c>
      <c r="AC64" s="33">
        <v>26.1556320849758</v>
      </c>
      <c r="AD64" s="33">
        <v>26.154769219700299</v>
      </c>
      <c r="AE64" s="15">
        <v>7.3938517337535298E-4</v>
      </c>
      <c r="AF64" s="15">
        <v>5.0560535261374897E-4</v>
      </c>
      <c r="AG64" s="15">
        <v>4.7261515356808198E-4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0</v>
      </c>
      <c r="AT64" s="12"/>
      <c r="AU64">
        <f t="shared" si="10"/>
        <v>0</v>
      </c>
      <c r="AV64">
        <f t="shared" si="11"/>
        <v>0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0</v>
      </c>
      <c r="BE64" s="29">
        <f t="shared" si="22"/>
        <v>0</v>
      </c>
      <c r="BF64" s="29">
        <f t="shared" si="23"/>
        <v>0</v>
      </c>
      <c r="BH64" s="29"/>
    </row>
    <row r="65" spans="1:60" x14ac:dyDescent="0.25">
      <c r="A65" s="1">
        <v>46118</v>
      </c>
      <c r="B65" s="33">
        <v>21.19</v>
      </c>
      <c r="C65" s="33">
        <v>25.78</v>
      </c>
      <c r="D65" s="15">
        <v>-1.88590343495702E-3</v>
      </c>
      <c r="E65" s="15">
        <v>-1.93760959670763E-3</v>
      </c>
      <c r="F65" s="33">
        <v>0</v>
      </c>
      <c r="G65" s="33">
        <v>0.25068999999999902</v>
      </c>
      <c r="H65" s="33">
        <v>0</v>
      </c>
      <c r="I65" s="33">
        <v>0.31241099999999999</v>
      </c>
      <c r="J65" s="33">
        <v>0.25068999999999902</v>
      </c>
      <c r="K65" s="33">
        <v>0.31241099999999999</v>
      </c>
      <c r="L65" s="33">
        <v>21.44069</v>
      </c>
      <c r="M65" s="33">
        <v>26.092410999999998</v>
      </c>
      <c r="N65" s="34">
        <v>1.21661160924964</v>
      </c>
      <c r="O65" s="34">
        <v>1.2195304988600599</v>
      </c>
      <c r="P65" s="34">
        <v>1.2207289770137899</v>
      </c>
      <c r="Q65" s="34">
        <v>1.2190264083993101</v>
      </c>
      <c r="R65" s="33">
        <v>25.8418512708447</v>
      </c>
      <c r="S65" s="33">
        <v>25.868855470952699</v>
      </c>
      <c r="T65" s="33">
        <v>25.833048968689901</v>
      </c>
      <c r="U65" s="15">
        <v>2.39632244562114E-3</v>
      </c>
      <c r="V65" s="15">
        <v>3.4407561524609199E-3</v>
      </c>
      <c r="W65" s="15">
        <v>2.0556424559486802E-3</v>
      </c>
      <c r="X65" s="34">
        <v>1.21695761656924</v>
      </c>
      <c r="Y65" s="34">
        <v>1.2179193246936699</v>
      </c>
      <c r="Z65" s="34">
        <v>1.21755036205066</v>
      </c>
      <c r="AA65" s="34">
        <v>1.21749703301736</v>
      </c>
      <c r="AB65" s="33">
        <v>26.1130306857664</v>
      </c>
      <c r="AC65" s="33">
        <v>26.1062641860028</v>
      </c>
      <c r="AD65" s="33">
        <v>26.105625889556102</v>
      </c>
      <c r="AE65" s="15">
        <v>7.8994396648630796E-4</v>
      </c>
      <c r="AF65" s="15">
        <v>5.3078689367878397E-4</v>
      </c>
      <c r="AG65" s="15">
        <v>5.0633666037677304E-4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0</v>
      </c>
      <c r="AT65" s="12"/>
      <c r="AU65">
        <f t="shared" si="10"/>
        <v>0</v>
      </c>
      <c r="AV65">
        <f t="shared" si="11"/>
        <v>0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</v>
      </c>
      <c r="BE65" s="29">
        <f t="shared" si="22"/>
        <v>0</v>
      </c>
      <c r="BF65" s="29">
        <f t="shared" si="23"/>
        <v>0</v>
      </c>
      <c r="BH65" s="29"/>
    </row>
    <row r="66" spans="1:60" x14ac:dyDescent="0.25">
      <c r="A66" s="1">
        <v>46119</v>
      </c>
      <c r="B66" s="33">
        <v>21.23</v>
      </c>
      <c r="C66" s="33">
        <v>25.82</v>
      </c>
      <c r="D66" s="15">
        <v>1.88590343495704E-3</v>
      </c>
      <c r="E66" s="15">
        <v>1.5503879074549899E-3</v>
      </c>
      <c r="F66" s="33">
        <v>0</v>
      </c>
      <c r="G66" s="33">
        <v>0.25068999999999902</v>
      </c>
      <c r="H66" s="33">
        <v>0</v>
      </c>
      <c r="I66" s="33">
        <v>0.31241099999999999</v>
      </c>
      <c r="J66" s="33">
        <v>0.25068999999999902</v>
      </c>
      <c r="K66" s="33">
        <v>0.31241099999999999</v>
      </c>
      <c r="L66" s="33">
        <v>21.480689999999999</v>
      </c>
      <c r="M66" s="33">
        <v>26.132411000000001</v>
      </c>
      <c r="N66" s="34">
        <v>1.21620348563353</v>
      </c>
      <c r="O66" s="34">
        <v>1.2195304988600599</v>
      </c>
      <c r="P66" s="34">
        <v>1.2201112980759601</v>
      </c>
      <c r="Q66" s="34">
        <v>1.2189629767330299</v>
      </c>
      <c r="R66" s="33">
        <v>25.890632490799099</v>
      </c>
      <c r="S66" s="33">
        <v>25.9160761820029</v>
      </c>
      <c r="T66" s="33">
        <v>25.879930650317501</v>
      </c>
      <c r="U66" s="15">
        <v>2.7318379731230101E-3</v>
      </c>
      <c r="V66" s="15">
        <v>3.7140927390156698E-3</v>
      </c>
      <c r="W66" s="15">
        <v>2.3184045474568399E-3</v>
      </c>
      <c r="X66" s="34">
        <v>1.2165536116391</v>
      </c>
      <c r="Y66" s="34">
        <v>1.2179193246936699</v>
      </c>
      <c r="Z66" s="34">
        <v>1.2174354992902301</v>
      </c>
      <c r="AA66" s="34">
        <v>1.2174452390975199</v>
      </c>
      <c r="AB66" s="33">
        <v>26.161747458754199</v>
      </c>
      <c r="AC66" s="33">
        <v>26.153821886598099</v>
      </c>
      <c r="AD66" s="33">
        <v>26.152676342165801</v>
      </c>
      <c r="AE66" s="15">
        <v>1.12197854201389E-3</v>
      </c>
      <c r="AF66" s="15">
        <v>8.1898758479536195E-4</v>
      </c>
      <c r="AG66" s="15">
        <v>7.7518635660162104E-4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0</v>
      </c>
      <c r="AT66" s="12"/>
      <c r="AU66">
        <f t="shared" si="10"/>
        <v>0</v>
      </c>
      <c r="AV66">
        <f t="shared" si="11"/>
        <v>0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</v>
      </c>
      <c r="BE66" s="29">
        <f t="shared" si="22"/>
        <v>0</v>
      </c>
      <c r="BF66" s="29">
        <f t="shared" si="23"/>
        <v>0</v>
      </c>
      <c r="BH66" s="29"/>
    </row>
    <row r="67" spans="1:60" x14ac:dyDescent="0.25">
      <c r="A67" s="1">
        <v>46120</v>
      </c>
      <c r="B67" s="33">
        <v>21.29</v>
      </c>
      <c r="C67" s="33">
        <v>25.91</v>
      </c>
      <c r="D67" s="15">
        <v>2.82220319022342E-3</v>
      </c>
      <c r="E67" s="15">
        <v>3.4796091555220998E-3</v>
      </c>
      <c r="F67" s="33">
        <v>0</v>
      </c>
      <c r="G67" s="33">
        <v>0.25068999999999902</v>
      </c>
      <c r="H67" s="33">
        <v>0</v>
      </c>
      <c r="I67" s="33">
        <v>0.31241099999999999</v>
      </c>
      <c r="J67" s="33">
        <v>0.25068999999999902</v>
      </c>
      <c r="K67" s="33">
        <v>0.31241099999999999</v>
      </c>
      <c r="L67" s="33">
        <v>21.540689999999898</v>
      </c>
      <c r="M67" s="33">
        <v>26.222411000000001</v>
      </c>
      <c r="N67" s="34">
        <v>1.2170032879285999</v>
      </c>
      <c r="O67" s="34">
        <v>1.2195304988600599</v>
      </c>
      <c r="P67" s="34">
        <v>1.21961580937833</v>
      </c>
      <c r="Q67" s="34">
        <v>1.2189405326367</v>
      </c>
      <c r="R67" s="33">
        <v>25.963804320730699</v>
      </c>
      <c r="S67" s="33">
        <v>25.9761695360373</v>
      </c>
      <c r="T67" s="33">
        <v>25.951721774646401</v>
      </c>
      <c r="U67" s="15">
        <v>2.0744320078241599E-3</v>
      </c>
      <c r="V67" s="15">
        <v>2.5505668466406502E-3</v>
      </c>
      <c r="W67" s="15">
        <v>1.6089625341919099E-3</v>
      </c>
      <c r="X67" s="34">
        <v>1.2173431306053799</v>
      </c>
      <c r="Y67" s="34">
        <v>1.2179193246936699</v>
      </c>
      <c r="Z67" s="34">
        <v>1.2174424000405</v>
      </c>
      <c r="AA67" s="34">
        <v>1.21743388638533</v>
      </c>
      <c r="AB67" s="33">
        <v>26.2348226182358</v>
      </c>
      <c r="AC67" s="33">
        <v>26.224400685206099</v>
      </c>
      <c r="AD67" s="33">
        <v>26.2246104873756</v>
      </c>
      <c r="AE67" s="15">
        <v>4.73209035679293E-4</v>
      </c>
      <c r="AF67" s="15">
        <v>7.5874400871566206E-5</v>
      </c>
      <c r="AG67" s="15">
        <v>8.3874634423456305E-5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0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0</v>
      </c>
      <c r="BE67" s="29">
        <f t="shared" si="22"/>
        <v>0</v>
      </c>
      <c r="BF67" s="29">
        <f t="shared" si="23"/>
        <v>0</v>
      </c>
      <c r="BH67" s="29"/>
    </row>
    <row r="68" spans="1:60" x14ac:dyDescent="0.25">
      <c r="A68" s="1">
        <v>46121</v>
      </c>
      <c r="B68" s="33">
        <v>21.3</v>
      </c>
      <c r="C68" s="33">
        <v>25.93</v>
      </c>
      <c r="D68" s="15">
        <v>4.69593809991433E-4</v>
      </c>
      <c r="E68" s="15">
        <v>7.71604976554311E-4</v>
      </c>
      <c r="F68" s="33">
        <v>0</v>
      </c>
      <c r="G68" s="33">
        <v>0.25068999999999902</v>
      </c>
      <c r="H68" s="33">
        <v>0</v>
      </c>
      <c r="I68" s="33">
        <v>0.31241099999999999</v>
      </c>
      <c r="J68" s="33">
        <v>0.25068999999999902</v>
      </c>
      <c r="K68" s="33">
        <v>0.31241099999999999</v>
      </c>
      <c r="L68" s="33">
        <v>21.550689999999999</v>
      </c>
      <c r="M68" s="33">
        <v>26.242411000000001</v>
      </c>
      <c r="N68" s="34">
        <v>1.21737089201877</v>
      </c>
      <c r="O68" s="34">
        <v>1.2195304988600599</v>
      </c>
      <c r="P68" s="34">
        <v>1.2190885688786399</v>
      </c>
      <c r="Q68" s="34">
        <v>1.2189792600787099</v>
      </c>
      <c r="R68" s="33">
        <v>25.9759996257193</v>
      </c>
      <c r="S68" s="33">
        <v>25.977816739758399</v>
      </c>
      <c r="T68" s="33">
        <v>25.9634333451617</v>
      </c>
      <c r="U68" s="15">
        <v>1.77242084126122E-3</v>
      </c>
      <c r="V68" s="15">
        <v>1.84237196966782E-3</v>
      </c>
      <c r="W68" s="15">
        <v>1.2885387469069899E-3</v>
      </c>
      <c r="X68" s="34">
        <v>1.21770630081913</v>
      </c>
      <c r="Y68" s="34">
        <v>1.2179193246936699</v>
      </c>
      <c r="Z68" s="34">
        <v>1.2174163746772999</v>
      </c>
      <c r="AA68" s="34">
        <v>1.2174831224389</v>
      </c>
      <c r="AB68" s="33">
        <v>26.247001811482701</v>
      </c>
      <c r="AC68" s="33">
        <v>26.236723756128999</v>
      </c>
      <c r="AD68" s="33">
        <v>26.236540280985501</v>
      </c>
      <c r="AE68" s="15">
        <v>1.7492333210002899E-4</v>
      </c>
      <c r="AF68" s="15">
        <v>-2.1674305110731701E-4</v>
      </c>
      <c r="AG68" s="15">
        <v>-2.2373614165742601E-4</v>
      </c>
      <c r="AI68" s="12"/>
      <c r="AJ68">
        <f t="shared" si="6"/>
        <v>0</v>
      </c>
      <c r="AK68">
        <f t="shared" si="7"/>
        <v>0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0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0</v>
      </c>
      <c r="BE68" s="29">
        <f t="shared" si="22"/>
        <v>0</v>
      </c>
      <c r="BF68" s="29">
        <f t="shared" si="23"/>
        <v>0</v>
      </c>
      <c r="BH68" s="29"/>
    </row>
    <row r="69" spans="1:60" x14ac:dyDescent="0.25">
      <c r="A69" s="1">
        <v>46122</v>
      </c>
      <c r="B69" s="33">
        <v>21.25</v>
      </c>
      <c r="C69" s="33">
        <v>25.89</v>
      </c>
      <c r="D69" s="15">
        <v>-2.3501773449536201E-3</v>
      </c>
      <c r="E69" s="15">
        <v>-1.5438057871267599E-3</v>
      </c>
      <c r="F69" s="33">
        <v>0</v>
      </c>
      <c r="G69" s="33">
        <v>0.25068999999999902</v>
      </c>
      <c r="H69" s="33">
        <v>0</v>
      </c>
      <c r="I69" s="33">
        <v>0.31241099999999999</v>
      </c>
      <c r="J69" s="33">
        <v>0.25068999999999902</v>
      </c>
      <c r="K69" s="33">
        <v>0.31241099999999999</v>
      </c>
      <c r="L69" s="33">
        <v>21.500689999999999</v>
      </c>
      <c r="M69" s="33">
        <v>26.202411000000001</v>
      </c>
      <c r="N69" s="34">
        <v>1.21835294117647</v>
      </c>
      <c r="O69" s="34">
        <v>1.2195304988600599</v>
      </c>
      <c r="P69" s="34">
        <v>1.2187016407740701</v>
      </c>
      <c r="Q69" s="34">
        <v>1.21902939181457</v>
      </c>
      <c r="R69" s="33">
        <v>25.915023100776299</v>
      </c>
      <c r="S69" s="33">
        <v>25.905632088671201</v>
      </c>
      <c r="T69" s="33">
        <v>25.903309276672498</v>
      </c>
      <c r="U69" s="15">
        <v>9.6604928343419503E-4</v>
      </c>
      <c r="V69" s="15">
        <v>6.0360646315216703E-4</v>
      </c>
      <c r="W69" s="15">
        <v>5.13938080088665E-4</v>
      </c>
      <c r="X69" s="34">
        <v>1.2186776796465599</v>
      </c>
      <c r="Y69" s="34">
        <v>1.2179193246936699</v>
      </c>
      <c r="Z69" s="34">
        <v>1.2175321826444201</v>
      </c>
      <c r="AA69" s="34">
        <v>1.21754348969041</v>
      </c>
      <c r="AB69" s="33">
        <v>26.186105845248001</v>
      </c>
      <c r="AC69" s="33">
        <v>26.175292072860501</v>
      </c>
      <c r="AD69" s="33">
        <v>26.1767271957909</v>
      </c>
      <c r="AE69" s="15">
        <v>-6.2247058173288102E-4</v>
      </c>
      <c r="AF69" s="15">
        <v>-1.0355142731245401E-3</v>
      </c>
      <c r="AG69" s="15">
        <v>-9.8068838671884202E-4</v>
      </c>
      <c r="AI69" s="12"/>
      <c r="AJ69">
        <f t="shared" si="6"/>
        <v>0</v>
      </c>
      <c r="AK69">
        <f t="shared" si="7"/>
        <v>0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0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0</v>
      </c>
      <c r="BE69" s="29">
        <f t="shared" si="22"/>
        <v>0</v>
      </c>
      <c r="BF69" s="29">
        <f t="shared" si="23"/>
        <v>0</v>
      </c>
      <c r="BH69" s="29"/>
    </row>
    <row r="70" spans="1:60" x14ac:dyDescent="0.25">
      <c r="A70" s="1">
        <v>46125</v>
      </c>
      <c r="B70" s="33">
        <v>21.32</v>
      </c>
      <c r="C70" s="33">
        <v>25.96</v>
      </c>
      <c r="D70" s="15">
        <v>3.2887039272180198E-3</v>
      </c>
      <c r="E70" s="15">
        <v>2.70009807244305E-3</v>
      </c>
      <c r="F70" s="33">
        <v>0</v>
      </c>
      <c r="G70" s="33">
        <v>0.25068999999999902</v>
      </c>
      <c r="H70" s="33">
        <v>0</v>
      </c>
      <c r="I70" s="33">
        <v>0.31241099999999999</v>
      </c>
      <c r="J70" s="33">
        <v>0.25068999999999902</v>
      </c>
      <c r="K70" s="33">
        <v>0.31241099999999999</v>
      </c>
      <c r="L70" s="33">
        <v>21.570689999999999</v>
      </c>
      <c r="M70" s="33">
        <v>26.272411000000002</v>
      </c>
      <c r="N70" s="34">
        <v>1.2176360225140701</v>
      </c>
      <c r="O70" s="34">
        <v>1.2195304988600599</v>
      </c>
      <c r="P70" s="34">
        <v>1.21820055119557</v>
      </c>
      <c r="Q70" s="34">
        <v>1.2190416277228799</v>
      </c>
      <c r="R70" s="33">
        <v>26.0003902356965</v>
      </c>
      <c r="S70" s="33">
        <v>25.982718981303201</v>
      </c>
      <c r="T70" s="33">
        <v>25.989706633486701</v>
      </c>
      <c r="U70" s="15">
        <v>1.5546551382092399E-3</v>
      </c>
      <c r="V70" s="15">
        <v>8.7477063956407496E-4</v>
      </c>
      <c r="W70" s="15">
        <v>1.14366908495775E-3</v>
      </c>
      <c r="X70" s="34">
        <v>1.21796803903815</v>
      </c>
      <c r="Y70" s="34">
        <v>1.2179193246936699</v>
      </c>
      <c r="Z70" s="34">
        <v>1.21753594770012</v>
      </c>
      <c r="AA70" s="34">
        <v>1.2175663270572501</v>
      </c>
      <c r="AB70" s="33">
        <v>26.271360197976598</v>
      </c>
      <c r="AC70" s="33">
        <v>26.263009276846301</v>
      </c>
      <c r="AD70" s="33">
        <v>26.263253177629998</v>
      </c>
      <c r="AE70" s="15">
        <v>-3.9997206121331798E-5</v>
      </c>
      <c r="AF70" s="15">
        <v>-3.5791940768551198E-4</v>
      </c>
      <c r="AG70" s="15">
        <v>-3.4863259486811899E-4</v>
      </c>
      <c r="AI70" s="12"/>
      <c r="AJ70">
        <f t="shared" si="6"/>
        <v>0</v>
      </c>
      <c r="AK70">
        <f t="shared" si="7"/>
        <v>0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0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0</v>
      </c>
      <c r="BE70" s="29">
        <f t="shared" si="22"/>
        <v>0</v>
      </c>
      <c r="BF70" s="29">
        <f t="shared" si="23"/>
        <v>0</v>
      </c>
      <c r="BH70" s="29"/>
    </row>
    <row r="71" spans="1:60" x14ac:dyDescent="0.25">
      <c r="A71" s="1">
        <v>46126</v>
      </c>
      <c r="B71" s="33">
        <v>21.38</v>
      </c>
      <c r="C71" s="33">
        <v>26.02</v>
      </c>
      <c r="D71" s="15">
        <v>2.81030629925534E-3</v>
      </c>
      <c r="E71" s="15">
        <v>2.3085812484700198E-3</v>
      </c>
      <c r="F71" s="33">
        <v>0</v>
      </c>
      <c r="G71" s="33">
        <v>0.25068999999999902</v>
      </c>
      <c r="H71" s="33">
        <v>0</v>
      </c>
      <c r="I71" s="33">
        <v>0.31241099999999999</v>
      </c>
      <c r="J71" s="33">
        <v>0.25068999999999902</v>
      </c>
      <c r="K71" s="33">
        <v>0.31241099999999999</v>
      </c>
      <c r="L71" s="33">
        <v>21.630689999999898</v>
      </c>
      <c r="M71" s="33">
        <v>26.332411</v>
      </c>
      <c r="N71" s="34">
        <v>1.21702525724976</v>
      </c>
      <c r="O71" s="34">
        <v>1.2195304988600599</v>
      </c>
      <c r="P71" s="34">
        <v>1.21764915395335</v>
      </c>
      <c r="Q71" s="34">
        <v>1.2190120615698199</v>
      </c>
      <c r="R71" s="33">
        <v>26.073562065628099</v>
      </c>
      <c r="S71" s="33">
        <v>26.045127784561299</v>
      </c>
      <c r="T71" s="33">
        <v>26.063110000715199</v>
      </c>
      <c r="U71" s="15">
        <v>2.05638018899473E-3</v>
      </c>
      <c r="V71" s="15">
        <v>9.65244399907679E-4</v>
      </c>
      <c r="W71" s="15">
        <v>1.65543150398568E-3</v>
      </c>
      <c r="X71" s="34">
        <v>1.21736343130986</v>
      </c>
      <c r="Y71" s="34">
        <v>1.2179193246936699</v>
      </c>
      <c r="Z71" s="34">
        <v>1.2174876776442201</v>
      </c>
      <c r="AA71" s="34">
        <v>1.2175477780964801</v>
      </c>
      <c r="AB71" s="33">
        <v>26.344435357458199</v>
      </c>
      <c r="AC71" s="33">
        <v>26.336142648557601</v>
      </c>
      <c r="AD71" s="33">
        <v>26.3367997750141</v>
      </c>
      <c r="AE71" s="15">
        <v>4.5653293614115499E-4</v>
      </c>
      <c r="AF71" s="15">
        <v>1.41703096263268E-4</v>
      </c>
      <c r="AG71" s="15">
        <v>1.6665429231813399E-4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0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0</v>
      </c>
      <c r="BE71" s="29">
        <f t="shared" si="22"/>
        <v>0</v>
      </c>
      <c r="BF71" s="29">
        <f t="shared" si="23"/>
        <v>0</v>
      </c>
      <c r="BH71" s="29"/>
    </row>
    <row r="72" spans="1:60" x14ac:dyDescent="0.25">
      <c r="A72" s="1">
        <v>46127</v>
      </c>
      <c r="B72" s="33">
        <v>21.36</v>
      </c>
      <c r="C72" s="33">
        <v>26.02</v>
      </c>
      <c r="D72" s="15">
        <v>-9.3589150490509105E-4</v>
      </c>
      <c r="E72" s="15">
        <v>0</v>
      </c>
      <c r="F72" s="33">
        <v>0</v>
      </c>
      <c r="G72" s="33">
        <v>0.25068999999999902</v>
      </c>
      <c r="H72" s="33">
        <v>0</v>
      </c>
      <c r="I72" s="33">
        <v>0.31241099999999999</v>
      </c>
      <c r="J72" s="33">
        <v>0.25068999999999902</v>
      </c>
      <c r="K72" s="33">
        <v>0.31241099999999999</v>
      </c>
      <c r="L72" s="33">
        <v>21.610689999999899</v>
      </c>
      <c r="M72" s="33">
        <v>26.332411</v>
      </c>
      <c r="N72" s="34">
        <v>1.21816479400749</v>
      </c>
      <c r="O72" s="34">
        <v>1.2195304988600599</v>
      </c>
      <c r="P72" s="34">
        <v>1.2172434111318799</v>
      </c>
      <c r="Q72" s="34">
        <v>1.2190385001445001</v>
      </c>
      <c r="R72" s="33">
        <v>26.0491714556509</v>
      </c>
      <c r="S72" s="33">
        <v>26.0089859284437</v>
      </c>
      <c r="T72" s="33">
        <v>26.0380976351315</v>
      </c>
      <c r="U72" s="15">
        <v>1.1204886840894899E-3</v>
      </c>
      <c r="V72" s="15">
        <v>-4.23382140714956E-4</v>
      </c>
      <c r="W72" s="15">
        <v>6.9528610082785901E-4</v>
      </c>
      <c r="X72" s="34">
        <v>1.21849006209426</v>
      </c>
      <c r="Y72" s="34">
        <v>1.2179193246936699</v>
      </c>
      <c r="Z72" s="34">
        <v>1.2175807685069899</v>
      </c>
      <c r="AA72" s="34">
        <v>1.2175846208238901</v>
      </c>
      <c r="AB72" s="33">
        <v>26.320076970964301</v>
      </c>
      <c r="AC72" s="33">
        <v>26.3107487803893</v>
      </c>
      <c r="AD72" s="33">
        <v>26.312047592631899</v>
      </c>
      <c r="AE72" s="15">
        <v>-4.6850698747673497E-4</v>
      </c>
      <c r="AF72" s="15">
        <v>-8.2298330585421403E-4</v>
      </c>
      <c r="AG72" s="15">
        <v>-7.7362020345549901E-4</v>
      </c>
      <c r="AI72" s="12"/>
      <c r="AJ72">
        <f t="shared" si="6"/>
        <v>0</v>
      </c>
      <c r="AK72">
        <f t="shared" si="7"/>
        <v>0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0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0</v>
      </c>
      <c r="BE72" s="29">
        <f t="shared" si="22"/>
        <v>0</v>
      </c>
      <c r="BF72" s="29">
        <f t="shared" si="23"/>
        <v>0</v>
      </c>
      <c r="BH72" s="29"/>
    </row>
    <row r="73" spans="1:60" x14ac:dyDescent="0.25">
      <c r="A73" s="1">
        <v>46128</v>
      </c>
      <c r="B73" s="33">
        <v>21.3</v>
      </c>
      <c r="C73" s="33">
        <v>25.94</v>
      </c>
      <c r="D73" s="15">
        <v>-2.81294137661461E-3</v>
      </c>
      <c r="E73" s="15">
        <v>-3.07929419606138E-3</v>
      </c>
      <c r="F73" s="33">
        <v>0</v>
      </c>
      <c r="G73" s="33">
        <v>0.25068999999999902</v>
      </c>
      <c r="H73" s="33">
        <v>0</v>
      </c>
      <c r="I73" s="33">
        <v>0.31241099999999999</v>
      </c>
      <c r="J73" s="33">
        <v>0.25068999999999902</v>
      </c>
      <c r="K73" s="33">
        <v>0.31241099999999999</v>
      </c>
      <c r="L73" s="33">
        <v>21.550689999999999</v>
      </c>
      <c r="M73" s="33">
        <v>26.252410999999999</v>
      </c>
      <c r="N73" s="34">
        <v>1.2178403755868501</v>
      </c>
      <c r="O73" s="34">
        <v>1.2195304988600599</v>
      </c>
      <c r="P73" s="34">
        <v>1.2172883182557801</v>
      </c>
      <c r="Q73" s="34">
        <v>1.21907324148625</v>
      </c>
      <c r="R73" s="33">
        <v>25.9759996257193</v>
      </c>
      <c r="S73" s="33">
        <v>25.927284657109102</v>
      </c>
      <c r="T73" s="33">
        <v>25.9655200530778</v>
      </c>
      <c r="U73" s="15">
        <v>1.3868415035363699E-3</v>
      </c>
      <c r="V73" s="15">
        <v>-4.9030301970310296E-4</v>
      </c>
      <c r="W73" s="15">
        <v>9.833272109831591E-4</v>
      </c>
      <c r="X73" s="34">
        <v>1.21817032308478</v>
      </c>
      <c r="Y73" s="34">
        <v>1.2179193246936699</v>
      </c>
      <c r="Z73" s="34">
        <v>1.21762493408395</v>
      </c>
      <c r="AA73" s="34">
        <v>1.21762978354754</v>
      </c>
      <c r="AB73" s="33">
        <v>26.247001811482701</v>
      </c>
      <c r="AC73" s="33">
        <v>26.239705692056098</v>
      </c>
      <c r="AD73" s="33">
        <v>26.239788712143302</v>
      </c>
      <c r="AE73" s="15">
        <v>-2.0606662995617601E-4</v>
      </c>
      <c r="AF73" s="15">
        <v>-4.8408442991731298E-4</v>
      </c>
      <c r="AG73" s="15">
        <v>-4.8092052416116502E-4</v>
      </c>
      <c r="AI73" s="12"/>
      <c r="AJ73">
        <f t="shared" si="6"/>
        <v>0</v>
      </c>
      <c r="AK73">
        <f t="shared" si="7"/>
        <v>0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0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0</v>
      </c>
      <c r="BE73" s="29">
        <f t="shared" si="22"/>
        <v>0</v>
      </c>
      <c r="BF73" s="29">
        <f t="shared" si="23"/>
        <v>0</v>
      </c>
      <c r="BH73" s="29"/>
    </row>
    <row r="74" spans="1:60" x14ac:dyDescent="0.25">
      <c r="A74" s="1">
        <v>46129</v>
      </c>
      <c r="B74" s="33">
        <v>21.41</v>
      </c>
      <c r="C74" s="33">
        <v>26.05</v>
      </c>
      <c r="D74" s="15">
        <v>5.15102988621191E-3</v>
      </c>
      <c r="E74" s="15">
        <v>4.2315893110780999E-3</v>
      </c>
      <c r="F74" s="33">
        <v>0</v>
      </c>
      <c r="G74" s="33">
        <v>0.25068999999999902</v>
      </c>
      <c r="H74" s="33">
        <v>0</v>
      </c>
      <c r="I74" s="33">
        <v>0.31241099999999999</v>
      </c>
      <c r="J74" s="33">
        <v>0.25068999999999902</v>
      </c>
      <c r="K74" s="33">
        <v>0.31241099999999999</v>
      </c>
      <c r="L74" s="33">
        <v>21.660689999999999</v>
      </c>
      <c r="M74" s="33">
        <v>26.362411000000002</v>
      </c>
      <c r="N74" s="34">
        <v>1.2167211583372199</v>
      </c>
      <c r="O74" s="34">
        <v>1.2195304988600599</v>
      </c>
      <c r="P74" s="34">
        <v>1.2172929823702401</v>
      </c>
      <c r="Q74" s="34">
        <v>1.21904893268943</v>
      </c>
      <c r="R74" s="33">
        <v>26.110147980593901</v>
      </c>
      <c r="S74" s="33">
        <v>26.0621428938564</v>
      </c>
      <c r="T74" s="33">
        <v>26.100358100220699</v>
      </c>
      <c r="U74" s="15">
        <v>2.3062820786702099E-3</v>
      </c>
      <c r="V74" s="15">
        <v>4.6602935138977E-4</v>
      </c>
      <c r="W74" s="15">
        <v>1.9312663501190801E-3</v>
      </c>
      <c r="X74" s="34">
        <v>1.21706238351594</v>
      </c>
      <c r="Y74" s="34">
        <v>1.2179193246936699</v>
      </c>
      <c r="Z74" s="34">
        <v>1.2176292578322401</v>
      </c>
      <c r="AA74" s="34">
        <v>1.2176164955072299</v>
      </c>
      <c r="AB74" s="33">
        <v>26.380972937199001</v>
      </c>
      <c r="AC74" s="33">
        <v>26.374596233462899</v>
      </c>
      <c r="AD74" s="33">
        <v>26.374701276190301</v>
      </c>
      <c r="AE74" s="15">
        <v>7.0385843985665199E-4</v>
      </c>
      <c r="AF74" s="15">
        <v>4.6211320357330697E-4</v>
      </c>
      <c r="AG74" s="15">
        <v>4.6609591926523899E-4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0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0</v>
      </c>
      <c r="AT74" s="12"/>
      <c r="AU74">
        <f t="shared" si="10"/>
        <v>0</v>
      </c>
      <c r="AV74">
        <f t="shared" si="11"/>
        <v>0</v>
      </c>
      <c r="AW74">
        <f t="shared" si="18"/>
        <v>0</v>
      </c>
      <c r="AX74">
        <f t="shared" si="5"/>
        <v>0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0</v>
      </c>
      <c r="BE74" s="29">
        <f t="shared" si="22"/>
        <v>0</v>
      </c>
      <c r="BF74" s="29">
        <f t="shared" si="23"/>
        <v>0</v>
      </c>
      <c r="BH74" s="29"/>
    </row>
    <row r="75" spans="1:60" x14ac:dyDescent="0.25">
      <c r="A75" s="1">
        <v>46132</v>
      </c>
      <c r="B75" s="33">
        <v>21.32</v>
      </c>
      <c r="C75" s="33">
        <v>26.06</v>
      </c>
      <c r="D75" s="15">
        <v>-4.2125033039476199E-3</v>
      </c>
      <c r="E75" s="15">
        <v>3.8380349732310002E-4</v>
      </c>
      <c r="F75" s="33">
        <v>8.4190000000000001E-2</v>
      </c>
      <c r="G75" s="33">
        <v>0.33487999999999901</v>
      </c>
      <c r="H75" s="33">
        <v>0</v>
      </c>
      <c r="I75" s="33">
        <v>0.31241099999999999</v>
      </c>
      <c r="J75" s="33">
        <v>0.33487999999999901</v>
      </c>
      <c r="K75" s="33">
        <v>0.31241099999999999</v>
      </c>
      <c r="L75" s="33">
        <v>21.654879999999999</v>
      </c>
      <c r="M75" s="33">
        <v>26.372411</v>
      </c>
      <c r="N75" s="34">
        <v>1.2223264540337699</v>
      </c>
      <c r="O75" s="34">
        <v>1.2195304988600599</v>
      </c>
      <c r="P75" s="34">
        <v>1.21786446684865</v>
      </c>
      <c r="Q75" s="34">
        <v>1.2192967219312201</v>
      </c>
      <c r="R75" s="33">
        <v>26.0003902356965</v>
      </c>
      <c r="S75" s="33">
        <v>25.9526863841336</v>
      </c>
      <c r="T75" s="33">
        <v>25.990123244938701</v>
      </c>
      <c r="U75" s="15">
        <v>-2.29002472260054E-3</v>
      </c>
      <c r="V75" s="15">
        <v>-4.1264458962119903E-3</v>
      </c>
      <c r="W75" s="15">
        <v>-2.6849810407398602E-3</v>
      </c>
      <c r="X75" s="34">
        <v>1.2178507107866601</v>
      </c>
      <c r="Y75" s="34">
        <v>1.2179193246936699</v>
      </c>
      <c r="Z75" s="34">
        <v>1.2177185672539801</v>
      </c>
      <c r="AA75" s="34">
        <v>1.2176344646523201</v>
      </c>
      <c r="AB75" s="33">
        <v>26.3738968259226</v>
      </c>
      <c r="AC75" s="33">
        <v>26.367615462846299</v>
      </c>
      <c r="AD75" s="33">
        <v>26.367339096229699</v>
      </c>
      <c r="AE75" s="15">
        <v>5.6338575503944998E-5</v>
      </c>
      <c r="AF75" s="15">
        <v>-1.81855698167998E-4</v>
      </c>
      <c r="AG75" s="15">
        <v>-1.9233704280599499E-4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0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0</v>
      </c>
      <c r="BE75" s="29">
        <f t="shared" si="22"/>
        <v>0</v>
      </c>
      <c r="BF75" s="29">
        <f t="shared" si="23"/>
        <v>0</v>
      </c>
      <c r="BH75" s="29"/>
    </row>
    <row r="76" spans="1:60" x14ac:dyDescent="0.25">
      <c r="A76" s="1">
        <v>46133</v>
      </c>
      <c r="B76" s="33">
        <v>21.25</v>
      </c>
      <c r="C76" s="33">
        <v>25.97</v>
      </c>
      <c r="D76" s="15">
        <v>-3.2887039272179899E-3</v>
      </c>
      <c r="E76" s="15">
        <v>-3.4595460220419802E-3</v>
      </c>
      <c r="F76" s="33">
        <v>0</v>
      </c>
      <c r="G76" s="33">
        <v>0.33487999999999901</v>
      </c>
      <c r="H76" s="33">
        <v>0</v>
      </c>
      <c r="I76" s="33">
        <v>0.31241099999999999</v>
      </c>
      <c r="J76" s="33">
        <v>0.33487999999999901</v>
      </c>
      <c r="K76" s="33">
        <v>0.31241099999999999</v>
      </c>
      <c r="L76" s="33">
        <v>21.584879999999998</v>
      </c>
      <c r="M76" s="33">
        <v>26.282411</v>
      </c>
      <c r="N76" s="34">
        <v>1.22211764705882</v>
      </c>
      <c r="O76" s="34">
        <v>1.2195304988600599</v>
      </c>
      <c r="P76" s="34">
        <v>1.21845588299118</v>
      </c>
      <c r="Q76" s="34">
        <v>1.2192835905335699</v>
      </c>
      <c r="R76" s="33">
        <v>25.915023100776299</v>
      </c>
      <c r="S76" s="33">
        <v>25.879619920533901</v>
      </c>
      <c r="T76" s="33">
        <v>25.9100553410385</v>
      </c>
      <c r="U76" s="15">
        <v>-2.1191826277764899E-3</v>
      </c>
      <c r="V76" s="15">
        <v>-3.48624237337236E-3</v>
      </c>
      <c r="W76" s="15">
        <v>-2.31089520795238E-3</v>
      </c>
      <c r="X76" s="34">
        <v>1.21763062847697</v>
      </c>
      <c r="Y76" s="34">
        <v>1.2179193246936699</v>
      </c>
      <c r="Z76" s="34">
        <v>1.2178262689377699</v>
      </c>
      <c r="AA76" s="34">
        <v>1.217630884114</v>
      </c>
      <c r="AB76" s="33">
        <v>26.288642473193999</v>
      </c>
      <c r="AC76" s="33">
        <v>26.284309147949202</v>
      </c>
      <c r="AD76" s="33">
        <v>26.2824938033847</v>
      </c>
      <c r="AE76" s="15">
        <v>2.37068607590727E-4</v>
      </c>
      <c r="AF76" s="15">
        <v>7.22186183473669E-5</v>
      </c>
      <c r="AG76" s="15">
        <v>3.1505197257962199E-6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0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0</v>
      </c>
      <c r="BE76" s="29">
        <f t="shared" si="22"/>
        <v>0</v>
      </c>
      <c r="BF76" s="29">
        <f t="shared" si="23"/>
        <v>0</v>
      </c>
      <c r="BH76" s="29"/>
    </row>
    <row r="77" spans="1:60" x14ac:dyDescent="0.25">
      <c r="A77" s="1">
        <v>46134</v>
      </c>
      <c r="B77" s="33">
        <v>21.27</v>
      </c>
      <c r="C77" s="33">
        <v>26</v>
      </c>
      <c r="D77" s="15">
        <v>9.4073384171997401E-4</v>
      </c>
      <c r="E77" s="15">
        <v>1.1545123468251E-3</v>
      </c>
      <c r="F77" s="33">
        <v>0</v>
      </c>
      <c r="G77" s="33">
        <v>0.33487999999999901</v>
      </c>
      <c r="H77" s="33">
        <v>0</v>
      </c>
      <c r="I77" s="33">
        <v>0.31241099999999999</v>
      </c>
      <c r="J77" s="33">
        <v>0.33487999999999901</v>
      </c>
      <c r="K77" s="33">
        <v>0.31241099999999999</v>
      </c>
      <c r="L77" s="33">
        <v>21.604879999999898</v>
      </c>
      <c r="M77" s="33">
        <v>26.312411000000001</v>
      </c>
      <c r="N77" s="34">
        <v>1.22237893747061</v>
      </c>
      <c r="O77" s="34">
        <v>1.2195304988600599</v>
      </c>
      <c r="P77" s="34">
        <v>1.2189934479453799</v>
      </c>
      <c r="Q77" s="34">
        <v>1.2193046286618601</v>
      </c>
      <c r="R77" s="33">
        <v>25.939413710753499</v>
      </c>
      <c r="S77" s="33">
        <v>25.916556631222502</v>
      </c>
      <c r="T77" s="33">
        <v>25.9341619706491</v>
      </c>
      <c r="U77" s="15">
        <v>-2.3329611328814998E-3</v>
      </c>
      <c r="V77" s="15">
        <v>-3.21452137987162E-3</v>
      </c>
      <c r="W77" s="15">
        <v>-2.53544341999285E-3</v>
      </c>
      <c r="X77" s="34">
        <v>1.2178920225430501</v>
      </c>
      <c r="Y77" s="34">
        <v>1.2179193246936699</v>
      </c>
      <c r="Z77" s="34">
        <v>1.2178811581315401</v>
      </c>
      <c r="AA77" s="34">
        <v>1.21766177908602</v>
      </c>
      <c r="AB77" s="33">
        <v>26.3130008596879</v>
      </c>
      <c r="AC77" s="33">
        <v>26.310990401248301</v>
      </c>
      <c r="AD77" s="33">
        <v>26.3067691355769</v>
      </c>
      <c r="AE77" s="15">
        <v>2.2417294880855901E-5</v>
      </c>
      <c r="AF77" s="15">
        <v>-5.3991141362603703E-5</v>
      </c>
      <c r="AG77" s="15">
        <v>-2.14441366441432E-4</v>
      </c>
      <c r="AI77" s="12"/>
      <c r="AJ77">
        <f t="shared" si="6"/>
        <v>0</v>
      </c>
      <c r="AK77">
        <f t="shared" si="7"/>
        <v>0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0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0</v>
      </c>
      <c r="BE77" s="29">
        <f t="shared" si="22"/>
        <v>0</v>
      </c>
      <c r="BF77" s="29">
        <f t="shared" si="23"/>
        <v>0</v>
      </c>
      <c r="BH77" s="29"/>
    </row>
    <row r="78" spans="1:60" x14ac:dyDescent="0.25">
      <c r="A78" s="1">
        <v>46135</v>
      </c>
      <c r="B78" s="33">
        <v>21.22</v>
      </c>
      <c r="C78" s="33">
        <v>25.95</v>
      </c>
      <c r="D78" s="15">
        <v>-2.35349602630874E-3</v>
      </c>
      <c r="E78" s="15">
        <v>-1.9249284095843901E-3</v>
      </c>
      <c r="F78" s="33">
        <v>0</v>
      </c>
      <c r="G78" s="33">
        <v>0.33487999999999901</v>
      </c>
      <c r="H78" s="33">
        <v>0</v>
      </c>
      <c r="I78" s="33">
        <v>0.31241099999999999</v>
      </c>
      <c r="J78" s="33">
        <v>0.33487999999999901</v>
      </c>
      <c r="K78" s="33">
        <v>0.31241099999999999</v>
      </c>
      <c r="L78" s="33">
        <v>21.554879999999901</v>
      </c>
      <c r="M78" s="33">
        <v>26.262411</v>
      </c>
      <c r="N78" s="34">
        <v>1.2229029217719101</v>
      </c>
      <c r="O78" s="34">
        <v>1.2195304988600599</v>
      </c>
      <c r="P78" s="34">
        <v>1.2195466509207</v>
      </c>
      <c r="Q78" s="34">
        <v>1.2193176098996701</v>
      </c>
      <c r="R78" s="33">
        <v>25.878437185810501</v>
      </c>
      <c r="S78" s="33">
        <v>25.867040965401099</v>
      </c>
      <c r="T78" s="33">
        <v>25.8736442202046</v>
      </c>
      <c r="U78" s="15">
        <v>-2.76152874960589E-3</v>
      </c>
      <c r="V78" s="15">
        <v>-3.2020008836295701E-3</v>
      </c>
      <c r="W78" s="15">
        <v>-2.9467566859262199E-3</v>
      </c>
      <c r="X78" s="34">
        <v>1.21839745802342</v>
      </c>
      <c r="Y78" s="34">
        <v>1.2179193246936699</v>
      </c>
      <c r="Z78" s="34">
        <v>1.2179502738519701</v>
      </c>
      <c r="AA78" s="34">
        <v>1.2176833242646301</v>
      </c>
      <c r="AB78" s="33">
        <v>26.2521048934532</v>
      </c>
      <c r="AC78" s="33">
        <v>26.251282217786301</v>
      </c>
      <c r="AD78" s="33">
        <v>26.2465535287857</v>
      </c>
      <c r="AE78" s="15">
        <v>-3.9250506279021001E-4</v>
      </c>
      <c r="AF78" s="15">
        <v>-4.2384306638087099E-4</v>
      </c>
      <c r="AG78" s="15">
        <v>-6.0399102662175397E-4</v>
      </c>
      <c r="AI78" s="12"/>
      <c r="AJ78">
        <f t="shared" si="6"/>
        <v>0</v>
      </c>
      <c r="AK78">
        <f t="shared" si="7"/>
        <v>0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0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0</v>
      </c>
      <c r="BE78" s="29">
        <f t="shared" si="22"/>
        <v>0</v>
      </c>
      <c r="BF78" s="29">
        <f t="shared" si="23"/>
        <v>0</v>
      </c>
      <c r="BH78" s="29"/>
    </row>
    <row r="79" spans="1:60" x14ac:dyDescent="0.25">
      <c r="A79" s="1">
        <v>46136</v>
      </c>
      <c r="B79" s="33">
        <v>21.25</v>
      </c>
      <c r="C79" s="33">
        <v>25.97</v>
      </c>
      <c r="D79" s="15">
        <v>1.41276218458876E-3</v>
      </c>
      <c r="E79" s="15">
        <v>7.7041606275939404E-4</v>
      </c>
      <c r="F79" s="33">
        <v>0</v>
      </c>
      <c r="G79" s="33">
        <v>0.33487999999999901</v>
      </c>
      <c r="H79" s="33">
        <v>0</v>
      </c>
      <c r="I79" s="33">
        <v>0.31241099999999999</v>
      </c>
      <c r="J79" s="33">
        <v>0.33487999999999901</v>
      </c>
      <c r="K79" s="33">
        <v>0.31241099999999999</v>
      </c>
      <c r="L79" s="33">
        <v>21.584879999999998</v>
      </c>
      <c r="M79" s="33">
        <v>26.282411</v>
      </c>
      <c r="N79" s="34">
        <v>1.22211764705882</v>
      </c>
      <c r="O79" s="34">
        <v>1.2195304988600599</v>
      </c>
      <c r="P79" s="34">
        <v>1.2199231215089299</v>
      </c>
      <c r="Q79" s="34">
        <v>1.2193123811415001</v>
      </c>
      <c r="R79" s="33">
        <v>25.915023100776299</v>
      </c>
      <c r="S79" s="33">
        <v>25.915366332064799</v>
      </c>
      <c r="T79" s="33">
        <v>25.910499210367998</v>
      </c>
      <c r="U79" s="15">
        <v>-2.1191826277764899E-3</v>
      </c>
      <c r="V79" s="15">
        <v>-2.1059382245485199E-3</v>
      </c>
      <c r="W79" s="15">
        <v>-2.2937641936925002E-3</v>
      </c>
      <c r="X79" s="34">
        <v>1.21763062847697</v>
      </c>
      <c r="Y79" s="34">
        <v>1.2179193246936699</v>
      </c>
      <c r="Z79" s="34">
        <v>1.21784556873501</v>
      </c>
      <c r="AA79" s="34">
        <v>1.21768887568972</v>
      </c>
      <c r="AB79" s="33">
        <v>26.288642473193999</v>
      </c>
      <c r="AC79" s="33">
        <v>26.289310507061899</v>
      </c>
      <c r="AD79" s="33">
        <v>26.283548432253198</v>
      </c>
      <c r="AE79" s="15">
        <v>2.37068607590727E-4</v>
      </c>
      <c r="AF79" s="15">
        <v>2.62479785852078E-4</v>
      </c>
      <c r="AG79" s="15">
        <v>4.3276381359531103E-5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0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0</v>
      </c>
      <c r="BE79" s="29">
        <f t="shared" si="22"/>
        <v>0</v>
      </c>
      <c r="BF79" s="29">
        <f t="shared" si="23"/>
        <v>0</v>
      </c>
      <c r="BH79" s="29"/>
    </row>
    <row r="80" spans="1:60" x14ac:dyDescent="0.25">
      <c r="A80" s="1">
        <v>46139</v>
      </c>
      <c r="B80" s="33">
        <v>21.21</v>
      </c>
      <c r="C80" s="33">
        <v>25.92</v>
      </c>
      <c r="D80" s="15">
        <v>-1.88412679383473E-3</v>
      </c>
      <c r="E80" s="15">
        <v>-1.9271541905830499E-3</v>
      </c>
      <c r="F80" s="33">
        <v>0</v>
      </c>
      <c r="G80" s="33">
        <v>0.33487999999999901</v>
      </c>
      <c r="H80" s="33">
        <v>0</v>
      </c>
      <c r="I80" s="33">
        <v>0.31241099999999999</v>
      </c>
      <c r="J80" s="33">
        <v>0.33487999999999901</v>
      </c>
      <c r="K80" s="33">
        <v>0.31241099999999999</v>
      </c>
      <c r="L80" s="33">
        <v>21.544879999999999</v>
      </c>
      <c r="M80" s="33">
        <v>26.232410999999999</v>
      </c>
      <c r="N80" s="34">
        <v>1.2220650636492201</v>
      </c>
      <c r="O80" s="34">
        <v>1.2195304988600599</v>
      </c>
      <c r="P80" s="34">
        <v>1.22036602562245</v>
      </c>
      <c r="Q80" s="34">
        <v>1.2192832884090099</v>
      </c>
      <c r="R80" s="33">
        <v>25.866241880821899</v>
      </c>
      <c r="S80" s="33">
        <v>25.8745694072045</v>
      </c>
      <c r="T80" s="33">
        <v>25.861615604011298</v>
      </c>
      <c r="U80" s="15">
        <v>-2.0761552310281902E-3</v>
      </c>
      <c r="V80" s="15">
        <v>-1.7542613044663499E-3</v>
      </c>
      <c r="W80" s="15">
        <v>-2.25502507207311E-3</v>
      </c>
      <c r="X80" s="34">
        <v>1.21757053183865</v>
      </c>
      <c r="Y80" s="34">
        <v>1.2179193246936699</v>
      </c>
      <c r="Z80" s="34">
        <v>1.2178058180150599</v>
      </c>
      <c r="AA80" s="34">
        <v>1.21767088285759</v>
      </c>
      <c r="AB80" s="33">
        <v>26.2399257002063</v>
      </c>
      <c r="AC80" s="33">
        <v>26.2383366369275</v>
      </c>
      <c r="AD80" s="33">
        <v>26.234960704069898</v>
      </c>
      <c r="AE80" s="15">
        <v>2.8642521870560499E-4</v>
      </c>
      <c r="AF80" s="15">
        <v>2.2586439948438499E-4</v>
      </c>
      <c r="AG80" s="15">
        <v>9.7191987673273799E-5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0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0</v>
      </c>
      <c r="BE80" s="29">
        <f t="shared" si="22"/>
        <v>0</v>
      </c>
      <c r="BF80" s="29">
        <f t="shared" si="23"/>
        <v>0</v>
      </c>
      <c r="BH80" s="29"/>
    </row>
    <row r="81" spans="1:60" x14ac:dyDescent="0.25">
      <c r="A81" s="1">
        <v>46140</v>
      </c>
      <c r="B81" s="33">
        <v>21.2</v>
      </c>
      <c r="C81" s="33">
        <v>25.91</v>
      </c>
      <c r="D81" s="15">
        <v>-4.7158689862436299E-4</v>
      </c>
      <c r="E81" s="15">
        <v>-3.8587691005542501E-4</v>
      </c>
      <c r="F81" s="33">
        <v>0</v>
      </c>
      <c r="G81" s="33">
        <v>0.33487999999999901</v>
      </c>
      <c r="H81" s="33">
        <v>0</v>
      </c>
      <c r="I81" s="33">
        <v>0.31241099999999999</v>
      </c>
      <c r="J81" s="33">
        <v>0.33487999999999901</v>
      </c>
      <c r="K81" s="33">
        <v>0.31241099999999999</v>
      </c>
      <c r="L81" s="33">
        <v>21.534879999999902</v>
      </c>
      <c r="M81" s="33">
        <v>26.222411000000001</v>
      </c>
      <c r="N81" s="34">
        <v>1.22216981132075</v>
      </c>
      <c r="O81" s="34">
        <v>1.2195304988600599</v>
      </c>
      <c r="P81" s="34">
        <v>1.2208804810295399</v>
      </c>
      <c r="Q81" s="34">
        <v>1.21926481749145</v>
      </c>
      <c r="R81" s="33">
        <v>25.854046575833301</v>
      </c>
      <c r="S81" s="33">
        <v>25.871759743195899</v>
      </c>
      <c r="T81" s="33">
        <v>25.848805714270998</v>
      </c>
      <c r="U81" s="15">
        <v>-2.1618652195971402E-3</v>
      </c>
      <c r="V81" s="15">
        <v>-1.4769781461789601E-3</v>
      </c>
      <c r="W81" s="15">
        <v>-2.3645952953323199E-3</v>
      </c>
      <c r="X81" s="34">
        <v>1.21767156352856</v>
      </c>
      <c r="Y81" s="34">
        <v>1.2179193246936699</v>
      </c>
      <c r="Z81" s="34">
        <v>1.21783663123693</v>
      </c>
      <c r="AA81" s="34">
        <v>1.2176621544405699</v>
      </c>
      <c r="AB81" s="33">
        <v>26.227746506959299</v>
      </c>
      <c r="AC81" s="33">
        <v>26.225302154256099</v>
      </c>
      <c r="AD81" s="33">
        <v>26.222396341832301</v>
      </c>
      <c r="AE81" s="15">
        <v>2.0345056073702101E-4</v>
      </c>
      <c r="AF81" s="15">
        <v>1.1024901126179301E-4</v>
      </c>
      <c r="AG81" s="15">
        <v>-5.5899405218652299E-7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0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0</v>
      </c>
      <c r="BE81" s="29">
        <f t="shared" si="22"/>
        <v>0</v>
      </c>
      <c r="BF81" s="29">
        <f t="shared" si="23"/>
        <v>0</v>
      </c>
      <c r="BH81" s="29"/>
    </row>
    <row r="82" spans="1:60" x14ac:dyDescent="0.25">
      <c r="A82" s="1">
        <v>46141</v>
      </c>
      <c r="B82" s="33">
        <v>21.11</v>
      </c>
      <c r="C82" s="33">
        <v>25.81</v>
      </c>
      <c r="D82" s="15">
        <v>-4.2543198177375499E-3</v>
      </c>
      <c r="E82" s="15">
        <v>-3.86698084349615E-3</v>
      </c>
      <c r="F82" s="33">
        <v>0</v>
      </c>
      <c r="G82" s="33">
        <v>0.33487999999999901</v>
      </c>
      <c r="H82" s="33">
        <v>0</v>
      </c>
      <c r="I82" s="33">
        <v>0.31241099999999999</v>
      </c>
      <c r="J82" s="33">
        <v>0.33487999999999901</v>
      </c>
      <c r="K82" s="33">
        <v>0.31241099999999999</v>
      </c>
      <c r="L82" s="33">
        <v>21.444879999999898</v>
      </c>
      <c r="M82" s="33">
        <v>26.122411</v>
      </c>
      <c r="N82" s="34">
        <v>1.22264329701563</v>
      </c>
      <c r="O82" s="34">
        <v>1.2195304988600599</v>
      </c>
      <c r="P82" s="34">
        <v>1.22132833133036</v>
      </c>
      <c r="Q82" s="34">
        <v>1.2192858712311201</v>
      </c>
      <c r="R82" s="33">
        <v>25.744288830935901</v>
      </c>
      <c r="S82" s="33">
        <v>25.7727869545337</v>
      </c>
      <c r="T82" s="33">
        <v>25.7386802972445</v>
      </c>
      <c r="U82" s="15">
        <v>-2.5492041938384698E-3</v>
      </c>
      <c r="V82" s="15">
        <v>-1.4428476675710099E-3</v>
      </c>
      <c r="W82" s="15">
        <v>-2.7670833802374501E-3</v>
      </c>
      <c r="X82" s="34">
        <v>1.21811877706939</v>
      </c>
      <c r="Y82" s="34">
        <v>1.2179193246936699</v>
      </c>
      <c r="Z82" s="34">
        <v>1.2177995027344399</v>
      </c>
      <c r="AA82" s="34">
        <v>1.2176901356207199</v>
      </c>
      <c r="AB82" s="33">
        <v>26.1181337677369</v>
      </c>
      <c r="AC82" s="33">
        <v>26.116360416480202</v>
      </c>
      <c r="AD82" s="33">
        <v>26.112618782519601</v>
      </c>
      <c r="AE82" s="15">
        <v>-1.6375144216591601E-4</v>
      </c>
      <c r="AF82" s="15">
        <v>-2.3165106616261099E-4</v>
      </c>
      <c r="AG82" s="15">
        <v>-3.7492914757791102E-4</v>
      </c>
      <c r="AI82" s="12"/>
      <c r="AJ82">
        <f t="shared" si="6"/>
        <v>0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0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0</v>
      </c>
      <c r="BE82" s="29">
        <f t="shared" si="22"/>
        <v>0</v>
      </c>
      <c r="BF82" s="29">
        <f t="shared" si="23"/>
        <v>0</v>
      </c>
      <c r="BH82" s="29"/>
    </row>
    <row r="83" spans="1:60" x14ac:dyDescent="0.25">
      <c r="A83" s="1">
        <v>46142</v>
      </c>
      <c r="B83" s="33">
        <v>21.15</v>
      </c>
      <c r="C83" s="33">
        <v>25.84</v>
      </c>
      <c r="D83" s="15">
        <v>1.89304363205765E-3</v>
      </c>
      <c r="E83" s="15">
        <v>1.16166518387858E-3</v>
      </c>
      <c r="F83" s="33">
        <v>0</v>
      </c>
      <c r="G83" s="33">
        <v>0.33487999999999901</v>
      </c>
      <c r="H83" s="33">
        <v>0</v>
      </c>
      <c r="I83" s="33">
        <v>0.31241099999999999</v>
      </c>
      <c r="J83" s="33">
        <v>0.33487999999999901</v>
      </c>
      <c r="K83" s="33">
        <v>0.31241099999999999</v>
      </c>
      <c r="L83" s="33">
        <v>21.484879999999901</v>
      </c>
      <c r="M83" s="33">
        <v>26.152411000000001</v>
      </c>
      <c r="N83" s="34">
        <v>1.22174940898345</v>
      </c>
      <c r="O83" s="34">
        <v>1.2195304988600599</v>
      </c>
      <c r="P83" s="34">
        <v>1.2217192346700201</v>
      </c>
      <c r="Q83" s="34">
        <v>1.2195037764629</v>
      </c>
      <c r="R83" s="33">
        <v>25.7930700508903</v>
      </c>
      <c r="S83" s="33">
        <v>25.831094207637101</v>
      </c>
      <c r="T83" s="33">
        <v>25.787896176538201</v>
      </c>
      <c r="U83" s="15">
        <v>-1.8178257456595401E-3</v>
      </c>
      <c r="V83" s="15">
        <v>-3.4471081317559698E-4</v>
      </c>
      <c r="W83" s="15">
        <v>-2.01843751189089E-3</v>
      </c>
      <c r="X83" s="34">
        <v>1.2172472455047401</v>
      </c>
      <c r="Y83" s="34">
        <v>1.2179193246936699</v>
      </c>
      <c r="Z83" s="34">
        <v>1.21770719497644</v>
      </c>
      <c r="AA83" s="34">
        <v>1.21766606453019</v>
      </c>
      <c r="AB83" s="33">
        <v>26.166850540724599</v>
      </c>
      <c r="AC83" s="33">
        <v>26.164276180309098</v>
      </c>
      <c r="AD83" s="33">
        <v>26.1619264409949</v>
      </c>
      <c r="AE83" s="15">
        <v>5.5197801597634596E-4</v>
      </c>
      <c r="AF83" s="15">
        <v>4.5359066684527499E-4</v>
      </c>
      <c r="AG83" s="15">
        <v>3.6377947481762597E-4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0</v>
      </c>
      <c r="AT83" s="12"/>
      <c r="AU83">
        <f t="shared" si="10"/>
        <v>0</v>
      </c>
      <c r="AV83">
        <f t="shared" si="11"/>
        <v>0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0</v>
      </c>
      <c r="BE83" s="29">
        <f t="shared" si="22"/>
        <v>0</v>
      </c>
      <c r="BF83" s="29">
        <f t="shared" si="23"/>
        <v>0</v>
      </c>
      <c r="BH83" s="29"/>
    </row>
    <row r="84" spans="1:60" x14ac:dyDescent="0.25">
      <c r="A84" s="1">
        <v>46143</v>
      </c>
      <c r="B84" s="33">
        <v>21.17</v>
      </c>
      <c r="C84" s="33">
        <v>25.76</v>
      </c>
      <c r="D84" s="15">
        <v>9.4517965448703497E-4</v>
      </c>
      <c r="E84" s="15">
        <v>-3.1007776782481498E-3</v>
      </c>
      <c r="F84" s="33">
        <v>0</v>
      </c>
      <c r="G84" s="33">
        <v>0.33487999999999901</v>
      </c>
      <c r="H84" s="33">
        <v>0.10327</v>
      </c>
      <c r="I84" s="33">
        <v>0.41568099999999902</v>
      </c>
      <c r="J84" s="33">
        <v>0.33487999999999901</v>
      </c>
      <c r="K84" s="33">
        <v>0.41568099999999902</v>
      </c>
      <c r="L84" s="33">
        <v>21.50488</v>
      </c>
      <c r="M84" s="33">
        <v>26.175681000000001</v>
      </c>
      <c r="N84" s="34">
        <v>1.21681624940954</v>
      </c>
      <c r="O84" s="34">
        <v>1.2195304988600599</v>
      </c>
      <c r="P84" s="34">
        <v>1.2217287437772499</v>
      </c>
      <c r="Q84" s="34">
        <v>1.2195108630737499</v>
      </c>
      <c r="R84" s="33">
        <v>25.8174606608675</v>
      </c>
      <c r="S84" s="33">
        <v>25.863796197964302</v>
      </c>
      <c r="T84" s="33">
        <v>25.8168949477197</v>
      </c>
      <c r="U84" s="15">
        <v>2.2281315870757699E-3</v>
      </c>
      <c r="V84" s="15">
        <v>4.02125939891215E-3</v>
      </c>
      <c r="W84" s="15">
        <v>2.2062193102138001E-3</v>
      </c>
      <c r="X84" s="34">
        <v>1.21719725941274</v>
      </c>
      <c r="Y84" s="34">
        <v>1.2179193246936699</v>
      </c>
      <c r="Z84" s="34">
        <v>1.21772068256612</v>
      </c>
      <c r="AA84" s="34">
        <v>1.21767497019918</v>
      </c>
      <c r="AB84" s="33">
        <v>26.191208927218501</v>
      </c>
      <c r="AC84" s="33">
        <v>26.1866471031049</v>
      </c>
      <c r="AD84" s="33">
        <v>26.185762597794099</v>
      </c>
      <c r="AE84" s="15">
        <v>5.9304372267418896E-4</v>
      </c>
      <c r="AF84" s="15">
        <v>4.1885468666242898E-4</v>
      </c>
      <c r="AG84" s="15">
        <v>3.8507715700679201E-4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0</v>
      </c>
      <c r="AT84" s="12"/>
      <c r="AU84">
        <f t="shared" si="10"/>
        <v>0</v>
      </c>
      <c r="AV84">
        <f t="shared" si="11"/>
        <v>0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0</v>
      </c>
      <c r="BE84" s="29">
        <f t="shared" si="22"/>
        <v>0</v>
      </c>
      <c r="BF84" s="29">
        <f t="shared" si="23"/>
        <v>0</v>
      </c>
      <c r="BH84" s="29"/>
    </row>
    <row r="85" spans="1:60" x14ac:dyDescent="0.25">
      <c r="A85" s="1">
        <v>46146</v>
      </c>
      <c r="B85" s="33">
        <v>21.11</v>
      </c>
      <c r="C85" s="33">
        <v>25.7</v>
      </c>
      <c r="D85" s="15">
        <v>-2.83822328654461E-3</v>
      </c>
      <c r="E85" s="15">
        <v>-2.3319093349788199E-3</v>
      </c>
      <c r="F85" s="33">
        <v>0</v>
      </c>
      <c r="G85" s="33">
        <v>0.33487999999999901</v>
      </c>
      <c r="H85" s="33">
        <v>0</v>
      </c>
      <c r="I85" s="33">
        <v>0.41568099999999902</v>
      </c>
      <c r="J85" s="33">
        <v>0.33487999999999901</v>
      </c>
      <c r="K85" s="33">
        <v>0.41568099999999902</v>
      </c>
      <c r="L85" s="33">
        <v>21.444879999999898</v>
      </c>
      <c r="M85" s="33">
        <v>26.115680999999999</v>
      </c>
      <c r="N85" s="34">
        <v>1.2174324964471801</v>
      </c>
      <c r="O85" s="34">
        <v>1.2195304988600599</v>
      </c>
      <c r="P85" s="34">
        <v>1.2212393480185899</v>
      </c>
      <c r="Q85" s="34">
        <v>1.2195519074336201</v>
      </c>
      <c r="R85" s="33">
        <v>25.744288830935901</v>
      </c>
      <c r="S85" s="33">
        <v>25.790693781137801</v>
      </c>
      <c r="T85" s="33">
        <v>25.7438743194868</v>
      </c>
      <c r="U85" s="15">
        <v>1.72181763550987E-3</v>
      </c>
      <c r="V85" s="15">
        <v>3.5227287988362E-3</v>
      </c>
      <c r="W85" s="15">
        <v>1.70571640277172E-3</v>
      </c>
      <c r="X85" s="34">
        <v>1.2178049492466201</v>
      </c>
      <c r="Y85" s="34">
        <v>1.2179193246936699</v>
      </c>
      <c r="Z85" s="34">
        <v>1.21771610641211</v>
      </c>
      <c r="AA85" s="34">
        <v>1.2177173368330501</v>
      </c>
      <c r="AB85" s="33">
        <v>26.1181337677369</v>
      </c>
      <c r="AC85" s="33">
        <v>26.113873911148499</v>
      </c>
      <c r="AD85" s="33">
        <v>26.112893614924999</v>
      </c>
      <c r="AE85" s="15">
        <v>9.39149380394043E-5</v>
      </c>
      <c r="AF85" s="15">
        <v>-6.9197941864673895E-5</v>
      </c>
      <c r="AG85" s="15">
        <v>-1.0673793409661101E-4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0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0</v>
      </c>
      <c r="BE85" s="29">
        <f t="shared" si="22"/>
        <v>0</v>
      </c>
      <c r="BF85" s="29">
        <f t="shared" si="23"/>
        <v>0</v>
      </c>
      <c r="BH85" s="29"/>
    </row>
    <row r="86" spans="1:60" x14ac:dyDescent="0.25">
      <c r="A86" s="1">
        <v>46147</v>
      </c>
      <c r="B86" s="33">
        <v>21.14</v>
      </c>
      <c r="C86" s="33">
        <v>25.75</v>
      </c>
      <c r="D86" s="15">
        <v>1.42011858186232E-3</v>
      </c>
      <c r="E86" s="15">
        <v>1.94363520857103E-3</v>
      </c>
      <c r="F86" s="33">
        <v>0</v>
      </c>
      <c r="G86" s="33">
        <v>0.33487999999999901</v>
      </c>
      <c r="H86" s="33">
        <v>0</v>
      </c>
      <c r="I86" s="33">
        <v>0.41568099999999902</v>
      </c>
      <c r="J86" s="33">
        <v>0.33487999999999901</v>
      </c>
      <c r="K86" s="33">
        <v>0.41568099999999902</v>
      </c>
      <c r="L86" s="33">
        <v>21.474879999999999</v>
      </c>
      <c r="M86" s="33">
        <v>26.165680999999999</v>
      </c>
      <c r="N86" s="34">
        <v>1.21807000946073</v>
      </c>
      <c r="O86" s="34">
        <v>1.2195304988600599</v>
      </c>
      <c r="P86" s="34">
        <v>1.22083458425878</v>
      </c>
      <c r="Q86" s="34">
        <v>1.2196452336249799</v>
      </c>
      <c r="R86" s="33">
        <v>25.780874745901698</v>
      </c>
      <c r="S86" s="33">
        <v>25.8169998171131</v>
      </c>
      <c r="T86" s="33">
        <v>25.781327323146801</v>
      </c>
      <c r="U86" s="15">
        <v>1.19830100880109E-3</v>
      </c>
      <c r="V86" s="15">
        <v>2.5985554735408699E-3</v>
      </c>
      <c r="W86" s="15">
        <v>1.2158556215598E-3</v>
      </c>
      <c r="X86" s="34">
        <v>1.21843200055134</v>
      </c>
      <c r="Y86" s="34">
        <v>1.2179193246936699</v>
      </c>
      <c r="Z86" s="34">
        <v>1.21779624361955</v>
      </c>
      <c r="AA86" s="34">
        <v>1.21781125627866</v>
      </c>
      <c r="AB86" s="33">
        <v>26.154671347477699</v>
      </c>
      <c r="AC86" s="33">
        <v>26.1503072592674</v>
      </c>
      <c r="AD86" s="33">
        <v>26.1503336824093</v>
      </c>
      <c r="AE86" s="15">
        <v>-4.2085544881798E-4</v>
      </c>
      <c r="AF86" s="15">
        <v>-5.8772630267152804E-4</v>
      </c>
      <c r="AG86" s="15">
        <v>-5.8671586985578898E-4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0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0</v>
      </c>
      <c r="BE86" s="29">
        <f t="shared" si="22"/>
        <v>0</v>
      </c>
      <c r="BF86" s="29">
        <f t="shared" si="23"/>
        <v>0</v>
      </c>
      <c r="BH86" s="29"/>
    </row>
    <row r="87" spans="1:60" x14ac:dyDescent="0.25">
      <c r="A87" s="1">
        <v>46148</v>
      </c>
      <c r="B87" s="33">
        <v>21.23</v>
      </c>
      <c r="C87" s="33">
        <v>25.86</v>
      </c>
      <c r="D87" s="15">
        <v>4.2482952730732498E-3</v>
      </c>
      <c r="E87" s="15">
        <v>4.26274623396624E-3</v>
      </c>
      <c r="F87" s="33">
        <v>0</v>
      </c>
      <c r="G87" s="33">
        <v>0.33487999999999901</v>
      </c>
      <c r="H87" s="33">
        <v>0</v>
      </c>
      <c r="I87" s="33">
        <v>0.41568099999999902</v>
      </c>
      <c r="J87" s="33">
        <v>0.33487999999999901</v>
      </c>
      <c r="K87" s="33">
        <v>0.41568099999999902</v>
      </c>
      <c r="L87" s="33">
        <v>21.564879999999999</v>
      </c>
      <c r="M87" s="33">
        <v>26.275680999999999</v>
      </c>
      <c r="N87" s="34">
        <v>1.2180876118699899</v>
      </c>
      <c r="O87" s="34">
        <v>1.2195304988600599</v>
      </c>
      <c r="P87" s="34">
        <v>1.2204054516987199</v>
      </c>
      <c r="Q87" s="34">
        <v>1.2196994498220499</v>
      </c>
      <c r="R87" s="33">
        <v>25.890632490799099</v>
      </c>
      <c r="S87" s="33">
        <v>25.918318223814001</v>
      </c>
      <c r="T87" s="33">
        <v>25.8930683098584</v>
      </c>
      <c r="U87" s="15">
        <v>1.1838500479080601E-3</v>
      </c>
      <c r="V87" s="15">
        <v>2.2526126948406201E-3</v>
      </c>
      <c r="W87" s="15">
        <v>1.2779267177277301E-3</v>
      </c>
      <c r="X87" s="34">
        <v>1.2184478188610299</v>
      </c>
      <c r="Y87" s="34">
        <v>1.2179193246936699</v>
      </c>
      <c r="Z87" s="34">
        <v>1.21785182325135</v>
      </c>
      <c r="AA87" s="34">
        <v>1.21786649069144</v>
      </c>
      <c r="AB87" s="33">
        <v>26.264284086700101</v>
      </c>
      <c r="AC87" s="33">
        <v>26.261629858106399</v>
      </c>
      <c r="AD87" s="33">
        <v>26.261953604298601</v>
      </c>
      <c r="AE87" s="15">
        <v>-4.3383787788100098E-4</v>
      </c>
      <c r="AF87" s="15">
        <v>-5.3490146332545098E-4</v>
      </c>
      <c r="AG87" s="15">
        <v>-5.2257381274043195E-4</v>
      </c>
      <c r="AI87" s="12"/>
      <c r="AJ87">
        <f t="shared" si="26"/>
        <v>0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0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0</v>
      </c>
      <c r="BE87" s="29">
        <f t="shared" ref="BE87:BE150" si="42">AQ87+BB87</f>
        <v>0</v>
      </c>
      <c r="BF87" s="29">
        <f t="shared" ref="BF87:BF150" si="43">BF86+BE87</f>
        <v>0</v>
      </c>
      <c r="BH87" s="29"/>
    </row>
    <row r="88" spans="1:60" x14ac:dyDescent="0.25">
      <c r="A88" s="1">
        <v>46149</v>
      </c>
      <c r="B88" s="33">
        <v>21.16</v>
      </c>
      <c r="C88" s="33">
        <v>25.77</v>
      </c>
      <c r="D88" s="15">
        <v>-3.3026687250661099E-3</v>
      </c>
      <c r="E88" s="15">
        <v>-3.4863486794377702E-3</v>
      </c>
      <c r="F88" s="33">
        <v>0</v>
      </c>
      <c r="G88" s="33">
        <v>0.33487999999999901</v>
      </c>
      <c r="H88" s="33">
        <v>0</v>
      </c>
      <c r="I88" s="33">
        <v>0.41568099999999902</v>
      </c>
      <c r="J88" s="33">
        <v>0.33487999999999901</v>
      </c>
      <c r="K88" s="33">
        <v>0.41568099999999902</v>
      </c>
      <c r="L88" s="33">
        <v>21.494879999999998</v>
      </c>
      <c r="M88" s="33">
        <v>26.185680999999999</v>
      </c>
      <c r="N88" s="34">
        <v>1.2178638941398801</v>
      </c>
      <c r="O88" s="34">
        <v>1.2195304988600599</v>
      </c>
      <c r="P88" s="34">
        <v>1.2199015489355201</v>
      </c>
      <c r="Q88" s="34">
        <v>1.21972409992811</v>
      </c>
      <c r="R88" s="33">
        <v>25.805265355878898</v>
      </c>
      <c r="S88" s="33">
        <v>25.823779357945</v>
      </c>
      <c r="T88" s="33">
        <v>25.808840358234701</v>
      </c>
      <c r="U88" s="15">
        <v>1.3675300022795E-3</v>
      </c>
      <c r="V88" s="15">
        <v>2.0847233171012399E-3</v>
      </c>
      <c r="W88" s="15">
        <v>1.5060581163304999E-3</v>
      </c>
      <c r="X88" s="34">
        <v>1.2182287595929799</v>
      </c>
      <c r="Y88" s="34">
        <v>1.2179193246936699</v>
      </c>
      <c r="Z88" s="34">
        <v>1.2178349534082999</v>
      </c>
      <c r="AA88" s="34">
        <v>1.21789261363013</v>
      </c>
      <c r="AB88" s="33">
        <v>26.1790297339716</v>
      </c>
      <c r="AC88" s="33">
        <v>26.177578798569002</v>
      </c>
      <c r="AD88" s="33">
        <v>26.177894073433698</v>
      </c>
      <c r="AE88" s="15">
        <v>-2.5403619998749598E-4</v>
      </c>
      <c r="AF88" s="15">
        <v>-3.0946131034688602E-4</v>
      </c>
      <c r="AG88" s="15">
        <v>-2.97417684438922E-4</v>
      </c>
      <c r="AI88" s="12"/>
      <c r="AJ88">
        <f t="shared" si="26"/>
        <v>0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0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0</v>
      </c>
      <c r="BE88" s="29">
        <f t="shared" si="42"/>
        <v>0</v>
      </c>
      <c r="BF88" s="29">
        <f t="shared" si="43"/>
        <v>0</v>
      </c>
      <c r="BH88" s="29"/>
    </row>
    <row r="89" spans="1:60" x14ac:dyDescent="0.25">
      <c r="A89" s="1">
        <v>46150</v>
      </c>
      <c r="B89" s="33">
        <v>21.23</v>
      </c>
      <c r="C89" s="33">
        <v>25.86</v>
      </c>
      <c r="D89" s="15">
        <v>3.30266872506607E-3</v>
      </c>
      <c r="E89" s="15">
        <v>3.4863486794377298E-3</v>
      </c>
      <c r="F89" s="33">
        <v>0</v>
      </c>
      <c r="G89" s="33">
        <v>0.33487999999999901</v>
      </c>
      <c r="H89" s="33">
        <v>0</v>
      </c>
      <c r="I89" s="33">
        <v>0.41568099999999902</v>
      </c>
      <c r="J89" s="33">
        <v>0.33487999999999901</v>
      </c>
      <c r="K89" s="33">
        <v>0.41568099999999902</v>
      </c>
      <c r="L89" s="33">
        <v>21.564879999999999</v>
      </c>
      <c r="M89" s="33">
        <v>26.275680999999999</v>
      </c>
      <c r="N89" s="34">
        <v>1.2180876118699899</v>
      </c>
      <c r="O89" s="34">
        <v>1.2195304988600599</v>
      </c>
      <c r="P89" s="34">
        <v>1.21949854541664</v>
      </c>
      <c r="Q89" s="34">
        <v>1.21971083346278</v>
      </c>
      <c r="R89" s="33">
        <v>25.890632490799099</v>
      </c>
      <c r="S89" s="33">
        <v>25.898509883901099</v>
      </c>
      <c r="T89" s="33">
        <v>25.894742641473801</v>
      </c>
      <c r="U89" s="15">
        <v>1.1838500479080601E-3</v>
      </c>
      <c r="V89" s="15">
        <v>1.48806026655863E-3</v>
      </c>
      <c r="W89" s="15">
        <v>1.3425879414855899E-3</v>
      </c>
      <c r="X89" s="34">
        <v>1.2184478188610299</v>
      </c>
      <c r="Y89" s="34">
        <v>1.2179193246936699</v>
      </c>
      <c r="Z89" s="34">
        <v>1.2179166724467101</v>
      </c>
      <c r="AA89" s="34">
        <v>1.21788112059086</v>
      </c>
      <c r="AB89" s="33">
        <v>26.264284086700101</v>
      </c>
      <c r="AC89" s="33">
        <v>26.2624646300557</v>
      </c>
      <c r="AD89" s="33">
        <v>26.2637080658203</v>
      </c>
      <c r="AE89" s="15">
        <v>-4.3383787788100098E-4</v>
      </c>
      <c r="AF89" s="15">
        <v>-5.0311521522363497E-4</v>
      </c>
      <c r="AG89" s="15">
        <v>-4.5576983668221501E-4</v>
      </c>
      <c r="AI89" s="12"/>
      <c r="AJ89">
        <f t="shared" si="26"/>
        <v>0</v>
      </c>
      <c r="AK89">
        <f t="shared" si="27"/>
        <v>0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0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0</v>
      </c>
      <c r="BE89" s="29">
        <f t="shared" si="42"/>
        <v>0</v>
      </c>
      <c r="BF89" s="29">
        <f t="shared" si="43"/>
        <v>0</v>
      </c>
      <c r="BH89" s="29"/>
    </row>
    <row r="90" spans="1:60" x14ac:dyDescent="0.25">
      <c r="A90" s="1">
        <v>46153</v>
      </c>
      <c r="B90" s="33">
        <v>21.18</v>
      </c>
      <c r="C90" s="33">
        <v>25.8</v>
      </c>
      <c r="D90" s="15">
        <v>-2.3579355419044001E-3</v>
      </c>
      <c r="E90" s="15">
        <v>-2.3228814161396299E-3</v>
      </c>
      <c r="F90" s="33">
        <v>0</v>
      </c>
      <c r="G90" s="33">
        <v>0.33487999999999901</v>
      </c>
      <c r="H90" s="33">
        <v>0</v>
      </c>
      <c r="I90" s="33">
        <v>0.41568099999999902</v>
      </c>
      <c r="J90" s="33">
        <v>0.33487999999999901</v>
      </c>
      <c r="K90" s="33">
        <v>0.41568099999999902</v>
      </c>
      <c r="L90" s="33">
        <v>21.514879999999899</v>
      </c>
      <c r="M90" s="33">
        <v>26.215681</v>
      </c>
      <c r="N90" s="34">
        <v>1.21813031161473</v>
      </c>
      <c r="O90" s="34">
        <v>1.2195304988600599</v>
      </c>
      <c r="P90" s="34">
        <v>1.21910507021319</v>
      </c>
      <c r="Q90" s="34">
        <v>1.21973554791782</v>
      </c>
      <c r="R90" s="33">
        <v>25.829655965856102</v>
      </c>
      <c r="S90" s="33">
        <v>25.8289791919244</v>
      </c>
      <c r="T90" s="33">
        <v>25.833475452741801</v>
      </c>
      <c r="U90" s="15">
        <v>1.14879592214332E-3</v>
      </c>
      <c r="V90" s="15">
        <v>1.12259414853229E-3</v>
      </c>
      <c r="W90" s="15">
        <v>1.2966571449457001E-3</v>
      </c>
      <c r="X90" s="34">
        <v>1.21849069109379</v>
      </c>
      <c r="Y90" s="34">
        <v>1.2179193246936699</v>
      </c>
      <c r="Z90" s="34">
        <v>1.2180086883722201</v>
      </c>
      <c r="AA90" s="34">
        <v>1.2179072531936399</v>
      </c>
      <c r="AB90" s="33">
        <v>26.203388120465402</v>
      </c>
      <c r="AC90" s="33">
        <v>26.203331057690299</v>
      </c>
      <c r="AD90" s="33">
        <v>26.202566163777899</v>
      </c>
      <c r="AE90" s="15">
        <v>-4.6902319961503701E-4</v>
      </c>
      <c r="AF90" s="15">
        <v>-4.7120088888991498E-4</v>
      </c>
      <c r="AG90" s="15">
        <v>-5.0039202778939796E-4</v>
      </c>
      <c r="AI90" s="12"/>
      <c r="AJ90">
        <f t="shared" si="26"/>
        <v>0</v>
      </c>
      <c r="AK90">
        <f t="shared" si="27"/>
        <v>0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0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0</v>
      </c>
      <c r="BE90" s="29">
        <f t="shared" si="42"/>
        <v>0</v>
      </c>
      <c r="BF90" s="29">
        <f t="shared" si="43"/>
        <v>0</v>
      </c>
      <c r="BH90" s="29"/>
    </row>
    <row r="91" spans="1:60" x14ac:dyDescent="0.25">
      <c r="A91" s="1">
        <v>46154</v>
      </c>
      <c r="B91" s="33">
        <v>21.14</v>
      </c>
      <c r="C91" s="33">
        <v>25.73</v>
      </c>
      <c r="D91" s="15">
        <v>-1.8903597311687799E-3</v>
      </c>
      <c r="E91" s="15">
        <v>-2.7168656339189201E-3</v>
      </c>
      <c r="F91" s="33">
        <v>0</v>
      </c>
      <c r="G91" s="33">
        <v>0.33487999999999901</v>
      </c>
      <c r="H91" s="33">
        <v>0</v>
      </c>
      <c r="I91" s="33">
        <v>0.41568099999999902</v>
      </c>
      <c r="J91" s="33">
        <v>0.33487999999999901</v>
      </c>
      <c r="K91" s="33">
        <v>0.41568099999999902</v>
      </c>
      <c r="L91" s="33">
        <v>21.474879999999999</v>
      </c>
      <c r="M91" s="33">
        <v>26.145681</v>
      </c>
      <c r="N91" s="34">
        <v>1.2171239356669801</v>
      </c>
      <c r="O91" s="34">
        <v>1.2195304988600599</v>
      </c>
      <c r="P91" s="34">
        <v>1.2186004826478101</v>
      </c>
      <c r="Q91" s="34">
        <v>1.2197404818386799</v>
      </c>
      <c r="R91" s="33">
        <v>25.780874745901698</v>
      </c>
      <c r="S91" s="33">
        <v>25.7718811843068</v>
      </c>
      <c r="T91" s="33">
        <v>25.785209482982701</v>
      </c>
      <c r="U91" s="15">
        <v>1.9753018248933902E-3</v>
      </c>
      <c r="V91" s="15">
        <v>1.62639470930581E-3</v>
      </c>
      <c r="W91" s="15">
        <v>2.1434253951058599E-3</v>
      </c>
      <c r="X91" s="34">
        <v>1.2175006798640999</v>
      </c>
      <c r="Y91" s="34">
        <v>1.2179193246936699</v>
      </c>
      <c r="Z91" s="34">
        <v>1.21799160000578</v>
      </c>
      <c r="AA91" s="34">
        <v>1.21791411562135</v>
      </c>
      <c r="AB91" s="33">
        <v>26.154671347477699</v>
      </c>
      <c r="AC91" s="33">
        <v>26.156590421750899</v>
      </c>
      <c r="AD91" s="33">
        <v>26.154412113463099</v>
      </c>
      <c r="AE91" s="15">
        <v>3.4379682593981199E-4</v>
      </c>
      <c r="AF91" s="15">
        <v>4.1716818840323799E-4</v>
      </c>
      <c r="AG91" s="15">
        <v>3.3388520075082999E-4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0</v>
      </c>
      <c r="AT91" s="12"/>
      <c r="AU91">
        <f t="shared" si="30"/>
        <v>0</v>
      </c>
      <c r="AV91">
        <f t="shared" si="31"/>
        <v>0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0</v>
      </c>
      <c r="BE91" s="29">
        <f t="shared" si="42"/>
        <v>0</v>
      </c>
      <c r="BF91" s="29">
        <f t="shared" si="43"/>
        <v>0</v>
      </c>
      <c r="BH91" s="29"/>
    </row>
    <row r="92" spans="1:60" x14ac:dyDescent="0.25">
      <c r="A92" s="1">
        <v>46155</v>
      </c>
      <c r="B92" s="33">
        <v>21.15</v>
      </c>
      <c r="C92" s="33">
        <v>25.75</v>
      </c>
      <c r="D92" s="15">
        <v>4.7292505019538698E-4</v>
      </c>
      <c r="E92" s="15">
        <v>7.7700081609222398E-4</v>
      </c>
      <c r="F92" s="33">
        <v>0</v>
      </c>
      <c r="G92" s="33">
        <v>0.33487999999999901</v>
      </c>
      <c r="H92" s="33">
        <v>0</v>
      </c>
      <c r="I92" s="33">
        <v>0.41568099999999902</v>
      </c>
      <c r="J92" s="33">
        <v>0.33487999999999901</v>
      </c>
      <c r="K92" s="33">
        <v>0.41568099999999902</v>
      </c>
      <c r="L92" s="33">
        <v>21.484879999999901</v>
      </c>
      <c r="M92" s="33">
        <v>26.165680999999999</v>
      </c>
      <c r="N92" s="34">
        <v>1.2174940898345099</v>
      </c>
      <c r="O92" s="34">
        <v>1.2195304988600599</v>
      </c>
      <c r="P92" s="34">
        <v>1.2180855619297</v>
      </c>
      <c r="Q92" s="34">
        <v>1.2197069466300301</v>
      </c>
      <c r="R92" s="33">
        <v>25.7930700508903</v>
      </c>
      <c r="S92" s="33">
        <v>25.773400208001199</v>
      </c>
      <c r="T92" s="33">
        <v>25.797511190888098</v>
      </c>
      <c r="U92" s="15">
        <v>1.6712260589963599E-3</v>
      </c>
      <c r="V92" s="15">
        <v>9.08333282185782E-4</v>
      </c>
      <c r="W92" s="15">
        <v>1.843394695281E-3</v>
      </c>
      <c r="X92" s="34">
        <v>1.2178648891685599</v>
      </c>
      <c r="Y92" s="34">
        <v>1.2179193246936699</v>
      </c>
      <c r="Z92" s="34">
        <v>1.2179662112156899</v>
      </c>
      <c r="AA92" s="34">
        <v>1.2178828569750699</v>
      </c>
      <c r="AB92" s="33">
        <v>26.166850540724599</v>
      </c>
      <c r="AC92" s="33">
        <v>26.1684033671322</v>
      </c>
      <c r="AD92" s="33">
        <v>26.166738624430899</v>
      </c>
      <c r="AE92" s="15">
        <v>4.4696508670250202E-5</v>
      </c>
      <c r="AF92" s="15">
        <v>1.0403801528509101E-4</v>
      </c>
      <c r="AG92" s="15">
        <v>4.0419473767501901E-5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0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0</v>
      </c>
      <c r="BE92" s="29">
        <f t="shared" si="42"/>
        <v>0</v>
      </c>
      <c r="BF92" s="29">
        <f t="shared" si="43"/>
        <v>0</v>
      </c>
      <c r="BH92" s="29"/>
    </row>
    <row r="93" spans="1:60" x14ac:dyDescent="0.25">
      <c r="A93" s="1">
        <v>46156</v>
      </c>
      <c r="B93" s="33">
        <v>21.13</v>
      </c>
      <c r="C93" s="33">
        <v>25.73</v>
      </c>
      <c r="D93" s="15">
        <v>-9.4607386432164601E-4</v>
      </c>
      <c r="E93" s="15">
        <v>-7.7700081609238499E-4</v>
      </c>
      <c r="F93" s="33">
        <v>0</v>
      </c>
      <c r="G93" s="33">
        <v>0.33487999999999901</v>
      </c>
      <c r="H93" s="33">
        <v>0</v>
      </c>
      <c r="I93" s="33">
        <v>0.41568099999999902</v>
      </c>
      <c r="J93" s="33">
        <v>0.33487999999999901</v>
      </c>
      <c r="K93" s="33">
        <v>0.41568099999999902</v>
      </c>
      <c r="L93" s="33">
        <v>21.464879999999901</v>
      </c>
      <c r="M93" s="33">
        <v>26.145681</v>
      </c>
      <c r="N93" s="34">
        <v>1.2176999526739201</v>
      </c>
      <c r="O93" s="34">
        <v>1.2195304988600599</v>
      </c>
      <c r="P93" s="34">
        <v>1.2176806162987399</v>
      </c>
      <c r="Q93" s="34">
        <v>1.2196999254843801</v>
      </c>
      <c r="R93" s="33">
        <v>25.7686794409131</v>
      </c>
      <c r="S93" s="33">
        <v>25.738147923574498</v>
      </c>
      <c r="T93" s="33">
        <v>25.7724077822925</v>
      </c>
      <c r="U93" s="15">
        <v>1.50215301076724E-3</v>
      </c>
      <c r="V93" s="15">
        <v>3.1662004448910201E-4</v>
      </c>
      <c r="W93" s="15">
        <v>1.64682754469107E-3</v>
      </c>
      <c r="X93" s="34">
        <v>1.2180678857743401</v>
      </c>
      <c r="Y93" s="34">
        <v>1.2179193246936699</v>
      </c>
      <c r="Z93" s="34">
        <v>1.21804827524265</v>
      </c>
      <c r="AA93" s="34">
        <v>1.21787773510954</v>
      </c>
      <c r="AB93" s="33">
        <v>26.142492154230801</v>
      </c>
      <c r="AC93" s="33">
        <v>26.1434985677996</v>
      </c>
      <c r="AD93" s="33">
        <v>26.141709379026999</v>
      </c>
      <c r="AE93" s="15">
        <v>-1.21971971127852E-4</v>
      </c>
      <c r="AF93" s="15">
        <v>-8.3475480766601696E-5</v>
      </c>
      <c r="AG93" s="15">
        <v>-1.5191505836445801E-4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0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0</v>
      </c>
      <c r="BE93" s="29">
        <f t="shared" si="42"/>
        <v>0</v>
      </c>
      <c r="BF93" s="29">
        <f t="shared" si="43"/>
        <v>0</v>
      </c>
      <c r="BH93" s="29"/>
    </row>
    <row r="94" spans="1:60" x14ac:dyDescent="0.25">
      <c r="A94" s="1">
        <v>46157</v>
      </c>
      <c r="B94" s="33">
        <v>21.01</v>
      </c>
      <c r="C94" s="33">
        <v>25.6</v>
      </c>
      <c r="D94" s="15">
        <v>-5.6953167710561796E-3</v>
      </c>
      <c r="E94" s="15">
        <v>-5.0652748081359599E-3</v>
      </c>
      <c r="F94" s="33">
        <v>0</v>
      </c>
      <c r="G94" s="33">
        <v>0.33487999999999901</v>
      </c>
      <c r="H94" s="33">
        <v>0</v>
      </c>
      <c r="I94" s="33">
        <v>0.41568099999999902</v>
      </c>
      <c r="J94" s="33">
        <v>0.33487999999999901</v>
      </c>
      <c r="K94" s="33">
        <v>0.41568099999999902</v>
      </c>
      <c r="L94" s="33">
        <v>21.34488</v>
      </c>
      <c r="M94" s="33">
        <v>26.015681000000001</v>
      </c>
      <c r="N94" s="34">
        <v>1.2184673964778601</v>
      </c>
      <c r="O94" s="34">
        <v>1.2195304988600599</v>
      </c>
      <c r="P94" s="34">
        <v>1.2178457310055799</v>
      </c>
      <c r="Q94" s="34">
        <v>1.21978723739141</v>
      </c>
      <c r="R94" s="33">
        <v>25.622335781049902</v>
      </c>
      <c r="S94" s="33">
        <v>25.583469748436698</v>
      </c>
      <c r="T94" s="33">
        <v>25.625895434426901</v>
      </c>
      <c r="U94" s="15">
        <v>8.7211104784683995E-4</v>
      </c>
      <c r="V94" s="15">
        <v>-6.4592151408447295E-4</v>
      </c>
      <c r="W94" s="15">
        <v>1.0110291450510999E-3</v>
      </c>
      <c r="X94" s="34">
        <v>1.21882535765017</v>
      </c>
      <c r="Y94" s="34">
        <v>1.2179193246936699</v>
      </c>
      <c r="Z94" s="34">
        <v>1.2182110850664001</v>
      </c>
      <c r="AA94" s="34">
        <v>1.2179658838162599</v>
      </c>
      <c r="AB94" s="33">
        <v>25.996341835267501</v>
      </c>
      <c r="AC94" s="33">
        <v>25.999094269261501</v>
      </c>
      <c r="AD94" s="33">
        <v>25.995454110585101</v>
      </c>
      <c r="AE94" s="15">
        <v>-7.4364212616386904E-4</v>
      </c>
      <c r="AF94" s="15">
        <v>-6.3776998804107197E-4</v>
      </c>
      <c r="AG94" s="15">
        <v>-7.7779077082590299E-4</v>
      </c>
      <c r="AI94" s="12"/>
      <c r="AJ94">
        <f t="shared" si="26"/>
        <v>0</v>
      </c>
      <c r="AK94">
        <f t="shared" si="27"/>
        <v>0</v>
      </c>
      <c r="AL94">
        <f t="shared" si="34"/>
        <v>0</v>
      </c>
      <c r="AM94">
        <f t="shared" si="24"/>
        <v>0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0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0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0</v>
      </c>
      <c r="BE94" s="29">
        <f t="shared" si="42"/>
        <v>0</v>
      </c>
      <c r="BF94" s="29">
        <f t="shared" si="43"/>
        <v>0</v>
      </c>
      <c r="BH94" s="29"/>
    </row>
    <row r="95" spans="1:60" x14ac:dyDescent="0.25">
      <c r="A95" s="1">
        <v>46160</v>
      </c>
      <c r="B95" s="33">
        <v>20.89</v>
      </c>
      <c r="C95" s="33">
        <v>25.55</v>
      </c>
      <c r="D95" s="15">
        <v>-5.7279392884347097E-3</v>
      </c>
      <c r="E95" s="15">
        <v>-1.9550348358033502E-3</v>
      </c>
      <c r="F95" s="33">
        <v>8.7179999999999994E-2</v>
      </c>
      <c r="G95" s="33">
        <v>0.42205999999999899</v>
      </c>
      <c r="H95" s="33">
        <v>0</v>
      </c>
      <c r="I95" s="33">
        <v>0.41568099999999902</v>
      </c>
      <c r="J95" s="33">
        <v>0.42205999999999899</v>
      </c>
      <c r="K95" s="33">
        <v>0.41568099999999902</v>
      </c>
      <c r="L95" s="33">
        <v>21.312059999999999</v>
      </c>
      <c r="M95" s="33">
        <v>25.965681</v>
      </c>
      <c r="N95" s="34">
        <v>1.22307324078506</v>
      </c>
      <c r="O95" s="34">
        <v>1.2195304988600599</v>
      </c>
      <c r="P95" s="34">
        <v>1.2184098054393699</v>
      </c>
      <c r="Q95" s="34">
        <v>1.2198245767289799</v>
      </c>
      <c r="R95" s="33">
        <v>25.4759921211867</v>
      </c>
      <c r="S95" s="33">
        <v>25.440797320706501</v>
      </c>
      <c r="T95" s="33">
        <v>25.4813553891067</v>
      </c>
      <c r="U95" s="15">
        <v>-2.9007934047844499E-3</v>
      </c>
      <c r="V95" s="15">
        <v>-4.2832374461743697E-3</v>
      </c>
      <c r="W95" s="15">
        <v>-2.6902931255560498E-3</v>
      </c>
      <c r="X95" s="34">
        <v>1.21835622647458</v>
      </c>
      <c r="Y95" s="34">
        <v>1.2179193246936699</v>
      </c>
      <c r="Z95" s="34">
        <v>1.2182662127891899</v>
      </c>
      <c r="AA95" s="34">
        <v>1.2179911596006501</v>
      </c>
      <c r="AB95" s="33">
        <v>25.956369723031099</v>
      </c>
      <c r="AC95" s="33">
        <v>25.962587737600199</v>
      </c>
      <c r="AD95" s="33">
        <v>25.957361993845101</v>
      </c>
      <c r="AE95" s="15">
        <v>-3.58663686777952E-4</v>
      </c>
      <c r="AF95" s="15">
        <v>-1.19135972703463E-4</v>
      </c>
      <c r="AG95" s="15">
        <v>-3.2043600476199598E-4</v>
      </c>
      <c r="AI95" s="12"/>
      <c r="AJ95">
        <f t="shared" si="26"/>
        <v>0</v>
      </c>
      <c r="AK95">
        <f t="shared" si="27"/>
        <v>0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0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0</v>
      </c>
      <c r="BE95" s="29">
        <f t="shared" si="42"/>
        <v>0</v>
      </c>
      <c r="BF95" s="29">
        <f t="shared" si="43"/>
        <v>0</v>
      </c>
      <c r="BH95" s="29"/>
    </row>
    <row r="96" spans="1:60" x14ac:dyDescent="0.25">
      <c r="A96" s="1">
        <v>46161</v>
      </c>
      <c r="B96" s="33">
        <v>20.82</v>
      </c>
      <c r="C96" s="33">
        <v>25.45</v>
      </c>
      <c r="D96" s="15">
        <v>-3.3565123816516398E-3</v>
      </c>
      <c r="E96" s="15">
        <v>-3.9215736531817997E-3</v>
      </c>
      <c r="F96" s="33">
        <v>0</v>
      </c>
      <c r="G96" s="33">
        <v>0.42205999999999899</v>
      </c>
      <c r="H96" s="33">
        <v>0</v>
      </c>
      <c r="I96" s="33">
        <v>0.41568099999999902</v>
      </c>
      <c r="J96" s="33">
        <v>0.42205999999999899</v>
      </c>
      <c r="K96" s="33">
        <v>0.41568099999999902</v>
      </c>
      <c r="L96" s="33">
        <v>21.242059999999999</v>
      </c>
      <c r="M96" s="33">
        <v>25.865680999999999</v>
      </c>
      <c r="N96" s="34">
        <v>1.2223823246878001</v>
      </c>
      <c r="O96" s="34">
        <v>1.2195304988600599</v>
      </c>
      <c r="P96" s="34">
        <v>1.2188410369620699</v>
      </c>
      <c r="Q96" s="34">
        <v>1.21983781061043</v>
      </c>
      <c r="R96" s="33">
        <v>25.390624986266499</v>
      </c>
      <c r="S96" s="33">
        <v>25.3672921492476</v>
      </c>
      <c r="T96" s="33">
        <v>25.396747687497399</v>
      </c>
      <c r="U96" s="15">
        <v>-2.3357321332543E-3</v>
      </c>
      <c r="V96" s="15">
        <v>-3.2551094434004101E-3</v>
      </c>
      <c r="W96" s="15">
        <v>-2.0946209696618302E-3</v>
      </c>
      <c r="X96" s="34">
        <v>1.21766349403024</v>
      </c>
      <c r="Y96" s="34">
        <v>1.2179193246936699</v>
      </c>
      <c r="Z96" s="34">
        <v>1.2181893621370801</v>
      </c>
      <c r="AA96" s="34">
        <v>1.21799280287831</v>
      </c>
      <c r="AB96" s="33">
        <v>25.871115370302501</v>
      </c>
      <c r="AC96" s="33">
        <v>25.878483988040799</v>
      </c>
      <c r="AD96" s="33">
        <v>25.872641291706699</v>
      </c>
      <c r="AE96" s="15">
        <v>2.1007757355731799E-4</v>
      </c>
      <c r="AF96" s="15">
        <v>4.9485727734177197E-4</v>
      </c>
      <c r="AG96" s="15">
        <v>2.6905749705064398E-4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0</v>
      </c>
      <c r="AT96" s="12"/>
      <c r="AU96">
        <f t="shared" si="30"/>
        <v>0</v>
      </c>
      <c r="AV96">
        <f t="shared" si="31"/>
        <v>0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0</v>
      </c>
      <c r="BE96" s="29">
        <f t="shared" si="42"/>
        <v>0</v>
      </c>
      <c r="BF96" s="29">
        <f t="shared" si="43"/>
        <v>0</v>
      </c>
      <c r="BH96" s="29"/>
    </row>
    <row r="97" spans="1:60" x14ac:dyDescent="0.25">
      <c r="A97" s="1">
        <v>46162</v>
      </c>
      <c r="B97" s="33">
        <v>20.95</v>
      </c>
      <c r="C97" s="33">
        <v>25.62</v>
      </c>
      <c r="D97" s="15">
        <v>6.2245831813237604E-3</v>
      </c>
      <c r="E97" s="15">
        <v>6.65755347205644E-3</v>
      </c>
      <c r="F97" s="33">
        <v>0</v>
      </c>
      <c r="G97" s="33">
        <v>0.42205999999999899</v>
      </c>
      <c r="H97" s="33">
        <v>0</v>
      </c>
      <c r="I97" s="33">
        <v>0.41568099999999902</v>
      </c>
      <c r="J97" s="33">
        <v>0.42205999999999899</v>
      </c>
      <c r="K97" s="33">
        <v>0.41568099999999902</v>
      </c>
      <c r="L97" s="33">
        <v>21.372059999999902</v>
      </c>
      <c r="M97" s="33">
        <v>26.035681</v>
      </c>
      <c r="N97" s="34">
        <v>1.2229116945107299</v>
      </c>
      <c r="O97" s="34">
        <v>1.2195304988600599</v>
      </c>
      <c r="P97" s="34">
        <v>1.2193234452261501</v>
      </c>
      <c r="Q97" s="34">
        <v>1.2198644484624299</v>
      </c>
      <c r="R97" s="33">
        <v>25.549163951118299</v>
      </c>
      <c r="S97" s="33">
        <v>25.534719724355401</v>
      </c>
      <c r="T97" s="33">
        <v>25.555602132288499</v>
      </c>
      <c r="U97" s="15">
        <v>-2.76870242398686E-3</v>
      </c>
      <c r="V97" s="15">
        <v>-3.3342125656791702E-3</v>
      </c>
      <c r="W97" s="15">
        <v>-2.5167423154604301E-3</v>
      </c>
      <c r="X97" s="34">
        <v>1.2182111130138999</v>
      </c>
      <c r="Y97" s="34">
        <v>1.2179193246936699</v>
      </c>
      <c r="Z97" s="34">
        <v>1.21816569155237</v>
      </c>
      <c r="AA97" s="34">
        <v>1.2180087574018601</v>
      </c>
      <c r="AB97" s="33">
        <v>26.029444882512699</v>
      </c>
      <c r="AC97" s="33">
        <v>26.035216138955501</v>
      </c>
      <c r="AD97" s="33">
        <v>26.031015262683599</v>
      </c>
      <c r="AE97" s="15">
        <v>-2.39550655506111E-4</v>
      </c>
      <c r="AF97" s="15">
        <v>-1.7854927417122399E-5</v>
      </c>
      <c r="AG97" s="15">
        <v>-1.79221562487054E-4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0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0</v>
      </c>
      <c r="BE97" s="29">
        <f t="shared" si="42"/>
        <v>0</v>
      </c>
      <c r="BF97" s="29">
        <f t="shared" si="43"/>
        <v>0</v>
      </c>
      <c r="BH97" s="29"/>
    </row>
    <row r="98" spans="1:60" x14ac:dyDescent="0.25">
      <c r="A98" s="1">
        <v>46163</v>
      </c>
      <c r="B98" s="33">
        <v>20.97</v>
      </c>
      <c r="C98" s="33">
        <v>25.64</v>
      </c>
      <c r="D98" s="15">
        <v>9.5419854568181697E-4</v>
      </c>
      <c r="E98" s="15">
        <v>7.80335583881104E-4</v>
      </c>
      <c r="F98" s="33">
        <v>0</v>
      </c>
      <c r="G98" s="33">
        <v>0.42205999999999899</v>
      </c>
      <c r="H98" s="33">
        <v>0</v>
      </c>
      <c r="I98" s="33">
        <v>0.41568099999999902</v>
      </c>
      <c r="J98" s="33">
        <v>0.42205999999999899</v>
      </c>
      <c r="K98" s="33">
        <v>0.41568099999999902</v>
      </c>
      <c r="L98" s="33">
        <v>21.392059999999901</v>
      </c>
      <c r="M98" s="33">
        <v>26.055681</v>
      </c>
      <c r="N98" s="34">
        <v>1.2226990939437199</v>
      </c>
      <c r="O98" s="34">
        <v>1.2195304988600599</v>
      </c>
      <c r="P98" s="34">
        <v>1.21980696520653</v>
      </c>
      <c r="Q98" s="34">
        <v>1.21985425707102</v>
      </c>
      <c r="R98" s="33">
        <v>25.573554561095499</v>
      </c>
      <c r="S98" s="33">
        <v>25.569212646392302</v>
      </c>
      <c r="T98" s="33">
        <v>25.580557484257302</v>
      </c>
      <c r="U98" s="15">
        <v>-2.5948394621859898E-3</v>
      </c>
      <c r="V98" s="15">
        <v>-2.7646353082320602E-3</v>
      </c>
      <c r="W98" s="15">
        <v>-2.32104238408022E-3</v>
      </c>
      <c r="X98" s="34">
        <v>1.21800710170035</v>
      </c>
      <c r="Y98" s="34">
        <v>1.2179193246936699</v>
      </c>
      <c r="Z98" s="34">
        <v>1.2181435257631099</v>
      </c>
      <c r="AA98" s="34">
        <v>1.2179892395856999</v>
      </c>
      <c r="AB98" s="33">
        <v>26.0538032690066</v>
      </c>
      <c r="AC98" s="33">
        <v>26.059073563629799</v>
      </c>
      <c r="AD98" s="33">
        <v>26.055716418866002</v>
      </c>
      <c r="AE98" s="15">
        <v>-7.2068684637499201E-5</v>
      </c>
      <c r="AF98" s="15">
        <v>1.3019589799693099E-4</v>
      </c>
      <c r="AG98" s="15">
        <v>1.35935199719598E-6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0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0</v>
      </c>
      <c r="BE98" s="29">
        <f t="shared" si="42"/>
        <v>0</v>
      </c>
      <c r="BF98" s="29">
        <f t="shared" si="43"/>
        <v>0</v>
      </c>
      <c r="BH98" s="29"/>
    </row>
    <row r="99" spans="1:60" x14ac:dyDescent="0.25">
      <c r="A99" s="1">
        <v>46164</v>
      </c>
      <c r="B99" s="33">
        <v>20.99</v>
      </c>
      <c r="C99" s="33">
        <v>25.66</v>
      </c>
      <c r="D99" s="15">
        <v>9.5328891871301002E-4</v>
      </c>
      <c r="E99" s="15">
        <v>7.7972713502106098E-4</v>
      </c>
      <c r="F99" s="33">
        <v>0</v>
      </c>
      <c r="G99" s="33">
        <v>0.42205999999999899</v>
      </c>
      <c r="H99" s="33">
        <v>0</v>
      </c>
      <c r="I99" s="33">
        <v>0.41568099999999902</v>
      </c>
      <c r="J99" s="33">
        <v>0.42205999999999899</v>
      </c>
      <c r="K99" s="33">
        <v>0.41568099999999902</v>
      </c>
      <c r="L99" s="33">
        <v>21.412059999999901</v>
      </c>
      <c r="M99" s="33">
        <v>26.075680999999999</v>
      </c>
      <c r="N99" s="34">
        <v>1.2224868985231001</v>
      </c>
      <c r="O99" s="34">
        <v>1.2195304988600599</v>
      </c>
      <c r="P99" s="34">
        <v>1.22024689387184</v>
      </c>
      <c r="Q99" s="34">
        <v>1.21987271964424</v>
      </c>
      <c r="R99" s="33">
        <v>25.597945171072698</v>
      </c>
      <c r="S99" s="33">
        <v>25.6037481996851</v>
      </c>
      <c r="T99" s="33">
        <v>25.604740855920799</v>
      </c>
      <c r="U99" s="15">
        <v>-2.4212776784941301E-3</v>
      </c>
      <c r="V99" s="15">
        <v>-2.1946043692628501E-3</v>
      </c>
      <c r="W99" s="15">
        <v>-2.1558351630566498E-3</v>
      </c>
      <c r="X99" s="34">
        <v>1.21780347150157</v>
      </c>
      <c r="Y99" s="34">
        <v>1.2179193246936699</v>
      </c>
      <c r="Z99" s="34">
        <v>1.2180790910271599</v>
      </c>
      <c r="AA99" s="34">
        <v>1.2179978817369299</v>
      </c>
      <c r="AB99" s="33">
        <v>26.078161655500399</v>
      </c>
      <c r="AC99" s="33">
        <v>26.082962262251201</v>
      </c>
      <c r="AD99" s="33">
        <v>26.079658677363501</v>
      </c>
      <c r="AE99" s="15">
        <v>9.5128388477230596E-5</v>
      </c>
      <c r="AF99" s="15">
        <v>2.7919676752116598E-4</v>
      </c>
      <c r="AG99" s="15">
        <v>1.52531932334411E-4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0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0</v>
      </c>
      <c r="BE99" s="29">
        <f t="shared" si="42"/>
        <v>0</v>
      </c>
      <c r="BF99" s="29">
        <f t="shared" si="43"/>
        <v>0</v>
      </c>
      <c r="BH99" s="29"/>
    </row>
    <row r="100" spans="1:60" x14ac:dyDescent="0.25">
      <c r="A100" s="1">
        <v>46168</v>
      </c>
      <c r="B100" s="33">
        <v>21.07</v>
      </c>
      <c r="C100" s="33">
        <v>25.75</v>
      </c>
      <c r="D100" s="15">
        <v>3.8040939835560401E-3</v>
      </c>
      <c r="E100" s="15">
        <v>3.5012679222547402E-3</v>
      </c>
      <c r="F100" s="33">
        <v>0</v>
      </c>
      <c r="G100" s="33">
        <v>0.42205999999999899</v>
      </c>
      <c r="H100" s="33">
        <v>0</v>
      </c>
      <c r="I100" s="33">
        <v>0.41568099999999902</v>
      </c>
      <c r="J100" s="33">
        <v>0.42205999999999899</v>
      </c>
      <c r="K100" s="33">
        <v>0.41568099999999902</v>
      </c>
      <c r="L100" s="33">
        <v>21.492059999999999</v>
      </c>
      <c r="M100" s="33">
        <v>26.165680999999999</v>
      </c>
      <c r="N100" s="34">
        <v>1.22211675367821</v>
      </c>
      <c r="O100" s="34">
        <v>1.2195304988600599</v>
      </c>
      <c r="P100" s="34">
        <v>1.22064553807819</v>
      </c>
      <c r="Q100" s="34">
        <v>1.21987530414569</v>
      </c>
      <c r="R100" s="33">
        <v>25.695507610981501</v>
      </c>
      <c r="S100" s="33">
        <v>25.7106020538797</v>
      </c>
      <c r="T100" s="33">
        <v>25.702718202904101</v>
      </c>
      <c r="U100" s="15">
        <v>-2.1184516171927599E-3</v>
      </c>
      <c r="V100" s="15">
        <v>-1.53118899683538E-3</v>
      </c>
      <c r="W100" s="15">
        <v>-1.83787415150001E-3</v>
      </c>
      <c r="X100" s="34">
        <v>1.21745802868594</v>
      </c>
      <c r="Y100" s="34">
        <v>1.2179193246936699</v>
      </c>
      <c r="Z100" s="34">
        <v>1.2179758247863699</v>
      </c>
      <c r="AA100" s="34">
        <v>1.2179922565793</v>
      </c>
      <c r="AB100" s="33">
        <v>26.1755952014759</v>
      </c>
      <c r="AC100" s="33">
        <v>26.179028909101199</v>
      </c>
      <c r="AD100" s="33">
        <v>26.1772835541631</v>
      </c>
      <c r="AE100" s="15">
        <v>3.7882918851229298E-4</v>
      </c>
      <c r="AF100" s="15">
        <v>5.1000031956477496E-4</v>
      </c>
      <c r="AG100" s="15">
        <v>4.4332813213942797E-4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0</v>
      </c>
      <c r="AT100" s="12"/>
      <c r="AU100">
        <f t="shared" si="30"/>
        <v>0</v>
      </c>
      <c r="AV100">
        <f t="shared" si="31"/>
        <v>0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0</v>
      </c>
      <c r="BE100" s="29">
        <f t="shared" si="42"/>
        <v>0</v>
      </c>
      <c r="BF100" s="29">
        <f t="shared" si="43"/>
        <v>0</v>
      </c>
      <c r="BH100" s="29"/>
    </row>
    <row r="101" spans="1:60" x14ac:dyDescent="0.25">
      <c r="A101" s="1">
        <v>46169</v>
      </c>
      <c r="B101" s="33">
        <v>21.07</v>
      </c>
      <c r="C101" s="33">
        <v>25.77</v>
      </c>
      <c r="D101" s="15">
        <v>0</v>
      </c>
      <c r="E101" s="15">
        <v>7.7639755452857699E-4</v>
      </c>
      <c r="F101" s="33">
        <v>0</v>
      </c>
      <c r="G101" s="33">
        <v>0.42205999999999899</v>
      </c>
      <c r="H101" s="33">
        <v>0</v>
      </c>
      <c r="I101" s="33">
        <v>0.41568099999999902</v>
      </c>
      <c r="J101" s="33">
        <v>0.42205999999999899</v>
      </c>
      <c r="K101" s="33">
        <v>0.41568099999999902</v>
      </c>
      <c r="L101" s="33">
        <v>21.492059999999999</v>
      </c>
      <c r="M101" s="33">
        <v>26.185680999999999</v>
      </c>
      <c r="N101" s="34">
        <v>1.2230659705742699</v>
      </c>
      <c r="O101" s="34">
        <v>1.2195304988600599</v>
      </c>
      <c r="P101" s="34">
        <v>1.22123974156892</v>
      </c>
      <c r="Q101" s="34">
        <v>1.21992011210836</v>
      </c>
      <c r="R101" s="33">
        <v>25.695507610981501</v>
      </c>
      <c r="S101" s="33">
        <v>25.719001487307501</v>
      </c>
      <c r="T101" s="33">
        <v>25.702772658349701</v>
      </c>
      <c r="U101" s="15">
        <v>-2.89484917172133E-3</v>
      </c>
      <c r="V101" s="15">
        <v>-1.9809484704106498E-3</v>
      </c>
      <c r="W101" s="15">
        <v>-2.6121530434253201E-3</v>
      </c>
      <c r="X101" s="34">
        <v>1.2183886049080399</v>
      </c>
      <c r="Y101" s="34">
        <v>1.2179193246936699</v>
      </c>
      <c r="Z101" s="34">
        <v>1.2180646172907701</v>
      </c>
      <c r="AA101" s="34">
        <v>1.21802810864827</v>
      </c>
      <c r="AB101" s="33">
        <v>26.1755952014759</v>
      </c>
      <c r="AC101" s="33">
        <v>26.176809504858301</v>
      </c>
      <c r="AD101" s="33">
        <v>26.1771626579377</v>
      </c>
      <c r="AE101" s="15">
        <v>-3.8523883986109098E-4</v>
      </c>
      <c r="AF101" s="15">
        <v>-3.3884924651252698E-4</v>
      </c>
      <c r="AG101" s="15">
        <v>-3.2535827095311599E-4</v>
      </c>
      <c r="AI101" s="12"/>
      <c r="AJ101">
        <f t="shared" si="26"/>
        <v>0</v>
      </c>
      <c r="AK101">
        <f t="shared" si="27"/>
        <v>0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0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0</v>
      </c>
      <c r="BE101" s="29">
        <f t="shared" si="42"/>
        <v>0</v>
      </c>
      <c r="BF101" s="29">
        <f t="shared" si="43"/>
        <v>0</v>
      </c>
      <c r="BH101" s="29"/>
    </row>
    <row r="102" spans="1:60" x14ac:dyDescent="0.25">
      <c r="A102" s="1">
        <v>46170</v>
      </c>
      <c r="B102" s="33">
        <v>21.11</v>
      </c>
      <c r="C102" s="33">
        <v>25.82</v>
      </c>
      <c r="D102" s="15">
        <v>1.89663404413158E-3</v>
      </c>
      <c r="E102" s="15">
        <v>1.9383607542228199E-3</v>
      </c>
      <c r="F102" s="33">
        <v>0</v>
      </c>
      <c r="G102" s="33">
        <v>0.42205999999999899</v>
      </c>
      <c r="H102" s="33">
        <v>0</v>
      </c>
      <c r="I102" s="33">
        <v>0.41568099999999902</v>
      </c>
      <c r="J102" s="33">
        <v>0.42205999999999899</v>
      </c>
      <c r="K102" s="33">
        <v>0.41568099999999902</v>
      </c>
      <c r="L102" s="33">
        <v>21.532059999999898</v>
      </c>
      <c r="M102" s="33">
        <v>26.235681</v>
      </c>
      <c r="N102" s="34">
        <v>1.22311700615821</v>
      </c>
      <c r="O102" s="34">
        <v>1.2195304988600599</v>
      </c>
      <c r="P102" s="34">
        <v>1.22180203320129</v>
      </c>
      <c r="Q102" s="34">
        <v>1.2199437975654901</v>
      </c>
      <c r="R102" s="33">
        <v>25.744288830935901</v>
      </c>
      <c r="S102" s="33">
        <v>25.780370944519898</v>
      </c>
      <c r="T102" s="33">
        <v>25.7525135666076</v>
      </c>
      <c r="U102" s="15">
        <v>-2.93657588181252E-3</v>
      </c>
      <c r="V102" s="15">
        <v>-1.53599916225447E-3</v>
      </c>
      <c r="W102" s="15">
        <v>-2.61714883552037E-3</v>
      </c>
      <c r="X102" s="34">
        <v>1.21844732923835</v>
      </c>
      <c r="Y102" s="34">
        <v>1.2179193246936699</v>
      </c>
      <c r="Z102" s="34">
        <v>1.2181228612977499</v>
      </c>
      <c r="AA102" s="34">
        <v>1.21804453625672</v>
      </c>
      <c r="AB102" s="33">
        <v>26.224311974463699</v>
      </c>
      <c r="AC102" s="33">
        <v>26.2274404233819</v>
      </c>
      <c r="AD102" s="33">
        <v>26.2266543171012</v>
      </c>
      <c r="AE102" s="15">
        <v>-4.3343603647809403E-4</v>
      </c>
      <c r="AF102" s="15">
        <v>-3.1414740344186198E-4</v>
      </c>
      <c r="AG102" s="15">
        <v>-3.4412051744561002E-4</v>
      </c>
      <c r="AI102" s="12"/>
      <c r="AJ102">
        <f t="shared" si="26"/>
        <v>0</v>
      </c>
      <c r="AK102">
        <f t="shared" si="27"/>
        <v>0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0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0</v>
      </c>
      <c r="BE102" s="29">
        <f t="shared" si="42"/>
        <v>0</v>
      </c>
      <c r="BF102" s="29">
        <f t="shared" si="43"/>
        <v>0</v>
      </c>
      <c r="BH102" s="29"/>
    </row>
    <row r="103" spans="1:60" x14ac:dyDescent="0.25">
      <c r="A103" s="1">
        <v>46171</v>
      </c>
      <c r="B103" s="33">
        <v>21.13</v>
      </c>
      <c r="C103" s="33">
        <v>25.83</v>
      </c>
      <c r="D103" s="15">
        <v>9.4696976773615902E-4</v>
      </c>
      <c r="E103" s="15">
        <v>3.8722168925267602E-4</v>
      </c>
      <c r="F103" s="33">
        <v>0</v>
      </c>
      <c r="G103" s="33">
        <v>0.42205999999999899</v>
      </c>
      <c r="H103" s="33">
        <v>0</v>
      </c>
      <c r="I103" s="33">
        <v>0.41568099999999902</v>
      </c>
      <c r="J103" s="33">
        <v>0.42205999999999899</v>
      </c>
      <c r="K103" s="33">
        <v>0.41568099999999902</v>
      </c>
      <c r="L103" s="33">
        <v>21.552059999999901</v>
      </c>
      <c r="M103" s="33">
        <v>26.245680999999902</v>
      </c>
      <c r="N103" s="34">
        <v>1.22243256034074</v>
      </c>
      <c r="O103" s="34">
        <v>1.2195304988600599</v>
      </c>
      <c r="P103" s="34">
        <v>1.22227529396797</v>
      </c>
      <c r="Q103" s="34">
        <v>1.21997795513336</v>
      </c>
      <c r="R103" s="33">
        <v>25.7686794409131</v>
      </c>
      <c r="S103" s="33">
        <v>25.816676961543301</v>
      </c>
      <c r="T103" s="33">
        <v>25.777412442558902</v>
      </c>
      <c r="U103" s="15">
        <v>-2.3768278033290298E-3</v>
      </c>
      <c r="V103" s="15">
        <v>-5.1593014443540195E-4</v>
      </c>
      <c r="W103" s="15">
        <v>-2.0379853650257002E-3</v>
      </c>
      <c r="X103" s="34">
        <v>1.21778062050681</v>
      </c>
      <c r="Y103" s="34">
        <v>1.2179193246936699</v>
      </c>
      <c r="Z103" s="34">
        <v>1.2180941347709899</v>
      </c>
      <c r="AA103" s="34">
        <v>1.2180712050068201</v>
      </c>
      <c r="AB103" s="33">
        <v>26.2486703609576</v>
      </c>
      <c r="AC103" s="33">
        <v>26.253056994060799</v>
      </c>
      <c r="AD103" s="33">
        <v>26.251368928077099</v>
      </c>
      <c r="AE103" s="15">
        <v>1.1389267162403599E-4</v>
      </c>
      <c r="AF103" s="15">
        <v>2.8099700644952002E-4</v>
      </c>
      <c r="AG103" s="15">
        <v>2.1669515171458099E-4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0</v>
      </c>
      <c r="AT103" s="12"/>
      <c r="AU103">
        <f t="shared" si="30"/>
        <v>0</v>
      </c>
      <c r="AV103">
        <f t="shared" si="31"/>
        <v>0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0</v>
      </c>
      <c r="BE103" s="29">
        <f t="shared" si="42"/>
        <v>0</v>
      </c>
      <c r="BF103" s="29">
        <f t="shared" si="43"/>
        <v>0</v>
      </c>
      <c r="BH103" s="29"/>
    </row>
    <row r="104" spans="1:60" x14ac:dyDescent="0.25">
      <c r="A104" s="1">
        <v>46174</v>
      </c>
      <c r="B104" s="33">
        <v>21.12</v>
      </c>
      <c r="C104" s="33">
        <v>25.73</v>
      </c>
      <c r="D104" s="15">
        <v>-4.7337278990446899E-4</v>
      </c>
      <c r="E104" s="15">
        <v>-3.8789808140962099E-3</v>
      </c>
      <c r="F104" s="33">
        <v>0</v>
      </c>
      <c r="G104" s="33">
        <v>0.42205999999999899</v>
      </c>
      <c r="H104" s="33">
        <v>0.101692</v>
      </c>
      <c r="I104" s="33">
        <v>0.51737299999999997</v>
      </c>
      <c r="J104" s="33">
        <v>0.42205999999999899</v>
      </c>
      <c r="K104" s="33">
        <v>0.51737299999999997</v>
      </c>
      <c r="L104" s="33">
        <v>21.542059999999999</v>
      </c>
      <c r="M104" s="33">
        <v>26.247373</v>
      </c>
      <c r="N104" s="34">
        <v>1.21827651515151</v>
      </c>
      <c r="O104" s="34">
        <v>1.2195304988600599</v>
      </c>
      <c r="P104" s="34">
        <v>1.2222562058353399</v>
      </c>
      <c r="Q104" s="34">
        <v>1.2200509684204599</v>
      </c>
      <c r="R104" s="33">
        <v>25.756484135924499</v>
      </c>
      <c r="S104" s="33">
        <v>25.8144542086036</v>
      </c>
      <c r="T104" s="33">
        <v>25.765934412416598</v>
      </c>
      <c r="U104" s="15">
        <v>1.02878022086273E-3</v>
      </c>
      <c r="V104" s="15">
        <v>3.27694940127213E-3</v>
      </c>
      <c r="W104" s="15">
        <v>1.3956215634991899E-3</v>
      </c>
      <c r="X104" s="34">
        <v>1.2184244682263401</v>
      </c>
      <c r="Y104" s="34">
        <v>1.2179193246936699</v>
      </c>
      <c r="Z104" s="34">
        <v>1.21805404582861</v>
      </c>
      <c r="AA104" s="34">
        <v>1.2181325654474999</v>
      </c>
      <c r="AB104" s="33">
        <v>26.2364911677106</v>
      </c>
      <c r="AC104" s="33">
        <v>26.240256936884901</v>
      </c>
      <c r="AD104" s="33">
        <v>26.2397629825293</v>
      </c>
      <c r="AE104" s="15">
        <v>-4.14673447461495E-4</v>
      </c>
      <c r="AF104" s="15">
        <v>-2.71152009234273E-4</v>
      </c>
      <c r="AG104" s="15">
        <v>-2.8997648210284203E-4</v>
      </c>
      <c r="AI104" s="12"/>
      <c r="AJ104">
        <f t="shared" si="26"/>
        <v>0</v>
      </c>
      <c r="AK104">
        <f t="shared" si="27"/>
        <v>0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0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0</v>
      </c>
      <c r="BE104" s="29">
        <f t="shared" si="42"/>
        <v>0</v>
      </c>
      <c r="BF104" s="29">
        <f t="shared" si="43"/>
        <v>0</v>
      </c>
      <c r="BH104" s="29"/>
    </row>
    <row r="105" spans="1:60" x14ac:dyDescent="0.25">
      <c r="A105" s="1">
        <v>46175</v>
      </c>
      <c r="B105" s="33">
        <v>21.12</v>
      </c>
      <c r="C105" s="33">
        <v>25.72</v>
      </c>
      <c r="D105" s="15">
        <v>0</v>
      </c>
      <c r="E105" s="15">
        <v>-3.8872692423421102E-4</v>
      </c>
      <c r="F105" s="33">
        <v>0</v>
      </c>
      <c r="G105" s="33">
        <v>0.42205999999999899</v>
      </c>
      <c r="H105" s="33">
        <v>0</v>
      </c>
      <c r="I105" s="33">
        <v>0.51737299999999997</v>
      </c>
      <c r="J105" s="33">
        <v>0.42205999999999899</v>
      </c>
      <c r="K105" s="33">
        <v>0.51737299999999997</v>
      </c>
      <c r="L105" s="33">
        <v>21.542059999999999</v>
      </c>
      <c r="M105" s="33">
        <v>26.237372999999899</v>
      </c>
      <c r="N105" s="34">
        <v>1.2178030303030301</v>
      </c>
      <c r="O105" s="34">
        <v>1.2195304988600599</v>
      </c>
      <c r="P105" s="34">
        <v>1.2217291847871301</v>
      </c>
      <c r="Q105" s="34">
        <v>1.22006949511325</v>
      </c>
      <c r="R105" s="33">
        <v>25.756484135924499</v>
      </c>
      <c r="S105" s="33">
        <v>25.814051067242399</v>
      </c>
      <c r="T105" s="33">
        <v>25.7674764530401</v>
      </c>
      <c r="U105" s="15">
        <v>1.41750714509695E-3</v>
      </c>
      <c r="V105" s="15">
        <v>3.6500593186181E-3</v>
      </c>
      <c r="W105" s="15">
        <v>1.84419473497718E-3</v>
      </c>
      <c r="X105" s="34">
        <v>1.21796026006797</v>
      </c>
      <c r="Y105" s="34">
        <v>1.2179193246936699</v>
      </c>
      <c r="Z105" s="34">
        <v>1.2180144491879501</v>
      </c>
      <c r="AA105" s="34">
        <v>1.2181403309885701</v>
      </c>
      <c r="AB105" s="33">
        <v>26.2364911677106</v>
      </c>
      <c r="AC105" s="33">
        <v>26.239393338482699</v>
      </c>
      <c r="AD105" s="33">
        <v>26.241084812824099</v>
      </c>
      <c r="AE105" s="15">
        <v>-3.3610343106957503E-5</v>
      </c>
      <c r="AF105" s="15">
        <v>7.6999351322588303E-5</v>
      </c>
      <c r="AG105" s="15">
        <v>1.4146043862709601E-4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0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0</v>
      </c>
      <c r="BE105" s="29">
        <f t="shared" si="42"/>
        <v>0</v>
      </c>
      <c r="BF105" s="29">
        <f t="shared" si="43"/>
        <v>0</v>
      </c>
      <c r="BH105" s="29"/>
    </row>
    <row r="106" spans="1:60" x14ac:dyDescent="0.25">
      <c r="A106" s="1">
        <v>46176</v>
      </c>
      <c r="B106" s="33">
        <v>21.07</v>
      </c>
      <c r="C106" s="33">
        <v>25.67</v>
      </c>
      <c r="D106" s="15">
        <v>-2.3702310219631201E-3</v>
      </c>
      <c r="E106" s="15">
        <v>-1.9459044863694901E-3</v>
      </c>
      <c r="F106" s="33">
        <v>0</v>
      </c>
      <c r="G106" s="33">
        <v>0.42205999999999899</v>
      </c>
      <c r="H106" s="33">
        <v>0</v>
      </c>
      <c r="I106" s="33">
        <v>0.51737299999999997</v>
      </c>
      <c r="J106" s="33">
        <v>0.42205999999999899</v>
      </c>
      <c r="K106" s="33">
        <v>0.51737299999999997</v>
      </c>
      <c r="L106" s="33">
        <v>21.492059999999999</v>
      </c>
      <c r="M106" s="33">
        <v>26.187373000000001</v>
      </c>
      <c r="N106" s="34">
        <v>1.2183198860939699</v>
      </c>
      <c r="O106" s="34">
        <v>1.2195304988600599</v>
      </c>
      <c r="P106" s="34">
        <v>1.22132294092775</v>
      </c>
      <c r="Q106" s="34">
        <v>1.2200819889449099</v>
      </c>
      <c r="R106" s="33">
        <v>25.695507610981501</v>
      </c>
      <c r="S106" s="33">
        <v>25.741833923464899</v>
      </c>
      <c r="T106" s="33">
        <v>25.706864262036198</v>
      </c>
      <c r="U106" s="15">
        <v>9.9318060950332691E-4</v>
      </c>
      <c r="V106" s="15">
        <v>2.7944527447763901E-3</v>
      </c>
      <c r="W106" s="15">
        <v>1.4350532634571801E-3</v>
      </c>
      <c r="X106" s="34">
        <v>1.2184673316564301</v>
      </c>
      <c r="Y106" s="34">
        <v>1.2179193246936699</v>
      </c>
      <c r="Z106" s="34">
        <v>1.2180948329505701</v>
      </c>
      <c r="AA106" s="34">
        <v>1.21814209754383</v>
      </c>
      <c r="AB106" s="33">
        <v>26.1755952014759</v>
      </c>
      <c r="AC106" s="33">
        <v>26.1776396228144</v>
      </c>
      <c r="AD106" s="33">
        <v>26.1803450820263</v>
      </c>
      <c r="AE106" s="15">
        <v>-4.49852219122508E-4</v>
      </c>
      <c r="AF106" s="15">
        <v>-3.7175116781609498E-4</v>
      </c>
      <c r="AG106" s="15">
        <v>-2.6840650206905599E-4</v>
      </c>
      <c r="AI106" s="12"/>
      <c r="AJ106">
        <f t="shared" si="26"/>
        <v>0</v>
      </c>
      <c r="AK106">
        <f t="shared" si="27"/>
        <v>0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0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0</v>
      </c>
      <c r="BE106" s="29">
        <f t="shared" si="42"/>
        <v>0</v>
      </c>
      <c r="BF106" s="29">
        <f t="shared" si="43"/>
        <v>0</v>
      </c>
      <c r="BH106" s="29"/>
    </row>
    <row r="107" spans="1:60" x14ac:dyDescent="0.25">
      <c r="A107" s="1">
        <v>46177</v>
      </c>
      <c r="B107" s="33">
        <v>21.09</v>
      </c>
      <c r="C107" s="33">
        <v>25.69</v>
      </c>
      <c r="D107" s="15">
        <v>9.4876667458556805E-4</v>
      </c>
      <c r="E107" s="15">
        <v>7.78816238743236E-4</v>
      </c>
      <c r="F107" s="33">
        <v>0</v>
      </c>
      <c r="G107" s="33">
        <v>0.42205999999999899</v>
      </c>
      <c r="H107" s="33">
        <v>0</v>
      </c>
      <c r="I107" s="33">
        <v>0.51737299999999997</v>
      </c>
      <c r="J107" s="33">
        <v>0.42205999999999899</v>
      </c>
      <c r="K107" s="33">
        <v>0.51737299999999997</v>
      </c>
      <c r="L107" s="33">
        <v>21.512059999999899</v>
      </c>
      <c r="M107" s="33">
        <v>26.207373</v>
      </c>
      <c r="N107" s="34">
        <v>1.2181128496917899</v>
      </c>
      <c r="O107" s="34">
        <v>1.2195304988600599</v>
      </c>
      <c r="P107" s="34">
        <v>1.2208430564458601</v>
      </c>
      <c r="Q107" s="34">
        <v>1.220083250836</v>
      </c>
      <c r="R107" s="33">
        <v>25.719898220958701</v>
      </c>
      <c r="S107" s="33">
        <v>25.757700824166299</v>
      </c>
      <c r="T107" s="33">
        <v>25.731529146848199</v>
      </c>
      <c r="U107" s="15">
        <v>1.1631310453457E-3</v>
      </c>
      <c r="V107" s="15">
        <v>2.6318324107601002E-3</v>
      </c>
      <c r="W107" s="15">
        <v>1.61524390917455E-3</v>
      </c>
      <c r="X107" s="34">
        <v>1.2182642201630101</v>
      </c>
      <c r="Y107" s="34">
        <v>1.2179193246936699</v>
      </c>
      <c r="Z107" s="34">
        <v>1.2181001436654799</v>
      </c>
      <c r="AA107" s="34">
        <v>1.21813291760892</v>
      </c>
      <c r="AB107" s="33">
        <v>26.199953587969802</v>
      </c>
      <c r="AC107" s="33">
        <v>26.203729132122699</v>
      </c>
      <c r="AD107" s="33">
        <v>26.204745890888699</v>
      </c>
      <c r="AE107" s="15">
        <v>-2.83144077851828E-4</v>
      </c>
      <c r="AF107" s="15">
        <v>-1.3904946604471899E-4</v>
      </c>
      <c r="AG107" s="15">
        <v>-1.00248155161913E-4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0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0</v>
      </c>
      <c r="BE107" s="29">
        <f t="shared" si="42"/>
        <v>0</v>
      </c>
      <c r="BF107" s="29">
        <f t="shared" si="43"/>
        <v>0</v>
      </c>
      <c r="BH107" s="29"/>
    </row>
    <row r="108" spans="1:60" x14ac:dyDescent="0.25">
      <c r="A108" s="1">
        <v>46178</v>
      </c>
      <c r="B108" s="33">
        <v>20.98</v>
      </c>
      <c r="C108" s="33">
        <v>25.57</v>
      </c>
      <c r="D108" s="15">
        <v>-5.2293915225320401E-3</v>
      </c>
      <c r="E108" s="15">
        <v>-4.6820218186969902E-3</v>
      </c>
      <c r="F108" s="33">
        <v>0</v>
      </c>
      <c r="G108" s="33">
        <v>0.42205999999999899</v>
      </c>
      <c r="H108" s="33">
        <v>0</v>
      </c>
      <c r="I108" s="33">
        <v>0.51737299999999997</v>
      </c>
      <c r="J108" s="33">
        <v>0.42205999999999899</v>
      </c>
      <c r="K108" s="33">
        <v>0.51737299999999997</v>
      </c>
      <c r="L108" s="33">
        <v>21.402059999999999</v>
      </c>
      <c r="M108" s="33">
        <v>26.087372999999999</v>
      </c>
      <c r="N108" s="34">
        <v>1.2187797902764499</v>
      </c>
      <c r="O108" s="34">
        <v>1.2195304988600599</v>
      </c>
      <c r="P108" s="34">
        <v>1.22045112607913</v>
      </c>
      <c r="Q108" s="34">
        <v>1.22012904564283</v>
      </c>
      <c r="R108" s="33">
        <v>25.5857498660841</v>
      </c>
      <c r="S108" s="33">
        <v>25.613287324234101</v>
      </c>
      <c r="T108" s="33">
        <v>25.5973466025393</v>
      </c>
      <c r="U108" s="15">
        <v>6.1576134151056195E-4</v>
      </c>
      <c r="V108" s="15">
        <v>1.6914636326713799E-3</v>
      </c>
      <c r="W108" s="15">
        <v>1.0689084722565101E-3</v>
      </c>
      <c r="X108" s="34">
        <v>1.21891878632243</v>
      </c>
      <c r="Y108" s="34">
        <v>1.2179193246936699</v>
      </c>
      <c r="Z108" s="34">
        <v>1.2181913121276899</v>
      </c>
      <c r="AA108" s="34">
        <v>1.2181674189453999</v>
      </c>
      <c r="AB108" s="33">
        <v>26.065982462253501</v>
      </c>
      <c r="AC108" s="33">
        <v>26.069852360737301</v>
      </c>
      <c r="AD108" s="33">
        <v>26.070553790641299</v>
      </c>
      <c r="AE108" s="15">
        <v>-8.2029387203562995E-4</v>
      </c>
      <c r="AF108" s="15">
        <v>-6.71839416323035E-4</v>
      </c>
      <c r="AG108" s="15">
        <v>-6.4493399092078205E-4</v>
      </c>
      <c r="AI108" s="12"/>
      <c r="AJ108">
        <f t="shared" si="26"/>
        <v>0</v>
      </c>
      <c r="AK108">
        <f t="shared" si="27"/>
        <v>0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0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0</v>
      </c>
      <c r="BE108" s="29">
        <f t="shared" si="42"/>
        <v>0</v>
      </c>
      <c r="BF108" s="29">
        <f t="shared" si="43"/>
        <v>0</v>
      </c>
      <c r="BH108" s="29"/>
    </row>
    <row r="109" spans="1:60" x14ac:dyDescent="0.25">
      <c r="A109" s="1">
        <v>46181</v>
      </c>
      <c r="B109" s="33">
        <v>20.99</v>
      </c>
      <c r="C109" s="33">
        <v>25.55</v>
      </c>
      <c r="D109" s="15">
        <v>4.7653086439048602E-4</v>
      </c>
      <c r="E109" s="15">
        <v>-7.8247265338180503E-4</v>
      </c>
      <c r="F109" s="33">
        <v>0</v>
      </c>
      <c r="G109" s="33">
        <v>0.42205999999999899</v>
      </c>
      <c r="H109" s="33">
        <v>0</v>
      </c>
      <c r="I109" s="33">
        <v>0.51737299999999997</v>
      </c>
      <c r="J109" s="33">
        <v>0.42205999999999899</v>
      </c>
      <c r="K109" s="33">
        <v>0.51737299999999997</v>
      </c>
      <c r="L109" s="33">
        <v>21.412059999999901</v>
      </c>
      <c r="M109" s="33">
        <v>26.067373</v>
      </c>
      <c r="N109" s="34">
        <v>1.2172463077655999</v>
      </c>
      <c r="O109" s="34">
        <v>1.2195304988600599</v>
      </c>
      <c r="P109" s="34">
        <v>1.2199270670033799</v>
      </c>
      <c r="Q109" s="34">
        <v>1.22008698043761</v>
      </c>
      <c r="R109" s="33">
        <v>25.597945171072698</v>
      </c>
      <c r="S109" s="33">
        <v>25.617269136400999</v>
      </c>
      <c r="T109" s="33">
        <v>25.610508668043</v>
      </c>
      <c r="U109" s="15">
        <v>1.87476485928279E-3</v>
      </c>
      <c r="V109" s="15">
        <v>2.6293830525906899E-3</v>
      </c>
      <c r="W109" s="15">
        <v>2.3654454512769098E-3</v>
      </c>
      <c r="X109" s="34">
        <v>1.21741546586363</v>
      </c>
      <c r="Y109" s="34">
        <v>1.2179193246936699</v>
      </c>
      <c r="Z109" s="34">
        <v>1.21815251156389</v>
      </c>
      <c r="AA109" s="34">
        <v>1.21811580129553</v>
      </c>
      <c r="AB109" s="33">
        <v>26.078161655500399</v>
      </c>
      <c r="AC109" s="33">
        <v>26.0839854667569</v>
      </c>
      <c r="AD109" s="33">
        <v>26.083473864504001</v>
      </c>
      <c r="AE109" s="15">
        <v>4.1379020181488699E-4</v>
      </c>
      <c r="AF109" s="15">
        <v>6.3708665726834005E-4</v>
      </c>
      <c r="AG109" s="15">
        <v>6.1747281141870099E-4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0</v>
      </c>
      <c r="AT109" s="12"/>
      <c r="AU109">
        <f t="shared" si="30"/>
        <v>0</v>
      </c>
      <c r="AV109">
        <f t="shared" si="31"/>
        <v>0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0</v>
      </c>
      <c r="BE109" s="29">
        <f t="shared" si="42"/>
        <v>0</v>
      </c>
      <c r="BF109" s="29">
        <f t="shared" si="43"/>
        <v>0</v>
      </c>
      <c r="BH109" s="29"/>
    </row>
    <row r="110" spans="1:60" x14ac:dyDescent="0.25">
      <c r="A110" s="1">
        <v>46182</v>
      </c>
      <c r="B110" s="33">
        <v>21.03</v>
      </c>
      <c r="C110" s="33">
        <v>25.61</v>
      </c>
      <c r="D110" s="15">
        <v>1.9038558820669001E-3</v>
      </c>
      <c r="E110" s="15">
        <v>2.3455835617204501E-3</v>
      </c>
      <c r="F110" s="33">
        <v>0</v>
      </c>
      <c r="G110" s="33">
        <v>0.42205999999999899</v>
      </c>
      <c r="H110" s="33">
        <v>0</v>
      </c>
      <c r="I110" s="33">
        <v>0.51737299999999997</v>
      </c>
      <c r="J110" s="33">
        <v>0.42205999999999899</v>
      </c>
      <c r="K110" s="33">
        <v>0.51737299999999997</v>
      </c>
      <c r="L110" s="33">
        <v>21.452059999999999</v>
      </c>
      <c r="M110" s="33">
        <v>26.127372999999999</v>
      </c>
      <c r="N110" s="34">
        <v>1.2177841179267701</v>
      </c>
      <c r="O110" s="34">
        <v>1.2195304988600599</v>
      </c>
      <c r="P110" s="34">
        <v>1.2194938034282301</v>
      </c>
      <c r="Q110" s="34">
        <v>1.2200696707532099</v>
      </c>
      <c r="R110" s="33">
        <v>25.646726391027101</v>
      </c>
      <c r="S110" s="33">
        <v>25.6550662190811</v>
      </c>
      <c r="T110" s="33">
        <v>25.658429198602999</v>
      </c>
      <c r="U110" s="15">
        <v>1.4330371796292601E-3</v>
      </c>
      <c r="V110" s="15">
        <v>1.7581653166078299E-3</v>
      </c>
      <c r="W110" s="15">
        <v>1.8892411476083601E-3</v>
      </c>
      <c r="X110" s="34">
        <v>1.2179423794264901</v>
      </c>
      <c r="Y110" s="34">
        <v>1.2179193246936699</v>
      </c>
      <c r="Z110" s="34">
        <v>1.21820094663795</v>
      </c>
      <c r="AA110" s="34">
        <v>1.21808838571216</v>
      </c>
      <c r="AB110" s="33">
        <v>26.126878428488201</v>
      </c>
      <c r="AC110" s="33">
        <v>26.1318807672194</v>
      </c>
      <c r="AD110" s="33">
        <v>26.131093256339799</v>
      </c>
      <c r="AE110" s="15">
        <v>-1.8929426726325101E-5</v>
      </c>
      <c r="AF110" s="15">
        <v>1.72515560621067E-4</v>
      </c>
      <c r="AG110" s="15">
        <v>1.4237908659094599E-4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0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0</v>
      </c>
      <c r="BE110" s="29">
        <f t="shared" si="42"/>
        <v>0</v>
      </c>
      <c r="BF110" s="29">
        <f t="shared" si="43"/>
        <v>0</v>
      </c>
      <c r="BH110" s="29"/>
    </row>
    <row r="111" spans="1:60" x14ac:dyDescent="0.25">
      <c r="A111" s="1">
        <v>46183</v>
      </c>
      <c r="B111" s="33">
        <v>21</v>
      </c>
      <c r="C111" s="33">
        <v>25.58</v>
      </c>
      <c r="D111" s="15">
        <v>-1.4275519911854399E-3</v>
      </c>
      <c r="E111" s="15">
        <v>-1.1721040607373201E-3</v>
      </c>
      <c r="F111" s="33">
        <v>0</v>
      </c>
      <c r="G111" s="33">
        <v>0.42205999999999899</v>
      </c>
      <c r="H111" s="33">
        <v>0</v>
      </c>
      <c r="I111" s="33">
        <v>0.51737299999999997</v>
      </c>
      <c r="J111" s="33">
        <v>0.42205999999999899</v>
      </c>
      <c r="K111" s="33">
        <v>0.51737299999999997</v>
      </c>
      <c r="L111" s="33">
        <v>21.422059999999998</v>
      </c>
      <c r="M111" s="33">
        <v>26.097372999999902</v>
      </c>
      <c r="N111" s="34">
        <v>1.2180952380952299</v>
      </c>
      <c r="O111" s="34">
        <v>1.2195304988600599</v>
      </c>
      <c r="P111" s="34">
        <v>1.2189967301803299</v>
      </c>
      <c r="Q111" s="34">
        <v>1.2201182358746201</v>
      </c>
      <c r="R111" s="33">
        <v>25.6101404760613</v>
      </c>
      <c r="S111" s="33">
        <v>25.609369871993</v>
      </c>
      <c r="T111" s="33">
        <v>25.621463085817499</v>
      </c>
      <c r="U111" s="15">
        <v>1.17758924918117E-3</v>
      </c>
      <c r="V111" s="15">
        <v>1.1474989939981701E-3</v>
      </c>
      <c r="W111" s="15">
        <v>1.6196058621067799E-3</v>
      </c>
      <c r="X111" s="34">
        <v>1.2182475915014701</v>
      </c>
      <c r="Y111" s="34">
        <v>1.2179193246936699</v>
      </c>
      <c r="Z111" s="34">
        <v>1.2181868452972899</v>
      </c>
      <c r="AA111" s="34">
        <v>1.2181257312940299</v>
      </c>
      <c r="AB111" s="33">
        <v>26.090340848747399</v>
      </c>
      <c r="AC111" s="33">
        <v>26.096373770934999</v>
      </c>
      <c r="AD111" s="33">
        <v>26.093962484029099</v>
      </c>
      <c r="AE111" s="15">
        <v>-2.6949451418833899E-4</v>
      </c>
      <c r="AF111" s="15">
        <v>-3.8289225314181597E-5</v>
      </c>
      <c r="AG111" s="15">
        <v>-1.30692803471748E-4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0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0</v>
      </c>
      <c r="BE111" s="29">
        <f t="shared" si="42"/>
        <v>0</v>
      </c>
      <c r="BF111" s="29">
        <f t="shared" si="43"/>
        <v>0</v>
      </c>
      <c r="BH111" s="29"/>
    </row>
    <row r="112" spans="1:60" x14ac:dyDescent="0.25">
      <c r="A112" s="1">
        <v>46184</v>
      </c>
      <c r="B112" s="33">
        <v>21.12</v>
      </c>
      <c r="C112" s="33">
        <v>25.74</v>
      </c>
      <c r="D112" s="15">
        <v>5.6980211146377899E-3</v>
      </c>
      <c r="E112" s="15">
        <v>6.2354060172840602E-3</v>
      </c>
      <c r="F112" s="33">
        <v>0</v>
      </c>
      <c r="G112" s="33">
        <v>0.42205999999999899</v>
      </c>
      <c r="H112" s="33">
        <v>0</v>
      </c>
      <c r="I112" s="33">
        <v>0.51737299999999997</v>
      </c>
      <c r="J112" s="33">
        <v>0.42205999999999899</v>
      </c>
      <c r="K112" s="33">
        <v>0.51737299999999997</v>
      </c>
      <c r="L112" s="33">
        <v>21.542059999999999</v>
      </c>
      <c r="M112" s="33">
        <v>26.257372999999902</v>
      </c>
      <c r="N112" s="34">
        <v>1.21874999999999</v>
      </c>
      <c r="O112" s="34">
        <v>1.2195304988600599</v>
      </c>
      <c r="P112" s="34">
        <v>1.21856002956451</v>
      </c>
      <c r="Q112" s="34">
        <v>1.2201810313829</v>
      </c>
      <c r="R112" s="33">
        <v>25.756484135924499</v>
      </c>
      <c r="S112" s="33">
        <v>25.745210941408601</v>
      </c>
      <c r="T112" s="33">
        <v>25.768897141672099</v>
      </c>
      <c r="U112" s="15">
        <v>6.4020434653503701E-4</v>
      </c>
      <c r="V112" s="15">
        <v>2.0242478689252801E-4</v>
      </c>
      <c r="W112" s="15">
        <v>1.1220253706594799E-3</v>
      </c>
      <c r="X112" s="34">
        <v>1.2188886763847</v>
      </c>
      <c r="Y112" s="34">
        <v>1.2179193246936699</v>
      </c>
      <c r="Z112" s="34">
        <v>1.21823098001193</v>
      </c>
      <c r="AA112" s="34">
        <v>1.2181769206548401</v>
      </c>
      <c r="AB112" s="33">
        <v>26.2364911677106</v>
      </c>
      <c r="AC112" s="33">
        <v>26.242254112605099</v>
      </c>
      <c r="AD112" s="33">
        <v>26.240937591079899</v>
      </c>
      <c r="AE112" s="15">
        <v>-7.9559139803735796E-4</v>
      </c>
      <c r="AF112" s="15">
        <v>-5.7596172180122995E-4</v>
      </c>
      <c r="AG112" s="15">
        <v>-6.2613098486057398E-4</v>
      </c>
      <c r="AI112" s="12"/>
      <c r="AJ112">
        <f t="shared" si="26"/>
        <v>0</v>
      </c>
      <c r="AK112">
        <f t="shared" si="27"/>
        <v>0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0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0</v>
      </c>
      <c r="BE112" s="29">
        <f t="shared" si="42"/>
        <v>0</v>
      </c>
      <c r="BF112" s="29">
        <f t="shared" si="43"/>
        <v>0</v>
      </c>
      <c r="BH112" s="29"/>
    </row>
    <row r="113" spans="1:60" x14ac:dyDescent="0.25">
      <c r="A113" s="1">
        <v>46185</v>
      </c>
      <c r="B113" s="33">
        <v>21.11</v>
      </c>
      <c r="C113" s="33">
        <v>25.71</v>
      </c>
      <c r="D113" s="15">
        <v>-4.7359697783160601E-4</v>
      </c>
      <c r="E113" s="15">
        <v>-1.16618089018239E-3</v>
      </c>
      <c r="F113" s="33">
        <v>0</v>
      </c>
      <c r="G113" s="33">
        <v>0.42205999999999899</v>
      </c>
      <c r="H113" s="33">
        <v>0</v>
      </c>
      <c r="I113" s="33">
        <v>0.51737299999999997</v>
      </c>
      <c r="J113" s="33">
        <v>0.42205999999999899</v>
      </c>
      <c r="K113" s="33">
        <v>0.51737299999999997</v>
      </c>
      <c r="L113" s="33">
        <v>21.532059999999898</v>
      </c>
      <c r="M113" s="33">
        <v>26.227373</v>
      </c>
      <c r="N113" s="34">
        <v>1.21790620558976</v>
      </c>
      <c r="O113" s="34">
        <v>1.2195304988600599</v>
      </c>
      <c r="P113" s="34">
        <v>1.21810739408941</v>
      </c>
      <c r="Q113" s="34">
        <v>1.22019134402869</v>
      </c>
      <c r="R113" s="33">
        <v>25.744288830935901</v>
      </c>
      <c r="S113" s="33">
        <v>25.723802224106802</v>
      </c>
      <c r="T113" s="33">
        <v>25.758021572493</v>
      </c>
      <c r="U113" s="15">
        <v>1.33278825888583E-3</v>
      </c>
      <c r="V113" s="15">
        <v>5.3669858502911299E-4</v>
      </c>
      <c r="W113" s="15">
        <v>1.86607469885545E-3</v>
      </c>
      <c r="X113" s="34">
        <v>1.2180614859887999</v>
      </c>
      <c r="Y113" s="34">
        <v>1.2179193246936699</v>
      </c>
      <c r="Z113" s="34">
        <v>1.2182590665601301</v>
      </c>
      <c r="AA113" s="34">
        <v>1.2181766006655601</v>
      </c>
      <c r="AB113" s="33">
        <v>26.224311974463699</v>
      </c>
      <c r="AC113" s="33">
        <v>26.2310225554757</v>
      </c>
      <c r="AD113" s="33">
        <v>26.229858546155299</v>
      </c>
      <c r="AE113" s="15">
        <v>-1.16717910634838E-4</v>
      </c>
      <c r="AF113" s="15">
        <v>1.3914094943171199E-4</v>
      </c>
      <c r="AG113" s="15">
        <v>9.4764671481862398E-5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0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0</v>
      </c>
      <c r="BE113" s="29">
        <f t="shared" si="42"/>
        <v>0</v>
      </c>
      <c r="BF113" s="29">
        <f t="shared" si="43"/>
        <v>0</v>
      </c>
      <c r="BH113" s="29"/>
    </row>
    <row r="114" spans="1:60" x14ac:dyDescent="0.25">
      <c r="A114" s="1">
        <v>46188</v>
      </c>
      <c r="B114" s="33">
        <v>21.13</v>
      </c>
      <c r="C114" s="33">
        <v>25.71</v>
      </c>
      <c r="D114" s="15">
        <v>9.4696976773615902E-4</v>
      </c>
      <c r="E114" s="15">
        <v>0</v>
      </c>
      <c r="F114" s="33">
        <v>0</v>
      </c>
      <c r="G114" s="33">
        <v>0.42205999999999899</v>
      </c>
      <c r="H114" s="33">
        <v>0</v>
      </c>
      <c r="I114" s="33">
        <v>0.51737299999999997</v>
      </c>
      <c r="J114" s="33">
        <v>0.42205999999999899</v>
      </c>
      <c r="K114" s="33">
        <v>0.51737299999999997</v>
      </c>
      <c r="L114" s="33">
        <v>21.552059999999901</v>
      </c>
      <c r="M114" s="33">
        <v>26.227373</v>
      </c>
      <c r="N114" s="34">
        <v>1.2167534311405499</v>
      </c>
      <c r="O114" s="34">
        <v>1.2195304988600599</v>
      </c>
      <c r="P114" s="34">
        <v>1.2179550856883099</v>
      </c>
      <c r="Q114" s="34">
        <v>1.22010564576183</v>
      </c>
      <c r="R114" s="33">
        <v>25.7686794409131</v>
      </c>
      <c r="S114" s="33">
        <v>25.738609237109301</v>
      </c>
      <c r="T114" s="33">
        <v>25.7826430993263</v>
      </c>
      <c r="U114" s="15">
        <v>2.2797580266218E-3</v>
      </c>
      <c r="V114" s="15">
        <v>1.11214823811117E-3</v>
      </c>
      <c r="W114" s="15">
        <v>2.8214961651078E-3</v>
      </c>
      <c r="X114" s="34">
        <v>1.21693114254507</v>
      </c>
      <c r="Y114" s="34">
        <v>1.2179193246936699</v>
      </c>
      <c r="Z114" s="34">
        <v>1.218109733992</v>
      </c>
      <c r="AA114" s="34">
        <v>1.2180818899103101</v>
      </c>
      <c r="AB114" s="33">
        <v>26.2486703609576</v>
      </c>
      <c r="AC114" s="33">
        <v>26.255992498047899</v>
      </c>
      <c r="AD114" s="33">
        <v>26.2542151881403</v>
      </c>
      <c r="AE114" s="15">
        <v>8.1169847278418205E-4</v>
      </c>
      <c r="AF114" s="15">
        <v>1.0906122583078299E-3</v>
      </c>
      <c r="AG114" s="15">
        <v>1.02291837604582E-3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0</v>
      </c>
      <c r="AT114" s="12"/>
      <c r="AU114">
        <f t="shared" si="30"/>
        <v>1</v>
      </c>
      <c r="AV114">
        <f t="shared" si="31"/>
        <v>0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0</v>
      </c>
      <c r="BE114" s="29">
        <f t="shared" si="42"/>
        <v>0</v>
      </c>
      <c r="BF114" s="29">
        <f t="shared" si="43"/>
        <v>0</v>
      </c>
      <c r="BH114" s="29"/>
    </row>
    <row r="115" spans="1:60" x14ac:dyDescent="0.25">
      <c r="A115" s="1">
        <v>46189</v>
      </c>
      <c r="B115" s="33">
        <v>21.15</v>
      </c>
      <c r="C115" s="33">
        <v>25.75</v>
      </c>
      <c r="D115" s="15">
        <v>9.4607386432159104E-4</v>
      </c>
      <c r="E115" s="15">
        <v>1.55460583194705E-3</v>
      </c>
      <c r="F115" s="33">
        <v>0</v>
      </c>
      <c r="G115" s="33">
        <v>0.42205999999999899</v>
      </c>
      <c r="H115" s="33">
        <v>0</v>
      </c>
      <c r="I115" s="33">
        <v>0.51737299999999997</v>
      </c>
      <c r="J115" s="33">
        <v>0.42205999999999899</v>
      </c>
      <c r="K115" s="33">
        <v>0.51737299999999997</v>
      </c>
      <c r="L115" s="33">
        <v>21.572059999999901</v>
      </c>
      <c r="M115" s="33">
        <v>26.267372999999999</v>
      </c>
      <c r="N115" s="34">
        <v>1.2174940898345099</v>
      </c>
      <c r="O115" s="34">
        <v>1.2195304988600599</v>
      </c>
      <c r="P115" s="34">
        <v>1.21792419164146</v>
      </c>
      <c r="Q115" s="34">
        <v>1.2198266882143001</v>
      </c>
      <c r="R115" s="33">
        <v>25.7930700508903</v>
      </c>
      <c r="S115" s="33">
        <v>25.759750062307901</v>
      </c>
      <c r="T115" s="33">
        <v>25.805234407862699</v>
      </c>
      <c r="U115" s="15">
        <v>1.6712260589963599E-3</v>
      </c>
      <c r="V115" s="15">
        <v>3.7857152918042698E-4</v>
      </c>
      <c r="W115" s="15">
        <v>2.1427282653325602E-3</v>
      </c>
      <c r="X115" s="34">
        <v>1.2176571454001099</v>
      </c>
      <c r="Y115" s="34">
        <v>1.2179193246936699</v>
      </c>
      <c r="Z115" s="34">
        <v>1.2180794225252101</v>
      </c>
      <c r="AA115" s="34">
        <v>1.21804693585658</v>
      </c>
      <c r="AB115" s="33">
        <v>26.273028747451399</v>
      </c>
      <c r="AC115" s="33">
        <v>26.2771362682595</v>
      </c>
      <c r="AD115" s="33">
        <v>26.276535614058599</v>
      </c>
      <c r="AE115" s="15">
        <v>2.1529136760329299E-4</v>
      </c>
      <c r="AF115" s="15">
        <v>3.71618976288476E-4</v>
      </c>
      <c r="AG115" s="15">
        <v>3.4876028042690602E-4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0</v>
      </c>
      <c r="AT115" s="12"/>
      <c r="AU115">
        <f t="shared" si="30"/>
        <v>0</v>
      </c>
      <c r="AV115">
        <f t="shared" si="31"/>
        <v>0</v>
      </c>
      <c r="AW115">
        <f t="shared" si="38"/>
        <v>1</v>
      </c>
      <c r="AX115">
        <f t="shared" si="25"/>
        <v>1</v>
      </c>
      <c r="AY115">
        <f t="shared" si="39"/>
        <v>1</v>
      </c>
      <c r="AZ115" s="28">
        <f t="shared" si="32"/>
        <v>-9.4607386432159104E-4</v>
      </c>
      <c r="BA115" s="28">
        <f t="shared" si="33"/>
        <v>1.55460583194705E-3</v>
      </c>
      <c r="BB115" s="28">
        <f t="shared" si="40"/>
        <v>6.0853196762545897E-4</v>
      </c>
      <c r="BC115" s="29">
        <f t="shared" si="41"/>
        <v>6.0853196762545897E-4</v>
      </c>
      <c r="BE115" s="29">
        <f t="shared" si="42"/>
        <v>6.0853196762545897E-4</v>
      </c>
      <c r="BF115" s="29">
        <f t="shared" si="43"/>
        <v>6.0853196762545897E-4</v>
      </c>
      <c r="BH115" s="29"/>
    </row>
    <row r="116" spans="1:60" x14ac:dyDescent="0.25">
      <c r="A116" s="1">
        <v>46190</v>
      </c>
      <c r="B116" s="33">
        <v>21.05</v>
      </c>
      <c r="C116" s="33">
        <v>25.64</v>
      </c>
      <c r="D116" s="15">
        <v>-4.7393453638964397E-3</v>
      </c>
      <c r="E116" s="15">
        <v>-4.28099505727583E-3</v>
      </c>
      <c r="F116" s="33">
        <v>0</v>
      </c>
      <c r="G116" s="33">
        <v>0.42205999999999899</v>
      </c>
      <c r="H116" s="33">
        <v>0</v>
      </c>
      <c r="I116" s="33">
        <v>0.51737299999999997</v>
      </c>
      <c r="J116" s="33">
        <v>0.42205999999999899</v>
      </c>
      <c r="K116" s="33">
        <v>0.51737299999999997</v>
      </c>
      <c r="L116" s="33">
        <v>21.472059999999999</v>
      </c>
      <c r="M116" s="33">
        <v>26.157373</v>
      </c>
      <c r="N116" s="34">
        <v>1.21805225653206</v>
      </c>
      <c r="O116" s="34">
        <v>1.2195304988600599</v>
      </c>
      <c r="P116" s="34">
        <v>1.21789742868527</v>
      </c>
      <c r="Q116" s="34">
        <v>1.21961018480651</v>
      </c>
      <c r="R116" s="33">
        <v>25.671117001004301</v>
      </c>
      <c r="S116" s="33">
        <v>25.637304234052898</v>
      </c>
      <c r="T116" s="33">
        <v>25.677351786911</v>
      </c>
      <c r="U116" s="15">
        <v>1.2128757523759499E-3</v>
      </c>
      <c r="V116" s="15">
        <v>-1.05144605000343E-4</v>
      </c>
      <c r="W116" s="15">
        <v>1.4557178890380099E-3</v>
      </c>
      <c r="X116" s="34">
        <v>1.2182051000230001</v>
      </c>
      <c r="Y116" s="34">
        <v>1.2179193246936699</v>
      </c>
      <c r="Z116" s="34">
        <v>1.21805319936187</v>
      </c>
      <c r="AA116" s="34">
        <v>1.21807401615622</v>
      </c>
      <c r="AB116" s="33">
        <v>26.151236814982099</v>
      </c>
      <c r="AC116" s="33">
        <v>26.154674445226799</v>
      </c>
      <c r="AD116" s="33">
        <v>26.1539768895287</v>
      </c>
      <c r="AE116" s="15">
        <v>-2.3461472471711901E-4</v>
      </c>
      <c r="AF116" s="15">
        <v>-1.03171445482925E-4</v>
      </c>
      <c r="AG116" s="15">
        <v>-1.29842203772827E-4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0</v>
      </c>
      <c r="AT116" s="12"/>
      <c r="AU116">
        <f t="shared" si="30"/>
        <v>0</v>
      </c>
      <c r="AV116">
        <f t="shared" si="31"/>
        <v>1</v>
      </c>
      <c r="AW116">
        <f t="shared" si="38"/>
        <v>1</v>
      </c>
      <c r="AX116">
        <f t="shared" si="25"/>
        <v>1</v>
      </c>
      <c r="AY116">
        <f t="shared" si="39"/>
        <v>1</v>
      </c>
      <c r="AZ116" s="28">
        <f t="shared" si="32"/>
        <v>4.7393453638964397E-3</v>
      </c>
      <c r="BA116" s="28">
        <f t="shared" si="33"/>
        <v>-4.28099505727583E-3</v>
      </c>
      <c r="BB116" s="28">
        <f t="shared" si="40"/>
        <v>4.5835030662060971E-4</v>
      </c>
      <c r="BC116" s="29">
        <f t="shared" si="41"/>
        <v>1.0668822742460687E-3</v>
      </c>
      <c r="BE116" s="29">
        <f t="shared" si="42"/>
        <v>4.5835030662060971E-4</v>
      </c>
      <c r="BF116" s="29">
        <f t="shared" si="43"/>
        <v>1.0668822742460687E-3</v>
      </c>
      <c r="BH116" s="29"/>
    </row>
    <row r="117" spans="1:60" x14ac:dyDescent="0.25">
      <c r="A117" s="1">
        <v>46191</v>
      </c>
      <c r="B117" s="33">
        <v>21.1</v>
      </c>
      <c r="C117" s="33">
        <v>25.7</v>
      </c>
      <c r="D117" s="15">
        <v>2.3724803536303899E-3</v>
      </c>
      <c r="E117" s="15">
        <v>2.3373598487047699E-3</v>
      </c>
      <c r="F117" s="33">
        <v>0</v>
      </c>
      <c r="G117" s="33">
        <v>0.42205999999999899</v>
      </c>
      <c r="H117" s="33">
        <v>0</v>
      </c>
      <c r="I117" s="33">
        <v>0.51737299999999997</v>
      </c>
      <c r="J117" s="33">
        <v>0.42205999999999899</v>
      </c>
      <c r="K117" s="33">
        <v>0.51737299999999997</v>
      </c>
      <c r="L117" s="33">
        <v>21.52206</v>
      </c>
      <c r="M117" s="33">
        <v>26.217372999999998</v>
      </c>
      <c r="N117" s="34">
        <v>1.21800947867298</v>
      </c>
      <c r="O117" s="34">
        <v>1.2195304988600599</v>
      </c>
      <c r="P117" s="34">
        <v>1.2178870915833899</v>
      </c>
      <c r="Q117" s="34">
        <v>1.21936507401462</v>
      </c>
      <c r="R117" s="33">
        <v>25.732093525947299</v>
      </c>
      <c r="S117" s="33">
        <v>25.697635745259301</v>
      </c>
      <c r="T117" s="33">
        <v>25.733774899417401</v>
      </c>
      <c r="U117" s="15">
        <v>1.24799625730147E-3</v>
      </c>
      <c r="V117" s="15">
        <v>-9.1998579624869906E-5</v>
      </c>
      <c r="W117" s="15">
        <v>1.3133356180161501E-3</v>
      </c>
      <c r="X117" s="34">
        <v>1.21816280597675</v>
      </c>
      <c r="Y117" s="34">
        <v>1.2179193246936699</v>
      </c>
      <c r="Z117" s="34">
        <v>1.21804305794324</v>
      </c>
      <c r="AA117" s="34">
        <v>1.2180716008043599</v>
      </c>
      <c r="AB117" s="33">
        <v>26.212132781216699</v>
      </c>
      <c r="AC117" s="33">
        <v>26.2150140398582</v>
      </c>
      <c r="AD117" s="33">
        <v>26.2154620601552</v>
      </c>
      <c r="AE117" s="15">
        <v>-1.9989579236245501E-4</v>
      </c>
      <c r="AF117" s="15">
        <v>-8.9981031820610496E-5</v>
      </c>
      <c r="AG117" s="15">
        <v>-7.2890960155403794E-5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0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1.0668822742460687E-3</v>
      </c>
      <c r="BE117" s="29">
        <f t="shared" si="42"/>
        <v>0</v>
      </c>
      <c r="BF117" s="29">
        <f t="shared" si="43"/>
        <v>1.0668822742460687E-3</v>
      </c>
      <c r="BH117" s="29"/>
    </row>
    <row r="118" spans="1:60" x14ac:dyDescent="0.25">
      <c r="A118" s="1">
        <v>46195</v>
      </c>
      <c r="B118" s="33">
        <v>20.97</v>
      </c>
      <c r="C118" s="33">
        <v>25.66</v>
      </c>
      <c r="D118" s="15">
        <v>-6.1801955681923502E-3</v>
      </c>
      <c r="E118" s="15">
        <v>-1.5576327136837299E-3</v>
      </c>
      <c r="F118" s="33">
        <v>8.4220000000000003E-2</v>
      </c>
      <c r="G118" s="33">
        <v>0.50627999999999995</v>
      </c>
      <c r="H118" s="33">
        <v>0</v>
      </c>
      <c r="I118" s="33">
        <v>0.51737299999999997</v>
      </c>
      <c r="J118" s="33">
        <v>0.50627999999999995</v>
      </c>
      <c r="K118" s="33">
        <v>0.51737299999999997</v>
      </c>
      <c r="L118" s="33">
        <v>21.476279999999999</v>
      </c>
      <c r="M118" s="33">
        <v>26.177372999999999</v>
      </c>
      <c r="N118" s="34">
        <v>1.2236528373867399</v>
      </c>
      <c r="O118" s="34">
        <v>1.2195304988600599</v>
      </c>
      <c r="P118" s="34">
        <v>1.21837439629442</v>
      </c>
      <c r="Q118" s="34">
        <v>1.21941276118677</v>
      </c>
      <c r="R118" s="33">
        <v>25.573554561095499</v>
      </c>
      <c r="S118" s="33">
        <v>25.539092310503801</v>
      </c>
      <c r="T118" s="33">
        <v>25.570085602086699</v>
      </c>
      <c r="U118" s="15">
        <v>-3.37456659720712E-3</v>
      </c>
      <c r="V118" s="15">
        <v>-4.7230491322817897E-3</v>
      </c>
      <c r="W118" s="15">
        <v>-3.5102221353348899E-3</v>
      </c>
      <c r="X118" s="34">
        <v>1.2188969877464799</v>
      </c>
      <c r="Y118" s="34">
        <v>1.2179193246936699</v>
      </c>
      <c r="Z118" s="34">
        <v>1.21804087808565</v>
      </c>
      <c r="AA118" s="34">
        <v>1.2181160951066701</v>
      </c>
      <c r="AB118" s="33">
        <v>26.156376434532302</v>
      </c>
      <c r="AC118" s="33">
        <v>26.1590337644454</v>
      </c>
      <c r="AD118" s="33">
        <v>26.159646758922801</v>
      </c>
      <c r="AE118" s="15">
        <v>-8.02410177796415E-4</v>
      </c>
      <c r="AF118" s="15">
        <v>-7.0082137612925395E-4</v>
      </c>
      <c r="AG118" s="15">
        <v>-6.7738827455760399E-4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0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1.0668822742460687E-3</v>
      </c>
      <c r="BE118" s="29">
        <f t="shared" si="42"/>
        <v>0</v>
      </c>
      <c r="BF118" s="29">
        <f t="shared" si="43"/>
        <v>1.0668822742460687E-3</v>
      </c>
      <c r="BH118" s="29"/>
    </row>
    <row r="119" spans="1:60" x14ac:dyDescent="0.25">
      <c r="A119" s="1">
        <v>46196</v>
      </c>
      <c r="B119" s="33">
        <v>21</v>
      </c>
      <c r="C119" s="33">
        <v>25.69</v>
      </c>
      <c r="D119" s="15">
        <v>1.42959280959437E-3</v>
      </c>
      <c r="E119" s="15">
        <v>1.1684519343019E-3</v>
      </c>
      <c r="F119" s="33">
        <v>0</v>
      </c>
      <c r="G119" s="33">
        <v>0.50627999999999995</v>
      </c>
      <c r="H119" s="33">
        <v>0</v>
      </c>
      <c r="I119" s="33">
        <v>0.51737299999999997</v>
      </c>
      <c r="J119" s="33">
        <v>0.50627999999999995</v>
      </c>
      <c r="K119" s="33">
        <v>0.51737299999999997</v>
      </c>
      <c r="L119" s="33">
        <v>21.50628</v>
      </c>
      <c r="M119" s="33">
        <v>26.207373</v>
      </c>
      <c r="N119" s="34">
        <v>1.2233333333333301</v>
      </c>
      <c r="O119" s="34">
        <v>1.2195304988600599</v>
      </c>
      <c r="P119" s="34">
        <v>1.2189830988511901</v>
      </c>
      <c r="Q119" s="34">
        <v>1.2194550829272901</v>
      </c>
      <c r="R119" s="33">
        <v>25.6101404760613</v>
      </c>
      <c r="S119" s="33">
        <v>25.585862322182901</v>
      </c>
      <c r="T119" s="33">
        <v>25.607667984922301</v>
      </c>
      <c r="U119" s="15">
        <v>-3.1134257219145398E-3</v>
      </c>
      <c r="V119" s="15">
        <v>-4.0618652238809498E-3</v>
      </c>
      <c r="W119" s="15">
        <v>-3.2099738255983298E-3</v>
      </c>
      <c r="X119" s="34">
        <v>1.2185916392793099</v>
      </c>
      <c r="Y119" s="34">
        <v>1.2179193246936699</v>
      </c>
      <c r="Z119" s="34">
        <v>1.21815849542722</v>
      </c>
      <c r="AA119" s="34">
        <v>1.21815550349556</v>
      </c>
      <c r="AB119" s="33">
        <v>26.1929140142731</v>
      </c>
      <c r="AC119" s="33">
        <v>26.1955281755559</v>
      </c>
      <c r="AD119" s="33">
        <v>26.197145813870701</v>
      </c>
      <c r="AE119" s="15">
        <v>-5.5186667545922797E-4</v>
      </c>
      <c r="AF119" s="15">
        <v>-4.52067514586869E-4</v>
      </c>
      <c r="AG119" s="15">
        <v>-3.9031696084868299E-4</v>
      </c>
      <c r="AI119" s="12"/>
      <c r="AJ119">
        <f t="shared" si="26"/>
        <v>0</v>
      </c>
      <c r="AK119">
        <f t="shared" si="27"/>
        <v>0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0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1.0668822742460687E-3</v>
      </c>
      <c r="BE119" s="29">
        <f t="shared" si="42"/>
        <v>0</v>
      </c>
      <c r="BF119" s="29">
        <f t="shared" si="43"/>
        <v>1.0668822742460687E-3</v>
      </c>
      <c r="BH119" s="29"/>
    </row>
    <row r="120" spans="1:60" x14ac:dyDescent="0.25">
      <c r="A120" s="1">
        <v>46197</v>
      </c>
      <c r="B120" s="33">
        <v>21.06</v>
      </c>
      <c r="C120" s="33">
        <v>25.76</v>
      </c>
      <c r="D120" s="15">
        <v>2.8530689824064798E-3</v>
      </c>
      <c r="E120" s="15">
        <v>2.7210901143605798E-3</v>
      </c>
      <c r="F120" s="33">
        <v>0</v>
      </c>
      <c r="G120" s="33">
        <v>0.50627999999999995</v>
      </c>
      <c r="H120" s="33">
        <v>0</v>
      </c>
      <c r="I120" s="33">
        <v>0.51737299999999997</v>
      </c>
      <c r="J120" s="33">
        <v>0.50627999999999995</v>
      </c>
      <c r="K120" s="33">
        <v>0.51737299999999997</v>
      </c>
      <c r="L120" s="33">
        <v>21.566279999999999</v>
      </c>
      <c r="M120" s="33">
        <v>26.277373000000001</v>
      </c>
      <c r="N120" s="34">
        <v>1.22317188983855</v>
      </c>
      <c r="O120" s="34">
        <v>1.2195304988600599</v>
      </c>
      <c r="P120" s="34">
        <v>1.2195218760423701</v>
      </c>
      <c r="Q120" s="34">
        <v>1.2195078397353001</v>
      </c>
      <c r="R120" s="33">
        <v>25.683312305992899</v>
      </c>
      <c r="S120" s="33">
        <v>25.6717840618062</v>
      </c>
      <c r="T120" s="33">
        <v>25.6817240464487</v>
      </c>
      <c r="U120" s="15">
        <v>-2.9814468538688298E-3</v>
      </c>
      <c r="V120" s="15">
        <v>-3.4304088925248099E-3</v>
      </c>
      <c r="W120" s="15">
        <v>-3.0432889027595901E-3</v>
      </c>
      <c r="X120" s="34">
        <v>1.21844717772374</v>
      </c>
      <c r="Y120" s="34">
        <v>1.2179193246936699</v>
      </c>
      <c r="Z120" s="34">
        <v>1.2182089752569401</v>
      </c>
      <c r="AA120" s="34">
        <v>1.2182049609474499</v>
      </c>
      <c r="AB120" s="33">
        <v>26.265989173754701</v>
      </c>
      <c r="AC120" s="33">
        <v>26.271147196762101</v>
      </c>
      <c r="AD120" s="33">
        <v>26.271082671926202</v>
      </c>
      <c r="AE120" s="15">
        <v>-4.3331168590721002E-4</v>
      </c>
      <c r="AF120" s="15">
        <v>-2.36954465839311E-4</v>
      </c>
      <c r="AG120" s="15">
        <v>-2.39410579183303E-4</v>
      </c>
      <c r="AI120" s="12"/>
      <c r="AJ120">
        <f t="shared" si="26"/>
        <v>0</v>
      </c>
      <c r="AK120">
        <f t="shared" si="27"/>
        <v>0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0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1.0668822742460687E-3</v>
      </c>
      <c r="BE120" s="29">
        <f t="shared" si="42"/>
        <v>0</v>
      </c>
      <c r="BF120" s="29">
        <f t="shared" si="43"/>
        <v>1.0668822742460687E-3</v>
      </c>
      <c r="BH120" s="29"/>
    </row>
    <row r="121" spans="1:60" x14ac:dyDescent="0.25">
      <c r="A121" s="1">
        <v>46198</v>
      </c>
      <c r="B121" s="33">
        <v>21.1</v>
      </c>
      <c r="C121" s="33">
        <v>25.79</v>
      </c>
      <c r="D121" s="15">
        <v>1.89753377619141E-3</v>
      </c>
      <c r="E121" s="15">
        <v>1.16391865710041E-3</v>
      </c>
      <c r="F121" s="33">
        <v>0</v>
      </c>
      <c r="G121" s="33">
        <v>0.50627999999999995</v>
      </c>
      <c r="H121" s="33">
        <v>0</v>
      </c>
      <c r="I121" s="33">
        <v>0.51737299999999997</v>
      </c>
      <c r="J121" s="33">
        <v>0.50627999999999995</v>
      </c>
      <c r="K121" s="33">
        <v>0.51737299999999997</v>
      </c>
      <c r="L121" s="33">
        <v>21.606280000000002</v>
      </c>
      <c r="M121" s="33">
        <v>26.307372999999998</v>
      </c>
      <c r="N121" s="34">
        <v>1.22227488151658</v>
      </c>
      <c r="O121" s="34">
        <v>1.2195304988600599</v>
      </c>
      <c r="P121" s="34">
        <v>1.2199398403845101</v>
      </c>
      <c r="Q121" s="34">
        <v>1.2194682852824199</v>
      </c>
      <c r="R121" s="33">
        <v>25.732093525947299</v>
      </c>
      <c r="S121" s="33">
        <v>25.7319115844941</v>
      </c>
      <c r="T121" s="33">
        <v>25.731615418414901</v>
      </c>
      <c r="U121" s="15">
        <v>-2.2478317347777899E-3</v>
      </c>
      <c r="V121" s="15">
        <v>-2.2549023641542602E-3</v>
      </c>
      <c r="W121" s="15">
        <v>-2.26641211081951E-3</v>
      </c>
      <c r="X121" s="34">
        <v>1.2175799350929399</v>
      </c>
      <c r="Y121" s="34">
        <v>1.2179193246936699</v>
      </c>
      <c r="Z121" s="34">
        <v>1.2181422096160901</v>
      </c>
      <c r="AA121" s="34">
        <v>1.2181645274566899</v>
      </c>
      <c r="AB121" s="33">
        <v>26.3147059467424</v>
      </c>
      <c r="AC121" s="33">
        <v>26.3209642179146</v>
      </c>
      <c r="AD121" s="33">
        <v>26.320877483619601</v>
      </c>
      <c r="AE121" s="15">
        <v>2.7870228378413901E-4</v>
      </c>
      <c r="AF121" s="15">
        <v>5.1649810483438998E-4</v>
      </c>
      <c r="AG121" s="15">
        <v>5.1320284417572795E-4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0</v>
      </c>
      <c r="AT121" s="12"/>
      <c r="AU121">
        <f t="shared" si="30"/>
        <v>0</v>
      </c>
      <c r="AV121">
        <f t="shared" si="31"/>
        <v>0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1.0668822742460687E-3</v>
      </c>
      <c r="BE121" s="29">
        <f t="shared" si="42"/>
        <v>0</v>
      </c>
      <c r="BF121" s="29">
        <f t="shared" si="43"/>
        <v>1.0668822742460687E-3</v>
      </c>
      <c r="BH121" s="29"/>
    </row>
    <row r="122" spans="1:60" x14ac:dyDescent="0.25">
      <c r="A122" s="1">
        <v>46199</v>
      </c>
      <c r="B122" s="33">
        <v>21.12</v>
      </c>
      <c r="C122" s="33">
        <v>25.83</v>
      </c>
      <c r="D122" s="15">
        <v>9.4741835603981102E-4</v>
      </c>
      <c r="E122" s="15">
        <v>1.5497872144957399E-3</v>
      </c>
      <c r="F122" s="33">
        <v>0</v>
      </c>
      <c r="G122" s="33">
        <v>0.50627999999999995</v>
      </c>
      <c r="H122" s="33">
        <v>0</v>
      </c>
      <c r="I122" s="33">
        <v>0.51737299999999997</v>
      </c>
      <c r="J122" s="33">
        <v>0.50627999999999995</v>
      </c>
      <c r="K122" s="33">
        <v>0.51737299999999997</v>
      </c>
      <c r="L122" s="33">
        <v>21.626280000000001</v>
      </c>
      <c r="M122" s="33">
        <v>26.347372999999902</v>
      </c>
      <c r="N122" s="34">
        <v>1.22301136363636</v>
      </c>
      <c r="O122" s="34">
        <v>1.2195304988600599</v>
      </c>
      <c r="P122" s="34">
        <v>1.2203659767481401</v>
      </c>
      <c r="Q122" s="34">
        <v>1.21946300315633</v>
      </c>
      <c r="R122" s="33">
        <v>25.756484135924499</v>
      </c>
      <c r="S122" s="33">
        <v>25.765129428920801</v>
      </c>
      <c r="T122" s="33">
        <v>25.755170185164701</v>
      </c>
      <c r="U122" s="15">
        <v>-2.85020059323361E-3</v>
      </c>
      <c r="V122" s="15">
        <v>-2.5146019005948799E-3</v>
      </c>
      <c r="W122" s="15">
        <v>-2.9012162624970001E-3</v>
      </c>
      <c r="X122" s="34">
        <v>1.21830351775709</v>
      </c>
      <c r="Y122" s="34">
        <v>1.2179193246936699</v>
      </c>
      <c r="Z122" s="34">
        <v>1.2180836937533299</v>
      </c>
      <c r="AA122" s="34">
        <v>1.2181573368826299</v>
      </c>
      <c r="AB122" s="33">
        <v>26.339064333236301</v>
      </c>
      <c r="AC122" s="33">
        <v>26.343884504976302</v>
      </c>
      <c r="AD122" s="33">
        <v>26.3443671568462</v>
      </c>
      <c r="AE122" s="15">
        <v>-3.1540059465231401E-4</v>
      </c>
      <c r="AF122" s="15">
        <v>-1.3241266934706101E-4</v>
      </c>
      <c r="AG122" s="15">
        <v>-1.1409162605410199E-4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0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1.0668822742460687E-3</v>
      </c>
      <c r="BE122" s="29">
        <f t="shared" si="42"/>
        <v>0</v>
      </c>
      <c r="BF122" s="29">
        <f t="shared" si="43"/>
        <v>1.0668822742460687E-3</v>
      </c>
      <c r="BH122" s="29"/>
    </row>
    <row r="123" spans="1:60" x14ac:dyDescent="0.25">
      <c r="A123" s="1">
        <v>46202</v>
      </c>
      <c r="B123" s="33">
        <v>21.14</v>
      </c>
      <c r="C123" s="33">
        <v>25.85</v>
      </c>
      <c r="D123" s="15">
        <v>9.4652160403087802E-4</v>
      </c>
      <c r="E123" s="15">
        <v>7.7399384668908099E-4</v>
      </c>
      <c r="F123" s="33">
        <v>0</v>
      </c>
      <c r="G123" s="33">
        <v>0.50627999999999995</v>
      </c>
      <c r="H123" s="33">
        <v>0</v>
      </c>
      <c r="I123" s="33">
        <v>0.51737299999999997</v>
      </c>
      <c r="J123" s="33">
        <v>0.50627999999999995</v>
      </c>
      <c r="K123" s="33">
        <v>0.51737299999999997</v>
      </c>
      <c r="L123" s="33">
        <v>21.646280000000001</v>
      </c>
      <c r="M123" s="33">
        <v>26.367373000000001</v>
      </c>
      <c r="N123" s="34">
        <v>1.2228003784295101</v>
      </c>
      <c r="O123" s="34">
        <v>1.2195304988600599</v>
      </c>
      <c r="P123" s="34">
        <v>1.2208553940321201</v>
      </c>
      <c r="Q123" s="34">
        <v>1.2194813940607601</v>
      </c>
      <c r="R123" s="33">
        <v>25.780874745901698</v>
      </c>
      <c r="S123" s="33">
        <v>25.798536748455799</v>
      </c>
      <c r="T123" s="33">
        <v>25.7794478867248</v>
      </c>
      <c r="U123" s="15">
        <v>-2.6776728358918799E-3</v>
      </c>
      <c r="V123" s="15">
        <v>-1.9928258113628898E-3</v>
      </c>
      <c r="W123" s="15">
        <v>-2.7330200138925699E-3</v>
      </c>
      <c r="X123" s="34">
        <v>1.21810181703276</v>
      </c>
      <c r="Y123" s="34">
        <v>1.2179193246936699</v>
      </c>
      <c r="Z123" s="34">
        <v>1.2180877268577299</v>
      </c>
      <c r="AA123" s="34">
        <v>1.2181733967089301</v>
      </c>
      <c r="AB123" s="33">
        <v>26.363422719730199</v>
      </c>
      <c r="AC123" s="33">
        <v>26.366980698418899</v>
      </c>
      <c r="AD123" s="33">
        <v>26.3685747982158</v>
      </c>
      <c r="AE123" s="15">
        <v>-1.4982820658126199E-4</v>
      </c>
      <c r="AF123" s="15">
        <v>-1.4878406715361001E-5</v>
      </c>
      <c r="AG123" s="15">
        <v>4.5577950760100397E-5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0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1.0668822742460687E-3</v>
      </c>
      <c r="BE123" s="29">
        <f t="shared" si="42"/>
        <v>0</v>
      </c>
      <c r="BF123" s="29">
        <f t="shared" si="43"/>
        <v>1.0668822742460687E-3</v>
      </c>
      <c r="BH123" s="29"/>
    </row>
    <row r="124" spans="1:60" x14ac:dyDescent="0.25">
      <c r="A124" s="1">
        <v>46203</v>
      </c>
      <c r="B124" s="33">
        <v>21.05</v>
      </c>
      <c r="C124" s="33">
        <v>25.75</v>
      </c>
      <c r="D124" s="15">
        <v>-4.2664203137011397E-3</v>
      </c>
      <c r="E124" s="15">
        <v>-3.8759738446930698E-3</v>
      </c>
      <c r="F124" s="33">
        <v>0</v>
      </c>
      <c r="G124" s="33">
        <v>0.50627999999999995</v>
      </c>
      <c r="H124" s="33">
        <v>0</v>
      </c>
      <c r="I124" s="33">
        <v>0.51737299999999997</v>
      </c>
      <c r="J124" s="33">
        <v>0.50627999999999995</v>
      </c>
      <c r="K124" s="33">
        <v>0.51737299999999997</v>
      </c>
      <c r="L124" s="33">
        <v>21.556280000000001</v>
      </c>
      <c r="M124" s="33">
        <v>26.267372999999999</v>
      </c>
      <c r="N124" s="34">
        <v>1.2232779097387101</v>
      </c>
      <c r="O124" s="34">
        <v>1.2195304988600599</v>
      </c>
      <c r="P124" s="34">
        <v>1.2215078418919301</v>
      </c>
      <c r="Q124" s="34">
        <v>1.21973146379012</v>
      </c>
      <c r="R124" s="33">
        <v>25.671117001004301</v>
      </c>
      <c r="S124" s="33">
        <v>25.699006044376102</v>
      </c>
      <c r="T124" s="33">
        <v>25.670083344979101</v>
      </c>
      <c r="U124" s="15">
        <v>-3.0681193048999501E-3</v>
      </c>
      <c r="V124" s="15">
        <v>-1.9823112725821301E-3</v>
      </c>
      <c r="W124" s="15">
        <v>-3.1083854466461302E-3</v>
      </c>
      <c r="X124" s="34">
        <v>1.2185485157921401</v>
      </c>
      <c r="Y124" s="34">
        <v>1.2179193246936699</v>
      </c>
      <c r="Z124" s="34">
        <v>1.21824946418243</v>
      </c>
      <c r="AA124" s="34">
        <v>1.21817959908722</v>
      </c>
      <c r="AB124" s="33">
        <v>26.2538099805078</v>
      </c>
      <c r="AC124" s="33">
        <v>26.257440104708699</v>
      </c>
      <c r="AD124" s="33">
        <v>26.259286828008701</v>
      </c>
      <c r="AE124" s="15">
        <v>-5.1647807699663597E-4</v>
      </c>
      <c r="AF124" s="15">
        <v>-3.7821725856905498E-4</v>
      </c>
      <c r="AG124" s="15">
        <v>-3.0788830211390901E-4</v>
      </c>
      <c r="AI124" s="12"/>
      <c r="AJ124">
        <f t="shared" si="26"/>
        <v>0</v>
      </c>
      <c r="AK124">
        <f t="shared" si="27"/>
        <v>0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0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1.0668822742460687E-3</v>
      </c>
      <c r="BE124" s="29">
        <f t="shared" si="42"/>
        <v>0</v>
      </c>
      <c r="BF124" s="29">
        <f t="shared" si="43"/>
        <v>1.0668822742460687E-3</v>
      </c>
      <c r="BH124" s="29"/>
    </row>
    <row r="125" spans="1:60" x14ac:dyDescent="0.25">
      <c r="A125" s="1">
        <v>46204</v>
      </c>
      <c r="B125" s="33">
        <v>21.04</v>
      </c>
      <c r="C125" s="33">
        <v>25.61</v>
      </c>
      <c r="D125" s="15">
        <v>-4.7517225888138101E-4</v>
      </c>
      <c r="E125" s="15">
        <v>-5.4517268983113E-3</v>
      </c>
      <c r="F125" s="33">
        <v>0</v>
      </c>
      <c r="G125" s="33">
        <v>0.50627999999999995</v>
      </c>
      <c r="H125" s="33">
        <v>0.10711900000000001</v>
      </c>
      <c r="I125" s="33">
        <v>0.62449199999999905</v>
      </c>
      <c r="J125" s="33">
        <v>0.50627999999999995</v>
      </c>
      <c r="K125" s="33">
        <v>0.62449199999999905</v>
      </c>
      <c r="L125" s="33">
        <v>21.546279999999999</v>
      </c>
      <c r="M125" s="33">
        <v>26.234491999999999</v>
      </c>
      <c r="N125" s="34">
        <v>1.2172053231939099</v>
      </c>
      <c r="O125" s="34">
        <v>1.2195304988600599</v>
      </c>
      <c r="P125" s="34">
        <v>1.2214789652278699</v>
      </c>
      <c r="Q125" s="34">
        <v>1.2197015784346701</v>
      </c>
      <c r="R125" s="33">
        <v>25.6589216960157</v>
      </c>
      <c r="S125" s="33">
        <v>25.700524993406301</v>
      </c>
      <c r="T125" s="33">
        <v>25.663149998144299</v>
      </c>
      <c r="U125" s="15">
        <v>1.9084353345300701E-3</v>
      </c>
      <c r="V125" s="15">
        <v>3.5285192400999199E-3</v>
      </c>
      <c r="W125" s="15">
        <v>2.0732105276810302E-3</v>
      </c>
      <c r="X125" s="34">
        <v>1.2175880012698199</v>
      </c>
      <c r="Y125" s="34">
        <v>1.2179193246936699</v>
      </c>
      <c r="Z125" s="34">
        <v>1.2182425497694001</v>
      </c>
      <c r="AA125" s="34">
        <v>1.2181609861473099</v>
      </c>
      <c r="AB125" s="33">
        <v>26.241630787260799</v>
      </c>
      <c r="AC125" s="33">
        <v>26.248744065124701</v>
      </c>
      <c r="AD125" s="33">
        <v>26.247238732221</v>
      </c>
      <c r="AE125" s="15">
        <v>2.72077544061539E-4</v>
      </c>
      <c r="AF125" s="15">
        <v>5.43109249490748E-4</v>
      </c>
      <c r="AG125" s="15">
        <v>4.8575884574762399E-4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0</v>
      </c>
      <c r="AT125" s="12"/>
      <c r="AU125">
        <f t="shared" si="30"/>
        <v>0</v>
      </c>
      <c r="AV125">
        <f t="shared" si="31"/>
        <v>0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1.0668822742460687E-3</v>
      </c>
      <c r="BE125" s="29">
        <f t="shared" si="42"/>
        <v>0</v>
      </c>
      <c r="BF125" s="29">
        <f t="shared" si="43"/>
        <v>1.0668822742460687E-3</v>
      </c>
      <c r="BH125" s="29"/>
    </row>
    <row r="126" spans="1:60" x14ac:dyDescent="0.25">
      <c r="A126" s="1">
        <v>46205</v>
      </c>
      <c r="B126" s="33">
        <v>21.07</v>
      </c>
      <c r="C126" s="33">
        <v>25.65</v>
      </c>
      <c r="D126" s="15">
        <v>1.42483994658855E-3</v>
      </c>
      <c r="E126" s="15">
        <v>1.56067140534455E-3</v>
      </c>
      <c r="F126" s="33">
        <v>0</v>
      </c>
      <c r="G126" s="33">
        <v>0.50627999999999995</v>
      </c>
      <c r="H126" s="33">
        <v>0</v>
      </c>
      <c r="I126" s="33">
        <v>0.62449199999999905</v>
      </c>
      <c r="J126" s="33">
        <v>0.50627999999999995</v>
      </c>
      <c r="K126" s="33">
        <v>0.62449199999999905</v>
      </c>
      <c r="L126" s="33">
        <v>21.576280000000001</v>
      </c>
      <c r="M126" s="33">
        <v>26.274491999999999</v>
      </c>
      <c r="N126" s="34">
        <v>1.21737066919791</v>
      </c>
      <c r="O126" s="34">
        <v>1.2195304988600599</v>
      </c>
      <c r="P126" s="34">
        <v>1.22141080649446</v>
      </c>
      <c r="Q126" s="34">
        <v>1.2196541175898701</v>
      </c>
      <c r="R126" s="33">
        <v>25.695507610981501</v>
      </c>
      <c r="S126" s="33">
        <v>25.736561797351399</v>
      </c>
      <c r="T126" s="33">
        <v>25.699112257618498</v>
      </c>
      <c r="U126" s="15">
        <v>1.7726038757739399E-3</v>
      </c>
      <c r="V126" s="15">
        <v>3.36904732288773E-3</v>
      </c>
      <c r="W126" s="15">
        <v>1.91287718267536E-3</v>
      </c>
      <c r="X126" s="34">
        <v>1.21774893540499</v>
      </c>
      <c r="Y126" s="34">
        <v>1.2179193246936699</v>
      </c>
      <c r="Z126" s="34">
        <v>1.2181969333075999</v>
      </c>
      <c r="AA126" s="34">
        <v>1.21812506633474</v>
      </c>
      <c r="AB126" s="33">
        <v>26.278168367001602</v>
      </c>
      <c r="AC126" s="33">
        <v>26.2851423617386</v>
      </c>
      <c r="AD126" s="33">
        <v>26.2833825221905</v>
      </c>
      <c r="AE126" s="15">
        <v>1.3991173737020599E-4</v>
      </c>
      <c r="AF126" s="15">
        <v>4.0526773117018203E-4</v>
      </c>
      <c r="AG126" s="15">
        <v>3.38313615464367E-4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0</v>
      </c>
      <c r="AT126" s="12"/>
      <c r="AU126">
        <f t="shared" si="30"/>
        <v>0</v>
      </c>
      <c r="AV126">
        <f t="shared" si="31"/>
        <v>0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1.0668822742460687E-3</v>
      </c>
      <c r="BE126" s="29">
        <f t="shared" si="42"/>
        <v>0</v>
      </c>
      <c r="BF126" s="29">
        <f t="shared" si="43"/>
        <v>1.0668822742460687E-3</v>
      </c>
      <c r="BH126" s="29"/>
    </row>
    <row r="127" spans="1:60" x14ac:dyDescent="0.25">
      <c r="A127" s="1">
        <v>46209</v>
      </c>
      <c r="B127" s="33">
        <v>21.07</v>
      </c>
      <c r="C127" s="33">
        <v>25.68</v>
      </c>
      <c r="D127" s="15">
        <v>0</v>
      </c>
      <c r="E127" s="15">
        <v>1.1689072049819601E-3</v>
      </c>
      <c r="F127" s="33">
        <v>0</v>
      </c>
      <c r="G127" s="33">
        <v>0.50627999999999995</v>
      </c>
      <c r="H127" s="33">
        <v>0</v>
      </c>
      <c r="I127" s="33">
        <v>0.62449199999999905</v>
      </c>
      <c r="J127" s="33">
        <v>0.50627999999999995</v>
      </c>
      <c r="K127" s="33">
        <v>0.62449199999999905</v>
      </c>
      <c r="L127" s="33">
        <v>21.576280000000001</v>
      </c>
      <c r="M127" s="33">
        <v>26.304492</v>
      </c>
      <c r="N127" s="34">
        <v>1.218794494542</v>
      </c>
      <c r="O127" s="34">
        <v>1.2195304988600599</v>
      </c>
      <c r="P127" s="34">
        <v>1.22148930808136</v>
      </c>
      <c r="Q127" s="34">
        <v>1.2196881998323801</v>
      </c>
      <c r="R127" s="33">
        <v>25.695507610981501</v>
      </c>
      <c r="S127" s="33">
        <v>25.735125692838299</v>
      </c>
      <c r="T127" s="33">
        <v>25.698112257618501</v>
      </c>
      <c r="U127" s="15">
        <v>6.0369667079197495E-4</v>
      </c>
      <c r="V127" s="15">
        <v>2.14433839142417E-3</v>
      </c>
      <c r="W127" s="15">
        <v>7.0505737065826898E-4</v>
      </c>
      <c r="X127" s="34">
        <v>1.2191393511763799</v>
      </c>
      <c r="Y127" s="34">
        <v>1.2179193246936699</v>
      </c>
      <c r="Z127" s="34">
        <v>1.2182945878275699</v>
      </c>
      <c r="AA127" s="34">
        <v>1.2181688228854</v>
      </c>
      <c r="AB127" s="33">
        <v>26.278168367001602</v>
      </c>
      <c r="AC127" s="33">
        <v>26.284158128186199</v>
      </c>
      <c r="AD127" s="33">
        <v>26.282607506256898</v>
      </c>
      <c r="AE127" s="15">
        <v>-1.0012287325752E-3</v>
      </c>
      <c r="AF127" s="15">
        <v>-7.7331792230949205E-4</v>
      </c>
      <c r="AG127" s="15">
        <v>-8.3231420678787698E-4</v>
      </c>
      <c r="AI127" s="12"/>
      <c r="AJ127">
        <f t="shared" si="26"/>
        <v>0</v>
      </c>
      <c r="AK127">
        <f t="shared" si="27"/>
        <v>0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0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1.0668822742460687E-3</v>
      </c>
      <c r="BE127" s="29">
        <f t="shared" si="42"/>
        <v>0</v>
      </c>
      <c r="BF127" s="29">
        <f t="shared" si="43"/>
        <v>1.0668822742460687E-3</v>
      </c>
      <c r="BH127" s="29"/>
    </row>
    <row r="128" spans="1:60" x14ac:dyDescent="0.25">
      <c r="A128" s="1">
        <v>46210</v>
      </c>
      <c r="B128" s="33">
        <v>20.98</v>
      </c>
      <c r="C128" s="33">
        <v>25.53</v>
      </c>
      <c r="D128" s="15">
        <v>-4.28062484794657E-3</v>
      </c>
      <c r="E128" s="15">
        <v>-5.8582475683678697E-3</v>
      </c>
      <c r="F128" s="33">
        <v>0</v>
      </c>
      <c r="G128" s="33">
        <v>0.50627999999999995</v>
      </c>
      <c r="H128" s="33">
        <v>0</v>
      </c>
      <c r="I128" s="33">
        <v>0.62449199999999905</v>
      </c>
      <c r="J128" s="33">
        <v>0.50627999999999995</v>
      </c>
      <c r="K128" s="33">
        <v>0.62449199999999905</v>
      </c>
      <c r="L128" s="33">
        <v>21.486280000000001</v>
      </c>
      <c r="M128" s="33">
        <v>26.154492000000001</v>
      </c>
      <c r="N128" s="34">
        <v>1.2168732125834101</v>
      </c>
      <c r="O128" s="34">
        <v>1.2195304988600599</v>
      </c>
      <c r="P128" s="34">
        <v>1.2208113456010301</v>
      </c>
      <c r="Q128" s="34">
        <v>1.21959287094772</v>
      </c>
      <c r="R128" s="33">
        <v>25.5857498660841</v>
      </c>
      <c r="S128" s="33">
        <v>25.626845683547</v>
      </c>
      <c r="T128" s="33">
        <v>25.589058432483299</v>
      </c>
      <c r="U128" s="15">
        <v>2.18131939121335E-3</v>
      </c>
      <c r="V128" s="15">
        <v>3.7862302863895E-3</v>
      </c>
      <c r="W128" s="15">
        <v>2.3106238874622898E-3</v>
      </c>
      <c r="X128" s="34">
        <v>1.21726478478359</v>
      </c>
      <c r="Y128" s="34">
        <v>1.2179193246936699</v>
      </c>
      <c r="Z128" s="34">
        <v>1.2181313675312799</v>
      </c>
      <c r="AA128" s="34">
        <v>1.2180861228084601</v>
      </c>
      <c r="AB128" s="33">
        <v>26.168555627779199</v>
      </c>
      <c r="AC128" s="33">
        <v>26.176618636547701</v>
      </c>
      <c r="AD128" s="33">
        <v>26.173916415786302</v>
      </c>
      <c r="AE128" s="15">
        <v>5.3756914994627697E-4</v>
      </c>
      <c r="AF128" s="15">
        <v>8.4563991083666805E-4</v>
      </c>
      <c r="AG128" s="15">
        <v>7.4240426057484502E-4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0</v>
      </c>
      <c r="AT128" s="12"/>
      <c r="AU128">
        <f t="shared" si="30"/>
        <v>0</v>
      </c>
      <c r="AV128">
        <f t="shared" si="31"/>
        <v>0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1.0668822742460687E-3</v>
      </c>
      <c r="BE128" s="29">
        <f t="shared" si="42"/>
        <v>0</v>
      </c>
      <c r="BF128" s="29">
        <f t="shared" si="43"/>
        <v>1.0668822742460687E-3</v>
      </c>
      <c r="BH128" s="29"/>
    </row>
    <row r="129" spans="1:60" x14ac:dyDescent="0.25">
      <c r="A129" s="1">
        <v>46211</v>
      </c>
      <c r="B129" s="33">
        <v>20.94</v>
      </c>
      <c r="C129" s="33">
        <v>25.5</v>
      </c>
      <c r="D129" s="15">
        <v>-1.9083975257602501E-3</v>
      </c>
      <c r="E129" s="15">
        <v>-1.1757790890120599E-3</v>
      </c>
      <c r="F129" s="33">
        <v>0</v>
      </c>
      <c r="G129" s="33">
        <v>0.50627999999999995</v>
      </c>
      <c r="H129" s="33">
        <v>0</v>
      </c>
      <c r="I129" s="33">
        <v>0.62449199999999905</v>
      </c>
      <c r="J129" s="33">
        <v>0.50627999999999995</v>
      </c>
      <c r="K129" s="33">
        <v>0.62449199999999905</v>
      </c>
      <c r="L129" s="33">
        <v>21.446280000000002</v>
      </c>
      <c r="M129" s="33">
        <v>26.124492</v>
      </c>
      <c r="N129" s="34">
        <v>1.21776504297994</v>
      </c>
      <c r="O129" s="34">
        <v>1.2195304988600599</v>
      </c>
      <c r="P129" s="34">
        <v>1.22025451656569</v>
      </c>
      <c r="Q129" s="34">
        <v>1.21961880770844</v>
      </c>
      <c r="R129" s="33">
        <v>25.536968646129701</v>
      </c>
      <c r="S129" s="33">
        <v>25.5637895768856</v>
      </c>
      <c r="T129" s="33">
        <v>25.5382747176454</v>
      </c>
      <c r="U129" s="15">
        <v>1.4487009544651101E-3</v>
      </c>
      <c r="V129" s="15">
        <v>2.4984283617080099E-3</v>
      </c>
      <c r="W129" s="15">
        <v>1.49984399089484E-3</v>
      </c>
      <c r="X129" s="34">
        <v>1.21813629216815</v>
      </c>
      <c r="Y129" s="34">
        <v>1.2179193246936699</v>
      </c>
      <c r="Z129" s="34">
        <v>1.21808583282016</v>
      </c>
      <c r="AA129" s="34">
        <v>1.2181221641236899</v>
      </c>
      <c r="AB129" s="33">
        <v>26.119838854791499</v>
      </c>
      <c r="AC129" s="33">
        <v>26.124386384858699</v>
      </c>
      <c r="AD129" s="33">
        <v>26.123416053864698</v>
      </c>
      <c r="AE129" s="15">
        <v>-1.7813014903864799E-4</v>
      </c>
      <c r="AF129" s="15">
        <v>-4.0427716154471501E-6</v>
      </c>
      <c r="AG129" s="15">
        <v>-4.1186190048481599E-5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0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1.0668822742460687E-3</v>
      </c>
      <c r="BE129" s="29">
        <f t="shared" si="42"/>
        <v>0</v>
      </c>
      <c r="BF129" s="29">
        <f t="shared" si="43"/>
        <v>1.0668822742460687E-3</v>
      </c>
      <c r="BH129" s="29"/>
    </row>
    <row r="130" spans="1:60" x14ac:dyDescent="0.25">
      <c r="A130" s="1">
        <v>46212</v>
      </c>
      <c r="B130" s="33">
        <v>20.96</v>
      </c>
      <c r="C130" s="33">
        <v>25.53</v>
      </c>
      <c r="D130" s="15">
        <v>9.54654010450542E-4</v>
      </c>
      <c r="E130" s="15">
        <v>1.17577908901203E-3</v>
      </c>
      <c r="F130" s="33">
        <v>0</v>
      </c>
      <c r="G130" s="33">
        <v>0.50627999999999995</v>
      </c>
      <c r="H130" s="33">
        <v>0</v>
      </c>
      <c r="I130" s="33">
        <v>0.62449199999999905</v>
      </c>
      <c r="J130" s="33">
        <v>0.50627999999999995</v>
      </c>
      <c r="K130" s="33">
        <v>0.62449199999999905</v>
      </c>
      <c r="L130" s="33">
        <v>21.466280000000001</v>
      </c>
      <c r="M130" s="33">
        <v>26.154492000000001</v>
      </c>
      <c r="N130" s="34">
        <v>1.21803435114503</v>
      </c>
      <c r="O130" s="34">
        <v>1.2195304988600599</v>
      </c>
      <c r="P130" s="34">
        <v>1.2197407626963399</v>
      </c>
      <c r="Q130" s="34">
        <v>1.21963131936935</v>
      </c>
      <c r="R130" s="33">
        <v>25.561359256106901</v>
      </c>
      <c r="S130" s="33">
        <v>25.576534667216901</v>
      </c>
      <c r="T130" s="33">
        <v>25.563210209569</v>
      </c>
      <c r="U130" s="15">
        <v>1.22757587590359E-3</v>
      </c>
      <c r="V130" s="15">
        <v>1.82108532227344E-3</v>
      </c>
      <c r="W130" s="15">
        <v>1.2999854231038901E-3</v>
      </c>
      <c r="X130" s="34">
        <v>1.2183989028373801</v>
      </c>
      <c r="Y130" s="34">
        <v>1.2179193246936699</v>
      </c>
      <c r="Z130" s="34">
        <v>1.2180810053315201</v>
      </c>
      <c r="AA130" s="34">
        <v>1.2181449902942301</v>
      </c>
      <c r="AB130" s="33">
        <v>26.144197241285301</v>
      </c>
      <c r="AC130" s="33">
        <v>26.1477715513508</v>
      </c>
      <c r="AD130" s="33">
        <v>26.148551449285101</v>
      </c>
      <c r="AE130" s="15">
        <v>-3.9369089347880801E-4</v>
      </c>
      <c r="AF130" s="15">
        <v>-2.56985003318007E-4</v>
      </c>
      <c r="AG130" s="15">
        <v>-2.2715889357911501E-4</v>
      </c>
      <c r="AI130" s="12"/>
      <c r="AJ130">
        <f t="shared" si="26"/>
        <v>0</v>
      </c>
      <c r="AK130">
        <f t="shared" si="27"/>
        <v>0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0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1.0668822742460687E-3</v>
      </c>
      <c r="BE130" s="29">
        <f t="shared" si="42"/>
        <v>0</v>
      </c>
      <c r="BF130" s="29">
        <f t="shared" si="43"/>
        <v>1.0668822742460687E-3</v>
      </c>
      <c r="BH130" s="29"/>
    </row>
    <row r="131" spans="1:60" x14ac:dyDescent="0.25">
      <c r="A131" s="1">
        <v>46213</v>
      </c>
      <c r="B131" s="33">
        <v>20.94</v>
      </c>
      <c r="C131" s="33">
        <v>25.51</v>
      </c>
      <c r="D131" s="15">
        <v>-9.5465401045054905E-4</v>
      </c>
      <c r="E131" s="15">
        <v>-7.8369909967243795E-4</v>
      </c>
      <c r="F131" s="33">
        <v>0</v>
      </c>
      <c r="G131" s="33">
        <v>0.50627999999999995</v>
      </c>
      <c r="H131" s="33">
        <v>0</v>
      </c>
      <c r="I131" s="33">
        <v>0.62449199999999905</v>
      </c>
      <c r="J131" s="33">
        <v>0.50627999999999995</v>
      </c>
      <c r="K131" s="33">
        <v>0.62449199999999905</v>
      </c>
      <c r="L131" s="33">
        <v>21.446280000000002</v>
      </c>
      <c r="M131" s="33">
        <v>26.134492000000002</v>
      </c>
      <c r="N131" s="34">
        <v>1.2182425978987499</v>
      </c>
      <c r="O131" s="34">
        <v>1.2195304988600599</v>
      </c>
      <c r="P131" s="34">
        <v>1.2193375343345501</v>
      </c>
      <c r="Q131" s="34">
        <v>1.21963868735953</v>
      </c>
      <c r="R131" s="33">
        <v>25.536968646129701</v>
      </c>
      <c r="S131" s="33">
        <v>25.541371570861301</v>
      </c>
      <c r="T131" s="33">
        <v>25.5390798275943</v>
      </c>
      <c r="U131" s="15">
        <v>1.0566209651254E-3</v>
      </c>
      <c r="V131" s="15">
        <v>1.22901986156077E-3</v>
      </c>
      <c r="W131" s="15">
        <v>1.13928912481853E-3</v>
      </c>
      <c r="X131" s="34">
        <v>1.21860257349992</v>
      </c>
      <c r="Y131" s="34">
        <v>1.2179193246936699</v>
      </c>
      <c r="Z131" s="34">
        <v>1.2181832691722201</v>
      </c>
      <c r="AA131" s="34">
        <v>1.2181627393941601</v>
      </c>
      <c r="AB131" s="33">
        <v>26.119838854791499</v>
      </c>
      <c r="AC131" s="33">
        <v>26.123306303021401</v>
      </c>
      <c r="AD131" s="33">
        <v>26.124678542447501</v>
      </c>
      <c r="AE131" s="15">
        <v>-5.6083946929858495E-4</v>
      </c>
      <c r="AF131" s="15">
        <v>-4.2809676307146901E-4</v>
      </c>
      <c r="AG131" s="15">
        <v>-3.7556882614015201E-4</v>
      </c>
      <c r="AI131" s="12"/>
      <c r="AJ131">
        <f t="shared" si="26"/>
        <v>0</v>
      </c>
      <c r="AK131">
        <f t="shared" si="27"/>
        <v>0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0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1.0668822742460687E-3</v>
      </c>
      <c r="BE131" s="29">
        <f t="shared" si="42"/>
        <v>0</v>
      </c>
      <c r="BF131" s="29">
        <f t="shared" si="43"/>
        <v>1.0668822742460687E-3</v>
      </c>
      <c r="BH131" s="29"/>
    </row>
    <row r="132" spans="1:60" x14ac:dyDescent="0.25">
      <c r="A132" s="1">
        <v>46216</v>
      </c>
      <c r="B132" s="33">
        <v>20.87</v>
      </c>
      <c r="C132" s="33">
        <v>25.4</v>
      </c>
      <c r="D132" s="15">
        <v>-3.3484843532814801E-3</v>
      </c>
      <c r="E132" s="15">
        <v>-4.3213581292291898E-3</v>
      </c>
      <c r="F132" s="33">
        <v>0</v>
      </c>
      <c r="G132" s="33">
        <v>0.50627999999999995</v>
      </c>
      <c r="H132" s="33">
        <v>0</v>
      </c>
      <c r="I132" s="33">
        <v>0.62449199999999905</v>
      </c>
      <c r="J132" s="33">
        <v>0.50627999999999995</v>
      </c>
      <c r="K132" s="33">
        <v>0.62449199999999905</v>
      </c>
      <c r="L132" s="33">
        <v>21.376280000000001</v>
      </c>
      <c r="M132" s="33">
        <v>26.024491999999999</v>
      </c>
      <c r="N132" s="34">
        <v>1.21705797795879</v>
      </c>
      <c r="O132" s="34">
        <v>1.2195304988600599</v>
      </c>
      <c r="P132" s="34">
        <v>1.2187421957668001</v>
      </c>
      <c r="Q132" s="34">
        <v>1.2195540862574701</v>
      </c>
      <c r="R132" s="33">
        <v>25.4516015112095</v>
      </c>
      <c r="S132" s="33">
        <v>25.447574341562198</v>
      </c>
      <c r="T132" s="33">
        <v>25.453859405193398</v>
      </c>
      <c r="U132" s="15">
        <v>2.0294947410732498E-3</v>
      </c>
      <c r="V132" s="15">
        <v>1.87125368556645E-3</v>
      </c>
      <c r="W132" s="15">
        <v>2.1182040443511502E-3</v>
      </c>
      <c r="X132" s="34">
        <v>1.2174471891273799</v>
      </c>
      <c r="Y132" s="34">
        <v>1.2179193246936699</v>
      </c>
      <c r="Z132" s="34">
        <v>1.2180976363092499</v>
      </c>
      <c r="AA132" s="34">
        <v>1.2180906650312899</v>
      </c>
      <c r="AB132" s="33">
        <v>26.034584502062899</v>
      </c>
      <c r="AC132" s="33">
        <v>26.040226653140799</v>
      </c>
      <c r="AD132" s="33">
        <v>26.039787802856601</v>
      </c>
      <c r="AE132" s="15">
        <v>3.87732663255807E-4</v>
      </c>
      <c r="AF132" s="15">
        <v>6.0442672223928902E-4</v>
      </c>
      <c r="AG132" s="15">
        <v>5.8757379741291096E-4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0</v>
      </c>
      <c r="AT132" s="12"/>
      <c r="AU132">
        <f t="shared" si="30"/>
        <v>0</v>
      </c>
      <c r="AV132">
        <f t="shared" si="31"/>
        <v>0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1.0668822742460687E-3</v>
      </c>
      <c r="BE132" s="29">
        <f t="shared" si="42"/>
        <v>0</v>
      </c>
      <c r="BF132" s="29">
        <f t="shared" si="43"/>
        <v>1.0668822742460687E-3</v>
      </c>
      <c r="BH132" s="29"/>
    </row>
    <row r="133" spans="1:60" x14ac:dyDescent="0.25">
      <c r="A133" s="1">
        <v>46217</v>
      </c>
      <c r="B133" s="33">
        <v>20.91</v>
      </c>
      <c r="C133" s="33">
        <v>25.46</v>
      </c>
      <c r="D133" s="15">
        <v>1.91479235143288E-3</v>
      </c>
      <c r="E133" s="15">
        <v>2.35941910476973E-3</v>
      </c>
      <c r="F133" s="33">
        <v>0</v>
      </c>
      <c r="G133" s="33">
        <v>0.50627999999999995</v>
      </c>
      <c r="H133" s="33">
        <v>0</v>
      </c>
      <c r="I133" s="33">
        <v>0.62449199999999905</v>
      </c>
      <c r="J133" s="33">
        <v>0.50627999999999995</v>
      </c>
      <c r="K133" s="33">
        <v>0.62449199999999905</v>
      </c>
      <c r="L133" s="33">
        <v>21.41628</v>
      </c>
      <c r="M133" s="33">
        <v>26.084492000000001</v>
      </c>
      <c r="N133" s="34">
        <v>1.21759923481587</v>
      </c>
      <c r="O133" s="34">
        <v>1.2195304988600599</v>
      </c>
      <c r="P133" s="34">
        <v>1.2182220814054301</v>
      </c>
      <c r="Q133" s="34">
        <v>1.2195387377187701</v>
      </c>
      <c r="R133" s="33">
        <v>25.500382731163899</v>
      </c>
      <c r="S133" s="33">
        <v>25.4838993134838</v>
      </c>
      <c r="T133" s="33">
        <v>25.500875943643699</v>
      </c>
      <c r="U133" s="15">
        <v>1.5848679877365E-3</v>
      </c>
      <c r="V133" s="15">
        <v>9.3826014730531303E-4</v>
      </c>
      <c r="W133" s="15">
        <v>1.60420917627607E-3</v>
      </c>
      <c r="X133" s="34">
        <v>1.21797492374959</v>
      </c>
      <c r="Y133" s="34">
        <v>1.2179193246936699</v>
      </c>
      <c r="Z133" s="34">
        <v>1.2180849469809301</v>
      </c>
      <c r="AA133" s="34">
        <v>1.21808633691933</v>
      </c>
      <c r="AB133" s="33">
        <v>26.083301275050601</v>
      </c>
      <c r="AC133" s="33">
        <v>26.087120046537098</v>
      </c>
      <c r="AD133" s="33">
        <v>26.086970747696402</v>
      </c>
      <c r="AE133" s="15">
        <v>-4.5649810918151397E-5</v>
      </c>
      <c r="AF133" s="15">
        <v>1.0074622716506E-4</v>
      </c>
      <c r="AG133" s="15">
        <v>9.5023124433400597E-5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0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1.0668822742460687E-3</v>
      </c>
      <c r="BE133" s="29">
        <f t="shared" si="42"/>
        <v>0</v>
      </c>
      <c r="BF133" s="29">
        <f t="shared" si="43"/>
        <v>1.0668822742460687E-3</v>
      </c>
      <c r="BH133" s="29"/>
    </row>
    <row r="134" spans="1:60" x14ac:dyDescent="0.25">
      <c r="A134" s="1">
        <v>46218</v>
      </c>
      <c r="B134" s="33">
        <v>20.98</v>
      </c>
      <c r="C134" s="33">
        <v>25.54</v>
      </c>
      <c r="D134" s="15">
        <v>3.3420895276089699E-3</v>
      </c>
      <c r="E134" s="15">
        <v>3.1372574751326499E-3</v>
      </c>
      <c r="F134" s="33">
        <v>0</v>
      </c>
      <c r="G134" s="33">
        <v>0.50627999999999995</v>
      </c>
      <c r="H134" s="33">
        <v>0</v>
      </c>
      <c r="I134" s="33">
        <v>0.62449199999999905</v>
      </c>
      <c r="J134" s="33">
        <v>0.50627999999999995</v>
      </c>
      <c r="K134" s="33">
        <v>0.62449199999999905</v>
      </c>
      <c r="L134" s="33">
        <v>21.486280000000001</v>
      </c>
      <c r="M134" s="33">
        <v>26.164491999999999</v>
      </c>
      <c r="N134" s="34">
        <v>1.2173498570066701</v>
      </c>
      <c r="O134" s="34">
        <v>1.2195304988600599</v>
      </c>
      <c r="P134" s="34">
        <v>1.21762927613223</v>
      </c>
      <c r="Q134" s="34">
        <v>1.2195685590120799</v>
      </c>
      <c r="R134" s="33">
        <v>25.5857498660841</v>
      </c>
      <c r="S134" s="33">
        <v>25.558299267885999</v>
      </c>
      <c r="T134" s="33">
        <v>25.585922717340001</v>
      </c>
      <c r="U134" s="15">
        <v>1.78970004021274E-3</v>
      </c>
      <c r="V134" s="15">
        <v>7.1623787603659601E-4</v>
      </c>
      <c r="W134" s="15">
        <v>1.7964557801430599E-3</v>
      </c>
      <c r="X134" s="34">
        <v>1.21773019806127</v>
      </c>
      <c r="Y134" s="34">
        <v>1.2179193246936699</v>
      </c>
      <c r="Z134" s="34">
        <v>1.2180031152078501</v>
      </c>
      <c r="AA134" s="34">
        <v>1.2181262896951399</v>
      </c>
      <c r="AB134" s="33">
        <v>26.168555627779199</v>
      </c>
      <c r="AC134" s="33">
        <v>26.172114234617599</v>
      </c>
      <c r="AD134" s="33">
        <v>26.1721440992231</v>
      </c>
      <c r="AE134" s="15">
        <v>1.5529872505519601E-4</v>
      </c>
      <c r="AF134" s="15">
        <v>2.91277376195242E-4</v>
      </c>
      <c r="AG134" s="15">
        <v>2.92418460489966E-4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0</v>
      </c>
      <c r="AT134" s="12"/>
      <c r="AU134">
        <f t="shared" si="30"/>
        <v>0</v>
      </c>
      <c r="AV134">
        <f t="shared" si="31"/>
        <v>0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1.0668822742460687E-3</v>
      </c>
      <c r="BE134" s="29">
        <f t="shared" si="42"/>
        <v>0</v>
      </c>
      <c r="BF134" s="29">
        <f t="shared" si="43"/>
        <v>1.0668822742460687E-3</v>
      </c>
      <c r="BH134" s="29"/>
    </row>
    <row r="135" spans="1:60" x14ac:dyDescent="0.25">
      <c r="A135" s="1">
        <v>46219</v>
      </c>
      <c r="B135" s="33">
        <v>20.96</v>
      </c>
      <c r="C135" s="33">
        <v>25.53</v>
      </c>
      <c r="D135" s="15">
        <v>-9.5374351530966804E-4</v>
      </c>
      <c r="E135" s="15">
        <v>-3.9161935100074502E-4</v>
      </c>
      <c r="F135" s="33">
        <v>0</v>
      </c>
      <c r="G135" s="33">
        <v>0.50627999999999995</v>
      </c>
      <c r="H135" s="33">
        <v>0</v>
      </c>
      <c r="I135" s="33">
        <v>0.62449199999999905</v>
      </c>
      <c r="J135" s="33">
        <v>0.50627999999999995</v>
      </c>
      <c r="K135" s="33">
        <v>0.62449199999999905</v>
      </c>
      <c r="L135" s="33">
        <v>21.466280000000001</v>
      </c>
      <c r="M135" s="33">
        <v>26.154492000000001</v>
      </c>
      <c r="N135" s="34">
        <v>1.21803435114503</v>
      </c>
      <c r="O135" s="34">
        <v>1.2195304988600599</v>
      </c>
      <c r="P135" s="34">
        <v>1.21771217892734</v>
      </c>
      <c r="Q135" s="34">
        <v>1.2195955720776099</v>
      </c>
      <c r="R135" s="33">
        <v>25.561359256106901</v>
      </c>
      <c r="S135" s="33">
        <v>25.521509627731501</v>
      </c>
      <c r="T135" s="33">
        <v>25.5621569968933</v>
      </c>
      <c r="U135" s="15">
        <v>1.22757587590359E-3</v>
      </c>
      <c r="V135" s="15">
        <v>-3.3261983469634902E-4</v>
      </c>
      <c r="W135" s="15">
        <v>1.2587842451606201E-3</v>
      </c>
      <c r="X135" s="34">
        <v>1.2183989028373801</v>
      </c>
      <c r="Y135" s="34">
        <v>1.2179193246936699</v>
      </c>
      <c r="Z135" s="34">
        <v>1.2180842053645999</v>
      </c>
      <c r="AA135" s="34">
        <v>1.218163377567</v>
      </c>
      <c r="AB135" s="33">
        <v>26.144197241285301</v>
      </c>
      <c r="AC135" s="33">
        <v>26.145995911923901</v>
      </c>
      <c r="AD135" s="33">
        <v>26.148640009956999</v>
      </c>
      <c r="AE135" s="15">
        <v>-3.9369089347880801E-4</v>
      </c>
      <c r="AF135" s="15">
        <v>-3.2489517746199102E-4</v>
      </c>
      <c r="AG135" s="15">
        <v>-2.2377207033129199E-4</v>
      </c>
      <c r="AI135" s="12"/>
      <c r="AJ135">
        <f t="shared" si="26"/>
        <v>0</v>
      </c>
      <c r="AK135">
        <f t="shared" si="27"/>
        <v>0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0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1.0668822742460687E-3</v>
      </c>
      <c r="BE135" s="29">
        <f t="shared" si="42"/>
        <v>0</v>
      </c>
      <c r="BF135" s="29">
        <f t="shared" si="43"/>
        <v>1.0668822742460687E-3</v>
      </c>
      <c r="BH135" s="29"/>
    </row>
    <row r="136" spans="1:60" x14ac:dyDescent="0.25">
      <c r="A136" s="1">
        <v>46220</v>
      </c>
      <c r="B136" s="33">
        <v>20.98</v>
      </c>
      <c r="C136" s="33">
        <v>25.54</v>
      </c>
      <c r="D136" s="15">
        <v>9.5374351530963498E-4</v>
      </c>
      <c r="E136" s="15">
        <v>3.9161935100072101E-4</v>
      </c>
      <c r="F136" s="33">
        <v>0</v>
      </c>
      <c r="G136" s="33">
        <v>0.50627999999999995</v>
      </c>
      <c r="H136" s="33">
        <v>0</v>
      </c>
      <c r="I136" s="33">
        <v>0.62449199999999905</v>
      </c>
      <c r="J136" s="33">
        <v>0.50627999999999995</v>
      </c>
      <c r="K136" s="33">
        <v>0.62449199999999905</v>
      </c>
      <c r="L136" s="33">
        <v>21.486280000000001</v>
      </c>
      <c r="M136" s="33">
        <v>26.164491999999999</v>
      </c>
      <c r="N136" s="34">
        <v>1.2173498570066701</v>
      </c>
      <c r="O136" s="34">
        <v>1.2195304988600599</v>
      </c>
      <c r="P136" s="34">
        <v>1.21771009770822</v>
      </c>
      <c r="Q136" s="34">
        <v>1.2195604521013399</v>
      </c>
      <c r="R136" s="33">
        <v>25.5857498660841</v>
      </c>
      <c r="S136" s="33">
        <v>25.5476015138956</v>
      </c>
      <c r="T136" s="33">
        <v>25.5871151021882</v>
      </c>
      <c r="U136" s="15">
        <v>1.78970004021274E-3</v>
      </c>
      <c r="V136" s="15">
        <v>2.9758742734184798E-4</v>
      </c>
      <c r="W136" s="15">
        <v>1.84305785417713E-3</v>
      </c>
      <c r="X136" s="34">
        <v>1.21773019806127</v>
      </c>
      <c r="Y136" s="34">
        <v>1.2179193246936699</v>
      </c>
      <c r="Z136" s="34">
        <v>1.2180823316302301</v>
      </c>
      <c r="AA136" s="34">
        <v>1.21813963246892</v>
      </c>
      <c r="AB136" s="33">
        <v>26.168555627779199</v>
      </c>
      <c r="AC136" s="33">
        <v>26.172098300041402</v>
      </c>
      <c r="AD136" s="33">
        <v>26.173799416150398</v>
      </c>
      <c r="AE136" s="15">
        <v>1.5529872505519601E-4</v>
      </c>
      <c r="AF136" s="15">
        <v>2.9066853806826399E-4</v>
      </c>
      <c r="AG136" s="15">
        <v>3.5566374051245597E-4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0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0</v>
      </c>
      <c r="AT136" s="12"/>
      <c r="AU136">
        <f t="shared" si="30"/>
        <v>0</v>
      </c>
      <c r="AV136">
        <f t="shared" si="31"/>
        <v>0</v>
      </c>
      <c r="AW136">
        <f t="shared" si="38"/>
        <v>0</v>
      </c>
      <c r="AX136">
        <f t="shared" si="25"/>
        <v>0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1.0668822742460687E-3</v>
      </c>
      <c r="BE136" s="29">
        <f t="shared" si="42"/>
        <v>0</v>
      </c>
      <c r="BF136" s="29">
        <f t="shared" si="43"/>
        <v>1.0668822742460687E-3</v>
      </c>
      <c r="BH136" s="29"/>
    </row>
    <row r="137" spans="1:60" x14ac:dyDescent="0.25">
      <c r="A137" s="1">
        <v>46223</v>
      </c>
      <c r="B137" s="33">
        <v>20.84</v>
      </c>
      <c r="C137" s="33">
        <v>25.48</v>
      </c>
      <c r="D137" s="15">
        <v>-6.6953860829849204E-3</v>
      </c>
      <c r="E137" s="15">
        <v>-2.3520199004305698E-3</v>
      </c>
      <c r="F137" s="33">
        <v>8.7970000000000007E-2</v>
      </c>
      <c r="G137" s="33">
        <v>0.59424999999999994</v>
      </c>
      <c r="H137" s="33">
        <v>0</v>
      </c>
      <c r="I137" s="33">
        <v>0.62449199999999905</v>
      </c>
      <c r="J137" s="33">
        <v>0.59424999999999994</v>
      </c>
      <c r="K137" s="33">
        <v>0.62449199999999905</v>
      </c>
      <c r="L137" s="33">
        <v>21.434249999999999</v>
      </c>
      <c r="M137" s="33">
        <v>26.104492</v>
      </c>
      <c r="N137" s="34">
        <v>1.22264875239923</v>
      </c>
      <c r="O137" s="34">
        <v>1.2195304988600599</v>
      </c>
      <c r="P137" s="34">
        <v>1.2180955234939399</v>
      </c>
      <c r="Q137" s="34">
        <v>1.2197924157876501</v>
      </c>
      <c r="R137" s="33">
        <v>25.415015596243698</v>
      </c>
      <c r="S137" s="33">
        <v>25.377078436239302</v>
      </c>
      <c r="T137" s="33">
        <v>25.415639821791899</v>
      </c>
      <c r="U137" s="15">
        <v>-2.55366614234174E-3</v>
      </c>
      <c r="V137" s="15">
        <v>-4.0474878790420299E-3</v>
      </c>
      <c r="W137" s="15">
        <v>-2.52910515475804E-3</v>
      </c>
      <c r="X137" s="34">
        <v>1.2178868866417001</v>
      </c>
      <c r="Y137" s="34">
        <v>1.2179193246936699</v>
      </c>
      <c r="Z137" s="34">
        <v>1.21795708517676</v>
      </c>
      <c r="AA137" s="34">
        <v>1.2181258365021601</v>
      </c>
      <c r="AB137" s="33">
        <v>26.105187285315399</v>
      </c>
      <c r="AC137" s="33">
        <v>26.1086812167453</v>
      </c>
      <c r="AD137" s="33">
        <v>26.1099094172469</v>
      </c>
      <c r="AE137" s="15">
        <v>2.6634345393462101E-5</v>
      </c>
      <c r="AF137" s="15">
        <v>1.6046589380649701E-4</v>
      </c>
      <c r="AG137" s="15">
        <v>2.0750663109635501E-4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0</v>
      </c>
      <c r="AT137" s="12"/>
      <c r="AU137">
        <f t="shared" si="30"/>
        <v>0</v>
      </c>
      <c r="AV137">
        <f t="shared" si="31"/>
        <v>0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1.0668822742460687E-3</v>
      </c>
      <c r="BE137" s="29">
        <f t="shared" si="42"/>
        <v>0</v>
      </c>
      <c r="BF137" s="29">
        <f t="shared" si="43"/>
        <v>1.0668822742460687E-3</v>
      </c>
      <c r="BH137" s="29"/>
    </row>
    <row r="138" spans="1:60" x14ac:dyDescent="0.25">
      <c r="A138" s="1">
        <v>46224</v>
      </c>
      <c r="B138" s="33">
        <v>20.8</v>
      </c>
      <c r="C138" s="33">
        <v>25.44</v>
      </c>
      <c r="D138" s="15">
        <v>-1.92123017789382E-3</v>
      </c>
      <c r="E138" s="15">
        <v>-1.5710922320412101E-3</v>
      </c>
      <c r="F138" s="33">
        <v>0</v>
      </c>
      <c r="G138" s="33">
        <v>0.59424999999999994</v>
      </c>
      <c r="H138" s="33">
        <v>0</v>
      </c>
      <c r="I138" s="33">
        <v>0.62449199999999905</v>
      </c>
      <c r="J138" s="33">
        <v>0.59424999999999994</v>
      </c>
      <c r="K138" s="33">
        <v>0.62449199999999905</v>
      </c>
      <c r="L138" s="33">
        <v>21.39425</v>
      </c>
      <c r="M138" s="33">
        <v>26.064492000000001</v>
      </c>
      <c r="N138" s="34">
        <v>1.2230769230769201</v>
      </c>
      <c r="O138" s="34">
        <v>1.2195304988600599</v>
      </c>
      <c r="P138" s="34">
        <v>1.2187158945432901</v>
      </c>
      <c r="Q138" s="34">
        <v>1.21976362007216</v>
      </c>
      <c r="R138" s="33">
        <v>25.366234376289299</v>
      </c>
      <c r="S138" s="33">
        <v>25.336386888673999</v>
      </c>
      <c r="T138" s="33">
        <v>25.371682248383198</v>
      </c>
      <c r="U138" s="15">
        <v>-2.9038040881944299E-3</v>
      </c>
      <c r="V138" s="15">
        <v>-4.0811590382310902E-3</v>
      </c>
      <c r="W138" s="15">
        <v>-2.6890584905325601E-3</v>
      </c>
      <c r="X138" s="34">
        <v>1.2182942613085199</v>
      </c>
      <c r="Y138" s="34">
        <v>1.2179193246936699</v>
      </c>
      <c r="Z138" s="34">
        <v>1.2180600328292599</v>
      </c>
      <c r="AA138" s="34">
        <v>1.2180957001802699</v>
      </c>
      <c r="AB138" s="33">
        <v>26.0564705123276</v>
      </c>
      <c r="AC138" s="33">
        <v>26.057278369542999</v>
      </c>
      <c r="AD138" s="33">
        <v>26.060888677586501</v>
      </c>
      <c r="AE138" s="15">
        <v>-3.0780274764649401E-4</v>
      </c>
      <c r="AF138" s="15">
        <v>-2.7679913601821301E-4</v>
      </c>
      <c r="AG138" s="15">
        <v>-1.3825596561132701E-4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0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1.0668822742460687E-3</v>
      </c>
      <c r="BE138" s="29">
        <f t="shared" si="42"/>
        <v>0</v>
      </c>
      <c r="BF138" s="29">
        <f t="shared" si="43"/>
        <v>1.0668822742460687E-3</v>
      </c>
      <c r="BH138" s="29"/>
    </row>
    <row r="139" spans="1:60" x14ac:dyDescent="0.25">
      <c r="A139" s="1">
        <v>46225</v>
      </c>
      <c r="B139" s="33">
        <v>20.77</v>
      </c>
      <c r="C139" s="33">
        <v>25.38</v>
      </c>
      <c r="D139" s="15">
        <v>-1.44334881925145E-3</v>
      </c>
      <c r="E139" s="15">
        <v>-2.36127618567993E-3</v>
      </c>
      <c r="F139" s="33">
        <v>0</v>
      </c>
      <c r="G139" s="33">
        <v>0.59424999999999994</v>
      </c>
      <c r="H139" s="33">
        <v>0</v>
      </c>
      <c r="I139" s="33">
        <v>0.62449199999999905</v>
      </c>
      <c r="J139" s="33">
        <v>0.59424999999999994</v>
      </c>
      <c r="K139" s="33">
        <v>0.62449199999999905</v>
      </c>
      <c r="L139" s="33">
        <v>21.364249999999998</v>
      </c>
      <c r="M139" s="33">
        <v>26.004491999999999</v>
      </c>
      <c r="N139" s="34">
        <v>1.2219547424169399</v>
      </c>
      <c r="O139" s="34">
        <v>1.2195304988600599</v>
      </c>
      <c r="P139" s="34">
        <v>1.2191348644869899</v>
      </c>
      <c r="Q139" s="34">
        <v>1.2196946905263399</v>
      </c>
      <c r="R139" s="33">
        <v>25.329648461323501</v>
      </c>
      <c r="S139" s="33">
        <v>25.312729129664199</v>
      </c>
      <c r="T139" s="33">
        <v>25.3344903888988</v>
      </c>
      <c r="U139" s="15">
        <v>-1.9858767217658798E-3</v>
      </c>
      <c r="V139" s="15">
        <v>-2.6540654243353899E-3</v>
      </c>
      <c r="W139" s="15">
        <v>-1.79473846500455E-3</v>
      </c>
      <c r="X139" s="34">
        <v>1.21719657839615</v>
      </c>
      <c r="Y139" s="34">
        <v>1.2179193246936699</v>
      </c>
      <c r="Z139" s="34">
        <v>1.21796606145206</v>
      </c>
      <c r="AA139" s="34">
        <v>1.2180259471361099</v>
      </c>
      <c r="AB139" s="33">
        <v>26.019932932586801</v>
      </c>
      <c r="AC139" s="33">
        <v>26.0229390563725</v>
      </c>
      <c r="AD139" s="33">
        <v>26.023701062576301</v>
      </c>
      <c r="AE139" s="15">
        <v>5.9360321849951097E-4</v>
      </c>
      <c r="AF139" s="15">
        <v>7.0912811841798099E-4</v>
      </c>
      <c r="AG139" s="15">
        <v>7.3840978586590695E-4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0</v>
      </c>
      <c r="AT139" s="12"/>
      <c r="AU139">
        <f t="shared" si="30"/>
        <v>0</v>
      </c>
      <c r="AV139">
        <f t="shared" si="31"/>
        <v>0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1.0668822742460687E-3</v>
      </c>
      <c r="BE139" s="29">
        <f t="shared" si="42"/>
        <v>0</v>
      </c>
      <c r="BF139" s="29">
        <f t="shared" si="43"/>
        <v>1.0668822742460687E-3</v>
      </c>
      <c r="BH139" s="29"/>
    </row>
    <row r="140" spans="1:60" x14ac:dyDescent="0.25">
      <c r="A140" s="1">
        <v>46226</v>
      </c>
      <c r="B140" s="33">
        <v>20.7</v>
      </c>
      <c r="C140" s="33">
        <v>25.31</v>
      </c>
      <c r="D140" s="15">
        <v>-3.3759376166975601E-3</v>
      </c>
      <c r="E140" s="15">
        <v>-2.7618877292089699E-3</v>
      </c>
      <c r="F140" s="33">
        <v>0</v>
      </c>
      <c r="G140" s="33">
        <v>0.59424999999999994</v>
      </c>
      <c r="H140" s="33">
        <v>0</v>
      </c>
      <c r="I140" s="33">
        <v>0.62449199999999905</v>
      </c>
      <c r="J140" s="33">
        <v>0.59424999999999994</v>
      </c>
      <c r="K140" s="33">
        <v>0.62449199999999905</v>
      </c>
      <c r="L140" s="33">
        <v>21.294249999999899</v>
      </c>
      <c r="M140" s="33">
        <v>25.934491999999999</v>
      </c>
      <c r="N140" s="34">
        <v>1.22270531400966</v>
      </c>
      <c r="O140" s="34">
        <v>1.2195304988600599</v>
      </c>
      <c r="P140" s="34">
        <v>1.2196019607734501</v>
      </c>
      <c r="Q140" s="34">
        <v>1.21967136173489</v>
      </c>
      <c r="R140" s="33">
        <v>25.2442813264032</v>
      </c>
      <c r="S140" s="33">
        <v>25.236091694880798</v>
      </c>
      <c r="T140" s="33">
        <v>25.247680093895301</v>
      </c>
      <c r="U140" s="15">
        <v>-2.5999266092545398E-3</v>
      </c>
      <c r="V140" s="15">
        <v>-2.9243945600318602E-3</v>
      </c>
      <c r="W140" s="15">
        <v>-2.4653005261492502E-3</v>
      </c>
      <c r="X140" s="34">
        <v>1.21791056271059</v>
      </c>
      <c r="Y140" s="34">
        <v>1.2179193246936699</v>
      </c>
      <c r="Z140" s="34">
        <v>1.2179172274393799</v>
      </c>
      <c r="AA140" s="34">
        <v>1.21799911638545</v>
      </c>
      <c r="AB140" s="33">
        <v>25.9346785798583</v>
      </c>
      <c r="AC140" s="33">
        <v>25.935673804075499</v>
      </c>
      <c r="AD140" s="33">
        <v>25.936949024803098</v>
      </c>
      <c r="AE140" s="15">
        <v>7.1942487702331299E-6</v>
      </c>
      <c r="AF140" s="15">
        <v>4.5567777061576203E-5</v>
      </c>
      <c r="AG140" s="15">
        <v>9.4735166652786996E-5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0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1.0668822742460687E-3</v>
      </c>
      <c r="BE140" s="29">
        <f t="shared" si="42"/>
        <v>0</v>
      </c>
      <c r="BF140" s="29">
        <f t="shared" si="43"/>
        <v>1.0668822742460687E-3</v>
      </c>
      <c r="BH140" s="29"/>
    </row>
    <row r="141" spans="1:60" x14ac:dyDescent="0.25">
      <c r="A141" s="1">
        <v>46227</v>
      </c>
      <c r="B141" s="33">
        <v>20.71</v>
      </c>
      <c r="C141" s="33">
        <v>25.33</v>
      </c>
      <c r="D141" s="15">
        <v>4.82975136169449E-4</v>
      </c>
      <c r="E141" s="15">
        <v>7.8988945655107396E-4</v>
      </c>
      <c r="F141" s="33">
        <v>0</v>
      </c>
      <c r="G141" s="33">
        <v>0.59424999999999994</v>
      </c>
      <c r="H141" s="33">
        <v>0</v>
      </c>
      <c r="I141" s="33">
        <v>0.62449199999999905</v>
      </c>
      <c r="J141" s="33">
        <v>0.59424999999999994</v>
      </c>
      <c r="K141" s="33">
        <v>0.62449199999999905</v>
      </c>
      <c r="L141" s="33">
        <v>21.30425</v>
      </c>
      <c r="M141" s="33">
        <v>25.954491999999998</v>
      </c>
      <c r="N141" s="34">
        <v>1.2230806373732399</v>
      </c>
      <c r="O141" s="34">
        <v>1.2195304988600599</v>
      </c>
      <c r="P141" s="34">
        <v>1.2200857647209</v>
      </c>
      <c r="Q141" s="34">
        <v>1.21971164952773</v>
      </c>
      <c r="R141" s="33">
        <v>25.256476631391799</v>
      </c>
      <c r="S141" s="33">
        <v>25.257956607618301</v>
      </c>
      <c r="T141" s="33">
        <v>25.259393901529702</v>
      </c>
      <c r="U141" s="15">
        <v>-2.90684092963621E-3</v>
      </c>
      <c r="V141" s="15">
        <v>-2.8482447569411098E-3</v>
      </c>
      <c r="W141" s="15">
        <v>-2.7913417761885801E-3</v>
      </c>
      <c r="X141" s="34">
        <v>1.2182776676015299</v>
      </c>
      <c r="Y141" s="34">
        <v>1.2179193246936699</v>
      </c>
      <c r="Z141" s="34">
        <v>1.21788473684954</v>
      </c>
      <c r="AA141" s="34">
        <v>1.2180340030108801</v>
      </c>
      <c r="AB141" s="33">
        <v>25.946857773105201</v>
      </c>
      <c r="AC141" s="33">
        <v>25.946813092675399</v>
      </c>
      <c r="AD141" s="33">
        <v>25.948557675254801</v>
      </c>
      <c r="AE141" s="15">
        <v>-2.9418221233806698E-4</v>
      </c>
      <c r="AF141" s="15">
        <v>-2.9590421153632599E-4</v>
      </c>
      <c r="AG141" s="15">
        <v>-2.28669598728916E-4</v>
      </c>
      <c r="AI141" s="12"/>
      <c r="AJ141">
        <f t="shared" si="26"/>
        <v>0</v>
      </c>
      <c r="AK141">
        <f t="shared" si="27"/>
        <v>0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0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1.0668822742460687E-3</v>
      </c>
      <c r="BE141" s="29">
        <f t="shared" si="42"/>
        <v>0</v>
      </c>
      <c r="BF141" s="29">
        <f t="shared" si="43"/>
        <v>1.0668822742460687E-3</v>
      </c>
      <c r="BH141" s="29"/>
    </row>
    <row r="142" spans="1:60" x14ac:dyDescent="0.25">
      <c r="A142" s="1">
        <v>46230</v>
      </c>
      <c r="B142" s="33">
        <v>20.75</v>
      </c>
      <c r="C142" s="33">
        <v>25.37</v>
      </c>
      <c r="D142" s="15">
        <v>1.9295712692143801E-3</v>
      </c>
      <c r="E142" s="15">
        <v>1.5779095976066601E-3</v>
      </c>
      <c r="F142" s="33">
        <v>0</v>
      </c>
      <c r="G142" s="33">
        <v>0.59424999999999994</v>
      </c>
      <c r="H142" s="33">
        <v>0</v>
      </c>
      <c r="I142" s="33">
        <v>0.62449199999999905</v>
      </c>
      <c r="J142" s="33">
        <v>0.59424999999999994</v>
      </c>
      <c r="K142" s="33">
        <v>0.62449199999999905</v>
      </c>
      <c r="L142" s="33">
        <v>21.344249999999999</v>
      </c>
      <c r="M142" s="33">
        <v>25.994492000000001</v>
      </c>
      <c r="N142" s="34">
        <v>1.22265060240963</v>
      </c>
      <c r="O142" s="34">
        <v>1.2195304988600599</v>
      </c>
      <c r="P142" s="34">
        <v>1.2206450271659901</v>
      </c>
      <c r="Q142" s="34">
        <v>1.2196936114663901</v>
      </c>
      <c r="R142" s="33">
        <v>25.305257851346202</v>
      </c>
      <c r="S142" s="33">
        <v>25.316779617958801</v>
      </c>
      <c r="T142" s="33">
        <v>25.309016727700399</v>
      </c>
      <c r="U142" s="15">
        <v>-2.5551792580285498E-3</v>
      </c>
      <c r="V142" s="15">
        <v>-2.0999717086105998E-3</v>
      </c>
      <c r="W142" s="15">
        <v>-2.4066489711747799E-3</v>
      </c>
      <c r="X142" s="34">
        <v>1.21786860629912</v>
      </c>
      <c r="Y142" s="34">
        <v>1.2179193246936699</v>
      </c>
      <c r="Z142" s="34">
        <v>1.2179268785667099</v>
      </c>
      <c r="AA142" s="34">
        <v>1.2180122574379799</v>
      </c>
      <c r="AB142" s="33">
        <v>25.995574546093</v>
      </c>
      <c r="AC142" s="33">
        <v>25.9948362945008</v>
      </c>
      <c r="AD142" s="33">
        <v>25.998022268764998</v>
      </c>
      <c r="AE142" s="15">
        <v>4.1644343432555401E-5</v>
      </c>
      <c r="AF142" s="15">
        <v>1.3244814355058301E-5</v>
      </c>
      <c r="AG142" s="15">
        <v>1.3579911724405201E-4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0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1.0668822742460687E-3</v>
      </c>
      <c r="BE142" s="29">
        <f t="shared" si="42"/>
        <v>0</v>
      </c>
      <c r="BF142" s="29">
        <f t="shared" si="43"/>
        <v>1.0668822742460687E-3</v>
      </c>
      <c r="BH142" s="29"/>
    </row>
    <row r="143" spans="1:60" x14ac:dyDescent="0.25">
      <c r="A143" s="1">
        <v>46231</v>
      </c>
      <c r="B143" s="33">
        <v>20.79</v>
      </c>
      <c r="C143" s="33">
        <v>25.43</v>
      </c>
      <c r="D143" s="15">
        <v>1.9258551932142601E-3</v>
      </c>
      <c r="E143" s="15">
        <v>2.36220582283768E-3</v>
      </c>
      <c r="F143" s="33">
        <v>0</v>
      </c>
      <c r="G143" s="33">
        <v>0.59424999999999994</v>
      </c>
      <c r="H143" s="33">
        <v>0</v>
      </c>
      <c r="I143" s="33">
        <v>0.62449199999999905</v>
      </c>
      <c r="J143" s="33">
        <v>0.59424999999999994</v>
      </c>
      <c r="K143" s="33">
        <v>0.62449199999999905</v>
      </c>
      <c r="L143" s="33">
        <v>21.384249999999899</v>
      </c>
      <c r="M143" s="33">
        <v>26.054492</v>
      </c>
      <c r="N143" s="34">
        <v>1.22318422318422</v>
      </c>
      <c r="O143" s="34">
        <v>1.2195304988600599</v>
      </c>
      <c r="P143" s="34">
        <v>1.22120352600282</v>
      </c>
      <c r="Q143" s="34">
        <v>1.21971280370413</v>
      </c>
      <c r="R143" s="33">
        <v>25.354039071300701</v>
      </c>
      <c r="S143" s="33">
        <v>25.377210114780901</v>
      </c>
      <c r="T143" s="33">
        <v>25.357430182386299</v>
      </c>
      <c r="U143" s="15">
        <v>-2.9915298876520202E-3</v>
      </c>
      <c r="V143" s="15">
        <v>-2.0780477454510598E-3</v>
      </c>
      <c r="W143" s="15">
        <v>-2.8577885017039401E-3</v>
      </c>
      <c r="X143" s="34">
        <v>1.2183963431029801</v>
      </c>
      <c r="Y143" s="34">
        <v>1.2179193246936699</v>
      </c>
      <c r="Z143" s="34">
        <v>1.2179690205020499</v>
      </c>
      <c r="AA143" s="34">
        <v>1.2180269837414901</v>
      </c>
      <c r="AB143" s="33">
        <v>26.044291319080699</v>
      </c>
      <c r="AC143" s="33">
        <v>26.044452852990201</v>
      </c>
      <c r="AD143" s="33">
        <v>26.046278616118201</v>
      </c>
      <c r="AE143" s="15">
        <v>-3.9158999115657101E-4</v>
      </c>
      <c r="AF143" s="15">
        <v>-3.8538773337109102E-4</v>
      </c>
      <c r="AG143" s="15">
        <v>-3.1528838643529901E-4</v>
      </c>
      <c r="AI143" s="12"/>
      <c r="AJ143">
        <f t="shared" si="26"/>
        <v>0</v>
      </c>
      <c r="AK143">
        <f t="shared" si="27"/>
        <v>0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0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1.0668822742460687E-3</v>
      </c>
      <c r="BE143" s="29">
        <f t="shared" si="42"/>
        <v>0</v>
      </c>
      <c r="BF143" s="29">
        <f t="shared" si="43"/>
        <v>1.0668822742460687E-3</v>
      </c>
      <c r="BH143" s="29"/>
    </row>
    <row r="144" spans="1:60" x14ac:dyDescent="0.25">
      <c r="A144" s="1">
        <v>46232</v>
      </c>
      <c r="B144" s="33">
        <v>20.72</v>
      </c>
      <c r="C144" s="33">
        <v>25.34</v>
      </c>
      <c r="D144" s="15">
        <v>-3.3726844786392302E-3</v>
      </c>
      <c r="E144" s="15">
        <v>-3.5454045410352598E-3</v>
      </c>
      <c r="F144" s="33">
        <v>0</v>
      </c>
      <c r="G144" s="33">
        <v>0.59424999999999994</v>
      </c>
      <c r="H144" s="33">
        <v>0</v>
      </c>
      <c r="I144" s="33">
        <v>0.62449199999999905</v>
      </c>
      <c r="J144" s="33">
        <v>0.59424999999999994</v>
      </c>
      <c r="K144" s="33">
        <v>0.62449199999999905</v>
      </c>
      <c r="L144" s="33">
        <v>21.314249999999902</v>
      </c>
      <c r="M144" s="33">
        <v>25.964492</v>
      </c>
      <c r="N144" s="34">
        <v>1.2229729729729699</v>
      </c>
      <c r="O144" s="34">
        <v>1.2195304988600599</v>
      </c>
      <c r="P144" s="34">
        <v>1.22176583759945</v>
      </c>
      <c r="Q144" s="34">
        <v>1.2196975568658399</v>
      </c>
      <c r="R144" s="33">
        <v>25.2686719363804</v>
      </c>
      <c r="S144" s="33">
        <v>25.303337058778499</v>
      </c>
      <c r="T144" s="33">
        <v>25.272449292749599</v>
      </c>
      <c r="U144" s="15">
        <v>-2.8188098252560001E-3</v>
      </c>
      <c r="V144" s="15">
        <v>-1.4478883010355401E-3</v>
      </c>
      <c r="W144" s="15">
        <v>-2.6693332689675998E-3</v>
      </c>
      <c r="X144" s="34">
        <v>1.2181752583365499</v>
      </c>
      <c r="Y144" s="34">
        <v>1.2179193246936699</v>
      </c>
      <c r="Z144" s="34">
        <v>1.2180135265295799</v>
      </c>
      <c r="AA144" s="34">
        <v>1.21800832086871</v>
      </c>
      <c r="AB144" s="33">
        <v>25.959036966352102</v>
      </c>
      <c r="AC144" s="33">
        <v>25.960096195235899</v>
      </c>
      <c r="AD144" s="33">
        <v>25.961331638212101</v>
      </c>
      <c r="AE144" s="15">
        <v>-2.1011798606395901E-4</v>
      </c>
      <c r="AF144" s="15">
        <v>-1.69314959535325E-4</v>
      </c>
      <c r="AG144" s="15">
        <v>-1.21726014929561E-4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0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1.0668822742460687E-3</v>
      </c>
      <c r="BE144" s="29">
        <f t="shared" si="42"/>
        <v>0</v>
      </c>
      <c r="BF144" s="29">
        <f t="shared" si="43"/>
        <v>1.0668822742460687E-3</v>
      </c>
      <c r="BH144" s="29"/>
    </row>
    <row r="145" spans="1:60" x14ac:dyDescent="0.25">
      <c r="A145" s="1">
        <v>46233</v>
      </c>
      <c r="B145" s="33">
        <v>20.75</v>
      </c>
      <c r="C145" s="33">
        <v>25.38</v>
      </c>
      <c r="D145" s="15">
        <v>1.44682928542501E-3</v>
      </c>
      <c r="E145" s="15">
        <v>1.5772873932486599E-3</v>
      </c>
      <c r="F145" s="33">
        <v>0</v>
      </c>
      <c r="G145" s="33">
        <v>0.59424999999999994</v>
      </c>
      <c r="H145" s="33">
        <v>0</v>
      </c>
      <c r="I145" s="33">
        <v>0.62449199999999905</v>
      </c>
      <c r="J145" s="33">
        <v>0.59424999999999994</v>
      </c>
      <c r="K145" s="33">
        <v>0.62449199999999905</v>
      </c>
      <c r="L145" s="33">
        <v>21.344249999999999</v>
      </c>
      <c r="M145" s="33">
        <v>26.004491999999999</v>
      </c>
      <c r="N145" s="34">
        <v>1.2231325301204801</v>
      </c>
      <c r="O145" s="34">
        <v>1.2195304988600599</v>
      </c>
      <c r="P145" s="34">
        <v>1.222275655497</v>
      </c>
      <c r="Q145" s="34">
        <v>1.2199939172121701</v>
      </c>
      <c r="R145" s="33">
        <v>25.305257851346202</v>
      </c>
      <c r="S145" s="33">
        <v>25.3516411301887</v>
      </c>
      <c r="T145" s="33">
        <v>25.308724304966201</v>
      </c>
      <c r="U145" s="15">
        <v>-2.9492679330796602E-3</v>
      </c>
      <c r="V145" s="15">
        <v>-1.11799548105919E-3</v>
      </c>
      <c r="W145" s="15">
        <v>-2.8122918060210101E-3</v>
      </c>
      <c r="X145" s="34">
        <v>1.2183371165536301</v>
      </c>
      <c r="Y145" s="34">
        <v>1.2179193246936699</v>
      </c>
      <c r="Z145" s="34">
        <v>1.2180073479011999</v>
      </c>
      <c r="AA145" s="34">
        <v>1.2180457766329</v>
      </c>
      <c r="AB145" s="33">
        <v>25.995574546093</v>
      </c>
      <c r="AC145" s="33">
        <v>25.997585213629002</v>
      </c>
      <c r="AD145" s="33">
        <v>25.9974741027021</v>
      </c>
      <c r="AE145" s="15">
        <v>-3.4297856086393702E-4</v>
      </c>
      <c r="AF145" s="15">
        <v>-2.6563502004672802E-4</v>
      </c>
      <c r="AG145" s="15">
        <v>-2.6990892331375203E-4</v>
      </c>
      <c r="AI145" s="12"/>
      <c r="AJ145">
        <f t="shared" si="26"/>
        <v>0</v>
      </c>
      <c r="AK145">
        <f t="shared" si="27"/>
        <v>0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0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1.0668822742460687E-3</v>
      </c>
      <c r="BE145" s="29">
        <f t="shared" si="42"/>
        <v>0</v>
      </c>
      <c r="BF145" s="29">
        <f t="shared" si="43"/>
        <v>1.0668822742460687E-3</v>
      </c>
      <c r="BH145" s="29"/>
    </row>
    <row r="146" spans="1:60" x14ac:dyDescent="0.25">
      <c r="A146" s="1">
        <v>46234</v>
      </c>
      <c r="B146" s="33">
        <v>20.71</v>
      </c>
      <c r="C146" s="33">
        <v>25.34</v>
      </c>
      <c r="D146" s="15">
        <v>-1.92957126921441E-3</v>
      </c>
      <c r="E146" s="15">
        <v>-1.57728739324861E-3</v>
      </c>
      <c r="F146" s="33">
        <v>0</v>
      </c>
      <c r="G146" s="33">
        <v>0.59424999999999994</v>
      </c>
      <c r="H146" s="33">
        <v>0</v>
      </c>
      <c r="I146" s="33">
        <v>0.62449199999999905</v>
      </c>
      <c r="J146" s="33">
        <v>0.59424999999999994</v>
      </c>
      <c r="K146" s="33">
        <v>0.62449199999999905</v>
      </c>
      <c r="L146" s="33">
        <v>21.30425</v>
      </c>
      <c r="M146" s="33">
        <v>25.964492</v>
      </c>
      <c r="N146" s="34">
        <v>1.2235634958957</v>
      </c>
      <c r="O146" s="34">
        <v>1.2195304988600599</v>
      </c>
      <c r="P146" s="34">
        <v>1.2228970193858999</v>
      </c>
      <c r="Q146" s="34">
        <v>1.2203035585470601</v>
      </c>
      <c r="R146" s="33">
        <v>25.256476631391799</v>
      </c>
      <c r="S146" s="33">
        <v>25.313328825342801</v>
      </c>
      <c r="T146" s="33">
        <v>25.266074025464</v>
      </c>
      <c r="U146" s="15">
        <v>-3.3015518090454602E-3</v>
      </c>
      <c r="V146" s="15">
        <v>-1.05308684504946E-3</v>
      </c>
      <c r="W146" s="15">
        <v>-2.9216266444264298E-3</v>
      </c>
      <c r="X146" s="34">
        <v>1.2187470575119901</v>
      </c>
      <c r="Y146" s="34">
        <v>1.2179193246936699</v>
      </c>
      <c r="Z146" s="34">
        <v>1.2181090338462801</v>
      </c>
      <c r="AA146" s="34">
        <v>1.2180956827382501</v>
      </c>
      <c r="AB146" s="33">
        <v>25.946857773105201</v>
      </c>
      <c r="AC146" s="33">
        <v>25.948733041524299</v>
      </c>
      <c r="AD146" s="33">
        <v>25.949551736831602</v>
      </c>
      <c r="AE146" s="15">
        <v>-6.7939776754465499E-4</v>
      </c>
      <c r="AF146" s="15">
        <v>-6.0712694875460097E-4</v>
      </c>
      <c r="AG146" s="15">
        <v>-5.7557695395772104E-4</v>
      </c>
      <c r="AI146" s="12"/>
      <c r="AJ146">
        <f t="shared" si="26"/>
        <v>0</v>
      </c>
      <c r="AK146">
        <f t="shared" si="27"/>
        <v>0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0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1.0668822742460687E-3</v>
      </c>
      <c r="BE146" s="29">
        <f t="shared" si="42"/>
        <v>0</v>
      </c>
      <c r="BF146" s="29">
        <f t="shared" si="43"/>
        <v>1.0668822742460687E-3</v>
      </c>
      <c r="BH146" s="29"/>
    </row>
    <row r="147" spans="1:60" x14ac:dyDescent="0.25">
      <c r="A147" s="1">
        <v>46237</v>
      </c>
      <c r="B147" s="33">
        <v>20.77</v>
      </c>
      <c r="C147" s="33">
        <v>25.3</v>
      </c>
      <c r="D147" s="15">
        <v>2.89296248052817E-3</v>
      </c>
      <c r="E147" s="15">
        <v>-1.5797791595183899E-3</v>
      </c>
      <c r="F147" s="33">
        <v>0</v>
      </c>
      <c r="G147" s="33">
        <v>0.59424999999999994</v>
      </c>
      <c r="H147" s="33">
        <v>0.103946</v>
      </c>
      <c r="I147" s="33">
        <v>0.72843799999999903</v>
      </c>
      <c r="J147" s="33">
        <v>0.59424999999999994</v>
      </c>
      <c r="K147" s="33">
        <v>0.72843799999999903</v>
      </c>
      <c r="L147" s="33">
        <v>21.364249999999998</v>
      </c>
      <c r="M147" s="33">
        <v>26.028438000000001</v>
      </c>
      <c r="N147" s="34">
        <v>1.2181030332209899</v>
      </c>
      <c r="O147" s="34">
        <v>1.2195304988600599</v>
      </c>
      <c r="P147" s="34">
        <v>1.22244244746807</v>
      </c>
      <c r="Q147" s="34">
        <v>1.22026898548101</v>
      </c>
      <c r="R147" s="33">
        <v>25.329648461323501</v>
      </c>
      <c r="S147" s="33">
        <v>25.3995710926452</v>
      </c>
      <c r="T147" s="33">
        <v>25.345704911022398</v>
      </c>
      <c r="U147" s="15">
        <v>1.1711898310011199E-3</v>
      </c>
      <c r="V147" s="15">
        <v>3.9278920321140403E-3</v>
      </c>
      <c r="W147" s="15">
        <v>1.80488843072563E-3</v>
      </c>
      <c r="X147" s="34">
        <v>1.21831742279743</v>
      </c>
      <c r="Y147" s="34">
        <v>1.2179193246936699</v>
      </c>
      <c r="Z147" s="34">
        <v>1.2181520874618501</v>
      </c>
      <c r="AA147" s="34">
        <v>1.21805458631931</v>
      </c>
      <c r="AB147" s="33">
        <v>26.019932932586801</v>
      </c>
      <c r="AC147" s="33">
        <v>26.023985926350399</v>
      </c>
      <c r="AD147" s="33">
        <v>26.023700689940799</v>
      </c>
      <c r="AE147" s="15">
        <v>-3.2681397463274399E-4</v>
      </c>
      <c r="AF147" s="15">
        <v>-1.71061146614071E-4</v>
      </c>
      <c r="AG147" s="15">
        <v>-1.8202172634901201E-4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0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1.0668822742460687E-3</v>
      </c>
      <c r="BE147" s="29">
        <f t="shared" si="42"/>
        <v>0</v>
      </c>
      <c r="BF147" s="29">
        <f t="shared" si="43"/>
        <v>1.0668822742460687E-3</v>
      </c>
      <c r="BH147" s="29"/>
    </row>
    <row r="148" spans="1:60" x14ac:dyDescent="0.25">
      <c r="A148" s="1">
        <v>46238</v>
      </c>
      <c r="B148" s="33">
        <v>20.85</v>
      </c>
      <c r="C148" s="33">
        <v>25.42</v>
      </c>
      <c r="D148" s="15">
        <v>3.8443103567896001E-3</v>
      </c>
      <c r="E148" s="15">
        <v>4.7318700278334101E-3</v>
      </c>
      <c r="F148" s="33">
        <v>0</v>
      </c>
      <c r="G148" s="33">
        <v>0.59424999999999994</v>
      </c>
      <c r="H148" s="33">
        <v>0</v>
      </c>
      <c r="I148" s="33">
        <v>0.72843799999999903</v>
      </c>
      <c r="J148" s="33">
        <v>0.59424999999999994</v>
      </c>
      <c r="K148" s="33">
        <v>0.72843799999999903</v>
      </c>
      <c r="L148" s="33">
        <v>21.44425</v>
      </c>
      <c r="M148" s="33">
        <v>26.148437999999999</v>
      </c>
      <c r="N148" s="34">
        <v>1.21918465227817</v>
      </c>
      <c r="O148" s="34">
        <v>1.2195304988600599</v>
      </c>
      <c r="P148" s="34">
        <v>1.2220532203882</v>
      </c>
      <c r="Q148" s="34">
        <v>1.2203845574657399</v>
      </c>
      <c r="R148" s="33">
        <v>25.4272109012323</v>
      </c>
      <c r="S148" s="33">
        <v>25.487925029709402</v>
      </c>
      <c r="T148" s="33">
        <v>25.442608347278998</v>
      </c>
      <c r="U148" s="15">
        <v>2.8363015995719999E-4</v>
      </c>
      <c r="V148" s="15">
        <v>2.6685460064787502E-3</v>
      </c>
      <c r="W148" s="15">
        <v>8.8899682901454904E-4</v>
      </c>
      <c r="X148" s="34">
        <v>1.2193682688832601</v>
      </c>
      <c r="Y148" s="34">
        <v>1.2179193246936699</v>
      </c>
      <c r="Z148" s="34">
        <v>1.2182594882193201</v>
      </c>
      <c r="AA148" s="34">
        <v>1.21815976052429</v>
      </c>
      <c r="AB148" s="33">
        <v>26.1173664785623</v>
      </c>
      <c r="AC148" s="33">
        <v>26.122357901553801</v>
      </c>
      <c r="AD148" s="33">
        <v>26.120267062677801</v>
      </c>
      <c r="AE148" s="15">
        <v>-1.18898103293483E-3</v>
      </c>
      <c r="AF148" s="15">
        <v>-9.9788419749372395E-4</v>
      </c>
      <c r="AG148" s="15">
        <v>-1.0779276056701399E-3</v>
      </c>
      <c r="AI148" s="12"/>
      <c r="AJ148">
        <f t="shared" si="26"/>
        <v>1</v>
      </c>
      <c r="AK148">
        <f t="shared" si="27"/>
        <v>0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0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1.0668822742460687E-3</v>
      </c>
      <c r="BE148" s="29">
        <f t="shared" si="42"/>
        <v>0</v>
      </c>
      <c r="BF148" s="29">
        <f t="shared" si="43"/>
        <v>1.0668822742460687E-3</v>
      </c>
      <c r="BH148" s="29"/>
    </row>
    <row r="149" spans="1:60" x14ac:dyDescent="0.25">
      <c r="A149" s="1">
        <v>46239</v>
      </c>
      <c r="B149" s="33">
        <v>20.87</v>
      </c>
      <c r="C149" s="33">
        <v>25.43</v>
      </c>
      <c r="D149" s="15">
        <v>9.5877284429900797E-4</v>
      </c>
      <c r="E149" s="15">
        <v>3.9331367272014099E-4</v>
      </c>
      <c r="F149" s="33">
        <v>0</v>
      </c>
      <c r="G149" s="33">
        <v>0.59424999999999994</v>
      </c>
      <c r="H149" s="33">
        <v>0</v>
      </c>
      <c r="I149" s="33">
        <v>0.72843799999999903</v>
      </c>
      <c r="J149" s="33">
        <v>0.59424999999999994</v>
      </c>
      <c r="K149" s="33">
        <v>0.72843799999999903</v>
      </c>
      <c r="L149" s="33">
        <v>21.46425</v>
      </c>
      <c r="M149" s="33">
        <v>26.158438</v>
      </c>
      <c r="N149" s="34">
        <v>1.21849544801149</v>
      </c>
      <c r="O149" s="34">
        <v>1.2195304988600599</v>
      </c>
      <c r="P149" s="34">
        <v>1.2217072909476601</v>
      </c>
      <c r="Q149" s="34">
        <v>1.2204210777173199</v>
      </c>
      <c r="R149" s="33">
        <v>25.4516015112095</v>
      </c>
      <c r="S149" s="33">
        <v>25.5042507095018</v>
      </c>
      <c r="T149" s="33">
        <v>25.469425714310098</v>
      </c>
      <c r="U149" s="15">
        <v>8.4908933153574604E-4</v>
      </c>
      <c r="V149" s="15">
        <v>2.9155533286374701E-3</v>
      </c>
      <c r="W149" s="15">
        <v>1.54916176918409E-3</v>
      </c>
      <c r="X149" s="34">
        <v>1.21869797453905</v>
      </c>
      <c r="Y149" s="34">
        <v>1.2179193246936699</v>
      </c>
      <c r="Z149" s="34">
        <v>1.2184096278336101</v>
      </c>
      <c r="AA149" s="34">
        <v>1.21818784464283</v>
      </c>
      <c r="AB149" s="33">
        <v>26.141724865056201</v>
      </c>
      <c r="AC149" s="33">
        <v>26.149026220011699</v>
      </c>
      <c r="AD149" s="33">
        <v>26.146885639833499</v>
      </c>
      <c r="AE149" s="15">
        <v>-6.3912365075369899E-4</v>
      </c>
      <c r="AF149" s="15">
        <v>-3.5986374909236499E-4</v>
      </c>
      <c r="AG149" s="15">
        <v>-4.41727898820055E-4</v>
      </c>
      <c r="AI149" s="12"/>
      <c r="AJ149">
        <f t="shared" si="26"/>
        <v>0</v>
      </c>
      <c r="AK149">
        <f t="shared" si="27"/>
        <v>0</v>
      </c>
      <c r="AL149">
        <f t="shared" si="34"/>
        <v>1</v>
      </c>
      <c r="AM149">
        <f t="shared" ref="AM149:AM176" si="44">IF(F150+H150&gt;0,0,1)</f>
        <v>1</v>
      </c>
      <c r="AN149">
        <f t="shared" si="35"/>
        <v>1</v>
      </c>
      <c r="AO149" s="28">
        <f t="shared" si="28"/>
        <v>9.5877284429900797E-4</v>
      </c>
      <c r="AP149" s="28">
        <f t="shared" si="29"/>
        <v>-3.9331367272014099E-4</v>
      </c>
      <c r="AQ149" s="28">
        <f t="shared" si="36"/>
        <v>5.6545917157886693E-4</v>
      </c>
      <c r="AR149" s="29">
        <f t="shared" si="37"/>
        <v>5.6545917157886693E-4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1.0668822742460687E-3</v>
      </c>
      <c r="BE149" s="29">
        <f t="shared" si="42"/>
        <v>5.6545917157886693E-4</v>
      </c>
      <c r="BF149" s="29">
        <f t="shared" si="43"/>
        <v>1.6323414458249356E-3</v>
      </c>
      <c r="BH149" s="29"/>
    </row>
    <row r="150" spans="1:60" x14ac:dyDescent="0.25">
      <c r="A150" s="1">
        <v>46240</v>
      </c>
      <c r="B150" s="33">
        <v>20.8</v>
      </c>
      <c r="C150" s="33">
        <v>25.35</v>
      </c>
      <c r="D150" s="15">
        <v>-3.3597343818371301E-3</v>
      </c>
      <c r="E150" s="15">
        <v>-3.15084939683604E-3</v>
      </c>
      <c r="F150" s="33">
        <v>0</v>
      </c>
      <c r="G150" s="33">
        <v>0.59424999999999994</v>
      </c>
      <c r="H150" s="33">
        <v>0</v>
      </c>
      <c r="I150" s="33">
        <v>0.72843799999999903</v>
      </c>
      <c r="J150" s="33">
        <v>0.59424999999999994</v>
      </c>
      <c r="K150" s="33">
        <v>0.72843799999999903</v>
      </c>
      <c r="L150" s="33">
        <v>21.39425</v>
      </c>
      <c r="M150" s="33">
        <v>26.078437999999998</v>
      </c>
      <c r="N150" s="34">
        <v>1.21875</v>
      </c>
      <c r="O150" s="34">
        <v>1.2195304988600599</v>
      </c>
      <c r="P150" s="34">
        <v>1.22131175954669</v>
      </c>
      <c r="Q150" s="34">
        <v>1.22045686016007</v>
      </c>
      <c r="R150" s="33">
        <v>25.366234376289299</v>
      </c>
      <c r="S150" s="33">
        <v>25.411511651711301</v>
      </c>
      <c r="T150" s="33">
        <v>25.384758416520398</v>
      </c>
      <c r="U150" s="15">
        <v>6.4020434653481496E-4</v>
      </c>
      <c r="V150" s="15">
        <v>2.4235559508707298E-3</v>
      </c>
      <c r="W150" s="15">
        <v>1.3702015361208299E-3</v>
      </c>
      <c r="X150" s="34">
        <v>1.21894611870011</v>
      </c>
      <c r="Y150" s="34">
        <v>1.2179193246936699</v>
      </c>
      <c r="Z150" s="34">
        <v>1.21851318343257</v>
      </c>
      <c r="AA150" s="34">
        <v>1.2182152054359701</v>
      </c>
      <c r="AB150" s="33">
        <v>26.0564705123276</v>
      </c>
      <c r="AC150" s="33">
        <v>26.066960180279299</v>
      </c>
      <c r="AD150" s="33">
        <v>26.062215295249999</v>
      </c>
      <c r="AE150" s="15">
        <v>-8.4271708147988999E-4</v>
      </c>
      <c r="AF150" s="15">
        <v>-4.4022369399873999E-4</v>
      </c>
      <c r="AG150" s="15">
        <v>-6.2226705068482496E-4</v>
      </c>
      <c r="AI150" s="12"/>
      <c r="AJ150">
        <f t="shared" ref="AJ150:AJ176" si="46">IF($AG150&lt;AI$21,1,0)</f>
        <v>0</v>
      </c>
      <c r="AK150">
        <f t="shared" ref="AK150:AK176" si="47">IF($AG150&gt;AI$22,1,0)</f>
        <v>0</v>
      </c>
      <c r="AL150">
        <f t="shared" si="34"/>
        <v>1</v>
      </c>
      <c r="AM150">
        <f t="shared" si="44"/>
        <v>1</v>
      </c>
      <c r="AN150">
        <f t="shared" si="35"/>
        <v>1</v>
      </c>
      <c r="AO150" s="28">
        <f t="shared" ref="AO150:AO176" si="48">AN150*D150</f>
        <v>-3.3597343818371301E-3</v>
      </c>
      <c r="AP150" s="28">
        <f t="shared" ref="AP150:AP176" si="49">-AN150*$E150</f>
        <v>3.15084939683604E-3</v>
      </c>
      <c r="AQ150" s="28">
        <f t="shared" si="36"/>
        <v>-2.0888498500109013E-4</v>
      </c>
      <c r="AR150" s="29">
        <f t="shared" si="37"/>
        <v>3.5657418657777679E-4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1.0668822742460687E-3</v>
      </c>
      <c r="BE150" s="29">
        <f t="shared" si="42"/>
        <v>-2.0888498500109013E-4</v>
      </c>
      <c r="BF150" s="29">
        <f t="shared" si="43"/>
        <v>1.4234564608238455E-3</v>
      </c>
      <c r="BH150" s="29"/>
    </row>
    <row r="151" spans="1:60" x14ac:dyDescent="0.25">
      <c r="A151" s="1">
        <v>46241</v>
      </c>
      <c r="B151" s="33">
        <v>20.84</v>
      </c>
      <c r="C151" s="33">
        <v>25.4</v>
      </c>
      <c r="D151" s="15">
        <v>1.9212301778938701E-3</v>
      </c>
      <c r="E151" s="15">
        <v>1.97044398729851E-3</v>
      </c>
      <c r="F151" s="33">
        <v>0</v>
      </c>
      <c r="G151" s="33">
        <v>0.59424999999999994</v>
      </c>
      <c r="H151" s="33">
        <v>0</v>
      </c>
      <c r="I151" s="33">
        <v>0.72843799999999903</v>
      </c>
      <c r="J151" s="33">
        <v>0.59424999999999994</v>
      </c>
      <c r="K151" s="33">
        <v>0.72843799999999903</v>
      </c>
      <c r="L151" s="33">
        <v>21.434249999999999</v>
      </c>
      <c r="M151" s="33">
        <v>26.128437999999999</v>
      </c>
      <c r="N151" s="34">
        <v>1.2188099808061399</v>
      </c>
      <c r="O151" s="34">
        <v>1.2195304988600599</v>
      </c>
      <c r="P151" s="34">
        <v>1.22088469388998</v>
      </c>
      <c r="Q151" s="34">
        <v>1.22048522930544</v>
      </c>
      <c r="R151" s="33">
        <v>25.415015596243698</v>
      </c>
      <c r="S151" s="33">
        <v>25.4521370689531</v>
      </c>
      <c r="T151" s="33">
        <v>25.4343209657359</v>
      </c>
      <c r="U151" s="15">
        <v>5.9099053713009995E-4</v>
      </c>
      <c r="V151" s="15">
        <v>2.0505367218215899E-3</v>
      </c>
      <c r="W151" s="15">
        <v>1.35030704842027E-3</v>
      </c>
      <c r="X151" s="34">
        <v>1.2190040705879599</v>
      </c>
      <c r="Y151" s="34">
        <v>1.2179193246936699</v>
      </c>
      <c r="Z151" s="34">
        <v>1.2185858237312099</v>
      </c>
      <c r="AA151" s="34">
        <v>1.21823528029037</v>
      </c>
      <c r="AB151" s="33">
        <v>26.105187285315399</v>
      </c>
      <c r="AC151" s="33">
        <v>26.117916201989502</v>
      </c>
      <c r="AD151" s="33">
        <v>26.111529267116001</v>
      </c>
      <c r="AE151" s="15">
        <v>-8.9025856785505703E-4</v>
      </c>
      <c r="AF151" s="15">
        <v>-4.0277635878584802E-4</v>
      </c>
      <c r="AG151" s="15">
        <v>-6.4734854782516203E-4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1</v>
      </c>
      <c r="AM151">
        <f t="shared" si="44"/>
        <v>1</v>
      </c>
      <c r="AN151">
        <f t="shared" ref="AN151:AN176" si="55">IF(AJ150,1,IF(AK150,0,AL150))*AM150</f>
        <v>1</v>
      </c>
      <c r="AO151" s="28">
        <f t="shared" si="48"/>
        <v>1.9212301778938701E-3</v>
      </c>
      <c r="AP151" s="28">
        <f t="shared" si="49"/>
        <v>-1.97044398729851E-3</v>
      </c>
      <c r="AQ151" s="28">
        <f t="shared" ref="AQ151:AQ176" si="56">AO151+AP151</f>
        <v>-4.9213809404639874E-5</v>
      </c>
      <c r="AR151" s="29">
        <f t="shared" ref="AR151:AR176" si="57">AR150+AQ151</f>
        <v>3.0736037717313692E-4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1.0668822742460687E-3</v>
      </c>
      <c r="BE151" s="29">
        <f t="shared" ref="BE151:BE176" si="62">AQ151+BB151</f>
        <v>-4.9213809404639874E-5</v>
      </c>
      <c r="BF151" s="29">
        <f t="shared" ref="BF151:BF176" si="63">BF150+BE151</f>
        <v>1.3742426514192056E-3</v>
      </c>
      <c r="BH151" s="29"/>
    </row>
    <row r="152" spans="1:60" x14ac:dyDescent="0.25">
      <c r="A152" s="1">
        <v>46244</v>
      </c>
      <c r="B152" s="33">
        <v>20.77</v>
      </c>
      <c r="C152" s="33">
        <v>25.29</v>
      </c>
      <c r="D152" s="15">
        <v>-3.36457899714526E-3</v>
      </c>
      <c r="E152" s="15">
        <v>-4.3401133426170602E-3</v>
      </c>
      <c r="F152" s="33">
        <v>0</v>
      </c>
      <c r="G152" s="33">
        <v>0.59424999999999994</v>
      </c>
      <c r="H152" s="33">
        <v>0</v>
      </c>
      <c r="I152" s="33">
        <v>0.72843799999999903</v>
      </c>
      <c r="J152" s="33">
        <v>0.59424999999999994</v>
      </c>
      <c r="K152" s="33">
        <v>0.72843799999999903</v>
      </c>
      <c r="L152" s="33">
        <v>21.364249999999998</v>
      </c>
      <c r="M152" s="33">
        <v>26.018438</v>
      </c>
      <c r="N152" s="34">
        <v>1.21762156957149</v>
      </c>
      <c r="O152" s="34">
        <v>1.2195304988600599</v>
      </c>
      <c r="P152" s="34">
        <v>1.22038179060616</v>
      </c>
      <c r="Q152" s="34">
        <v>1.2205134088860801</v>
      </c>
      <c r="R152" s="33">
        <v>25.329648461323501</v>
      </c>
      <c r="S152" s="33">
        <v>25.357775092094901</v>
      </c>
      <c r="T152" s="33">
        <v>25.349478212674001</v>
      </c>
      <c r="U152" s="15">
        <v>1.56652488260184E-3</v>
      </c>
      <c r="V152" s="15">
        <v>2.6763320768343202E-3</v>
      </c>
      <c r="W152" s="15">
        <v>2.3490858170128401E-3</v>
      </c>
      <c r="X152" s="34">
        <v>1.2178493511356501</v>
      </c>
      <c r="Y152" s="34">
        <v>1.2179193246936699</v>
      </c>
      <c r="Z152" s="34">
        <v>1.21858389821486</v>
      </c>
      <c r="AA152" s="34">
        <v>1.2182553883907901</v>
      </c>
      <c r="AB152" s="33">
        <v>26.019932932586801</v>
      </c>
      <c r="AC152" s="33">
        <v>26.034172184649499</v>
      </c>
      <c r="AD152" s="33">
        <v>26.026683086943699</v>
      </c>
      <c r="AE152" s="15">
        <v>5.7455011004439003E-5</v>
      </c>
      <c r="AF152" s="15">
        <v>6.0454932319349802E-4</v>
      </c>
      <c r="AG152" s="15">
        <v>3.1684380170487997E-4</v>
      </c>
      <c r="AI152" s="12"/>
      <c r="AJ152">
        <f t="shared" si="46"/>
        <v>0</v>
      </c>
      <c r="AK152">
        <f t="shared" si="47"/>
        <v>1</v>
      </c>
      <c r="AL152">
        <f t="shared" si="54"/>
        <v>1</v>
      </c>
      <c r="AM152">
        <f t="shared" si="44"/>
        <v>1</v>
      </c>
      <c r="AN152">
        <f t="shared" si="55"/>
        <v>1</v>
      </c>
      <c r="AO152" s="28">
        <f t="shared" si="48"/>
        <v>-3.36457899714526E-3</v>
      </c>
      <c r="AP152" s="28">
        <f t="shared" si="49"/>
        <v>4.3401133426170602E-3</v>
      </c>
      <c r="AQ152" s="28">
        <f t="shared" si="56"/>
        <v>9.7553434547180016E-4</v>
      </c>
      <c r="AR152" s="29">
        <f t="shared" si="57"/>
        <v>1.2828947226449371E-3</v>
      </c>
      <c r="AT152" s="12"/>
      <c r="AU152">
        <f t="shared" si="50"/>
        <v>0</v>
      </c>
      <c r="AV152">
        <f t="shared" si="51"/>
        <v>0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1.0668822742460687E-3</v>
      </c>
      <c r="BE152" s="29">
        <f t="shared" si="62"/>
        <v>9.7553434547180016E-4</v>
      </c>
      <c r="BF152" s="29">
        <f t="shared" si="63"/>
        <v>2.349776996891006E-3</v>
      </c>
      <c r="BH152" s="29"/>
    </row>
    <row r="153" spans="1:60" x14ac:dyDescent="0.25">
      <c r="A153" s="1">
        <v>46245</v>
      </c>
      <c r="B153" s="33">
        <v>20.77</v>
      </c>
      <c r="C153" s="33">
        <v>25.3</v>
      </c>
      <c r="D153" s="15">
        <v>0</v>
      </c>
      <c r="E153" s="15">
        <v>3.9533505160080601E-4</v>
      </c>
      <c r="F153" s="33">
        <v>0</v>
      </c>
      <c r="G153" s="33">
        <v>0.59424999999999994</v>
      </c>
      <c r="H153" s="33">
        <v>0</v>
      </c>
      <c r="I153" s="33">
        <v>0.72843799999999903</v>
      </c>
      <c r="J153" s="33">
        <v>0.59424999999999994</v>
      </c>
      <c r="K153" s="33">
        <v>0.72843799999999903</v>
      </c>
      <c r="L153" s="33">
        <v>21.364249999999998</v>
      </c>
      <c r="M153" s="33">
        <v>26.028438000000001</v>
      </c>
      <c r="N153" s="34">
        <v>1.2181030332209899</v>
      </c>
      <c r="O153" s="34">
        <v>1.2195304988600599</v>
      </c>
      <c r="P153" s="34">
        <v>1.2198736716098399</v>
      </c>
      <c r="Q153" s="34">
        <v>1.22053859880633</v>
      </c>
      <c r="R153" s="33">
        <v>25.329648461323501</v>
      </c>
      <c r="S153" s="33">
        <v>25.3473297908901</v>
      </c>
      <c r="T153" s="33">
        <v>25.350063502563799</v>
      </c>
      <c r="U153" s="15">
        <v>1.1711898310011199E-3</v>
      </c>
      <c r="V153" s="15">
        <v>1.8689950630376101E-3</v>
      </c>
      <c r="W153" s="15">
        <v>1.9768393326859801E-3</v>
      </c>
      <c r="X153" s="34">
        <v>1.21831742279743</v>
      </c>
      <c r="Y153" s="34">
        <v>1.2179193246936699</v>
      </c>
      <c r="Z153" s="34">
        <v>1.2185760061843101</v>
      </c>
      <c r="AA153" s="34">
        <v>1.21827251334318</v>
      </c>
      <c r="AB153" s="33">
        <v>26.019932932586801</v>
      </c>
      <c r="AC153" s="33">
        <v>26.034131047436901</v>
      </c>
      <c r="AD153" s="33">
        <v>26.027112681427901</v>
      </c>
      <c r="AE153" s="15">
        <v>-3.2681397463274399E-4</v>
      </c>
      <c r="AF153" s="15">
        <v>2.1870021260318999E-4</v>
      </c>
      <c r="AG153" s="15">
        <v>-5.0919394952762997E-5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1.2828947226449371E-3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1.0668822742460687E-3</v>
      </c>
      <c r="BE153" s="29">
        <f t="shared" si="62"/>
        <v>0</v>
      </c>
      <c r="BF153" s="29">
        <f t="shared" si="63"/>
        <v>2.349776996891006E-3</v>
      </c>
      <c r="BH153" s="29"/>
    </row>
    <row r="154" spans="1:60" x14ac:dyDescent="0.25">
      <c r="A154" s="1">
        <v>46246</v>
      </c>
      <c r="B154" s="33">
        <v>20.8</v>
      </c>
      <c r="C154" s="33">
        <v>25.32</v>
      </c>
      <c r="D154" s="15">
        <v>1.4433488192513199E-3</v>
      </c>
      <c r="E154" s="15">
        <v>7.9020154250088203E-4</v>
      </c>
      <c r="F154" s="33">
        <v>0</v>
      </c>
      <c r="G154" s="33">
        <v>0.59424999999999994</v>
      </c>
      <c r="H154" s="33">
        <v>0</v>
      </c>
      <c r="I154" s="33">
        <v>0.72843799999999903</v>
      </c>
      <c r="J154" s="33">
        <v>0.59424999999999994</v>
      </c>
      <c r="K154" s="33">
        <v>0.72843799999999903</v>
      </c>
      <c r="L154" s="33">
        <v>21.39425</v>
      </c>
      <c r="M154" s="33">
        <v>26.048438000000001</v>
      </c>
      <c r="N154" s="34">
        <v>1.21730769230769</v>
      </c>
      <c r="O154" s="34">
        <v>1.2195304988600599</v>
      </c>
      <c r="P154" s="34">
        <v>1.21930714354331</v>
      </c>
      <c r="Q154" s="34">
        <v>1.22053649057138</v>
      </c>
      <c r="R154" s="33">
        <v>25.366234376289299</v>
      </c>
      <c r="S154" s="33">
        <v>25.373372369484699</v>
      </c>
      <c r="T154" s="33">
        <v>25.387202855171701</v>
      </c>
      <c r="U154" s="15">
        <v>1.8243371077515901E-3</v>
      </c>
      <c r="V154" s="15">
        <v>2.10569495422987E-3</v>
      </c>
      <c r="W154" s="15">
        <v>2.6506251867198299E-3</v>
      </c>
      <c r="X154" s="34">
        <v>1.21754387276955</v>
      </c>
      <c r="Y154" s="34">
        <v>1.2179193246936699</v>
      </c>
      <c r="Z154" s="34">
        <v>1.21851286762761</v>
      </c>
      <c r="AA154" s="34">
        <v>1.21826319707859</v>
      </c>
      <c r="AB154" s="33">
        <v>26.0564705123276</v>
      </c>
      <c r="AC154" s="33">
        <v>26.070519720308699</v>
      </c>
      <c r="AD154" s="33">
        <v>26.064026718592299</v>
      </c>
      <c r="AE154" s="15">
        <v>3.0832075597730902E-4</v>
      </c>
      <c r="AF154" s="15">
        <v>8.4735852733168102E-4</v>
      </c>
      <c r="AG154" s="15">
        <v>5.9827218465087202E-4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1.2828947226449371E-3</v>
      </c>
      <c r="AT154" s="12"/>
      <c r="AU154">
        <f t="shared" si="50"/>
        <v>0</v>
      </c>
      <c r="AV154">
        <f t="shared" si="51"/>
        <v>0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1.0668822742460687E-3</v>
      </c>
      <c r="BE154" s="29">
        <f t="shared" si="62"/>
        <v>0</v>
      </c>
      <c r="BF154" s="29">
        <f t="shared" si="63"/>
        <v>2.349776996891006E-3</v>
      </c>
      <c r="BH154" s="29"/>
    </row>
    <row r="155" spans="1:60" x14ac:dyDescent="0.25">
      <c r="A155" s="1">
        <v>46247</v>
      </c>
      <c r="B155" s="33">
        <v>20.86</v>
      </c>
      <c r="C155" s="33">
        <v>25.41</v>
      </c>
      <c r="D155" s="15">
        <v>2.8804628653540799E-3</v>
      </c>
      <c r="E155" s="15">
        <v>3.5482000560971699E-3</v>
      </c>
      <c r="F155" s="33">
        <v>0</v>
      </c>
      <c r="G155" s="33">
        <v>0.59424999999999994</v>
      </c>
      <c r="H155" s="33">
        <v>0</v>
      </c>
      <c r="I155" s="33">
        <v>0.72843799999999903</v>
      </c>
      <c r="J155" s="33">
        <v>0.59424999999999994</v>
      </c>
      <c r="K155" s="33">
        <v>0.72843799999999903</v>
      </c>
      <c r="L155" s="33">
        <v>21.454249999999998</v>
      </c>
      <c r="M155" s="33">
        <v>26.138438000000001</v>
      </c>
      <c r="N155" s="34">
        <v>1.2181208053691199</v>
      </c>
      <c r="O155" s="34">
        <v>1.2195304988600599</v>
      </c>
      <c r="P155" s="34">
        <v>1.21880597106818</v>
      </c>
      <c r="Q155" s="34">
        <v>1.2205408132825899</v>
      </c>
      <c r="R155" s="33">
        <v>25.439406206220902</v>
      </c>
      <c r="S155" s="33">
        <v>25.434747014313601</v>
      </c>
      <c r="T155" s="33">
        <v>25.460391193319101</v>
      </c>
      <c r="U155" s="15">
        <v>1.15659991700844E-3</v>
      </c>
      <c r="V155" s="15">
        <v>9.7343453241205305E-4</v>
      </c>
      <c r="W155" s="15">
        <v>1.98116069560922E-3</v>
      </c>
      <c r="X155" s="34">
        <v>1.2183338033256801</v>
      </c>
      <c r="Y155" s="34">
        <v>1.2179193246936699</v>
      </c>
      <c r="Z155" s="34">
        <v>1.2185125363048099</v>
      </c>
      <c r="AA155" s="34">
        <v>1.21825994210301</v>
      </c>
      <c r="AB155" s="33">
        <v>26.1295456718093</v>
      </c>
      <c r="AC155" s="33">
        <v>26.142279690299599</v>
      </c>
      <c r="AD155" s="33">
        <v>26.136923195923401</v>
      </c>
      <c r="AE155" s="15">
        <v>-3.4025908985949298E-4</v>
      </c>
      <c r="AF155" s="15">
        <v>1.4696394679803701E-4</v>
      </c>
      <c r="AG155" s="15">
        <v>-5.7954800972189502E-5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1.2828947226449371E-3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1.0668822742460687E-3</v>
      </c>
      <c r="BE155" s="29">
        <f t="shared" si="62"/>
        <v>0</v>
      </c>
      <c r="BF155" s="29">
        <f t="shared" si="63"/>
        <v>2.349776996891006E-3</v>
      </c>
      <c r="BH155" s="29"/>
    </row>
    <row r="156" spans="1:60" x14ac:dyDescent="0.25">
      <c r="A156" s="1">
        <v>46248</v>
      </c>
      <c r="B156" s="33">
        <v>20.8</v>
      </c>
      <c r="C156" s="33">
        <v>25.35</v>
      </c>
      <c r="D156" s="15">
        <v>-2.8804628653540301E-3</v>
      </c>
      <c r="E156" s="15">
        <v>-2.3640672948804999E-3</v>
      </c>
      <c r="F156" s="33">
        <v>0</v>
      </c>
      <c r="G156" s="33">
        <v>0.59424999999999994</v>
      </c>
      <c r="H156" s="33">
        <v>0</v>
      </c>
      <c r="I156" s="33">
        <v>0.72843799999999903</v>
      </c>
      <c r="J156" s="33">
        <v>0.59424999999999994</v>
      </c>
      <c r="K156" s="33">
        <v>0.72843799999999903</v>
      </c>
      <c r="L156" s="33">
        <v>21.39425</v>
      </c>
      <c r="M156" s="33">
        <v>26.078437999999998</v>
      </c>
      <c r="N156" s="34">
        <v>1.21875</v>
      </c>
      <c r="O156" s="34">
        <v>1.2195304988600599</v>
      </c>
      <c r="P156" s="34">
        <v>1.2183246214786101</v>
      </c>
      <c r="Q156" s="34">
        <v>1.2206108204322501</v>
      </c>
      <c r="R156" s="33">
        <v>25.366234376289299</v>
      </c>
      <c r="S156" s="33">
        <v>25.3511641982181</v>
      </c>
      <c r="T156" s="33">
        <v>25.387248916277901</v>
      </c>
      <c r="U156" s="15">
        <v>6.4020434653481496E-4</v>
      </c>
      <c r="V156" s="15">
        <v>4.5923924501886599E-5</v>
      </c>
      <c r="W156" s="15">
        <v>1.4683067673425499E-3</v>
      </c>
      <c r="X156" s="34">
        <v>1.21894611870011</v>
      </c>
      <c r="Y156" s="34">
        <v>1.2179193246936699</v>
      </c>
      <c r="Z156" s="34">
        <v>1.2185324424236199</v>
      </c>
      <c r="AA156" s="34">
        <v>1.2183207381349499</v>
      </c>
      <c r="AB156" s="33">
        <v>26.0564705123276</v>
      </c>
      <c r="AC156" s="33">
        <v>26.069161829839299</v>
      </c>
      <c r="AD156" s="33">
        <v>26.0637577663373</v>
      </c>
      <c r="AE156" s="15">
        <v>-8.4271708147988999E-4</v>
      </c>
      <c r="AF156" s="15">
        <v>-3.5576595236629999E-4</v>
      </c>
      <c r="AG156" s="15">
        <v>-5.6308461255813902E-4</v>
      </c>
      <c r="AI156" s="12"/>
      <c r="AJ156">
        <f t="shared" si="46"/>
        <v>0</v>
      </c>
      <c r="AK156">
        <f t="shared" si="47"/>
        <v>0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1.2828947226449371E-3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1.0668822742460687E-3</v>
      </c>
      <c r="BE156" s="29">
        <f t="shared" si="62"/>
        <v>0</v>
      </c>
      <c r="BF156" s="29">
        <f t="shared" si="63"/>
        <v>2.349776996891006E-3</v>
      </c>
      <c r="BH156" s="29"/>
    </row>
    <row r="157" spans="1:60" x14ac:dyDescent="0.25">
      <c r="A157" s="1">
        <v>46251</v>
      </c>
      <c r="B157" s="33">
        <v>20.76</v>
      </c>
      <c r="C157" s="33">
        <v>25.29</v>
      </c>
      <c r="D157" s="15">
        <v>-1.9249284095843901E-3</v>
      </c>
      <c r="E157" s="15">
        <v>-2.3696693553184201E-3</v>
      </c>
      <c r="F157" s="33">
        <v>0</v>
      </c>
      <c r="G157" s="33">
        <v>0.59424999999999994</v>
      </c>
      <c r="H157" s="33">
        <v>0</v>
      </c>
      <c r="I157" s="33">
        <v>0.72843799999999903</v>
      </c>
      <c r="J157" s="33">
        <v>0.59424999999999994</v>
      </c>
      <c r="K157" s="33">
        <v>0.72843799999999903</v>
      </c>
      <c r="L157" s="33">
        <v>21.35425</v>
      </c>
      <c r="M157" s="33">
        <v>26.018438</v>
      </c>
      <c r="N157" s="34">
        <v>1.2182080924855401</v>
      </c>
      <c r="O157" s="34">
        <v>1.2195304988600599</v>
      </c>
      <c r="P157" s="34">
        <v>1.21833512740506</v>
      </c>
      <c r="Q157" s="34">
        <v>1.22038878743657</v>
      </c>
      <c r="R157" s="33">
        <v>25.317453156334899</v>
      </c>
      <c r="S157" s="33">
        <v>25.292419141895898</v>
      </c>
      <c r="T157" s="33">
        <v>25.3398806321736</v>
      </c>
      <c r="U157" s="15">
        <v>1.08494529226889E-3</v>
      </c>
      <c r="V157" s="15">
        <v>9.5651490730199894E-5</v>
      </c>
      <c r="W157" s="15">
        <v>1.9704035517870101E-3</v>
      </c>
      <c r="X157" s="34">
        <v>1.2184196588501099</v>
      </c>
      <c r="Y157" s="34">
        <v>1.2179193246936699</v>
      </c>
      <c r="Z157" s="34">
        <v>1.2185426660288901</v>
      </c>
      <c r="AA157" s="34">
        <v>1.2183473767453701</v>
      </c>
      <c r="AB157" s="33">
        <v>26.007753739339901</v>
      </c>
      <c r="AC157" s="33">
        <v>26.020846408624699</v>
      </c>
      <c r="AD157" s="33">
        <v>26.016325622318298</v>
      </c>
      <c r="AE157" s="15">
        <v>-4.10726230502587E-4</v>
      </c>
      <c r="AF157" s="15">
        <v>9.2561173884045099E-5</v>
      </c>
      <c r="AG157" s="15">
        <v>-8.1191016764586805E-5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1.2828947226449371E-3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1.0668822742460687E-3</v>
      </c>
      <c r="BE157" s="29">
        <f t="shared" si="62"/>
        <v>0</v>
      </c>
      <c r="BF157" s="29">
        <f t="shared" si="63"/>
        <v>2.349776996891006E-3</v>
      </c>
      <c r="BH157" s="29"/>
    </row>
    <row r="158" spans="1:60" x14ac:dyDescent="0.25">
      <c r="A158" s="1">
        <v>46252</v>
      </c>
      <c r="B158" s="33">
        <v>20.78</v>
      </c>
      <c r="C158" s="33">
        <v>25.31</v>
      </c>
      <c r="D158" s="15">
        <v>9.6292737339334199E-4</v>
      </c>
      <c r="E158" s="15">
        <v>7.9051387515897595E-4</v>
      </c>
      <c r="F158" s="33">
        <v>0</v>
      </c>
      <c r="G158" s="33">
        <v>0.59424999999999994</v>
      </c>
      <c r="H158" s="33">
        <v>0</v>
      </c>
      <c r="I158" s="33">
        <v>0.72843799999999903</v>
      </c>
      <c r="J158" s="33">
        <v>0.59424999999999994</v>
      </c>
      <c r="K158" s="33">
        <v>0.72843799999999903</v>
      </c>
      <c r="L158" s="33">
        <v>21.37425</v>
      </c>
      <c r="M158" s="33">
        <v>26.038437999999999</v>
      </c>
      <c r="N158" s="34">
        <v>1.2179980750721799</v>
      </c>
      <c r="O158" s="34">
        <v>1.2195304988600599</v>
      </c>
      <c r="P158" s="34">
        <v>1.21821646968446</v>
      </c>
      <c r="Q158" s="34">
        <v>1.2201348450363301</v>
      </c>
      <c r="R158" s="33">
        <v>25.341843766312099</v>
      </c>
      <c r="S158" s="33">
        <v>25.3170039474773</v>
      </c>
      <c r="T158" s="33">
        <v>25.359679002931902</v>
      </c>
      <c r="U158" s="15">
        <v>1.2573587905035E-3</v>
      </c>
      <c r="V158" s="15">
        <v>2.7668820889563601E-4</v>
      </c>
      <c r="W158" s="15">
        <v>1.9608973187926699E-3</v>
      </c>
      <c r="X158" s="34">
        <v>1.2182152824075601</v>
      </c>
      <c r="Y158" s="34">
        <v>1.2179193246936699</v>
      </c>
      <c r="Z158" s="34">
        <v>1.21842736738132</v>
      </c>
      <c r="AA158" s="34">
        <v>1.21834342780032</v>
      </c>
      <c r="AB158" s="33">
        <v>26.032112125833802</v>
      </c>
      <c r="AC158" s="33">
        <v>26.0454355793681</v>
      </c>
      <c r="AD158" s="33">
        <v>26.041261417399799</v>
      </c>
      <c r="AE158" s="15">
        <v>-2.42973203932362E-4</v>
      </c>
      <c r="AF158" s="15">
        <v>2.6870426215772699E-4</v>
      </c>
      <c r="AG158" s="15">
        <v>1.08426793325457E-4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1.2828947226449371E-3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1.0668822742460687E-3</v>
      </c>
      <c r="BE158" s="29">
        <f t="shared" si="62"/>
        <v>0</v>
      </c>
      <c r="BF158" s="29">
        <f t="shared" si="63"/>
        <v>2.349776996891006E-3</v>
      </c>
      <c r="BH158" s="29"/>
    </row>
    <row r="159" spans="1:60" x14ac:dyDescent="0.25">
      <c r="A159" s="1">
        <v>46253</v>
      </c>
      <c r="B159" s="33">
        <v>20.85</v>
      </c>
      <c r="C159" s="33">
        <v>25.41</v>
      </c>
      <c r="D159" s="15">
        <v>3.3629625737291598E-3</v>
      </c>
      <c r="E159" s="15">
        <v>3.9432227750399998E-3</v>
      </c>
      <c r="F159" s="33">
        <v>0</v>
      </c>
      <c r="G159" s="33">
        <v>0.59424999999999994</v>
      </c>
      <c r="H159" s="33">
        <v>0</v>
      </c>
      <c r="I159" s="33">
        <v>0.72843799999999903</v>
      </c>
      <c r="J159" s="33">
        <v>0.59424999999999994</v>
      </c>
      <c r="K159" s="33">
        <v>0.72843799999999903</v>
      </c>
      <c r="L159" s="33">
        <v>21.44425</v>
      </c>
      <c r="M159" s="33">
        <v>26.138438000000001</v>
      </c>
      <c r="N159" s="34">
        <v>1.2187050359712199</v>
      </c>
      <c r="O159" s="34">
        <v>1.2195304988600599</v>
      </c>
      <c r="P159" s="34">
        <v>1.21823742848044</v>
      </c>
      <c r="Q159" s="34">
        <v>1.2199723597140499</v>
      </c>
      <c r="R159" s="33">
        <v>25.4272109012323</v>
      </c>
      <c r="S159" s="33">
        <v>25.3998133929211</v>
      </c>
      <c r="T159" s="33">
        <v>25.439811519007598</v>
      </c>
      <c r="U159" s="15">
        <v>6.7709858919243898E-4</v>
      </c>
      <c r="V159" s="15">
        <v>-4.00970069956317E-4</v>
      </c>
      <c r="W159" s="15">
        <v>1.1725322683628699E-3</v>
      </c>
      <c r="X159" s="34">
        <v>1.2189019434113999</v>
      </c>
      <c r="Y159" s="34">
        <v>1.2179193246936699</v>
      </c>
      <c r="Z159" s="34">
        <v>1.2184477642685601</v>
      </c>
      <c r="AA159" s="34">
        <v>1.21842869605108</v>
      </c>
      <c r="AB159" s="33">
        <v>26.1173664785623</v>
      </c>
      <c r="AC159" s="33">
        <v>26.128261072967</v>
      </c>
      <c r="AD159" s="33">
        <v>26.126461051607102</v>
      </c>
      <c r="AE159" s="15">
        <v>-8.0647586579013996E-4</v>
      </c>
      <c r="AF159" s="15">
        <v>-3.8942299177551398E-4</v>
      </c>
      <c r="AG159" s="15">
        <v>-4.5831710458914802E-4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1.2828947226449371E-3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1.0668822742460687E-3</v>
      </c>
      <c r="BE159" s="29">
        <f t="shared" si="62"/>
        <v>0</v>
      </c>
      <c r="BF159" s="29">
        <f t="shared" si="63"/>
        <v>2.349776996891006E-3</v>
      </c>
      <c r="BH159" s="29"/>
    </row>
    <row r="160" spans="1:60" x14ac:dyDescent="0.25">
      <c r="A160" s="1">
        <v>46254</v>
      </c>
      <c r="B160" s="33">
        <v>20.79</v>
      </c>
      <c r="C160" s="33">
        <v>25.32</v>
      </c>
      <c r="D160" s="15">
        <v>-2.8818463748890299E-3</v>
      </c>
      <c r="E160" s="15">
        <v>-3.5482000560972098E-3</v>
      </c>
      <c r="F160" s="33">
        <v>0</v>
      </c>
      <c r="G160" s="33">
        <v>0.59424999999999994</v>
      </c>
      <c r="H160" s="33">
        <v>0</v>
      </c>
      <c r="I160" s="33">
        <v>0.72843799999999903</v>
      </c>
      <c r="J160" s="33">
        <v>0.59424999999999994</v>
      </c>
      <c r="K160" s="33">
        <v>0.72843799999999903</v>
      </c>
      <c r="L160" s="33">
        <v>21.384249999999899</v>
      </c>
      <c r="M160" s="33">
        <v>26.048438000000001</v>
      </c>
      <c r="N160" s="34">
        <v>1.21789321789321</v>
      </c>
      <c r="O160" s="34">
        <v>1.2195304988600599</v>
      </c>
      <c r="P160" s="34">
        <v>1.2181517502697601</v>
      </c>
      <c r="Q160" s="34">
        <v>1.2197317549082201</v>
      </c>
      <c r="R160" s="33">
        <v>25.354039071300701</v>
      </c>
      <c r="S160" s="33">
        <v>25.3271561381083</v>
      </c>
      <c r="T160" s="33">
        <v>25.3632253584551</v>
      </c>
      <c r="U160" s="15">
        <v>1.3434522704007901E-3</v>
      </c>
      <c r="V160" s="15">
        <v>2.8258795563832899E-4</v>
      </c>
      <c r="W160" s="15">
        <v>1.7057071103710199E-3</v>
      </c>
      <c r="X160" s="34">
        <v>1.2181132375463199</v>
      </c>
      <c r="Y160" s="34">
        <v>1.2179193246936699</v>
      </c>
      <c r="Z160" s="34">
        <v>1.21836447615318</v>
      </c>
      <c r="AA160" s="34">
        <v>1.2184388297928701</v>
      </c>
      <c r="AB160" s="33">
        <v>26.044291319080699</v>
      </c>
      <c r="AC160" s="33">
        <v>26.055591603059899</v>
      </c>
      <c r="AD160" s="33">
        <v>26.0551838435305</v>
      </c>
      <c r="AE160" s="15">
        <v>-1.5920382679906E-4</v>
      </c>
      <c r="AF160" s="15">
        <v>2.7458924614516501E-4</v>
      </c>
      <c r="AG160" s="15">
        <v>2.5893952587226302E-4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1.2828947226449371E-3</v>
      </c>
      <c r="AT160" s="12"/>
      <c r="AU160">
        <f t="shared" si="50"/>
        <v>0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1.0668822742460687E-3</v>
      </c>
      <c r="BE160" s="29">
        <f t="shared" si="62"/>
        <v>0</v>
      </c>
      <c r="BF160" s="29">
        <f t="shared" si="63"/>
        <v>2.349776996891006E-3</v>
      </c>
      <c r="BH160" s="29"/>
    </row>
    <row r="161" spans="1:60" x14ac:dyDescent="0.25">
      <c r="A161" s="1">
        <v>46255</v>
      </c>
      <c r="B161" s="33">
        <v>20.77</v>
      </c>
      <c r="C161" s="33">
        <v>25.3</v>
      </c>
      <c r="D161" s="15">
        <v>-9.6246398190059695E-4</v>
      </c>
      <c r="E161" s="15">
        <v>-7.9020154250091304E-4</v>
      </c>
      <c r="F161" s="33">
        <v>0</v>
      </c>
      <c r="G161" s="33">
        <v>0.59424999999999994</v>
      </c>
      <c r="H161" s="33">
        <v>0</v>
      </c>
      <c r="I161" s="33">
        <v>0.72843799999999903</v>
      </c>
      <c r="J161" s="33">
        <v>0.59424999999999994</v>
      </c>
      <c r="K161" s="33">
        <v>0.72843799999999903</v>
      </c>
      <c r="L161" s="33">
        <v>21.364249999999998</v>
      </c>
      <c r="M161" s="33">
        <v>26.028438000000001</v>
      </c>
      <c r="N161" s="34">
        <v>1.2181030332209899</v>
      </c>
      <c r="O161" s="34">
        <v>1.2195304988600599</v>
      </c>
      <c r="P161" s="34">
        <v>1.21808105551124</v>
      </c>
      <c r="Q161" s="34">
        <v>1.2194828747006099</v>
      </c>
      <c r="R161" s="33">
        <v>25.329648461323501</v>
      </c>
      <c r="S161" s="33">
        <v>25.301011853102899</v>
      </c>
      <c r="T161" s="33">
        <v>25.333828549443901</v>
      </c>
      <c r="U161" s="15">
        <v>1.1711898310011199E-3</v>
      </c>
      <c r="V161" s="15">
        <v>3.9993394046746101E-5</v>
      </c>
      <c r="W161" s="15">
        <v>1.33620369805163E-3</v>
      </c>
      <c r="X161" s="34">
        <v>1.21831742279743</v>
      </c>
      <c r="Y161" s="34">
        <v>1.2179193246936699</v>
      </c>
      <c r="Z161" s="34">
        <v>1.21829581137412</v>
      </c>
      <c r="AA161" s="34">
        <v>1.21844081755267</v>
      </c>
      <c r="AB161" s="33">
        <v>26.019932932586801</v>
      </c>
      <c r="AC161" s="33">
        <v>26.029443259655601</v>
      </c>
      <c r="AD161" s="33">
        <v>26.0310317694024</v>
      </c>
      <c r="AE161" s="15">
        <v>-3.2681397463274399E-4</v>
      </c>
      <c r="AF161" s="15">
        <v>3.86208440067718E-5</v>
      </c>
      <c r="AG161" s="15">
        <v>9.9646401167416602E-5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0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1.2828947226449371E-3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0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1.0668822742460687E-3</v>
      </c>
      <c r="BE161" s="29">
        <f t="shared" si="62"/>
        <v>0</v>
      </c>
      <c r="BF161" s="29">
        <f t="shared" si="63"/>
        <v>2.349776996891006E-3</v>
      </c>
      <c r="BH161" s="29"/>
    </row>
    <row r="162" spans="1:60" x14ac:dyDescent="0.25">
      <c r="A162" s="1">
        <v>46258</v>
      </c>
      <c r="B162" s="33">
        <v>20.71</v>
      </c>
      <c r="C162" s="33">
        <v>25.33</v>
      </c>
      <c r="D162" s="15">
        <v>-2.8929624805280902E-3</v>
      </c>
      <c r="E162" s="15">
        <v>1.18506828010929E-3</v>
      </c>
      <c r="F162" s="33">
        <v>9.1139999999999999E-2</v>
      </c>
      <c r="G162" s="33">
        <v>0.68538999999999894</v>
      </c>
      <c r="H162" s="33">
        <v>0</v>
      </c>
      <c r="I162" s="33">
        <v>0.72843799999999903</v>
      </c>
      <c r="J162" s="33">
        <v>0.68538999999999894</v>
      </c>
      <c r="K162" s="33">
        <v>0.72843799999999903</v>
      </c>
      <c r="L162" s="33">
        <v>21.395389999999999</v>
      </c>
      <c r="M162" s="33">
        <v>26.058437999999999</v>
      </c>
      <c r="N162" s="34">
        <v>1.2230806373732399</v>
      </c>
      <c r="O162" s="34">
        <v>1.2195304988600599</v>
      </c>
      <c r="P162" s="34">
        <v>1.2186269622914201</v>
      </c>
      <c r="Q162" s="34">
        <v>1.2195043764487901</v>
      </c>
      <c r="R162" s="33">
        <v>25.256476631391799</v>
      </c>
      <c r="S162" s="33">
        <v>25.226458659637899</v>
      </c>
      <c r="T162" s="33">
        <v>25.2554903350497</v>
      </c>
      <c r="U162" s="15">
        <v>-2.90684092963621E-3</v>
      </c>
      <c r="V162" s="15">
        <v>-4.0960734938170198E-3</v>
      </c>
      <c r="W162" s="15">
        <v>-2.9458929167796798E-3</v>
      </c>
      <c r="X162" s="34">
        <v>1.2179463893857501</v>
      </c>
      <c r="Y162" s="34">
        <v>1.2179193246936699</v>
      </c>
      <c r="Z162" s="34">
        <v>1.21830551519913</v>
      </c>
      <c r="AA162" s="34">
        <v>1.2184447067069999</v>
      </c>
      <c r="AB162" s="33">
        <v>26.0578589403578</v>
      </c>
      <c r="AC162" s="33">
        <v>26.065914019715901</v>
      </c>
      <c r="AD162" s="33">
        <v>26.069016483458199</v>
      </c>
      <c r="AE162" s="15">
        <v>-2.2221826037954E-5</v>
      </c>
      <c r="AF162" s="15">
        <v>2.8685324526796398E-4</v>
      </c>
      <c r="AG162" s="15">
        <v>4.05869947354259E-4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1.2828947226449371E-3</v>
      </c>
      <c r="AT162" s="12"/>
      <c r="AU162">
        <f t="shared" si="50"/>
        <v>0</v>
      </c>
      <c r="AV162">
        <f t="shared" si="51"/>
        <v>0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1.0668822742460687E-3</v>
      </c>
      <c r="BE162" s="29">
        <f t="shared" si="62"/>
        <v>0</v>
      </c>
      <c r="BF162" s="29">
        <f t="shared" si="63"/>
        <v>2.349776996891006E-3</v>
      </c>
      <c r="BH162" s="29"/>
    </row>
    <row r="163" spans="1:60" x14ac:dyDescent="0.25">
      <c r="A163" s="1">
        <v>46259</v>
      </c>
      <c r="B163" s="33">
        <v>20.81</v>
      </c>
      <c r="C163" s="33">
        <v>25.46</v>
      </c>
      <c r="D163" s="15">
        <v>4.8169649980501598E-3</v>
      </c>
      <c r="E163" s="15">
        <v>5.1191291156766896E-3</v>
      </c>
      <c r="F163" s="33">
        <v>0</v>
      </c>
      <c r="G163" s="33">
        <v>0.68538999999999894</v>
      </c>
      <c r="H163" s="33">
        <v>0</v>
      </c>
      <c r="I163" s="33">
        <v>0.72843799999999903</v>
      </c>
      <c r="J163" s="33">
        <v>0.68538999999999894</v>
      </c>
      <c r="K163" s="33">
        <v>0.72843799999999903</v>
      </c>
      <c r="L163" s="33">
        <v>21.49539</v>
      </c>
      <c r="M163" s="33">
        <v>26.188438000000001</v>
      </c>
      <c r="N163" s="34">
        <v>1.2234502642960099</v>
      </c>
      <c r="O163" s="34">
        <v>1.2195304988600599</v>
      </c>
      <c r="P163" s="34">
        <v>1.21916168539892</v>
      </c>
      <c r="Q163" s="34">
        <v>1.21951767850438</v>
      </c>
      <c r="R163" s="33">
        <v>25.3784296812779</v>
      </c>
      <c r="S163" s="33">
        <v>25.359627085284501</v>
      </c>
      <c r="T163" s="33">
        <v>25.377886073899401</v>
      </c>
      <c r="U163" s="15">
        <v>-3.20900504726281E-3</v>
      </c>
      <c r="V163" s="15">
        <v>-3.9501685072917897E-3</v>
      </c>
      <c r="W163" s="15">
        <v>-3.2304253324191802E-3</v>
      </c>
      <c r="X163" s="34">
        <v>1.2183281159355499</v>
      </c>
      <c r="Y163" s="34">
        <v>1.2179193246936699</v>
      </c>
      <c r="Z163" s="34">
        <v>1.2183065845129499</v>
      </c>
      <c r="AA163" s="34">
        <v>1.2184412953486301</v>
      </c>
      <c r="AB163" s="33">
        <v>26.179650872827199</v>
      </c>
      <c r="AC163" s="33">
        <v>26.187952188356299</v>
      </c>
      <c r="AD163" s="33">
        <v>26.1909441641026</v>
      </c>
      <c r="AE163" s="15">
        <v>-3.3559090829513E-4</v>
      </c>
      <c r="AF163" s="15">
        <v>-1.8550787554405198E-5</v>
      </c>
      <c r="AG163" s="15">
        <v>9.5692770743134996E-5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1.2828947226449371E-3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1.0668822742460687E-3</v>
      </c>
      <c r="BE163" s="29">
        <f t="shared" si="62"/>
        <v>0</v>
      </c>
      <c r="BF163" s="29">
        <f t="shared" si="63"/>
        <v>2.349776996891006E-3</v>
      </c>
      <c r="BH163" s="29"/>
    </row>
    <row r="164" spans="1:60" x14ac:dyDescent="0.25">
      <c r="A164" s="1">
        <v>46260</v>
      </c>
      <c r="B164" s="33">
        <v>20.78</v>
      </c>
      <c r="C164" s="33">
        <v>25.42</v>
      </c>
      <c r="D164" s="15">
        <v>-1.4426547344615799E-3</v>
      </c>
      <c r="E164" s="15">
        <v>-1.57232736795241E-3</v>
      </c>
      <c r="F164" s="33">
        <v>0</v>
      </c>
      <c r="G164" s="33">
        <v>0.68538999999999894</v>
      </c>
      <c r="H164" s="33">
        <v>0</v>
      </c>
      <c r="I164" s="33">
        <v>0.72843799999999903</v>
      </c>
      <c r="J164" s="33">
        <v>0.68538999999999894</v>
      </c>
      <c r="K164" s="33">
        <v>0.72843799999999903</v>
      </c>
      <c r="L164" s="33">
        <v>21.465389999999999</v>
      </c>
      <c r="M164" s="33">
        <v>26.148437999999999</v>
      </c>
      <c r="N164" s="34">
        <v>1.2232916265639999</v>
      </c>
      <c r="O164" s="34">
        <v>1.2195304988600599</v>
      </c>
      <c r="P164" s="34">
        <v>1.21976007882455</v>
      </c>
      <c r="Q164" s="34">
        <v>1.2195336111839301</v>
      </c>
      <c r="R164" s="33">
        <v>25.341843766312099</v>
      </c>
      <c r="S164" s="33">
        <v>25.334179822589601</v>
      </c>
      <c r="T164" s="33">
        <v>25.3415773593211</v>
      </c>
      <c r="U164" s="15">
        <v>-3.0793324137719999E-3</v>
      </c>
      <c r="V164" s="15">
        <v>-3.3818006517318902E-3</v>
      </c>
      <c r="W164" s="15">
        <v>-3.0898450029011098E-3</v>
      </c>
      <c r="X164" s="34">
        <v>1.2181673847994301</v>
      </c>
      <c r="Y164" s="34">
        <v>1.2179193246936699</v>
      </c>
      <c r="Z164" s="34">
        <v>1.21836893571593</v>
      </c>
      <c r="AA164" s="34">
        <v>1.2184409016717701</v>
      </c>
      <c r="AB164" s="33">
        <v>26.143113293086401</v>
      </c>
      <c r="AC164" s="33">
        <v>26.151425976138398</v>
      </c>
      <c r="AD164" s="33">
        <v>26.154317596763502</v>
      </c>
      <c r="AE164" s="15">
        <v>-2.0365457900304101E-4</v>
      </c>
      <c r="AF164" s="15">
        <v>1.14263247148907E-4</v>
      </c>
      <c r="AG164" s="15">
        <v>2.24829331503713E-4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1.2828947226449371E-3</v>
      </c>
      <c r="AT164" s="12"/>
      <c r="AU164">
        <f t="shared" si="50"/>
        <v>0</v>
      </c>
      <c r="AV164">
        <f t="shared" si="51"/>
        <v>0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1.0668822742460687E-3</v>
      </c>
      <c r="BE164" s="29">
        <f t="shared" si="62"/>
        <v>0</v>
      </c>
      <c r="BF164" s="29">
        <f t="shared" si="63"/>
        <v>2.349776996891006E-3</v>
      </c>
      <c r="BH164" s="29"/>
    </row>
    <row r="165" spans="1:60" x14ac:dyDescent="0.25">
      <c r="A165" s="1">
        <v>46261</v>
      </c>
      <c r="B165" s="33">
        <v>20.78</v>
      </c>
      <c r="C165" s="33">
        <v>25.41</v>
      </c>
      <c r="D165" s="15">
        <v>0</v>
      </c>
      <c r="E165" s="15">
        <v>-3.9346842923535999E-4</v>
      </c>
      <c r="F165" s="33">
        <v>0</v>
      </c>
      <c r="G165" s="33">
        <v>0.68538999999999894</v>
      </c>
      <c r="H165" s="33">
        <v>0</v>
      </c>
      <c r="I165" s="33">
        <v>0.72843799999999903</v>
      </c>
      <c r="J165" s="33">
        <v>0.68538999999999894</v>
      </c>
      <c r="K165" s="33">
        <v>0.72843799999999903</v>
      </c>
      <c r="L165" s="33">
        <v>21.465389999999999</v>
      </c>
      <c r="M165" s="33">
        <v>26.138438000000001</v>
      </c>
      <c r="N165" s="34">
        <v>1.2228103946102</v>
      </c>
      <c r="O165" s="34">
        <v>1.2195304988600599</v>
      </c>
      <c r="P165" s="34">
        <v>1.22022903774866</v>
      </c>
      <c r="Q165" s="34">
        <v>1.2195175044084201</v>
      </c>
      <c r="R165" s="33">
        <v>25.341843766312099</v>
      </c>
      <c r="S165" s="33">
        <v>25.3466144379742</v>
      </c>
      <c r="T165" s="33">
        <v>25.3419084404022</v>
      </c>
      <c r="U165" s="15">
        <v>-2.6858639845366099E-3</v>
      </c>
      <c r="V165" s="15">
        <v>-2.4976289564744101E-3</v>
      </c>
      <c r="W165" s="15">
        <v>-2.68331192052048E-3</v>
      </c>
      <c r="X165" s="34">
        <v>1.2177015185841</v>
      </c>
      <c r="Y165" s="34">
        <v>1.2179193246936699</v>
      </c>
      <c r="Z165" s="34">
        <v>1.21830570724178</v>
      </c>
      <c r="AA165" s="34">
        <v>1.21840912177329</v>
      </c>
      <c r="AB165" s="33">
        <v>26.143113293086401</v>
      </c>
      <c r="AC165" s="33">
        <v>26.152764369027501</v>
      </c>
      <c r="AD165" s="33">
        <v>26.154309146336299</v>
      </c>
      <c r="AE165" s="15">
        <v>1.7885058814172199E-4</v>
      </c>
      <c r="AF165" s="15">
        <v>5.4794568634682799E-4</v>
      </c>
      <c r="AG165" s="15">
        <v>6.0701139984931899E-4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1.2828947226449371E-3</v>
      </c>
      <c r="AT165" s="12"/>
      <c r="AU165">
        <f t="shared" si="50"/>
        <v>0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1.0668822742460687E-3</v>
      </c>
      <c r="BE165" s="29">
        <f t="shared" si="62"/>
        <v>0</v>
      </c>
      <c r="BF165" s="29">
        <f t="shared" si="63"/>
        <v>2.349776996891006E-3</v>
      </c>
      <c r="BH165" s="29"/>
    </row>
    <row r="166" spans="1:60" x14ac:dyDescent="0.25">
      <c r="A166" s="1">
        <v>46262</v>
      </c>
      <c r="B166" s="33">
        <v>20.71</v>
      </c>
      <c r="C166" s="33">
        <v>25.33</v>
      </c>
      <c r="D166" s="15">
        <v>-3.3743102635885799E-3</v>
      </c>
      <c r="E166" s="15">
        <v>-3.15333331848895E-3</v>
      </c>
      <c r="F166" s="33">
        <v>0</v>
      </c>
      <c r="G166" s="33">
        <v>0.68538999999999894</v>
      </c>
      <c r="H166" s="33">
        <v>0</v>
      </c>
      <c r="I166" s="33">
        <v>0.72843799999999903</v>
      </c>
      <c r="J166" s="33">
        <v>0.68538999999999894</v>
      </c>
      <c r="K166" s="33">
        <v>0.72843799999999903</v>
      </c>
      <c r="L166" s="33">
        <v>21.395389999999999</v>
      </c>
      <c r="M166" s="33">
        <v>26.058437999999999</v>
      </c>
      <c r="N166" s="34">
        <v>1.2230806373732399</v>
      </c>
      <c r="O166" s="34">
        <v>1.2195304988600599</v>
      </c>
      <c r="P166" s="34">
        <v>1.22066210148598</v>
      </c>
      <c r="Q166" s="34">
        <v>1.2194933614823</v>
      </c>
      <c r="R166" s="33">
        <v>25.256476631391799</v>
      </c>
      <c r="S166" s="33">
        <v>25.270943371774798</v>
      </c>
      <c r="T166" s="33">
        <v>25.256207516298399</v>
      </c>
      <c r="U166" s="15">
        <v>-2.90684092963621E-3</v>
      </c>
      <c r="V166" s="15">
        <v>-2.3342116215368598E-3</v>
      </c>
      <c r="W166" s="15">
        <v>-2.9174962768230201E-3</v>
      </c>
      <c r="X166" s="34">
        <v>1.2179463893857501</v>
      </c>
      <c r="Y166" s="34">
        <v>1.2179193246936699</v>
      </c>
      <c r="Z166" s="34">
        <v>1.2182057343103401</v>
      </c>
      <c r="AA166" s="34">
        <v>1.21836908836698</v>
      </c>
      <c r="AB166" s="33">
        <v>26.0578589403578</v>
      </c>
      <c r="AC166" s="33">
        <v>26.066125745663701</v>
      </c>
      <c r="AD166" s="33">
        <v>26.068338339897199</v>
      </c>
      <c r="AE166" s="15">
        <v>-2.2221826037954E-5</v>
      </c>
      <c r="AF166" s="15">
        <v>2.9497592562961701E-4</v>
      </c>
      <c r="AG166" s="15">
        <v>3.7985621637879902E-4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1.2828947226449371E-3</v>
      </c>
      <c r="AT166" s="12"/>
      <c r="AU166">
        <f t="shared" si="50"/>
        <v>0</v>
      </c>
      <c r="AV166">
        <f t="shared" si="51"/>
        <v>0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1.0668822742460687E-3</v>
      </c>
      <c r="BE166" s="29">
        <f t="shared" si="62"/>
        <v>0</v>
      </c>
      <c r="BF166" s="29">
        <f t="shared" si="63"/>
        <v>2.349776996891006E-3</v>
      </c>
      <c r="BH166" s="29"/>
    </row>
    <row r="167" spans="1:60" x14ac:dyDescent="0.25">
      <c r="A167" s="1">
        <v>46265</v>
      </c>
      <c r="B167" s="33">
        <v>20.68</v>
      </c>
      <c r="C167" s="33">
        <v>25.3</v>
      </c>
      <c r="D167" s="15">
        <v>-1.4496257672644199E-3</v>
      </c>
      <c r="E167" s="15">
        <v>-1.1850682801092501E-3</v>
      </c>
      <c r="F167" s="33">
        <v>0</v>
      </c>
      <c r="G167" s="33">
        <v>0.68538999999999894</v>
      </c>
      <c r="H167" s="33">
        <v>0</v>
      </c>
      <c r="I167" s="33">
        <v>0.72843799999999903</v>
      </c>
      <c r="J167" s="33">
        <v>0.68538999999999894</v>
      </c>
      <c r="K167" s="33">
        <v>0.72843799999999903</v>
      </c>
      <c r="L167" s="33">
        <v>21.365389999999898</v>
      </c>
      <c r="M167" s="33">
        <v>26.028438000000001</v>
      </c>
      <c r="N167" s="34">
        <v>1.22340425531914</v>
      </c>
      <c r="O167" s="34">
        <v>1.2195304988600599</v>
      </c>
      <c r="P167" s="34">
        <v>1.22118171776934</v>
      </c>
      <c r="Q167" s="34">
        <v>1.2197584225872</v>
      </c>
      <c r="R167" s="33">
        <v>25.219890716426001</v>
      </c>
      <c r="S167" s="33">
        <v>25.2432922587302</v>
      </c>
      <c r="T167" s="33">
        <v>25.219122715453899</v>
      </c>
      <c r="U167" s="15">
        <v>-3.1713984167915901E-3</v>
      </c>
      <c r="V167" s="15">
        <v>-2.24392842374059E-3</v>
      </c>
      <c r="W167" s="15">
        <v>-3.2018510731753598E-3</v>
      </c>
      <c r="X167" s="34">
        <v>1.2182524166420501</v>
      </c>
      <c r="Y167" s="34">
        <v>1.2179193246936699</v>
      </c>
      <c r="Z167" s="34">
        <v>1.2181890100895301</v>
      </c>
      <c r="AA167" s="34">
        <v>1.2183658380592099</v>
      </c>
      <c r="AB167" s="33">
        <v>26.021321360617002</v>
      </c>
      <c r="AC167" s="33">
        <v>26.0274406137768</v>
      </c>
      <c r="AD167" s="33">
        <v>26.030930736905098</v>
      </c>
      <c r="AE167" s="15">
        <v>-2.7345522879404797E-4</v>
      </c>
      <c r="AF167" s="15">
        <v>-3.8319830528555797E-5</v>
      </c>
      <c r="AG167" s="15">
        <v>9.5765160719233497E-5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1.2828947226449371E-3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1.0668822742460687E-3</v>
      </c>
      <c r="BE167" s="29">
        <f t="shared" si="62"/>
        <v>0</v>
      </c>
      <c r="BF167" s="29">
        <f t="shared" si="63"/>
        <v>2.349776996891006E-3</v>
      </c>
      <c r="BH167" s="29"/>
    </row>
    <row r="168" spans="1:60" x14ac:dyDescent="0.25">
      <c r="A168" s="1">
        <v>46266</v>
      </c>
      <c r="B168" s="33">
        <v>20.61</v>
      </c>
      <c r="C168" s="33">
        <v>25.12</v>
      </c>
      <c r="D168" s="15">
        <v>-3.3906547378607099E-3</v>
      </c>
      <c r="E168" s="15">
        <v>-7.1400541334765803E-3</v>
      </c>
      <c r="F168" s="33">
        <v>0</v>
      </c>
      <c r="G168" s="33">
        <v>0.68538999999999894</v>
      </c>
      <c r="H168" s="33">
        <v>0.10137699999999999</v>
      </c>
      <c r="I168" s="33">
        <v>0.82981499999999997</v>
      </c>
      <c r="J168" s="33">
        <v>0.68538999999999894</v>
      </c>
      <c r="K168" s="33">
        <v>0.82981499999999997</v>
      </c>
      <c r="L168" s="33">
        <v>21.295389999999902</v>
      </c>
      <c r="M168" s="33">
        <v>25.949815000000001</v>
      </c>
      <c r="N168" s="34">
        <v>1.21882581271227</v>
      </c>
      <c r="O168" s="34">
        <v>1.2195304988600599</v>
      </c>
      <c r="P168" s="34">
        <v>1.2212644915333499</v>
      </c>
      <c r="Q168" s="34">
        <v>1.21974048060891</v>
      </c>
      <c r="R168" s="33">
        <v>25.1345235815058</v>
      </c>
      <c r="S168" s="33">
        <v>25.168555203226202</v>
      </c>
      <c r="T168" s="33">
        <v>25.139221089522302</v>
      </c>
      <c r="U168" s="15">
        <v>5.7800097882435301E-4</v>
      </c>
      <c r="V168" s="15">
        <v>1.9310643592210101E-3</v>
      </c>
      <c r="W168" s="15">
        <v>7.6487816733992E-4</v>
      </c>
      <c r="X168" s="34">
        <v>1.2185649100579901</v>
      </c>
      <c r="Y168" s="34">
        <v>1.2179193246936699</v>
      </c>
      <c r="Z168" s="34">
        <v>1.2182239728545801</v>
      </c>
      <c r="AA168" s="34">
        <v>1.2183256701179499</v>
      </c>
      <c r="AB168" s="33">
        <v>25.936067007888401</v>
      </c>
      <c r="AC168" s="33">
        <v>25.9418100635706</v>
      </c>
      <c r="AD168" s="33">
        <v>25.945575684147801</v>
      </c>
      <c r="AE168" s="15">
        <v>-5.2993191601406905E-4</v>
      </c>
      <c r="AF168" s="15">
        <v>-3.0852518043292802E-4</v>
      </c>
      <c r="AG168" s="15">
        <v>-1.6337928304134601E-4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1.2828947226449371E-3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1.0668822742460687E-3</v>
      </c>
      <c r="BE168" s="29">
        <f t="shared" si="62"/>
        <v>0</v>
      </c>
      <c r="BF168" s="29">
        <f t="shared" si="63"/>
        <v>2.349776996891006E-3</v>
      </c>
      <c r="BH168" s="29"/>
    </row>
    <row r="169" spans="1:60" x14ac:dyDescent="0.25">
      <c r="A169" s="1">
        <v>46267</v>
      </c>
      <c r="B169" s="33">
        <v>20.62</v>
      </c>
      <c r="C169" s="33">
        <v>25.13</v>
      </c>
      <c r="D169" s="15">
        <v>4.8508368644628998E-4</v>
      </c>
      <c r="E169" s="15">
        <v>3.9800995550273E-4</v>
      </c>
      <c r="F169" s="33">
        <v>0</v>
      </c>
      <c r="G169" s="33">
        <v>0.68538999999999894</v>
      </c>
      <c r="H169" s="33">
        <v>0</v>
      </c>
      <c r="I169" s="33">
        <v>0.82981499999999997</v>
      </c>
      <c r="J169" s="33">
        <v>0.68538999999999894</v>
      </c>
      <c r="K169" s="33">
        <v>0.82981499999999997</v>
      </c>
      <c r="L169" s="33">
        <v>21.305389999999999</v>
      </c>
      <c r="M169" s="33">
        <v>25.959814999999999</v>
      </c>
      <c r="N169" s="34">
        <v>1.2187196896217201</v>
      </c>
      <c r="O169" s="34">
        <v>1.2195304988600599</v>
      </c>
      <c r="P169" s="34">
        <v>1.2212659568983999</v>
      </c>
      <c r="Q169" s="34">
        <v>1.2197516926894201</v>
      </c>
      <c r="R169" s="33">
        <v>25.146718886494401</v>
      </c>
      <c r="S169" s="33">
        <v>25.182473815417801</v>
      </c>
      <c r="T169" s="33">
        <v>25.151048710155699</v>
      </c>
      <c r="U169" s="15">
        <v>6.6507470976778402E-4</v>
      </c>
      <c r="V169" s="15">
        <v>2.0859174858583302E-3</v>
      </c>
      <c r="W169" s="15">
        <v>8.3724233783064495E-4</v>
      </c>
      <c r="X169" s="34">
        <v>1.21846232338389</v>
      </c>
      <c r="Y169" s="34">
        <v>1.2179193246936699</v>
      </c>
      <c r="Z169" s="34">
        <v>1.2181800108518299</v>
      </c>
      <c r="AA169" s="34">
        <v>1.21831388756019</v>
      </c>
      <c r="AB169" s="33">
        <v>25.948246201135401</v>
      </c>
      <c r="AC169" s="33">
        <v>25.9547368490162</v>
      </c>
      <c r="AD169" s="33">
        <v>25.956903548874301</v>
      </c>
      <c r="AE169" s="15">
        <v>-4.4574190553172798E-4</v>
      </c>
      <c r="AF169" s="15">
        <v>-1.9563497397374899E-4</v>
      </c>
      <c r="AG169" s="15">
        <v>-1.12158518877109E-4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1.2828947226449371E-3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1.0668822742460687E-3</v>
      </c>
      <c r="BE169" s="29">
        <f t="shared" si="62"/>
        <v>0</v>
      </c>
      <c r="BF169" s="29">
        <f t="shared" si="63"/>
        <v>2.349776996891006E-3</v>
      </c>
      <c r="BH169" s="29"/>
    </row>
    <row r="170" spans="1:60" x14ac:dyDescent="0.25">
      <c r="A170" s="1">
        <v>46268</v>
      </c>
      <c r="B170" s="33">
        <v>20.64</v>
      </c>
      <c r="C170" s="33">
        <v>25.14</v>
      </c>
      <c r="D170" s="15">
        <v>9.6946202454816302E-4</v>
      </c>
      <c r="E170" s="15">
        <v>3.9785160660070598E-4</v>
      </c>
      <c r="F170" s="33">
        <v>0</v>
      </c>
      <c r="G170" s="33">
        <v>0.68538999999999894</v>
      </c>
      <c r="H170" s="33">
        <v>0</v>
      </c>
      <c r="I170" s="33">
        <v>0.82981499999999997</v>
      </c>
      <c r="J170" s="33">
        <v>0.68538999999999894</v>
      </c>
      <c r="K170" s="33">
        <v>0.82981499999999997</v>
      </c>
      <c r="L170" s="33">
        <v>21.325389999999999</v>
      </c>
      <c r="M170" s="33">
        <v>25.969815000000001</v>
      </c>
      <c r="N170" s="34">
        <v>1.2180232558139501</v>
      </c>
      <c r="O170" s="34">
        <v>1.2195304988600599</v>
      </c>
      <c r="P170" s="34">
        <v>1.2212789606904799</v>
      </c>
      <c r="Q170" s="34">
        <v>1.2197153554801199</v>
      </c>
      <c r="R170" s="33">
        <v>25.171109496471601</v>
      </c>
      <c r="S170" s="33">
        <v>25.206929350383099</v>
      </c>
      <c r="T170" s="33">
        <v>25.175674937109701</v>
      </c>
      <c r="U170" s="15">
        <v>1.23668512771524E-3</v>
      </c>
      <c r="V170" s="15">
        <v>2.6587277783469E-3</v>
      </c>
      <c r="W170" s="15">
        <v>1.4180448988269001E-3</v>
      </c>
      <c r="X170" s="34">
        <v>1.2177885140670299</v>
      </c>
      <c r="Y170" s="34">
        <v>1.2179193246936699</v>
      </c>
      <c r="Z170" s="34">
        <v>1.2181475385039</v>
      </c>
      <c r="AA170" s="34">
        <v>1.21825600732854</v>
      </c>
      <c r="AB170" s="33">
        <v>25.972604587629199</v>
      </c>
      <c r="AC170" s="33">
        <v>25.9781638216195</v>
      </c>
      <c r="AD170" s="33">
        <v>25.981018794637301</v>
      </c>
      <c r="AE170" s="15">
        <v>1.07410769621957E-4</v>
      </c>
      <c r="AF170" s="15">
        <v>3.21430087590556E-4</v>
      </c>
      <c r="AG170" s="15">
        <v>4.3132300264118198E-4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1.2828947226449371E-3</v>
      </c>
      <c r="AT170" s="12"/>
      <c r="AU170">
        <f t="shared" si="50"/>
        <v>0</v>
      </c>
      <c r="AV170">
        <f t="shared" si="51"/>
        <v>0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1.0668822742460687E-3</v>
      </c>
      <c r="BE170" s="29">
        <f t="shared" si="62"/>
        <v>0</v>
      </c>
      <c r="BF170" s="29">
        <f t="shared" si="63"/>
        <v>2.349776996891006E-3</v>
      </c>
      <c r="BH170" s="29"/>
    </row>
    <row r="171" spans="1:60" x14ac:dyDescent="0.25">
      <c r="A171" s="1">
        <v>46269</v>
      </c>
      <c r="B171" s="33">
        <v>20.63</v>
      </c>
      <c r="C171" s="33">
        <v>25.15</v>
      </c>
      <c r="D171" s="15">
        <v>-4.84613530201641E-4</v>
      </c>
      <c r="E171" s="15">
        <v>3.9769338364669098E-4</v>
      </c>
      <c r="F171" s="33">
        <v>0</v>
      </c>
      <c r="G171" s="33">
        <v>0.68538999999999894</v>
      </c>
      <c r="H171" s="33">
        <v>0</v>
      </c>
      <c r="I171" s="33">
        <v>0.82981499999999997</v>
      </c>
      <c r="J171" s="33">
        <v>0.68538999999999894</v>
      </c>
      <c r="K171" s="33">
        <v>0.82981499999999997</v>
      </c>
      <c r="L171" s="33">
        <v>21.315390000000001</v>
      </c>
      <c r="M171" s="33">
        <v>25.979814999999999</v>
      </c>
      <c r="N171" s="34">
        <v>1.2190984003877801</v>
      </c>
      <c r="O171" s="34">
        <v>1.2195304988600599</v>
      </c>
      <c r="P171" s="34">
        <v>1.22137849740716</v>
      </c>
      <c r="Q171" s="34">
        <v>1.2197297764592001</v>
      </c>
      <c r="R171" s="33">
        <v>25.158914191482999</v>
      </c>
      <c r="S171" s="33">
        <v>25.1949849590446</v>
      </c>
      <c r="T171" s="33">
        <v>25.162727783554899</v>
      </c>
      <c r="U171" s="15">
        <v>3.5437821386707599E-4</v>
      </c>
      <c r="V171" s="15">
        <v>1.78706860487786E-3</v>
      </c>
      <c r="W171" s="15">
        <v>5.0594688012854596E-4</v>
      </c>
      <c r="X171" s="34">
        <v>1.21882897756034</v>
      </c>
      <c r="Y171" s="34">
        <v>1.2179193246936699</v>
      </c>
      <c r="Z171" s="34">
        <v>1.2181986939801901</v>
      </c>
      <c r="AA171" s="34">
        <v>1.2182472526771599</v>
      </c>
      <c r="AB171" s="33">
        <v>25.960425394382298</v>
      </c>
      <c r="AC171" s="33">
        <v>25.965289860750602</v>
      </c>
      <c r="AD171" s="33">
        <v>25.9676019160507</v>
      </c>
      <c r="AE171" s="15">
        <v>-7.4661212081871995E-4</v>
      </c>
      <c r="AF171" s="15">
        <v>-5.5924960270412798E-4</v>
      </c>
      <c r="AG171" s="15">
        <v>-4.7020948872369701E-4</v>
      </c>
      <c r="AI171" s="12"/>
      <c r="AJ171">
        <f t="shared" si="46"/>
        <v>0</v>
      </c>
      <c r="AK171">
        <f t="shared" si="47"/>
        <v>0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1.2828947226449371E-3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1.0668822742460687E-3</v>
      </c>
      <c r="BE171" s="29">
        <f t="shared" si="62"/>
        <v>0</v>
      </c>
      <c r="BF171" s="29">
        <f t="shared" si="63"/>
        <v>2.349776996891006E-3</v>
      </c>
      <c r="BH171" s="29"/>
    </row>
    <row r="172" spans="1:60" x14ac:dyDescent="0.25">
      <c r="A172" s="1">
        <v>46273</v>
      </c>
      <c r="B172" s="33">
        <v>20.61</v>
      </c>
      <c r="C172" s="33">
        <v>25.11</v>
      </c>
      <c r="D172" s="15">
        <v>-9.6993218079274098E-4</v>
      </c>
      <c r="E172" s="15">
        <v>-1.59172337625456E-3</v>
      </c>
      <c r="F172" s="33">
        <v>0</v>
      </c>
      <c r="G172" s="33">
        <v>0.68538999999999894</v>
      </c>
      <c r="H172" s="33">
        <v>0</v>
      </c>
      <c r="I172" s="33">
        <v>0.82981499999999997</v>
      </c>
      <c r="J172" s="33">
        <v>0.68538999999999894</v>
      </c>
      <c r="K172" s="33">
        <v>0.82981499999999997</v>
      </c>
      <c r="L172" s="33">
        <v>21.295389999999902</v>
      </c>
      <c r="M172" s="33">
        <v>25.939814999999999</v>
      </c>
      <c r="N172" s="34">
        <v>1.2183406113537101</v>
      </c>
      <c r="O172" s="34">
        <v>1.2195304988600599</v>
      </c>
      <c r="P172" s="34">
        <v>1.2209044948051999</v>
      </c>
      <c r="Q172" s="34">
        <v>1.2197657285483099</v>
      </c>
      <c r="R172" s="33">
        <v>25.1345235815058</v>
      </c>
      <c r="S172" s="33">
        <v>25.172610831561499</v>
      </c>
      <c r="T172" s="33">
        <v>25.138630692824101</v>
      </c>
      <c r="U172" s="15">
        <v>9.7616940932861499E-4</v>
      </c>
      <c r="V172" s="15">
        <v>2.49035851102017E-3</v>
      </c>
      <c r="W172" s="15">
        <v>1.1395612388937499E-3</v>
      </c>
      <c r="X172" s="34">
        <v>1.2180953248566899</v>
      </c>
      <c r="Y172" s="34">
        <v>1.2179193246936699</v>
      </c>
      <c r="Z172" s="34">
        <v>1.2182135875272799</v>
      </c>
      <c r="AA172" s="34">
        <v>1.21825955136321</v>
      </c>
      <c r="AB172" s="33">
        <v>25.936067007888401</v>
      </c>
      <c r="AC172" s="33">
        <v>25.9420162857988</v>
      </c>
      <c r="AD172" s="33">
        <v>25.9430503621886</v>
      </c>
      <c r="AE172" s="15">
        <v>-1.4449844409302701E-4</v>
      </c>
      <c r="AF172" s="15">
        <v>8.4857675437480703E-5</v>
      </c>
      <c r="AG172" s="15">
        <v>1.2471794571401599E-4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1.2828947226449371E-3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1.0668822742460687E-3</v>
      </c>
      <c r="BE172" s="29">
        <f t="shared" si="62"/>
        <v>0</v>
      </c>
      <c r="BF172" s="29">
        <f t="shared" si="63"/>
        <v>2.349776996891006E-3</v>
      </c>
      <c r="BH172" s="29"/>
    </row>
    <row r="173" spans="1:60" x14ac:dyDescent="0.25">
      <c r="A173" s="1">
        <v>46274</v>
      </c>
      <c r="B173" s="33">
        <v>20.57</v>
      </c>
      <c r="C173" s="33">
        <v>25.07</v>
      </c>
      <c r="D173" s="15">
        <v>-1.9426912375017601E-3</v>
      </c>
      <c r="E173" s="15">
        <v>-1.59426099929157E-3</v>
      </c>
      <c r="F173" s="33">
        <v>0</v>
      </c>
      <c r="G173" s="33">
        <v>0.68538999999999894</v>
      </c>
      <c r="H173" s="33">
        <v>0</v>
      </c>
      <c r="I173" s="33">
        <v>0.82981499999999997</v>
      </c>
      <c r="J173" s="33">
        <v>0.68538999999999894</v>
      </c>
      <c r="K173" s="33">
        <v>0.82981499999999997</v>
      </c>
      <c r="L173" s="33">
        <v>21.255389999999998</v>
      </c>
      <c r="M173" s="33">
        <v>25.899815</v>
      </c>
      <c r="N173" s="34">
        <v>1.21876519202722</v>
      </c>
      <c r="O173" s="34">
        <v>1.2195304988600599</v>
      </c>
      <c r="P173" s="34">
        <v>1.2204359875783199</v>
      </c>
      <c r="Q173" s="34">
        <v>1.2197988364886201</v>
      </c>
      <c r="R173" s="33">
        <v>25.0857423615514</v>
      </c>
      <c r="S173" s="33">
        <v>25.114005458143101</v>
      </c>
      <c r="T173" s="33">
        <v>25.090581036238799</v>
      </c>
      <c r="U173" s="15">
        <v>6.2773917111848395E-4</v>
      </c>
      <c r="V173" s="15">
        <v>1.7537647312247499E-3</v>
      </c>
      <c r="W173" s="15">
        <v>8.2060602044828595E-4</v>
      </c>
      <c r="X173" s="34">
        <v>1.21850575312897</v>
      </c>
      <c r="Y173" s="34">
        <v>1.2179193246936699</v>
      </c>
      <c r="Z173" s="34">
        <v>1.2182313512466201</v>
      </c>
      <c r="AA173" s="34">
        <v>1.21826896787978</v>
      </c>
      <c r="AB173" s="33">
        <v>25.887350234900701</v>
      </c>
      <c r="AC173" s="33">
        <v>25.893604906191602</v>
      </c>
      <c r="AD173" s="33">
        <v>25.894581885450101</v>
      </c>
      <c r="AE173" s="15">
        <v>-4.8138434623471598E-4</v>
      </c>
      <c r="AF173" s="15">
        <v>-2.39802424685925E-4</v>
      </c>
      <c r="AG173" s="15">
        <v>-2.0207261334763399E-4</v>
      </c>
      <c r="AI173" s="12"/>
      <c r="AJ173">
        <f t="shared" si="46"/>
        <v>0</v>
      </c>
      <c r="AK173">
        <f t="shared" si="47"/>
        <v>0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1.2828947226449371E-3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1.0668822742460687E-3</v>
      </c>
      <c r="BE173" s="29">
        <f t="shared" si="62"/>
        <v>0</v>
      </c>
      <c r="BF173" s="29">
        <f t="shared" si="63"/>
        <v>2.349776996891006E-3</v>
      </c>
      <c r="BH173" s="29"/>
    </row>
    <row r="174" spans="1:60" x14ac:dyDescent="0.25">
      <c r="A174" s="1">
        <v>46275</v>
      </c>
      <c r="B174" s="33">
        <v>20.440000000000001</v>
      </c>
      <c r="C174" s="33">
        <v>24.9</v>
      </c>
      <c r="D174" s="15">
        <v>-6.3399383293621199E-3</v>
      </c>
      <c r="E174" s="15">
        <v>-6.8041086995401703E-3</v>
      </c>
      <c r="F174" s="33">
        <v>0</v>
      </c>
      <c r="G174" s="33">
        <v>0.68538999999999894</v>
      </c>
      <c r="H174" s="33">
        <v>0</v>
      </c>
      <c r="I174" s="33">
        <v>0.82981499999999997</v>
      </c>
      <c r="J174" s="33">
        <v>0.68538999999999894</v>
      </c>
      <c r="K174" s="33">
        <v>0.82981499999999997</v>
      </c>
      <c r="L174" s="33">
        <v>21.125389999999999</v>
      </c>
      <c r="M174" s="33">
        <v>25.729814999999999</v>
      </c>
      <c r="N174" s="34">
        <v>1.21819960861056</v>
      </c>
      <c r="O174" s="34">
        <v>1.2195304988600599</v>
      </c>
      <c r="P174" s="34">
        <v>1.2199267857829801</v>
      </c>
      <c r="Q174" s="34">
        <v>1.2198434323037699</v>
      </c>
      <c r="R174" s="33">
        <v>24.9272033966996</v>
      </c>
      <c r="S174" s="33">
        <v>24.945711586101002</v>
      </c>
      <c r="T174" s="33">
        <v>24.932688217827501</v>
      </c>
      <c r="U174" s="15">
        <v>1.0919095412966801E-3</v>
      </c>
      <c r="V174" s="15">
        <v>1.83412363715946E-3</v>
      </c>
      <c r="W174" s="15">
        <v>1.31191889038891E-3</v>
      </c>
      <c r="X174" s="34">
        <v>1.2179569229254401</v>
      </c>
      <c r="Y174" s="34">
        <v>1.2179193246936699</v>
      </c>
      <c r="Z174" s="34">
        <v>1.2182103050592199</v>
      </c>
      <c r="AA174" s="34">
        <v>1.2182896203875799</v>
      </c>
      <c r="AB174" s="33">
        <v>25.7290207226905</v>
      </c>
      <c r="AC174" s="33">
        <v>25.735612405312001</v>
      </c>
      <c r="AD174" s="33">
        <v>25.736407071357998</v>
      </c>
      <c r="AE174" s="15">
        <v>-3.0870395660874799E-5</v>
      </c>
      <c r="AF174" s="15">
        <v>2.2529319696056599E-4</v>
      </c>
      <c r="AG174" s="15">
        <v>2.5617079042400702E-4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1.2828947226449371E-3</v>
      </c>
      <c r="AT174" s="12"/>
      <c r="AU174">
        <f t="shared" si="50"/>
        <v>0</v>
      </c>
      <c r="AV174">
        <f t="shared" si="51"/>
        <v>0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1.0668822742460687E-3</v>
      </c>
      <c r="BE174" s="29">
        <f t="shared" si="62"/>
        <v>0</v>
      </c>
      <c r="BF174" s="29">
        <f t="shared" si="63"/>
        <v>2.349776996891006E-3</v>
      </c>
      <c r="BH174" s="29"/>
    </row>
    <row r="175" spans="1:60" x14ac:dyDescent="0.25">
      <c r="A175" s="1">
        <v>46276</v>
      </c>
      <c r="B175" s="33">
        <v>20.41</v>
      </c>
      <c r="C175" s="33">
        <v>24.88</v>
      </c>
      <c r="D175" s="15">
        <v>-1.46878851375032E-3</v>
      </c>
      <c r="E175" s="15">
        <v>-8.0353559968322395E-4</v>
      </c>
      <c r="F175" s="33">
        <v>0</v>
      </c>
      <c r="G175" s="33">
        <v>0.68538999999999894</v>
      </c>
      <c r="H175" s="33">
        <v>0</v>
      </c>
      <c r="I175" s="33">
        <v>0.82981499999999997</v>
      </c>
      <c r="J175" s="33">
        <v>0.68538999999999894</v>
      </c>
      <c r="K175" s="33">
        <v>0.82981499999999997</v>
      </c>
      <c r="L175" s="33">
        <v>21.095389999999998</v>
      </c>
      <c r="M175" s="33">
        <v>25.709814999999999</v>
      </c>
      <c r="N175" s="34">
        <v>1.21901028907398</v>
      </c>
      <c r="O175" s="34">
        <v>1.2195304988600599</v>
      </c>
      <c r="P175" s="34">
        <v>1.2195467752293601</v>
      </c>
      <c r="Q175" s="34">
        <v>1.21988790648901</v>
      </c>
      <c r="R175" s="33">
        <v>24.890617481733798</v>
      </c>
      <c r="S175" s="33">
        <v>24.8987056978307</v>
      </c>
      <c r="T175" s="33">
        <v>24.897004453319902</v>
      </c>
      <c r="U175" s="15">
        <v>4.2665662722949401E-4</v>
      </c>
      <c r="V175" s="15">
        <v>7.5155424187720097E-4</v>
      </c>
      <c r="W175" s="15">
        <v>6.8322528316721903E-4</v>
      </c>
      <c r="X175" s="34">
        <v>1.21874091922453</v>
      </c>
      <c r="Y175" s="34">
        <v>1.2179193246936699</v>
      </c>
      <c r="Z175" s="34">
        <v>1.21831424512327</v>
      </c>
      <c r="AA175" s="34">
        <v>1.21830997618252</v>
      </c>
      <c r="AB175" s="33">
        <v>25.692483142949701</v>
      </c>
      <c r="AC175" s="33">
        <v>25.6986214872434</v>
      </c>
      <c r="AD175" s="33">
        <v>25.700294675028001</v>
      </c>
      <c r="AE175" s="15">
        <v>-6.7436119913858697E-4</v>
      </c>
      <c r="AF175" s="15">
        <v>-4.3547377428039498E-4</v>
      </c>
      <c r="AG175" s="15">
        <v>-3.7036781835208399E-4</v>
      </c>
      <c r="AI175" s="12"/>
      <c r="AJ175">
        <f t="shared" si="46"/>
        <v>0</v>
      </c>
      <c r="AK175">
        <f t="shared" si="47"/>
        <v>0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1.2828947226449371E-3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1.0668822742460687E-3</v>
      </c>
      <c r="BE175" s="29">
        <f t="shared" si="62"/>
        <v>0</v>
      </c>
      <c r="BF175" s="29">
        <f t="shared" si="63"/>
        <v>2.349776996891006E-3</v>
      </c>
      <c r="BH175" s="29"/>
    </row>
    <row r="176" spans="1:60" x14ac:dyDescent="0.25">
      <c r="A176" s="1">
        <v>46279</v>
      </c>
      <c r="B176" s="33">
        <v>20.39</v>
      </c>
      <c r="C176" s="33">
        <v>24.85</v>
      </c>
      <c r="D176" s="15">
        <v>-9.8039223538954907E-4</v>
      </c>
      <c r="E176" s="15">
        <v>-1.2065153283408599E-3</v>
      </c>
      <c r="F176" s="33">
        <v>0</v>
      </c>
      <c r="G176" s="33">
        <v>0.68538999999999894</v>
      </c>
      <c r="H176" s="33">
        <v>0</v>
      </c>
      <c r="I176" s="33">
        <v>0.82981499999999997</v>
      </c>
      <c r="J176" s="33">
        <v>0.68538999999999894</v>
      </c>
      <c r="K176" s="33">
        <v>0.82981499999999997</v>
      </c>
      <c r="L176" s="33">
        <v>21.075389999999999</v>
      </c>
      <c r="M176" s="33">
        <v>25.679815000000001</v>
      </c>
      <c r="N176" s="34">
        <v>1.21873467385973</v>
      </c>
      <c r="O176" s="34">
        <v>1.2195304988600599</v>
      </c>
      <c r="P176" s="34">
        <v>1.2191121788780099</v>
      </c>
      <c r="Q176" s="34">
        <v>1.21988714018199</v>
      </c>
      <c r="R176" s="33">
        <v>24.866226871756599</v>
      </c>
      <c r="S176" s="33">
        <v>24.8665587469267</v>
      </c>
      <c r="T176" s="33">
        <v>24.8735144133109</v>
      </c>
      <c r="U176" s="15">
        <v>6.5277972018063196E-4</v>
      </c>
      <c r="V176" s="15">
        <v>6.6612605362666296E-4</v>
      </c>
      <c r="W176" s="15">
        <v>9.4580664063372401E-4</v>
      </c>
      <c r="X176" s="34">
        <v>1.21847401163157</v>
      </c>
      <c r="Y176" s="34">
        <v>1.2179193246936699</v>
      </c>
      <c r="Z176" s="34">
        <v>1.2183670073478501</v>
      </c>
      <c r="AA176" s="34">
        <v>1.2182863708290901</v>
      </c>
      <c r="AB176" s="33">
        <v>25.6681247564558</v>
      </c>
      <c r="AC176" s="33">
        <v>25.676447858528501</v>
      </c>
      <c r="AD176" s="33">
        <v>25.6763578889374</v>
      </c>
      <c r="AE176" s="15">
        <v>-4.5533448085976298E-4</v>
      </c>
      <c r="AF176" s="15">
        <v>-1.3112875777332699E-4</v>
      </c>
      <c r="AG176" s="15">
        <v>-1.34632737343738E-4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1.2828947226449371E-3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1.0668822742460687E-3</v>
      </c>
      <c r="BE176" s="29">
        <f t="shared" si="62"/>
        <v>0</v>
      </c>
      <c r="BF176" s="29">
        <f t="shared" si="63"/>
        <v>2.349776996891006E-3</v>
      </c>
      <c r="BH176" s="29"/>
    </row>
    <row r="177" spans="1:100" x14ac:dyDescent="0.25">
      <c r="A177">
        <v>46280</v>
      </c>
      <c r="B177" s="33">
        <v>20.39</v>
      </c>
      <c r="C177" s="33">
        <v>24.84</v>
      </c>
      <c r="D177" s="15">
        <v>0</v>
      </c>
      <c r="E177" s="15">
        <v>-4.0249547735976402E-4</v>
      </c>
      <c r="F177" s="33">
        <v>0</v>
      </c>
      <c r="G177" s="33">
        <v>0.68538999999999894</v>
      </c>
      <c r="H177" s="33">
        <v>0</v>
      </c>
      <c r="I177" s="33">
        <v>0.82981499999999997</v>
      </c>
      <c r="J177" s="33">
        <v>0.68538999999999894</v>
      </c>
      <c r="K177" s="33">
        <v>0.82981499999999997</v>
      </c>
      <c r="L177" s="33">
        <v>21.075389999999999</v>
      </c>
      <c r="M177" s="33">
        <v>25.669815</v>
      </c>
      <c r="N177" s="34">
        <v>1.2182442373712601</v>
      </c>
      <c r="O177" s="34">
        <v>1.2195304988600599</v>
      </c>
      <c r="P177" s="34">
        <v>1.2185961770832201</v>
      </c>
      <c r="Q177" s="34">
        <v>1.21988894742628</v>
      </c>
      <c r="R177" s="33">
        <v>24.866226871756599</v>
      </c>
      <c r="S177" s="33">
        <v>24.857697327322601</v>
      </c>
      <c r="T177" s="33">
        <v>24.873498788310901</v>
      </c>
      <c r="U177" s="15">
        <v>1.05527519754061E-3</v>
      </c>
      <c r="V177" s="15">
        <v>7.1219911675718796E-4</v>
      </c>
      <c r="W177" s="15">
        <v>1.3476739395764899E-3</v>
      </c>
      <c r="X177" s="34">
        <v>1.2179995245639501</v>
      </c>
      <c r="Y177" s="34">
        <v>1.2179193246936699</v>
      </c>
      <c r="Z177" s="34">
        <v>1.21834171814004</v>
      </c>
      <c r="AA177" s="34">
        <v>1.21826536411479</v>
      </c>
      <c r="AB177" s="33">
        <v>25.6681247564558</v>
      </c>
      <c r="AC177" s="33">
        <v>25.677559842988899</v>
      </c>
      <c r="AD177" s="33">
        <v>25.675860396907801</v>
      </c>
      <c r="AE177" s="15">
        <v>-6.5847735719876902E-5</v>
      </c>
      <c r="AF177" s="15">
        <v>3.01664615623416E-4</v>
      </c>
      <c r="AG177" s="15">
        <v>2.3547832954164699E-4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>
        <v>46281</v>
      </c>
      <c r="B178" s="33">
        <v>20.41</v>
      </c>
      <c r="C178" s="33">
        <v>24.85</v>
      </c>
      <c r="D178" s="15">
        <v>9.8039223538950895E-4</v>
      </c>
      <c r="E178" s="15">
        <v>4.0249547735971897E-4</v>
      </c>
      <c r="F178" s="33">
        <v>0</v>
      </c>
      <c r="G178" s="33">
        <v>0.68538999999999894</v>
      </c>
      <c r="H178" s="33">
        <v>0</v>
      </c>
      <c r="I178" s="33">
        <v>0.82981499999999997</v>
      </c>
      <c r="J178" s="33">
        <v>0.68538999999999894</v>
      </c>
      <c r="K178" s="33">
        <v>0.82981499999999997</v>
      </c>
      <c r="L178" s="33">
        <v>21.095389999999998</v>
      </c>
      <c r="M178" s="33">
        <v>25.679815000000001</v>
      </c>
      <c r="N178" s="34">
        <v>1.21754042136207</v>
      </c>
      <c r="O178" s="34">
        <v>1.2195304988600599</v>
      </c>
      <c r="P178" s="34">
        <v>1.2184676379482</v>
      </c>
      <c r="Q178" s="34">
        <v>1.21986606474078</v>
      </c>
      <c r="R178" s="33">
        <v>24.890617481733798</v>
      </c>
      <c r="S178" s="33">
        <v>24.871547974268498</v>
      </c>
      <c r="T178" s="33">
        <v>24.8979334169704</v>
      </c>
      <c r="U178" s="15">
        <v>1.6331719555703901E-3</v>
      </c>
      <c r="V178" s="15">
        <v>8.6674596811440595E-4</v>
      </c>
      <c r="W178" s="15">
        <v>1.92705218133313E-3</v>
      </c>
      <c r="X178" s="34">
        <v>1.2173188075688499</v>
      </c>
      <c r="Y178" s="34">
        <v>1.2179193246936699</v>
      </c>
      <c r="Z178" s="34">
        <v>1.2182171078911299</v>
      </c>
      <c r="AA178" s="34">
        <v>1.2182205403728501</v>
      </c>
      <c r="AB178" s="33">
        <v>25.692483142949701</v>
      </c>
      <c r="AC178" s="33">
        <v>25.701393697434298</v>
      </c>
      <c r="AD178" s="33">
        <v>25.699782979493499</v>
      </c>
      <c r="AE178" s="15">
        <v>4.9318966308547997E-4</v>
      </c>
      <c r="AF178" s="15">
        <v>8.3994515699519303E-4</v>
      </c>
      <c r="AG178" s="15">
        <v>7.7727274187002003E-4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>
        <v>46282</v>
      </c>
      <c r="B179" s="33">
        <v>20.5</v>
      </c>
      <c r="C179" s="33">
        <v>24.97</v>
      </c>
      <c r="D179" s="15">
        <v>4.3999093226089799E-3</v>
      </c>
      <c r="E179" s="15">
        <v>4.8173517490440101E-3</v>
      </c>
      <c r="F179" s="33">
        <v>0</v>
      </c>
      <c r="G179" s="33">
        <v>0.68538999999999894</v>
      </c>
      <c r="H179" s="33">
        <v>0</v>
      </c>
      <c r="I179" s="33">
        <v>0.82981499999999997</v>
      </c>
      <c r="J179" s="33">
        <v>0.68538999999999894</v>
      </c>
      <c r="K179" s="33">
        <v>0.82981499999999997</v>
      </c>
      <c r="L179" s="33">
        <v>21.185389999999899</v>
      </c>
      <c r="M179" s="33">
        <v>25.799814999999999</v>
      </c>
      <c r="N179" s="34">
        <v>1.2180487804878</v>
      </c>
      <c r="O179" s="34">
        <v>1.2195304988600599</v>
      </c>
      <c r="P179" s="34">
        <v>1.21840054703481</v>
      </c>
      <c r="Q179" s="34">
        <v>1.2198332519666</v>
      </c>
      <c r="R179" s="33">
        <v>25.000375226631199</v>
      </c>
      <c r="S179" s="33">
        <v>24.978586577938099</v>
      </c>
      <c r="T179" s="33">
        <v>25.007254327185901</v>
      </c>
      <c r="U179" s="15">
        <v>1.2157295291354601E-3</v>
      </c>
      <c r="V179" s="15">
        <v>3.4381665672712802E-4</v>
      </c>
      <c r="W179" s="15">
        <v>1.4908515718906701E-3</v>
      </c>
      <c r="X179" s="34">
        <v>1.21781166171592</v>
      </c>
      <c r="Y179" s="34">
        <v>1.2179193246936699</v>
      </c>
      <c r="Z179" s="34">
        <v>1.2181520417243299</v>
      </c>
      <c r="AA179" s="34">
        <v>1.21816602628808</v>
      </c>
      <c r="AB179" s="33">
        <v>25.8020958821721</v>
      </c>
      <c r="AC179" s="33">
        <v>25.808404535345598</v>
      </c>
      <c r="AD179" s="33">
        <v>25.808477253809698</v>
      </c>
      <c r="AE179" s="15">
        <v>8.8403012007300496E-5</v>
      </c>
      <c r="AF179" s="15">
        <v>3.3287470493409199E-4</v>
      </c>
      <c r="AG179" s="15">
        <v>3.3569232821898098E-4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>
        <v>46283</v>
      </c>
      <c r="B180" s="33">
        <v>20.41</v>
      </c>
      <c r="C180" s="33">
        <v>24.88</v>
      </c>
      <c r="D180" s="15">
        <v>-4.3999093226090701E-3</v>
      </c>
      <c r="E180" s="15">
        <v>-3.61083642070312E-3</v>
      </c>
      <c r="F180" s="33">
        <v>0</v>
      </c>
      <c r="G180" s="33">
        <v>0.68538999999999894</v>
      </c>
      <c r="H180" s="33">
        <v>0</v>
      </c>
      <c r="I180" s="33">
        <v>0.82981499999999997</v>
      </c>
      <c r="J180" s="33">
        <v>0.68538999999999894</v>
      </c>
      <c r="K180" s="33">
        <v>0.82981499999999997</v>
      </c>
      <c r="L180" s="33">
        <v>21.095389999999998</v>
      </c>
      <c r="M180" s="33">
        <v>25.709814999999999</v>
      </c>
      <c r="N180" s="34">
        <v>1.21901028907398</v>
      </c>
      <c r="O180" s="34">
        <v>1.2195304988600599</v>
      </c>
      <c r="P180" s="34">
        <v>1.2184992503608101</v>
      </c>
      <c r="Q180" s="34">
        <v>1.21988910552564</v>
      </c>
      <c r="R180" s="33">
        <v>24.890617481733798</v>
      </c>
      <c r="S180" s="33">
        <v>24.867555164980399</v>
      </c>
      <c r="T180" s="33">
        <v>24.896796672638398</v>
      </c>
      <c r="U180" s="15">
        <v>4.2665662722949401E-4</v>
      </c>
      <c r="V180" s="15">
        <v>-5.0031947249865798E-4</v>
      </c>
      <c r="W180" s="15">
        <v>6.7487963865890004E-4</v>
      </c>
      <c r="X180" s="34">
        <v>1.21874091922453</v>
      </c>
      <c r="Y180" s="34">
        <v>1.2179193246936699</v>
      </c>
      <c r="Z180" s="34">
        <v>1.2182472822400801</v>
      </c>
      <c r="AA180" s="34">
        <v>1.2181974103719899</v>
      </c>
      <c r="AB180" s="33">
        <v>25.692483142949701</v>
      </c>
      <c r="AC180" s="33">
        <v>25.697392399471099</v>
      </c>
      <c r="AD180" s="33">
        <v>25.697687409297298</v>
      </c>
      <c r="AE180" s="15">
        <v>-6.7436119913858697E-4</v>
      </c>
      <c r="AF180" s="15">
        <v>-4.8330191033985298E-4</v>
      </c>
      <c r="AG180" s="15">
        <v>-4.7182182985929899E-4</v>
      </c>
    </row>
    <row r="181" spans="1:100" x14ac:dyDescent="0.25">
      <c r="A181">
        <v>46286</v>
      </c>
      <c r="B181" s="33">
        <v>20.39</v>
      </c>
      <c r="C181" s="33">
        <v>24.96</v>
      </c>
      <c r="D181" s="15">
        <v>-9.8039223538954907E-4</v>
      </c>
      <c r="E181" s="15">
        <v>3.2102756302481799E-3</v>
      </c>
      <c r="F181" s="33">
        <v>8.4900000000000003E-2</v>
      </c>
      <c r="G181" s="33">
        <v>0.77028999999999903</v>
      </c>
      <c r="H181" s="33">
        <v>0</v>
      </c>
      <c r="I181" s="33">
        <v>0.82981499999999997</v>
      </c>
      <c r="J181" s="33">
        <v>0.77028999999999903</v>
      </c>
      <c r="K181" s="33">
        <v>0.82981499999999997</v>
      </c>
      <c r="L181" s="33">
        <v>21.16029</v>
      </c>
      <c r="M181" s="33">
        <v>25.789815000000001</v>
      </c>
      <c r="N181" s="34">
        <v>1.2241294752329499</v>
      </c>
      <c r="O181" s="34">
        <v>1.2195304988600599</v>
      </c>
      <c r="P181" s="34">
        <v>1.21900235784533</v>
      </c>
      <c r="Q181" s="34">
        <v>1.2201904276262401</v>
      </c>
      <c r="R181" s="33">
        <v>24.866226871756599</v>
      </c>
      <c r="S181" s="33">
        <v>24.8451997148569</v>
      </c>
      <c r="T181" s="33">
        <v>24.8735388616679</v>
      </c>
      <c r="U181" s="15">
        <v>-3.7640112384083901E-3</v>
      </c>
      <c r="V181" s="15">
        <v>-4.6099800466897897E-3</v>
      </c>
      <c r="W181" s="15">
        <v>-3.4700014112158E-3</v>
      </c>
      <c r="X181" s="34">
        <v>1.21878362725652</v>
      </c>
      <c r="Y181" s="34">
        <v>1.2179193246936699</v>
      </c>
      <c r="Z181" s="34">
        <v>1.2182427472096999</v>
      </c>
      <c r="AA181" s="34">
        <v>1.21822072059494</v>
      </c>
      <c r="AB181" s="33">
        <v>25.771526107122298</v>
      </c>
      <c r="AC181" s="33">
        <v>25.778465783912001</v>
      </c>
      <c r="AD181" s="33">
        <v>25.777410480720299</v>
      </c>
      <c r="AE181" s="15">
        <v>-7.0940333404587001E-4</v>
      </c>
      <c r="AF181" s="15">
        <v>-4.4016267747083601E-4</v>
      </c>
      <c r="AG181" s="15">
        <v>-4.8110090869744898E-4</v>
      </c>
    </row>
    <row r="182" spans="1:100" x14ac:dyDescent="0.25">
      <c r="A182">
        <v>46287</v>
      </c>
      <c r="B182" s="33">
        <v>20.39</v>
      </c>
      <c r="C182" s="33">
        <v>24.96</v>
      </c>
      <c r="D182" s="15">
        <v>0</v>
      </c>
      <c r="E182" s="15">
        <v>0</v>
      </c>
      <c r="F182" s="33">
        <v>0</v>
      </c>
      <c r="G182" s="33">
        <v>0.77028999999999903</v>
      </c>
      <c r="H182" s="33">
        <v>0</v>
      </c>
      <c r="I182" s="33">
        <v>0.82981499999999997</v>
      </c>
      <c r="J182" s="33">
        <v>0.77028999999999903</v>
      </c>
      <c r="K182" s="33">
        <v>0.82981499999999997</v>
      </c>
      <c r="L182" s="33">
        <v>21.16029</v>
      </c>
      <c r="M182" s="33">
        <v>25.789815000000001</v>
      </c>
      <c r="N182" s="34">
        <v>1.2241294752329499</v>
      </c>
      <c r="O182" s="34">
        <v>1.2195304988600599</v>
      </c>
      <c r="P182" s="34">
        <v>1.2195812442332501</v>
      </c>
      <c r="Q182" s="34">
        <v>1.22024286951923</v>
      </c>
      <c r="R182" s="33">
        <v>24.866226871756599</v>
      </c>
      <c r="S182" s="33">
        <v>24.855458076466199</v>
      </c>
      <c r="T182" s="33">
        <v>24.879682819299099</v>
      </c>
      <c r="U182" s="15">
        <v>-3.7640112384083901E-3</v>
      </c>
      <c r="V182" s="15">
        <v>-4.1971741720452397E-3</v>
      </c>
      <c r="W182" s="15">
        <v>-3.2230241319622498E-3</v>
      </c>
      <c r="X182" s="34">
        <v>1.21878362725652</v>
      </c>
      <c r="Y182" s="34">
        <v>1.2179193246936699</v>
      </c>
      <c r="Z182" s="34">
        <v>1.21831157744968</v>
      </c>
      <c r="AA182" s="34">
        <v>1.2182625824884801</v>
      </c>
      <c r="AB182" s="33">
        <v>25.771526107122298</v>
      </c>
      <c r="AC182" s="33">
        <v>25.778369821353898</v>
      </c>
      <c r="AD182" s="33">
        <v>25.777903731797998</v>
      </c>
      <c r="AE182" s="15">
        <v>-7.0940333404587001E-4</v>
      </c>
      <c r="AF182" s="15">
        <v>-4.43885270485595E-4</v>
      </c>
      <c r="AG182" s="15">
        <v>-4.6196607903976103E-4</v>
      </c>
    </row>
    <row r="183" spans="1:100" x14ac:dyDescent="0.25">
      <c r="A183">
        <v>46288</v>
      </c>
      <c r="B183" s="33">
        <v>20.2</v>
      </c>
      <c r="C183" s="33">
        <v>24.73</v>
      </c>
      <c r="D183" s="15">
        <v>-9.3619801792048096E-3</v>
      </c>
      <c r="E183" s="15">
        <v>-9.2574619679021003E-3</v>
      </c>
      <c r="F183" s="33">
        <v>0</v>
      </c>
      <c r="G183" s="33">
        <v>0.77028999999999903</v>
      </c>
      <c r="H183" s="33">
        <v>0</v>
      </c>
      <c r="I183" s="33">
        <v>0.82981499999999997</v>
      </c>
      <c r="J183" s="33">
        <v>0.77028999999999903</v>
      </c>
      <c r="K183" s="33">
        <v>0.82981499999999997</v>
      </c>
      <c r="L183" s="33">
        <v>20.970289999999999</v>
      </c>
      <c r="M183" s="33">
        <v>25.559815</v>
      </c>
      <c r="N183" s="34">
        <v>1.22425742574257</v>
      </c>
      <c r="O183" s="34">
        <v>1.2195304988600599</v>
      </c>
      <c r="P183" s="34">
        <v>1.2201304676047899</v>
      </c>
      <c r="Q183" s="34">
        <v>1.2202832275915501</v>
      </c>
      <c r="R183" s="33">
        <v>24.634516076973199</v>
      </c>
      <c r="S183" s="33">
        <v>24.635541133511701</v>
      </c>
      <c r="T183" s="33">
        <v>24.648905964288399</v>
      </c>
      <c r="U183" s="15">
        <v>-3.8685294497111801E-3</v>
      </c>
      <c r="V183" s="15">
        <v>-3.82691973392552E-3</v>
      </c>
      <c r="W183" s="15">
        <v>-3.2845648170571002E-3</v>
      </c>
      <c r="X183" s="34">
        <v>1.21885844211024</v>
      </c>
      <c r="Y183" s="34">
        <v>1.2179193246936699</v>
      </c>
      <c r="Z183" s="34">
        <v>1.21834684634781</v>
      </c>
      <c r="AA183" s="34">
        <v>1.2182890987972199</v>
      </c>
      <c r="AB183" s="33">
        <v>25.5401214354305</v>
      </c>
      <c r="AC183" s="33">
        <v>25.5483470894773</v>
      </c>
      <c r="AD183" s="33">
        <v>25.547319650932401</v>
      </c>
      <c r="AE183" s="15">
        <v>-7.7078630300593304E-4</v>
      </c>
      <c r="AF183" s="15">
        <v>-4.4877022558653098E-4</v>
      </c>
      <c r="AG183" s="15">
        <v>-4.8898649481509098E-4</v>
      </c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2026-09-28T01:48:21Z</dcterms:created>
  <dcterms:modified xsi:type="dcterms:W3CDTF">2026-09-28T01:49:47Z</dcterms:modified>
</cp:coreProperties>
</file>