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104C61B3-98D5-4ED1-AA57-6E41CDC7A51D}" xr6:coauthVersionLast="47" xr6:coauthVersionMax="47" xr10:uidLastSave="{00000000-0000-0000-0000-000000000000}"/>
  <bookViews>
    <workbookView xWindow="-108" yWindow="-108" windowWidth="23256" windowHeight="12456" xr2:uid="{59D84D97-5B12-4B72-B47A-6D8B992DCA46}"/>
  </bookViews>
  <sheets>
    <sheet name="XLF_IYF_2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BQ167" i="1" l="1"/>
  <c r="BO167" i="1"/>
  <c r="BN167" i="1"/>
  <c r="BH167" i="1"/>
  <c r="BG167" i="1"/>
  <c r="BI167" i="1" s="1"/>
  <c r="BE167" i="1"/>
  <c r="BC167" i="1"/>
  <c r="BB167" i="1"/>
  <c r="BR166" i="1"/>
  <c r="BQ166" i="1"/>
  <c r="BR167" i="1" s="1"/>
  <c r="BO166" i="1"/>
  <c r="BN166" i="1"/>
  <c r="BF166" i="1"/>
  <c r="BE166" i="1"/>
  <c r="BC166" i="1"/>
  <c r="BB166" i="1"/>
  <c r="BF167" i="1" s="1"/>
  <c r="BD167" i="1" s="1"/>
  <c r="BQ165" i="1"/>
  <c r="BP165" i="1"/>
  <c r="BO165" i="1"/>
  <c r="BN165" i="1"/>
  <c r="BE165" i="1"/>
  <c r="BC165" i="1"/>
  <c r="BB165" i="1"/>
  <c r="BQ164" i="1"/>
  <c r="BO164" i="1"/>
  <c r="BN164" i="1"/>
  <c r="BR165" i="1" s="1"/>
  <c r="BE164" i="1"/>
  <c r="BC164" i="1"/>
  <c r="BB164" i="1"/>
  <c r="BF165" i="1" s="1"/>
  <c r="BT163" i="1"/>
  <c r="BU163" i="1" s="1"/>
  <c r="BQ163" i="1"/>
  <c r="BP163" i="1"/>
  <c r="BO163" i="1"/>
  <c r="BN163" i="1"/>
  <c r="BR164" i="1" s="1"/>
  <c r="BE163" i="1"/>
  <c r="BC163" i="1"/>
  <c r="BB163" i="1"/>
  <c r="BQ162" i="1"/>
  <c r="BO162" i="1"/>
  <c r="BN162" i="1"/>
  <c r="BR163" i="1" s="1"/>
  <c r="BS163" i="1" s="1"/>
  <c r="BE162" i="1"/>
  <c r="BC162" i="1"/>
  <c r="BB162" i="1"/>
  <c r="BQ161" i="1"/>
  <c r="BO161" i="1"/>
  <c r="BN161" i="1"/>
  <c r="BH161" i="1"/>
  <c r="BE161" i="1"/>
  <c r="BC161" i="1"/>
  <c r="BB161" i="1"/>
  <c r="BQ160" i="1"/>
  <c r="BO160" i="1"/>
  <c r="BN160" i="1"/>
  <c r="BR161" i="1" s="1"/>
  <c r="BE160" i="1"/>
  <c r="BC160" i="1"/>
  <c r="BB160" i="1"/>
  <c r="BF161" i="1" s="1"/>
  <c r="BQ159" i="1"/>
  <c r="BO159" i="1"/>
  <c r="BN159" i="1"/>
  <c r="BF159" i="1"/>
  <c r="BH159" i="1" s="1"/>
  <c r="BE159" i="1"/>
  <c r="BD159" i="1"/>
  <c r="BC159" i="1"/>
  <c r="BB159" i="1"/>
  <c r="BQ158" i="1"/>
  <c r="BO158" i="1"/>
  <c r="BN158" i="1"/>
  <c r="BE158" i="1"/>
  <c r="BC158" i="1"/>
  <c r="BB158" i="1"/>
  <c r="BR157" i="1"/>
  <c r="BT157" i="1" s="1"/>
  <c r="BQ157" i="1"/>
  <c r="BO157" i="1"/>
  <c r="BN157" i="1"/>
  <c r="BR158" i="1" s="1"/>
  <c r="BG157" i="1"/>
  <c r="BI157" i="1" s="1"/>
  <c r="BF157" i="1"/>
  <c r="BH157" i="1" s="1"/>
  <c r="BE157" i="1"/>
  <c r="BD157" i="1"/>
  <c r="BC157" i="1"/>
  <c r="BB157" i="1"/>
  <c r="BF158" i="1" s="1"/>
  <c r="BQ156" i="1"/>
  <c r="BO156" i="1"/>
  <c r="BN156" i="1"/>
  <c r="BH156" i="1"/>
  <c r="BE156" i="1"/>
  <c r="BC156" i="1"/>
  <c r="BB156" i="1"/>
  <c r="BR155" i="1"/>
  <c r="BQ155" i="1"/>
  <c r="BO155" i="1"/>
  <c r="BN155" i="1"/>
  <c r="BE155" i="1"/>
  <c r="BF156" i="1" s="1"/>
  <c r="BC155" i="1"/>
  <c r="BB155" i="1"/>
  <c r="BQ154" i="1"/>
  <c r="BO154" i="1"/>
  <c r="BN154" i="1"/>
  <c r="BG154" i="1"/>
  <c r="BE154" i="1"/>
  <c r="BC154" i="1"/>
  <c r="BB154" i="1"/>
  <c r="BQ153" i="1"/>
  <c r="BO153" i="1"/>
  <c r="BN153" i="1"/>
  <c r="BR154" i="1" s="1"/>
  <c r="BH153" i="1"/>
  <c r="BG153" i="1"/>
  <c r="BE153" i="1"/>
  <c r="BC153" i="1"/>
  <c r="BB153" i="1"/>
  <c r="BF154" i="1" s="1"/>
  <c r="BD154" i="1" s="1"/>
  <c r="BR152" i="1"/>
  <c r="BQ152" i="1"/>
  <c r="BR153" i="1" s="1"/>
  <c r="BO152" i="1"/>
  <c r="BN152" i="1"/>
  <c r="BE152" i="1"/>
  <c r="BC152" i="1"/>
  <c r="BB152" i="1"/>
  <c r="BF153" i="1" s="1"/>
  <c r="BD153" i="1" s="1"/>
  <c r="BQ151" i="1"/>
  <c r="BO151" i="1"/>
  <c r="BN151" i="1"/>
  <c r="BE151" i="1"/>
  <c r="BC151" i="1"/>
  <c r="BB151" i="1"/>
  <c r="BT150" i="1"/>
  <c r="BR150" i="1"/>
  <c r="BQ150" i="1"/>
  <c r="BO150" i="1"/>
  <c r="BN150" i="1"/>
  <c r="BR151" i="1" s="1"/>
  <c r="BE150" i="1"/>
  <c r="BC150" i="1"/>
  <c r="BB150" i="1"/>
  <c r="BT149" i="1"/>
  <c r="BU149" i="1" s="1"/>
  <c r="BQ149" i="1"/>
  <c r="BP149" i="1"/>
  <c r="BO149" i="1"/>
  <c r="BN149" i="1"/>
  <c r="BH149" i="1"/>
  <c r="BE149" i="1"/>
  <c r="BC149" i="1"/>
  <c r="BB149" i="1"/>
  <c r="BR148" i="1"/>
  <c r="BQ148" i="1"/>
  <c r="BO148" i="1"/>
  <c r="BN148" i="1"/>
  <c r="BR149" i="1" s="1"/>
  <c r="BS149" i="1" s="1"/>
  <c r="BE148" i="1"/>
  <c r="BC148" i="1"/>
  <c r="BB148" i="1"/>
  <c r="BF149" i="1" s="1"/>
  <c r="BS147" i="1"/>
  <c r="BR147" i="1"/>
  <c r="BQ147" i="1"/>
  <c r="BO147" i="1"/>
  <c r="BN147" i="1"/>
  <c r="BH147" i="1"/>
  <c r="BG147" i="1"/>
  <c r="BI147" i="1" s="1"/>
  <c r="BE147" i="1"/>
  <c r="BC147" i="1"/>
  <c r="BB147" i="1"/>
  <c r="BS146" i="1"/>
  <c r="BR146" i="1"/>
  <c r="BQ146" i="1"/>
  <c r="BO146" i="1"/>
  <c r="BN146" i="1"/>
  <c r="BE146" i="1"/>
  <c r="BC146" i="1"/>
  <c r="BB146" i="1"/>
  <c r="BF147" i="1" s="1"/>
  <c r="BD147" i="1" s="1"/>
  <c r="BR145" i="1"/>
  <c r="BQ145" i="1"/>
  <c r="BO145" i="1"/>
  <c r="BN145" i="1"/>
  <c r="BE145" i="1"/>
  <c r="BC145" i="1"/>
  <c r="BB145" i="1"/>
  <c r="BF146" i="1" s="1"/>
  <c r="BG146" i="1" s="1"/>
  <c r="BQ144" i="1"/>
  <c r="BO144" i="1"/>
  <c r="BN144" i="1"/>
  <c r="BH144" i="1"/>
  <c r="BE144" i="1"/>
  <c r="BF145" i="1" s="1"/>
  <c r="BC144" i="1"/>
  <c r="BB144" i="1"/>
  <c r="BQ143" i="1"/>
  <c r="BO143" i="1"/>
  <c r="BN143" i="1"/>
  <c r="BE143" i="1"/>
  <c r="BD143" i="1"/>
  <c r="BC143" i="1"/>
  <c r="BB143" i="1"/>
  <c r="BF144" i="1" s="1"/>
  <c r="BQ142" i="1"/>
  <c r="BO142" i="1"/>
  <c r="BN142" i="1"/>
  <c r="BE142" i="1"/>
  <c r="BF143" i="1" s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F141" i="1" s="1"/>
  <c r="BT139" i="1"/>
  <c r="BQ139" i="1"/>
  <c r="BO139" i="1"/>
  <c r="BN139" i="1"/>
  <c r="BE139" i="1"/>
  <c r="BC139" i="1"/>
  <c r="BB139" i="1"/>
  <c r="BF140" i="1" s="1"/>
  <c r="BQ138" i="1"/>
  <c r="BR139" i="1" s="1"/>
  <c r="BO138" i="1"/>
  <c r="BN138" i="1"/>
  <c r="BI138" i="1"/>
  <c r="BH138" i="1"/>
  <c r="BG138" i="1"/>
  <c r="BF138" i="1"/>
  <c r="BD138" i="1" s="1"/>
  <c r="BE138" i="1"/>
  <c r="BC138" i="1"/>
  <c r="BB138" i="1"/>
  <c r="BR137" i="1"/>
  <c r="BQ137" i="1"/>
  <c r="BO137" i="1"/>
  <c r="BN137" i="1"/>
  <c r="BR138" i="1" s="1"/>
  <c r="BG137" i="1"/>
  <c r="BF137" i="1"/>
  <c r="BE137" i="1"/>
  <c r="BC137" i="1"/>
  <c r="BB137" i="1"/>
  <c r="BR136" i="1"/>
  <c r="BQ136" i="1"/>
  <c r="BO136" i="1"/>
  <c r="BN136" i="1"/>
  <c r="BE136" i="1"/>
  <c r="BC136" i="1"/>
  <c r="BB136" i="1"/>
  <c r="BQ135" i="1"/>
  <c r="BP135" i="1"/>
  <c r="BO135" i="1"/>
  <c r="BN135" i="1"/>
  <c r="BE135" i="1"/>
  <c r="BD135" i="1"/>
  <c r="BC135" i="1"/>
  <c r="BB135" i="1"/>
  <c r="BS134" i="1"/>
  <c r="BU134" i="1" s="1"/>
  <c r="BR134" i="1"/>
  <c r="BT134" i="1" s="1"/>
  <c r="BQ134" i="1"/>
  <c r="BP134" i="1"/>
  <c r="BO134" i="1"/>
  <c r="BN134" i="1"/>
  <c r="BR135" i="1" s="1"/>
  <c r="BS135" i="1" s="1"/>
  <c r="BE134" i="1"/>
  <c r="BC134" i="1"/>
  <c r="BB134" i="1"/>
  <c r="BF135" i="1" s="1"/>
  <c r="BR133" i="1"/>
  <c r="BQ133" i="1"/>
  <c r="BO133" i="1"/>
  <c r="BN133" i="1"/>
  <c r="BG133" i="1"/>
  <c r="BE133" i="1"/>
  <c r="BD133" i="1"/>
  <c r="BC133" i="1"/>
  <c r="BB133" i="1"/>
  <c r="BQ132" i="1"/>
  <c r="BO132" i="1"/>
  <c r="BN132" i="1"/>
  <c r="BE132" i="1"/>
  <c r="BC132" i="1"/>
  <c r="BB132" i="1"/>
  <c r="BF133" i="1" s="1"/>
  <c r="BH133" i="1" s="1"/>
  <c r="BQ131" i="1"/>
  <c r="BO131" i="1"/>
  <c r="BN131" i="1"/>
  <c r="BE131" i="1"/>
  <c r="BD131" i="1"/>
  <c r="BC131" i="1"/>
  <c r="BB131" i="1"/>
  <c r="BF132" i="1" s="1"/>
  <c r="BQ130" i="1"/>
  <c r="BO130" i="1"/>
  <c r="BN130" i="1"/>
  <c r="BE130" i="1"/>
  <c r="BF131" i="1" s="1"/>
  <c r="BC130" i="1"/>
  <c r="BB130" i="1"/>
  <c r="BQ129" i="1"/>
  <c r="BO129" i="1"/>
  <c r="BN129" i="1"/>
  <c r="BE129" i="1"/>
  <c r="BC129" i="1"/>
  <c r="BB129" i="1"/>
  <c r="BF130" i="1" s="1"/>
  <c r="BQ128" i="1"/>
  <c r="BO128" i="1"/>
  <c r="BN128" i="1"/>
  <c r="BR129" i="1" s="1"/>
  <c r="BF128" i="1"/>
  <c r="BG128" i="1" s="1"/>
  <c r="BE128" i="1"/>
  <c r="BF129" i="1" s="1"/>
  <c r="BC128" i="1"/>
  <c r="BB128" i="1"/>
  <c r="BQ127" i="1"/>
  <c r="BO127" i="1"/>
  <c r="BN127" i="1"/>
  <c r="BE127" i="1"/>
  <c r="BC127" i="1"/>
  <c r="BB127" i="1"/>
  <c r="BQ126" i="1"/>
  <c r="BO126" i="1"/>
  <c r="BN126" i="1"/>
  <c r="BR127" i="1" s="1"/>
  <c r="BF126" i="1"/>
  <c r="BE126" i="1"/>
  <c r="BC126" i="1"/>
  <c r="BB126" i="1"/>
  <c r="BF127" i="1" s="1"/>
  <c r="BQ125" i="1"/>
  <c r="BO125" i="1"/>
  <c r="BN125" i="1"/>
  <c r="BR126" i="1" s="1"/>
  <c r="BP126" i="1" s="1"/>
  <c r="BE125" i="1"/>
  <c r="BC125" i="1"/>
  <c r="BB125" i="1"/>
  <c r="BR124" i="1"/>
  <c r="BQ124" i="1"/>
  <c r="BR125" i="1" s="1"/>
  <c r="BO124" i="1"/>
  <c r="BN124" i="1"/>
  <c r="BE124" i="1"/>
  <c r="BC124" i="1"/>
  <c r="BB124" i="1"/>
  <c r="BF125" i="1" s="1"/>
  <c r="BQ123" i="1"/>
  <c r="BO123" i="1"/>
  <c r="BN123" i="1"/>
  <c r="BE123" i="1"/>
  <c r="BF124" i="1" s="1"/>
  <c r="BC123" i="1"/>
  <c r="BB123" i="1"/>
  <c r="BR122" i="1"/>
  <c r="BQ122" i="1"/>
  <c r="BO122" i="1"/>
  <c r="BN122" i="1"/>
  <c r="BR123" i="1" s="1"/>
  <c r="BE122" i="1"/>
  <c r="BC122" i="1"/>
  <c r="BB122" i="1"/>
  <c r="BF123" i="1" s="1"/>
  <c r="BD123" i="1" s="1"/>
  <c r="BS121" i="1"/>
  <c r="BU121" i="1" s="1"/>
  <c r="BQ121" i="1"/>
  <c r="BP121" i="1"/>
  <c r="BO121" i="1"/>
  <c r="BN121" i="1"/>
  <c r="BE121" i="1"/>
  <c r="BF122" i="1" s="1"/>
  <c r="BC121" i="1"/>
  <c r="BB121" i="1"/>
  <c r="BR120" i="1"/>
  <c r="BQ120" i="1"/>
  <c r="BO120" i="1"/>
  <c r="BN120" i="1"/>
  <c r="BR121" i="1" s="1"/>
  <c r="BT121" i="1" s="1"/>
  <c r="BE120" i="1"/>
  <c r="BC120" i="1"/>
  <c r="BB120" i="1"/>
  <c r="BQ119" i="1"/>
  <c r="BO119" i="1"/>
  <c r="BN119" i="1"/>
  <c r="BG119" i="1"/>
  <c r="BI119" i="1" s="1"/>
  <c r="BF119" i="1"/>
  <c r="BH119" i="1" s="1"/>
  <c r="BE119" i="1"/>
  <c r="BD119" i="1"/>
  <c r="BC119" i="1"/>
  <c r="BB119" i="1"/>
  <c r="BF120" i="1" s="1"/>
  <c r="BQ118" i="1"/>
  <c r="BO118" i="1"/>
  <c r="BN118" i="1"/>
  <c r="BF118" i="1"/>
  <c r="BE118" i="1"/>
  <c r="BC118" i="1"/>
  <c r="BB118" i="1"/>
  <c r="BT117" i="1"/>
  <c r="BQ117" i="1"/>
  <c r="BO117" i="1"/>
  <c r="BN117" i="1"/>
  <c r="BH117" i="1"/>
  <c r="BE117" i="1"/>
  <c r="BC117" i="1"/>
  <c r="BB117" i="1"/>
  <c r="BQ116" i="1"/>
  <c r="BO116" i="1"/>
  <c r="BR117" i="1" s="1"/>
  <c r="BN116" i="1"/>
  <c r="BE116" i="1"/>
  <c r="BF117" i="1" s="1"/>
  <c r="BC116" i="1"/>
  <c r="BB116" i="1"/>
  <c r="BR115" i="1"/>
  <c r="BQ115" i="1"/>
  <c r="BR116" i="1" s="1"/>
  <c r="BO115" i="1"/>
  <c r="BN115" i="1"/>
  <c r="BE115" i="1"/>
  <c r="BF116" i="1" s="1"/>
  <c r="BC115" i="1"/>
  <c r="BB115" i="1"/>
  <c r="BQ114" i="1"/>
  <c r="BO114" i="1"/>
  <c r="BN114" i="1"/>
  <c r="BE114" i="1"/>
  <c r="BF115" i="1" s="1"/>
  <c r="BD114" i="1"/>
  <c r="BC114" i="1"/>
  <c r="BB114" i="1"/>
  <c r="BT113" i="1"/>
  <c r="BQ113" i="1"/>
  <c r="BP113" i="1"/>
  <c r="BO113" i="1"/>
  <c r="BN113" i="1"/>
  <c r="BE113" i="1"/>
  <c r="BC113" i="1"/>
  <c r="BB113" i="1"/>
  <c r="BF114" i="1" s="1"/>
  <c r="BG114" i="1" s="1"/>
  <c r="BQ112" i="1"/>
  <c r="BO112" i="1"/>
  <c r="BN112" i="1"/>
  <c r="BR113" i="1" s="1"/>
  <c r="BS113" i="1" s="1"/>
  <c r="BU113" i="1" s="1"/>
  <c r="BH112" i="1"/>
  <c r="BG112" i="1"/>
  <c r="BF112" i="1"/>
  <c r="BD112" i="1" s="1"/>
  <c r="BE112" i="1"/>
  <c r="BC112" i="1"/>
  <c r="BB112" i="1"/>
  <c r="BS111" i="1"/>
  <c r="BU111" i="1" s="1"/>
  <c r="BQ111" i="1"/>
  <c r="BO111" i="1"/>
  <c r="BN111" i="1"/>
  <c r="BR112" i="1" s="1"/>
  <c r="BP112" i="1" s="1"/>
  <c r="BH111" i="1"/>
  <c r="BF111" i="1"/>
  <c r="BE111" i="1"/>
  <c r="BC111" i="1"/>
  <c r="BB111" i="1"/>
  <c r="BQ110" i="1"/>
  <c r="BR111" i="1" s="1"/>
  <c r="BT111" i="1" s="1"/>
  <c r="BO110" i="1"/>
  <c r="BN110" i="1"/>
  <c r="BH110" i="1"/>
  <c r="BF110" i="1"/>
  <c r="BE110" i="1"/>
  <c r="BC110" i="1"/>
  <c r="BB110" i="1"/>
  <c r="BQ109" i="1"/>
  <c r="BO109" i="1"/>
  <c r="BR110" i="1" s="1"/>
  <c r="BN109" i="1"/>
  <c r="BG109" i="1"/>
  <c r="BE109" i="1"/>
  <c r="BC109" i="1"/>
  <c r="BB109" i="1"/>
  <c r="BQ108" i="1"/>
  <c r="BO108" i="1"/>
  <c r="BN108" i="1"/>
  <c r="BR109" i="1" s="1"/>
  <c r="BG108" i="1"/>
  <c r="BE108" i="1"/>
  <c r="BC108" i="1"/>
  <c r="BB108" i="1"/>
  <c r="BF109" i="1" s="1"/>
  <c r="BQ107" i="1"/>
  <c r="BP107" i="1"/>
  <c r="BO107" i="1"/>
  <c r="BN107" i="1"/>
  <c r="BR108" i="1" s="1"/>
  <c r="BE107" i="1"/>
  <c r="BC107" i="1"/>
  <c r="BB107" i="1"/>
  <c r="BF108" i="1" s="1"/>
  <c r="BQ106" i="1"/>
  <c r="BO106" i="1"/>
  <c r="BN106" i="1"/>
  <c r="BR107" i="1" s="1"/>
  <c r="BE106" i="1"/>
  <c r="BC106" i="1"/>
  <c r="BB106" i="1"/>
  <c r="BF107" i="1" s="1"/>
  <c r="BQ105" i="1"/>
  <c r="BO105" i="1"/>
  <c r="BN105" i="1"/>
  <c r="BR106" i="1" s="1"/>
  <c r="BT106" i="1" s="1"/>
  <c r="BE105" i="1"/>
  <c r="BD105" i="1"/>
  <c r="BC105" i="1"/>
  <c r="BB105" i="1"/>
  <c r="BF106" i="1" s="1"/>
  <c r="BQ104" i="1"/>
  <c r="BO104" i="1"/>
  <c r="BN104" i="1"/>
  <c r="BE104" i="1"/>
  <c r="BC104" i="1"/>
  <c r="BF105" i="1" s="1"/>
  <c r="BB104" i="1"/>
  <c r="BQ103" i="1"/>
  <c r="BO103" i="1"/>
  <c r="BN103" i="1"/>
  <c r="BF103" i="1"/>
  <c r="BE103" i="1"/>
  <c r="BC103" i="1"/>
  <c r="BB103" i="1"/>
  <c r="BQ102" i="1"/>
  <c r="BO102" i="1"/>
  <c r="BN102" i="1"/>
  <c r="BE102" i="1"/>
  <c r="BC102" i="1"/>
  <c r="BB102" i="1"/>
  <c r="BR101" i="1"/>
  <c r="BQ101" i="1"/>
  <c r="BO101" i="1"/>
  <c r="BN101" i="1"/>
  <c r="BE101" i="1"/>
  <c r="BC101" i="1"/>
  <c r="BF102" i="1" s="1"/>
  <c r="BB101" i="1"/>
  <c r="BQ100" i="1"/>
  <c r="BO100" i="1"/>
  <c r="BN100" i="1"/>
  <c r="BG100" i="1"/>
  <c r="BE100" i="1"/>
  <c r="BC100" i="1"/>
  <c r="BB100" i="1"/>
  <c r="BQ99" i="1"/>
  <c r="BO99" i="1"/>
  <c r="BN99" i="1"/>
  <c r="BE99" i="1"/>
  <c r="BC99" i="1"/>
  <c r="BB99" i="1"/>
  <c r="BF100" i="1" s="1"/>
  <c r="BH100" i="1" s="1"/>
  <c r="BS98" i="1"/>
  <c r="BQ98" i="1"/>
  <c r="BO98" i="1"/>
  <c r="BN98" i="1"/>
  <c r="BE98" i="1"/>
  <c r="BC98" i="1"/>
  <c r="BB98" i="1"/>
  <c r="BF99" i="1" s="1"/>
  <c r="BR97" i="1"/>
  <c r="BT97" i="1" s="1"/>
  <c r="BQ97" i="1"/>
  <c r="BP97" i="1"/>
  <c r="BO97" i="1"/>
  <c r="BN97" i="1"/>
  <c r="BR98" i="1" s="1"/>
  <c r="BE97" i="1"/>
  <c r="BC97" i="1"/>
  <c r="BF98" i="1" s="1"/>
  <c r="BH98" i="1" s="1"/>
  <c r="BB97" i="1"/>
  <c r="BR96" i="1"/>
  <c r="BQ96" i="1"/>
  <c r="BP96" i="1"/>
  <c r="BO96" i="1"/>
  <c r="BN96" i="1"/>
  <c r="BF96" i="1"/>
  <c r="BG96" i="1" s="1"/>
  <c r="BE96" i="1"/>
  <c r="BF97" i="1" s="1"/>
  <c r="BC96" i="1"/>
  <c r="BB96" i="1"/>
  <c r="BR95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F95" i="1" s="1"/>
  <c r="BQ93" i="1"/>
  <c r="BO93" i="1"/>
  <c r="BN93" i="1"/>
  <c r="BE93" i="1"/>
  <c r="BC93" i="1"/>
  <c r="BB93" i="1"/>
  <c r="BR92" i="1"/>
  <c r="BQ92" i="1"/>
  <c r="BO92" i="1"/>
  <c r="BN92" i="1"/>
  <c r="BE92" i="1"/>
  <c r="BC92" i="1"/>
  <c r="BB92" i="1"/>
  <c r="BF93" i="1" s="1"/>
  <c r="BQ91" i="1"/>
  <c r="BO91" i="1"/>
  <c r="BN91" i="1"/>
  <c r="BE91" i="1"/>
  <c r="BC91" i="1"/>
  <c r="BB91" i="1"/>
  <c r="BF92" i="1" s="1"/>
  <c r="BQ90" i="1"/>
  <c r="BO90" i="1"/>
  <c r="BN90" i="1"/>
  <c r="BE90" i="1"/>
  <c r="BC90" i="1"/>
  <c r="BF91" i="1" s="1"/>
  <c r="BB90" i="1"/>
  <c r="BQ89" i="1"/>
  <c r="BO89" i="1"/>
  <c r="BN89" i="1"/>
  <c r="BE89" i="1"/>
  <c r="BC89" i="1"/>
  <c r="BB89" i="1"/>
  <c r="BQ88" i="1"/>
  <c r="BP88" i="1"/>
  <c r="BO88" i="1"/>
  <c r="BR89" i="1" s="1"/>
  <c r="BN88" i="1"/>
  <c r="BE88" i="1"/>
  <c r="BF89" i="1" s="1"/>
  <c r="BG89" i="1" s="1"/>
  <c r="BC88" i="1"/>
  <c r="BB88" i="1"/>
  <c r="BQ87" i="1"/>
  <c r="BP87" i="1"/>
  <c r="BO87" i="1"/>
  <c r="BN87" i="1"/>
  <c r="BR88" i="1" s="1"/>
  <c r="BE87" i="1"/>
  <c r="BF88" i="1" s="1"/>
  <c r="BC87" i="1"/>
  <c r="BB87" i="1"/>
  <c r="BQ86" i="1"/>
  <c r="BO86" i="1"/>
  <c r="BN86" i="1"/>
  <c r="BR87" i="1" s="1"/>
  <c r="BE86" i="1"/>
  <c r="BC86" i="1"/>
  <c r="BB86" i="1"/>
  <c r="BQ85" i="1"/>
  <c r="BO85" i="1"/>
  <c r="BN85" i="1"/>
  <c r="BE85" i="1"/>
  <c r="BC85" i="1"/>
  <c r="BB85" i="1"/>
  <c r="BF86" i="1" s="1"/>
  <c r="BR84" i="1"/>
  <c r="BQ84" i="1"/>
  <c r="BO84" i="1"/>
  <c r="BN84" i="1"/>
  <c r="BF84" i="1"/>
  <c r="BE84" i="1"/>
  <c r="BD84" i="1"/>
  <c r="BC84" i="1"/>
  <c r="BB84" i="1"/>
  <c r="BF85" i="1" s="1"/>
  <c r="BQ83" i="1"/>
  <c r="BO83" i="1"/>
  <c r="BN83" i="1"/>
  <c r="BH83" i="1"/>
  <c r="BE83" i="1"/>
  <c r="BC83" i="1"/>
  <c r="BB83" i="1"/>
  <c r="BQ82" i="1"/>
  <c r="BP82" i="1"/>
  <c r="BO82" i="1"/>
  <c r="BN82" i="1"/>
  <c r="BR83" i="1" s="1"/>
  <c r="BE82" i="1"/>
  <c r="BF83" i="1" s="1"/>
  <c r="BD83" i="1" s="1"/>
  <c r="BC82" i="1"/>
  <c r="BB82" i="1"/>
  <c r="BQ81" i="1"/>
  <c r="BO81" i="1"/>
  <c r="BN81" i="1"/>
  <c r="BR82" i="1" s="1"/>
  <c r="BF81" i="1"/>
  <c r="BE81" i="1"/>
  <c r="BF82" i="1" s="1"/>
  <c r="BC81" i="1"/>
  <c r="BB81" i="1"/>
  <c r="BS80" i="1"/>
  <c r="BQ80" i="1"/>
  <c r="BO80" i="1"/>
  <c r="BN80" i="1"/>
  <c r="BE80" i="1"/>
  <c r="BC80" i="1"/>
  <c r="BB80" i="1"/>
  <c r="BR79" i="1"/>
  <c r="BQ79" i="1"/>
  <c r="BR80" i="1" s="1"/>
  <c r="BO79" i="1"/>
  <c r="BN79" i="1"/>
  <c r="BE79" i="1"/>
  <c r="BF80" i="1" s="1"/>
  <c r="BC79" i="1"/>
  <c r="BB79" i="1"/>
  <c r="BT78" i="1"/>
  <c r="BQ78" i="1"/>
  <c r="BO78" i="1"/>
  <c r="BN78" i="1"/>
  <c r="BE78" i="1"/>
  <c r="BD78" i="1"/>
  <c r="BC78" i="1"/>
  <c r="BB78" i="1"/>
  <c r="BF79" i="1" s="1"/>
  <c r="BR77" i="1"/>
  <c r="BQ77" i="1"/>
  <c r="BR78" i="1" s="1"/>
  <c r="BP78" i="1" s="1"/>
  <c r="BO77" i="1"/>
  <c r="BN77" i="1"/>
  <c r="BE77" i="1"/>
  <c r="BF78" i="1" s="1"/>
  <c r="BC77" i="1"/>
  <c r="BB77" i="1"/>
  <c r="BR76" i="1"/>
  <c r="BQ76" i="1"/>
  <c r="BO76" i="1"/>
  <c r="BN76" i="1"/>
  <c r="BE76" i="1"/>
  <c r="BC76" i="1"/>
  <c r="BB76" i="1"/>
  <c r="BF77" i="1" s="1"/>
  <c r="BU75" i="1"/>
  <c r="BT75" i="1"/>
  <c r="BS75" i="1"/>
  <c r="BQ75" i="1"/>
  <c r="BP75" i="1"/>
  <c r="BO75" i="1"/>
  <c r="BN75" i="1"/>
  <c r="BF75" i="1"/>
  <c r="BE75" i="1"/>
  <c r="BC75" i="1"/>
  <c r="BB75" i="1"/>
  <c r="BQ74" i="1"/>
  <c r="BO74" i="1"/>
  <c r="BN74" i="1"/>
  <c r="BR75" i="1" s="1"/>
  <c r="BF74" i="1"/>
  <c r="BH74" i="1" s="1"/>
  <c r="BE74" i="1"/>
  <c r="BD74" i="1"/>
  <c r="BC74" i="1"/>
  <c r="BB74" i="1"/>
  <c r="BQ73" i="1"/>
  <c r="BO73" i="1"/>
  <c r="BN73" i="1"/>
  <c r="BH73" i="1"/>
  <c r="BG73" i="1"/>
  <c r="BI73" i="1" s="1"/>
  <c r="BE73" i="1"/>
  <c r="BC73" i="1"/>
  <c r="BB73" i="1"/>
  <c r="BQ72" i="1"/>
  <c r="BO72" i="1"/>
  <c r="BN72" i="1"/>
  <c r="BR73" i="1" s="1"/>
  <c r="BE72" i="1"/>
  <c r="BC72" i="1"/>
  <c r="BB72" i="1"/>
  <c r="BF73" i="1" s="1"/>
  <c r="BD73" i="1" s="1"/>
  <c r="BR71" i="1"/>
  <c r="BT71" i="1" s="1"/>
  <c r="BQ71" i="1"/>
  <c r="BR72" i="1" s="1"/>
  <c r="BO71" i="1"/>
  <c r="BN71" i="1"/>
  <c r="BE71" i="1"/>
  <c r="BC71" i="1"/>
  <c r="BB71" i="1"/>
  <c r="BF72" i="1" s="1"/>
  <c r="BQ70" i="1"/>
  <c r="BO70" i="1"/>
  <c r="BN70" i="1"/>
  <c r="BF70" i="1"/>
  <c r="BE70" i="1"/>
  <c r="BC70" i="1"/>
  <c r="BB70" i="1"/>
  <c r="BF71" i="1" s="1"/>
  <c r="BR69" i="1"/>
  <c r="BQ69" i="1"/>
  <c r="BO69" i="1"/>
  <c r="BN69" i="1"/>
  <c r="BE69" i="1"/>
  <c r="BC69" i="1"/>
  <c r="BB69" i="1"/>
  <c r="BT68" i="1"/>
  <c r="BR68" i="1"/>
  <c r="BP68" i="1" s="1"/>
  <c r="BQ68" i="1"/>
  <c r="BO68" i="1"/>
  <c r="BN68" i="1"/>
  <c r="BE68" i="1"/>
  <c r="BD68" i="1"/>
  <c r="BC68" i="1"/>
  <c r="BB68" i="1"/>
  <c r="BF69" i="1" s="1"/>
  <c r="BQ67" i="1"/>
  <c r="BO67" i="1"/>
  <c r="BN67" i="1"/>
  <c r="BH67" i="1"/>
  <c r="BI67" i="1" s="1"/>
  <c r="BG67" i="1"/>
  <c r="BF67" i="1"/>
  <c r="BE67" i="1"/>
  <c r="BD67" i="1"/>
  <c r="BC67" i="1"/>
  <c r="BB67" i="1"/>
  <c r="BF68" i="1" s="1"/>
  <c r="BQ66" i="1"/>
  <c r="BP66" i="1"/>
  <c r="BO66" i="1"/>
  <c r="BN66" i="1"/>
  <c r="BE66" i="1"/>
  <c r="BC66" i="1"/>
  <c r="BB66" i="1"/>
  <c r="BR65" i="1"/>
  <c r="BT65" i="1" s="1"/>
  <c r="BQ65" i="1"/>
  <c r="BR66" i="1" s="1"/>
  <c r="BP65" i="1"/>
  <c r="BO65" i="1"/>
  <c r="BN65" i="1"/>
  <c r="BE65" i="1"/>
  <c r="BC65" i="1"/>
  <c r="BB65" i="1"/>
  <c r="BS64" i="1"/>
  <c r="BQ64" i="1"/>
  <c r="BO64" i="1"/>
  <c r="BN64" i="1"/>
  <c r="BE64" i="1"/>
  <c r="BC64" i="1"/>
  <c r="BB64" i="1"/>
  <c r="BF65" i="1" s="1"/>
  <c r="BQ63" i="1"/>
  <c r="BO63" i="1"/>
  <c r="BN63" i="1"/>
  <c r="BR64" i="1" s="1"/>
  <c r="BP64" i="1" s="1"/>
  <c r="BF63" i="1"/>
  <c r="BH63" i="1" s="1"/>
  <c r="BE63" i="1"/>
  <c r="BC63" i="1"/>
  <c r="BB63" i="1"/>
  <c r="BF64" i="1" s="1"/>
  <c r="BD64" i="1" s="1"/>
  <c r="BQ62" i="1"/>
  <c r="BO62" i="1"/>
  <c r="BN62" i="1"/>
  <c r="BF62" i="1"/>
  <c r="BE62" i="1"/>
  <c r="BC62" i="1"/>
  <c r="BB62" i="1"/>
  <c r="BR61" i="1"/>
  <c r="BT61" i="1" s="1"/>
  <c r="BQ61" i="1"/>
  <c r="BO61" i="1"/>
  <c r="BN61" i="1"/>
  <c r="BE61" i="1"/>
  <c r="BC61" i="1"/>
  <c r="BB61" i="1"/>
  <c r="BQ60" i="1"/>
  <c r="BO60" i="1"/>
  <c r="BN60" i="1"/>
  <c r="BF60" i="1"/>
  <c r="BE60" i="1"/>
  <c r="BC60" i="1"/>
  <c r="BB60" i="1"/>
  <c r="BF61" i="1" s="1"/>
  <c r="BQ59" i="1"/>
  <c r="BO59" i="1"/>
  <c r="BN59" i="1"/>
  <c r="BE59" i="1"/>
  <c r="BC59" i="1"/>
  <c r="BB59" i="1"/>
  <c r="BQ58" i="1"/>
  <c r="BO58" i="1"/>
  <c r="BN58" i="1"/>
  <c r="BF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F57" i="1" s="1"/>
  <c r="BS55" i="1"/>
  <c r="BQ55" i="1"/>
  <c r="BO55" i="1"/>
  <c r="BN55" i="1"/>
  <c r="BE55" i="1"/>
  <c r="BC55" i="1"/>
  <c r="BB55" i="1"/>
  <c r="BF56" i="1" s="1"/>
  <c r="BQ54" i="1"/>
  <c r="BO54" i="1"/>
  <c r="BN54" i="1"/>
  <c r="BR55" i="1" s="1"/>
  <c r="BP55" i="1" s="1"/>
  <c r="BE54" i="1"/>
  <c r="BC54" i="1"/>
  <c r="BB54" i="1"/>
  <c r="BQ53" i="1"/>
  <c r="BO53" i="1"/>
  <c r="BN53" i="1"/>
  <c r="BE53" i="1"/>
  <c r="BC53" i="1"/>
  <c r="BB53" i="1"/>
  <c r="BF54" i="1" s="1"/>
  <c r="BR52" i="1"/>
  <c r="BP52" i="1" s="1"/>
  <c r="BQ52" i="1"/>
  <c r="BR53" i="1" s="1"/>
  <c r="BO52" i="1"/>
  <c r="BN52" i="1"/>
  <c r="BE52" i="1"/>
  <c r="BC52" i="1"/>
  <c r="BB52" i="1"/>
  <c r="BF53" i="1" s="1"/>
  <c r="BQ51" i="1"/>
  <c r="BO51" i="1"/>
  <c r="BN51" i="1"/>
  <c r="BF51" i="1"/>
  <c r="BG51" i="1" s="1"/>
  <c r="BE51" i="1"/>
  <c r="BD51" i="1"/>
  <c r="BC51" i="1"/>
  <c r="BB51" i="1"/>
  <c r="BR50" i="1"/>
  <c r="BQ50" i="1"/>
  <c r="BO50" i="1"/>
  <c r="BN50" i="1"/>
  <c r="BR51" i="1" s="1"/>
  <c r="BE50" i="1"/>
  <c r="BC50" i="1"/>
  <c r="BB50" i="1"/>
  <c r="BQ49" i="1"/>
  <c r="BO49" i="1"/>
  <c r="BN49" i="1"/>
  <c r="BE49" i="1"/>
  <c r="BC49" i="1"/>
  <c r="BB49" i="1"/>
  <c r="BF50" i="1" s="1"/>
  <c r="BH50" i="1" s="1"/>
  <c r="BQ48" i="1"/>
  <c r="BO48" i="1"/>
  <c r="BN48" i="1"/>
  <c r="BE48" i="1"/>
  <c r="BC48" i="1"/>
  <c r="BB48" i="1"/>
  <c r="BF49" i="1" s="1"/>
  <c r="BD49" i="1" s="1"/>
  <c r="BQ47" i="1"/>
  <c r="BO47" i="1"/>
  <c r="BN47" i="1"/>
  <c r="BR48" i="1" s="1"/>
  <c r="BE47" i="1"/>
  <c r="BC47" i="1"/>
  <c r="BF48" i="1" s="1"/>
  <c r="BB47" i="1"/>
  <c r="BT46" i="1"/>
  <c r="BU46" i="1" s="1"/>
  <c r="BR46" i="1"/>
  <c r="BS46" i="1" s="1"/>
  <c r="BQ46" i="1"/>
  <c r="BP46" i="1"/>
  <c r="BO46" i="1"/>
  <c r="BN46" i="1"/>
  <c r="BR47" i="1" s="1"/>
  <c r="BE46" i="1"/>
  <c r="BC46" i="1"/>
  <c r="BB46" i="1"/>
  <c r="BF47" i="1" s="1"/>
  <c r="BQ45" i="1"/>
  <c r="BO45" i="1"/>
  <c r="BN45" i="1"/>
  <c r="BE45" i="1"/>
  <c r="BC45" i="1"/>
  <c r="BB45" i="1"/>
  <c r="BQ44" i="1"/>
  <c r="BO44" i="1"/>
  <c r="BN44" i="1"/>
  <c r="BR45" i="1" s="1"/>
  <c r="BP45" i="1" s="1"/>
  <c r="BF44" i="1"/>
  <c r="BD44" i="1" s="1"/>
  <c r="BE44" i="1"/>
  <c r="BF45" i="1" s="1"/>
  <c r="BD45" i="1" s="1"/>
  <c r="BC44" i="1"/>
  <c r="BB44" i="1"/>
  <c r="BT43" i="1"/>
  <c r="BS43" i="1"/>
  <c r="BU43" i="1" s="1"/>
  <c r="BR43" i="1"/>
  <c r="BQ43" i="1"/>
  <c r="BP43" i="1"/>
  <c r="BO43" i="1"/>
  <c r="BN43" i="1"/>
  <c r="BE43" i="1"/>
  <c r="BC43" i="1"/>
  <c r="BB43" i="1"/>
  <c r="BQ42" i="1"/>
  <c r="BO42" i="1"/>
  <c r="BN42" i="1"/>
  <c r="BE42" i="1"/>
  <c r="BC42" i="1"/>
  <c r="BB42" i="1"/>
  <c r="BF43" i="1" s="1"/>
  <c r="BH43" i="1" s="1"/>
  <c r="BQ41" i="1"/>
  <c r="BO41" i="1"/>
  <c r="BN41" i="1"/>
  <c r="BF41" i="1"/>
  <c r="BE41" i="1"/>
  <c r="BC41" i="1"/>
  <c r="BB41" i="1"/>
  <c r="BF42" i="1" s="1"/>
  <c r="BQ40" i="1"/>
  <c r="BO40" i="1"/>
  <c r="BN40" i="1"/>
  <c r="BF40" i="1"/>
  <c r="BD40" i="1" s="1"/>
  <c r="BE40" i="1"/>
  <c r="BC40" i="1"/>
  <c r="BB40" i="1"/>
  <c r="BQ39" i="1"/>
  <c r="BO39" i="1"/>
  <c r="BN39" i="1"/>
  <c r="BE39" i="1"/>
  <c r="BC39" i="1"/>
  <c r="BB39" i="1"/>
  <c r="BR38" i="1"/>
  <c r="BP38" i="1" s="1"/>
  <c r="BQ38" i="1"/>
  <c r="BO38" i="1"/>
  <c r="BR39" i="1" s="1"/>
  <c r="BS39" i="1" s="1"/>
  <c r="BN38" i="1"/>
  <c r="BE38" i="1"/>
  <c r="BC38" i="1"/>
  <c r="BB38" i="1"/>
  <c r="BF39" i="1" s="1"/>
  <c r="BQ37" i="1"/>
  <c r="BO37" i="1"/>
  <c r="BN37" i="1"/>
  <c r="BH37" i="1"/>
  <c r="BF37" i="1"/>
  <c r="BD37" i="1" s="1"/>
  <c r="BE37" i="1"/>
  <c r="BC37" i="1"/>
  <c r="BB37" i="1"/>
  <c r="BF38" i="1" s="1"/>
  <c r="BH38" i="1" s="1"/>
  <c r="BQ36" i="1"/>
  <c r="BO36" i="1"/>
  <c r="BN36" i="1"/>
  <c r="BR37" i="1" s="1"/>
  <c r="BS37" i="1" s="1"/>
  <c r="BE36" i="1"/>
  <c r="BC36" i="1"/>
  <c r="BB36" i="1"/>
  <c r="BQ35" i="1"/>
  <c r="BO35" i="1"/>
  <c r="BN35" i="1"/>
  <c r="BR36" i="1" s="1"/>
  <c r="BT36" i="1" s="1"/>
  <c r="BE35" i="1"/>
  <c r="BC35" i="1"/>
  <c r="BB35" i="1"/>
  <c r="BF36" i="1" s="1"/>
  <c r="BQ34" i="1"/>
  <c r="BO34" i="1"/>
  <c r="BN34" i="1"/>
  <c r="BR35" i="1" s="1"/>
  <c r="BP35" i="1" s="1"/>
  <c r="BF34" i="1"/>
  <c r="BG34" i="1" s="1"/>
  <c r="BE34" i="1"/>
  <c r="BF35" i="1" s="1"/>
  <c r="BD34" i="1"/>
  <c r="BC34" i="1"/>
  <c r="BB34" i="1"/>
  <c r="BQ33" i="1"/>
  <c r="BO33" i="1"/>
  <c r="BN33" i="1"/>
  <c r="BR34" i="1" s="1"/>
  <c r="BE33" i="1"/>
  <c r="BC33" i="1"/>
  <c r="BB33" i="1"/>
  <c r="BQ32" i="1"/>
  <c r="BR33" i="1" s="1"/>
  <c r="BO32" i="1"/>
  <c r="BN32" i="1"/>
  <c r="BE32" i="1"/>
  <c r="BC32" i="1"/>
  <c r="BB32" i="1"/>
  <c r="BF33" i="1" s="1"/>
  <c r="BH33" i="1" s="1"/>
  <c r="BQ31" i="1"/>
  <c r="BR32" i="1" s="1"/>
  <c r="BO31" i="1"/>
  <c r="BN31" i="1"/>
  <c r="BE31" i="1"/>
  <c r="BC31" i="1"/>
  <c r="BB31" i="1"/>
  <c r="BF32" i="1" s="1"/>
  <c r="BQ30" i="1"/>
  <c r="BO30" i="1"/>
  <c r="BN30" i="1"/>
  <c r="BE30" i="1"/>
  <c r="BC30" i="1"/>
  <c r="BB30" i="1"/>
  <c r="BF31" i="1" s="1"/>
  <c r="BQ29" i="1"/>
  <c r="BO29" i="1"/>
  <c r="BN29" i="1"/>
  <c r="BE29" i="1"/>
  <c r="BC29" i="1"/>
  <c r="BB29" i="1"/>
  <c r="BF30" i="1" s="1"/>
  <c r="BT28" i="1"/>
  <c r="BS28" i="1"/>
  <c r="BU28" i="1" s="1"/>
  <c r="BQ28" i="1"/>
  <c r="BO28" i="1"/>
  <c r="BN28" i="1"/>
  <c r="BR29" i="1" s="1"/>
  <c r="BT29" i="1" s="1"/>
  <c r="BE28" i="1"/>
  <c r="BC28" i="1"/>
  <c r="BF29" i="1" s="1"/>
  <c r="BB28" i="1"/>
  <c r="BQ27" i="1"/>
  <c r="BP27" i="1"/>
  <c r="BO27" i="1"/>
  <c r="BN27" i="1"/>
  <c r="BR28" i="1" s="1"/>
  <c r="BP28" i="1" s="1"/>
  <c r="BE27" i="1"/>
  <c r="BC27" i="1"/>
  <c r="BB27" i="1"/>
  <c r="BF28" i="1" s="1"/>
  <c r="BQ26" i="1"/>
  <c r="BO26" i="1"/>
  <c r="BN26" i="1"/>
  <c r="BR27" i="1" s="1"/>
  <c r="BE26" i="1"/>
  <c r="BC26" i="1"/>
  <c r="BB26" i="1"/>
  <c r="BF27" i="1" s="1"/>
  <c r="BR25" i="1"/>
  <c r="BT25" i="1" s="1"/>
  <c r="BQ25" i="1"/>
  <c r="BR26" i="1" s="1"/>
  <c r="BP25" i="1"/>
  <c r="BO25" i="1"/>
  <c r="BN25" i="1"/>
  <c r="BE25" i="1"/>
  <c r="BC25" i="1"/>
  <c r="BB25" i="1"/>
  <c r="BR24" i="1"/>
  <c r="BQ24" i="1"/>
  <c r="BO24" i="1"/>
  <c r="BN24" i="1"/>
  <c r="BE24" i="1"/>
  <c r="BF25" i="1" s="1"/>
  <c r="BH25" i="1" s="1"/>
  <c r="BC24" i="1"/>
  <c r="BB24" i="1"/>
  <c r="BQ23" i="1"/>
  <c r="BO23" i="1"/>
  <c r="BN23" i="1"/>
  <c r="BE23" i="1"/>
  <c r="BC23" i="1"/>
  <c r="BB23" i="1"/>
  <c r="BF24" i="1" s="1"/>
  <c r="BR22" i="1"/>
  <c r="BT22" i="1" s="1"/>
  <c r="BQ22" i="1"/>
  <c r="BP22" i="1"/>
  <c r="BO22" i="1"/>
  <c r="BR23" i="1" s="1"/>
  <c r="BS23" i="1" s="1"/>
  <c r="BN22" i="1"/>
  <c r="BF22" i="1"/>
  <c r="BH22" i="1" s="1"/>
  <c r="BE22" i="1"/>
  <c r="BD22" i="1"/>
  <c r="BC22" i="1"/>
  <c r="BB22" i="1"/>
  <c r="BQ21" i="1"/>
  <c r="BE21" i="1"/>
  <c r="BT20" i="1"/>
  <c r="BS20" i="1"/>
  <c r="BH20" i="1"/>
  <c r="BG20" i="1"/>
  <c r="BD125" i="1" l="1"/>
  <c r="BG125" i="1"/>
  <c r="BI125" i="1" s="1"/>
  <c r="BH125" i="1"/>
  <c r="BP26" i="1"/>
  <c r="BS26" i="1"/>
  <c r="BU26" i="1" s="1"/>
  <c r="BT26" i="1"/>
  <c r="BT32" i="1"/>
  <c r="BS32" i="1"/>
  <c r="BU32" i="1" s="1"/>
  <c r="BP32" i="1"/>
  <c r="BG48" i="1"/>
  <c r="BH48" i="1"/>
  <c r="BD48" i="1"/>
  <c r="BD54" i="1"/>
  <c r="BG54" i="1"/>
  <c r="BH54" i="1"/>
  <c r="BU98" i="1"/>
  <c r="BT108" i="1"/>
  <c r="BP108" i="1"/>
  <c r="BS108" i="1"/>
  <c r="BU108" i="1" s="1"/>
  <c r="BS153" i="1"/>
  <c r="BP153" i="1"/>
  <c r="BT153" i="1"/>
  <c r="BR62" i="1"/>
  <c r="BG27" i="1"/>
  <c r="BD27" i="1"/>
  <c r="BH27" i="1"/>
  <c r="BT110" i="1"/>
  <c r="BS110" i="1"/>
  <c r="BU110" i="1" s="1"/>
  <c r="BP110" i="1"/>
  <c r="BD47" i="1"/>
  <c r="BH47" i="1"/>
  <c r="BG47" i="1"/>
  <c r="BI47" i="1" s="1"/>
  <c r="BU37" i="1"/>
  <c r="BU55" i="1"/>
  <c r="BT80" i="1"/>
  <c r="BU80" i="1" s="1"/>
  <c r="BP80" i="1"/>
  <c r="BT101" i="1"/>
  <c r="BP101" i="1"/>
  <c r="BR102" i="1" s="1"/>
  <c r="BS101" i="1"/>
  <c r="BG116" i="1"/>
  <c r="BH116" i="1"/>
  <c r="BD116" i="1"/>
  <c r="BH29" i="1"/>
  <c r="BG29" i="1"/>
  <c r="BI29" i="1" s="1"/>
  <c r="BD29" i="1"/>
  <c r="BP33" i="1"/>
  <c r="BT33" i="1"/>
  <c r="BS33" i="1"/>
  <c r="BU33" i="1" s="1"/>
  <c r="BH42" i="1"/>
  <c r="BG42" i="1"/>
  <c r="BD42" i="1"/>
  <c r="BG31" i="1"/>
  <c r="BI31" i="1" s="1"/>
  <c r="BH31" i="1"/>
  <c r="BD31" i="1"/>
  <c r="BT23" i="1"/>
  <c r="BU23" i="1" s="1"/>
  <c r="BP23" i="1"/>
  <c r="BG88" i="1"/>
  <c r="BD88" i="1"/>
  <c r="BH88" i="1"/>
  <c r="BT95" i="1"/>
  <c r="BS95" i="1"/>
  <c r="BU95" i="1" s="1"/>
  <c r="BP95" i="1"/>
  <c r="BS29" i="1"/>
  <c r="BU29" i="1" s="1"/>
  <c r="BP29" i="1"/>
  <c r="BR30" i="1" s="1"/>
  <c r="BG35" i="1"/>
  <c r="BI35" i="1" s="1"/>
  <c r="BH35" i="1"/>
  <c r="BD35" i="1"/>
  <c r="BT27" i="1"/>
  <c r="BS27" i="1"/>
  <c r="BU27" i="1" s="1"/>
  <c r="BG72" i="1"/>
  <c r="BH72" i="1"/>
  <c r="BD72" i="1"/>
  <c r="BD77" i="1"/>
  <c r="BH77" i="1"/>
  <c r="BG77" i="1"/>
  <c r="BI77" i="1" s="1"/>
  <c r="BG65" i="1"/>
  <c r="BI65" i="1" s="1"/>
  <c r="BX65" i="1" s="1"/>
  <c r="BH65" i="1"/>
  <c r="BD65" i="1"/>
  <c r="BH24" i="1"/>
  <c r="BG24" i="1"/>
  <c r="BD24" i="1"/>
  <c r="BH28" i="1"/>
  <c r="BG28" i="1"/>
  <c r="BI28" i="1" s="1"/>
  <c r="BX28" i="1" s="1"/>
  <c r="BD28" i="1"/>
  <c r="BF55" i="1"/>
  <c r="BH60" i="1"/>
  <c r="BG60" i="1"/>
  <c r="BD60" i="1"/>
  <c r="BH91" i="1"/>
  <c r="BG91" i="1"/>
  <c r="BD91" i="1"/>
  <c r="BT109" i="1"/>
  <c r="BS109" i="1"/>
  <c r="BP109" i="1"/>
  <c r="BD30" i="1"/>
  <c r="BG30" i="1"/>
  <c r="BH30" i="1"/>
  <c r="BH36" i="1"/>
  <c r="BG36" i="1"/>
  <c r="BI36" i="1" s="1"/>
  <c r="BD36" i="1"/>
  <c r="BT158" i="1"/>
  <c r="BS158" i="1"/>
  <c r="BU158" i="1" s="1"/>
  <c r="BP158" i="1"/>
  <c r="BR159" i="1" s="1"/>
  <c r="BG69" i="1"/>
  <c r="BH69" i="1"/>
  <c r="BD69" i="1"/>
  <c r="BT72" i="1"/>
  <c r="BS72" i="1"/>
  <c r="BU72" i="1" s="1"/>
  <c r="BP72" i="1"/>
  <c r="BT83" i="1"/>
  <c r="BS83" i="1"/>
  <c r="BU83" i="1" s="1"/>
  <c r="BP83" i="1"/>
  <c r="BT115" i="1"/>
  <c r="BP115" i="1"/>
  <c r="BS115" i="1"/>
  <c r="BU115" i="1" s="1"/>
  <c r="BT50" i="1"/>
  <c r="BP50" i="1"/>
  <c r="BS50" i="1"/>
  <c r="BU50" i="1" s="1"/>
  <c r="BS69" i="1"/>
  <c r="BU69" i="1" s="1"/>
  <c r="BP69" i="1"/>
  <c r="BT69" i="1"/>
  <c r="BF23" i="1"/>
  <c r="BT34" i="1"/>
  <c r="BS34" i="1"/>
  <c r="BU34" i="1" s="1"/>
  <c r="BP34" i="1"/>
  <c r="BT53" i="1"/>
  <c r="BS53" i="1"/>
  <c r="BU53" i="1" s="1"/>
  <c r="BP53" i="1"/>
  <c r="BP89" i="1"/>
  <c r="BT89" i="1"/>
  <c r="BS89" i="1"/>
  <c r="BU89" i="1" s="1"/>
  <c r="BF142" i="1"/>
  <c r="BP84" i="1"/>
  <c r="BT84" i="1"/>
  <c r="BS112" i="1"/>
  <c r="BH140" i="1"/>
  <c r="BG140" i="1"/>
  <c r="BI140" i="1" s="1"/>
  <c r="BS48" i="1"/>
  <c r="BP48" i="1"/>
  <c r="BH53" i="1"/>
  <c r="BG53" i="1"/>
  <c r="BI53" i="1" s="1"/>
  <c r="BX53" i="1" s="1"/>
  <c r="BD53" i="1"/>
  <c r="BT73" i="1"/>
  <c r="BS73" i="1"/>
  <c r="BT88" i="1"/>
  <c r="BS88" i="1"/>
  <c r="BU88" i="1" s="1"/>
  <c r="BT120" i="1"/>
  <c r="BS120" i="1"/>
  <c r="BU120" i="1" s="1"/>
  <c r="BP120" i="1"/>
  <c r="BS25" i="1"/>
  <c r="BU25" i="1" s="1"/>
  <c r="BD33" i="1"/>
  <c r="BD71" i="1"/>
  <c r="BH71" i="1"/>
  <c r="BG71" i="1"/>
  <c r="BI71" i="1" s="1"/>
  <c r="BX71" i="1" s="1"/>
  <c r="BG149" i="1"/>
  <c r="BI149" i="1" s="1"/>
  <c r="BX149" i="1" s="1"/>
  <c r="BD149" i="1"/>
  <c r="BI34" i="1"/>
  <c r="BX34" i="1" s="1"/>
  <c r="BS38" i="1"/>
  <c r="BU38" i="1" s="1"/>
  <c r="BT39" i="1"/>
  <c r="BU39" i="1" s="1"/>
  <c r="BH44" i="1"/>
  <c r="BT55" i="1"/>
  <c r="BG58" i="1"/>
  <c r="BD58" i="1"/>
  <c r="BG64" i="1"/>
  <c r="BI64" i="1" s="1"/>
  <c r="BX64" i="1" s="1"/>
  <c r="BG78" i="1"/>
  <c r="BH78" i="1"/>
  <c r="BH93" i="1"/>
  <c r="BG93" i="1"/>
  <c r="BI93" i="1" s="1"/>
  <c r="BD93" i="1"/>
  <c r="BD97" i="1"/>
  <c r="BH97" i="1"/>
  <c r="BG97" i="1"/>
  <c r="BI97" i="1" s="1"/>
  <c r="BX97" i="1" s="1"/>
  <c r="BG117" i="1"/>
  <c r="BI117" i="1" s="1"/>
  <c r="BD117" i="1"/>
  <c r="BI146" i="1"/>
  <c r="BS166" i="1"/>
  <c r="BU166" i="1" s="1"/>
  <c r="BP166" i="1"/>
  <c r="BG33" i="1"/>
  <c r="BI33" i="1" s="1"/>
  <c r="BH34" i="1"/>
  <c r="BP36" i="1"/>
  <c r="BT38" i="1"/>
  <c r="BR44" i="1"/>
  <c r="BR54" i="1"/>
  <c r="BH58" i="1"/>
  <c r="BD63" i="1"/>
  <c r="BH64" i="1"/>
  <c r="BR67" i="1"/>
  <c r="BP71" i="1"/>
  <c r="BF76" i="1"/>
  <c r="BS78" i="1"/>
  <c r="BU78" i="1" s="1"/>
  <c r="BG82" i="1"/>
  <c r="BH82" i="1"/>
  <c r="BD82" i="1"/>
  <c r="BI96" i="1"/>
  <c r="BT125" i="1"/>
  <c r="BP125" i="1"/>
  <c r="BS125" i="1"/>
  <c r="BU125" i="1" s="1"/>
  <c r="BD128" i="1"/>
  <c r="BP146" i="1"/>
  <c r="BT146" i="1"/>
  <c r="BT166" i="1"/>
  <c r="BT87" i="1"/>
  <c r="BS87" i="1"/>
  <c r="BU87" i="1" s="1"/>
  <c r="BP127" i="1"/>
  <c r="BT127" i="1"/>
  <c r="BS127" i="1"/>
  <c r="BU127" i="1" s="1"/>
  <c r="BH129" i="1"/>
  <c r="BG129" i="1"/>
  <c r="BI129" i="1" s="1"/>
  <c r="BD129" i="1"/>
  <c r="BU146" i="1"/>
  <c r="BG44" i="1"/>
  <c r="BI44" i="1" s="1"/>
  <c r="BT35" i="1"/>
  <c r="BH39" i="1"/>
  <c r="BD39" i="1"/>
  <c r="BH51" i="1"/>
  <c r="BI51" i="1" s="1"/>
  <c r="BG63" i="1"/>
  <c r="BI63" i="1" s="1"/>
  <c r="BS71" i="1"/>
  <c r="BU71" i="1" s="1"/>
  <c r="BH75" i="1"/>
  <c r="BG75" i="1"/>
  <c r="BI75" i="1" s="1"/>
  <c r="BX75" i="1" s="1"/>
  <c r="BD75" i="1"/>
  <c r="BT82" i="1"/>
  <c r="BS82" i="1"/>
  <c r="BS117" i="1"/>
  <c r="BU117" i="1" s="1"/>
  <c r="BP117" i="1"/>
  <c r="BR118" i="1" s="1"/>
  <c r="BH128" i="1"/>
  <c r="BH141" i="1"/>
  <c r="BG141" i="1"/>
  <c r="BI141" i="1" s="1"/>
  <c r="BD141" i="1"/>
  <c r="BG156" i="1"/>
  <c r="BI156" i="1" s="1"/>
  <c r="BD156" i="1"/>
  <c r="BT24" i="1"/>
  <c r="BS24" i="1"/>
  <c r="BU24" i="1" s="1"/>
  <c r="BP39" i="1"/>
  <c r="BG45" i="1"/>
  <c r="BI45" i="1" s="1"/>
  <c r="BH115" i="1"/>
  <c r="BG115" i="1"/>
  <c r="BR130" i="1"/>
  <c r="BS152" i="1"/>
  <c r="BU152" i="1" s="1"/>
  <c r="BP152" i="1"/>
  <c r="BT152" i="1"/>
  <c r="BT37" i="1"/>
  <c r="BP37" i="1"/>
  <c r="BP73" i="1"/>
  <c r="BG107" i="1"/>
  <c r="BH107" i="1"/>
  <c r="BD144" i="1"/>
  <c r="BG144" i="1"/>
  <c r="BI144" i="1" s="1"/>
  <c r="BG22" i="1"/>
  <c r="BI22" i="1" s="1"/>
  <c r="BF26" i="1"/>
  <c r="BG41" i="1"/>
  <c r="BD41" i="1"/>
  <c r="BH41" i="1"/>
  <c r="BG49" i="1"/>
  <c r="BH49" i="1"/>
  <c r="BH70" i="1"/>
  <c r="BG70" i="1"/>
  <c r="BI70" i="1" s="1"/>
  <c r="BD70" i="1"/>
  <c r="BG106" i="1"/>
  <c r="BD106" i="1"/>
  <c r="BH106" i="1"/>
  <c r="BT122" i="1"/>
  <c r="BP122" i="1"/>
  <c r="BS122" i="1"/>
  <c r="BS36" i="1"/>
  <c r="BU36" i="1" s="1"/>
  <c r="BG92" i="1"/>
  <c r="BI92" i="1" s="1"/>
  <c r="BH92" i="1"/>
  <c r="BD92" i="1"/>
  <c r="BI128" i="1"/>
  <c r="BP133" i="1"/>
  <c r="BT133" i="1"/>
  <c r="BS133" i="1"/>
  <c r="BU133" i="1" s="1"/>
  <c r="BP154" i="1"/>
  <c r="BT154" i="1"/>
  <c r="BS154" i="1"/>
  <c r="BU154" i="1" s="1"/>
  <c r="BG40" i="1"/>
  <c r="BI40" i="1" s="1"/>
  <c r="BH56" i="1"/>
  <c r="BG56" i="1"/>
  <c r="BI56" i="1" s="1"/>
  <c r="BD56" i="1"/>
  <c r="BG62" i="1"/>
  <c r="BD62" i="1"/>
  <c r="BU64" i="1"/>
  <c r="BS65" i="1"/>
  <c r="BU65" i="1" s="1"/>
  <c r="BP77" i="1"/>
  <c r="BT77" i="1"/>
  <c r="BR90" i="1"/>
  <c r="BH102" i="1"/>
  <c r="BG102" i="1"/>
  <c r="BI102" i="1" s="1"/>
  <c r="BD102" i="1"/>
  <c r="BD115" i="1"/>
  <c r="BS129" i="1"/>
  <c r="BT129" i="1"/>
  <c r="BP129" i="1"/>
  <c r="BH135" i="1"/>
  <c r="BG135" i="1"/>
  <c r="BI135" i="1" s="1"/>
  <c r="BG32" i="1"/>
  <c r="BH32" i="1"/>
  <c r="BG43" i="1"/>
  <c r="BI43" i="1" s="1"/>
  <c r="BX43" i="1" s="1"/>
  <c r="BD43" i="1"/>
  <c r="BP47" i="1"/>
  <c r="BT47" i="1"/>
  <c r="BS47" i="1"/>
  <c r="BU47" i="1" s="1"/>
  <c r="BP79" i="1"/>
  <c r="BT79" i="1"/>
  <c r="BP98" i="1"/>
  <c r="BR99" i="1" s="1"/>
  <c r="BT98" i="1"/>
  <c r="BT137" i="1"/>
  <c r="BS137" i="1"/>
  <c r="BU137" i="1" s="1"/>
  <c r="BP137" i="1"/>
  <c r="BH45" i="1"/>
  <c r="BT48" i="1"/>
  <c r="BS79" i="1"/>
  <c r="BS84" i="1"/>
  <c r="BU84" i="1" s="1"/>
  <c r="BT112" i="1"/>
  <c r="BP61" i="1"/>
  <c r="BS61" i="1"/>
  <c r="BU61" i="1" s="1"/>
  <c r="BI114" i="1"/>
  <c r="BS157" i="1"/>
  <c r="BU157" i="1" s="1"/>
  <c r="BX157" i="1" s="1"/>
  <c r="BP157" i="1"/>
  <c r="BD32" i="1"/>
  <c r="BS45" i="1"/>
  <c r="BG50" i="1"/>
  <c r="BI50" i="1" s="1"/>
  <c r="BD50" i="1"/>
  <c r="BS107" i="1"/>
  <c r="BT107" i="1"/>
  <c r="BP124" i="1"/>
  <c r="BT124" i="1"/>
  <c r="BS124" i="1"/>
  <c r="BU124" i="1" s="1"/>
  <c r="BS35" i="1"/>
  <c r="BD57" i="1"/>
  <c r="BH57" i="1"/>
  <c r="BG57" i="1"/>
  <c r="BI57" i="1" s="1"/>
  <c r="BT66" i="1"/>
  <c r="BS66" i="1"/>
  <c r="BG99" i="1"/>
  <c r="BH99" i="1"/>
  <c r="BD99" i="1"/>
  <c r="BI108" i="1"/>
  <c r="BD25" i="1"/>
  <c r="BG25" i="1"/>
  <c r="BI25" i="1" s="1"/>
  <c r="BX25" i="1" s="1"/>
  <c r="BD38" i="1"/>
  <c r="BH40" i="1"/>
  <c r="BT51" i="1"/>
  <c r="BS51" i="1"/>
  <c r="BP51" i="1"/>
  <c r="BS52" i="1"/>
  <c r="BU52" i="1" s="1"/>
  <c r="BH62" i="1"/>
  <c r="BT64" i="1"/>
  <c r="BG74" i="1"/>
  <c r="BI74" i="1" s="1"/>
  <c r="BS77" i="1"/>
  <c r="BT92" i="1"/>
  <c r="BP92" i="1"/>
  <c r="BG95" i="1"/>
  <c r="BD95" i="1"/>
  <c r="BH95" i="1"/>
  <c r="BT96" i="1"/>
  <c r="BS96" i="1"/>
  <c r="BD118" i="1"/>
  <c r="BH118" i="1"/>
  <c r="BG118" i="1"/>
  <c r="BG124" i="1"/>
  <c r="BH124" i="1"/>
  <c r="BD124" i="1"/>
  <c r="BD140" i="1"/>
  <c r="BP145" i="1"/>
  <c r="BT145" i="1"/>
  <c r="BS145" i="1"/>
  <c r="BU145" i="1" s="1"/>
  <c r="BX147" i="1"/>
  <c r="BS22" i="1"/>
  <c r="BU22" i="1" s="1"/>
  <c r="BG39" i="1"/>
  <c r="BI39" i="1" s="1"/>
  <c r="BF46" i="1"/>
  <c r="BT52" i="1"/>
  <c r="BH61" i="1"/>
  <c r="BG61" i="1"/>
  <c r="BD61" i="1"/>
  <c r="BS92" i="1"/>
  <c r="BD107" i="1"/>
  <c r="BR119" i="1"/>
  <c r="BT45" i="1"/>
  <c r="BG38" i="1"/>
  <c r="BI38" i="1" s="1"/>
  <c r="BG79" i="1"/>
  <c r="BH79" i="1"/>
  <c r="BD79" i="1"/>
  <c r="BR85" i="1"/>
  <c r="BF101" i="1"/>
  <c r="BD132" i="1"/>
  <c r="BH132" i="1"/>
  <c r="BG132" i="1"/>
  <c r="BS138" i="1"/>
  <c r="BT138" i="1"/>
  <c r="BP138" i="1"/>
  <c r="BR41" i="1"/>
  <c r="BT76" i="1"/>
  <c r="BP76" i="1"/>
  <c r="BP24" i="1"/>
  <c r="BG37" i="1"/>
  <c r="BI37" i="1" s="1"/>
  <c r="BX37" i="1" s="1"/>
  <c r="BR40" i="1"/>
  <c r="BS76" i="1"/>
  <c r="BU76" i="1" s="1"/>
  <c r="BG83" i="1"/>
  <c r="BI83" i="1" s="1"/>
  <c r="BX83" i="1" s="1"/>
  <c r="BF94" i="1"/>
  <c r="BH105" i="1"/>
  <c r="BG105" i="1"/>
  <c r="BT116" i="1"/>
  <c r="BS116" i="1"/>
  <c r="BU116" i="1" s="1"/>
  <c r="BP116" i="1"/>
  <c r="BS139" i="1"/>
  <c r="BU139" i="1" s="1"/>
  <c r="BP139" i="1"/>
  <c r="BR140" i="1" s="1"/>
  <c r="BH145" i="1"/>
  <c r="BG145" i="1"/>
  <c r="BI145" i="1" s="1"/>
  <c r="BX145" i="1" s="1"/>
  <c r="BD145" i="1"/>
  <c r="BP150" i="1"/>
  <c r="BS150" i="1"/>
  <c r="BU150" i="1" s="1"/>
  <c r="BP164" i="1"/>
  <c r="BT164" i="1"/>
  <c r="BS164" i="1"/>
  <c r="BU164" i="1" s="1"/>
  <c r="BT167" i="1"/>
  <c r="BS167" i="1"/>
  <c r="BU167" i="1" s="1"/>
  <c r="BP167" i="1"/>
  <c r="BR63" i="1"/>
  <c r="BF66" i="1"/>
  <c r="BF104" i="1"/>
  <c r="BP111" i="1"/>
  <c r="BR49" i="1"/>
  <c r="BG103" i="1"/>
  <c r="BI103" i="1" s="1"/>
  <c r="BD103" i="1"/>
  <c r="BH103" i="1"/>
  <c r="BP106" i="1"/>
  <c r="BG123" i="1"/>
  <c r="BI123" i="1" s="1"/>
  <c r="BX123" i="1" s="1"/>
  <c r="BH123" i="1"/>
  <c r="BH127" i="1"/>
  <c r="BG127" i="1"/>
  <c r="BI127" i="1" s="1"/>
  <c r="BD127" i="1"/>
  <c r="BH131" i="1"/>
  <c r="BG131" i="1"/>
  <c r="BI131" i="1" s="1"/>
  <c r="BP136" i="1"/>
  <c r="BT136" i="1"/>
  <c r="BS136" i="1"/>
  <c r="BU136" i="1" s="1"/>
  <c r="BI154" i="1"/>
  <c r="BX154" i="1" s="1"/>
  <c r="BP155" i="1"/>
  <c r="BT155" i="1"/>
  <c r="BD158" i="1"/>
  <c r="BH158" i="1"/>
  <c r="BG158" i="1"/>
  <c r="BD165" i="1"/>
  <c r="BH165" i="1"/>
  <c r="BG165" i="1"/>
  <c r="BI165" i="1" s="1"/>
  <c r="BR56" i="1"/>
  <c r="BH68" i="1"/>
  <c r="BG68" i="1"/>
  <c r="BI68" i="1" s="1"/>
  <c r="BG80" i="1"/>
  <c r="BH80" i="1"/>
  <c r="BD80" i="1"/>
  <c r="BG85" i="1"/>
  <c r="BD85" i="1"/>
  <c r="BD89" i="1"/>
  <c r="BF90" i="1" s="1"/>
  <c r="BD96" i="1"/>
  <c r="BD98" i="1"/>
  <c r="BD100" i="1"/>
  <c r="BH114" i="1"/>
  <c r="BH154" i="1"/>
  <c r="BS155" i="1"/>
  <c r="BX167" i="1"/>
  <c r="BF59" i="1"/>
  <c r="BS68" i="1"/>
  <c r="BU68" i="1" s="1"/>
  <c r="BR70" i="1"/>
  <c r="BH86" i="1"/>
  <c r="BD86" i="1"/>
  <c r="BF87" i="1" s="1"/>
  <c r="BS106" i="1"/>
  <c r="BU106" i="1" s="1"/>
  <c r="BD130" i="1"/>
  <c r="BG130" i="1"/>
  <c r="BI130" i="1" s="1"/>
  <c r="BH130" i="1"/>
  <c r="BG81" i="1"/>
  <c r="BD81" i="1"/>
  <c r="BH89" i="1"/>
  <c r="BI89" i="1" s="1"/>
  <c r="BX89" i="1" s="1"/>
  <c r="BG98" i="1"/>
  <c r="BI98" i="1" s="1"/>
  <c r="BX98" i="1" s="1"/>
  <c r="BI100" i="1"/>
  <c r="BT123" i="1"/>
  <c r="BS123" i="1"/>
  <c r="BU123" i="1" s="1"/>
  <c r="BP123" i="1"/>
  <c r="BG126" i="1"/>
  <c r="BI126" i="1" s="1"/>
  <c r="BD126" i="1"/>
  <c r="BD146" i="1"/>
  <c r="BH146" i="1"/>
  <c r="BT165" i="1"/>
  <c r="BS165" i="1"/>
  <c r="BU165" i="1" s="1"/>
  <c r="BF52" i="1"/>
  <c r="BH81" i="1"/>
  <c r="BH96" i="1"/>
  <c r="BH109" i="1"/>
  <c r="BI109" i="1" s="1"/>
  <c r="BD109" i="1"/>
  <c r="BR114" i="1"/>
  <c r="BG120" i="1"/>
  <c r="BD120" i="1"/>
  <c r="BH120" i="1"/>
  <c r="BH126" i="1"/>
  <c r="BP147" i="1"/>
  <c r="BT147" i="1"/>
  <c r="BF150" i="1"/>
  <c r="BT151" i="1"/>
  <c r="BS151" i="1"/>
  <c r="BU151" i="1" s="1"/>
  <c r="BP151" i="1"/>
  <c r="BI153" i="1"/>
  <c r="BD161" i="1"/>
  <c r="BG161" i="1"/>
  <c r="BI161" i="1" s="1"/>
  <c r="BR81" i="1"/>
  <c r="BH84" i="1"/>
  <c r="BG84" i="1"/>
  <c r="BI84" i="1" s="1"/>
  <c r="BX84" i="1" s="1"/>
  <c r="BH85" i="1"/>
  <c r="BG86" i="1"/>
  <c r="BH108" i="1"/>
  <c r="BD108" i="1"/>
  <c r="BG110" i="1"/>
  <c r="BI110" i="1" s="1"/>
  <c r="BX110" i="1" s="1"/>
  <c r="BD110" i="1"/>
  <c r="BD111" i="1"/>
  <c r="BG111" i="1"/>
  <c r="BI111" i="1" s="1"/>
  <c r="BX111" i="1" s="1"/>
  <c r="BI112" i="1"/>
  <c r="BH122" i="1"/>
  <c r="BG122" i="1"/>
  <c r="BI122" i="1" s="1"/>
  <c r="BD122" i="1"/>
  <c r="BD137" i="1"/>
  <c r="BH137" i="1"/>
  <c r="BI137" i="1" s="1"/>
  <c r="BX137" i="1" s="1"/>
  <c r="BH143" i="1"/>
  <c r="BG143" i="1"/>
  <c r="BI143" i="1" s="1"/>
  <c r="BU147" i="1"/>
  <c r="BI133" i="1"/>
  <c r="BP161" i="1"/>
  <c r="BR162" i="1" s="1"/>
  <c r="BT161" i="1"/>
  <c r="BR93" i="1"/>
  <c r="BS148" i="1"/>
  <c r="BU148" i="1" s="1"/>
  <c r="BP148" i="1"/>
  <c r="BG159" i="1"/>
  <c r="BI159" i="1" s="1"/>
  <c r="BS161" i="1"/>
  <c r="BU161" i="1" s="1"/>
  <c r="BF113" i="1"/>
  <c r="BS126" i="1"/>
  <c r="BT148" i="1"/>
  <c r="BS97" i="1"/>
  <c r="BU97" i="1" s="1"/>
  <c r="BT126" i="1"/>
  <c r="BF163" i="1"/>
  <c r="BD166" i="1"/>
  <c r="BH166" i="1"/>
  <c r="BG166" i="1"/>
  <c r="BI166" i="1" s="1"/>
  <c r="BX166" i="1" s="1"/>
  <c r="BT135" i="1"/>
  <c r="BU135" i="1" s="1"/>
  <c r="BR74" i="1"/>
  <c r="BR86" i="1"/>
  <c r="BF136" i="1"/>
  <c r="BF160" i="1"/>
  <c r="BF164" i="1"/>
  <c r="BF121" i="1"/>
  <c r="BF139" i="1"/>
  <c r="BF155" i="1"/>
  <c r="BF151" i="1"/>
  <c r="BF134" i="1"/>
  <c r="BF148" i="1"/>
  <c r="BF162" i="1"/>
  <c r="BR128" i="1"/>
  <c r="BR142" i="1"/>
  <c r="BR156" i="1"/>
  <c r="BT30" i="1" l="1"/>
  <c r="BS30" i="1"/>
  <c r="BP30" i="1"/>
  <c r="BR31" i="1" s="1"/>
  <c r="BD90" i="1"/>
  <c r="BH90" i="1"/>
  <c r="BG90" i="1"/>
  <c r="BI90" i="1" s="1"/>
  <c r="BP140" i="1"/>
  <c r="BR141" i="1" s="1"/>
  <c r="BT140" i="1"/>
  <c r="BS140" i="1"/>
  <c r="BU140" i="1" s="1"/>
  <c r="BX140" i="1" s="1"/>
  <c r="BT162" i="1"/>
  <c r="BS162" i="1"/>
  <c r="BU162" i="1" s="1"/>
  <c r="BP162" i="1"/>
  <c r="BX51" i="1"/>
  <c r="BP159" i="1"/>
  <c r="BR160" i="1" s="1"/>
  <c r="BT159" i="1"/>
  <c r="BS159" i="1"/>
  <c r="BH87" i="1"/>
  <c r="BD87" i="1"/>
  <c r="BG87" i="1"/>
  <c r="BG142" i="1"/>
  <c r="BD142" i="1"/>
  <c r="BH142" i="1"/>
  <c r="BU129" i="1"/>
  <c r="BX129" i="1" s="1"/>
  <c r="BI69" i="1"/>
  <c r="BX69" i="1" s="1"/>
  <c r="BH136" i="1"/>
  <c r="BD136" i="1"/>
  <c r="BG136" i="1"/>
  <c r="BI136" i="1" s="1"/>
  <c r="BX136" i="1" s="1"/>
  <c r="BI120" i="1"/>
  <c r="BX120" i="1" s="1"/>
  <c r="BX126" i="1"/>
  <c r="BH101" i="1"/>
  <c r="BG101" i="1"/>
  <c r="BD101" i="1"/>
  <c r="BG46" i="1"/>
  <c r="BD46" i="1"/>
  <c r="BH46" i="1"/>
  <c r="BU96" i="1"/>
  <c r="BU51" i="1"/>
  <c r="BX114" i="1"/>
  <c r="BU122" i="1"/>
  <c r="BX122" i="1" s="1"/>
  <c r="BI41" i="1"/>
  <c r="BI115" i="1"/>
  <c r="BX115" i="1" s="1"/>
  <c r="BU82" i="1"/>
  <c r="BP54" i="1"/>
  <c r="BT54" i="1"/>
  <c r="BS54" i="1"/>
  <c r="BU73" i="1"/>
  <c r="BX73" i="1" s="1"/>
  <c r="BI91" i="1"/>
  <c r="BI42" i="1"/>
  <c r="BI27" i="1"/>
  <c r="BX27" i="1" s="1"/>
  <c r="BI48" i="1"/>
  <c r="BX22" i="1"/>
  <c r="BJ22" i="1"/>
  <c r="BI79" i="1"/>
  <c r="BI95" i="1"/>
  <c r="BX95" i="1" s="1"/>
  <c r="BI60" i="1"/>
  <c r="BU153" i="1"/>
  <c r="BX153" i="1" s="1"/>
  <c r="BP99" i="1"/>
  <c r="BR100" i="1" s="1"/>
  <c r="BT99" i="1"/>
  <c r="BS99" i="1"/>
  <c r="BT118" i="1"/>
  <c r="BP118" i="1"/>
  <c r="BS118" i="1"/>
  <c r="BU118" i="1" s="1"/>
  <c r="BD160" i="1"/>
  <c r="BG160" i="1"/>
  <c r="BI160" i="1" s="1"/>
  <c r="BH160" i="1"/>
  <c r="BT130" i="1"/>
  <c r="BS130" i="1"/>
  <c r="BP130" i="1"/>
  <c r="BR131" i="1" s="1"/>
  <c r="BT86" i="1"/>
  <c r="BS86" i="1"/>
  <c r="BU86" i="1" s="1"/>
  <c r="BP86" i="1"/>
  <c r="BS81" i="1"/>
  <c r="BT81" i="1"/>
  <c r="BP81" i="1"/>
  <c r="BI85" i="1"/>
  <c r="BX39" i="1"/>
  <c r="BT44" i="1"/>
  <c r="BP44" i="1"/>
  <c r="BS44" i="1"/>
  <c r="BU44" i="1" s="1"/>
  <c r="BX44" i="1" s="1"/>
  <c r="BT74" i="1"/>
  <c r="BS74" i="1"/>
  <c r="BP74" i="1"/>
  <c r="BV22" i="1"/>
  <c r="BV23" i="1" s="1"/>
  <c r="BV24" i="1" s="1"/>
  <c r="BV25" i="1" s="1"/>
  <c r="BV26" i="1" s="1"/>
  <c r="BV27" i="1" s="1"/>
  <c r="BV28" i="1" s="1"/>
  <c r="BV29" i="1" s="1"/>
  <c r="BU35" i="1"/>
  <c r="BS142" i="1"/>
  <c r="BT142" i="1"/>
  <c r="BP142" i="1"/>
  <c r="BR143" i="1" s="1"/>
  <c r="BP49" i="1"/>
  <c r="BT49" i="1"/>
  <c r="BS49" i="1"/>
  <c r="BS128" i="1"/>
  <c r="BT128" i="1"/>
  <c r="BP128" i="1"/>
  <c r="BX35" i="1"/>
  <c r="BI72" i="1"/>
  <c r="BX72" i="1" s="1"/>
  <c r="BG26" i="1"/>
  <c r="BI26" i="1" s="1"/>
  <c r="BX26" i="1" s="1"/>
  <c r="BH26" i="1"/>
  <c r="BD26" i="1"/>
  <c r="BH164" i="1"/>
  <c r="BG164" i="1"/>
  <c r="BI164" i="1" s="1"/>
  <c r="BX164" i="1" s="1"/>
  <c r="BD164" i="1"/>
  <c r="BT102" i="1"/>
  <c r="BS102" i="1"/>
  <c r="BP102" i="1"/>
  <c r="BR103" i="1" s="1"/>
  <c r="BI80" i="1"/>
  <c r="BX80" i="1" s="1"/>
  <c r="BG113" i="1"/>
  <c r="BI113" i="1" s="1"/>
  <c r="BX113" i="1" s="1"/>
  <c r="BD113" i="1"/>
  <c r="BH113" i="1"/>
  <c r="BH94" i="1"/>
  <c r="BG94" i="1"/>
  <c r="BI94" i="1" s="1"/>
  <c r="BD94" i="1"/>
  <c r="BP114" i="1"/>
  <c r="BT114" i="1"/>
  <c r="BS114" i="1"/>
  <c r="BU114" i="1" s="1"/>
  <c r="BS85" i="1"/>
  <c r="BP85" i="1"/>
  <c r="BT85" i="1"/>
  <c r="BS62" i="1"/>
  <c r="BU62" i="1" s="1"/>
  <c r="BT62" i="1"/>
  <c r="BP62" i="1"/>
  <c r="BS156" i="1"/>
  <c r="BP156" i="1"/>
  <c r="BT156" i="1"/>
  <c r="BX161" i="1"/>
  <c r="BP40" i="1"/>
  <c r="BT40" i="1"/>
  <c r="BS40" i="1"/>
  <c r="BS70" i="1"/>
  <c r="BP70" i="1"/>
  <c r="BT70" i="1"/>
  <c r="BX96" i="1"/>
  <c r="BT93" i="1"/>
  <c r="BS93" i="1"/>
  <c r="BU93" i="1" s="1"/>
  <c r="BX93" i="1" s="1"/>
  <c r="BP93" i="1"/>
  <c r="BR94" i="1" s="1"/>
  <c r="BH162" i="1"/>
  <c r="BG162" i="1"/>
  <c r="BI162" i="1" s="1"/>
  <c r="BX162" i="1" s="1"/>
  <c r="BD162" i="1"/>
  <c r="BH59" i="1"/>
  <c r="BG59" i="1"/>
  <c r="BD59" i="1"/>
  <c r="BX68" i="1"/>
  <c r="BX38" i="1"/>
  <c r="BU79" i="1"/>
  <c r="BT90" i="1"/>
  <c r="BP90" i="1"/>
  <c r="BR91" i="1" s="1"/>
  <c r="BS90" i="1"/>
  <c r="BU90" i="1" s="1"/>
  <c r="BI106" i="1"/>
  <c r="BX106" i="1" s="1"/>
  <c r="BX33" i="1"/>
  <c r="BX36" i="1"/>
  <c r="BH148" i="1"/>
  <c r="BG148" i="1"/>
  <c r="BI148" i="1" s="1"/>
  <c r="BX148" i="1" s="1"/>
  <c r="BD148" i="1"/>
  <c r="BD104" i="1"/>
  <c r="BH104" i="1"/>
  <c r="BG104" i="1"/>
  <c r="BI104" i="1" s="1"/>
  <c r="BI107" i="1"/>
  <c r="BX107" i="1" s="1"/>
  <c r="BI82" i="1"/>
  <c r="BX82" i="1" s="1"/>
  <c r="BI78" i="1"/>
  <c r="BX78" i="1" s="1"/>
  <c r="BU48" i="1"/>
  <c r="BG55" i="1"/>
  <c r="BD55" i="1"/>
  <c r="BH55" i="1"/>
  <c r="BI88" i="1"/>
  <c r="BX88" i="1" s="1"/>
  <c r="BX29" i="1"/>
  <c r="BX47" i="1"/>
  <c r="BH134" i="1"/>
  <c r="BG134" i="1"/>
  <c r="BI134" i="1" s="1"/>
  <c r="BX134" i="1" s="1"/>
  <c r="BD134" i="1"/>
  <c r="BG163" i="1"/>
  <c r="BI163" i="1" s="1"/>
  <c r="BX163" i="1" s="1"/>
  <c r="BH163" i="1"/>
  <c r="BD163" i="1"/>
  <c r="BX133" i="1"/>
  <c r="BH52" i="1"/>
  <c r="BD52" i="1"/>
  <c r="BG52" i="1"/>
  <c r="BU155" i="1"/>
  <c r="BS56" i="1"/>
  <c r="BU56" i="1" s="1"/>
  <c r="BX56" i="1" s="1"/>
  <c r="BP56" i="1"/>
  <c r="BR57" i="1" s="1"/>
  <c r="BT56" i="1"/>
  <c r="BH66" i="1"/>
  <c r="BG66" i="1"/>
  <c r="BI66" i="1" s="1"/>
  <c r="BX66" i="1" s="1"/>
  <c r="BD66" i="1"/>
  <c r="BS41" i="1"/>
  <c r="BU41" i="1" s="1"/>
  <c r="BP41" i="1"/>
  <c r="BR42" i="1" s="1"/>
  <c r="BT41" i="1"/>
  <c r="BP119" i="1"/>
  <c r="BS119" i="1"/>
  <c r="BU119" i="1" s="1"/>
  <c r="BX119" i="1" s="1"/>
  <c r="BT119" i="1"/>
  <c r="BX108" i="1"/>
  <c r="BU107" i="1"/>
  <c r="BI32" i="1"/>
  <c r="BX32" i="1" s="1"/>
  <c r="BD151" i="1"/>
  <c r="BF152" i="1" s="1"/>
  <c r="BH151" i="1"/>
  <c r="BG151" i="1"/>
  <c r="BI151" i="1" s="1"/>
  <c r="BX151" i="1" s="1"/>
  <c r="BH150" i="1"/>
  <c r="BG150" i="1"/>
  <c r="BI150" i="1" s="1"/>
  <c r="BX150" i="1" s="1"/>
  <c r="BD150" i="1"/>
  <c r="BI81" i="1"/>
  <c r="BX165" i="1"/>
  <c r="BS63" i="1"/>
  <c r="BU63" i="1" s="1"/>
  <c r="BX63" i="1" s="1"/>
  <c r="BT63" i="1"/>
  <c r="BP63" i="1"/>
  <c r="BU77" i="1"/>
  <c r="BX77" i="1" s="1"/>
  <c r="BD76" i="1"/>
  <c r="BH76" i="1"/>
  <c r="BG76" i="1"/>
  <c r="BI76" i="1" s="1"/>
  <c r="BX76" i="1" s="1"/>
  <c r="BH23" i="1"/>
  <c r="BG23" i="1"/>
  <c r="BI23" i="1" s="1"/>
  <c r="BX23" i="1" s="1"/>
  <c r="BD23" i="1"/>
  <c r="BI30" i="1"/>
  <c r="BX125" i="1"/>
  <c r="BH155" i="1"/>
  <c r="BG155" i="1"/>
  <c r="BD155" i="1"/>
  <c r="BX127" i="1"/>
  <c r="BU92" i="1"/>
  <c r="BX92" i="1" s="1"/>
  <c r="BX50" i="1"/>
  <c r="BX135" i="1"/>
  <c r="BX146" i="1"/>
  <c r="BI58" i="1"/>
  <c r="BU112" i="1"/>
  <c r="BX112" i="1" s="1"/>
  <c r="BD139" i="1"/>
  <c r="BH139" i="1"/>
  <c r="BG139" i="1"/>
  <c r="BU138" i="1"/>
  <c r="BX138" i="1" s="1"/>
  <c r="BI124" i="1"/>
  <c r="BX124" i="1" s="1"/>
  <c r="BI99" i="1"/>
  <c r="BU45" i="1"/>
  <c r="BX45" i="1" s="1"/>
  <c r="BT67" i="1"/>
  <c r="BS67" i="1"/>
  <c r="BU67" i="1" s="1"/>
  <c r="BX67" i="1" s="1"/>
  <c r="BP67" i="1"/>
  <c r="BI116" i="1"/>
  <c r="BX116" i="1" s="1"/>
  <c r="BI54" i="1"/>
  <c r="BD121" i="1"/>
  <c r="BH121" i="1"/>
  <c r="BG121" i="1"/>
  <c r="BI121" i="1" s="1"/>
  <c r="BX121" i="1" s="1"/>
  <c r="BU126" i="1"/>
  <c r="BI86" i="1"/>
  <c r="BI158" i="1"/>
  <c r="BX158" i="1" s="1"/>
  <c r="BI105" i="1"/>
  <c r="BI132" i="1"/>
  <c r="BI61" i="1"/>
  <c r="BX61" i="1" s="1"/>
  <c r="BI118" i="1"/>
  <c r="BU66" i="1"/>
  <c r="BI62" i="1"/>
  <c r="BX62" i="1" s="1"/>
  <c r="BI49" i="1"/>
  <c r="BX117" i="1"/>
  <c r="BU109" i="1"/>
  <c r="BX109" i="1" s="1"/>
  <c r="BI24" i="1"/>
  <c r="BX24" i="1" s="1"/>
  <c r="BU101" i="1"/>
  <c r="BX41" i="1" l="1"/>
  <c r="BS160" i="1"/>
  <c r="BP160" i="1"/>
  <c r="BT160" i="1"/>
  <c r="BU142" i="1"/>
  <c r="BJ23" i="1"/>
  <c r="BJ24" i="1" s="1"/>
  <c r="BJ25" i="1" s="1"/>
  <c r="BJ26" i="1" s="1"/>
  <c r="BJ27" i="1" s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P103" i="1"/>
  <c r="BR104" i="1" s="1"/>
  <c r="BS103" i="1"/>
  <c r="BU103" i="1" s="1"/>
  <c r="BX103" i="1" s="1"/>
  <c r="BT103" i="1"/>
  <c r="BY22" i="1"/>
  <c r="BY23" i="1" s="1"/>
  <c r="BY24" i="1" s="1"/>
  <c r="BY25" i="1" s="1"/>
  <c r="BY26" i="1" s="1"/>
  <c r="BY27" i="1" s="1"/>
  <c r="BY28" i="1" s="1"/>
  <c r="BY29" i="1" s="1"/>
  <c r="BX54" i="1"/>
  <c r="BX49" i="1"/>
  <c r="BU70" i="1"/>
  <c r="BX70" i="1" s="1"/>
  <c r="BU85" i="1"/>
  <c r="BX85" i="1" s="1"/>
  <c r="BX118" i="1"/>
  <c r="BD152" i="1"/>
  <c r="BH152" i="1"/>
  <c r="BG152" i="1"/>
  <c r="BI152" i="1" s="1"/>
  <c r="BX152" i="1" s="1"/>
  <c r="BI59" i="1"/>
  <c r="BU40" i="1"/>
  <c r="BX40" i="1" s="1"/>
  <c r="BU102" i="1"/>
  <c r="BX102" i="1" s="1"/>
  <c r="BU81" i="1"/>
  <c r="BU99" i="1"/>
  <c r="BX99" i="1" s="1"/>
  <c r="BX48" i="1"/>
  <c r="BP141" i="1"/>
  <c r="BS141" i="1"/>
  <c r="BT141" i="1"/>
  <c r="BI52" i="1"/>
  <c r="BX52" i="1" s="1"/>
  <c r="BP131" i="1"/>
  <c r="BR132" i="1" s="1"/>
  <c r="BS131" i="1"/>
  <c r="BT131" i="1"/>
  <c r="BI142" i="1"/>
  <c r="BX142" i="1" s="1"/>
  <c r="BX90" i="1"/>
  <c r="BS57" i="1"/>
  <c r="BT57" i="1"/>
  <c r="BP57" i="1"/>
  <c r="BR58" i="1" s="1"/>
  <c r="BU128" i="1"/>
  <c r="BX128" i="1" s="1"/>
  <c r="BI46" i="1"/>
  <c r="BX86" i="1"/>
  <c r="BI55" i="1"/>
  <c r="BX55" i="1" s="1"/>
  <c r="BU49" i="1"/>
  <c r="BU74" i="1"/>
  <c r="BX74" i="1" s="1"/>
  <c r="BU130" i="1"/>
  <c r="BX130" i="1" s="1"/>
  <c r="BU54" i="1"/>
  <c r="BI101" i="1"/>
  <c r="BX101" i="1" s="1"/>
  <c r="BI87" i="1"/>
  <c r="BX87" i="1" s="1"/>
  <c r="BV30" i="1"/>
  <c r="BX94" i="1"/>
  <c r="BI139" i="1"/>
  <c r="BX139" i="1" s="1"/>
  <c r="BI155" i="1"/>
  <c r="BX155" i="1" s="1"/>
  <c r="BT94" i="1"/>
  <c r="BP94" i="1"/>
  <c r="BS94" i="1"/>
  <c r="BU94" i="1" s="1"/>
  <c r="BU156" i="1"/>
  <c r="BX156" i="1" s="1"/>
  <c r="BX79" i="1"/>
  <c r="BP31" i="1"/>
  <c r="BS31" i="1"/>
  <c r="BT31" i="1"/>
  <c r="BX81" i="1"/>
  <c r="BP91" i="1"/>
  <c r="BT91" i="1"/>
  <c r="BS91" i="1"/>
  <c r="BU159" i="1"/>
  <c r="BX159" i="1" s="1"/>
  <c r="BU30" i="1"/>
  <c r="BS100" i="1"/>
  <c r="BP100" i="1"/>
  <c r="BT100" i="1"/>
  <c r="BX30" i="1"/>
  <c r="BT42" i="1"/>
  <c r="BS42" i="1"/>
  <c r="BU42" i="1" s="1"/>
  <c r="BX42" i="1" s="1"/>
  <c r="BP42" i="1"/>
  <c r="BS143" i="1"/>
  <c r="BT143" i="1"/>
  <c r="BP143" i="1"/>
  <c r="BR144" i="1" s="1"/>
  <c r="BV31" i="1" l="1"/>
  <c r="BV32" i="1" s="1"/>
  <c r="BV33" i="1" s="1"/>
  <c r="BV34" i="1" s="1"/>
  <c r="BV35" i="1" s="1"/>
  <c r="BV36" i="1" s="1"/>
  <c r="BV37" i="1" s="1"/>
  <c r="BV38" i="1" s="1"/>
  <c r="BV39" i="1" s="1"/>
  <c r="BV40" i="1" s="1"/>
  <c r="BV41" i="1" s="1"/>
  <c r="BV42" i="1" s="1"/>
  <c r="BV43" i="1" s="1"/>
  <c r="BV44" i="1" s="1"/>
  <c r="BV45" i="1" s="1"/>
  <c r="BV46" i="1" s="1"/>
  <c r="BV47" i="1" s="1"/>
  <c r="BV48" i="1" s="1"/>
  <c r="BV49" i="1" s="1"/>
  <c r="BV50" i="1" s="1"/>
  <c r="BV51" i="1" s="1"/>
  <c r="BV52" i="1" s="1"/>
  <c r="BV53" i="1" s="1"/>
  <c r="BV54" i="1" s="1"/>
  <c r="BV55" i="1" s="1"/>
  <c r="BV56" i="1" s="1"/>
  <c r="BV57" i="1" s="1"/>
  <c r="BV58" i="1" s="1"/>
  <c r="BY30" i="1"/>
  <c r="BU143" i="1"/>
  <c r="BX143" i="1" s="1"/>
  <c r="BP132" i="1"/>
  <c r="BT132" i="1"/>
  <c r="BS132" i="1"/>
  <c r="BU132" i="1" s="1"/>
  <c r="BX132" i="1" s="1"/>
  <c r="BT58" i="1"/>
  <c r="BS58" i="1"/>
  <c r="BU58" i="1" s="1"/>
  <c r="BX58" i="1" s="1"/>
  <c r="BP58" i="1"/>
  <c r="BR59" i="1" s="1"/>
  <c r="BT104" i="1"/>
  <c r="BS104" i="1"/>
  <c r="BU104" i="1" s="1"/>
  <c r="BX104" i="1" s="1"/>
  <c r="BP104" i="1"/>
  <c r="BR105" i="1" s="1"/>
  <c r="BJ59" i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57" i="1" s="1"/>
  <c r="BJ158" i="1" s="1"/>
  <c r="BJ159" i="1" s="1"/>
  <c r="BJ160" i="1" s="1"/>
  <c r="BJ161" i="1" s="1"/>
  <c r="BJ162" i="1" s="1"/>
  <c r="BJ163" i="1" s="1"/>
  <c r="BJ164" i="1" s="1"/>
  <c r="BJ165" i="1" s="1"/>
  <c r="BJ166" i="1" s="1"/>
  <c r="BJ167" i="1" s="1"/>
  <c r="BJ1" i="1" s="1"/>
  <c r="BU57" i="1"/>
  <c r="BX57" i="1" s="1"/>
  <c r="BU31" i="1"/>
  <c r="BX31" i="1" s="1"/>
  <c r="BU131" i="1"/>
  <c r="BX131" i="1" s="1"/>
  <c r="BJ10" i="1"/>
  <c r="BU100" i="1"/>
  <c r="BX100" i="1" s="1"/>
  <c r="BU141" i="1"/>
  <c r="BX141" i="1" s="1"/>
  <c r="BT144" i="1"/>
  <c r="BS144" i="1"/>
  <c r="BU144" i="1" s="1"/>
  <c r="BX144" i="1" s="1"/>
  <c r="BP144" i="1"/>
  <c r="BU91" i="1"/>
  <c r="BX91" i="1" s="1"/>
  <c r="BX46" i="1"/>
  <c r="BJ9" i="1"/>
  <c r="BJ11" i="1" s="1"/>
  <c r="BU160" i="1"/>
  <c r="BX160" i="1" s="1"/>
  <c r="BP105" i="1" l="1"/>
  <c r="BT105" i="1"/>
  <c r="BS105" i="1"/>
  <c r="BU105" i="1" s="1"/>
  <c r="BX105" i="1" s="1"/>
  <c r="BT59" i="1"/>
  <c r="BS59" i="1"/>
  <c r="BU59" i="1" s="1"/>
  <c r="BV59" i="1" s="1"/>
  <c r="BP59" i="1"/>
  <c r="BR60" i="1" s="1"/>
  <c r="BY31" i="1"/>
  <c r="BY32" i="1" s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Y47" i="1" s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T60" i="1" l="1"/>
  <c r="BS60" i="1"/>
  <c r="BU60" i="1" s="1"/>
  <c r="BP60" i="1"/>
  <c r="BX59" i="1"/>
  <c r="BV9" i="1"/>
  <c r="BX60" i="1" l="1"/>
  <c r="BY9" i="1" s="1"/>
  <c r="BV10" i="1"/>
  <c r="BV11" i="1" s="1"/>
  <c r="BY59" i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Y157" i="1" s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" i="1" s="1"/>
  <c r="BV60" i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V157" i="1" s="1"/>
  <c r="BV158" i="1" s="1"/>
  <c r="BV159" i="1" s="1"/>
  <c r="BV160" i="1" s="1"/>
  <c r="BV161" i="1" s="1"/>
  <c r="BV162" i="1" s="1"/>
  <c r="BV163" i="1" s="1"/>
  <c r="BV164" i="1" s="1"/>
  <c r="BV165" i="1" s="1"/>
  <c r="BV166" i="1" s="1"/>
  <c r="BV167" i="1" s="1"/>
  <c r="BV1" i="1" s="1"/>
  <c r="BY10" i="1" l="1"/>
  <c r="BY11" i="1" s="1"/>
</calcChain>
</file>

<file path=xl/sharedStrings.xml><?xml version="1.0" encoding="utf-8"?>
<sst xmlns="http://schemas.openxmlformats.org/spreadsheetml/2006/main" count="53" uniqueCount="42">
  <si>
    <t>date</t>
  </si>
  <si>
    <t>XLF</t>
  </si>
  <si>
    <t>IYF</t>
  </si>
  <si>
    <t>XLF log rtn</t>
  </si>
  <si>
    <t>IYF log rtn</t>
  </si>
  <si>
    <t>XLF div</t>
  </si>
  <si>
    <t>XLF div cumsum</t>
  </si>
  <si>
    <t>IYF div</t>
  </si>
  <si>
    <t>IYF div cumsum</t>
  </si>
  <si>
    <t>XLF div adjustment</t>
  </si>
  <si>
    <t>IYF div adjustment</t>
  </si>
  <si>
    <t>XLF*</t>
  </si>
  <si>
    <t>IYF*</t>
  </si>
  <si>
    <t>IYF/XLF</t>
  </si>
  <si>
    <t>IYF/XLF avg</t>
  </si>
  <si>
    <t>IYF/XLF 10 dma</t>
  </si>
  <si>
    <t>IYF/XLF 20 dma</t>
  </si>
  <si>
    <t>XLF x avg</t>
  </si>
  <si>
    <t>XLF x 10 dma</t>
  </si>
  <si>
    <t>XLF x 20 dma</t>
  </si>
  <si>
    <t>log diff XLF x avg / IYF</t>
  </si>
  <si>
    <t>log diff XLF x 10 dma / IYF</t>
  </si>
  <si>
    <t>log diff XLF x 20 dma / IYF</t>
  </si>
  <si>
    <t>IYF*/XLF*</t>
  </si>
  <si>
    <t>IYF*/XLF* avg</t>
  </si>
  <si>
    <t>IYF*/XLF* 10 dma</t>
  </si>
  <si>
    <t>IYF*/XLF* 20 dma</t>
  </si>
  <si>
    <t>XLF* x avg</t>
  </si>
  <si>
    <t>XLF* x 10 dma</t>
  </si>
  <si>
    <t>XLF* x 20 dma</t>
  </si>
  <si>
    <t>log diff XLF* x avg / IYF*</t>
  </si>
  <si>
    <t>log diff XLF* x 10 dma / IYF*</t>
  </si>
  <si>
    <t>log diff XLF* x 20 dma / IYF*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</si>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</sst>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XLF_IYF_2!$O$1</c:f>
              <c:strCache>
                <c:ptCount val="1"/>
                <c:pt idx="0">
                  <c:v> IYF/XLF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XLF_IYF_2!$O$2:$O$167</c:f>
              <c:numCache>
                <c:formatCode>_(* #,##0.0000_);_(* \(#,##0.0000\);_(* "-"??_);_(@_)</c:formatCode>
                <c:ptCount val="166"/>
                <c:pt idx="0">
                  <c:v>2.3820577689553399</c:v>
                </c:pt>
                <c:pt idx="1">
                  <c:v>2.3820577689553399</c:v>
                </c:pt>
                <c:pt idx="2">
                  <c:v>2.3820577689553399</c:v>
                </c:pt>
                <c:pt idx="3">
                  <c:v>2.3820577689553399</c:v>
                </c:pt>
                <c:pt idx="4">
                  <c:v>2.3820577689553399</c:v>
                </c:pt>
                <c:pt idx="5">
                  <c:v>2.3820577689553399</c:v>
                </c:pt>
                <c:pt idx="6">
                  <c:v>2.3820577689553399</c:v>
                </c:pt>
                <c:pt idx="7">
                  <c:v>2.3820577689553399</c:v>
                </c:pt>
                <c:pt idx="8">
                  <c:v>2.3820577689553399</c:v>
                </c:pt>
                <c:pt idx="9">
                  <c:v>2.3820577689553399</c:v>
                </c:pt>
                <c:pt idx="10">
                  <c:v>2.3820577689553399</c:v>
                </c:pt>
                <c:pt idx="11">
                  <c:v>2.3820577689553399</c:v>
                </c:pt>
                <c:pt idx="12">
                  <c:v>2.3820577689553399</c:v>
                </c:pt>
                <c:pt idx="13">
                  <c:v>2.3820577689553399</c:v>
                </c:pt>
                <c:pt idx="14">
                  <c:v>2.3820577689553399</c:v>
                </c:pt>
                <c:pt idx="15">
                  <c:v>2.3820577689553399</c:v>
                </c:pt>
                <c:pt idx="16">
                  <c:v>2.3820577689553399</c:v>
                </c:pt>
                <c:pt idx="17">
                  <c:v>2.3820577689553399</c:v>
                </c:pt>
                <c:pt idx="18">
                  <c:v>2.3820577689553399</c:v>
                </c:pt>
                <c:pt idx="19">
                  <c:v>2.3820577689553399</c:v>
                </c:pt>
                <c:pt idx="20">
                  <c:v>2.3820577689553399</c:v>
                </c:pt>
                <c:pt idx="21">
                  <c:v>2.3820577689553399</c:v>
                </c:pt>
                <c:pt idx="22">
                  <c:v>2.3820577689553399</c:v>
                </c:pt>
                <c:pt idx="23">
                  <c:v>2.3820577689553399</c:v>
                </c:pt>
                <c:pt idx="24">
                  <c:v>2.3820577689553399</c:v>
                </c:pt>
                <c:pt idx="25">
                  <c:v>2.3820577689553399</c:v>
                </c:pt>
                <c:pt idx="26">
                  <c:v>2.3820577689553399</c:v>
                </c:pt>
                <c:pt idx="27">
                  <c:v>2.3820577689553399</c:v>
                </c:pt>
                <c:pt idx="28">
                  <c:v>2.3820577689553399</c:v>
                </c:pt>
                <c:pt idx="29">
                  <c:v>2.3820577689553399</c:v>
                </c:pt>
                <c:pt idx="30">
                  <c:v>2.3820577689553399</c:v>
                </c:pt>
                <c:pt idx="31">
                  <c:v>2.3820577689553399</c:v>
                </c:pt>
                <c:pt idx="32">
                  <c:v>2.3820577689553399</c:v>
                </c:pt>
                <c:pt idx="33">
                  <c:v>2.3820577689553399</c:v>
                </c:pt>
                <c:pt idx="34">
                  <c:v>2.3820577689553399</c:v>
                </c:pt>
                <c:pt idx="35">
                  <c:v>2.3820577689553399</c:v>
                </c:pt>
                <c:pt idx="36">
                  <c:v>2.3820577689553399</c:v>
                </c:pt>
                <c:pt idx="37">
                  <c:v>2.3820577689553399</c:v>
                </c:pt>
                <c:pt idx="38">
                  <c:v>2.3820577689553399</c:v>
                </c:pt>
                <c:pt idx="39">
                  <c:v>2.3820577689553399</c:v>
                </c:pt>
                <c:pt idx="40">
                  <c:v>2.3820577689553399</c:v>
                </c:pt>
                <c:pt idx="41">
                  <c:v>2.3820577689553399</c:v>
                </c:pt>
                <c:pt idx="42">
                  <c:v>2.3820577689553399</c:v>
                </c:pt>
                <c:pt idx="43">
                  <c:v>2.3820577689553399</c:v>
                </c:pt>
                <c:pt idx="44">
                  <c:v>2.3820577689553399</c:v>
                </c:pt>
                <c:pt idx="45">
                  <c:v>2.3820577689553399</c:v>
                </c:pt>
                <c:pt idx="46">
                  <c:v>2.3820577689553399</c:v>
                </c:pt>
                <c:pt idx="47">
                  <c:v>2.3820577689553399</c:v>
                </c:pt>
                <c:pt idx="48">
                  <c:v>2.3820577689553399</c:v>
                </c:pt>
                <c:pt idx="49">
                  <c:v>2.3820577689553399</c:v>
                </c:pt>
                <c:pt idx="50">
                  <c:v>2.3820577689553399</c:v>
                </c:pt>
                <c:pt idx="51">
                  <c:v>2.3820577689553399</c:v>
                </c:pt>
                <c:pt idx="52">
                  <c:v>2.3820577689553399</c:v>
                </c:pt>
                <c:pt idx="53">
                  <c:v>2.3820577689553399</c:v>
                </c:pt>
                <c:pt idx="54">
                  <c:v>2.3820577689553399</c:v>
                </c:pt>
                <c:pt idx="55">
                  <c:v>2.3820577689553399</c:v>
                </c:pt>
                <c:pt idx="56">
                  <c:v>2.3820577689553399</c:v>
                </c:pt>
                <c:pt idx="57">
                  <c:v>2.3820577689553399</c:v>
                </c:pt>
                <c:pt idx="58">
                  <c:v>2.3820577689553399</c:v>
                </c:pt>
                <c:pt idx="59">
                  <c:v>2.3820577689553399</c:v>
                </c:pt>
                <c:pt idx="60">
                  <c:v>2.3820577689553399</c:v>
                </c:pt>
                <c:pt idx="61">
                  <c:v>2.3820577689553399</c:v>
                </c:pt>
                <c:pt idx="62">
                  <c:v>2.3820577689553399</c:v>
                </c:pt>
                <c:pt idx="63">
                  <c:v>2.3820577689553399</c:v>
                </c:pt>
                <c:pt idx="64">
                  <c:v>2.3820577689553399</c:v>
                </c:pt>
                <c:pt idx="65">
                  <c:v>2.3820577689553399</c:v>
                </c:pt>
                <c:pt idx="66">
                  <c:v>2.3820577689553399</c:v>
                </c:pt>
                <c:pt idx="67">
                  <c:v>2.3820577689553399</c:v>
                </c:pt>
                <c:pt idx="68">
                  <c:v>2.3820577689553399</c:v>
                </c:pt>
                <c:pt idx="69">
                  <c:v>2.3820577689553399</c:v>
                </c:pt>
                <c:pt idx="70">
                  <c:v>2.3820577689553399</c:v>
                </c:pt>
                <c:pt idx="71">
                  <c:v>2.3820577689553399</c:v>
                </c:pt>
                <c:pt idx="72">
                  <c:v>2.3820577689553399</c:v>
                </c:pt>
                <c:pt idx="73">
                  <c:v>2.3820577689553399</c:v>
                </c:pt>
                <c:pt idx="74">
                  <c:v>2.3820577689553399</c:v>
                </c:pt>
                <c:pt idx="75">
                  <c:v>2.3820577689553399</c:v>
                </c:pt>
                <c:pt idx="76">
                  <c:v>2.3820577689553399</c:v>
                </c:pt>
                <c:pt idx="77">
                  <c:v>2.3820577689553399</c:v>
                </c:pt>
                <c:pt idx="78">
                  <c:v>2.3820577689553399</c:v>
                </c:pt>
                <c:pt idx="79">
                  <c:v>2.3820577689553399</c:v>
                </c:pt>
                <c:pt idx="80">
                  <c:v>2.3820577689553399</c:v>
                </c:pt>
                <c:pt idx="81">
                  <c:v>2.3820577689553399</c:v>
                </c:pt>
                <c:pt idx="82">
                  <c:v>2.3820577689553399</c:v>
                </c:pt>
                <c:pt idx="83">
                  <c:v>2.3820577689553399</c:v>
                </c:pt>
                <c:pt idx="84">
                  <c:v>2.3820577689553399</c:v>
                </c:pt>
                <c:pt idx="85">
                  <c:v>2.3820577689553399</c:v>
                </c:pt>
                <c:pt idx="86">
                  <c:v>2.3820577689553399</c:v>
                </c:pt>
                <c:pt idx="87">
                  <c:v>2.3820577689553399</c:v>
                </c:pt>
                <c:pt idx="88">
                  <c:v>2.3820577689553399</c:v>
                </c:pt>
                <c:pt idx="89">
                  <c:v>2.3820577689553399</c:v>
                </c:pt>
                <c:pt idx="90">
                  <c:v>2.3820577689553399</c:v>
                </c:pt>
                <c:pt idx="91">
                  <c:v>2.3820577689553399</c:v>
                </c:pt>
                <c:pt idx="92">
                  <c:v>2.3820577689553399</c:v>
                </c:pt>
                <c:pt idx="93">
                  <c:v>2.3820577689553399</c:v>
                </c:pt>
                <c:pt idx="94">
                  <c:v>2.3820577689553399</c:v>
                </c:pt>
                <c:pt idx="95">
                  <c:v>2.3820577689553399</c:v>
                </c:pt>
                <c:pt idx="96">
                  <c:v>2.3820577689553399</c:v>
                </c:pt>
                <c:pt idx="97">
                  <c:v>2.3820577689553399</c:v>
                </c:pt>
                <c:pt idx="98">
                  <c:v>2.3820577689553399</c:v>
                </c:pt>
                <c:pt idx="99">
                  <c:v>2.3820577689553399</c:v>
                </c:pt>
                <c:pt idx="100">
                  <c:v>2.3820577689553399</c:v>
                </c:pt>
                <c:pt idx="101">
                  <c:v>2.3820577689553399</c:v>
                </c:pt>
                <c:pt idx="102">
                  <c:v>2.3820577689553399</c:v>
                </c:pt>
                <c:pt idx="103">
                  <c:v>2.3820577689553399</c:v>
                </c:pt>
                <c:pt idx="104">
                  <c:v>2.3820577689553399</c:v>
                </c:pt>
                <c:pt idx="105">
                  <c:v>2.3820577689553399</c:v>
                </c:pt>
                <c:pt idx="106">
                  <c:v>2.3820577689553399</c:v>
                </c:pt>
                <c:pt idx="107">
                  <c:v>2.3820577689553399</c:v>
                </c:pt>
                <c:pt idx="108">
                  <c:v>2.3820577689553399</c:v>
                </c:pt>
                <c:pt idx="109">
                  <c:v>2.3820577689553399</c:v>
                </c:pt>
                <c:pt idx="110">
                  <c:v>2.3820577689553399</c:v>
                </c:pt>
                <c:pt idx="111">
                  <c:v>2.3820577689553399</c:v>
                </c:pt>
                <c:pt idx="112">
                  <c:v>2.3820577689553399</c:v>
                </c:pt>
                <c:pt idx="113">
                  <c:v>2.3820577689553399</c:v>
                </c:pt>
                <c:pt idx="114">
                  <c:v>2.3820577689553399</c:v>
                </c:pt>
                <c:pt idx="115">
                  <c:v>2.3820577689553399</c:v>
                </c:pt>
                <c:pt idx="116">
                  <c:v>2.3820577689553399</c:v>
                </c:pt>
                <c:pt idx="117">
                  <c:v>2.3820577689553399</c:v>
                </c:pt>
                <c:pt idx="118">
                  <c:v>2.3820577689553399</c:v>
                </c:pt>
                <c:pt idx="119">
                  <c:v>2.3820577689553399</c:v>
                </c:pt>
                <c:pt idx="120">
                  <c:v>2.3820577689553399</c:v>
                </c:pt>
                <c:pt idx="121">
                  <c:v>2.3820577689553399</c:v>
                </c:pt>
                <c:pt idx="122">
                  <c:v>2.3820577689553399</c:v>
                </c:pt>
                <c:pt idx="123">
                  <c:v>2.3820577689553399</c:v>
                </c:pt>
                <c:pt idx="124">
                  <c:v>2.3820577689553399</c:v>
                </c:pt>
                <c:pt idx="125">
                  <c:v>2.3820577689553399</c:v>
                </c:pt>
                <c:pt idx="126">
                  <c:v>2.3820577689553399</c:v>
                </c:pt>
                <c:pt idx="127">
                  <c:v>2.3820577689553399</c:v>
                </c:pt>
                <c:pt idx="128">
                  <c:v>2.3820577689553399</c:v>
                </c:pt>
                <c:pt idx="129">
                  <c:v>2.3820577689553399</c:v>
                </c:pt>
                <c:pt idx="130">
                  <c:v>2.3820577689553399</c:v>
                </c:pt>
                <c:pt idx="131">
                  <c:v>2.3820577689553399</c:v>
                </c:pt>
                <c:pt idx="132">
                  <c:v>2.3820577689553399</c:v>
                </c:pt>
                <c:pt idx="133">
                  <c:v>2.3820577689553399</c:v>
                </c:pt>
                <c:pt idx="134">
                  <c:v>2.3820577689553399</c:v>
                </c:pt>
                <c:pt idx="135">
                  <c:v>2.3820577689553399</c:v>
                </c:pt>
                <c:pt idx="136">
                  <c:v>2.3820577689553399</c:v>
                </c:pt>
                <c:pt idx="137">
                  <c:v>2.3820577689553399</c:v>
                </c:pt>
                <c:pt idx="138">
                  <c:v>2.3820577689553399</c:v>
                </c:pt>
                <c:pt idx="139">
                  <c:v>2.3820577689553399</c:v>
                </c:pt>
                <c:pt idx="140">
                  <c:v>2.3820577689553399</c:v>
                </c:pt>
                <c:pt idx="141">
                  <c:v>2.3820577689553399</c:v>
                </c:pt>
                <c:pt idx="142">
                  <c:v>2.3820577689553399</c:v>
                </c:pt>
                <c:pt idx="143">
                  <c:v>2.3820577689553399</c:v>
                </c:pt>
                <c:pt idx="144">
                  <c:v>2.3820577689553399</c:v>
                </c:pt>
                <c:pt idx="145">
                  <c:v>2.3820577689553399</c:v>
                </c:pt>
                <c:pt idx="146">
                  <c:v>2.3820577689553399</c:v>
                </c:pt>
                <c:pt idx="147">
                  <c:v>2.3820577689553399</c:v>
                </c:pt>
                <c:pt idx="148">
                  <c:v>2.3820577689553399</c:v>
                </c:pt>
                <c:pt idx="149">
                  <c:v>2.3820577689553399</c:v>
                </c:pt>
                <c:pt idx="150">
                  <c:v>2.3820577689553399</c:v>
                </c:pt>
                <c:pt idx="151">
                  <c:v>2.3820577689553399</c:v>
                </c:pt>
                <c:pt idx="152">
                  <c:v>2.3820577689553399</c:v>
                </c:pt>
                <c:pt idx="153">
                  <c:v>2.3820577689553399</c:v>
                </c:pt>
                <c:pt idx="154">
                  <c:v>2.3820577689553399</c:v>
                </c:pt>
                <c:pt idx="155">
                  <c:v>2.3820577689553399</c:v>
                </c:pt>
                <c:pt idx="156">
                  <c:v>2.3820577689553399</c:v>
                </c:pt>
                <c:pt idx="157">
                  <c:v>2.3820577689553399</c:v>
                </c:pt>
                <c:pt idx="158">
                  <c:v>2.3820577689553399</c:v>
                </c:pt>
                <c:pt idx="159">
                  <c:v>2.3820577689553399</c:v>
                </c:pt>
                <c:pt idx="160">
                  <c:v>2.3820577689553399</c:v>
                </c:pt>
                <c:pt idx="161">
                  <c:v>2.3820577689553399</c:v>
                </c:pt>
                <c:pt idx="162">
                  <c:v>2.3820577689553399</c:v>
                </c:pt>
                <c:pt idx="163">
                  <c:v>2.3820577689553399</c:v>
                </c:pt>
                <c:pt idx="164">
                  <c:v>2.3820577689553399</c:v>
                </c:pt>
                <c:pt idx="165">
                  <c:v>2.3820577689553399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A-42DE-83C8-0D3326001BC1}"/>
            </c:ext>
          </c:extLst>
        </c:ser>
        <c:ser>
          <c:idx val="1"/>
          <c:order val="1"/>
          <c:tx>
            <c:strRef>
              <c:f>XLF_IYF_2!$P$1</c:f>
              <c:strCache>
                <c:ptCount val="1"/>
                <c:pt idx="0">
                  <c:v> IYF/XLF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XLF_IYF_2!$P$2:$P$167</c:f>
              <c:numCache>
                <c:formatCode>_(* #,##0.0000_);_(* \(#,##0.0000\);_(* "-"??_);_(@_)</c:formatCode>
                <c:ptCount val="166"/>
                <c:pt idx="9">
                  <c:v>2.3676093284239799</c:v>
                </c:pt>
                <c:pt idx="10">
                  <c:v>2.37008275897275</c:v>
                </c:pt>
                <c:pt idx="11">
                  <c:v>2.3721525881421499</c:v>
                </c:pt>
                <c:pt idx="12">
                  <c:v>2.3754316355110299</c:v>
                </c:pt>
                <c:pt idx="13">
                  <c:v>2.3787861525816099</c:v>
                </c:pt>
                <c:pt idx="14">
                  <c:v>2.38182368056385</c:v>
                </c:pt>
                <c:pt idx="15">
                  <c:v>2.3844575480219499</c:v>
                </c:pt>
                <c:pt idx="16">
                  <c:v>2.3866814241877501</c:v>
                </c:pt>
                <c:pt idx="17">
                  <c:v>2.3876690017533702</c:v>
                </c:pt>
                <c:pt idx="18">
                  <c:v>2.3879663912539502</c:v>
                </c:pt>
                <c:pt idx="19">
                  <c:v>2.3882649457910099</c:v>
                </c:pt>
                <c:pt idx="20">
                  <c:v>2.3877242360348299</c:v>
                </c:pt>
                <c:pt idx="21">
                  <c:v>2.3876168723051201</c:v>
                </c:pt>
                <c:pt idx="22">
                  <c:v>2.3870507617583701</c:v>
                </c:pt>
                <c:pt idx="23">
                  <c:v>2.3866396281397302</c:v>
                </c:pt>
                <c:pt idx="24">
                  <c:v>2.38676551463241</c:v>
                </c:pt>
                <c:pt idx="25">
                  <c:v>2.3875346780090001</c:v>
                </c:pt>
                <c:pt idx="26">
                  <c:v>2.3867203799627399</c:v>
                </c:pt>
                <c:pt idx="27">
                  <c:v>2.3858252260556498</c:v>
                </c:pt>
                <c:pt idx="28">
                  <c:v>2.38589528387178</c:v>
                </c:pt>
                <c:pt idx="29">
                  <c:v>2.3866840089385799</c:v>
                </c:pt>
                <c:pt idx="30">
                  <c:v>2.3878807046865802</c:v>
                </c:pt>
                <c:pt idx="31">
                  <c:v>2.3885692239577399</c:v>
                </c:pt>
                <c:pt idx="32">
                  <c:v>2.3892736660820502</c:v>
                </c:pt>
                <c:pt idx="33">
                  <c:v>2.3898371990621401</c:v>
                </c:pt>
                <c:pt idx="34">
                  <c:v>2.3907518583066101</c:v>
                </c:pt>
                <c:pt idx="35">
                  <c:v>2.3912781539611001</c:v>
                </c:pt>
                <c:pt idx="36">
                  <c:v>2.3921963620000501</c:v>
                </c:pt>
                <c:pt idx="37">
                  <c:v>2.3932855650988101</c:v>
                </c:pt>
                <c:pt idx="38">
                  <c:v>2.3931111492519599</c:v>
                </c:pt>
                <c:pt idx="39">
                  <c:v>2.3922322390583299</c:v>
                </c:pt>
                <c:pt idx="40">
                  <c:v>2.3913879804612099</c:v>
                </c:pt>
                <c:pt idx="41">
                  <c:v>2.3905673548854498</c:v>
                </c:pt>
                <c:pt idx="42">
                  <c:v>2.3894760869416798</c:v>
                </c:pt>
                <c:pt idx="43">
                  <c:v>2.38829897826108</c:v>
                </c:pt>
                <c:pt idx="44">
                  <c:v>2.38611211841561</c:v>
                </c:pt>
                <c:pt idx="45">
                  <c:v>2.3838307838319399</c:v>
                </c:pt>
                <c:pt idx="46">
                  <c:v>2.3822561031582801</c:v>
                </c:pt>
                <c:pt idx="47">
                  <c:v>2.3806673920809698</c:v>
                </c:pt>
                <c:pt idx="48">
                  <c:v>2.3796966484954001</c:v>
                </c:pt>
                <c:pt idx="49">
                  <c:v>2.37825118787518</c:v>
                </c:pt>
                <c:pt idx="50">
                  <c:v>2.3767018773166102</c:v>
                </c:pt>
                <c:pt idx="51">
                  <c:v>2.3758875527152501</c:v>
                </c:pt>
                <c:pt idx="52">
                  <c:v>2.3751820503474401</c:v>
                </c:pt>
                <c:pt idx="53">
                  <c:v>2.3744086342026498</c:v>
                </c:pt>
                <c:pt idx="54">
                  <c:v>2.3747721533848201</c:v>
                </c:pt>
                <c:pt idx="55">
                  <c:v>2.3751255928937698</c:v>
                </c:pt>
                <c:pt idx="56">
                  <c:v>2.3752744310465101</c:v>
                </c:pt>
                <c:pt idx="57">
                  <c:v>2.3754516378278998</c:v>
                </c:pt>
                <c:pt idx="58">
                  <c:v>2.3764226782980198</c:v>
                </c:pt>
                <c:pt idx="59">
                  <c:v>2.3769019690131898</c:v>
                </c:pt>
                <c:pt idx="60">
                  <c:v>2.3784613181848302</c:v>
                </c:pt>
                <c:pt idx="61">
                  <c:v>2.3796817916534998</c:v>
                </c:pt>
                <c:pt idx="62">
                  <c:v>2.3812926223784201</c:v>
                </c:pt>
                <c:pt idx="63">
                  <c:v>2.3833080543622001</c:v>
                </c:pt>
                <c:pt idx="64">
                  <c:v>2.3844069083766</c:v>
                </c:pt>
                <c:pt idx="65">
                  <c:v>2.3854012265584199</c:v>
                </c:pt>
                <c:pt idx="66">
                  <c:v>2.3867154178341701</c:v>
                </c:pt>
                <c:pt idx="67">
                  <c:v>2.3881087936890202</c:v>
                </c:pt>
                <c:pt idx="68">
                  <c:v>2.38880860533052</c:v>
                </c:pt>
                <c:pt idx="69">
                  <c:v>2.3900710805669401</c:v>
                </c:pt>
                <c:pt idx="70">
                  <c:v>2.3906594641056</c:v>
                </c:pt>
                <c:pt idx="71">
                  <c:v>2.3907271606112901</c:v>
                </c:pt>
                <c:pt idx="72">
                  <c:v>2.3907417243654301</c:v>
                </c:pt>
                <c:pt idx="73">
                  <c:v>2.3910486513759701</c:v>
                </c:pt>
                <c:pt idx="74">
                  <c:v>2.3914950075255601</c:v>
                </c:pt>
                <c:pt idx="75">
                  <c:v>2.3916778628214899</c:v>
                </c:pt>
                <c:pt idx="76">
                  <c:v>2.3921516199550901</c:v>
                </c:pt>
                <c:pt idx="77">
                  <c:v>2.3926267801236598</c:v>
                </c:pt>
                <c:pt idx="78">
                  <c:v>2.39307331027346</c:v>
                </c:pt>
                <c:pt idx="79">
                  <c:v>2.39371474519973</c:v>
                </c:pt>
                <c:pt idx="80">
                  <c:v>2.3920338479138898</c:v>
                </c:pt>
                <c:pt idx="81">
                  <c:v>2.3916907399244698</c:v>
                </c:pt>
                <c:pt idx="82">
                  <c:v>2.3912269768088099</c:v>
                </c:pt>
                <c:pt idx="83">
                  <c:v>2.3902599001036</c:v>
                </c:pt>
                <c:pt idx="84">
                  <c:v>2.3898545456338698</c:v>
                </c:pt>
                <c:pt idx="85">
                  <c:v>2.39025039404165</c:v>
                </c:pt>
                <c:pt idx="86">
                  <c:v>2.3892792448406301</c:v>
                </c:pt>
                <c:pt idx="87">
                  <c:v>2.3887750624495698</c:v>
                </c:pt>
                <c:pt idx="88">
                  <c:v>2.38787462204973</c:v>
                </c:pt>
                <c:pt idx="89">
                  <c:v>2.3865320072128098</c:v>
                </c:pt>
                <c:pt idx="90">
                  <c:v>2.38809357280575</c:v>
                </c:pt>
                <c:pt idx="91">
                  <c:v>2.3884124660206898</c:v>
                </c:pt>
                <c:pt idx="92">
                  <c:v>2.38809250968262</c:v>
                </c:pt>
                <c:pt idx="93">
                  <c:v>2.3876071811999</c:v>
                </c:pt>
                <c:pt idx="94">
                  <c:v>2.3862605254022098</c:v>
                </c:pt>
                <c:pt idx="95">
                  <c:v>2.38465648778446</c:v>
                </c:pt>
                <c:pt idx="96">
                  <c:v>2.3844249003226601</c:v>
                </c:pt>
                <c:pt idx="97">
                  <c:v>2.3834523616010199</c:v>
                </c:pt>
                <c:pt idx="98">
                  <c:v>2.38358940886702</c:v>
                </c:pt>
                <c:pt idx="99">
                  <c:v>2.3833784855566602</c:v>
                </c:pt>
                <c:pt idx="100">
                  <c:v>2.3828740631342802</c:v>
                </c:pt>
                <c:pt idx="101">
                  <c:v>2.3822291811212302</c:v>
                </c:pt>
                <c:pt idx="102">
                  <c:v>2.3822363422617299</c:v>
                </c:pt>
                <c:pt idx="103">
                  <c:v>2.3835880363055102</c:v>
                </c:pt>
                <c:pt idx="104">
                  <c:v>2.3848794829422499</c:v>
                </c:pt>
                <c:pt idx="105">
                  <c:v>2.3859877470153399</c:v>
                </c:pt>
                <c:pt idx="106">
                  <c:v>2.3864471850667899</c:v>
                </c:pt>
                <c:pt idx="107">
                  <c:v>2.38731018332065</c:v>
                </c:pt>
                <c:pt idx="108">
                  <c:v>2.3875835568713701</c:v>
                </c:pt>
                <c:pt idx="109">
                  <c:v>2.3887708933784402</c:v>
                </c:pt>
                <c:pt idx="110">
                  <c:v>2.39052520501453</c:v>
                </c:pt>
                <c:pt idx="111">
                  <c:v>2.3923958489467401</c:v>
                </c:pt>
                <c:pt idx="112">
                  <c:v>2.3930951179633899</c:v>
                </c:pt>
                <c:pt idx="113">
                  <c:v>2.3924349183317402</c:v>
                </c:pt>
                <c:pt idx="114">
                  <c:v>2.3917996373457799</c:v>
                </c:pt>
                <c:pt idx="115">
                  <c:v>2.3908658928316902</c:v>
                </c:pt>
                <c:pt idx="116">
                  <c:v>2.39126425352829</c:v>
                </c:pt>
                <c:pt idx="117">
                  <c:v>2.3916565369811802</c:v>
                </c:pt>
                <c:pt idx="118">
                  <c:v>2.3912244168025301</c:v>
                </c:pt>
                <c:pt idx="119">
                  <c:v>2.3905486835961498</c:v>
                </c:pt>
                <c:pt idx="120">
                  <c:v>2.3891665719900601</c:v>
                </c:pt>
                <c:pt idx="121">
                  <c:v>2.3868541330106798</c:v>
                </c:pt>
                <c:pt idx="122">
                  <c:v>2.3857172328832301</c:v>
                </c:pt>
                <c:pt idx="123">
                  <c:v>2.3850507180323199</c:v>
                </c:pt>
                <c:pt idx="124">
                  <c:v>2.3837132659614602</c:v>
                </c:pt>
                <c:pt idx="125">
                  <c:v>2.3835136928922198</c:v>
                </c:pt>
                <c:pt idx="126">
                  <c:v>2.3824682044433199</c:v>
                </c:pt>
                <c:pt idx="127">
                  <c:v>2.3816104476511</c:v>
                </c:pt>
                <c:pt idx="128">
                  <c:v>2.3815510363770702</c:v>
                </c:pt>
                <c:pt idx="129">
                  <c:v>2.3814323978106202</c:v>
                </c:pt>
                <c:pt idx="130">
                  <c:v>2.3805112413280098</c:v>
                </c:pt>
                <c:pt idx="131">
                  <c:v>2.38063818676215</c:v>
                </c:pt>
                <c:pt idx="132">
                  <c:v>2.3805913360062498</c:v>
                </c:pt>
                <c:pt idx="133">
                  <c:v>2.3799687189863001</c:v>
                </c:pt>
                <c:pt idx="134">
                  <c:v>2.3803640045006098</c:v>
                </c:pt>
                <c:pt idx="135">
                  <c:v>2.37953961497987</c:v>
                </c:pt>
                <c:pt idx="136">
                  <c:v>2.3786609566925199</c:v>
                </c:pt>
                <c:pt idx="137">
                  <c:v>2.3777184297736902</c:v>
                </c:pt>
                <c:pt idx="138">
                  <c:v>2.3770882242995</c:v>
                </c:pt>
                <c:pt idx="139">
                  <c:v>2.3765166040271901</c:v>
                </c:pt>
                <c:pt idx="140">
                  <c:v>2.3764187098939602</c:v>
                </c:pt>
                <c:pt idx="141">
                  <c:v>2.3758842114069498</c:v>
                </c:pt>
                <c:pt idx="142">
                  <c:v>2.3748161791576101</c:v>
                </c:pt>
                <c:pt idx="143">
                  <c:v>2.3741446434902498</c:v>
                </c:pt>
                <c:pt idx="144">
                  <c:v>2.3730994185442502</c:v>
                </c:pt>
                <c:pt idx="145">
                  <c:v>2.3727886561027498</c:v>
                </c:pt>
                <c:pt idx="146">
                  <c:v>2.3721435366888999</c:v>
                </c:pt>
                <c:pt idx="147">
                  <c:v>2.3713386057467001</c:v>
                </c:pt>
                <c:pt idx="148">
                  <c:v>2.3700392725068702</c:v>
                </c:pt>
                <c:pt idx="149">
                  <c:v>2.3695684968897499</c:v>
                </c:pt>
                <c:pt idx="150">
                  <c:v>2.3695165023959301</c:v>
                </c:pt>
                <c:pt idx="151">
                  <c:v>2.3698371122575201</c:v>
                </c:pt>
                <c:pt idx="152">
                  <c:v>2.3709153522166599</c:v>
                </c:pt>
                <c:pt idx="153">
                  <c:v>2.3722213489283202</c:v>
                </c:pt>
                <c:pt idx="154">
                  <c:v>2.3735194587657</c:v>
                </c:pt>
                <c:pt idx="155">
                  <c:v>2.37458970204248</c:v>
                </c:pt>
                <c:pt idx="156">
                  <c:v>2.3749263789655002</c:v>
                </c:pt>
                <c:pt idx="157">
                  <c:v>2.37489560364335</c:v>
                </c:pt>
                <c:pt idx="158">
                  <c:v>2.3749923208266899</c:v>
                </c:pt>
                <c:pt idx="159">
                  <c:v>2.3742705480361499</c:v>
                </c:pt>
                <c:pt idx="160">
                  <c:v>2.3726145647397301</c:v>
                </c:pt>
                <c:pt idx="161">
                  <c:v>2.3709817603574699</c:v>
                </c:pt>
                <c:pt idx="162">
                  <c:v>2.3692677942918401</c:v>
                </c:pt>
                <c:pt idx="163">
                  <c:v>2.3680124892714098</c:v>
                </c:pt>
                <c:pt idx="164">
                  <c:v>2.36662292827639</c:v>
                </c:pt>
                <c:pt idx="165">
                  <c:v>2.36515120523869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A-42DE-83C8-0D3326001BC1}"/>
            </c:ext>
          </c:extLst>
        </c:ser>
        <c:ser>
          <c:idx val="2"/>
          <c:order val="2"/>
          <c:tx>
            <c:strRef>
              <c:f>XLF_IYF_2!$Q$1</c:f>
              <c:strCache>
                <c:ptCount val="1"/>
                <c:pt idx="0">
                  <c:v> IYF/XLF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XLF_IYF_2!$Q$2:$Q$167</c:f>
              <c:numCache>
                <c:formatCode>_(* #,##0.0000_);_(* \(#,##0.0000\);_(* "-"??_);_(@_)</c:formatCode>
                <c:ptCount val="166"/>
                <c:pt idx="19">
                  <c:v>2.37793713710749</c:v>
                </c:pt>
                <c:pt idx="20">
                  <c:v>2.3789034975037899</c:v>
                </c:pt>
                <c:pt idx="21">
                  <c:v>2.3798847302236399</c:v>
                </c:pt>
                <c:pt idx="22">
                  <c:v>2.3812411986347</c:v>
                </c:pt>
                <c:pt idx="23">
                  <c:v>2.3827128903606698</c:v>
                </c:pt>
                <c:pt idx="24">
                  <c:v>2.3842945975981298</c:v>
                </c:pt>
                <c:pt idx="25">
                  <c:v>2.3859961130154699</c:v>
                </c:pt>
                <c:pt idx="26">
                  <c:v>2.3867009020752499</c:v>
                </c:pt>
                <c:pt idx="27">
                  <c:v>2.38674711390451</c:v>
                </c:pt>
                <c:pt idx="28">
                  <c:v>2.38693083756286</c:v>
                </c:pt>
                <c:pt idx="29">
                  <c:v>2.38747447736479</c:v>
                </c:pt>
                <c:pt idx="30">
                  <c:v>2.3878024703606999</c:v>
                </c:pt>
                <c:pt idx="31">
                  <c:v>2.38809304813143</c:v>
                </c:pt>
                <c:pt idx="32">
                  <c:v>2.3881622139202099</c:v>
                </c:pt>
                <c:pt idx="33">
                  <c:v>2.3882384136009298</c:v>
                </c:pt>
                <c:pt idx="34">
                  <c:v>2.3887586864695098</c:v>
                </c:pt>
                <c:pt idx="35">
                  <c:v>2.3894064159850501</c:v>
                </c:pt>
                <c:pt idx="36">
                  <c:v>2.3894583709813899</c:v>
                </c:pt>
                <c:pt idx="37">
                  <c:v>2.3895553955772302</c:v>
                </c:pt>
                <c:pt idx="38">
                  <c:v>2.3895032165618701</c:v>
                </c:pt>
                <c:pt idx="39">
                  <c:v>2.3894581239984598</c:v>
                </c:pt>
                <c:pt idx="40">
                  <c:v>2.3896343425738999</c:v>
                </c:pt>
                <c:pt idx="41">
                  <c:v>2.3895682894215899</c:v>
                </c:pt>
                <c:pt idx="42">
                  <c:v>2.3893748765118601</c:v>
                </c:pt>
                <c:pt idx="43">
                  <c:v>2.38906808866161</c:v>
                </c:pt>
                <c:pt idx="44">
                  <c:v>2.38843198836111</c:v>
                </c:pt>
                <c:pt idx="45">
                  <c:v>2.38755446889652</c:v>
                </c:pt>
                <c:pt idx="46">
                  <c:v>2.38722623257916</c:v>
                </c:pt>
                <c:pt idx="47">
                  <c:v>2.3869764785898901</c:v>
                </c:pt>
                <c:pt idx="48">
                  <c:v>2.38640389887368</c:v>
                </c:pt>
                <c:pt idx="49">
                  <c:v>2.3852417134667601</c:v>
                </c:pt>
                <c:pt idx="50">
                  <c:v>2.3840449288889101</c:v>
                </c:pt>
                <c:pt idx="51">
                  <c:v>2.3832274538003499</c:v>
                </c:pt>
                <c:pt idx="52">
                  <c:v>2.3823290686445602</c:v>
                </c:pt>
                <c:pt idx="53">
                  <c:v>2.3813538062318602</c:v>
                </c:pt>
                <c:pt idx="54">
                  <c:v>2.3804421359002199</c:v>
                </c:pt>
                <c:pt idx="55">
                  <c:v>2.3794781883628602</c:v>
                </c:pt>
                <c:pt idx="56">
                  <c:v>2.37876526710239</c:v>
                </c:pt>
                <c:pt idx="57">
                  <c:v>2.3780595149544399</c:v>
                </c:pt>
                <c:pt idx="58">
                  <c:v>2.3780596633967099</c:v>
                </c:pt>
                <c:pt idx="59">
                  <c:v>2.3775765784441898</c:v>
                </c:pt>
                <c:pt idx="60">
                  <c:v>2.3775815977507202</c:v>
                </c:pt>
                <c:pt idx="61">
                  <c:v>2.3777846721843798</c:v>
                </c:pt>
                <c:pt idx="62">
                  <c:v>2.3782373363629299</c:v>
                </c:pt>
                <c:pt idx="63">
                  <c:v>2.3788583442824298</c:v>
                </c:pt>
                <c:pt idx="64">
                  <c:v>2.3795895308807098</c:v>
                </c:pt>
                <c:pt idx="65">
                  <c:v>2.3802634097261</c:v>
                </c:pt>
                <c:pt idx="66">
                  <c:v>2.3809949244403401</c:v>
                </c:pt>
                <c:pt idx="67">
                  <c:v>2.38178021575846</c:v>
                </c:pt>
                <c:pt idx="68">
                  <c:v>2.3826156418142701</c:v>
                </c:pt>
                <c:pt idx="69">
                  <c:v>2.3834865247900701</c:v>
                </c:pt>
                <c:pt idx="70">
                  <c:v>2.3845603911452198</c:v>
                </c:pt>
                <c:pt idx="71">
                  <c:v>2.3852044761323898</c:v>
                </c:pt>
                <c:pt idx="72">
                  <c:v>2.3860171733719202</c:v>
                </c:pt>
                <c:pt idx="73">
                  <c:v>2.38717835286909</c:v>
                </c:pt>
                <c:pt idx="74">
                  <c:v>2.3879509579510798</c:v>
                </c:pt>
                <c:pt idx="75">
                  <c:v>2.3885395446899498</c:v>
                </c:pt>
                <c:pt idx="76">
                  <c:v>2.3894335188946298</c:v>
                </c:pt>
                <c:pt idx="77">
                  <c:v>2.39036778690634</c:v>
                </c:pt>
                <c:pt idx="78">
                  <c:v>2.3909409578019898</c:v>
                </c:pt>
                <c:pt idx="79">
                  <c:v>2.3918929128833302</c:v>
                </c:pt>
                <c:pt idx="80">
                  <c:v>2.39134665600975</c:v>
                </c:pt>
                <c:pt idx="81">
                  <c:v>2.3912089502678802</c:v>
                </c:pt>
                <c:pt idx="82">
                  <c:v>2.3909843505871202</c:v>
                </c:pt>
                <c:pt idx="83">
                  <c:v>2.3906542757397902</c:v>
                </c:pt>
                <c:pt idx="84">
                  <c:v>2.3906747765797198</c:v>
                </c:pt>
                <c:pt idx="85">
                  <c:v>2.3909641284315701</c:v>
                </c:pt>
                <c:pt idx="86">
                  <c:v>2.3907154323978599</c:v>
                </c:pt>
                <c:pt idx="87">
                  <c:v>2.3907009212866099</c:v>
                </c:pt>
                <c:pt idx="88">
                  <c:v>2.3904739661615899</c:v>
                </c:pt>
                <c:pt idx="89">
                  <c:v>2.3901233762062701</c:v>
                </c:pt>
                <c:pt idx="90">
                  <c:v>2.3900637103598199</c:v>
                </c:pt>
                <c:pt idx="91">
                  <c:v>2.39005160297258</c:v>
                </c:pt>
                <c:pt idx="92">
                  <c:v>2.3896597432457201</c:v>
                </c:pt>
                <c:pt idx="93">
                  <c:v>2.3889335406517498</c:v>
                </c:pt>
                <c:pt idx="94">
                  <c:v>2.38805753551804</c:v>
                </c:pt>
                <c:pt idx="95">
                  <c:v>2.3874534409130499</c:v>
                </c:pt>
                <c:pt idx="96">
                  <c:v>2.38685207258164</c:v>
                </c:pt>
                <c:pt idx="97">
                  <c:v>2.3861137120252902</c:v>
                </c:pt>
                <c:pt idx="98">
                  <c:v>2.3857320154583701</c:v>
                </c:pt>
                <c:pt idx="99">
                  <c:v>2.3849552463847301</c:v>
                </c:pt>
                <c:pt idx="100">
                  <c:v>2.3854838179700102</c:v>
                </c:pt>
                <c:pt idx="101">
                  <c:v>2.38532082357096</c:v>
                </c:pt>
                <c:pt idx="102">
                  <c:v>2.3851644259721798</c:v>
                </c:pt>
                <c:pt idx="103">
                  <c:v>2.3855976087527102</c:v>
                </c:pt>
                <c:pt idx="104">
                  <c:v>2.3855700041722301</c:v>
                </c:pt>
                <c:pt idx="105">
                  <c:v>2.3853221173999</c:v>
                </c:pt>
                <c:pt idx="106">
                  <c:v>2.3854360426947299</c:v>
                </c:pt>
                <c:pt idx="107">
                  <c:v>2.3853812724608301</c:v>
                </c:pt>
                <c:pt idx="108">
                  <c:v>2.38558648286919</c:v>
                </c:pt>
                <c:pt idx="109">
                  <c:v>2.38607468946755</c:v>
                </c:pt>
                <c:pt idx="110">
                  <c:v>2.38669963407441</c:v>
                </c:pt>
                <c:pt idx="111">
                  <c:v>2.3873125150339898</c:v>
                </c:pt>
                <c:pt idx="112">
                  <c:v>2.3876657301125599</c:v>
                </c:pt>
                <c:pt idx="113">
                  <c:v>2.3880114773186301</c:v>
                </c:pt>
                <c:pt idx="114">
                  <c:v>2.3883395601440198</c:v>
                </c:pt>
                <c:pt idx="115">
                  <c:v>2.3884268199235201</c:v>
                </c:pt>
                <c:pt idx="116">
                  <c:v>2.3888557192975401</c:v>
                </c:pt>
                <c:pt idx="117">
                  <c:v>2.38948336015092</c:v>
                </c:pt>
                <c:pt idx="118">
                  <c:v>2.3894039868369501</c:v>
                </c:pt>
                <c:pt idx="119">
                  <c:v>2.3896597884872901</c:v>
                </c:pt>
                <c:pt idx="120">
                  <c:v>2.3898458885023</c:v>
                </c:pt>
                <c:pt idx="121">
                  <c:v>2.3896249909787102</c:v>
                </c:pt>
                <c:pt idx="122">
                  <c:v>2.3894061754233098</c:v>
                </c:pt>
                <c:pt idx="123">
                  <c:v>2.3887428181820298</c:v>
                </c:pt>
                <c:pt idx="124">
                  <c:v>2.3877564516536198</c:v>
                </c:pt>
                <c:pt idx="125">
                  <c:v>2.3871897928619501</c:v>
                </c:pt>
                <c:pt idx="126">
                  <c:v>2.3868662289858098</c:v>
                </c:pt>
                <c:pt idx="127">
                  <c:v>2.3866334923161401</c:v>
                </c:pt>
                <c:pt idx="128">
                  <c:v>2.3863877265897999</c:v>
                </c:pt>
                <c:pt idx="129">
                  <c:v>2.3859905407033799</c:v>
                </c:pt>
                <c:pt idx="130">
                  <c:v>2.3848389066590401</c:v>
                </c:pt>
                <c:pt idx="131">
                  <c:v>2.38374615988642</c:v>
                </c:pt>
                <c:pt idx="132">
                  <c:v>2.38315428444474</c:v>
                </c:pt>
                <c:pt idx="133">
                  <c:v>2.38250971850931</c:v>
                </c:pt>
                <c:pt idx="134">
                  <c:v>2.3820386352310399</c:v>
                </c:pt>
                <c:pt idx="135">
                  <c:v>2.38152665393604</c:v>
                </c:pt>
                <c:pt idx="136">
                  <c:v>2.3805645805679201</c:v>
                </c:pt>
                <c:pt idx="137">
                  <c:v>2.37966443871239</c:v>
                </c:pt>
                <c:pt idx="138">
                  <c:v>2.3793196303382902</c:v>
                </c:pt>
                <c:pt idx="139">
                  <c:v>2.3789745009189098</c:v>
                </c:pt>
                <c:pt idx="140">
                  <c:v>2.3784649756109801</c:v>
                </c:pt>
                <c:pt idx="141">
                  <c:v>2.3782611990845499</c:v>
                </c:pt>
                <c:pt idx="142">
                  <c:v>2.37770375758193</c:v>
                </c:pt>
                <c:pt idx="143">
                  <c:v>2.3770566812382801</c:v>
                </c:pt>
                <c:pt idx="144">
                  <c:v>2.3767317115224298</c:v>
                </c:pt>
                <c:pt idx="145">
                  <c:v>2.3761641355413099</c:v>
                </c:pt>
                <c:pt idx="146">
                  <c:v>2.3754022466907099</c:v>
                </c:pt>
                <c:pt idx="147">
                  <c:v>2.3745285177601998</c:v>
                </c:pt>
                <c:pt idx="148">
                  <c:v>2.37356374840319</c:v>
                </c:pt>
                <c:pt idx="149">
                  <c:v>2.3730425504584698</c:v>
                </c:pt>
                <c:pt idx="150">
                  <c:v>2.3729676061449401</c:v>
                </c:pt>
                <c:pt idx="151">
                  <c:v>2.3728606618322399</c:v>
                </c:pt>
                <c:pt idx="152">
                  <c:v>2.3728657656871399</c:v>
                </c:pt>
                <c:pt idx="153">
                  <c:v>2.3731829962092799</c:v>
                </c:pt>
                <c:pt idx="154">
                  <c:v>2.37330943865497</c:v>
                </c:pt>
                <c:pt idx="155">
                  <c:v>2.3736891790726098</c:v>
                </c:pt>
                <c:pt idx="156">
                  <c:v>2.3735349578272</c:v>
                </c:pt>
                <c:pt idx="157">
                  <c:v>2.3731171046950199</c:v>
                </c:pt>
                <c:pt idx="158">
                  <c:v>2.37251579666678</c:v>
                </c:pt>
                <c:pt idx="159">
                  <c:v>2.3719195224629499</c:v>
                </c:pt>
                <c:pt idx="160">
                  <c:v>2.3710655335678301</c:v>
                </c:pt>
                <c:pt idx="161">
                  <c:v>2.3704094363074999</c:v>
                </c:pt>
                <c:pt idx="162">
                  <c:v>2.3700915732542498</c:v>
                </c:pt>
                <c:pt idx="163">
                  <c:v>2.3701169190998601</c:v>
                </c:pt>
                <c:pt idx="164">
                  <c:v>2.3700711935210399</c:v>
                </c:pt>
                <c:pt idx="165">
                  <c:v>2.3698704536405901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AA-42DE-83C8-0D3326001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XLF_IYF_2!$AE$1</c:f>
              <c:strCache>
                <c:ptCount val="1"/>
                <c:pt idx="0">
                  <c:v>log diff XLF* x avg / IYF*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XLF_IYF_2!$AE$2:$AE$167</c:f>
              <c:numCache>
                <c:formatCode>0.00%</c:formatCode>
                <c:ptCount val="166"/>
                <c:pt idx="1">
                  <c:v>6.8680692174472599E-3</c:v>
                </c:pt>
                <c:pt idx="2">
                  <c:v>1.00112938366121E-2</c:v>
                </c:pt>
                <c:pt idx="3">
                  <c:v>1.2279102083642E-2</c:v>
                </c:pt>
                <c:pt idx="4">
                  <c:v>1.02458970596083E-2</c:v>
                </c:pt>
                <c:pt idx="5">
                  <c:v>8.9468438149413292E-3</c:v>
                </c:pt>
                <c:pt idx="6">
                  <c:v>4.7517922727401598E-3</c:v>
                </c:pt>
                <c:pt idx="7">
                  <c:v>7.3578517247479405E-5</c:v>
                </c:pt>
                <c:pt idx="8">
                  <c:v>-8.5644975692501993E-5</c:v>
                </c:pt>
                <c:pt idx="9">
                  <c:v>-1.9827956549208002E-3</c:v>
                </c:pt>
                <c:pt idx="10">
                  <c:v>-1.31248186871775E-3</c:v>
                </c:pt>
                <c:pt idx="11">
                  <c:v>-1.84364824873598E-3</c:v>
                </c:pt>
                <c:pt idx="12">
                  <c:v>-3.7980499570099201E-3</c:v>
                </c:pt>
                <c:pt idx="13">
                  <c:v>-1.87768278750137E-3</c:v>
                </c:pt>
                <c:pt idx="14">
                  <c:v>-2.5557786998164599E-3</c:v>
                </c:pt>
                <c:pt idx="15">
                  <c:v>-2.14867224399924E-3</c:v>
                </c:pt>
                <c:pt idx="16">
                  <c:v>-4.5855811654109202E-3</c:v>
                </c:pt>
                <c:pt idx="17">
                  <c:v>-4.0643590349492597E-3</c:v>
                </c:pt>
                <c:pt idx="18">
                  <c:v>-1.3333073984708101E-3</c:v>
                </c:pt>
                <c:pt idx="19">
                  <c:v>-3.2329702557505999E-3</c:v>
                </c:pt>
                <c:pt idx="20">
                  <c:v>9.5720831416988301E-4</c:v>
                </c:pt>
                <c:pt idx="21">
                  <c:v>-1.3936257418559301E-3</c:v>
                </c:pt>
                <c:pt idx="22">
                  <c:v>-1.4275167673786101E-3</c:v>
                </c:pt>
                <c:pt idx="23">
                  <c:v>-1.53348287643844E-4</c:v>
                </c:pt>
                <c:pt idx="24">
                  <c:v>-3.0828074882080598E-3</c:v>
                </c:pt>
                <c:pt idx="25">
                  <c:v>-5.3657849779875496E-3</c:v>
                </c:pt>
                <c:pt idx="26">
                  <c:v>-1.1767025903831501E-3</c:v>
                </c:pt>
                <c:pt idx="27">
                  <c:v>-3.1440249530744299E-4</c:v>
                </c:pt>
                <c:pt idx="28">
                  <c:v>-1.62700025564891E-3</c:v>
                </c:pt>
                <c:pt idx="29">
                  <c:v>-6.52819810700693E-3</c:v>
                </c:pt>
                <c:pt idx="30">
                  <c:v>-4.0591589596328404E-3</c:v>
                </c:pt>
                <c:pt idx="31">
                  <c:v>-4.2760931107344701E-3</c:v>
                </c:pt>
                <c:pt idx="32">
                  <c:v>-4.3764467384684097E-3</c:v>
                </c:pt>
                <c:pt idx="33">
                  <c:v>-2.51610597796827E-3</c:v>
                </c:pt>
                <c:pt idx="34">
                  <c:v>-6.9037466664064497E-3</c:v>
                </c:pt>
                <c:pt idx="35">
                  <c:v>-7.5611273863585397E-3</c:v>
                </c:pt>
                <c:pt idx="36">
                  <c:v>-5.0197425110891196E-3</c:v>
                </c:pt>
                <c:pt idx="37">
                  <c:v>-4.8754138228701898E-3</c:v>
                </c:pt>
                <c:pt idx="38">
                  <c:v>-8.9566290311798998E-4</c:v>
                </c:pt>
                <c:pt idx="39">
                  <c:v>-2.8554915664319898E-3</c:v>
                </c:pt>
                <c:pt idx="40">
                  <c:v>-5.2277081965727097E-4</c:v>
                </c:pt>
                <c:pt idx="41">
                  <c:v>-8.3961496870532497E-4</c:v>
                </c:pt>
                <c:pt idx="42">
                  <c:v>1.95516772207002E-4</c:v>
                </c:pt>
                <c:pt idx="43">
                  <c:v>2.4255906304198201E-3</c:v>
                </c:pt>
                <c:pt idx="44">
                  <c:v>2.2561342812480599E-3</c:v>
                </c:pt>
                <c:pt idx="45">
                  <c:v>1.9900564464515602E-3</c:v>
                </c:pt>
                <c:pt idx="46">
                  <c:v>1.5799603592373799E-3</c:v>
                </c:pt>
                <c:pt idx="47">
                  <c:v>1.7842529240758901E-3</c:v>
                </c:pt>
                <c:pt idx="48">
                  <c:v>3.1845315689745901E-3</c:v>
                </c:pt>
                <c:pt idx="49">
                  <c:v>3.2141506660773099E-3</c:v>
                </c:pt>
                <c:pt idx="50">
                  <c:v>1.1011176309612899E-3</c:v>
                </c:pt>
                <c:pt idx="51">
                  <c:v>-2.35830959101663E-3</c:v>
                </c:pt>
                <c:pt idx="52">
                  <c:v>-1.77890232910146E-3</c:v>
                </c:pt>
                <c:pt idx="53">
                  <c:v>7.4112399056543003E-4</c:v>
                </c:pt>
                <c:pt idx="54">
                  <c:v>9.1779777970432902E-4</c:v>
                </c:pt>
                <c:pt idx="55">
                  <c:v>6.9551805196324404E-4</c:v>
                </c:pt>
                <c:pt idx="56">
                  <c:v>1.14304315777342E-3</c:v>
                </c:pt>
                <c:pt idx="57">
                  <c:v>1.22866842397753E-3</c:v>
                </c:pt>
                <c:pt idx="58">
                  <c:v>-6.9282790923436599E-4</c:v>
                </c:pt>
                <c:pt idx="59">
                  <c:v>1.38881782668991E-3</c:v>
                </c:pt>
                <c:pt idx="60">
                  <c:v>-3.6884755192883998E-4</c:v>
                </c:pt>
                <c:pt idx="61">
                  <c:v>-2.3365117737740001E-3</c:v>
                </c:pt>
                <c:pt idx="62">
                  <c:v>-3.3887804856740102E-3</c:v>
                </c:pt>
                <c:pt idx="63">
                  <c:v>-2.58312516800569E-3</c:v>
                </c:pt>
                <c:pt idx="64">
                  <c:v>-3.6684374938182E-3</c:v>
                </c:pt>
                <c:pt idx="65">
                  <c:v>-3.45996078632745E-3</c:v>
                </c:pt>
                <c:pt idx="66">
                  <c:v>-4.3459722079525901E-3</c:v>
                </c:pt>
                <c:pt idx="67">
                  <c:v>-4.5889765451149799E-3</c:v>
                </c:pt>
                <c:pt idx="68">
                  <c:v>-3.6254621319342199E-3</c:v>
                </c:pt>
                <c:pt idx="69">
                  <c:v>-3.8918289444830599E-3</c:v>
                </c:pt>
                <c:pt idx="70">
                  <c:v>-2.8337671940544401E-3</c:v>
                </c:pt>
                <c:pt idx="71">
                  <c:v>-2.6288315252284101E-3</c:v>
                </c:pt>
                <c:pt idx="72">
                  <c:v>-3.4609924948449302E-3</c:v>
                </c:pt>
                <c:pt idx="73">
                  <c:v>-3.8720964532800999E-3</c:v>
                </c:pt>
                <c:pt idx="74">
                  <c:v>-5.5345332557328198E-3</c:v>
                </c:pt>
                <c:pt idx="75">
                  <c:v>-4.2249615682349896E-3</c:v>
                </c:pt>
                <c:pt idx="76">
                  <c:v>-6.3167092761321599E-3</c:v>
                </c:pt>
                <c:pt idx="77">
                  <c:v>-6.5657664693802601E-3</c:v>
                </c:pt>
                <c:pt idx="78">
                  <c:v>-5.4832053507968097E-3</c:v>
                </c:pt>
                <c:pt idx="79">
                  <c:v>-6.5581097975612604E-3</c:v>
                </c:pt>
                <c:pt idx="80">
                  <c:v>4.19493842510975E-3</c:v>
                </c:pt>
                <c:pt idx="81">
                  <c:v>-1.1983733755387201E-3</c:v>
                </c:pt>
                <c:pt idx="82">
                  <c:v>-1.52621444543484E-3</c:v>
                </c:pt>
                <c:pt idx="83">
                  <c:v>1.6491271067364899E-4</c:v>
                </c:pt>
                <c:pt idx="84">
                  <c:v>-3.8460270347127901E-3</c:v>
                </c:pt>
                <c:pt idx="85">
                  <c:v>-5.8690829776031003E-3</c:v>
                </c:pt>
                <c:pt idx="86">
                  <c:v>-2.2756304178134399E-3</c:v>
                </c:pt>
                <c:pt idx="87">
                  <c:v>-4.4701974095404402E-3</c:v>
                </c:pt>
                <c:pt idx="88">
                  <c:v>-1.7322835692465601E-3</c:v>
                </c:pt>
                <c:pt idx="89">
                  <c:v>-9.6863374279028999E-4</c:v>
                </c:pt>
                <c:pt idx="90">
                  <c:v>-2.3319781953184599E-3</c:v>
                </c:pt>
                <c:pt idx="91">
                  <c:v>-2.5251037851605099E-3</c:v>
                </c:pt>
                <c:pt idx="92">
                  <c:v>-1.8758155710074599E-4</c:v>
                </c:pt>
                <c:pt idx="93">
                  <c:v>2.1944623933714499E-3</c:v>
                </c:pt>
                <c:pt idx="94">
                  <c:v>1.7761521960760101E-3</c:v>
                </c:pt>
                <c:pt idx="95">
                  <c:v>8.1643395945855198E-4</c:v>
                </c:pt>
                <c:pt idx="96">
                  <c:v>-1.3104620950698E-3</c:v>
                </c:pt>
                <c:pt idx="97">
                  <c:v>-4.1952927194167298E-4</c:v>
                </c:pt>
                <c:pt idx="98">
                  <c:v>-2.3062389895572499E-3</c:v>
                </c:pt>
                <c:pt idx="99">
                  <c:v>-8.7287108574342598E-5</c:v>
                </c:pt>
                <c:pt idx="100">
                  <c:v>-2.2834913184988301E-4</c:v>
                </c:pt>
                <c:pt idx="101">
                  <c:v>1.6491271067364899E-4</c:v>
                </c:pt>
                <c:pt idx="102">
                  <c:v>-2.1869826236190401E-4</c:v>
                </c:pt>
                <c:pt idx="103">
                  <c:v>-3.44834274380905E-3</c:v>
                </c:pt>
                <c:pt idx="104">
                  <c:v>-3.6133660318399098E-3</c:v>
                </c:pt>
                <c:pt idx="105">
                  <c:v>-3.8090481364668701E-3</c:v>
                </c:pt>
                <c:pt idx="106">
                  <c:v>-3.2278409191443601E-3</c:v>
                </c:pt>
                <c:pt idx="107">
                  <c:v>-4.01737159715635E-3</c:v>
                </c:pt>
                <c:pt idx="108">
                  <c:v>-3.4474655290465599E-3</c:v>
                </c:pt>
                <c:pt idx="109">
                  <c:v>-5.0384389694009702E-3</c:v>
                </c:pt>
                <c:pt idx="110">
                  <c:v>-7.5349168855790597E-3</c:v>
                </c:pt>
                <c:pt idx="111">
                  <c:v>-7.6287865906710202E-3</c:v>
                </c:pt>
                <c:pt idx="112">
                  <c:v>-6.09745111983167E-3</c:v>
                </c:pt>
                <c:pt idx="113">
                  <c:v>-3.6244189542499199E-3</c:v>
                </c:pt>
                <c:pt idx="114">
                  <c:v>-3.9106392853293197E-3</c:v>
                </c:pt>
                <c:pt idx="115">
                  <c:v>-2.8827788634374E-3</c:v>
                </c:pt>
                <c:pt idx="116">
                  <c:v>-4.3703697309531503E-3</c:v>
                </c:pt>
                <c:pt idx="117">
                  <c:v>-5.1348744852733096E-3</c:v>
                </c:pt>
                <c:pt idx="118">
                  <c:v>-1.1401507287996499E-3</c:v>
                </c:pt>
                <c:pt idx="119">
                  <c:v>-1.7146193658227401E-3</c:v>
                </c:pt>
                <c:pt idx="120">
                  <c:v>-1.27749789596266E-3</c:v>
                </c:pt>
                <c:pt idx="121">
                  <c:v>2.5057625996362299E-3</c:v>
                </c:pt>
                <c:pt idx="122">
                  <c:v>2.1059569908011798E-3</c:v>
                </c:pt>
                <c:pt idx="123">
                  <c:v>2.5703794544421101E-3</c:v>
                </c:pt>
                <c:pt idx="124">
                  <c:v>5.0937566316874303E-3</c:v>
                </c:pt>
                <c:pt idx="125">
                  <c:v>1.38853173853037E-3</c:v>
                </c:pt>
                <c:pt idx="126">
                  <c:v>-5.4816929807388898E-5</c:v>
                </c:pt>
                <c:pt idx="127">
                  <c:v>-1.5884807898027601E-3</c:v>
                </c:pt>
                <c:pt idx="128">
                  <c:v>-9.1559295578473295E-4</c:v>
                </c:pt>
                <c:pt idx="129">
                  <c:v>-1.2495307843356201E-3</c:v>
                </c:pt>
                <c:pt idx="130">
                  <c:v>2.5312083212628098E-3</c:v>
                </c:pt>
                <c:pt idx="131">
                  <c:v>1.94665982539502E-3</c:v>
                </c:pt>
                <c:pt idx="132">
                  <c:v>2.2666758724183998E-3</c:v>
                </c:pt>
                <c:pt idx="133">
                  <c:v>5.1516993365749502E-3</c:v>
                </c:pt>
                <c:pt idx="134">
                  <c:v>3.43292460519189E-3</c:v>
                </c:pt>
                <c:pt idx="135">
                  <c:v>4.8345887529722296E-3</c:v>
                </c:pt>
                <c:pt idx="136">
                  <c:v>3.6113053015456001E-3</c:v>
                </c:pt>
                <c:pt idx="137">
                  <c:v>2.3261968099698902E-3</c:v>
                </c:pt>
                <c:pt idx="138">
                  <c:v>1.70718033739925E-3</c:v>
                </c:pt>
                <c:pt idx="139">
                  <c:v>1.1245161659740001E-3</c:v>
                </c:pt>
                <c:pt idx="140">
                  <c:v>2.9311068446179001E-3</c:v>
                </c:pt>
                <c:pt idx="141">
                  <c:v>4.1647499524540702E-3</c:v>
                </c:pt>
                <c:pt idx="142">
                  <c:v>6.7349527681293602E-3</c:v>
                </c:pt>
                <c:pt idx="143">
                  <c:v>7.9652464731955197E-3</c:v>
                </c:pt>
                <c:pt idx="144">
                  <c:v>7.8046281765138002E-3</c:v>
                </c:pt>
                <c:pt idx="145">
                  <c:v>6.1219967741904498E-3</c:v>
                </c:pt>
                <c:pt idx="146">
                  <c:v>6.2934780950567497E-3</c:v>
                </c:pt>
                <c:pt idx="147">
                  <c:v>5.6721640476990196E-3</c:v>
                </c:pt>
                <c:pt idx="148">
                  <c:v>7.1229616056687596E-3</c:v>
                </c:pt>
                <c:pt idx="149">
                  <c:v>3.0757542182392101E-3</c:v>
                </c:pt>
                <c:pt idx="150">
                  <c:v>3.1383615017985499E-3</c:v>
                </c:pt>
                <c:pt idx="151">
                  <c:v>2.82207301317439E-3</c:v>
                </c:pt>
                <c:pt idx="152">
                  <c:v>2.2091842054221501E-3</c:v>
                </c:pt>
                <c:pt idx="153">
                  <c:v>2.4819939477897599E-3</c:v>
                </c:pt>
                <c:pt idx="154">
                  <c:v>2.3556070746974501E-3</c:v>
                </c:pt>
                <c:pt idx="155">
                  <c:v>1.6432854680520699E-3</c:v>
                </c:pt>
                <c:pt idx="156">
                  <c:v>4.8831719836999301E-3</c:v>
                </c:pt>
                <c:pt idx="157">
                  <c:v>5.8065013495832698E-3</c:v>
                </c:pt>
                <c:pt idx="158">
                  <c:v>6.7260528299788701E-3</c:v>
                </c:pt>
                <c:pt idx="159">
                  <c:v>6.0981813262167596E-3</c:v>
                </c:pt>
                <c:pt idx="160">
                  <c:v>1.00802000799533E-2</c:v>
                </c:pt>
                <c:pt idx="161">
                  <c:v>9.6631855222500604E-3</c:v>
                </c:pt>
                <c:pt idx="162">
                  <c:v>9.3891620971991007E-3</c:v>
                </c:pt>
                <c:pt idx="163">
                  <c:v>7.7434198439388499E-3</c:v>
                </c:pt>
                <c:pt idx="164">
                  <c:v>8.1769751291590302E-3</c:v>
                </c:pt>
                <c:pt idx="165">
                  <c:v>7.8031101696665302E-3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C9-4076-A57C-2092698E1852}"/>
            </c:ext>
          </c:extLst>
        </c:ser>
        <c:ser>
          <c:idx val="1"/>
          <c:order val="1"/>
          <c:tx>
            <c:strRef>
              <c:f>XLF_IYF_2!$AF$1</c:f>
              <c:strCache>
                <c:ptCount val="1"/>
                <c:pt idx="0">
                  <c:v>log diff XLF* x 10 dma / IYF*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XLF_IYF_2!$AF$2:$AF$167</c:f>
              <c:numCache>
                <c:formatCode>0.00%</c:formatCode>
                <c:ptCount val="166"/>
                <c:pt idx="10">
                  <c:v>-7.32302156261639E-3</c:v>
                </c:pt>
                <c:pt idx="11">
                  <c:v>-6.8100378679286401E-3</c:v>
                </c:pt>
                <c:pt idx="12">
                  <c:v>-7.8915055485433896E-3</c:v>
                </c:pt>
                <c:pt idx="13">
                  <c:v>-4.58978410038867E-3</c:v>
                </c:pt>
                <c:pt idx="14">
                  <c:v>-3.85670459887887E-3</c:v>
                </c:pt>
                <c:pt idx="15">
                  <c:v>-2.1734891986548801E-3</c:v>
                </c:pt>
                <c:pt idx="16">
                  <c:v>-3.5051894259603201E-3</c:v>
                </c:pt>
                <c:pt idx="17">
                  <c:v>-2.0517469850807701E-3</c:v>
                </c:pt>
                <c:pt idx="18">
                  <c:v>1.0930059894202801E-3</c:v>
                </c:pt>
                <c:pt idx="19">
                  <c:v>-6.8211239304345501E-4</c:v>
                </c:pt>
                <c:pt idx="20">
                  <c:v>3.6330829595138002E-3</c:v>
                </c:pt>
                <c:pt idx="21">
                  <c:v>1.0558205185382001E-3</c:v>
                </c:pt>
                <c:pt idx="22">
                  <c:v>9.7696360375718007E-4</c:v>
                </c:pt>
                <c:pt idx="23">
                  <c:v>2.01400121165123E-3</c:v>
                </c:pt>
                <c:pt idx="24">
                  <c:v>-1.0877077940201301E-3</c:v>
                </c:pt>
                <c:pt idx="25">
                  <c:v>-3.3179403401186998E-3</c:v>
                </c:pt>
                <c:pt idx="26">
                  <c:v>1.1933519430548699E-3</c:v>
                </c:pt>
                <c:pt idx="27">
                  <c:v>1.7145315725202899E-3</c:v>
                </c:pt>
                <c:pt idx="28">
                  <c:v>2.68074157096326E-5</c:v>
                </c:pt>
                <c:pt idx="29">
                  <c:v>-4.8450266805908897E-3</c:v>
                </c:pt>
                <c:pt idx="30">
                  <c:v>-2.0454639208898999E-3</c:v>
                </c:pt>
                <c:pt idx="31">
                  <c:v>-1.7611185439781101E-3</c:v>
                </c:pt>
                <c:pt idx="32">
                  <c:v>-1.57317467620453E-3</c:v>
                </c:pt>
                <c:pt idx="33">
                  <c:v>5.8204481749301196E-4</c:v>
                </c:pt>
                <c:pt idx="34">
                  <c:v>-3.56976414466622E-3</c:v>
                </c:pt>
                <c:pt idx="35">
                  <c:v>-3.84448940326889E-3</c:v>
                </c:pt>
                <c:pt idx="36">
                  <c:v>-1.0829906201984599E-3</c:v>
                </c:pt>
                <c:pt idx="37">
                  <c:v>-5.5475352098440596E-4</c:v>
                </c:pt>
                <c:pt idx="38">
                  <c:v>3.88020886300908E-3</c:v>
                </c:pt>
                <c:pt idx="39">
                  <c:v>1.84750038745563E-3</c:v>
                </c:pt>
                <c:pt idx="40">
                  <c:v>3.8128869087870601E-3</c:v>
                </c:pt>
                <c:pt idx="41">
                  <c:v>3.14306381611672E-3</c:v>
                </c:pt>
                <c:pt idx="42">
                  <c:v>3.8349779708054402E-3</c:v>
                </c:pt>
                <c:pt idx="43">
                  <c:v>5.6084585047063299E-3</c:v>
                </c:pt>
                <c:pt idx="44">
                  <c:v>4.9462586971848197E-3</c:v>
                </c:pt>
                <c:pt idx="45">
                  <c:v>3.7641055793371202E-3</c:v>
                </c:pt>
                <c:pt idx="46">
                  <c:v>2.3974635525297302E-3</c:v>
                </c:pt>
                <c:pt idx="47">
                  <c:v>1.94097054282806E-3</c:v>
                </c:pt>
                <c:pt idx="48">
                  <c:v>2.6741332292982102E-3</c:v>
                </c:pt>
                <c:pt idx="49">
                  <c:v>2.2959080561931701E-3</c:v>
                </c:pt>
                <c:pt idx="50">
                  <c:v>-4.2472334460592599E-4</c:v>
                </c:pt>
                <c:pt idx="51">
                  <c:v>-4.0467535939100203E-3</c:v>
                </c:pt>
                <c:pt idx="52">
                  <c:v>-3.3149883840286202E-3</c:v>
                </c:pt>
                <c:pt idx="53">
                  <c:v>-5.9707956567909995E-4</c:v>
                </c:pt>
                <c:pt idx="54">
                  <c:v>-2.52014561512165E-4</c:v>
                </c:pt>
                <c:pt idx="55">
                  <c:v>-3.4052539413044101E-4</c:v>
                </c:pt>
                <c:pt idx="56">
                  <c:v>2.36405483803875E-4</c:v>
                </c:pt>
                <c:pt idx="57">
                  <c:v>3.6570164763912702E-4</c:v>
                </c:pt>
                <c:pt idx="58">
                  <c:v>-1.5002735162006301E-3</c:v>
                </c:pt>
                <c:pt idx="59">
                  <c:v>9.68863377328266E-4</c:v>
                </c:pt>
                <c:pt idx="60">
                  <c:v>-6.0662840559330797E-4</c:v>
                </c:pt>
                <c:pt idx="61">
                  <c:v>-2.4273257624830001E-3</c:v>
                </c:pt>
                <c:pt idx="62">
                  <c:v>-3.4817795797767899E-3</c:v>
                </c:pt>
                <c:pt idx="63">
                  <c:v>-2.5147179397238999E-3</c:v>
                </c:pt>
                <c:pt idx="64">
                  <c:v>-3.2673769875905599E-3</c:v>
                </c:pt>
                <c:pt idx="65">
                  <c:v>-2.5999346552673499E-3</c:v>
                </c:pt>
                <c:pt idx="66">
                  <c:v>-3.0702672465450298E-3</c:v>
                </c:pt>
                <c:pt idx="67">
                  <c:v>-2.7643412086232398E-3</c:v>
                </c:pt>
                <c:pt idx="68">
                  <c:v>-1.21931463722079E-3</c:v>
                </c:pt>
                <c:pt idx="69">
                  <c:v>-1.19253332239208E-3</c:v>
                </c:pt>
                <c:pt idx="70">
                  <c:v>3.9269076970743002E-4</c:v>
                </c:pt>
                <c:pt idx="71">
                  <c:v>8.4368792820439895E-4</c:v>
                </c:pt>
                <c:pt idx="72">
                  <c:v>4.0729586545735602E-5</c:v>
                </c:pt>
                <c:pt idx="73">
                  <c:v>-3.6315375186330199E-4</c:v>
                </c:pt>
                <c:pt idx="74">
                  <c:v>-1.8967379764903E-3</c:v>
                </c:pt>
                <c:pt idx="75">
                  <c:v>-4.0039420820942099E-4</c:v>
                </c:pt>
                <c:pt idx="76">
                  <c:v>-2.4156433932463598E-3</c:v>
                </c:pt>
                <c:pt idx="77">
                  <c:v>-2.4673642485953402E-3</c:v>
                </c:pt>
                <c:pt idx="78">
                  <c:v>-1.18685112168158E-3</c:v>
                </c:pt>
                <c:pt idx="79">
                  <c:v>-2.0759505505084101E-3</c:v>
                </c:pt>
                <c:pt idx="80">
                  <c:v>8.9438883723204996E-3</c:v>
                </c:pt>
                <c:pt idx="81">
                  <c:v>2.8512660293142098E-3</c:v>
                </c:pt>
                <c:pt idx="82">
                  <c:v>2.3806741689147799E-3</c:v>
                </c:pt>
                <c:pt idx="83">
                  <c:v>3.8785780697111701E-3</c:v>
                </c:pt>
                <c:pt idx="84">
                  <c:v>-5.35393856830661E-4</c:v>
                </c:pt>
                <c:pt idx="85">
                  <c:v>-2.7275478531992099E-3</c:v>
                </c:pt>
                <c:pt idx="86">
                  <c:v>1.03061688417677E-3</c:v>
                </c:pt>
                <c:pt idx="87">
                  <c:v>-1.56854033778588E-3</c:v>
                </c:pt>
                <c:pt idx="88">
                  <c:v>9.5924549594117502E-4</c:v>
                </c:pt>
                <c:pt idx="89">
                  <c:v>1.34738860761778E-3</c:v>
                </c:pt>
                <c:pt idx="90">
                  <c:v>-5.7587048022710496E-4</c:v>
                </c:pt>
                <c:pt idx="91">
                  <c:v>-1.18266833832521E-4</c:v>
                </c:pt>
                <c:pt idx="92">
                  <c:v>2.3518473540611699E-3</c:v>
                </c:pt>
                <c:pt idx="93">
                  <c:v>4.60024411508395E-3</c:v>
                </c:pt>
                <c:pt idx="94">
                  <c:v>3.9796848496543502E-3</c:v>
                </c:pt>
                <c:pt idx="95">
                  <c:v>2.4582468367907902E-3</c:v>
                </c:pt>
                <c:pt idx="96">
                  <c:v>-3.3801773809776598E-4</c:v>
                </c:pt>
                <c:pt idx="97">
                  <c:v>4.5631434890426798E-4</c:v>
                </c:pt>
                <c:pt idx="98">
                  <c:v>-1.83618083630372E-3</c:v>
                </c:pt>
                <c:pt idx="99">
                  <c:v>4.4025392159109298E-4</c:v>
                </c:pt>
                <c:pt idx="100">
                  <c:v>2.11053310987145E-4</c:v>
                </c:pt>
                <c:pt idx="101">
                  <c:v>3.9375310236507599E-4</c:v>
                </c:pt>
                <c:pt idx="102">
                  <c:v>-2.5915186876143101E-4</c:v>
                </c:pt>
                <c:pt idx="103">
                  <c:v>-3.48568392645081E-3</c:v>
                </c:pt>
                <c:pt idx="104">
                  <c:v>-3.0862103444133102E-3</c:v>
                </c:pt>
                <c:pt idx="105">
                  <c:v>-2.7428742554651102E-3</c:v>
                </c:pt>
                <c:pt idx="106">
                  <c:v>-1.6990264505502199E-3</c:v>
                </c:pt>
                <c:pt idx="107">
                  <c:v>-2.29669562014417E-3</c:v>
                </c:pt>
                <c:pt idx="108">
                  <c:v>-1.3668907607237201E-3</c:v>
                </c:pt>
                <c:pt idx="109">
                  <c:v>-2.84365715331393E-3</c:v>
                </c:pt>
                <c:pt idx="110">
                  <c:v>-4.8449597209104297E-3</c:v>
                </c:pt>
                <c:pt idx="111">
                  <c:v>-4.2075672357524104E-3</c:v>
                </c:pt>
                <c:pt idx="112">
                  <c:v>-1.8969214013019901E-3</c:v>
                </c:pt>
                <c:pt idx="113">
                  <c:v>1.16320200965029E-3</c:v>
                </c:pt>
                <c:pt idx="114">
                  <c:v>8.9456712742835604E-4</c:v>
                </c:pt>
                <c:pt idx="115">
                  <c:v>1.95212343836413E-3</c:v>
                </c:pt>
                <c:pt idx="116">
                  <c:v>3.7203918068459501E-4</c:v>
                </c:pt>
                <c:pt idx="117">
                  <c:v>-2.7832692464600301E-4</c:v>
                </c:pt>
                <c:pt idx="118">
                  <c:v>3.82810955322661E-3</c:v>
                </c:pt>
                <c:pt idx="119">
                  <c:v>3.0234991604149602E-3</c:v>
                </c:pt>
                <c:pt idx="120">
                  <c:v>3.1286356759889999E-3</c:v>
                </c:pt>
                <c:pt idx="121">
                  <c:v>6.2859573467158999E-3</c:v>
                </c:pt>
                <c:pt idx="122">
                  <c:v>4.8734141691315902E-3</c:v>
                </c:pt>
                <c:pt idx="123">
                  <c:v>4.5177901981557399E-3</c:v>
                </c:pt>
                <c:pt idx="124">
                  <c:v>6.4223744114979796E-3</c:v>
                </c:pt>
                <c:pt idx="125">
                  <c:v>1.81803014778163E-3</c:v>
                </c:pt>
                <c:pt idx="126">
                  <c:v>-5.2676899250118402E-5</c:v>
                </c:pt>
                <c:pt idx="127">
                  <c:v>-2.01894492255918E-3</c:v>
                </c:pt>
                <c:pt idx="128">
                  <c:v>-1.7021074189455701E-3</c:v>
                </c:pt>
                <c:pt idx="129">
                  <c:v>-2.0585420583362499E-3</c:v>
                </c:pt>
                <c:pt idx="130">
                  <c:v>1.67558042418804E-3</c:v>
                </c:pt>
                <c:pt idx="131">
                  <c:v>7.1000135064291003E-4</c:v>
                </c:pt>
                <c:pt idx="132">
                  <c:v>1.08587081718356E-3</c:v>
                </c:pt>
                <c:pt idx="133">
                  <c:v>3.9548384166109103E-3</c:v>
                </c:pt>
                <c:pt idx="134">
                  <c:v>1.97858527522691E-3</c:v>
                </c:pt>
                <c:pt idx="135">
                  <c:v>3.5458530583482302E-3</c:v>
                </c:pt>
                <c:pt idx="136">
                  <c:v>1.9785321447460102E-3</c:v>
                </c:pt>
                <c:pt idx="137">
                  <c:v>3.2679735312423399E-4</c:v>
                </c:pt>
                <c:pt idx="138">
                  <c:v>-6.8440284886320398E-4</c:v>
                </c:pt>
                <c:pt idx="139">
                  <c:v>-1.5299029362998999E-3</c:v>
                </c:pt>
                <c:pt idx="140">
                  <c:v>3.8608764755104099E-5</c:v>
                </c:pt>
                <c:pt idx="141">
                  <c:v>1.2322547676122399E-3</c:v>
                </c:pt>
                <c:pt idx="142">
                  <c:v>3.5806512552518299E-3</c:v>
                </c:pt>
                <c:pt idx="143">
                  <c:v>4.3646185650419696E-3</c:v>
                </c:pt>
                <c:pt idx="144">
                  <c:v>3.9234370820811397E-3</c:v>
                </c:pt>
                <c:pt idx="145">
                  <c:v>1.8042986809945301E-3</c:v>
                </c:pt>
                <c:pt idx="146">
                  <c:v>1.8471802514816501E-3</c:v>
                </c:pt>
                <c:pt idx="147">
                  <c:v>9.5774861287885402E-4</c:v>
                </c:pt>
                <c:pt idx="148">
                  <c:v>2.0736538198043498E-3</c:v>
                </c:pt>
                <c:pt idx="149">
                  <c:v>-2.5156228474859598E-3</c:v>
                </c:pt>
                <c:pt idx="150">
                  <c:v>-2.6488409877064301E-3</c:v>
                </c:pt>
                <c:pt idx="151">
                  <c:v>-2.9859122828157598E-3</c:v>
                </c:pt>
                <c:pt idx="152">
                  <c:v>-3.46423130903113E-3</c:v>
                </c:pt>
                <c:pt idx="153">
                  <c:v>-2.73840292354433E-3</c:v>
                </c:pt>
                <c:pt idx="154">
                  <c:v>-2.3166158993854699E-3</c:v>
                </c:pt>
                <c:pt idx="155">
                  <c:v>-2.4844052239433299E-3</c:v>
                </c:pt>
                <c:pt idx="156">
                  <c:v>1.2033622471603401E-3</c:v>
                </c:pt>
                <c:pt idx="157">
                  <c:v>2.2674434274476702E-3</c:v>
                </c:pt>
                <c:pt idx="158">
                  <c:v>3.1735906132115202E-3</c:v>
                </c:pt>
                <c:pt idx="159">
                  <c:v>2.5852755908876502E-3</c:v>
                </c:pt>
                <c:pt idx="160">
                  <c:v>6.26533038552924E-3</c:v>
                </c:pt>
                <c:pt idx="161">
                  <c:v>5.1558279929465704E-3</c:v>
                </c:pt>
                <c:pt idx="162">
                  <c:v>4.1986447742663104E-3</c:v>
                </c:pt>
                <c:pt idx="163">
                  <c:v>1.8350824999172201E-3</c:v>
                </c:pt>
                <c:pt idx="164">
                  <c:v>1.7419371240802999E-3</c:v>
                </c:pt>
                <c:pt idx="165">
                  <c:v>7.8508386320061603E-4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C9-4076-A57C-2092698E1852}"/>
            </c:ext>
          </c:extLst>
        </c:ser>
        <c:ser>
          <c:idx val="2"/>
          <c:order val="2"/>
          <c:tx>
            <c:strRef>
              <c:f>XLF_IYF_2!$AG$1</c:f>
              <c:strCache>
                <c:ptCount val="1"/>
                <c:pt idx="0">
                  <c:v>log diff XLF* x 20 dma / IYF*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XLF_IYF_2!$AG$2:$AG$167</c:f>
              <c:numCache>
                <c:formatCode>0.00%</c:formatCode>
                <c:ptCount val="166"/>
                <c:pt idx="20">
                  <c:v>-7.00692515500642E-4</c:v>
                </c:pt>
                <c:pt idx="21">
                  <c:v>-2.6452231092832798E-3</c:v>
                </c:pt>
                <c:pt idx="22">
                  <c:v>-2.2667264903907299E-3</c:v>
                </c:pt>
                <c:pt idx="23">
                  <c:v>-4.2274806736380098E-4</c:v>
                </c:pt>
                <c:pt idx="24">
                  <c:v>-2.7343626181712101E-3</c:v>
                </c:pt>
                <c:pt idx="25">
                  <c:v>-4.3537341457173797E-3</c:v>
                </c:pt>
                <c:pt idx="26">
                  <c:v>5.4872844981196205E-4</c:v>
                </c:pt>
                <c:pt idx="27">
                  <c:v>1.7063705968416399E-3</c:v>
                </c:pt>
                <c:pt idx="28">
                  <c:v>4.1313486960939898E-4</c:v>
                </c:pt>
                <c:pt idx="29">
                  <c:v>-4.4110893524793304E-3</c:v>
                </c:pt>
                <c:pt idx="30">
                  <c:v>-1.71431930736155E-3</c:v>
                </c:pt>
                <c:pt idx="31">
                  <c:v>-1.7938821604146201E-3</c:v>
                </c:pt>
                <c:pt idx="32">
                  <c:v>-1.7725506424169301E-3</c:v>
                </c:pt>
                <c:pt idx="33">
                  <c:v>1.16752468287791E-4</c:v>
                </c:pt>
                <c:pt idx="34">
                  <c:v>-4.2389814825558097E-3</c:v>
                </c:pt>
                <c:pt idx="35">
                  <c:v>-4.6785379670161798E-3</c:v>
                </c:pt>
                <c:pt idx="36">
                  <c:v>-1.86603248138018E-3</c:v>
                </c:pt>
                <c:pt idx="37">
                  <c:v>-1.6999601370155299E-3</c:v>
                </c:pt>
                <c:pt idx="38">
                  <c:v>2.32039522565644E-3</c:v>
                </c:pt>
                <c:pt idx="39">
                  <c:v>3.3873003778874298E-4</c:v>
                </c:pt>
                <c:pt idx="40">
                  <c:v>2.6525795026262101E-3</c:v>
                </c:pt>
                <c:pt idx="41">
                  <c:v>2.4094809765185499E-3</c:v>
                </c:pt>
                <c:pt idx="42">
                  <c:v>3.4169708041694598E-3</c:v>
                </c:pt>
                <c:pt idx="43">
                  <c:v>5.5661008624167804E-3</c:v>
                </c:pt>
                <c:pt idx="44">
                  <c:v>5.2682395692430599E-3</c:v>
                </c:pt>
                <c:pt idx="45">
                  <c:v>4.7358717107952404E-3</c:v>
                </c:pt>
                <c:pt idx="46">
                  <c:v>3.9583041148906596E-3</c:v>
                </c:pt>
                <c:pt idx="47">
                  <c:v>4.0251091851626897E-3</c:v>
                </c:pt>
                <c:pt idx="48">
                  <c:v>5.3207613595865301E-3</c:v>
                </c:pt>
                <c:pt idx="49">
                  <c:v>5.1104751176315197E-3</c:v>
                </c:pt>
                <c:pt idx="50">
                  <c:v>2.5103206471340802E-3</c:v>
                </c:pt>
                <c:pt idx="51">
                  <c:v>-1.2071720012305301E-3</c:v>
                </c:pt>
                <c:pt idx="52">
                  <c:v>-7.2386647483116797E-4</c:v>
                </c:pt>
                <c:pt idx="53">
                  <c:v>1.66601115827032E-3</c:v>
                </c:pt>
                <c:pt idx="54">
                  <c:v>1.6798162048792199E-3</c:v>
                </c:pt>
                <c:pt idx="55">
                  <c:v>1.0655079725722101E-3</c:v>
                </c:pt>
                <c:pt idx="56">
                  <c:v>1.0988475001052699E-3</c:v>
                </c:pt>
                <c:pt idx="57">
                  <c:v>8.7567381471205096E-4</c:v>
                </c:pt>
                <c:pt idx="58">
                  <c:v>-1.3517388529209801E-3</c:v>
                </c:pt>
                <c:pt idx="59">
                  <c:v>7.1975033345327304E-4</c:v>
                </c:pt>
                <c:pt idx="60">
                  <c:v>-1.2504510791992299E-3</c:v>
                </c:pt>
                <c:pt idx="61">
                  <c:v>-3.22582171690125E-3</c:v>
                </c:pt>
                <c:pt idx="62">
                  <c:v>-4.2030627477145704E-3</c:v>
                </c:pt>
                <c:pt idx="63">
                  <c:v>-3.2177760127701199E-3</c:v>
                </c:pt>
                <c:pt idx="64">
                  <c:v>-4.0525049561564701E-3</c:v>
                </c:pt>
                <c:pt idx="65">
                  <c:v>-3.5475200589313899E-3</c:v>
                </c:pt>
                <c:pt idx="66">
                  <c:v>-4.1608432369293902E-3</c:v>
                </c:pt>
                <c:pt idx="67">
                  <c:v>-4.1072393646705199E-3</c:v>
                </c:pt>
                <c:pt idx="68">
                  <c:v>-2.8248202910385201E-3</c:v>
                </c:pt>
                <c:pt idx="69">
                  <c:v>-2.7509421434853301E-3</c:v>
                </c:pt>
                <c:pt idx="70">
                  <c:v>-1.3379285209329001E-3</c:v>
                </c:pt>
                <c:pt idx="71">
                  <c:v>-9.36391625553859E-4</c:v>
                </c:pt>
                <c:pt idx="72">
                  <c:v>-1.75501574952943E-3</c:v>
                </c:pt>
                <c:pt idx="73">
                  <c:v>-2.08194182861787E-3</c:v>
                </c:pt>
                <c:pt idx="74">
                  <c:v>-3.5137958070706101E-3</c:v>
                </c:pt>
                <c:pt idx="75">
                  <c:v>-1.8815662600071999E-3</c:v>
                </c:pt>
                <c:pt idx="76">
                  <c:v>-3.7274622892368601E-3</c:v>
                </c:pt>
                <c:pt idx="77">
                  <c:v>-3.6036014389007401E-3</c:v>
                </c:pt>
                <c:pt idx="78">
                  <c:v>-2.1315078787618302E-3</c:v>
                </c:pt>
                <c:pt idx="79">
                  <c:v>-2.96698503770392E-3</c:v>
                </c:pt>
                <c:pt idx="80">
                  <c:v>8.1829321282981295E-3</c:v>
                </c:pt>
                <c:pt idx="81">
                  <c:v>2.5627476870333202E-3</c:v>
                </c:pt>
                <c:pt idx="82">
                  <c:v>2.1781114224251E-3</c:v>
                </c:pt>
                <c:pt idx="83">
                  <c:v>3.7762219798217101E-3</c:v>
                </c:pt>
                <c:pt idx="84">
                  <c:v>-3.7179942677043E-4</c:v>
                </c:pt>
                <c:pt idx="85">
                  <c:v>-2.3859734187599798E-3</c:v>
                </c:pt>
                <c:pt idx="86">
                  <c:v>1.3280704007670801E-3</c:v>
                </c:pt>
                <c:pt idx="87">
                  <c:v>-9.6998873841247003E-4</c:v>
                </c:pt>
                <c:pt idx="88">
                  <c:v>1.76198001084629E-3</c:v>
                </c:pt>
                <c:pt idx="89">
                  <c:v>2.4310435744571801E-3</c:v>
                </c:pt>
                <c:pt idx="90">
                  <c:v>9.2167027349313903E-4</c:v>
                </c:pt>
                <c:pt idx="91">
                  <c:v>7.0347174287953903E-4</c:v>
                </c:pt>
                <c:pt idx="92">
                  <c:v>3.0358109488917702E-3</c:v>
                </c:pt>
                <c:pt idx="93">
                  <c:v>5.2543997536823699E-3</c:v>
                </c:pt>
                <c:pt idx="94">
                  <c:v>4.5333883207447001E-3</c:v>
                </c:pt>
                <c:pt idx="95">
                  <c:v>3.20838910615278E-3</c:v>
                </c:pt>
                <c:pt idx="96">
                  <c:v>8.2956456378004595E-4</c:v>
                </c:pt>
                <c:pt idx="97">
                  <c:v>1.46973406428824E-3</c:v>
                </c:pt>
                <c:pt idx="98">
                  <c:v>-7.2482851383695905E-4</c:v>
                </c:pt>
                <c:pt idx="99">
                  <c:v>1.3348944148382899E-3</c:v>
                </c:pt>
                <c:pt idx="100">
                  <c:v>8.6962266119544097E-4</c:v>
                </c:pt>
                <c:pt idx="101">
                  <c:v>1.4833443406930601E-3</c:v>
                </c:pt>
                <c:pt idx="102">
                  <c:v>1.03162136401394E-3</c:v>
                </c:pt>
                <c:pt idx="103">
                  <c:v>-2.2633763682683998E-3</c:v>
                </c:pt>
                <c:pt idx="104">
                  <c:v>-2.2476705814121799E-3</c:v>
                </c:pt>
                <c:pt idx="105">
                  <c:v>-2.4550133372685601E-3</c:v>
                </c:pt>
                <c:pt idx="106">
                  <c:v>-1.97717281289916E-3</c:v>
                </c:pt>
                <c:pt idx="107">
                  <c:v>-2.71902258051617E-3</c:v>
                </c:pt>
                <c:pt idx="108">
                  <c:v>-2.1718248478224001E-3</c:v>
                </c:pt>
                <c:pt idx="109">
                  <c:v>-3.6769300848353199E-3</c:v>
                </c:pt>
                <c:pt idx="110">
                  <c:v>-5.9696039573901103E-3</c:v>
                </c:pt>
                <c:pt idx="111">
                  <c:v>-5.8024828074764402E-3</c:v>
                </c:pt>
                <c:pt idx="112">
                  <c:v>-4.0151648230062403E-3</c:v>
                </c:pt>
                <c:pt idx="113">
                  <c:v>-1.2463690339790899E-3</c:v>
                </c:pt>
                <c:pt idx="114">
                  <c:v>-1.24217052223071E-3</c:v>
                </c:pt>
                <c:pt idx="115">
                  <c:v>6.9534641152380294E-5</c:v>
                </c:pt>
                <c:pt idx="116">
                  <c:v>-1.2334671427373599E-3</c:v>
                </c:pt>
                <c:pt idx="117">
                  <c:v>-1.84503350563376E-3</c:v>
                </c:pt>
                <c:pt idx="118">
                  <c:v>2.3853091369662898E-3</c:v>
                </c:pt>
                <c:pt idx="119">
                  <c:v>1.7526393753244599E-3</c:v>
                </c:pt>
                <c:pt idx="120">
                  <c:v>2.2709156299851301E-3</c:v>
                </c:pt>
                <c:pt idx="121">
                  <c:v>6.1064857585518099E-3</c:v>
                </c:pt>
                <c:pt idx="122">
                  <c:v>5.5902071513226296E-3</c:v>
                </c:pt>
                <c:pt idx="123">
                  <c:v>5.9389036571716501E-3</c:v>
                </c:pt>
                <c:pt idx="124">
                  <c:v>8.1621795607762192E-3</c:v>
                </c:pt>
                <c:pt idx="125">
                  <c:v>4.0231580400272504E-3</c:v>
                </c:pt>
                <c:pt idx="126">
                  <c:v>2.3202663072936802E-3</c:v>
                </c:pt>
                <c:pt idx="127">
                  <c:v>6.2805498164410396E-4</c:v>
                </c:pt>
                <c:pt idx="128">
                  <c:v>1.1794196269818099E-3</c:v>
                </c:pt>
                <c:pt idx="129">
                  <c:v>7.1886916797903597E-4</c:v>
                </c:pt>
                <c:pt idx="130">
                  <c:v>4.3099219214287696E-3</c:v>
                </c:pt>
                <c:pt idx="131">
                  <c:v>3.2215740602904801E-3</c:v>
                </c:pt>
                <c:pt idx="132">
                  <c:v>3.0619505295338299E-3</c:v>
                </c:pt>
                <c:pt idx="133">
                  <c:v>5.5282100534775197E-3</c:v>
                </c:pt>
                <c:pt idx="134">
                  <c:v>3.3710319360866501E-3</c:v>
                </c:pt>
                <c:pt idx="135">
                  <c:v>4.40533915129493E-3</c:v>
                </c:pt>
                <c:pt idx="136">
                  <c:v>2.7963228560285401E-3</c:v>
                </c:pt>
                <c:pt idx="137">
                  <c:v>1.11157270989342E-3</c:v>
                </c:pt>
                <c:pt idx="138">
                  <c:v>1.1845354335392601E-4</c:v>
                </c:pt>
                <c:pt idx="139">
                  <c:v>-6.0677333096711603E-4</c:v>
                </c:pt>
                <c:pt idx="140">
                  <c:v>1.0575624610771701E-3</c:v>
                </c:pt>
                <c:pt idx="141">
                  <c:v>2.0805326053822898E-3</c:v>
                </c:pt>
                <c:pt idx="142">
                  <c:v>4.5678863200276001E-3</c:v>
                </c:pt>
                <c:pt idx="143">
                  <c:v>5.5672243209293499E-3</c:v>
                </c:pt>
                <c:pt idx="144">
                  <c:v>5.1375991653204497E-3</c:v>
                </c:pt>
                <c:pt idx="145">
                  <c:v>3.3199267064935802E-3</c:v>
                </c:pt>
                <c:pt idx="146">
                  <c:v>3.2549320846883899E-3</c:v>
                </c:pt>
                <c:pt idx="147">
                  <c:v>2.3161780155531702E-3</c:v>
                </c:pt>
                <c:pt idx="148">
                  <c:v>3.4033990568511402E-3</c:v>
                </c:pt>
                <c:pt idx="149">
                  <c:v>-1.0460656508877899E-3</c:v>
                </c:pt>
                <c:pt idx="150">
                  <c:v>-1.2004413690484899E-3</c:v>
                </c:pt>
                <c:pt idx="151">
                  <c:v>-1.5471336721749E-3</c:v>
                </c:pt>
                <c:pt idx="152">
                  <c:v>-2.2038810665338899E-3</c:v>
                </c:pt>
                <c:pt idx="153">
                  <c:v>-1.92819048555306E-3</c:v>
                </c:pt>
                <c:pt idx="154">
                  <c:v>-1.9210217431332101E-3</c:v>
                </c:pt>
                <c:pt idx="155">
                  <c:v>-2.57940441169214E-3</c:v>
                </c:pt>
                <c:pt idx="156">
                  <c:v>8.2019163164309499E-4</c:v>
                </c:pt>
                <c:pt idx="157">
                  <c:v>1.6799373542559801E-3</c:v>
                </c:pt>
                <c:pt idx="158">
                  <c:v>2.4254478969691902E-3</c:v>
                </c:pt>
                <c:pt idx="159">
                  <c:v>1.54657993097626E-3</c:v>
                </c:pt>
                <c:pt idx="160">
                  <c:v>5.2796502499917203E-3</c:v>
                </c:pt>
                <c:pt idx="161">
                  <c:v>4.50572556366176E-3</c:v>
                </c:pt>
                <c:pt idx="162">
                  <c:v>3.9572248273390103E-3</c:v>
                </c:pt>
                <c:pt idx="163">
                  <c:v>2.1791118940216901E-3</c:v>
                </c:pt>
                <c:pt idx="164">
                  <c:v>2.62373307913167E-3</c:v>
                </c:pt>
                <c:pt idx="165">
                  <c:v>2.2312959250679301E-3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C9-4076-A57C-2092698E1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XLF_IYF_2!$Y$1</c:f>
              <c:strCache>
                <c:ptCount val="1"/>
                <c:pt idx="0">
                  <c:v> IYF*/XLF*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XLF_IYF_2!$Y$2:$Y$167</c:f>
              <c:numCache>
                <c:formatCode>_(* #,##0.0000_);_(* \(#,##0.0000\);_(* "-"??_);_(@_)</c:formatCode>
                <c:ptCount val="166"/>
                <c:pt idx="0">
                  <c:v>2.3818827909075999</c:v>
                </c:pt>
                <c:pt idx="1">
                  <c:v>2.3818827909075999</c:v>
                </c:pt>
                <c:pt idx="2">
                  <c:v>2.3818827909075999</c:v>
                </c:pt>
                <c:pt idx="3">
                  <c:v>2.3818827909075999</c:v>
                </c:pt>
                <c:pt idx="4">
                  <c:v>2.3818827909075999</c:v>
                </c:pt>
                <c:pt idx="5">
                  <c:v>2.3818827909075999</c:v>
                </c:pt>
                <c:pt idx="6">
                  <c:v>2.3818827909075999</c:v>
                </c:pt>
                <c:pt idx="7">
                  <c:v>2.3818827909075999</c:v>
                </c:pt>
                <c:pt idx="8">
                  <c:v>2.3818827909075999</c:v>
                </c:pt>
                <c:pt idx="9">
                  <c:v>2.3818827909075999</c:v>
                </c:pt>
                <c:pt idx="10">
                  <c:v>2.3818827909075999</c:v>
                </c:pt>
                <c:pt idx="11">
                  <c:v>2.3818827909075999</c:v>
                </c:pt>
                <c:pt idx="12">
                  <c:v>2.3818827909075999</c:v>
                </c:pt>
                <c:pt idx="13">
                  <c:v>2.3818827909075999</c:v>
                </c:pt>
                <c:pt idx="14">
                  <c:v>2.3818827909075999</c:v>
                </c:pt>
                <c:pt idx="15">
                  <c:v>2.3818827909075999</c:v>
                </c:pt>
                <c:pt idx="16">
                  <c:v>2.3818827909075999</c:v>
                </c:pt>
                <c:pt idx="17">
                  <c:v>2.3818827909075999</c:v>
                </c:pt>
                <c:pt idx="18">
                  <c:v>2.3818827909075999</c:v>
                </c:pt>
                <c:pt idx="19">
                  <c:v>2.3818827909075999</c:v>
                </c:pt>
                <c:pt idx="20">
                  <c:v>2.3818827909075999</c:v>
                </c:pt>
                <c:pt idx="21">
                  <c:v>2.3818827909075999</c:v>
                </c:pt>
                <c:pt idx="22">
                  <c:v>2.3818827909075999</c:v>
                </c:pt>
                <c:pt idx="23">
                  <c:v>2.3818827909075999</c:v>
                </c:pt>
                <c:pt idx="24">
                  <c:v>2.3818827909075999</c:v>
                </c:pt>
                <c:pt idx="25">
                  <c:v>2.3818827909075999</c:v>
                </c:pt>
                <c:pt idx="26">
                  <c:v>2.3818827909075999</c:v>
                </c:pt>
                <c:pt idx="27">
                  <c:v>2.3818827909075999</c:v>
                </c:pt>
                <c:pt idx="28">
                  <c:v>2.3818827909075999</c:v>
                </c:pt>
                <c:pt idx="29">
                  <c:v>2.3818827909075999</c:v>
                </c:pt>
                <c:pt idx="30">
                  <c:v>2.3818827909075999</c:v>
                </c:pt>
                <c:pt idx="31">
                  <c:v>2.3818827909075999</c:v>
                </c:pt>
                <c:pt idx="32">
                  <c:v>2.3818827909075999</c:v>
                </c:pt>
                <c:pt idx="33">
                  <c:v>2.3818827909075999</c:v>
                </c:pt>
                <c:pt idx="34">
                  <c:v>2.3818827909075999</c:v>
                </c:pt>
                <c:pt idx="35">
                  <c:v>2.3818827909075999</c:v>
                </c:pt>
                <c:pt idx="36">
                  <c:v>2.3818827909075999</c:v>
                </c:pt>
                <c:pt idx="37">
                  <c:v>2.3818827909075999</c:v>
                </c:pt>
                <c:pt idx="38">
                  <c:v>2.3818827909075999</c:v>
                </c:pt>
                <c:pt idx="39">
                  <c:v>2.3818827909075999</c:v>
                </c:pt>
                <c:pt idx="40">
                  <c:v>2.3818827909075999</c:v>
                </c:pt>
                <c:pt idx="41">
                  <c:v>2.3818827909075999</c:v>
                </c:pt>
                <c:pt idx="42">
                  <c:v>2.3818827909075999</c:v>
                </c:pt>
                <c:pt idx="43">
                  <c:v>2.3818827909075999</c:v>
                </c:pt>
                <c:pt idx="44">
                  <c:v>2.3818827909075999</c:v>
                </c:pt>
                <c:pt idx="45">
                  <c:v>2.3818827909075999</c:v>
                </c:pt>
                <c:pt idx="46">
                  <c:v>2.3818827909075999</c:v>
                </c:pt>
                <c:pt idx="47">
                  <c:v>2.3818827909075999</c:v>
                </c:pt>
                <c:pt idx="48">
                  <c:v>2.3818827909075999</c:v>
                </c:pt>
                <c:pt idx="49">
                  <c:v>2.3818827909075999</c:v>
                </c:pt>
                <c:pt idx="50">
                  <c:v>2.3818827909075999</c:v>
                </c:pt>
                <c:pt idx="51">
                  <c:v>2.3818827909075999</c:v>
                </c:pt>
                <c:pt idx="52">
                  <c:v>2.3818827909075999</c:v>
                </c:pt>
                <c:pt idx="53">
                  <c:v>2.3818827909075999</c:v>
                </c:pt>
                <c:pt idx="54">
                  <c:v>2.3818827909075999</c:v>
                </c:pt>
                <c:pt idx="55">
                  <c:v>2.3818827909075999</c:v>
                </c:pt>
                <c:pt idx="56">
                  <c:v>2.3818827909075999</c:v>
                </c:pt>
                <c:pt idx="57">
                  <c:v>2.3818827909075999</c:v>
                </c:pt>
                <c:pt idx="58">
                  <c:v>2.3818827909075999</c:v>
                </c:pt>
                <c:pt idx="59">
                  <c:v>2.3818827909075999</c:v>
                </c:pt>
                <c:pt idx="60">
                  <c:v>2.3818827909075999</c:v>
                </c:pt>
                <c:pt idx="61">
                  <c:v>2.3818827909075999</c:v>
                </c:pt>
                <c:pt idx="62">
                  <c:v>2.3818827909075999</c:v>
                </c:pt>
                <c:pt idx="63">
                  <c:v>2.3818827909075999</c:v>
                </c:pt>
                <c:pt idx="64">
                  <c:v>2.3818827909075999</c:v>
                </c:pt>
                <c:pt idx="65">
                  <c:v>2.3818827909075999</c:v>
                </c:pt>
                <c:pt idx="66">
                  <c:v>2.3818827909075999</c:v>
                </c:pt>
                <c:pt idx="67">
                  <c:v>2.3818827909075999</c:v>
                </c:pt>
                <c:pt idx="68">
                  <c:v>2.3818827909075999</c:v>
                </c:pt>
                <c:pt idx="69">
                  <c:v>2.3818827909075999</c:v>
                </c:pt>
                <c:pt idx="70">
                  <c:v>2.3818827909075999</c:v>
                </c:pt>
                <c:pt idx="71">
                  <c:v>2.3818827909075999</c:v>
                </c:pt>
                <c:pt idx="72">
                  <c:v>2.3818827909075999</c:v>
                </c:pt>
                <c:pt idx="73">
                  <c:v>2.3818827909075999</c:v>
                </c:pt>
                <c:pt idx="74">
                  <c:v>2.3818827909075999</c:v>
                </c:pt>
                <c:pt idx="75">
                  <c:v>2.3818827909075999</c:v>
                </c:pt>
                <c:pt idx="76">
                  <c:v>2.3818827909075999</c:v>
                </c:pt>
                <c:pt idx="77">
                  <c:v>2.3818827909075999</c:v>
                </c:pt>
                <c:pt idx="78">
                  <c:v>2.3818827909075999</c:v>
                </c:pt>
                <c:pt idx="79">
                  <c:v>2.3818827909075999</c:v>
                </c:pt>
                <c:pt idx="80">
                  <c:v>2.3818827909075999</c:v>
                </c:pt>
                <c:pt idx="81">
                  <c:v>2.3818827909075999</c:v>
                </c:pt>
                <c:pt idx="82">
                  <c:v>2.3818827909075999</c:v>
                </c:pt>
                <c:pt idx="83">
                  <c:v>2.3818827909075999</c:v>
                </c:pt>
                <c:pt idx="84">
                  <c:v>2.3818827909075999</c:v>
                </c:pt>
                <c:pt idx="85">
                  <c:v>2.3818827909075999</c:v>
                </c:pt>
                <c:pt idx="86">
                  <c:v>2.3818827909075999</c:v>
                </c:pt>
                <c:pt idx="87">
                  <c:v>2.3818827909075999</c:v>
                </c:pt>
                <c:pt idx="88">
                  <c:v>2.3818827909075999</c:v>
                </c:pt>
                <c:pt idx="89">
                  <c:v>2.3818827909075999</c:v>
                </c:pt>
                <c:pt idx="90">
                  <c:v>2.3818827909075999</c:v>
                </c:pt>
                <c:pt idx="91">
                  <c:v>2.3818827909075999</c:v>
                </c:pt>
                <c:pt idx="92">
                  <c:v>2.3818827909075999</c:v>
                </c:pt>
                <c:pt idx="93">
                  <c:v>2.3818827909075999</c:v>
                </c:pt>
                <c:pt idx="94">
                  <c:v>2.3818827909075999</c:v>
                </c:pt>
                <c:pt idx="95">
                  <c:v>2.3818827909075999</c:v>
                </c:pt>
                <c:pt idx="96">
                  <c:v>2.3818827909075999</c:v>
                </c:pt>
                <c:pt idx="97">
                  <c:v>2.3818827909075999</c:v>
                </c:pt>
                <c:pt idx="98">
                  <c:v>2.3818827909075999</c:v>
                </c:pt>
                <c:pt idx="99">
                  <c:v>2.3818827909075999</c:v>
                </c:pt>
                <c:pt idx="100">
                  <c:v>2.3818827909075999</c:v>
                </c:pt>
                <c:pt idx="101">
                  <c:v>2.3818827909075999</c:v>
                </c:pt>
                <c:pt idx="102">
                  <c:v>2.3818827909075999</c:v>
                </c:pt>
                <c:pt idx="103">
                  <c:v>2.3818827909075999</c:v>
                </c:pt>
                <c:pt idx="104">
                  <c:v>2.3818827909075999</c:v>
                </c:pt>
                <c:pt idx="105">
                  <c:v>2.3818827909075999</c:v>
                </c:pt>
                <c:pt idx="106">
                  <c:v>2.3818827909075999</c:v>
                </c:pt>
                <c:pt idx="107">
                  <c:v>2.3818827909075999</c:v>
                </c:pt>
                <c:pt idx="108">
                  <c:v>2.3818827909075999</c:v>
                </c:pt>
                <c:pt idx="109">
                  <c:v>2.3818827909075999</c:v>
                </c:pt>
                <c:pt idx="110">
                  <c:v>2.3818827909075999</c:v>
                </c:pt>
                <c:pt idx="111">
                  <c:v>2.3818827909075999</c:v>
                </c:pt>
                <c:pt idx="112">
                  <c:v>2.3818827909075999</c:v>
                </c:pt>
                <c:pt idx="113">
                  <c:v>2.3818827909075999</c:v>
                </c:pt>
                <c:pt idx="114">
                  <c:v>2.3818827909075999</c:v>
                </c:pt>
                <c:pt idx="115">
                  <c:v>2.3818827909075999</c:v>
                </c:pt>
                <c:pt idx="116">
                  <c:v>2.3818827909075999</c:v>
                </c:pt>
                <c:pt idx="117">
                  <c:v>2.3818827909075999</c:v>
                </c:pt>
                <c:pt idx="118">
                  <c:v>2.3818827909075999</c:v>
                </c:pt>
                <c:pt idx="119">
                  <c:v>2.3818827909075999</c:v>
                </c:pt>
                <c:pt idx="120">
                  <c:v>2.3818827909075999</c:v>
                </c:pt>
                <c:pt idx="121">
                  <c:v>2.3818827909075999</c:v>
                </c:pt>
                <c:pt idx="122">
                  <c:v>2.3818827909075999</c:v>
                </c:pt>
                <c:pt idx="123">
                  <c:v>2.3818827909075999</c:v>
                </c:pt>
                <c:pt idx="124">
                  <c:v>2.3818827909075999</c:v>
                </c:pt>
                <c:pt idx="125">
                  <c:v>2.3818827909075999</c:v>
                </c:pt>
                <c:pt idx="126">
                  <c:v>2.3818827909075999</c:v>
                </c:pt>
                <c:pt idx="127">
                  <c:v>2.3818827909075999</c:v>
                </c:pt>
                <c:pt idx="128">
                  <c:v>2.3818827909075999</c:v>
                </c:pt>
                <c:pt idx="129">
                  <c:v>2.3818827909075999</c:v>
                </c:pt>
                <c:pt idx="130">
                  <c:v>2.3818827909075999</c:v>
                </c:pt>
                <c:pt idx="131">
                  <c:v>2.3818827909075999</c:v>
                </c:pt>
                <c:pt idx="132">
                  <c:v>2.3818827909075999</c:v>
                </c:pt>
                <c:pt idx="133">
                  <c:v>2.3818827909075999</c:v>
                </c:pt>
                <c:pt idx="134">
                  <c:v>2.3818827909075999</c:v>
                </c:pt>
                <c:pt idx="135">
                  <c:v>2.3818827909075999</c:v>
                </c:pt>
                <c:pt idx="136">
                  <c:v>2.3818827909075999</c:v>
                </c:pt>
                <c:pt idx="137">
                  <c:v>2.3818827909075999</c:v>
                </c:pt>
                <c:pt idx="138">
                  <c:v>2.3818827909075999</c:v>
                </c:pt>
                <c:pt idx="139">
                  <c:v>2.3818827909075999</c:v>
                </c:pt>
                <c:pt idx="140">
                  <c:v>2.3818827909075999</c:v>
                </c:pt>
                <c:pt idx="141">
                  <c:v>2.3818827909075999</c:v>
                </c:pt>
                <c:pt idx="142">
                  <c:v>2.3818827909075999</c:v>
                </c:pt>
                <c:pt idx="143">
                  <c:v>2.3818827909075999</c:v>
                </c:pt>
                <c:pt idx="144">
                  <c:v>2.3818827909075999</c:v>
                </c:pt>
                <c:pt idx="145">
                  <c:v>2.3818827909075999</c:v>
                </c:pt>
                <c:pt idx="146">
                  <c:v>2.3818827909075999</c:v>
                </c:pt>
                <c:pt idx="147">
                  <c:v>2.3818827909075999</c:v>
                </c:pt>
                <c:pt idx="148">
                  <c:v>2.3818827909075999</c:v>
                </c:pt>
                <c:pt idx="149">
                  <c:v>2.3818827909075999</c:v>
                </c:pt>
                <c:pt idx="150">
                  <c:v>2.3818827909075999</c:v>
                </c:pt>
                <c:pt idx="151">
                  <c:v>2.3818827909075999</c:v>
                </c:pt>
                <c:pt idx="152">
                  <c:v>2.3818827909075999</c:v>
                </c:pt>
                <c:pt idx="153">
                  <c:v>2.3818827909075999</c:v>
                </c:pt>
                <c:pt idx="154">
                  <c:v>2.3818827909075999</c:v>
                </c:pt>
                <c:pt idx="155">
                  <c:v>2.3818827909075999</c:v>
                </c:pt>
                <c:pt idx="156">
                  <c:v>2.3818827909075999</c:v>
                </c:pt>
                <c:pt idx="157">
                  <c:v>2.3818827909075999</c:v>
                </c:pt>
                <c:pt idx="158">
                  <c:v>2.3818827909075999</c:v>
                </c:pt>
                <c:pt idx="159">
                  <c:v>2.3818827909075999</c:v>
                </c:pt>
                <c:pt idx="160">
                  <c:v>2.3818827909075999</c:v>
                </c:pt>
                <c:pt idx="161">
                  <c:v>2.3818827909075999</c:v>
                </c:pt>
                <c:pt idx="162">
                  <c:v>2.3818827909075999</c:v>
                </c:pt>
                <c:pt idx="163">
                  <c:v>2.3818827909075999</c:v>
                </c:pt>
                <c:pt idx="164">
                  <c:v>2.3818827909075999</c:v>
                </c:pt>
                <c:pt idx="165">
                  <c:v>2.3818827909075999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14-4788-99FC-E38060F1502C}"/>
            </c:ext>
          </c:extLst>
        </c:ser>
        <c:ser>
          <c:idx val="1"/>
          <c:order val="1"/>
          <c:tx>
            <c:strRef>
              <c:f>XLF_IYF_2!$Z$1</c:f>
              <c:strCache>
                <c:ptCount val="1"/>
                <c:pt idx="0">
                  <c:v> IYF*/XLF*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XLF_IYF_2!$Z$2:$Z$167</c:f>
              <c:numCache>
                <c:formatCode>_(* #,##0.0000_);_(* \(#,##0.0000\);_(* "-"??_);_(@_)</c:formatCode>
                <c:ptCount val="166"/>
                <c:pt idx="9">
                  <c:v>2.3676093284239799</c:v>
                </c:pt>
                <c:pt idx="10">
                  <c:v>2.37008275897275</c:v>
                </c:pt>
                <c:pt idx="11">
                  <c:v>2.3721525881421499</c:v>
                </c:pt>
                <c:pt idx="12">
                  <c:v>2.3754316355110299</c:v>
                </c:pt>
                <c:pt idx="13">
                  <c:v>2.3787861525816099</c:v>
                </c:pt>
                <c:pt idx="14">
                  <c:v>2.38182368056385</c:v>
                </c:pt>
                <c:pt idx="15">
                  <c:v>2.3844575480219499</c:v>
                </c:pt>
                <c:pt idx="16">
                  <c:v>2.3866814241877501</c:v>
                </c:pt>
                <c:pt idx="17">
                  <c:v>2.3876690017533702</c:v>
                </c:pt>
                <c:pt idx="18">
                  <c:v>2.3879663912539502</c:v>
                </c:pt>
                <c:pt idx="19">
                  <c:v>2.3882649457910099</c:v>
                </c:pt>
                <c:pt idx="20">
                  <c:v>2.3877242360348299</c:v>
                </c:pt>
                <c:pt idx="21">
                  <c:v>2.3876168723051201</c:v>
                </c:pt>
                <c:pt idx="22">
                  <c:v>2.3870507617583701</c:v>
                </c:pt>
                <c:pt idx="23">
                  <c:v>2.3866396281397302</c:v>
                </c:pt>
                <c:pt idx="24">
                  <c:v>2.38676551463241</c:v>
                </c:pt>
                <c:pt idx="25">
                  <c:v>2.3875346780090001</c:v>
                </c:pt>
                <c:pt idx="26">
                  <c:v>2.3867203799627399</c:v>
                </c:pt>
                <c:pt idx="27">
                  <c:v>2.3858252260556498</c:v>
                </c:pt>
                <c:pt idx="28">
                  <c:v>2.38589528387178</c:v>
                </c:pt>
                <c:pt idx="29">
                  <c:v>2.3866840089385799</c:v>
                </c:pt>
                <c:pt idx="30">
                  <c:v>2.3878807046865802</c:v>
                </c:pt>
                <c:pt idx="31">
                  <c:v>2.3885692239577399</c:v>
                </c:pt>
                <c:pt idx="32">
                  <c:v>2.3892736660820502</c:v>
                </c:pt>
                <c:pt idx="33">
                  <c:v>2.3898371990621401</c:v>
                </c:pt>
                <c:pt idx="34">
                  <c:v>2.3907518583066101</c:v>
                </c:pt>
                <c:pt idx="35">
                  <c:v>2.3912781539611001</c:v>
                </c:pt>
                <c:pt idx="36">
                  <c:v>2.3921963620000501</c:v>
                </c:pt>
                <c:pt idx="37">
                  <c:v>2.3932855650988101</c:v>
                </c:pt>
                <c:pt idx="38">
                  <c:v>2.3931111492519599</c:v>
                </c:pt>
                <c:pt idx="39">
                  <c:v>2.3922322390583299</c:v>
                </c:pt>
                <c:pt idx="40">
                  <c:v>2.3913879804612099</c:v>
                </c:pt>
                <c:pt idx="41">
                  <c:v>2.3905673548854498</c:v>
                </c:pt>
                <c:pt idx="42">
                  <c:v>2.3894760869416798</c:v>
                </c:pt>
                <c:pt idx="43">
                  <c:v>2.38829897826108</c:v>
                </c:pt>
                <c:pt idx="44">
                  <c:v>2.38611211841561</c:v>
                </c:pt>
                <c:pt idx="45">
                  <c:v>2.3838307838319399</c:v>
                </c:pt>
                <c:pt idx="46">
                  <c:v>2.3822561031582801</c:v>
                </c:pt>
                <c:pt idx="47">
                  <c:v>2.3806673920809698</c:v>
                </c:pt>
                <c:pt idx="48">
                  <c:v>2.3796966484954001</c:v>
                </c:pt>
                <c:pt idx="49">
                  <c:v>2.37825118787518</c:v>
                </c:pt>
                <c:pt idx="50">
                  <c:v>2.3778645084707599</c:v>
                </c:pt>
                <c:pt idx="51">
                  <c:v>2.37822682262783</c:v>
                </c:pt>
                <c:pt idx="52">
                  <c:v>2.3786974786596899</c:v>
                </c:pt>
                <c:pt idx="53">
                  <c:v>2.3790980641449</c:v>
                </c:pt>
                <c:pt idx="54">
                  <c:v>2.3794163347512098</c:v>
                </c:pt>
                <c:pt idx="55">
                  <c:v>2.3797242648827499</c:v>
                </c:pt>
                <c:pt idx="56">
                  <c:v>2.3798281918467801</c:v>
                </c:pt>
                <c:pt idx="57">
                  <c:v>2.3799603263589999</c:v>
                </c:pt>
                <c:pt idx="58">
                  <c:v>2.3808827186388002</c:v>
                </c:pt>
                <c:pt idx="59">
                  <c:v>2.3813164921144199</c:v>
                </c:pt>
                <c:pt idx="60">
                  <c:v>2.3816664924523301</c:v>
                </c:pt>
                <c:pt idx="61">
                  <c:v>2.38166128826572</c:v>
                </c:pt>
                <c:pt idx="62">
                  <c:v>2.3820457344806099</c:v>
                </c:pt>
                <c:pt idx="63">
                  <c:v>2.38283826161347</c:v>
                </c:pt>
                <c:pt idx="64">
                  <c:v>2.38393215347527</c:v>
                </c:pt>
                <c:pt idx="65">
                  <c:v>2.3849233095914899</c:v>
                </c:pt>
                <c:pt idx="66">
                  <c:v>2.3862328258221002</c:v>
                </c:pt>
                <c:pt idx="67">
                  <c:v>2.3876208527608198</c:v>
                </c:pt>
                <c:pt idx="68">
                  <c:v>2.3883208819438</c:v>
                </c:pt>
                <c:pt idx="69">
                  <c:v>2.3895802466882601</c:v>
                </c:pt>
                <c:pt idx="70">
                  <c:v>2.39016830270945</c:v>
                </c:pt>
                <c:pt idx="71">
                  <c:v>2.3902381029243198</c:v>
                </c:pt>
                <c:pt idx="72">
                  <c:v>2.3902553619877498</c:v>
                </c:pt>
                <c:pt idx="73">
                  <c:v>2.3905633723963402</c:v>
                </c:pt>
                <c:pt idx="74">
                  <c:v>2.39100990459022</c:v>
                </c:pt>
                <c:pt idx="75">
                  <c:v>2.3911928203123698</c:v>
                </c:pt>
                <c:pt idx="76">
                  <c:v>2.3916647361082801</c:v>
                </c:pt>
                <c:pt idx="77">
                  <c:v>2.3921382178078199</c:v>
                </c:pt>
                <c:pt idx="78">
                  <c:v>2.3925827303873501</c:v>
                </c:pt>
                <c:pt idx="79">
                  <c:v>2.3932211343655099</c:v>
                </c:pt>
                <c:pt idx="80">
                  <c:v>2.3915481146444</c:v>
                </c:pt>
                <c:pt idx="81">
                  <c:v>2.3912067436265798</c:v>
                </c:pt>
                <c:pt idx="82">
                  <c:v>2.3907447515107001</c:v>
                </c:pt>
                <c:pt idx="83">
                  <c:v>2.3897813985830698</c:v>
                </c:pt>
                <c:pt idx="84">
                  <c:v>2.3893773253652899</c:v>
                </c:pt>
                <c:pt idx="85">
                  <c:v>2.3897709173214299</c:v>
                </c:pt>
                <c:pt idx="86">
                  <c:v>2.3888042349240899</c:v>
                </c:pt>
                <c:pt idx="87">
                  <c:v>2.3883023329858002</c:v>
                </c:pt>
                <c:pt idx="88">
                  <c:v>2.3874056777833998</c:v>
                </c:pt>
                <c:pt idx="89">
                  <c:v>2.3860693085652298</c:v>
                </c:pt>
                <c:pt idx="90">
                  <c:v>2.3876224989223802</c:v>
                </c:pt>
                <c:pt idx="91">
                  <c:v>2.3879390994577299</c:v>
                </c:pt>
                <c:pt idx="92">
                  <c:v>2.3876199794337398</c:v>
                </c:pt>
                <c:pt idx="93">
                  <c:v>2.3871371343469701</c:v>
                </c:pt>
                <c:pt idx="94">
                  <c:v>2.3857966087451099</c:v>
                </c:pt>
                <c:pt idx="95">
                  <c:v>2.38420016596312</c:v>
                </c:pt>
                <c:pt idx="96">
                  <c:v>2.3839698615959799</c:v>
                </c:pt>
                <c:pt idx="97">
                  <c:v>2.38300267751886</c:v>
                </c:pt>
                <c:pt idx="98">
                  <c:v>2.3831396633055801</c:v>
                </c:pt>
                <c:pt idx="99">
                  <c:v>2.3829296259985799</c:v>
                </c:pt>
                <c:pt idx="100">
                  <c:v>2.3824279242703201</c:v>
                </c:pt>
                <c:pt idx="101">
                  <c:v>2.3817864371076301</c:v>
                </c:pt>
                <c:pt idx="102">
                  <c:v>2.3817938502478602</c:v>
                </c:pt>
                <c:pt idx="103">
                  <c:v>2.3831387449801902</c:v>
                </c:pt>
                <c:pt idx="104">
                  <c:v>2.3844236463830599</c:v>
                </c:pt>
                <c:pt idx="105">
                  <c:v>2.3855270327558702</c:v>
                </c:pt>
                <c:pt idx="106">
                  <c:v>2.38598476748018</c:v>
                </c:pt>
                <c:pt idx="107">
                  <c:v>2.38684363505751</c:v>
                </c:pt>
                <c:pt idx="108">
                  <c:v>2.3871162449892398</c:v>
                </c:pt>
                <c:pt idx="109">
                  <c:v>2.3882985788150801</c:v>
                </c:pt>
                <c:pt idx="110">
                  <c:v>2.3900456899851101</c:v>
                </c:pt>
                <c:pt idx="111">
                  <c:v>2.39190900331621</c:v>
                </c:pt>
                <c:pt idx="112">
                  <c:v>2.39331368444943</c:v>
                </c:pt>
                <c:pt idx="113">
                  <c:v>2.3933557723148899</c:v>
                </c:pt>
                <c:pt idx="114">
                  <c:v>2.39342684619765</c:v>
                </c:pt>
                <c:pt idx="115">
                  <c:v>2.3932054802721301</c:v>
                </c:pt>
                <c:pt idx="116">
                  <c:v>2.3934786531019001</c:v>
                </c:pt>
                <c:pt idx="117">
                  <c:v>2.3937460500513899</c:v>
                </c:pt>
                <c:pt idx="118">
                  <c:v>2.3931952125203102</c:v>
                </c:pt>
                <c:pt idx="119">
                  <c:v>2.3924008395843099</c:v>
                </c:pt>
                <c:pt idx="120">
                  <c:v>2.3909038115870098</c:v>
                </c:pt>
                <c:pt idx="121">
                  <c:v>2.3884836791601098</c:v>
                </c:pt>
                <c:pt idx="122">
                  <c:v>2.3865258145145498</c:v>
                </c:pt>
                <c:pt idx="123">
                  <c:v>2.3850495059441399</c:v>
                </c:pt>
                <c:pt idx="124">
                  <c:v>2.3829060255004002</c:v>
                </c:pt>
                <c:pt idx="125">
                  <c:v>2.3818878882150099</c:v>
                </c:pt>
                <c:pt idx="126">
                  <c:v>2.3808576964467099</c:v>
                </c:pt>
                <c:pt idx="127">
                  <c:v>2.38001014217219</c:v>
                </c:pt>
                <c:pt idx="128">
                  <c:v>2.3799566001364898</c:v>
                </c:pt>
                <c:pt idx="129">
                  <c:v>2.3798456571826399</c:v>
                </c:pt>
                <c:pt idx="130">
                  <c:v>2.3789390359532798</c:v>
                </c:pt>
                <c:pt idx="131">
                  <c:v>2.379071911544</c:v>
                </c:pt>
                <c:pt idx="132">
                  <c:v>2.3790337137938602</c:v>
                </c:pt>
                <c:pt idx="133">
                  <c:v>2.3784212428283</c:v>
                </c:pt>
                <c:pt idx="134">
                  <c:v>2.3788151506478701</c:v>
                </c:pt>
                <c:pt idx="135">
                  <c:v>2.3779968898847001</c:v>
                </c:pt>
                <c:pt idx="136">
                  <c:v>2.3771252134829499</c:v>
                </c:pt>
                <c:pt idx="137">
                  <c:v>2.37619312643807</c:v>
                </c:pt>
                <c:pt idx="138">
                  <c:v>2.3755686596108201</c:v>
                </c:pt>
                <c:pt idx="139">
                  <c:v>2.3750031539733198</c:v>
                </c:pt>
                <c:pt idx="140">
                  <c:v>2.3749081626225501</c:v>
                </c:pt>
                <c:pt idx="141">
                  <c:v>2.3743814513796702</c:v>
                </c:pt>
                <c:pt idx="142">
                  <c:v>2.3733219387272899</c:v>
                </c:pt>
                <c:pt idx="143">
                  <c:v>2.3726561653622098</c:v>
                </c:pt>
                <c:pt idx="144">
                  <c:v>2.3716207103484899</c:v>
                </c:pt>
                <c:pt idx="145">
                  <c:v>2.3713157401271099</c:v>
                </c:pt>
                <c:pt idx="146">
                  <c:v>2.3706800338886098</c:v>
                </c:pt>
                <c:pt idx="147">
                  <c:v>2.36988624420295</c:v>
                </c:pt>
                <c:pt idx="148">
                  <c:v>2.36860194979293</c:v>
                </c:pt>
                <c:pt idx="149">
                  <c:v>2.3681381627244802</c:v>
                </c:pt>
                <c:pt idx="150">
                  <c:v>2.36808894667874</c:v>
                </c:pt>
                <c:pt idx="151">
                  <c:v>2.3684076413338002</c:v>
                </c:pt>
                <c:pt idx="152">
                  <c:v>2.3694808172158202</c:v>
                </c:pt>
                <c:pt idx="153">
                  <c:v>2.3707800608230398</c:v>
                </c:pt>
                <c:pt idx="154">
                  <c:v>2.3720713786501002</c:v>
                </c:pt>
                <c:pt idx="155">
                  <c:v>2.3731340221967199</c:v>
                </c:pt>
                <c:pt idx="156">
                  <c:v>2.37346806862443</c:v>
                </c:pt>
                <c:pt idx="157">
                  <c:v>2.3734362541723701</c:v>
                </c:pt>
                <c:pt idx="158">
                  <c:v>2.3735301408164</c:v>
                </c:pt>
                <c:pt idx="159">
                  <c:v>2.3728135284590501</c:v>
                </c:pt>
                <c:pt idx="160">
                  <c:v>2.3711709527536402</c:v>
                </c:pt>
                <c:pt idx="161">
                  <c:v>2.3695516172903202</c:v>
                </c:pt>
                <c:pt idx="162">
                  <c:v>2.3678513160265799</c:v>
                </c:pt>
                <c:pt idx="163">
                  <c:v>2.3666044955525498</c:v>
                </c:pt>
                <c:pt idx="164">
                  <c:v>2.36522519491476</c:v>
                </c:pt>
                <c:pt idx="165">
                  <c:v>2.3637649080876799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14-4788-99FC-E38060F1502C}"/>
            </c:ext>
          </c:extLst>
        </c:ser>
        <c:ser>
          <c:idx val="2"/>
          <c:order val="2"/>
          <c:tx>
            <c:strRef>
              <c:f>XLF_IYF_2!$AA$1</c:f>
              <c:strCache>
                <c:ptCount val="1"/>
                <c:pt idx="0">
                  <c:v> IYF*/XLF*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XLF_IYF_2!$AA$2:$AA$167</c:f>
              <c:numCache>
                <c:formatCode>_(* #,##0.0000_);_(* \(#,##0.0000\);_(* "-"??_);_(@_)</c:formatCode>
                <c:ptCount val="166"/>
                <c:pt idx="19">
                  <c:v>2.37793713710749</c:v>
                </c:pt>
                <c:pt idx="20">
                  <c:v>2.3789034975037899</c:v>
                </c:pt>
                <c:pt idx="21">
                  <c:v>2.3798847302236399</c:v>
                </c:pt>
                <c:pt idx="22">
                  <c:v>2.3812411986347</c:v>
                </c:pt>
                <c:pt idx="23">
                  <c:v>2.3827128903606698</c:v>
                </c:pt>
                <c:pt idx="24">
                  <c:v>2.3842945975981298</c:v>
                </c:pt>
                <c:pt idx="25">
                  <c:v>2.3859961130154699</c:v>
                </c:pt>
                <c:pt idx="26">
                  <c:v>2.3867009020752499</c:v>
                </c:pt>
                <c:pt idx="27">
                  <c:v>2.38674711390451</c:v>
                </c:pt>
                <c:pt idx="28">
                  <c:v>2.38693083756286</c:v>
                </c:pt>
                <c:pt idx="29">
                  <c:v>2.38747447736479</c:v>
                </c:pt>
                <c:pt idx="30">
                  <c:v>2.3878024703606999</c:v>
                </c:pt>
                <c:pt idx="31">
                  <c:v>2.38809304813143</c:v>
                </c:pt>
                <c:pt idx="32">
                  <c:v>2.3881622139202099</c:v>
                </c:pt>
                <c:pt idx="33">
                  <c:v>2.3882384136009298</c:v>
                </c:pt>
                <c:pt idx="34">
                  <c:v>2.3887586864695098</c:v>
                </c:pt>
                <c:pt idx="35">
                  <c:v>2.3894064159850501</c:v>
                </c:pt>
                <c:pt idx="36">
                  <c:v>2.3894583709813899</c:v>
                </c:pt>
                <c:pt idx="37">
                  <c:v>2.3895553955772302</c:v>
                </c:pt>
                <c:pt idx="38">
                  <c:v>2.3895032165618701</c:v>
                </c:pt>
                <c:pt idx="39">
                  <c:v>2.3894581239984598</c:v>
                </c:pt>
                <c:pt idx="40">
                  <c:v>2.3896343425738999</c:v>
                </c:pt>
                <c:pt idx="41">
                  <c:v>2.3895682894215899</c:v>
                </c:pt>
                <c:pt idx="42">
                  <c:v>2.3893748765118601</c:v>
                </c:pt>
                <c:pt idx="43">
                  <c:v>2.38906808866161</c:v>
                </c:pt>
                <c:pt idx="44">
                  <c:v>2.38843198836111</c:v>
                </c:pt>
                <c:pt idx="45">
                  <c:v>2.38755446889652</c:v>
                </c:pt>
                <c:pt idx="46">
                  <c:v>2.38722623257916</c:v>
                </c:pt>
                <c:pt idx="47">
                  <c:v>2.3869764785898901</c:v>
                </c:pt>
                <c:pt idx="48">
                  <c:v>2.38640389887368</c:v>
                </c:pt>
                <c:pt idx="49">
                  <c:v>2.3852417134667601</c:v>
                </c:pt>
                <c:pt idx="50">
                  <c:v>2.38462624446599</c:v>
                </c:pt>
                <c:pt idx="51">
                  <c:v>2.3843970887566401</c:v>
                </c:pt>
                <c:pt idx="52">
                  <c:v>2.38408678280069</c:v>
                </c:pt>
                <c:pt idx="53">
                  <c:v>2.38369852120299</c:v>
                </c:pt>
                <c:pt idx="54">
                  <c:v>2.3827642265834101</c:v>
                </c:pt>
                <c:pt idx="55">
                  <c:v>2.38177752435735</c:v>
                </c:pt>
                <c:pt idx="56">
                  <c:v>2.3810421475025301</c:v>
                </c:pt>
                <c:pt idx="57">
                  <c:v>2.3803138592199899</c:v>
                </c:pt>
                <c:pt idx="58">
                  <c:v>2.3802896835671001</c:v>
                </c:pt>
                <c:pt idx="59">
                  <c:v>2.3797838399948001</c:v>
                </c:pt>
                <c:pt idx="60">
                  <c:v>2.3797655004615499</c:v>
                </c:pt>
                <c:pt idx="61">
                  <c:v>2.3799440554467801</c:v>
                </c:pt>
                <c:pt idx="62">
                  <c:v>2.3803716065701499</c:v>
                </c:pt>
                <c:pt idx="63">
                  <c:v>2.3809681628791801</c:v>
                </c:pt>
                <c:pt idx="64">
                  <c:v>2.3816742441132401</c:v>
                </c:pt>
                <c:pt idx="65">
                  <c:v>2.3823237872371199</c:v>
                </c:pt>
                <c:pt idx="66">
                  <c:v>2.3830305088344401</c:v>
                </c:pt>
                <c:pt idx="67">
                  <c:v>2.3837905895599101</c:v>
                </c:pt>
                <c:pt idx="68">
                  <c:v>2.3846018002912999</c:v>
                </c:pt>
                <c:pt idx="69">
                  <c:v>2.38544836940134</c:v>
                </c:pt>
                <c:pt idx="70">
                  <c:v>2.3859173975808901</c:v>
                </c:pt>
                <c:pt idx="71">
                  <c:v>2.3859496955950199</c:v>
                </c:pt>
                <c:pt idx="72">
                  <c:v>2.38615054823418</c:v>
                </c:pt>
                <c:pt idx="73">
                  <c:v>2.3867008170049102</c:v>
                </c:pt>
                <c:pt idx="74">
                  <c:v>2.3874710290327399</c:v>
                </c:pt>
                <c:pt idx="75">
                  <c:v>2.3880580649519301</c:v>
                </c:pt>
                <c:pt idx="76">
                  <c:v>2.3889487809651899</c:v>
                </c:pt>
                <c:pt idx="77">
                  <c:v>2.3898795352843201</c:v>
                </c:pt>
                <c:pt idx="78">
                  <c:v>2.3904518061655802</c:v>
                </c:pt>
                <c:pt idx="79">
                  <c:v>2.3914006905268899</c:v>
                </c:pt>
                <c:pt idx="80">
                  <c:v>2.3908582086769301</c:v>
                </c:pt>
                <c:pt idx="81">
                  <c:v>2.39072242327545</c:v>
                </c:pt>
                <c:pt idx="82">
                  <c:v>2.3905000567492198</c:v>
                </c:pt>
                <c:pt idx="83">
                  <c:v>2.3901723854896999</c:v>
                </c:pt>
                <c:pt idx="84">
                  <c:v>2.3901936149777598</c:v>
                </c:pt>
                <c:pt idx="85">
                  <c:v>2.3904818688169001</c:v>
                </c:pt>
                <c:pt idx="86">
                  <c:v>2.3902344855161801</c:v>
                </c:pt>
                <c:pt idx="87">
                  <c:v>2.39022027539681</c:v>
                </c:pt>
                <c:pt idx="88">
                  <c:v>2.3899942040853799</c:v>
                </c:pt>
                <c:pt idx="89">
                  <c:v>2.3896452214653698</c:v>
                </c:pt>
                <c:pt idx="90">
                  <c:v>2.3895853067833901</c:v>
                </c:pt>
                <c:pt idx="91">
                  <c:v>2.3895729215421602</c:v>
                </c:pt>
                <c:pt idx="92">
                  <c:v>2.38918236547222</c:v>
                </c:pt>
                <c:pt idx="93">
                  <c:v>2.3884592664650199</c:v>
                </c:pt>
                <c:pt idx="94">
                  <c:v>2.3875869670552001</c:v>
                </c:pt>
                <c:pt idx="95">
                  <c:v>2.3869855416422698</c:v>
                </c:pt>
                <c:pt idx="96">
                  <c:v>2.3863870482600298</c:v>
                </c:pt>
                <c:pt idx="97">
                  <c:v>2.3856525052523301</c:v>
                </c:pt>
                <c:pt idx="98">
                  <c:v>2.3852726705444902</c:v>
                </c:pt>
                <c:pt idx="99">
                  <c:v>2.3844994672819002</c:v>
                </c:pt>
                <c:pt idx="100">
                  <c:v>2.3850252115963499</c:v>
                </c:pt>
                <c:pt idx="101">
                  <c:v>2.3848627682826802</c:v>
                </c:pt>
                <c:pt idx="102">
                  <c:v>2.3847069148408</c:v>
                </c:pt>
                <c:pt idx="103">
                  <c:v>2.3851379396635801</c:v>
                </c:pt>
                <c:pt idx="104">
                  <c:v>2.3851101275640798</c:v>
                </c:pt>
                <c:pt idx="105">
                  <c:v>2.3848635993594902</c:v>
                </c:pt>
                <c:pt idx="106">
                  <c:v>2.3849773145380802</c:v>
                </c:pt>
                <c:pt idx="107">
                  <c:v>2.3849231562881799</c:v>
                </c:pt>
                <c:pt idx="108">
                  <c:v>2.3851279541474102</c:v>
                </c:pt>
                <c:pt idx="109">
                  <c:v>2.38561410240683</c:v>
                </c:pt>
                <c:pt idx="110">
                  <c:v>2.3862368071277098</c:v>
                </c:pt>
                <c:pt idx="111">
                  <c:v>2.3868477202119198</c:v>
                </c:pt>
                <c:pt idx="112">
                  <c:v>2.3875537673486402</c:v>
                </c:pt>
                <c:pt idx="113">
                  <c:v>2.3882472586475401</c:v>
                </c:pt>
                <c:pt idx="114">
                  <c:v>2.3889252462903499</c:v>
                </c:pt>
                <c:pt idx="115">
                  <c:v>2.3893662565140001</c:v>
                </c:pt>
                <c:pt idx="116">
                  <c:v>2.38973171029104</c:v>
                </c:pt>
                <c:pt idx="117">
                  <c:v>2.3902948425544501</c:v>
                </c:pt>
                <c:pt idx="118">
                  <c:v>2.3901557287547699</c:v>
                </c:pt>
                <c:pt idx="119">
                  <c:v>2.3903497091996901</c:v>
                </c:pt>
                <c:pt idx="120">
                  <c:v>2.3904747507860602</c:v>
                </c:pt>
                <c:pt idx="121">
                  <c:v>2.3901963412381599</c:v>
                </c:pt>
                <c:pt idx="122">
                  <c:v>2.3899197494819902</c:v>
                </c:pt>
                <c:pt idx="123">
                  <c:v>2.38920263912952</c:v>
                </c:pt>
                <c:pt idx="124">
                  <c:v>2.38816643584902</c:v>
                </c:pt>
                <c:pt idx="125">
                  <c:v>2.3875466842435702</c:v>
                </c:pt>
                <c:pt idx="126">
                  <c:v>2.3871681747742999</c:v>
                </c:pt>
                <c:pt idx="127">
                  <c:v>2.3868780961117899</c:v>
                </c:pt>
                <c:pt idx="128">
                  <c:v>2.3865759063284</c:v>
                </c:pt>
                <c:pt idx="129">
                  <c:v>2.3861232483834698</c:v>
                </c:pt>
                <c:pt idx="130">
                  <c:v>2.3849214237701402</c:v>
                </c:pt>
                <c:pt idx="131">
                  <c:v>2.38377779535206</c:v>
                </c:pt>
                <c:pt idx="132">
                  <c:v>2.3827797641542099</c:v>
                </c:pt>
                <c:pt idx="133">
                  <c:v>2.3817353743862202</c:v>
                </c:pt>
                <c:pt idx="134">
                  <c:v>2.3808605880741398</c:v>
                </c:pt>
                <c:pt idx="135">
                  <c:v>2.3799423890498601</c:v>
                </c:pt>
                <c:pt idx="136">
                  <c:v>2.3789914549648299</c:v>
                </c:pt>
                <c:pt idx="137">
                  <c:v>2.3781016343051302</c:v>
                </c:pt>
                <c:pt idx="138">
                  <c:v>2.3777626298736498</c:v>
                </c:pt>
                <c:pt idx="139">
                  <c:v>2.3774244055779801</c:v>
                </c:pt>
                <c:pt idx="140">
                  <c:v>2.3769235992879101</c:v>
                </c:pt>
                <c:pt idx="141">
                  <c:v>2.37672668146184</c:v>
                </c:pt>
                <c:pt idx="142">
                  <c:v>2.3761778262605699</c:v>
                </c:pt>
                <c:pt idx="143">
                  <c:v>2.37553870409526</c:v>
                </c:pt>
                <c:pt idx="144">
                  <c:v>2.37521793049818</c:v>
                </c:pt>
                <c:pt idx="145">
                  <c:v>2.3746563150059101</c:v>
                </c:pt>
                <c:pt idx="146">
                  <c:v>2.3739026236857801</c:v>
                </c:pt>
                <c:pt idx="147">
                  <c:v>2.37303968532051</c:v>
                </c:pt>
                <c:pt idx="148">
                  <c:v>2.3720853047018702</c:v>
                </c:pt>
                <c:pt idx="149">
                  <c:v>2.3715706583489</c:v>
                </c:pt>
                <c:pt idx="150">
                  <c:v>2.37149855465064</c:v>
                </c:pt>
                <c:pt idx="151">
                  <c:v>2.3713945463567399</c:v>
                </c:pt>
                <c:pt idx="152">
                  <c:v>2.3714013779715599</c:v>
                </c:pt>
                <c:pt idx="153">
                  <c:v>2.3717181130926202</c:v>
                </c:pt>
                <c:pt idx="154">
                  <c:v>2.3718460444992999</c:v>
                </c:pt>
                <c:pt idx="155">
                  <c:v>2.37222488116192</c:v>
                </c:pt>
                <c:pt idx="156">
                  <c:v>2.3720740512565199</c:v>
                </c:pt>
                <c:pt idx="157">
                  <c:v>2.3716612491876599</c:v>
                </c:pt>
                <c:pt idx="158">
                  <c:v>2.3710660453046701</c:v>
                </c:pt>
                <c:pt idx="159">
                  <c:v>2.3704758455917601</c:v>
                </c:pt>
                <c:pt idx="160">
                  <c:v>2.3696299497161899</c:v>
                </c:pt>
                <c:pt idx="161">
                  <c:v>2.3689796293120602</c:v>
                </c:pt>
                <c:pt idx="162">
                  <c:v>2.3686660666211998</c:v>
                </c:pt>
                <c:pt idx="163">
                  <c:v>2.3686922781877899</c:v>
                </c:pt>
                <c:pt idx="164">
                  <c:v>2.3686482867824301</c:v>
                </c:pt>
                <c:pt idx="165">
                  <c:v>2.3684494651421999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14-4788-99FC-E38060F15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XLF_IYF_2!$U$1</c:f>
              <c:strCache>
                <c:ptCount val="1"/>
                <c:pt idx="0">
                  <c:v>log diff XLF x avg / IYF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XLF_IYF_2!$U$2:$U$167</c:f>
              <c:numCache>
                <c:formatCode>0.00%</c:formatCode>
                <c:ptCount val="166"/>
                <c:pt idx="1">
                  <c:v>6.9415285923566904E-3</c:v>
                </c:pt>
                <c:pt idx="2">
                  <c:v>1.00847532115212E-2</c:v>
                </c:pt>
                <c:pt idx="3">
                  <c:v>1.23525614585514E-2</c:v>
                </c:pt>
                <c:pt idx="4">
                  <c:v>1.03193564345174E-2</c:v>
                </c:pt>
                <c:pt idx="5">
                  <c:v>9.0203031898507206E-3</c:v>
                </c:pt>
                <c:pt idx="6">
                  <c:v>4.8252516476492901E-3</c:v>
                </c:pt>
                <c:pt idx="7">
                  <c:v>1.47037892156565E-4</c:v>
                </c:pt>
                <c:pt idx="8">
                  <c:v>-1.2185600783275099E-5</c:v>
                </c:pt>
                <c:pt idx="9">
                  <c:v>-1.9093362800115599E-3</c:v>
                </c:pt>
                <c:pt idx="10">
                  <c:v>-1.2390224938085999E-3</c:v>
                </c:pt>
                <c:pt idx="11">
                  <c:v>-1.77018887382681E-3</c:v>
                </c:pt>
                <c:pt idx="12">
                  <c:v>-3.7245905821007802E-3</c:v>
                </c:pt>
                <c:pt idx="13">
                  <c:v>-1.8042234125923999E-3</c:v>
                </c:pt>
                <c:pt idx="14">
                  <c:v>-2.4823193249073699E-3</c:v>
                </c:pt>
                <c:pt idx="15">
                  <c:v>-2.0752128690900099E-3</c:v>
                </c:pt>
                <c:pt idx="16">
                  <c:v>-4.5121217905016503E-3</c:v>
                </c:pt>
                <c:pt idx="17">
                  <c:v>-3.9908996600400599E-3</c:v>
                </c:pt>
                <c:pt idx="18">
                  <c:v>-1.2598480235615501E-3</c:v>
                </c:pt>
                <c:pt idx="19">
                  <c:v>-3.1595108808414201E-3</c:v>
                </c:pt>
                <c:pt idx="20">
                  <c:v>1.0306676890789201E-3</c:v>
                </c:pt>
                <c:pt idx="21">
                  <c:v>-1.3201663669467601E-3</c:v>
                </c:pt>
                <c:pt idx="22">
                  <c:v>-1.3540573924693501E-3</c:v>
                </c:pt>
                <c:pt idx="23">
                  <c:v>-7.9888912734580195E-5</c:v>
                </c:pt>
                <c:pt idx="24">
                  <c:v>-3.00934811329892E-3</c:v>
                </c:pt>
                <c:pt idx="25">
                  <c:v>-5.29232560307831E-3</c:v>
                </c:pt>
                <c:pt idx="26">
                  <c:v>-1.1032432154739499E-3</c:v>
                </c:pt>
                <c:pt idx="27">
                  <c:v>-2.40943120398356E-4</c:v>
                </c:pt>
                <c:pt idx="28">
                  <c:v>-1.55354088073964E-3</c:v>
                </c:pt>
                <c:pt idx="29">
                  <c:v>-6.4547387320977104E-3</c:v>
                </c:pt>
                <c:pt idx="30">
                  <c:v>-3.9856995847236997E-3</c:v>
                </c:pt>
                <c:pt idx="31">
                  <c:v>-4.2026337358252296E-3</c:v>
                </c:pt>
                <c:pt idx="32">
                  <c:v>-4.3029873635592403E-3</c:v>
                </c:pt>
                <c:pt idx="33">
                  <c:v>-2.4426466030590499E-3</c:v>
                </c:pt>
                <c:pt idx="34">
                  <c:v>-6.8302872914971302E-3</c:v>
                </c:pt>
                <c:pt idx="35">
                  <c:v>-7.48766801144934E-3</c:v>
                </c:pt>
                <c:pt idx="36">
                  <c:v>-4.9462831361800803E-3</c:v>
                </c:pt>
                <c:pt idx="37">
                  <c:v>-4.8019544479609303E-3</c:v>
                </c:pt>
                <c:pt idx="38">
                  <c:v>-8.22203528208886E-4</c:v>
                </c:pt>
                <c:pt idx="39">
                  <c:v>-2.7820321915227901E-3</c:v>
                </c:pt>
                <c:pt idx="40">
                  <c:v>-4.4931144474810399E-4</c:v>
                </c:pt>
                <c:pt idx="41">
                  <c:v>-7.6615559379608904E-4</c:v>
                </c:pt>
                <c:pt idx="42">
                  <c:v>2.6897614711636302E-4</c:v>
                </c:pt>
                <c:pt idx="43">
                  <c:v>2.4990500053291499E-3</c:v>
                </c:pt>
                <c:pt idx="44">
                  <c:v>2.32959365615729E-3</c:v>
                </c:pt>
                <c:pt idx="45">
                  <c:v>2.0635158213607799E-3</c:v>
                </c:pt>
                <c:pt idx="46">
                  <c:v>1.65341973414653E-3</c:v>
                </c:pt>
                <c:pt idx="47">
                  <c:v>1.8577122989850601E-3</c:v>
                </c:pt>
                <c:pt idx="48">
                  <c:v>3.2579909438837699E-3</c:v>
                </c:pt>
                <c:pt idx="49">
                  <c:v>3.2876100409864701E-3</c:v>
                </c:pt>
                <c:pt idx="50">
                  <c:v>6.0730761924898801E-3</c:v>
                </c:pt>
                <c:pt idx="51">
                  <c:v>2.6556501608725799E-3</c:v>
                </c:pt>
                <c:pt idx="52">
                  <c:v>3.2359047945362302E-3</c:v>
                </c:pt>
                <c:pt idx="53">
                  <c:v>5.7593235099452E-3</c:v>
                </c:pt>
                <c:pt idx="54">
                  <c:v>8.0113101216056396E-4</c:v>
                </c:pt>
                <c:pt idx="55">
                  <c:v>5.7779804527598297E-4</c:v>
                </c:pt>
                <c:pt idx="56">
                  <c:v>1.02775138835227E-3</c:v>
                </c:pt>
                <c:pt idx="57">
                  <c:v>1.1126835163716201E-3</c:v>
                </c:pt>
                <c:pt idx="58">
                  <c:v>-8.2344883957958105E-4</c:v>
                </c:pt>
                <c:pt idx="59">
                  <c:v>1.27093219447898E-3</c:v>
                </c:pt>
                <c:pt idx="60">
                  <c:v>-4.9143423627638302E-4</c:v>
                </c:pt>
                <c:pt idx="61">
                  <c:v>-2.4684337338461001E-3</c:v>
                </c:pt>
                <c:pt idx="62">
                  <c:v>-3.5254529204970298E-3</c:v>
                </c:pt>
                <c:pt idx="63">
                  <c:v>-2.71442845944358E-3</c:v>
                </c:pt>
                <c:pt idx="64">
                  <c:v>-3.8049868494798101E-3</c:v>
                </c:pt>
                <c:pt idx="65">
                  <c:v>-3.5901151035017198E-3</c:v>
                </c:pt>
                <c:pt idx="66">
                  <c:v>-4.4797693997794402E-3</c:v>
                </c:pt>
                <c:pt idx="67">
                  <c:v>-4.7262120319555203E-3</c:v>
                </c:pt>
                <c:pt idx="68">
                  <c:v>-3.75457567950962E-3</c:v>
                </c:pt>
                <c:pt idx="69">
                  <c:v>-4.0217125887634401E-3</c:v>
                </c:pt>
                <c:pt idx="70">
                  <c:v>-2.9572421588747199E-3</c:v>
                </c:pt>
                <c:pt idx="71">
                  <c:v>-2.7518862933724698E-3</c:v>
                </c:pt>
                <c:pt idx="72">
                  <c:v>-3.5863752828260102E-3</c:v>
                </c:pt>
                <c:pt idx="73">
                  <c:v>-3.9986060084640403E-3</c:v>
                </c:pt>
                <c:pt idx="74">
                  <c:v>-5.6699562573221804E-3</c:v>
                </c:pt>
                <c:pt idx="75">
                  <c:v>-4.35470762609494E-3</c:v>
                </c:pt>
                <c:pt idx="76">
                  <c:v>-6.4577787652418499E-3</c:v>
                </c:pt>
                <c:pt idx="77">
                  <c:v>-6.7095851154336502E-3</c:v>
                </c:pt>
                <c:pt idx="78">
                  <c:v>-5.62036538547091E-3</c:v>
                </c:pt>
                <c:pt idx="79">
                  <c:v>-6.7000912363931802E-3</c:v>
                </c:pt>
                <c:pt idx="80">
                  <c:v>4.1032803717037502E-3</c:v>
                </c:pt>
                <c:pt idx="81">
                  <c:v>-1.31442713191499E-3</c:v>
                </c:pt>
                <c:pt idx="82">
                  <c:v>-1.64455977990545E-3</c:v>
                </c:pt>
                <c:pt idx="83">
                  <c:v>5.3227646679203598E-5</c:v>
                </c:pt>
                <c:pt idx="84">
                  <c:v>-3.9764455956720303E-3</c:v>
                </c:pt>
                <c:pt idx="85">
                  <c:v>-6.0079112523044199E-3</c:v>
                </c:pt>
                <c:pt idx="86">
                  <c:v>-2.3988617299735399E-3</c:v>
                </c:pt>
                <c:pt idx="87">
                  <c:v>-4.6049423767463397E-3</c:v>
                </c:pt>
                <c:pt idx="88">
                  <c:v>-1.8543741340839701E-3</c:v>
                </c:pt>
                <c:pt idx="89">
                  <c:v>-1.0856319899569199E-3</c:v>
                </c:pt>
                <c:pt idx="90">
                  <c:v>-2.4576361170494201E-3</c:v>
                </c:pt>
                <c:pt idx="91">
                  <c:v>-2.6505056543426799E-3</c:v>
                </c:pt>
                <c:pt idx="92">
                  <c:v>-3.0267397445496799E-4</c:v>
                </c:pt>
                <c:pt idx="93">
                  <c:v>2.0928484328259001E-3</c:v>
                </c:pt>
                <c:pt idx="94">
                  <c:v>1.6703618514034701E-3</c:v>
                </c:pt>
                <c:pt idx="95">
                  <c:v>7.0808741260057896E-4</c:v>
                </c:pt>
                <c:pt idx="96">
                  <c:v>-1.4285045266019E-3</c:v>
                </c:pt>
                <c:pt idx="97">
                  <c:v>-5.3265237985465402E-4</c:v>
                </c:pt>
                <c:pt idx="98">
                  <c:v>-2.4284748278018699E-3</c:v>
                </c:pt>
                <c:pt idx="99">
                  <c:v>-2.00734539073783E-4</c:v>
                </c:pt>
                <c:pt idx="100">
                  <c:v>-3.43008691097217E-4</c:v>
                </c:pt>
                <c:pt idx="101">
                  <c:v>5.3227646679203598E-5</c:v>
                </c:pt>
                <c:pt idx="102">
                  <c:v>-3.3272725803478099E-4</c:v>
                </c:pt>
                <c:pt idx="103">
                  <c:v>-3.5774139973621302E-3</c:v>
                </c:pt>
                <c:pt idx="104">
                  <c:v>-3.7455678664094199E-3</c:v>
                </c:pt>
                <c:pt idx="105">
                  <c:v>-3.9369523457785504E-3</c:v>
                </c:pt>
                <c:pt idx="106">
                  <c:v>-3.3526433021618999E-3</c:v>
                </c:pt>
                <c:pt idx="107">
                  <c:v>-4.1470938540116402E-3</c:v>
                </c:pt>
                <c:pt idx="108">
                  <c:v>-3.5726724679687499E-3</c:v>
                </c:pt>
                <c:pt idx="109">
                  <c:v>-5.1718567616825997E-3</c:v>
                </c:pt>
                <c:pt idx="110">
                  <c:v>-7.6782042444753298E-3</c:v>
                </c:pt>
                <c:pt idx="111">
                  <c:v>-7.7695709624041303E-3</c:v>
                </c:pt>
                <c:pt idx="112">
                  <c:v>-3.2630201673834098E-3</c:v>
                </c:pt>
                <c:pt idx="113">
                  <c:v>-8.1193914423895099E-4</c:v>
                </c:pt>
                <c:pt idx="114">
                  <c:v>-1.08506040220898E-3</c:v>
                </c:pt>
                <c:pt idx="115">
                  <c:v>-2.4804923754004101E-5</c:v>
                </c:pt>
                <c:pt idx="116">
                  <c:v>-5.0179969851761701E-3</c:v>
                </c:pt>
                <c:pt idx="117">
                  <c:v>-5.7857610471926998E-3</c:v>
                </c:pt>
                <c:pt idx="118">
                  <c:v>-1.7634437397445401E-3</c:v>
                </c:pt>
                <c:pt idx="119">
                  <c:v>-2.3457380398846498E-3</c:v>
                </c:pt>
                <c:pt idx="120">
                  <c:v>-1.90376891506467E-3</c:v>
                </c:pt>
                <c:pt idx="121">
                  <c:v>1.90972673771742E-3</c:v>
                </c:pt>
                <c:pt idx="122">
                  <c:v>1.5055478732576299E-3</c:v>
                </c:pt>
                <c:pt idx="123">
                  <c:v>1.98776878458235E-3</c:v>
                </c:pt>
                <c:pt idx="124">
                  <c:v>4.5393298972873702E-3</c:v>
                </c:pt>
                <c:pt idx="125">
                  <c:v>8.1334336566711205E-4</c:v>
                </c:pt>
                <c:pt idx="126">
                  <c:v>-6.4138865511447699E-4</c:v>
                </c:pt>
                <c:pt idx="127">
                  <c:v>-2.19920410636426E-3</c:v>
                </c:pt>
                <c:pt idx="128">
                  <c:v>-1.5144406183614501E-3</c:v>
                </c:pt>
                <c:pt idx="129">
                  <c:v>-1.8487307270427E-3</c:v>
                </c:pt>
                <c:pt idx="130">
                  <c:v>1.9634058801799399E-3</c:v>
                </c:pt>
                <c:pt idx="131">
                  <c:v>1.37592711680382E-3</c:v>
                </c:pt>
                <c:pt idx="132">
                  <c:v>1.70254547568551E-3</c:v>
                </c:pt>
                <c:pt idx="133">
                  <c:v>4.6101830661360501E-3</c:v>
                </c:pt>
                <c:pt idx="134">
                  <c:v>2.87373919800334E-3</c:v>
                </c:pt>
                <c:pt idx="135">
                  <c:v>4.2830009116749E-3</c:v>
                </c:pt>
                <c:pt idx="136">
                  <c:v>3.0517096461886899E-3</c:v>
                </c:pt>
                <c:pt idx="137">
                  <c:v>1.7566940288984E-3</c:v>
                </c:pt>
                <c:pt idx="138">
                  <c:v>1.1306857429852499E-3</c:v>
                </c:pt>
                <c:pt idx="139">
                  <c:v>5.4940126597756401E-4</c:v>
                </c:pt>
                <c:pt idx="140">
                  <c:v>2.3752629285111499E-3</c:v>
                </c:pt>
                <c:pt idx="141">
                  <c:v>3.6253966872066001E-3</c:v>
                </c:pt>
                <c:pt idx="142">
                  <c:v>6.2039556169996499E-3</c:v>
                </c:pt>
                <c:pt idx="143">
                  <c:v>7.44636898274415E-3</c:v>
                </c:pt>
                <c:pt idx="144">
                  <c:v>7.2839855215456302E-3</c:v>
                </c:pt>
                <c:pt idx="145">
                  <c:v>5.5940561188042798E-3</c:v>
                </c:pt>
                <c:pt idx="146">
                  <c:v>5.7719276861370097E-3</c:v>
                </c:pt>
                <c:pt idx="147">
                  <c:v>5.1475188644268203E-3</c:v>
                </c:pt>
                <c:pt idx="148">
                  <c:v>6.6064888351965497E-3</c:v>
                </c:pt>
                <c:pt idx="149">
                  <c:v>2.5287851067557899E-3</c:v>
                </c:pt>
                <c:pt idx="150">
                  <c:v>2.59408148236371E-3</c:v>
                </c:pt>
                <c:pt idx="151">
                  <c:v>2.27548327047999E-3</c:v>
                </c:pt>
                <c:pt idx="152">
                  <c:v>1.6596208901706901E-3</c:v>
                </c:pt>
                <c:pt idx="153">
                  <c:v>1.93794927354322E-3</c:v>
                </c:pt>
                <c:pt idx="154">
                  <c:v>1.8096266779588201E-3</c:v>
                </c:pt>
                <c:pt idx="155">
                  <c:v>1.0860922482745399E-3</c:v>
                </c:pt>
                <c:pt idx="156">
                  <c:v>4.3513687085958196E-3</c:v>
                </c:pt>
                <c:pt idx="157">
                  <c:v>5.2773904246742297E-3</c:v>
                </c:pt>
                <c:pt idx="158">
                  <c:v>6.1978573971604098E-3</c:v>
                </c:pt>
                <c:pt idx="159">
                  <c:v>5.5711193150221397E-3</c:v>
                </c:pt>
                <c:pt idx="160">
                  <c:v>9.5884446575188898E-3</c:v>
                </c:pt>
                <c:pt idx="161">
                  <c:v>9.16940317188541E-3</c:v>
                </c:pt>
                <c:pt idx="162">
                  <c:v>8.8929870899669208E-3</c:v>
                </c:pt>
                <c:pt idx="163">
                  <c:v>7.2319951086071404E-3</c:v>
                </c:pt>
                <c:pt idx="164">
                  <c:v>7.6707835945971203E-3</c:v>
                </c:pt>
                <c:pt idx="165">
                  <c:v>7.2903814021147099E-3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E0-422E-A535-B23D3AF9EF38}"/>
            </c:ext>
          </c:extLst>
        </c:ser>
        <c:ser>
          <c:idx val="1"/>
          <c:order val="1"/>
          <c:tx>
            <c:strRef>
              <c:f>XLF_IYF_2!$V$1</c:f>
              <c:strCache>
                <c:ptCount val="1"/>
                <c:pt idx="0">
                  <c:v>log diff XLF x 10 dma / IYF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XLF_IYF_2!$V$2:$V$167</c:f>
              <c:numCache>
                <c:formatCode>0.00%</c:formatCode>
                <c:ptCount val="166"/>
                <c:pt idx="10">
                  <c:v>-7.32302156261639E-3</c:v>
                </c:pt>
                <c:pt idx="11">
                  <c:v>-6.8100378679286401E-3</c:v>
                </c:pt>
                <c:pt idx="12">
                  <c:v>-7.8915055485433896E-3</c:v>
                </c:pt>
                <c:pt idx="13">
                  <c:v>-4.58978410038867E-3</c:v>
                </c:pt>
                <c:pt idx="14">
                  <c:v>-3.85670459887887E-3</c:v>
                </c:pt>
                <c:pt idx="15">
                  <c:v>-2.1734891986548801E-3</c:v>
                </c:pt>
                <c:pt idx="16">
                  <c:v>-3.5051894259603201E-3</c:v>
                </c:pt>
                <c:pt idx="17">
                  <c:v>-2.0517469850807701E-3</c:v>
                </c:pt>
                <c:pt idx="18">
                  <c:v>1.0930059894202801E-3</c:v>
                </c:pt>
                <c:pt idx="19">
                  <c:v>-6.8211239304345501E-4</c:v>
                </c:pt>
                <c:pt idx="20">
                  <c:v>3.6330829595138002E-3</c:v>
                </c:pt>
                <c:pt idx="21">
                  <c:v>1.0558205185382001E-3</c:v>
                </c:pt>
                <c:pt idx="22">
                  <c:v>9.7696360375718007E-4</c:v>
                </c:pt>
                <c:pt idx="23">
                  <c:v>2.01400121165123E-3</c:v>
                </c:pt>
                <c:pt idx="24">
                  <c:v>-1.0877077940201301E-3</c:v>
                </c:pt>
                <c:pt idx="25">
                  <c:v>-3.3179403401186998E-3</c:v>
                </c:pt>
                <c:pt idx="26">
                  <c:v>1.1933519430548699E-3</c:v>
                </c:pt>
                <c:pt idx="27">
                  <c:v>1.7145315725202899E-3</c:v>
                </c:pt>
                <c:pt idx="28">
                  <c:v>2.68074157096326E-5</c:v>
                </c:pt>
                <c:pt idx="29">
                  <c:v>-4.8450266805908897E-3</c:v>
                </c:pt>
                <c:pt idx="30">
                  <c:v>-2.0454639208898999E-3</c:v>
                </c:pt>
                <c:pt idx="31">
                  <c:v>-1.7611185439781101E-3</c:v>
                </c:pt>
                <c:pt idx="32">
                  <c:v>-1.57317467620453E-3</c:v>
                </c:pt>
                <c:pt idx="33">
                  <c:v>5.8204481749301196E-4</c:v>
                </c:pt>
                <c:pt idx="34">
                  <c:v>-3.56976414466622E-3</c:v>
                </c:pt>
                <c:pt idx="35">
                  <c:v>-3.84448940326889E-3</c:v>
                </c:pt>
                <c:pt idx="36">
                  <c:v>-1.0829906201984599E-3</c:v>
                </c:pt>
                <c:pt idx="37">
                  <c:v>-5.5475352098440596E-4</c:v>
                </c:pt>
                <c:pt idx="38">
                  <c:v>3.88020886300908E-3</c:v>
                </c:pt>
                <c:pt idx="39">
                  <c:v>1.84750038745563E-3</c:v>
                </c:pt>
                <c:pt idx="40">
                  <c:v>3.8128869087870601E-3</c:v>
                </c:pt>
                <c:pt idx="41">
                  <c:v>3.14306381611672E-3</c:v>
                </c:pt>
                <c:pt idx="42">
                  <c:v>3.8349779708054402E-3</c:v>
                </c:pt>
                <c:pt idx="43">
                  <c:v>5.6084585047063299E-3</c:v>
                </c:pt>
                <c:pt idx="44">
                  <c:v>4.9462586971848197E-3</c:v>
                </c:pt>
                <c:pt idx="45">
                  <c:v>3.7641055793371202E-3</c:v>
                </c:pt>
                <c:pt idx="46">
                  <c:v>2.3974635525297302E-3</c:v>
                </c:pt>
                <c:pt idx="47">
                  <c:v>1.94097054282806E-3</c:v>
                </c:pt>
                <c:pt idx="48">
                  <c:v>2.6741332292982102E-3</c:v>
                </c:pt>
                <c:pt idx="49">
                  <c:v>2.2959080561931701E-3</c:v>
                </c:pt>
                <c:pt idx="50">
                  <c:v>4.4737758420135398E-3</c:v>
                </c:pt>
                <c:pt idx="51">
                  <c:v>4.0468802019090602E-4</c:v>
                </c:pt>
                <c:pt idx="52">
                  <c:v>6.4225594745639404E-4</c:v>
                </c:pt>
                <c:pt idx="53">
                  <c:v>2.8686879074835501E-3</c:v>
                </c:pt>
                <c:pt idx="54">
                  <c:v>-2.4151815603759802E-3</c:v>
                </c:pt>
                <c:pt idx="55">
                  <c:v>-2.4854274163946199E-3</c:v>
                </c:pt>
                <c:pt idx="56">
                  <c:v>-1.88665423403583E-3</c:v>
                </c:pt>
                <c:pt idx="57">
                  <c:v>-1.7390586873417E-3</c:v>
                </c:pt>
                <c:pt idx="58">
                  <c:v>-3.60058906502283E-3</c:v>
                </c:pt>
                <c:pt idx="59">
                  <c:v>-1.0975101492305499E-3</c:v>
                </c:pt>
                <c:pt idx="60">
                  <c:v>-2.6582111132398899E-3</c:v>
                </c:pt>
                <c:pt idx="61">
                  <c:v>-3.9793830185304597E-3</c:v>
                </c:pt>
                <c:pt idx="62">
                  <c:v>-4.5233980910733404E-3</c:v>
                </c:pt>
                <c:pt idx="63">
                  <c:v>-3.0356924944784499E-3</c:v>
                </c:pt>
                <c:pt idx="64">
                  <c:v>-3.2802483584971E-3</c:v>
                </c:pt>
                <c:pt idx="65">
                  <c:v>-2.6044203504748402E-3</c:v>
                </c:pt>
                <c:pt idx="66">
                  <c:v>-3.0771529727177398E-3</c:v>
                </c:pt>
                <c:pt idx="67">
                  <c:v>-2.7728163985591002E-3</c:v>
                </c:pt>
                <c:pt idx="68">
                  <c:v>-1.2175456199316501E-3</c:v>
                </c:pt>
                <c:pt idx="69">
                  <c:v>-1.1916853563030501E-3</c:v>
                </c:pt>
                <c:pt idx="70">
                  <c:v>4.0114123602127798E-4</c:v>
                </c:pt>
                <c:pt idx="71">
                  <c:v>8.5264506411459695E-4</c:v>
                </c:pt>
                <c:pt idx="72">
                  <c:v>4.6472758086174501E-5</c:v>
                </c:pt>
                <c:pt idx="73">
                  <c:v>-3.5966621855425799E-4</c:v>
                </c:pt>
                <c:pt idx="74">
                  <c:v>-1.9026432068383E-3</c:v>
                </c:pt>
                <c:pt idx="75">
                  <c:v>-4.0073401055301802E-4</c:v>
                </c:pt>
                <c:pt idx="76">
                  <c:v>-2.4273474087962198E-3</c:v>
                </c:pt>
                <c:pt idx="77">
                  <c:v>-2.48108769628261E-3</c:v>
                </c:pt>
                <c:pt idx="78">
                  <c:v>-1.19325472641727E-3</c:v>
                </c:pt>
                <c:pt idx="79">
                  <c:v>-2.0863704084324399E-3</c:v>
                </c:pt>
                <c:pt idx="80">
                  <c:v>8.9850034269088799E-3</c:v>
                </c:pt>
                <c:pt idx="81">
                  <c:v>2.8648363927683798E-3</c:v>
                </c:pt>
                <c:pt idx="82">
                  <c:v>2.3912556913985301E-3</c:v>
                </c:pt>
                <c:pt idx="83">
                  <c:v>3.89511834462101E-3</c:v>
                </c:pt>
                <c:pt idx="84">
                  <c:v>-5.3906368057848202E-4</c:v>
                </c:pt>
                <c:pt idx="85">
                  <c:v>-2.7401296575835302E-3</c:v>
                </c:pt>
                <c:pt idx="86">
                  <c:v>1.0345431779102601E-3</c:v>
                </c:pt>
                <c:pt idx="87">
                  <c:v>-1.57791604071504E-3</c:v>
                </c:pt>
                <c:pt idx="88">
                  <c:v>9.6161132191543498E-4</c:v>
                </c:pt>
                <c:pt idx="89">
                  <c:v>1.3533359035302901E-3</c:v>
                </c:pt>
                <c:pt idx="90">
                  <c:v>-5.8108989250121499E-4</c:v>
                </c:pt>
                <c:pt idx="91">
                  <c:v>-1.19849228922359E-4</c:v>
                </c:pt>
                <c:pt idx="92">
                  <c:v>2.3615081757625399E-3</c:v>
                </c:pt>
                <c:pt idx="93">
                  <c:v>4.6230596816535796E-3</c:v>
                </c:pt>
                <c:pt idx="94">
                  <c:v>3.9973239364198198E-3</c:v>
                </c:pt>
                <c:pt idx="95">
                  <c:v>2.4708713862101701E-3</c:v>
                </c:pt>
                <c:pt idx="96">
                  <c:v>-3.38143767968343E-4</c:v>
                </c:pt>
                <c:pt idx="97">
                  <c:v>4.6058801402488298E-4</c:v>
                </c:pt>
                <c:pt idx="98">
                  <c:v>-1.8431890358154299E-3</c:v>
                </c:pt>
                <c:pt idx="99">
                  <c:v>4.4204907761970501E-4</c:v>
                </c:pt>
                <c:pt idx="100">
                  <c:v>2.1128122680430801E-4</c:v>
                </c:pt>
                <c:pt idx="101">
                  <c:v>3.9585340322400599E-4</c:v>
                </c:pt>
                <c:pt idx="102">
                  <c:v>-2.6077014555710501E-4</c:v>
                </c:pt>
                <c:pt idx="103">
                  <c:v>-3.5024508224138998E-3</c:v>
                </c:pt>
                <c:pt idx="104">
                  <c:v>-3.1033600879456298E-3</c:v>
                </c:pt>
                <c:pt idx="105">
                  <c:v>-2.7530834725906801E-3</c:v>
                </c:pt>
                <c:pt idx="106">
                  <c:v>-1.70417793546311E-3</c:v>
                </c:pt>
                <c:pt idx="107">
                  <c:v>-2.3060902717443399E-3</c:v>
                </c:pt>
                <c:pt idx="108">
                  <c:v>-1.3701095534346701E-3</c:v>
                </c:pt>
                <c:pt idx="109">
                  <c:v>-2.8547892881406298E-3</c:v>
                </c:pt>
                <c:pt idx="110">
                  <c:v>-4.86396406572697E-3</c:v>
                </c:pt>
                <c:pt idx="111">
                  <c:v>-4.2212010378647304E-3</c:v>
                </c:pt>
                <c:pt idx="112">
                  <c:v>1.0675679901080101E-3</c:v>
                </c:pt>
                <c:pt idx="113">
                  <c:v>3.8108944804222801E-3</c:v>
                </c:pt>
                <c:pt idx="114">
                  <c:v>3.2618582743324902E-3</c:v>
                </c:pt>
                <c:pt idx="115">
                  <c:v>4.0565410755698198E-3</c:v>
                </c:pt>
                <c:pt idx="116">
                  <c:v>-1.32712132924399E-3</c:v>
                </c:pt>
                <c:pt idx="117">
                  <c:v>-1.9282815200458E-3</c:v>
                </c:pt>
                <c:pt idx="118">
                  <c:v>2.2580708910363901E-3</c:v>
                </c:pt>
                <c:pt idx="119">
                  <c:v>1.49508207476705E-3</c:v>
                </c:pt>
                <c:pt idx="120">
                  <c:v>1.65442247727197E-3</c:v>
                </c:pt>
                <c:pt idx="121">
                  <c:v>4.8895942882754397E-3</c:v>
                </c:pt>
                <c:pt idx="122">
                  <c:v>3.5170615146049998E-3</c:v>
                </c:pt>
                <c:pt idx="123">
                  <c:v>3.5228515622312199E-3</c:v>
                </c:pt>
                <c:pt idx="124">
                  <c:v>5.7949965045836502E-3</c:v>
                </c:pt>
                <c:pt idx="125">
                  <c:v>1.5080880609467701E-3</c:v>
                </c:pt>
                <c:pt idx="126">
                  <c:v>-3.0371070410914899E-5</c:v>
                </c:pt>
                <c:pt idx="127">
                  <c:v>-2.0269160377124201E-3</c:v>
                </c:pt>
                <c:pt idx="128">
                  <c:v>-1.70224601756893E-3</c:v>
                </c:pt>
                <c:pt idx="129">
                  <c:v>-2.0614822777620901E-3</c:v>
                </c:pt>
                <c:pt idx="130">
                  <c:v>1.7008374161273101E-3</c:v>
                </c:pt>
                <c:pt idx="131">
                  <c:v>7.2647608382389096E-4</c:v>
                </c:pt>
                <c:pt idx="132">
                  <c:v>1.10641998355936E-3</c:v>
                </c:pt>
                <c:pt idx="133">
                  <c:v>3.9943774658858797E-3</c:v>
                </c:pt>
                <c:pt idx="134">
                  <c:v>1.9963605826874399E-3</c:v>
                </c:pt>
                <c:pt idx="135">
                  <c:v>3.5716970386833798E-3</c:v>
                </c:pt>
                <c:pt idx="136">
                  <c:v>1.9940166044704099E-3</c:v>
                </c:pt>
                <c:pt idx="137">
                  <c:v>3.2967721274029398E-4</c:v>
                </c:pt>
                <c:pt idx="138">
                  <c:v>-6.9265224715048701E-4</c:v>
                </c:pt>
                <c:pt idx="139">
                  <c:v>-1.53901815595152E-3</c:v>
                </c:pt>
                <c:pt idx="140">
                  <c:v>4.63438034278241E-5</c:v>
                </c:pt>
                <c:pt idx="141">
                  <c:v>1.25528443544008E-3</c:v>
                </c:pt>
                <c:pt idx="142">
                  <c:v>3.6089004278358002E-3</c:v>
                </c:pt>
                <c:pt idx="143">
                  <c:v>4.40168229526348E-3</c:v>
                </c:pt>
                <c:pt idx="144">
                  <c:v>3.9564850998955198E-3</c:v>
                </c:pt>
                <c:pt idx="145">
                  <c:v>1.8262054858608401E-3</c:v>
                </c:pt>
                <c:pt idx="146">
                  <c:v>1.87311634065161E-3</c:v>
                </c:pt>
                <c:pt idx="147">
                  <c:v>9.7678817779547292E-4</c:v>
                </c:pt>
                <c:pt idx="148">
                  <c:v>2.09637415775151E-3</c:v>
                </c:pt>
                <c:pt idx="149">
                  <c:v>-2.5294121347517102E-3</c:v>
                </c:pt>
                <c:pt idx="150">
                  <c:v>-2.6627716992859499E-3</c:v>
                </c:pt>
                <c:pt idx="151">
                  <c:v>-3.0033127519632002E-3</c:v>
                </c:pt>
                <c:pt idx="152">
                  <c:v>-3.4838782592603399E-3</c:v>
                </c:pt>
                <c:pt idx="153">
                  <c:v>-2.75066851019255E-3</c:v>
                </c:pt>
                <c:pt idx="154">
                  <c:v>-2.3283020462167101E-3</c:v>
                </c:pt>
                <c:pt idx="155">
                  <c:v>-2.5047733629521402E-3</c:v>
                </c:pt>
                <c:pt idx="156">
                  <c:v>1.2113113069803199E-3</c:v>
                </c:pt>
                <c:pt idx="157">
                  <c:v>2.27910617124442E-3</c:v>
                </c:pt>
                <c:pt idx="158">
                  <c:v>3.1866146277001002E-3</c:v>
                </c:pt>
                <c:pt idx="159">
                  <c:v>2.60060053100678E-3</c:v>
                </c:pt>
                <c:pt idx="160">
                  <c:v>6.3139743694399899E-3</c:v>
                </c:pt>
                <c:pt idx="161">
                  <c:v>5.1972191939834E-3</c:v>
                </c:pt>
                <c:pt idx="162">
                  <c:v>4.2323784085945403E-3</c:v>
                </c:pt>
                <c:pt idx="163">
                  <c:v>1.84823203607438E-3</c:v>
                </c:pt>
                <c:pt idx="164">
                  <c:v>1.7570518587478E-3</c:v>
                </c:pt>
                <c:pt idx="165">
                  <c:v>7.8967267126423902E-4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E0-422E-A535-B23D3AF9EF38}"/>
            </c:ext>
          </c:extLst>
        </c:ser>
        <c:ser>
          <c:idx val="2"/>
          <c:order val="2"/>
          <c:tx>
            <c:strRef>
              <c:f>XLF_IYF_2!$W$1</c:f>
              <c:strCache>
                <c:ptCount val="1"/>
                <c:pt idx="0">
                  <c:v>log diff XLF x 20 dma / IYF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XLF_IYF_2!$W$2:$W$167</c:f>
              <c:numCache>
                <c:formatCode>0.00%</c:formatCode>
                <c:ptCount val="166"/>
                <c:pt idx="20">
                  <c:v>-7.00692515500642E-4</c:v>
                </c:pt>
                <c:pt idx="21">
                  <c:v>-2.6452231092832798E-3</c:v>
                </c:pt>
                <c:pt idx="22">
                  <c:v>-2.2667264903907299E-3</c:v>
                </c:pt>
                <c:pt idx="23">
                  <c:v>-4.2274806736380098E-4</c:v>
                </c:pt>
                <c:pt idx="24">
                  <c:v>-2.7343626181712101E-3</c:v>
                </c:pt>
                <c:pt idx="25">
                  <c:v>-4.3537341457173797E-3</c:v>
                </c:pt>
                <c:pt idx="26">
                  <c:v>5.4872844981196205E-4</c:v>
                </c:pt>
                <c:pt idx="27">
                  <c:v>1.7063705968416399E-3</c:v>
                </c:pt>
                <c:pt idx="28">
                  <c:v>4.1313486960939898E-4</c:v>
                </c:pt>
                <c:pt idx="29">
                  <c:v>-4.4110893524793304E-3</c:v>
                </c:pt>
                <c:pt idx="30">
                  <c:v>-1.71431930736155E-3</c:v>
                </c:pt>
                <c:pt idx="31">
                  <c:v>-1.7938821604146201E-3</c:v>
                </c:pt>
                <c:pt idx="32">
                  <c:v>-1.7725506424169301E-3</c:v>
                </c:pt>
                <c:pt idx="33">
                  <c:v>1.16752468287791E-4</c:v>
                </c:pt>
                <c:pt idx="34">
                  <c:v>-4.2389814825558097E-3</c:v>
                </c:pt>
                <c:pt idx="35">
                  <c:v>-4.6785379670161798E-3</c:v>
                </c:pt>
                <c:pt idx="36">
                  <c:v>-1.86603248138018E-3</c:v>
                </c:pt>
                <c:pt idx="37">
                  <c:v>-1.6999601370155299E-3</c:v>
                </c:pt>
                <c:pt idx="38">
                  <c:v>2.32039522565644E-3</c:v>
                </c:pt>
                <c:pt idx="39">
                  <c:v>3.3873003778874298E-4</c:v>
                </c:pt>
                <c:pt idx="40">
                  <c:v>2.6525795026262101E-3</c:v>
                </c:pt>
                <c:pt idx="41">
                  <c:v>2.4094809765185499E-3</c:v>
                </c:pt>
                <c:pt idx="42">
                  <c:v>3.4169708041694598E-3</c:v>
                </c:pt>
                <c:pt idx="43">
                  <c:v>5.5661008624167804E-3</c:v>
                </c:pt>
                <c:pt idx="44">
                  <c:v>5.2682395692430599E-3</c:v>
                </c:pt>
                <c:pt idx="45">
                  <c:v>4.7358717107952404E-3</c:v>
                </c:pt>
                <c:pt idx="46">
                  <c:v>3.9583041148906596E-3</c:v>
                </c:pt>
                <c:pt idx="47">
                  <c:v>4.0251091851626897E-3</c:v>
                </c:pt>
                <c:pt idx="48">
                  <c:v>5.3207613595865301E-3</c:v>
                </c:pt>
                <c:pt idx="49">
                  <c:v>5.1104751176315197E-3</c:v>
                </c:pt>
                <c:pt idx="50">
                  <c:v>7.4088198337534002E-3</c:v>
                </c:pt>
                <c:pt idx="51">
                  <c:v>3.4895222675800299E-3</c:v>
                </c:pt>
                <c:pt idx="52">
                  <c:v>3.7268239373915899E-3</c:v>
                </c:pt>
                <c:pt idx="53">
                  <c:v>5.8732100178057996E-3</c:v>
                </c:pt>
                <c:pt idx="54">
                  <c:v>5.0556019385698901E-4</c:v>
                </c:pt>
                <c:pt idx="55">
                  <c:v>-1.00683067322668E-4</c:v>
                </c:pt>
                <c:pt idx="56">
                  <c:v>-5.57564830442967E-5</c:v>
                </c:pt>
                <c:pt idx="57">
                  <c:v>-2.7048168549629101E-4</c:v>
                </c:pt>
                <c:pt idx="58">
                  <c:v>-2.5033464986931099E-3</c:v>
                </c:pt>
                <c:pt idx="59">
                  <c:v>-4.0890304303909601E-4</c:v>
                </c:pt>
                <c:pt idx="60">
                  <c:v>-2.3744325962957299E-3</c:v>
                </c:pt>
                <c:pt idx="61">
                  <c:v>-4.3493209941523501E-3</c:v>
                </c:pt>
                <c:pt idx="62">
                  <c:v>-5.32093164558091E-3</c:v>
                </c:pt>
                <c:pt idx="63">
                  <c:v>-4.3195530696371999E-3</c:v>
                </c:pt>
                <c:pt idx="64">
                  <c:v>-5.1490244583943202E-3</c:v>
                </c:pt>
                <c:pt idx="65">
                  <c:v>-4.6268312398604298E-3</c:v>
                </c:pt>
                <c:pt idx="66">
                  <c:v>-5.2333344143296601E-3</c:v>
                </c:pt>
                <c:pt idx="67">
                  <c:v>-5.1724991511863097E-3</c:v>
                </c:pt>
                <c:pt idx="68">
                  <c:v>-3.8711007158689702E-3</c:v>
                </c:pt>
                <c:pt idx="69">
                  <c:v>-3.7875421374499799E-3</c:v>
                </c:pt>
                <c:pt idx="70">
                  <c:v>-2.3576229802585399E-3</c:v>
                </c:pt>
                <c:pt idx="71">
                  <c:v>-1.7018242427624701E-3</c:v>
                </c:pt>
                <c:pt idx="72">
                  <c:v>-2.2662433193321799E-3</c:v>
                </c:pt>
                <c:pt idx="73">
                  <c:v>-2.3378077305157099E-3</c:v>
                </c:pt>
                <c:pt idx="74">
                  <c:v>-3.52261620094292E-3</c:v>
                </c:pt>
                <c:pt idx="75">
                  <c:v>-1.88377210728921E-3</c:v>
                </c:pt>
                <c:pt idx="76">
                  <c:v>-3.74039169732358E-3</c:v>
                </c:pt>
                <c:pt idx="77">
                  <c:v>-3.6179915782823899E-3</c:v>
                </c:pt>
                <c:pt idx="78">
                  <c:v>-2.1378484756376099E-3</c:v>
                </c:pt>
                <c:pt idx="79">
                  <c:v>-2.97781951088008E-3</c:v>
                </c:pt>
                <c:pt idx="80">
                  <c:v>8.2236236671913206E-3</c:v>
                </c:pt>
                <c:pt idx="81">
                  <c:v>2.5775115988027602E-3</c:v>
                </c:pt>
                <c:pt idx="82">
                  <c:v>2.1897922740465999E-3</c:v>
                </c:pt>
                <c:pt idx="83">
                  <c:v>3.7936480392387101E-3</c:v>
                </c:pt>
                <c:pt idx="84">
                  <c:v>-3.7408450606385202E-4</c:v>
                </c:pt>
                <c:pt idx="85">
                  <c:v>-2.3969747897379201E-3</c:v>
                </c:pt>
                <c:pt idx="86">
                  <c:v>1.33310095726319E-3</c:v>
                </c:pt>
                <c:pt idx="87">
                  <c:v>-9.7700005757070298E-4</c:v>
                </c:pt>
                <c:pt idx="88">
                  <c:v>1.76749838895992E-3</c:v>
                </c:pt>
                <c:pt idx="89">
                  <c:v>2.44130356444141E-3</c:v>
                </c:pt>
                <c:pt idx="90">
                  <c:v>9.2262740837557205E-4</c:v>
                </c:pt>
                <c:pt idx="91">
                  <c:v>7.0479405884182303E-4</c:v>
                </c:pt>
                <c:pt idx="92">
                  <c:v>3.04756000853325E-3</c:v>
                </c:pt>
                <c:pt idx="93">
                  <c:v>5.2791144690675102E-3</c:v>
                </c:pt>
                <c:pt idx="94">
                  <c:v>4.5526879804753898E-3</c:v>
                </c:pt>
                <c:pt idx="95">
                  <c:v>3.22365332396883E-3</c:v>
                </c:pt>
                <c:pt idx="96">
                  <c:v>8.3406453848533697E-4</c:v>
                </c:pt>
                <c:pt idx="97">
                  <c:v>1.4779980206692401E-3</c:v>
                </c:pt>
                <c:pt idx="98">
                  <c:v>-7.2721720131394398E-4</c:v>
                </c:pt>
                <c:pt idx="99">
                  <c:v>1.3405445007066601E-3</c:v>
                </c:pt>
                <c:pt idx="100">
                  <c:v>8.7262792532926097E-4</c:v>
                </c:pt>
                <c:pt idx="101">
                  <c:v>1.49046717231843E-3</c:v>
                </c:pt>
                <c:pt idx="102">
                  <c:v>1.0361823269085301E-3</c:v>
                </c:pt>
                <c:pt idx="103">
                  <c:v>-2.2740732552754199E-3</c:v>
                </c:pt>
                <c:pt idx="104">
                  <c:v>-2.26062813507689E-3</c:v>
                </c:pt>
                <c:pt idx="105">
                  <c:v>-2.4635840295434402E-3</c:v>
                </c:pt>
                <c:pt idx="106">
                  <c:v>-1.9831913044021298E-3</c:v>
                </c:pt>
                <c:pt idx="107">
                  <c:v>-2.7298820281378899E-3</c:v>
                </c:pt>
                <c:pt idx="108">
                  <c:v>-2.1784211665827401E-3</c:v>
                </c:pt>
                <c:pt idx="109">
                  <c:v>-3.69158081330158E-3</c:v>
                </c:pt>
                <c:pt idx="110">
                  <c:v>-5.9933007743885403E-3</c:v>
                </c:pt>
                <c:pt idx="111">
                  <c:v>-5.8227885229532898E-3</c:v>
                </c:pt>
                <c:pt idx="112">
                  <c:v>-1.0594805418148499E-3</c:v>
                </c:pt>
                <c:pt idx="113">
                  <c:v>1.5395446440410201E-3</c:v>
                </c:pt>
                <c:pt idx="114">
                  <c:v>1.4112184346672799E-3</c:v>
                </c:pt>
                <c:pt idx="115">
                  <c:v>2.6088519338464799E-3</c:v>
                </c:pt>
                <c:pt idx="116">
                  <c:v>-2.3478050439776398E-3</c:v>
                </c:pt>
                <c:pt idx="117">
                  <c:v>-2.9360112206671799E-3</c:v>
                </c:pt>
                <c:pt idx="118">
                  <c:v>1.3490086060239501E-3</c:v>
                </c:pt>
                <c:pt idx="119">
                  <c:v>7.3349598194785996E-4</c:v>
                </c:pt>
                <c:pt idx="120">
                  <c:v>1.2825160534022299E-3</c:v>
                </c:pt>
                <c:pt idx="121">
                  <c:v>5.1738858746341997E-3</c:v>
                </c:pt>
                <c:pt idx="122">
                  <c:v>4.6772710358526804E-3</c:v>
                </c:pt>
                <c:pt idx="123">
                  <c:v>5.0679187609255797E-3</c:v>
                </c:pt>
                <c:pt idx="124">
                  <c:v>7.3418170186500299E-3</c:v>
                </c:pt>
                <c:pt idx="125">
                  <c:v>3.2028223458326999E-3</c:v>
                </c:pt>
                <c:pt idx="126">
                  <c:v>1.5107436554519999E-3</c:v>
                </c:pt>
                <c:pt idx="127">
                  <c:v>-1.8262272991455801E-4</c:v>
                </c:pt>
                <c:pt idx="128">
                  <c:v>4.0462879267939101E-4</c:v>
                </c:pt>
                <c:pt idx="129">
                  <c:v>-3.2642516077004099E-5</c:v>
                </c:pt>
                <c:pt idx="130">
                  <c:v>3.61304211894691E-3</c:v>
                </c:pt>
                <c:pt idx="131">
                  <c:v>2.5427818688617898E-3</c:v>
                </c:pt>
                <c:pt idx="132">
                  <c:v>2.4110895227868298E-3</c:v>
                </c:pt>
                <c:pt idx="133">
                  <c:v>5.0703999448257304E-3</c:v>
                </c:pt>
                <c:pt idx="134">
                  <c:v>3.0634519291257499E-3</c:v>
                </c:pt>
                <c:pt idx="135">
                  <c:v>4.2749684443708098E-3</c:v>
                </c:pt>
                <c:pt idx="136">
                  <c:v>2.82871999203538E-3</c:v>
                </c:pt>
                <c:pt idx="137">
                  <c:v>1.12964937712542E-3</c:v>
                </c:pt>
                <c:pt idx="138">
                  <c:v>1.2544841913324299E-4</c:v>
                </c:pt>
                <c:pt idx="139">
                  <c:v>-6.0074445416571595E-4</c:v>
                </c:pt>
                <c:pt idx="140">
                  <c:v>1.0800528594797499E-3</c:v>
                </c:pt>
                <c:pt idx="141">
                  <c:v>2.1159851291665701E-3</c:v>
                </c:pt>
                <c:pt idx="142">
                  <c:v>4.6088647412631202E-3</c:v>
                </c:pt>
                <c:pt idx="143">
                  <c:v>5.6168602716143903E-3</c:v>
                </c:pt>
                <c:pt idx="144">
                  <c:v>5.1822963899832196E-3</c:v>
                </c:pt>
                <c:pt idx="145">
                  <c:v>3.3556466751442299E-3</c:v>
                </c:pt>
                <c:pt idx="146">
                  <c:v>3.2946844863477199E-3</c:v>
                </c:pt>
                <c:pt idx="147">
                  <c:v>2.3495861084622798E-3</c:v>
                </c:pt>
                <c:pt idx="148">
                  <c:v>3.4406648472557798E-3</c:v>
                </c:pt>
                <c:pt idx="149">
                  <c:v>-1.0434207778302299E-3</c:v>
                </c:pt>
                <c:pt idx="150">
                  <c:v>-1.1977330716556401E-3</c:v>
                </c:pt>
                <c:pt idx="151">
                  <c:v>-1.5479133118380499E-3</c:v>
                </c:pt>
                <c:pt idx="152">
                  <c:v>-2.2088444585190502E-3</c:v>
                </c:pt>
                <c:pt idx="153">
                  <c:v>-1.92836514842207E-3</c:v>
                </c:pt>
                <c:pt idx="154">
                  <c:v>-1.92300579570204E-3</c:v>
                </c:pt>
                <c:pt idx="155">
                  <c:v>-2.5932619583483598E-3</c:v>
                </c:pt>
                <c:pt idx="156">
                  <c:v>8.3200629848705998E-4</c:v>
                </c:pt>
                <c:pt idx="157">
                  <c:v>1.69305478346361E-3</c:v>
                </c:pt>
                <c:pt idx="158">
                  <c:v>2.4374595008062301E-3</c:v>
                </c:pt>
                <c:pt idx="159">
                  <c:v>1.55730610232958E-3</c:v>
                </c:pt>
                <c:pt idx="160">
                  <c:v>5.3232741528162399E-3</c:v>
                </c:pt>
                <c:pt idx="161">
                  <c:v>4.54412657607691E-3</c:v>
                </c:pt>
                <c:pt idx="162">
                  <c:v>3.9909623224655003E-3</c:v>
                </c:pt>
                <c:pt idx="163">
                  <c:v>2.1958650838430202E-3</c:v>
                </c:pt>
                <c:pt idx="164">
                  <c:v>2.6453475490749601E-3</c:v>
                </c:pt>
                <c:pt idx="165">
                  <c:v>2.2456526290753E-3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E0-422E-A535-B23D3AF9E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33A-49D0-886D-7CB593323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XLF_IYF_2!$BY$22:$BY$167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-3.3891025522630319E-5</c:v>
                </c:pt>
                <c:pt idx="3">
                  <c:v>1.2402774542120687E-3</c:v>
                </c:pt>
                <c:pt idx="4">
                  <c:v>-1.6891817463521308E-3</c:v>
                </c:pt>
                <c:pt idx="5">
                  <c:v>-3.9721592361314706E-3</c:v>
                </c:pt>
                <c:pt idx="6">
                  <c:v>2.1692315147275962E-4</c:v>
                </c:pt>
                <c:pt idx="7">
                  <c:v>2.1692315147275962E-4</c:v>
                </c:pt>
                <c:pt idx="8">
                  <c:v>2.1692315147275962E-4</c:v>
                </c:pt>
                <c:pt idx="9">
                  <c:v>2.1692315147275962E-4</c:v>
                </c:pt>
                <c:pt idx="10">
                  <c:v>2.6859622988468388E-3</c:v>
                </c:pt>
                <c:pt idx="11">
                  <c:v>2.4690281477452881E-3</c:v>
                </c:pt>
                <c:pt idx="12">
                  <c:v>2.3686745200113685E-3</c:v>
                </c:pt>
                <c:pt idx="13">
                  <c:v>4.2290152805113581E-3</c:v>
                </c:pt>
                <c:pt idx="14">
                  <c:v>4.2290152805113581E-3</c:v>
                </c:pt>
                <c:pt idx="15">
                  <c:v>3.5716345605592481E-3</c:v>
                </c:pt>
                <c:pt idx="16">
                  <c:v>6.1130194358285468E-3</c:v>
                </c:pt>
                <c:pt idx="17">
                  <c:v>6.2573481240476474E-3</c:v>
                </c:pt>
                <c:pt idx="18">
                  <c:v>1.0237099043799745E-2</c:v>
                </c:pt>
                <c:pt idx="19">
                  <c:v>1.219692770711369E-2</c:v>
                </c:pt>
                <c:pt idx="20">
                  <c:v>9.8642069603388401E-3</c:v>
                </c:pt>
                <c:pt idx="21">
                  <c:v>1.0181051109386869E-2</c:v>
                </c:pt>
                <c:pt idx="22">
                  <c:v>9.14591936847442E-3</c:v>
                </c:pt>
                <c:pt idx="23">
                  <c:v>6.9158455102615191E-3</c:v>
                </c:pt>
                <c:pt idx="24">
                  <c:v>7.0853018594333886E-3</c:v>
                </c:pt>
                <c:pt idx="25">
                  <c:v>7.3513796942298593E-3</c:v>
                </c:pt>
                <c:pt idx="26">
                  <c:v>7.7614757814441094E-3</c:v>
                </c:pt>
                <c:pt idx="27">
                  <c:v>7.5571832166056088E-3</c:v>
                </c:pt>
                <c:pt idx="28">
                  <c:v>6.1569045717069764E-3</c:v>
                </c:pt>
                <c:pt idx="29">
                  <c:v>6.1272854746040866E-3</c:v>
                </c:pt>
                <c:pt idx="30">
                  <c:v>6.1272854746040866E-3</c:v>
                </c:pt>
                <c:pt idx="31">
                  <c:v>9.5447115062214268E-3</c:v>
                </c:pt>
                <c:pt idx="32">
                  <c:v>1.012496613988524E-2</c:v>
                </c:pt>
                <c:pt idx="33">
                  <c:v>1.2648384855294171E-2</c:v>
                </c:pt>
                <c:pt idx="34">
                  <c:v>1.2648384855294171E-2</c:v>
                </c:pt>
                <c:pt idx="35">
                  <c:v>1.2648384855294171E-2</c:v>
                </c:pt>
                <c:pt idx="36">
                  <c:v>1.2648384855294171E-2</c:v>
                </c:pt>
                <c:pt idx="37">
                  <c:v>1.2648384855294171E-2</c:v>
                </c:pt>
                <c:pt idx="38">
                  <c:v>1.2648384855294171E-2</c:v>
                </c:pt>
                <c:pt idx="39">
                  <c:v>1.4742765889352742E-2</c:v>
                </c:pt>
                <c:pt idx="40">
                  <c:v>1.4742765889352742E-2</c:v>
                </c:pt>
                <c:pt idx="41">
                  <c:v>1.2765766391783222E-2</c:v>
                </c:pt>
                <c:pt idx="42">
                  <c:v>1.1708747205132262E-2</c:v>
                </c:pt>
                <c:pt idx="43">
                  <c:v>1.2519771666185732E-2</c:v>
                </c:pt>
                <c:pt idx="44">
                  <c:v>1.1429213276149403E-2</c:v>
                </c:pt>
                <c:pt idx="45">
                  <c:v>1.1644085022127604E-2</c:v>
                </c:pt>
                <c:pt idx="46">
                  <c:v>1.0754430725849773E-2</c:v>
                </c:pt>
                <c:pt idx="47">
                  <c:v>1.0507988093673773E-2</c:v>
                </c:pt>
                <c:pt idx="48">
                  <c:v>1.1479624446119576E-2</c:v>
                </c:pt>
                <c:pt idx="49">
                  <c:v>1.1212487536865746E-2</c:v>
                </c:pt>
                <c:pt idx="50">
                  <c:v>1.2276957966754206E-2</c:v>
                </c:pt>
                <c:pt idx="51">
                  <c:v>1.2482313832256486E-2</c:v>
                </c:pt>
                <c:pt idx="52">
                  <c:v>1.1647824842802936E-2</c:v>
                </c:pt>
                <c:pt idx="53">
                  <c:v>1.1235594117164967E-2</c:v>
                </c:pt>
                <c:pt idx="54">
                  <c:v>9.5642438683067269E-3</c:v>
                </c:pt>
                <c:pt idx="55">
                  <c:v>1.0879492499534037E-2</c:v>
                </c:pt>
                <c:pt idx="56">
                  <c:v>8.7764213603870964E-3</c:v>
                </c:pt>
                <c:pt idx="57">
                  <c:v>8.5246150101953265E-3</c:v>
                </c:pt>
                <c:pt idx="58">
                  <c:v>9.6138347401580372E-3</c:v>
                </c:pt>
                <c:pt idx="59">
                  <c:v>8.5341088892356264E-3</c:v>
                </c:pt>
                <c:pt idx="60">
                  <c:v>1.9337480497332575E-2</c:v>
                </c:pt>
                <c:pt idx="61">
                  <c:v>2.4755188000951205E-2</c:v>
                </c:pt>
                <c:pt idx="62">
                  <c:v>2.5085320648941676E-2</c:v>
                </c:pt>
                <c:pt idx="63">
                  <c:v>2.3387533222356836E-2</c:v>
                </c:pt>
                <c:pt idx="64">
                  <c:v>2.7417206464708133E-2</c:v>
                </c:pt>
                <c:pt idx="65">
                  <c:v>2.7417206464708133E-2</c:v>
                </c:pt>
                <c:pt idx="66">
                  <c:v>3.1026255987038863E-2</c:v>
                </c:pt>
                <c:pt idx="67">
                  <c:v>3.1026255987038863E-2</c:v>
                </c:pt>
                <c:pt idx="68">
                  <c:v>3.1026255987038863E-2</c:v>
                </c:pt>
                <c:pt idx="69">
                  <c:v>3.1026255987038863E-2</c:v>
                </c:pt>
                <c:pt idx="70">
                  <c:v>3.2398260114131362E-2</c:v>
                </c:pt>
                <c:pt idx="71">
                  <c:v>3.259112965142457E-2</c:v>
                </c:pt>
                <c:pt idx="72">
                  <c:v>3.024329797153695E-2</c:v>
                </c:pt>
                <c:pt idx="73">
                  <c:v>2.7847775564255849E-2</c:v>
                </c:pt>
                <c:pt idx="74">
                  <c:v>2.8270262145678446E-2</c:v>
                </c:pt>
                <c:pt idx="75">
                  <c:v>2.9232536584481349E-2</c:v>
                </c:pt>
                <c:pt idx="76">
                  <c:v>3.1369128523683697E-2</c:v>
                </c:pt>
                <c:pt idx="77">
                  <c:v>3.0473276376936368E-2</c:v>
                </c:pt>
                <c:pt idx="78">
                  <c:v>3.2369098824883542E-2</c:v>
                </c:pt>
                <c:pt idx="79">
                  <c:v>3.2369098824883542E-2</c:v>
                </c:pt>
                <c:pt idx="80">
                  <c:v>3.2369098824883542E-2</c:v>
                </c:pt>
                <c:pt idx="81">
                  <c:v>3.2369098824883542E-2</c:v>
                </c:pt>
                <c:pt idx="82">
                  <c:v>3.2369098824883542E-2</c:v>
                </c:pt>
                <c:pt idx="83">
                  <c:v>3.2369098824883542E-2</c:v>
                </c:pt>
                <c:pt idx="84">
                  <c:v>3.2200944955836239E-2</c:v>
                </c:pt>
                <c:pt idx="85">
                  <c:v>3.2009560476466942E-2</c:v>
                </c:pt>
                <c:pt idx="86">
                  <c:v>3.2593869520083599E-2</c:v>
                </c:pt>
                <c:pt idx="87">
                  <c:v>3.1799418968233968E-2</c:v>
                </c:pt>
                <c:pt idx="88">
                  <c:v>3.2373840354276873E-2</c:v>
                </c:pt>
                <c:pt idx="89">
                  <c:v>3.0774656060563114E-2</c:v>
                </c:pt>
                <c:pt idx="90">
                  <c:v>2.8268308577770365E-2</c:v>
                </c:pt>
                <c:pt idx="91">
                  <c:v>2.8176941859841466E-2</c:v>
                </c:pt>
                <c:pt idx="92">
                  <c:v>2.8176941859841466E-2</c:v>
                </c:pt>
                <c:pt idx="93">
                  <c:v>3.0628022882985967E-2</c:v>
                </c:pt>
                <c:pt idx="94">
                  <c:v>3.0354901625015997E-2</c:v>
                </c:pt>
                <c:pt idx="95">
                  <c:v>3.1415157103470918E-2</c:v>
                </c:pt>
                <c:pt idx="96">
                  <c:v>3.1415157103470918E-2</c:v>
                </c:pt>
                <c:pt idx="97">
                  <c:v>3.0647393041454286E-2</c:v>
                </c:pt>
                <c:pt idx="98">
                  <c:v>3.4669710348902469E-2</c:v>
                </c:pt>
                <c:pt idx="99">
                  <c:v>3.5252004649042615E-2</c:v>
                </c:pt>
                <c:pt idx="100">
                  <c:v>3.4810035524222661E-2</c:v>
                </c:pt>
                <c:pt idx="101">
                  <c:v>3.0996539871440531E-2</c:v>
                </c:pt>
                <c:pt idx="102">
                  <c:v>3.1400718735900279E-2</c:v>
                </c:pt>
                <c:pt idx="103">
                  <c:v>3.0918497824575779E-2</c:v>
                </c:pt>
                <c:pt idx="104">
                  <c:v>2.8366936711870579E-2</c:v>
                </c:pt>
                <c:pt idx="105">
                  <c:v>3.2092923243490751E-2</c:v>
                </c:pt>
                <c:pt idx="106">
                  <c:v>3.3547655264272405E-2</c:v>
                </c:pt>
                <c:pt idx="107">
                  <c:v>3.5105470715522308E-2</c:v>
                </c:pt>
                <c:pt idx="108">
                  <c:v>3.4420707227519616E-2</c:v>
                </c:pt>
                <c:pt idx="109">
                  <c:v>3.4754997336200667E-2</c:v>
                </c:pt>
                <c:pt idx="110">
                  <c:v>3.0942860728977825E-2</c:v>
                </c:pt>
                <c:pt idx="111">
                  <c:v>3.1530339492354002E-2</c:v>
                </c:pt>
                <c:pt idx="112">
                  <c:v>3.1203721133472483E-2</c:v>
                </c:pt>
                <c:pt idx="113">
                  <c:v>2.8296083543021964E-2</c:v>
                </c:pt>
                <c:pt idx="114">
                  <c:v>3.0032527411154732E-2</c:v>
                </c:pt>
                <c:pt idx="115">
                  <c:v>2.8623265697483132E-2</c:v>
                </c:pt>
                <c:pt idx="116">
                  <c:v>2.9854556962969223E-2</c:v>
                </c:pt>
                <c:pt idx="117">
                  <c:v>3.1149572580259681E-2</c:v>
                </c:pt>
                <c:pt idx="118">
                  <c:v>3.177558086617277E-2</c:v>
                </c:pt>
                <c:pt idx="119">
                  <c:v>3.2356865343180559E-2</c:v>
                </c:pt>
                <c:pt idx="120">
                  <c:v>3.2356865343180559E-2</c:v>
                </c:pt>
                <c:pt idx="121">
                  <c:v>3.2356865343180559E-2</c:v>
                </c:pt>
                <c:pt idx="122">
                  <c:v>3.2356865343180559E-2</c:v>
                </c:pt>
                <c:pt idx="123">
                  <c:v>3.1114451977436071E-2</c:v>
                </c:pt>
                <c:pt idx="124">
                  <c:v>3.1276835438634826E-2</c:v>
                </c:pt>
                <c:pt idx="125">
                  <c:v>3.2966764841375937E-2</c:v>
                </c:pt>
                <c:pt idx="126">
                  <c:v>3.2788893274043177E-2</c:v>
                </c:pt>
                <c:pt idx="127">
                  <c:v>3.3413302095753446E-2</c:v>
                </c:pt>
                <c:pt idx="128">
                  <c:v>3.1954332124983546E-2</c:v>
                </c:pt>
                <c:pt idx="129">
                  <c:v>3.6032035853424342E-2</c:v>
                </c:pt>
                <c:pt idx="130">
                  <c:v>3.6032035853424342E-2</c:v>
                </c:pt>
                <c:pt idx="131">
                  <c:v>3.5713437641540266E-2</c:v>
                </c:pt>
                <c:pt idx="132">
                  <c:v>3.5097575261230959E-2</c:v>
                </c:pt>
                <c:pt idx="133">
                  <c:v>3.537590364460353E-2</c:v>
                </c:pt>
                <c:pt idx="134">
                  <c:v>3.5247581049019101E-2</c:v>
                </c:pt>
                <c:pt idx="135">
                  <c:v>3.4524046619334864E-2</c:v>
                </c:pt>
                <c:pt idx="136">
                  <c:v>3.7789323079656212E-2</c:v>
                </c:pt>
                <c:pt idx="137">
                  <c:v>3.7789323079656212E-2</c:v>
                </c:pt>
                <c:pt idx="138">
                  <c:v>3.7789323079656212E-2</c:v>
                </c:pt>
                <c:pt idx="139">
                  <c:v>3.8416061161794503E-2</c:v>
                </c:pt>
                <c:pt idx="140">
                  <c:v>3.4398735819297629E-2</c:v>
                </c:pt>
                <c:pt idx="141">
                  <c:v>3.4817777304930887E-2</c:v>
                </c:pt>
                <c:pt idx="142">
                  <c:v>3.5094193386849555E-2</c:v>
                </c:pt>
                <c:pt idx="143">
                  <c:v>3.6755185368209285E-2</c:v>
                </c:pt>
                <c:pt idx="144">
                  <c:v>3.6316396882219347E-2</c:v>
                </c:pt>
                <c:pt idx="145">
                  <c:v>3.6696799074701907E-2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02-4984-81C7-8232584EA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XLF_IYF_2!$BJ$22:$BJ$167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-3.3891025522630319E-5</c:v>
                </c:pt>
                <c:pt idx="3">
                  <c:v>1.2402774542120687E-3</c:v>
                </c:pt>
                <c:pt idx="4">
                  <c:v>-1.6891817463521308E-3</c:v>
                </c:pt>
                <c:pt idx="5">
                  <c:v>-3.9721592361314706E-3</c:v>
                </c:pt>
                <c:pt idx="6">
                  <c:v>2.1692315147275962E-4</c:v>
                </c:pt>
                <c:pt idx="7">
                  <c:v>2.1692315147275962E-4</c:v>
                </c:pt>
                <c:pt idx="8">
                  <c:v>2.1692315147275962E-4</c:v>
                </c:pt>
                <c:pt idx="9">
                  <c:v>2.1692315147275962E-4</c:v>
                </c:pt>
                <c:pt idx="10">
                  <c:v>2.6859622988468388E-3</c:v>
                </c:pt>
                <c:pt idx="11">
                  <c:v>2.4690281477452881E-3</c:v>
                </c:pt>
                <c:pt idx="12">
                  <c:v>2.3686745200113685E-3</c:v>
                </c:pt>
                <c:pt idx="13">
                  <c:v>4.2290152805113581E-3</c:v>
                </c:pt>
                <c:pt idx="14">
                  <c:v>4.2290152805113581E-3</c:v>
                </c:pt>
                <c:pt idx="15">
                  <c:v>3.5716345605592481E-3</c:v>
                </c:pt>
                <c:pt idx="16">
                  <c:v>6.1130194358285468E-3</c:v>
                </c:pt>
                <c:pt idx="17">
                  <c:v>6.2573481240476474E-3</c:v>
                </c:pt>
                <c:pt idx="18">
                  <c:v>1.0237099043799745E-2</c:v>
                </c:pt>
                <c:pt idx="19">
                  <c:v>1.0237099043799745E-2</c:v>
                </c:pt>
                <c:pt idx="20">
                  <c:v>1.0237099043799745E-2</c:v>
                </c:pt>
                <c:pt idx="21">
                  <c:v>1.0237099043799745E-2</c:v>
                </c:pt>
                <c:pt idx="22">
                  <c:v>1.0237099043799745E-2</c:v>
                </c:pt>
                <c:pt idx="23">
                  <c:v>1.0237099043799745E-2</c:v>
                </c:pt>
                <c:pt idx="24">
                  <c:v>1.0237099043799745E-2</c:v>
                </c:pt>
                <c:pt idx="25">
                  <c:v>1.0237099043799745E-2</c:v>
                </c:pt>
                <c:pt idx="26">
                  <c:v>1.0237099043799745E-2</c:v>
                </c:pt>
                <c:pt idx="27">
                  <c:v>1.0237099043799745E-2</c:v>
                </c:pt>
                <c:pt idx="28">
                  <c:v>1.0237099043799745E-2</c:v>
                </c:pt>
                <c:pt idx="29">
                  <c:v>1.0237099043799745E-2</c:v>
                </c:pt>
                <c:pt idx="30">
                  <c:v>1.0237099043799745E-2</c:v>
                </c:pt>
                <c:pt idx="31">
                  <c:v>1.0237099043799745E-2</c:v>
                </c:pt>
                <c:pt idx="32">
                  <c:v>1.0817353677463558E-2</c:v>
                </c:pt>
                <c:pt idx="33">
                  <c:v>1.3340772392872489E-2</c:v>
                </c:pt>
                <c:pt idx="34">
                  <c:v>1.3340772392872489E-2</c:v>
                </c:pt>
                <c:pt idx="35">
                  <c:v>1.3340772392872489E-2</c:v>
                </c:pt>
                <c:pt idx="36">
                  <c:v>1.3340772392872489E-2</c:v>
                </c:pt>
                <c:pt idx="37">
                  <c:v>1.3340772392872489E-2</c:v>
                </c:pt>
                <c:pt idx="38">
                  <c:v>1.3340772392872489E-2</c:v>
                </c:pt>
                <c:pt idx="39">
                  <c:v>1.543515342693106E-2</c:v>
                </c:pt>
                <c:pt idx="40">
                  <c:v>1.543515342693106E-2</c:v>
                </c:pt>
                <c:pt idx="41">
                  <c:v>1.345815392936154E-2</c:v>
                </c:pt>
                <c:pt idx="42">
                  <c:v>1.240113474271058E-2</c:v>
                </c:pt>
                <c:pt idx="43">
                  <c:v>1.321215920376405E-2</c:v>
                </c:pt>
                <c:pt idx="44">
                  <c:v>1.212160081372772E-2</c:v>
                </c:pt>
                <c:pt idx="45">
                  <c:v>1.2336472559705922E-2</c:v>
                </c:pt>
                <c:pt idx="46">
                  <c:v>1.1446818263428091E-2</c:v>
                </c:pt>
                <c:pt idx="47">
                  <c:v>1.1200375631252091E-2</c:v>
                </c:pt>
                <c:pt idx="48">
                  <c:v>1.2172011983697894E-2</c:v>
                </c:pt>
                <c:pt idx="49">
                  <c:v>1.1904875074444064E-2</c:v>
                </c:pt>
                <c:pt idx="50">
                  <c:v>1.2969345504332524E-2</c:v>
                </c:pt>
                <c:pt idx="51">
                  <c:v>1.3174701369834804E-2</c:v>
                </c:pt>
                <c:pt idx="52">
                  <c:v>1.2340212380381254E-2</c:v>
                </c:pt>
                <c:pt idx="53">
                  <c:v>1.1927981654743285E-2</c:v>
                </c:pt>
                <c:pt idx="54">
                  <c:v>1.0256631405885045E-2</c:v>
                </c:pt>
                <c:pt idx="55">
                  <c:v>1.1571880037112355E-2</c:v>
                </c:pt>
                <c:pt idx="56">
                  <c:v>9.4688088979654143E-3</c:v>
                </c:pt>
                <c:pt idx="57">
                  <c:v>9.2170025477736443E-3</c:v>
                </c:pt>
                <c:pt idx="58">
                  <c:v>1.0306222277736355E-2</c:v>
                </c:pt>
                <c:pt idx="59">
                  <c:v>9.2264964268139443E-3</c:v>
                </c:pt>
                <c:pt idx="60">
                  <c:v>2.0029868034910893E-2</c:v>
                </c:pt>
                <c:pt idx="61">
                  <c:v>2.0029868034910893E-2</c:v>
                </c:pt>
                <c:pt idx="62">
                  <c:v>2.0029868034910893E-2</c:v>
                </c:pt>
                <c:pt idx="63">
                  <c:v>2.0029868034910893E-2</c:v>
                </c:pt>
                <c:pt idx="64">
                  <c:v>2.0029868034910893E-2</c:v>
                </c:pt>
                <c:pt idx="65">
                  <c:v>2.0029868034910893E-2</c:v>
                </c:pt>
                <c:pt idx="66">
                  <c:v>2.3638917557241623E-2</c:v>
                </c:pt>
                <c:pt idx="67">
                  <c:v>2.3638917557241623E-2</c:v>
                </c:pt>
                <c:pt idx="68">
                  <c:v>2.3638917557241623E-2</c:v>
                </c:pt>
                <c:pt idx="69">
                  <c:v>2.3638917557241623E-2</c:v>
                </c:pt>
                <c:pt idx="70">
                  <c:v>2.3638917557241623E-2</c:v>
                </c:pt>
                <c:pt idx="71">
                  <c:v>2.3638917557241623E-2</c:v>
                </c:pt>
                <c:pt idx="72">
                  <c:v>2.3638917557241623E-2</c:v>
                </c:pt>
                <c:pt idx="73">
                  <c:v>2.3638917557241623E-2</c:v>
                </c:pt>
                <c:pt idx="74">
                  <c:v>2.3638917557241623E-2</c:v>
                </c:pt>
                <c:pt idx="75">
                  <c:v>2.3638917557241623E-2</c:v>
                </c:pt>
                <c:pt idx="76">
                  <c:v>2.3638917557241623E-2</c:v>
                </c:pt>
                <c:pt idx="77">
                  <c:v>2.3638917557241623E-2</c:v>
                </c:pt>
                <c:pt idx="78">
                  <c:v>2.3638917557241623E-2</c:v>
                </c:pt>
                <c:pt idx="79">
                  <c:v>2.3638917557241623E-2</c:v>
                </c:pt>
                <c:pt idx="80">
                  <c:v>2.3638917557241623E-2</c:v>
                </c:pt>
                <c:pt idx="81">
                  <c:v>2.3638917557241623E-2</c:v>
                </c:pt>
                <c:pt idx="82">
                  <c:v>2.3638917557241623E-2</c:v>
                </c:pt>
                <c:pt idx="83">
                  <c:v>2.3638917557241623E-2</c:v>
                </c:pt>
                <c:pt idx="84">
                  <c:v>2.3470763688194323E-2</c:v>
                </c:pt>
                <c:pt idx="85">
                  <c:v>2.3279379208825023E-2</c:v>
                </c:pt>
                <c:pt idx="86">
                  <c:v>2.3863688252441683E-2</c:v>
                </c:pt>
                <c:pt idx="87">
                  <c:v>2.3069237700592053E-2</c:v>
                </c:pt>
                <c:pt idx="88">
                  <c:v>2.3643659086634954E-2</c:v>
                </c:pt>
                <c:pt idx="89">
                  <c:v>2.2044474792921195E-2</c:v>
                </c:pt>
                <c:pt idx="90">
                  <c:v>1.9538127310128446E-2</c:v>
                </c:pt>
                <c:pt idx="91">
                  <c:v>1.9446760592199547E-2</c:v>
                </c:pt>
                <c:pt idx="92">
                  <c:v>1.9446760592199547E-2</c:v>
                </c:pt>
                <c:pt idx="93">
                  <c:v>2.1897841615344048E-2</c:v>
                </c:pt>
                <c:pt idx="94">
                  <c:v>2.1624720357374078E-2</c:v>
                </c:pt>
                <c:pt idx="95">
                  <c:v>2.2684975835828999E-2</c:v>
                </c:pt>
                <c:pt idx="96">
                  <c:v>2.2684975835828999E-2</c:v>
                </c:pt>
                <c:pt idx="97">
                  <c:v>2.1917211773812367E-2</c:v>
                </c:pt>
                <c:pt idx="98">
                  <c:v>2.593952908126055E-2</c:v>
                </c:pt>
                <c:pt idx="99">
                  <c:v>2.593952908126055E-2</c:v>
                </c:pt>
                <c:pt idx="100">
                  <c:v>2.593952908126055E-2</c:v>
                </c:pt>
                <c:pt idx="101">
                  <c:v>2.593952908126055E-2</c:v>
                </c:pt>
                <c:pt idx="102">
                  <c:v>2.593952908126055E-2</c:v>
                </c:pt>
                <c:pt idx="103">
                  <c:v>2.593952908126055E-2</c:v>
                </c:pt>
                <c:pt idx="104">
                  <c:v>2.593952908126055E-2</c:v>
                </c:pt>
                <c:pt idx="105">
                  <c:v>2.593952908126055E-2</c:v>
                </c:pt>
                <c:pt idx="106">
                  <c:v>2.593952908126055E-2</c:v>
                </c:pt>
                <c:pt idx="107">
                  <c:v>2.593952908126055E-2</c:v>
                </c:pt>
                <c:pt idx="108">
                  <c:v>2.593952908126055E-2</c:v>
                </c:pt>
                <c:pt idx="109">
                  <c:v>2.593952908126055E-2</c:v>
                </c:pt>
                <c:pt idx="110">
                  <c:v>2.593952908126055E-2</c:v>
                </c:pt>
                <c:pt idx="111">
                  <c:v>2.593952908126055E-2</c:v>
                </c:pt>
                <c:pt idx="112">
                  <c:v>2.593952908126055E-2</c:v>
                </c:pt>
                <c:pt idx="113">
                  <c:v>2.593952908126055E-2</c:v>
                </c:pt>
                <c:pt idx="114">
                  <c:v>2.593952908126055E-2</c:v>
                </c:pt>
                <c:pt idx="115">
                  <c:v>2.593952908126055E-2</c:v>
                </c:pt>
                <c:pt idx="116">
                  <c:v>2.593952908126055E-2</c:v>
                </c:pt>
                <c:pt idx="117">
                  <c:v>2.593952908126055E-2</c:v>
                </c:pt>
                <c:pt idx="118">
                  <c:v>2.593952908126055E-2</c:v>
                </c:pt>
                <c:pt idx="119">
                  <c:v>2.593952908126055E-2</c:v>
                </c:pt>
                <c:pt idx="120">
                  <c:v>2.593952908126055E-2</c:v>
                </c:pt>
                <c:pt idx="121">
                  <c:v>2.593952908126055E-2</c:v>
                </c:pt>
                <c:pt idx="122">
                  <c:v>2.593952908126055E-2</c:v>
                </c:pt>
                <c:pt idx="123">
                  <c:v>2.593952908126055E-2</c:v>
                </c:pt>
                <c:pt idx="124">
                  <c:v>2.593952908126055E-2</c:v>
                </c:pt>
                <c:pt idx="125">
                  <c:v>2.593952908126055E-2</c:v>
                </c:pt>
                <c:pt idx="126">
                  <c:v>2.593952908126055E-2</c:v>
                </c:pt>
                <c:pt idx="127">
                  <c:v>2.593952908126055E-2</c:v>
                </c:pt>
                <c:pt idx="128">
                  <c:v>2.593952908126055E-2</c:v>
                </c:pt>
                <c:pt idx="129">
                  <c:v>2.593952908126055E-2</c:v>
                </c:pt>
                <c:pt idx="130">
                  <c:v>2.593952908126055E-2</c:v>
                </c:pt>
                <c:pt idx="131">
                  <c:v>2.562093086937647E-2</c:v>
                </c:pt>
                <c:pt idx="132">
                  <c:v>2.500506848906716E-2</c:v>
                </c:pt>
                <c:pt idx="133">
                  <c:v>2.5283396872439731E-2</c:v>
                </c:pt>
                <c:pt idx="134">
                  <c:v>2.5155074276855302E-2</c:v>
                </c:pt>
                <c:pt idx="135">
                  <c:v>2.4431539847171065E-2</c:v>
                </c:pt>
                <c:pt idx="136">
                  <c:v>2.7696816307492416E-2</c:v>
                </c:pt>
                <c:pt idx="137">
                  <c:v>2.7696816307492416E-2</c:v>
                </c:pt>
                <c:pt idx="138">
                  <c:v>2.7696816307492416E-2</c:v>
                </c:pt>
                <c:pt idx="139">
                  <c:v>2.7696816307492416E-2</c:v>
                </c:pt>
                <c:pt idx="140">
                  <c:v>2.7696816307492416E-2</c:v>
                </c:pt>
                <c:pt idx="141">
                  <c:v>2.7696816307492416E-2</c:v>
                </c:pt>
                <c:pt idx="142">
                  <c:v>2.7696816307492416E-2</c:v>
                </c:pt>
                <c:pt idx="143">
                  <c:v>2.7696816307492416E-2</c:v>
                </c:pt>
                <c:pt idx="144">
                  <c:v>2.7696816307492416E-2</c:v>
                </c:pt>
                <c:pt idx="145">
                  <c:v>2.7696816307492416E-2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9D-4DAD-98A3-366CC8EF8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XLF_IYF_2!$BV$22:$BV$167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1.9598286633139448E-3</c:v>
                </c:pt>
                <c:pt idx="20">
                  <c:v>-3.7289208346090539E-4</c:v>
                </c:pt>
                <c:pt idx="21">
                  <c:v>-5.6047934412876109E-5</c:v>
                </c:pt>
                <c:pt idx="22">
                  <c:v>-1.0911796753253255E-3</c:v>
                </c:pt>
                <c:pt idx="23">
                  <c:v>-3.3212535335382263E-3</c:v>
                </c:pt>
                <c:pt idx="24">
                  <c:v>-3.1517971843663568E-3</c:v>
                </c:pt>
                <c:pt idx="25">
                  <c:v>-2.8857193495698862E-3</c:v>
                </c:pt>
                <c:pt idx="26">
                  <c:v>-2.4756232623556361E-3</c:v>
                </c:pt>
                <c:pt idx="27">
                  <c:v>-2.6799158271941367E-3</c:v>
                </c:pt>
                <c:pt idx="28">
                  <c:v>-4.0801944720927682E-3</c:v>
                </c:pt>
                <c:pt idx="29">
                  <c:v>-4.109813569195658E-3</c:v>
                </c:pt>
                <c:pt idx="30">
                  <c:v>-4.109813569195658E-3</c:v>
                </c:pt>
                <c:pt idx="31">
                  <c:v>-6.9238753757831784E-4</c:v>
                </c:pt>
                <c:pt idx="32">
                  <c:v>-6.9238753757831784E-4</c:v>
                </c:pt>
                <c:pt idx="33">
                  <c:v>-6.9238753757831784E-4</c:v>
                </c:pt>
                <c:pt idx="34">
                  <c:v>-6.9238753757831784E-4</c:v>
                </c:pt>
                <c:pt idx="35">
                  <c:v>-6.9238753757831784E-4</c:v>
                </c:pt>
                <c:pt idx="36">
                  <c:v>-6.9238753757831784E-4</c:v>
                </c:pt>
                <c:pt idx="37">
                  <c:v>-6.9238753757831784E-4</c:v>
                </c:pt>
                <c:pt idx="38">
                  <c:v>-6.9238753757831784E-4</c:v>
                </c:pt>
                <c:pt idx="39">
                  <c:v>-6.9238753757831784E-4</c:v>
                </c:pt>
                <c:pt idx="40">
                  <c:v>-6.9238753757831784E-4</c:v>
                </c:pt>
                <c:pt idx="41">
                  <c:v>-6.9238753757831784E-4</c:v>
                </c:pt>
                <c:pt idx="42">
                  <c:v>-6.9238753757831784E-4</c:v>
                </c:pt>
                <c:pt idx="43">
                  <c:v>-6.9238753757831784E-4</c:v>
                </c:pt>
                <c:pt idx="44">
                  <c:v>-6.9238753757831784E-4</c:v>
                </c:pt>
                <c:pt idx="45">
                  <c:v>-6.9238753757831784E-4</c:v>
                </c:pt>
                <c:pt idx="46">
                  <c:v>-6.9238753757831784E-4</c:v>
                </c:pt>
                <c:pt idx="47">
                  <c:v>-6.9238753757831784E-4</c:v>
                </c:pt>
                <c:pt idx="48">
                  <c:v>-6.9238753757831784E-4</c:v>
                </c:pt>
                <c:pt idx="49">
                  <c:v>-6.9238753757831784E-4</c:v>
                </c:pt>
                <c:pt idx="50">
                  <c:v>-6.9238753757831784E-4</c:v>
                </c:pt>
                <c:pt idx="51">
                  <c:v>-6.9238753757831784E-4</c:v>
                </c:pt>
                <c:pt idx="52">
                  <c:v>-6.9238753757831784E-4</c:v>
                </c:pt>
                <c:pt idx="53">
                  <c:v>-6.9238753757831784E-4</c:v>
                </c:pt>
                <c:pt idx="54">
                  <c:v>-6.9238753757831784E-4</c:v>
                </c:pt>
                <c:pt idx="55">
                  <c:v>-6.9238753757831784E-4</c:v>
                </c:pt>
                <c:pt idx="56">
                  <c:v>-6.9238753757831784E-4</c:v>
                </c:pt>
                <c:pt idx="57">
                  <c:v>-6.9238753757831784E-4</c:v>
                </c:pt>
                <c:pt idx="58">
                  <c:v>-6.9238753757831784E-4</c:v>
                </c:pt>
                <c:pt idx="59">
                  <c:v>-6.9238753757831784E-4</c:v>
                </c:pt>
                <c:pt idx="60">
                  <c:v>-6.9238753757831784E-4</c:v>
                </c:pt>
                <c:pt idx="61">
                  <c:v>4.7253199660403124E-3</c:v>
                </c:pt>
                <c:pt idx="62">
                  <c:v>5.055452614030783E-3</c:v>
                </c:pt>
                <c:pt idx="63">
                  <c:v>3.3576651874459426E-3</c:v>
                </c:pt>
                <c:pt idx="64">
                  <c:v>7.3873384297972406E-3</c:v>
                </c:pt>
                <c:pt idx="65">
                  <c:v>7.3873384297972406E-3</c:v>
                </c:pt>
                <c:pt idx="66">
                  <c:v>7.3873384297972406E-3</c:v>
                </c:pt>
                <c:pt idx="67">
                  <c:v>7.3873384297972406E-3</c:v>
                </c:pt>
                <c:pt idx="68">
                  <c:v>7.3873384297972406E-3</c:v>
                </c:pt>
                <c:pt idx="69">
                  <c:v>7.3873384297972406E-3</c:v>
                </c:pt>
                <c:pt idx="70">
                  <c:v>8.759342556889739E-3</c:v>
                </c:pt>
                <c:pt idx="71">
                  <c:v>8.952212094182949E-3</c:v>
                </c:pt>
                <c:pt idx="72">
                  <c:v>6.6043804142953289E-3</c:v>
                </c:pt>
                <c:pt idx="73">
                  <c:v>4.2088580070142288E-3</c:v>
                </c:pt>
                <c:pt idx="74">
                  <c:v>4.6313445884368278E-3</c:v>
                </c:pt>
                <c:pt idx="75">
                  <c:v>5.5936190272397289E-3</c:v>
                </c:pt>
                <c:pt idx="76">
                  <c:v>7.7302109664420787E-3</c:v>
                </c:pt>
                <c:pt idx="77">
                  <c:v>6.8343588196947483E-3</c:v>
                </c:pt>
                <c:pt idx="78">
                  <c:v>8.7301812676419226E-3</c:v>
                </c:pt>
                <c:pt idx="79">
                  <c:v>8.7301812676419226E-3</c:v>
                </c:pt>
                <c:pt idx="80">
                  <c:v>8.7301812676419226E-3</c:v>
                </c:pt>
                <c:pt idx="81">
                  <c:v>8.7301812676419226E-3</c:v>
                </c:pt>
                <c:pt idx="82">
                  <c:v>8.7301812676419226E-3</c:v>
                </c:pt>
                <c:pt idx="83">
                  <c:v>8.7301812676419226E-3</c:v>
                </c:pt>
                <c:pt idx="84">
                  <c:v>8.7301812676419226E-3</c:v>
                </c:pt>
                <c:pt idx="85">
                  <c:v>8.7301812676419226E-3</c:v>
                </c:pt>
                <c:pt idx="86">
                  <c:v>8.7301812676419226E-3</c:v>
                </c:pt>
                <c:pt idx="87">
                  <c:v>8.7301812676419226E-3</c:v>
                </c:pt>
                <c:pt idx="88">
                  <c:v>8.7301812676419226E-3</c:v>
                </c:pt>
                <c:pt idx="89">
                  <c:v>8.7301812676419226E-3</c:v>
                </c:pt>
                <c:pt idx="90">
                  <c:v>8.7301812676419226E-3</c:v>
                </c:pt>
                <c:pt idx="91">
                  <c:v>8.7301812676419226E-3</c:v>
                </c:pt>
                <c:pt idx="92">
                  <c:v>8.7301812676419226E-3</c:v>
                </c:pt>
                <c:pt idx="93">
                  <c:v>8.7301812676419226E-3</c:v>
                </c:pt>
                <c:pt idx="94">
                  <c:v>8.7301812676419226E-3</c:v>
                </c:pt>
                <c:pt idx="95">
                  <c:v>8.7301812676419226E-3</c:v>
                </c:pt>
                <c:pt idx="96">
                  <c:v>8.7301812676419226E-3</c:v>
                </c:pt>
                <c:pt idx="97">
                  <c:v>8.7301812676419226E-3</c:v>
                </c:pt>
                <c:pt idx="98">
                  <c:v>8.7301812676419226E-3</c:v>
                </c:pt>
                <c:pt idx="99">
                  <c:v>9.312475567782072E-3</c:v>
                </c:pt>
                <c:pt idx="100">
                  <c:v>8.8705064429621221E-3</c:v>
                </c:pt>
                <c:pt idx="101">
                  <c:v>5.0570107901799916E-3</c:v>
                </c:pt>
                <c:pt idx="102">
                  <c:v>5.4611896546397417E-3</c:v>
                </c:pt>
                <c:pt idx="103">
                  <c:v>4.9789687433152412E-3</c:v>
                </c:pt>
                <c:pt idx="104">
                  <c:v>2.4274076306100411E-3</c:v>
                </c:pt>
                <c:pt idx="105">
                  <c:v>6.1533941622302114E-3</c:v>
                </c:pt>
                <c:pt idx="106">
                  <c:v>7.6081261830118659E-3</c:v>
                </c:pt>
                <c:pt idx="107">
                  <c:v>9.1659416342617685E-3</c:v>
                </c:pt>
                <c:pt idx="108">
                  <c:v>8.4811781462590784E-3</c:v>
                </c:pt>
                <c:pt idx="109">
                  <c:v>8.815468254940128E-3</c:v>
                </c:pt>
                <c:pt idx="110">
                  <c:v>5.0033316477172875E-3</c:v>
                </c:pt>
                <c:pt idx="111">
                  <c:v>5.5908104110934673E-3</c:v>
                </c:pt>
                <c:pt idx="112">
                  <c:v>5.2641920522119474E-3</c:v>
                </c:pt>
                <c:pt idx="113">
                  <c:v>2.3565544617614276E-3</c:v>
                </c:pt>
                <c:pt idx="114">
                  <c:v>4.0929983298941975E-3</c:v>
                </c:pt>
                <c:pt idx="115">
                  <c:v>2.6837366162225972E-3</c:v>
                </c:pt>
                <c:pt idx="116">
                  <c:v>3.9150278817086876E-3</c:v>
                </c:pt>
                <c:pt idx="117">
                  <c:v>5.2100434989991442E-3</c:v>
                </c:pt>
                <c:pt idx="118">
                  <c:v>5.8360517849122343E-3</c:v>
                </c:pt>
                <c:pt idx="119">
                  <c:v>6.417336261920023E-3</c:v>
                </c:pt>
                <c:pt idx="120">
                  <c:v>6.417336261920023E-3</c:v>
                </c:pt>
                <c:pt idx="121">
                  <c:v>6.417336261920023E-3</c:v>
                </c:pt>
                <c:pt idx="122">
                  <c:v>6.417336261920023E-3</c:v>
                </c:pt>
                <c:pt idx="123">
                  <c:v>5.1749228961755333E-3</c:v>
                </c:pt>
                <c:pt idx="124">
                  <c:v>5.3373063573742916E-3</c:v>
                </c:pt>
                <c:pt idx="125">
                  <c:v>7.0272357601154009E-3</c:v>
                </c:pt>
                <c:pt idx="126">
                  <c:v>6.8493641927826407E-3</c:v>
                </c:pt>
                <c:pt idx="127">
                  <c:v>7.4737730144929107E-3</c:v>
                </c:pt>
                <c:pt idx="128">
                  <c:v>6.0148030437230104E-3</c:v>
                </c:pt>
                <c:pt idx="129">
                  <c:v>1.0092506772163803E-2</c:v>
                </c:pt>
                <c:pt idx="130">
                  <c:v>1.0092506772163803E-2</c:v>
                </c:pt>
                <c:pt idx="131">
                  <c:v>1.0092506772163803E-2</c:v>
                </c:pt>
                <c:pt idx="132">
                  <c:v>1.0092506772163803E-2</c:v>
                </c:pt>
                <c:pt idx="133">
                  <c:v>1.0092506772163803E-2</c:v>
                </c:pt>
                <c:pt idx="134">
                  <c:v>1.0092506772163803E-2</c:v>
                </c:pt>
                <c:pt idx="135">
                  <c:v>1.0092506772163803E-2</c:v>
                </c:pt>
                <c:pt idx="136">
                  <c:v>1.0092506772163803E-2</c:v>
                </c:pt>
                <c:pt idx="137">
                  <c:v>1.0092506772163803E-2</c:v>
                </c:pt>
                <c:pt idx="138">
                  <c:v>1.0092506772163803E-2</c:v>
                </c:pt>
                <c:pt idx="139">
                  <c:v>1.0719244854302092E-2</c:v>
                </c:pt>
                <c:pt idx="140">
                  <c:v>6.7019195118052204E-3</c:v>
                </c:pt>
                <c:pt idx="141">
                  <c:v>7.1209609974384807E-3</c:v>
                </c:pt>
                <c:pt idx="142">
                  <c:v>7.3973770793571494E-3</c:v>
                </c:pt>
                <c:pt idx="143">
                  <c:v>9.0583690607168796E-3</c:v>
                </c:pt>
                <c:pt idx="144">
                  <c:v>8.6195805747269396E-3</c:v>
                </c:pt>
                <c:pt idx="145">
                  <c:v>8.9999827672095009E-3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0A-4A2A-9383-858810AD5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0436C0-068B-4695-840B-AA4A2D215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F0BC60-36A2-4A44-8A76-6D3DE953C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2CEC11-C957-4024-BD8D-253EBC776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AA9218-FF43-4DFD-BAD1-810557110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BBB264-F477-4E66-80BB-7BA7DAFF98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C2DFB5-3B25-4664-B85B-AF4924046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8A3F678-66EF-4DBF-8C6F-F602507957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05C0850-C910-4A8C-929B-C200AE754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XLF_IYF_1.csv" TargetMode="External"/><Relationship Id="rId1" Type="http://schemas.openxmlformats.org/officeDocument/2006/relationships/externalLinkPath" Target="XLF_IYF_1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LF_IYF_1"/>
    </sheetNames>
    <sheetDataSet>
      <sheetData sheetId="0">
        <row r="1">
          <cell r="O1" t="str">
            <v>IYF/XLF avg</v>
          </cell>
          <cell r="P1" t="str">
            <v>IYF/XLF 10 dma</v>
          </cell>
          <cell r="Q1" t="str">
            <v>IYF/XLF 20 dma</v>
          </cell>
          <cell r="U1" t="str">
            <v>log diff XLF x avg / IYF</v>
          </cell>
          <cell r="V1" t="str">
            <v>log diff XLF x 10 dma / IYF</v>
          </cell>
          <cell r="W1" t="str">
            <v>log diff XLF x 20 dma / IYF</v>
          </cell>
          <cell r="Y1" t="str">
            <v>IYF*/XLF* avg</v>
          </cell>
          <cell r="Z1" t="str">
            <v>IYF*/XLF* 10 dma</v>
          </cell>
          <cell r="AA1" t="str">
            <v>IYF*/XLF* 20 dma</v>
          </cell>
          <cell r="AE1" t="str">
            <v>log diff XLF* x avg / IYF*</v>
          </cell>
          <cell r="AF1" t="str">
            <v>log diff XLF* x 10 dma / IYF*</v>
          </cell>
          <cell r="AG1" t="str">
            <v>log diff XLF* x 20 dma / IYF*</v>
          </cell>
        </row>
        <row r="2">
          <cell r="O2">
            <v>2.3820577689553399</v>
          </cell>
          <cell r="Y2">
            <v>2.38251038709886</v>
          </cell>
        </row>
        <row r="3">
          <cell r="O3">
            <v>2.3820577689553399</v>
          </cell>
          <cell r="U3">
            <v>6.9415285923566904E-3</v>
          </cell>
          <cell r="Y3">
            <v>2.38251038709886</v>
          </cell>
          <cell r="AE3">
            <v>7.1315219474963297E-3</v>
          </cell>
        </row>
        <row r="4">
          <cell r="O4">
            <v>2.3820577689553399</v>
          </cell>
          <cell r="U4">
            <v>1.00847532115212E-2</v>
          </cell>
          <cell r="Y4">
            <v>2.38251038709886</v>
          </cell>
          <cell r="AE4">
            <v>1.02747465666612E-2</v>
          </cell>
        </row>
        <row r="5">
          <cell r="O5">
            <v>2.3820577689553399</v>
          </cell>
          <cell r="U5">
            <v>1.23525614585514E-2</v>
          </cell>
          <cell r="Y5">
            <v>2.38251038709886</v>
          </cell>
          <cell r="AE5">
            <v>1.25425548136911E-2</v>
          </cell>
        </row>
        <row r="6">
          <cell r="O6">
            <v>2.3820577689553399</v>
          </cell>
          <cell r="U6">
            <v>1.03193564345174E-2</v>
          </cell>
          <cell r="Y6">
            <v>2.38251038709886</v>
          </cell>
          <cell r="AE6">
            <v>1.0509349789657301E-2</v>
          </cell>
        </row>
        <row r="7">
          <cell r="O7">
            <v>2.3820577689553399</v>
          </cell>
          <cell r="U7">
            <v>9.0203031898507206E-3</v>
          </cell>
          <cell r="Y7">
            <v>2.38251038709886</v>
          </cell>
          <cell r="AE7">
            <v>9.2102965449904206E-3</v>
          </cell>
        </row>
        <row r="8">
          <cell r="O8">
            <v>2.3820577689553399</v>
          </cell>
          <cell r="U8">
            <v>4.8252516476492901E-3</v>
          </cell>
          <cell r="Y8">
            <v>2.38251038709886</v>
          </cell>
          <cell r="AE8">
            <v>5.0152450027891801E-3</v>
          </cell>
        </row>
        <row r="9">
          <cell r="O9">
            <v>2.3820577689553399</v>
          </cell>
          <cell r="U9">
            <v>1.47037892156565E-4</v>
          </cell>
          <cell r="Y9">
            <v>2.38251038709886</v>
          </cell>
          <cell r="AE9">
            <v>3.3703124729642401E-4</v>
          </cell>
        </row>
        <row r="10">
          <cell r="O10">
            <v>2.3820577689553399</v>
          </cell>
          <cell r="U10">
            <v>-1.2185600783275099E-5</v>
          </cell>
          <cell r="Y10">
            <v>2.38251038709886</v>
          </cell>
          <cell r="AE10">
            <v>1.7780775435632601E-4</v>
          </cell>
        </row>
        <row r="11">
          <cell r="O11">
            <v>2.3820577689553399</v>
          </cell>
          <cell r="P11">
            <v>2.3676093284239799</v>
          </cell>
          <cell r="U11">
            <v>-1.9093362800115599E-3</v>
          </cell>
          <cell r="Y11">
            <v>2.38251038709886</v>
          </cell>
          <cell r="Z11">
            <v>2.3676093284239799</v>
          </cell>
          <cell r="AE11">
            <v>-1.71934292487173E-3</v>
          </cell>
        </row>
        <row r="12">
          <cell r="O12">
            <v>2.3820577689553399</v>
          </cell>
          <cell r="P12">
            <v>2.37008275897275</v>
          </cell>
          <cell r="U12">
            <v>-1.2390224938085999E-3</v>
          </cell>
          <cell r="V12">
            <v>-7.32302156261639E-3</v>
          </cell>
          <cell r="Y12">
            <v>2.38251038709886</v>
          </cell>
          <cell r="Z12">
            <v>2.37008275897275</v>
          </cell>
          <cell r="AE12">
            <v>-1.04902913866895E-3</v>
          </cell>
          <cell r="AF12">
            <v>-7.32302156261639E-3</v>
          </cell>
        </row>
        <row r="13">
          <cell r="O13">
            <v>2.3820577689553399</v>
          </cell>
          <cell r="P13">
            <v>2.3721525881421499</v>
          </cell>
          <cell r="U13">
            <v>-1.77018887382681E-3</v>
          </cell>
          <cell r="V13">
            <v>-6.8100378679286401E-3</v>
          </cell>
          <cell r="Y13">
            <v>2.38251038709886</v>
          </cell>
          <cell r="Z13">
            <v>2.3721525881421499</v>
          </cell>
          <cell r="AE13">
            <v>-1.5801955186870199E-3</v>
          </cell>
          <cell r="AF13">
            <v>-6.8100378679286401E-3</v>
          </cell>
        </row>
        <row r="14">
          <cell r="O14">
            <v>2.3820577689553399</v>
          </cell>
          <cell r="P14">
            <v>2.3754316355110299</v>
          </cell>
          <cell r="U14">
            <v>-3.7245905821007802E-3</v>
          </cell>
          <cell r="V14">
            <v>-7.8915055485433896E-3</v>
          </cell>
          <cell r="Y14">
            <v>2.38251038709886</v>
          </cell>
          <cell r="Z14">
            <v>2.3754316355110299</v>
          </cell>
          <cell r="AE14">
            <v>-3.5345972269610099E-3</v>
          </cell>
          <cell r="AF14">
            <v>-7.8915055485433896E-3</v>
          </cell>
        </row>
        <row r="15">
          <cell r="O15">
            <v>2.3820577689553399</v>
          </cell>
          <cell r="P15">
            <v>2.3787861525816099</v>
          </cell>
          <cell r="U15">
            <v>-1.8042234125923999E-3</v>
          </cell>
          <cell r="V15">
            <v>-4.58978410038867E-3</v>
          </cell>
          <cell r="Y15">
            <v>2.38251038709886</v>
          </cell>
          <cell r="Z15">
            <v>2.3787861525816099</v>
          </cell>
          <cell r="AE15">
            <v>-1.6142300574525201E-3</v>
          </cell>
          <cell r="AF15">
            <v>-4.58978410038867E-3</v>
          </cell>
        </row>
        <row r="16">
          <cell r="O16">
            <v>2.3820577689553399</v>
          </cell>
          <cell r="P16">
            <v>2.38182368056385</v>
          </cell>
          <cell r="U16">
            <v>-2.4823193249073699E-3</v>
          </cell>
          <cell r="V16">
            <v>-3.85670459887887E-3</v>
          </cell>
          <cell r="Y16">
            <v>2.38251038709886</v>
          </cell>
          <cell r="Z16">
            <v>2.38182368056385</v>
          </cell>
          <cell r="AE16">
            <v>-2.2923259697675701E-3</v>
          </cell>
          <cell r="AF16">
            <v>-3.85670459887887E-3</v>
          </cell>
        </row>
        <row r="17">
          <cell r="O17">
            <v>2.3820577689553399</v>
          </cell>
          <cell r="P17">
            <v>2.3844575480219499</v>
          </cell>
          <cell r="U17">
            <v>-2.0752128690900099E-3</v>
          </cell>
          <cell r="V17">
            <v>-2.1734891986548801E-3</v>
          </cell>
          <cell r="Y17">
            <v>2.38251038709886</v>
          </cell>
          <cell r="Z17">
            <v>2.3844575480219499</v>
          </cell>
          <cell r="AE17">
            <v>-1.8852195139503101E-3</v>
          </cell>
          <cell r="AF17">
            <v>-2.1734891986548801E-3</v>
          </cell>
        </row>
        <row r="18">
          <cell r="O18">
            <v>2.3820577689553399</v>
          </cell>
          <cell r="P18">
            <v>2.3866814241877501</v>
          </cell>
          <cell r="U18">
            <v>-4.5121217905016503E-3</v>
          </cell>
          <cell r="V18">
            <v>-3.5051894259603201E-3</v>
          </cell>
          <cell r="Y18">
            <v>2.38251038709886</v>
          </cell>
          <cell r="Z18">
            <v>2.3866814241877501</v>
          </cell>
          <cell r="AE18">
            <v>-4.3221284353619997E-3</v>
          </cell>
          <cell r="AF18">
            <v>-3.5051894259603201E-3</v>
          </cell>
        </row>
        <row r="19">
          <cell r="O19">
            <v>2.3820577689553399</v>
          </cell>
          <cell r="P19">
            <v>2.3876690017533702</v>
          </cell>
          <cell r="U19">
            <v>-3.9908996600400599E-3</v>
          </cell>
          <cell r="V19">
            <v>-2.0517469850807701E-3</v>
          </cell>
          <cell r="Y19">
            <v>2.38251038709886</v>
          </cell>
          <cell r="Z19">
            <v>2.3876690017533702</v>
          </cell>
          <cell r="AE19">
            <v>-3.8009063049004601E-3</v>
          </cell>
          <cell r="AF19">
            <v>-2.0517469850807701E-3</v>
          </cell>
        </row>
        <row r="20">
          <cell r="O20">
            <v>2.3820577689553399</v>
          </cell>
          <cell r="P20">
            <v>2.3879663912539502</v>
          </cell>
          <cell r="U20">
            <v>-1.2598480235615501E-3</v>
          </cell>
          <cell r="V20">
            <v>1.0930059894202801E-3</v>
          </cell>
          <cell r="Y20">
            <v>2.38251038709886</v>
          </cell>
          <cell r="Z20">
            <v>2.3879663912539502</v>
          </cell>
          <cell r="AE20">
            <v>-1.0698546684219401E-3</v>
          </cell>
          <cell r="AF20">
            <v>1.0930059894202801E-3</v>
          </cell>
        </row>
        <row r="21">
          <cell r="O21">
            <v>2.3820577689553399</v>
          </cell>
          <cell r="P21">
            <v>2.3882649457910099</v>
          </cell>
          <cell r="Q21">
            <v>2.37793713710749</v>
          </cell>
          <cell r="U21">
            <v>-3.1595108808414201E-3</v>
          </cell>
          <cell r="V21">
            <v>-6.8211239304345501E-4</v>
          </cell>
          <cell r="Y21">
            <v>2.38251038709886</v>
          </cell>
          <cell r="Z21">
            <v>2.3882649457910099</v>
          </cell>
          <cell r="AA21">
            <v>2.37793713710749</v>
          </cell>
          <cell r="AE21">
            <v>-2.96951752570174E-3</v>
          </cell>
          <cell r="AF21">
            <v>-6.8211239304345501E-4</v>
          </cell>
        </row>
        <row r="22">
          <cell r="O22">
            <v>2.3820577689553399</v>
          </cell>
          <cell r="P22">
            <v>2.3877242360348299</v>
          </cell>
          <cell r="Q22">
            <v>2.3789034975037899</v>
          </cell>
          <cell r="U22">
            <v>1.0306676890789201E-3</v>
          </cell>
          <cell r="V22">
            <v>3.6330829595138002E-3</v>
          </cell>
          <cell r="W22">
            <v>-7.00692515500642E-4</v>
          </cell>
          <cell r="Y22">
            <v>2.38251038709886</v>
          </cell>
          <cell r="Z22">
            <v>2.3877242360348299</v>
          </cell>
          <cell r="AA22">
            <v>2.3789034975037899</v>
          </cell>
          <cell r="AE22">
            <v>1.2206610442186299E-3</v>
          </cell>
          <cell r="AF22">
            <v>3.6330829595138002E-3</v>
          </cell>
          <cell r="AG22">
            <v>-7.00692515500642E-4</v>
          </cell>
          <cell r="BJ22">
            <v>0</v>
          </cell>
          <cell r="BV22">
            <v>0</v>
          </cell>
          <cell r="BY22">
            <v>0</v>
          </cell>
        </row>
        <row r="23">
          <cell r="O23">
            <v>2.3820577689553399</v>
          </cell>
          <cell r="P23">
            <v>2.3876168723051201</v>
          </cell>
          <cell r="Q23">
            <v>2.3798847302236399</v>
          </cell>
          <cell r="U23">
            <v>-1.3201663669467601E-3</v>
          </cell>
          <cell r="V23">
            <v>1.0558205185382001E-3</v>
          </cell>
          <cell r="W23">
            <v>-2.6452231092832798E-3</v>
          </cell>
          <cell r="Y23">
            <v>2.38251038709886</v>
          </cell>
          <cell r="Z23">
            <v>2.3876168723051201</v>
          </cell>
          <cell r="AA23">
            <v>2.3798847302236399</v>
          </cell>
          <cell r="AE23">
            <v>-1.13017301180715E-3</v>
          </cell>
          <cell r="AF23">
            <v>1.0558205185382001E-3</v>
          </cell>
          <cell r="AG23">
            <v>-2.6452231092832798E-3</v>
          </cell>
          <cell r="BJ23">
            <v>0</v>
          </cell>
          <cell r="BV23">
            <v>0</v>
          </cell>
          <cell r="BY23">
            <v>0</v>
          </cell>
        </row>
        <row r="24">
          <cell r="O24">
            <v>2.3820577689553399</v>
          </cell>
          <cell r="P24">
            <v>2.3870507617583701</v>
          </cell>
          <cell r="Q24">
            <v>2.3812411986347</v>
          </cell>
          <cell r="U24">
            <v>-1.3540573924693501E-3</v>
          </cell>
          <cell r="V24">
            <v>9.7696360375718007E-4</v>
          </cell>
          <cell r="W24">
            <v>-2.2667264903907299E-3</v>
          </cell>
          <cell r="Y24">
            <v>2.38251038709886</v>
          </cell>
          <cell r="Z24">
            <v>2.3870507617583701</v>
          </cell>
          <cell r="AA24">
            <v>2.3812411986347</v>
          </cell>
          <cell r="AE24">
            <v>-1.1640640373296301E-3</v>
          </cell>
          <cell r="AF24">
            <v>9.7696360375718007E-4</v>
          </cell>
          <cell r="AG24">
            <v>-2.2667264903907299E-3</v>
          </cell>
          <cell r="BJ24">
            <v>-3.3891025522630319E-5</v>
          </cell>
          <cell r="BV24">
            <v>0</v>
          </cell>
          <cell r="BY24">
            <v>-3.3891025522630319E-5</v>
          </cell>
        </row>
        <row r="25">
          <cell r="O25">
            <v>2.3820577689553399</v>
          </cell>
          <cell r="P25">
            <v>2.3866396281397302</v>
          </cell>
          <cell r="Q25">
            <v>2.3827128903606698</v>
          </cell>
          <cell r="U25">
            <v>-7.9888912734580195E-5</v>
          </cell>
          <cell r="V25">
            <v>2.01400121165123E-3</v>
          </cell>
          <cell r="W25">
            <v>-4.2274806736380098E-4</v>
          </cell>
          <cell r="Y25">
            <v>2.38251038709886</v>
          </cell>
          <cell r="Z25">
            <v>2.3866396281397302</v>
          </cell>
          <cell r="AA25">
            <v>2.3827128903606698</v>
          </cell>
          <cell r="AE25">
            <v>1.1010444240509401E-4</v>
          </cell>
          <cell r="AF25">
            <v>2.01400121165123E-3</v>
          </cell>
          <cell r="AG25">
            <v>-4.2274806736380098E-4</v>
          </cell>
          <cell r="BJ25">
            <v>1.2402774542120687E-3</v>
          </cell>
          <cell r="BV25">
            <v>0</v>
          </cell>
          <cell r="BY25">
            <v>1.2402774542120687E-3</v>
          </cell>
        </row>
        <row r="26">
          <cell r="O26">
            <v>2.3820577689553399</v>
          </cell>
          <cell r="P26">
            <v>2.38676551463241</v>
          </cell>
          <cell r="Q26">
            <v>2.3842945975981298</v>
          </cell>
          <cell r="U26">
            <v>-3.00934811329892E-3</v>
          </cell>
          <cell r="V26">
            <v>-1.0877077940201301E-3</v>
          </cell>
          <cell r="W26">
            <v>-2.7343626181712101E-3</v>
          </cell>
          <cell r="Y26">
            <v>2.38251038709886</v>
          </cell>
          <cell r="Z26">
            <v>2.38676551463241</v>
          </cell>
          <cell r="AA26">
            <v>2.3842945975981298</v>
          </cell>
          <cell r="AE26">
            <v>-2.81935475815918E-3</v>
          </cell>
          <cell r="AF26">
            <v>-1.0877077940201301E-3</v>
          </cell>
          <cell r="AG26">
            <v>-2.7343626181712101E-3</v>
          </cell>
          <cell r="BJ26">
            <v>-1.6891817463521308E-3</v>
          </cell>
          <cell r="BV26">
            <v>0</v>
          </cell>
          <cell r="BY26">
            <v>-1.6891817463521308E-3</v>
          </cell>
        </row>
        <row r="27">
          <cell r="O27">
            <v>2.3820577689553399</v>
          </cell>
          <cell r="P27">
            <v>2.3875346780090001</v>
          </cell>
          <cell r="Q27">
            <v>2.3859961130154699</v>
          </cell>
          <cell r="U27">
            <v>-5.29232560307831E-3</v>
          </cell>
          <cell r="V27">
            <v>-3.3179403401186998E-3</v>
          </cell>
          <cell r="W27">
            <v>-4.3537341457173797E-3</v>
          </cell>
          <cell r="Y27">
            <v>2.38251038709886</v>
          </cell>
          <cell r="Z27">
            <v>2.3875346780090001</v>
          </cell>
          <cell r="AA27">
            <v>2.3859961130154699</v>
          </cell>
          <cell r="AE27">
            <v>-5.1023322479385102E-3</v>
          </cell>
          <cell r="AF27">
            <v>-3.3179403401186998E-3</v>
          </cell>
          <cell r="AG27">
            <v>-4.3537341457173797E-3</v>
          </cell>
          <cell r="BJ27">
            <v>-3.9721592361314706E-3</v>
          </cell>
          <cell r="BV27">
            <v>0</v>
          </cell>
          <cell r="BY27">
            <v>-3.9721592361314706E-3</v>
          </cell>
        </row>
        <row r="28">
          <cell r="O28">
            <v>2.3820577689553399</v>
          </cell>
          <cell r="P28">
            <v>2.3867203799627399</v>
          </cell>
          <cell r="Q28">
            <v>2.3867009020752499</v>
          </cell>
          <cell r="U28">
            <v>-1.1032432154739499E-3</v>
          </cell>
          <cell r="V28">
            <v>1.1933519430548699E-3</v>
          </cell>
          <cell r="W28">
            <v>5.4872844981196205E-4</v>
          </cell>
          <cell r="Y28">
            <v>2.38251038709886</v>
          </cell>
          <cell r="Z28">
            <v>2.3867203799627399</v>
          </cell>
          <cell r="AA28">
            <v>2.3867009020752499</v>
          </cell>
          <cell r="AE28">
            <v>-9.1324986033430595E-4</v>
          </cell>
          <cell r="AF28">
            <v>1.1933519430548699E-3</v>
          </cell>
          <cell r="AG28">
            <v>5.4872844981196205E-4</v>
          </cell>
          <cell r="BJ28">
            <v>2.1692315147275962E-4</v>
          </cell>
          <cell r="BV28">
            <v>0</v>
          </cell>
          <cell r="BY28">
            <v>2.1692315147275962E-4</v>
          </cell>
        </row>
        <row r="29">
          <cell r="O29">
            <v>2.3820577689553399</v>
          </cell>
          <cell r="P29">
            <v>2.3858252260556498</v>
          </cell>
          <cell r="Q29">
            <v>2.38674711390451</v>
          </cell>
          <cell r="U29">
            <v>-2.40943120398356E-4</v>
          </cell>
          <cell r="V29">
            <v>1.7145315725202899E-3</v>
          </cell>
          <cell r="W29">
            <v>1.7063705968416399E-3</v>
          </cell>
          <cell r="Y29">
            <v>2.38251038709886</v>
          </cell>
          <cell r="Z29">
            <v>2.3858252260556498</v>
          </cell>
          <cell r="AA29">
            <v>2.38674711390451</v>
          </cell>
          <cell r="AE29">
            <v>-5.0949765258574401E-5</v>
          </cell>
          <cell r="AF29">
            <v>1.7145315725202899E-3</v>
          </cell>
          <cell r="AG29">
            <v>1.7063705968416399E-3</v>
          </cell>
          <cell r="BJ29">
            <v>2.1692315147275962E-4</v>
          </cell>
          <cell r="BV29">
            <v>0</v>
          </cell>
          <cell r="BY29">
            <v>2.1692315147275962E-4</v>
          </cell>
        </row>
        <row r="30">
          <cell r="O30">
            <v>2.3820577689553399</v>
          </cell>
          <cell r="P30">
            <v>2.38589528387178</v>
          </cell>
          <cell r="Q30">
            <v>2.38693083756286</v>
          </cell>
          <cell r="U30">
            <v>-1.55354088073964E-3</v>
          </cell>
          <cell r="V30">
            <v>2.68074157096326E-5</v>
          </cell>
          <cell r="W30">
            <v>4.1313486960939898E-4</v>
          </cell>
          <cell r="Y30">
            <v>2.38251038709886</v>
          </cell>
          <cell r="Z30">
            <v>2.38589528387178</v>
          </cell>
          <cell r="AA30">
            <v>2.38693083756286</v>
          </cell>
          <cell r="AE30">
            <v>-1.36354752559993E-3</v>
          </cell>
          <cell r="AF30">
            <v>2.68074157096326E-5</v>
          </cell>
          <cell r="AG30">
            <v>4.1313486960939898E-4</v>
          </cell>
          <cell r="BJ30">
            <v>2.1692315147275962E-4</v>
          </cell>
          <cell r="BV30">
            <v>0</v>
          </cell>
          <cell r="BY30">
            <v>2.1692315147275962E-4</v>
          </cell>
        </row>
        <row r="31">
          <cell r="O31">
            <v>2.3820577689553399</v>
          </cell>
          <cell r="P31">
            <v>2.3866840089385799</v>
          </cell>
          <cell r="Q31">
            <v>2.38747447736479</v>
          </cell>
          <cell r="U31">
            <v>-6.4547387320977104E-3</v>
          </cell>
          <cell r="V31">
            <v>-4.8450266805908897E-3</v>
          </cell>
          <cell r="W31">
            <v>-4.4110893524793304E-3</v>
          </cell>
          <cell r="Y31">
            <v>2.38251038709886</v>
          </cell>
          <cell r="Z31">
            <v>2.3866840089385799</v>
          </cell>
          <cell r="AA31">
            <v>2.38747447736479</v>
          </cell>
          <cell r="AE31">
            <v>-6.2647453769580702E-3</v>
          </cell>
          <cell r="AF31">
            <v>-4.8450266805908897E-3</v>
          </cell>
          <cell r="AG31">
            <v>-4.4110893524793304E-3</v>
          </cell>
          <cell r="BJ31">
            <v>2.1692315147275962E-4</v>
          </cell>
          <cell r="BV31">
            <v>0</v>
          </cell>
          <cell r="BY31">
            <v>2.1692315147275962E-4</v>
          </cell>
        </row>
        <row r="32">
          <cell r="O32">
            <v>2.3820577689553399</v>
          </cell>
          <cell r="P32">
            <v>2.3878807046865802</v>
          </cell>
          <cell r="Q32">
            <v>2.3878024703606999</v>
          </cell>
          <cell r="U32">
            <v>-3.9856995847236997E-3</v>
          </cell>
          <cell r="V32">
            <v>-2.0454639208898999E-3</v>
          </cell>
          <cell r="W32">
            <v>-1.71431930736155E-3</v>
          </cell>
          <cell r="Y32">
            <v>2.38251038709886</v>
          </cell>
          <cell r="Z32">
            <v>2.3878807046865802</v>
          </cell>
          <cell r="AA32">
            <v>2.3878024703606999</v>
          </cell>
          <cell r="AE32">
            <v>-3.7957062295839602E-3</v>
          </cell>
          <cell r="AF32">
            <v>-2.0454639208898999E-3</v>
          </cell>
          <cell r="AG32">
            <v>-1.71431930736155E-3</v>
          </cell>
          <cell r="BJ32">
            <v>2.6859622988468388E-3</v>
          </cell>
          <cell r="BV32">
            <v>0</v>
          </cell>
          <cell r="BY32">
            <v>2.6859622988468388E-3</v>
          </cell>
        </row>
        <row r="33">
          <cell r="O33">
            <v>2.3820577689553399</v>
          </cell>
          <cell r="P33">
            <v>2.3885692239577399</v>
          </cell>
          <cell r="Q33">
            <v>2.38809304813143</v>
          </cell>
          <cell r="U33">
            <v>-4.2026337358252296E-3</v>
          </cell>
          <cell r="V33">
            <v>-1.7611185439781101E-3</v>
          </cell>
          <cell r="W33">
            <v>-1.7938821604146201E-3</v>
          </cell>
          <cell r="Y33">
            <v>2.38251038709886</v>
          </cell>
          <cell r="Z33">
            <v>2.3885692239577399</v>
          </cell>
          <cell r="AA33">
            <v>2.38809304813143</v>
          </cell>
          <cell r="AE33">
            <v>-4.0126403806855704E-3</v>
          </cell>
          <cell r="AF33">
            <v>-1.7611185439781101E-3</v>
          </cell>
          <cell r="AG33">
            <v>-1.7938821604146201E-3</v>
          </cell>
          <cell r="BJ33">
            <v>2.4690281477452881E-3</v>
          </cell>
          <cell r="BV33">
            <v>0</v>
          </cell>
          <cell r="BY33">
            <v>2.4690281477452881E-3</v>
          </cell>
        </row>
        <row r="34">
          <cell r="O34">
            <v>2.3820577689553399</v>
          </cell>
          <cell r="P34">
            <v>2.3892736660820502</v>
          </cell>
          <cell r="Q34">
            <v>2.3881622139202099</v>
          </cell>
          <cell r="U34">
            <v>-4.3029873635592403E-3</v>
          </cell>
          <cell r="V34">
            <v>-1.57317467620453E-3</v>
          </cell>
          <cell r="W34">
            <v>-1.7725506424169301E-3</v>
          </cell>
          <cell r="Y34">
            <v>2.38251038709886</v>
          </cell>
          <cell r="Z34">
            <v>2.3892736660820502</v>
          </cell>
          <cell r="AA34">
            <v>2.3881622139202099</v>
          </cell>
          <cell r="AE34">
            <v>-4.1129940084194396E-3</v>
          </cell>
          <cell r="AF34">
            <v>-1.57317467620453E-3</v>
          </cell>
          <cell r="AG34">
            <v>-1.7725506424169301E-3</v>
          </cell>
          <cell r="BJ34">
            <v>2.3686745200113685E-3</v>
          </cell>
          <cell r="BV34">
            <v>0</v>
          </cell>
          <cell r="BY34">
            <v>2.3686745200113685E-3</v>
          </cell>
        </row>
        <row r="35">
          <cell r="O35">
            <v>2.3820577689553399</v>
          </cell>
          <cell r="P35">
            <v>2.3898371990621401</v>
          </cell>
          <cell r="Q35">
            <v>2.3882384136009298</v>
          </cell>
          <cell r="U35">
            <v>-2.4426466030590499E-3</v>
          </cell>
          <cell r="V35">
            <v>5.8204481749301196E-4</v>
          </cell>
          <cell r="W35">
            <v>1.16752468287791E-4</v>
          </cell>
          <cell r="Y35">
            <v>2.38251038709886</v>
          </cell>
          <cell r="Z35">
            <v>2.3898371990621401</v>
          </cell>
          <cell r="AA35">
            <v>2.3882384136009298</v>
          </cell>
          <cell r="AE35">
            <v>-2.2526532479193399E-3</v>
          </cell>
          <cell r="AF35">
            <v>5.8204481749301196E-4</v>
          </cell>
          <cell r="AG35">
            <v>1.16752468287791E-4</v>
          </cell>
          <cell r="BJ35">
            <v>4.2290152805113581E-3</v>
          </cell>
          <cell r="BV35">
            <v>0</v>
          </cell>
          <cell r="BY35">
            <v>4.2290152805113581E-3</v>
          </cell>
        </row>
        <row r="36">
          <cell r="O36">
            <v>2.3820577689553399</v>
          </cell>
          <cell r="P36">
            <v>2.3907518583066101</v>
          </cell>
          <cell r="Q36">
            <v>2.3887586864695098</v>
          </cell>
          <cell r="U36">
            <v>-6.8302872914971302E-3</v>
          </cell>
          <cell r="V36">
            <v>-3.56976414466622E-3</v>
          </cell>
          <cell r="W36">
            <v>-4.2389814825558097E-3</v>
          </cell>
          <cell r="Y36">
            <v>2.38251038709886</v>
          </cell>
          <cell r="Z36">
            <v>2.3907518583066101</v>
          </cell>
          <cell r="AA36">
            <v>2.3887586864695098</v>
          </cell>
          <cell r="AE36">
            <v>-6.6402939363575898E-3</v>
          </cell>
          <cell r="AF36">
            <v>-3.56976414466622E-3</v>
          </cell>
          <cell r="AG36">
            <v>-4.2389814825558097E-3</v>
          </cell>
          <cell r="BJ36">
            <v>4.2290152805113581E-3</v>
          </cell>
          <cell r="BV36">
            <v>0</v>
          </cell>
          <cell r="BY36">
            <v>4.2290152805113581E-3</v>
          </cell>
        </row>
        <row r="37">
          <cell r="O37">
            <v>2.3820577689553399</v>
          </cell>
          <cell r="P37">
            <v>2.3912781539611001</v>
          </cell>
          <cell r="Q37">
            <v>2.3894064159850501</v>
          </cell>
          <cell r="U37">
            <v>-7.48766801144934E-3</v>
          </cell>
          <cell r="V37">
            <v>-3.84448940326889E-3</v>
          </cell>
          <cell r="W37">
            <v>-4.6785379670161798E-3</v>
          </cell>
          <cell r="Y37">
            <v>2.38251038709886</v>
          </cell>
          <cell r="Z37">
            <v>2.3912781539611001</v>
          </cell>
          <cell r="AA37">
            <v>2.3894064159850501</v>
          </cell>
          <cell r="AE37">
            <v>-7.2976746563096799E-3</v>
          </cell>
          <cell r="AF37">
            <v>-3.84448940326889E-3</v>
          </cell>
          <cell r="AG37">
            <v>-4.6785379670161798E-3</v>
          </cell>
          <cell r="BJ37">
            <v>3.5716345605592481E-3</v>
          </cell>
          <cell r="BV37">
            <v>0</v>
          </cell>
          <cell r="BY37">
            <v>3.5716345605592481E-3</v>
          </cell>
        </row>
        <row r="38">
          <cell r="O38">
            <v>2.3820577689553399</v>
          </cell>
          <cell r="P38">
            <v>2.3921963620000501</v>
          </cell>
          <cell r="Q38">
            <v>2.3894583709813899</v>
          </cell>
          <cell r="U38">
            <v>-4.9462831361800803E-3</v>
          </cell>
          <cell r="V38">
            <v>-1.0829906201984599E-3</v>
          </cell>
          <cell r="W38">
            <v>-1.86603248138018E-3</v>
          </cell>
          <cell r="Y38">
            <v>2.38251038709886</v>
          </cell>
          <cell r="Z38">
            <v>2.3921963620000501</v>
          </cell>
          <cell r="AA38">
            <v>2.3894583709813899</v>
          </cell>
          <cell r="AE38">
            <v>-4.7562897810402996E-3</v>
          </cell>
          <cell r="AF38">
            <v>-1.0829906201984599E-3</v>
          </cell>
          <cell r="AG38">
            <v>-1.86603248138018E-3</v>
          </cell>
          <cell r="BJ38">
            <v>6.1130194358285468E-3</v>
          </cell>
          <cell r="BV38">
            <v>0</v>
          </cell>
          <cell r="BY38">
            <v>6.1130194358285468E-3</v>
          </cell>
        </row>
        <row r="39">
          <cell r="O39">
            <v>2.3820577689553399</v>
          </cell>
          <cell r="P39">
            <v>2.3932855650988101</v>
          </cell>
          <cell r="Q39">
            <v>2.3895553955772302</v>
          </cell>
          <cell r="U39">
            <v>-4.8019544479609303E-3</v>
          </cell>
          <cell r="V39">
            <v>-5.5475352098440596E-4</v>
          </cell>
          <cell r="W39">
            <v>-1.6999601370155299E-3</v>
          </cell>
          <cell r="Y39">
            <v>2.38251038709886</v>
          </cell>
          <cell r="Z39">
            <v>2.3932855650988101</v>
          </cell>
          <cell r="AA39">
            <v>2.3895553955772302</v>
          </cell>
          <cell r="AE39">
            <v>-4.6119610928211704E-3</v>
          </cell>
          <cell r="AF39">
            <v>-5.5475352098440596E-4</v>
          </cell>
          <cell r="AG39">
            <v>-1.6999601370155299E-3</v>
          </cell>
          <cell r="BJ39">
            <v>6.2573481240476474E-3</v>
          </cell>
          <cell r="BV39">
            <v>0</v>
          </cell>
          <cell r="BY39">
            <v>6.2573481240476474E-3</v>
          </cell>
        </row>
        <row r="40">
          <cell r="O40">
            <v>2.3820577689553399</v>
          </cell>
          <cell r="P40">
            <v>2.3931111492519599</v>
          </cell>
          <cell r="Q40">
            <v>2.3895032165618701</v>
          </cell>
          <cell r="U40">
            <v>-8.22203528208886E-4</v>
          </cell>
          <cell r="V40">
            <v>3.88020886300908E-3</v>
          </cell>
          <cell r="W40">
            <v>2.32039522565644E-3</v>
          </cell>
          <cell r="Y40">
            <v>2.38251038709886</v>
          </cell>
          <cell r="Z40">
            <v>2.3931111492519599</v>
          </cell>
          <cell r="AA40">
            <v>2.3895032165618701</v>
          </cell>
          <cell r="AE40">
            <v>-6.3221017306914703E-4</v>
          </cell>
          <cell r="AF40">
            <v>3.88020886300908E-3</v>
          </cell>
          <cell r="AG40">
            <v>2.32039522565644E-3</v>
          </cell>
          <cell r="BJ40">
            <v>1.0237099043799745E-2</v>
          </cell>
          <cell r="BV40">
            <v>0</v>
          </cell>
          <cell r="BY40">
            <v>1.0237099043799745E-2</v>
          </cell>
        </row>
        <row r="41">
          <cell r="O41">
            <v>2.3820577689553399</v>
          </cell>
          <cell r="P41">
            <v>2.3922322390583299</v>
          </cell>
          <cell r="Q41">
            <v>2.3894581239984598</v>
          </cell>
          <cell r="U41">
            <v>-2.7820321915227901E-3</v>
          </cell>
          <cell r="V41">
            <v>1.84750038745563E-3</v>
          </cell>
          <cell r="W41">
            <v>3.3873003778874298E-4</v>
          </cell>
          <cell r="Y41">
            <v>2.38251038709886</v>
          </cell>
          <cell r="Z41">
            <v>2.3922322390583299</v>
          </cell>
          <cell r="AA41">
            <v>2.3894581239984598</v>
          </cell>
          <cell r="AE41">
            <v>-2.5920388363831299E-3</v>
          </cell>
          <cell r="AF41">
            <v>1.84750038745563E-3</v>
          </cell>
          <cell r="AG41">
            <v>3.3873003778874298E-4</v>
          </cell>
          <cell r="BJ41">
            <v>1.0237099043799745E-2</v>
          </cell>
          <cell r="BV41">
            <v>1.9598286633139448E-3</v>
          </cell>
          <cell r="BY41">
            <v>1.219692770711369E-2</v>
          </cell>
        </row>
        <row r="42">
          <cell r="O42">
            <v>2.3820577689553399</v>
          </cell>
          <cell r="P42">
            <v>2.3913879804612099</v>
          </cell>
          <cell r="Q42">
            <v>2.3896343425738999</v>
          </cell>
          <cell r="U42">
            <v>-4.4931144474810399E-4</v>
          </cell>
          <cell r="V42">
            <v>3.8128869087870601E-3</v>
          </cell>
          <cell r="W42">
            <v>2.6525795026262101E-3</v>
          </cell>
          <cell r="Y42">
            <v>2.38251038709886</v>
          </cell>
          <cell r="Z42">
            <v>2.3913879804612099</v>
          </cell>
          <cell r="AA42">
            <v>2.3896343425738999</v>
          </cell>
          <cell r="AE42">
            <v>-2.5931808960832198E-4</v>
          </cell>
          <cell r="AF42">
            <v>3.8128869087870601E-3</v>
          </cell>
          <cell r="AG42">
            <v>2.6525795026262101E-3</v>
          </cell>
          <cell r="BJ42">
            <v>1.0237099043799745E-2</v>
          </cell>
          <cell r="BV42">
            <v>-3.7289208346090539E-4</v>
          </cell>
          <cell r="BY42">
            <v>9.8642069603388401E-3</v>
          </cell>
        </row>
        <row r="43">
          <cell r="O43">
            <v>2.3820577689553399</v>
          </cell>
          <cell r="P43">
            <v>2.3905673548854498</v>
          </cell>
          <cell r="Q43">
            <v>2.3895682894215899</v>
          </cell>
          <cell r="U43">
            <v>-7.6615559379608904E-4</v>
          </cell>
          <cell r="V43">
            <v>3.14306381611672E-3</v>
          </cell>
          <cell r="W43">
            <v>2.4094809765185499E-3</v>
          </cell>
          <cell r="Y43">
            <v>2.38251038709886</v>
          </cell>
          <cell r="Z43">
            <v>2.3905673548854498</v>
          </cell>
          <cell r="AA43">
            <v>2.3895682894215899</v>
          </cell>
          <cell r="AE43">
            <v>-5.7616223865637197E-4</v>
          </cell>
          <cell r="AF43">
            <v>3.14306381611672E-3</v>
          </cell>
          <cell r="AG43">
            <v>2.4094809765185499E-3</v>
          </cell>
          <cell r="BJ43">
            <v>1.0237099043799745E-2</v>
          </cell>
          <cell r="BV43">
            <v>-5.6047934412876109E-5</v>
          </cell>
          <cell r="BY43">
            <v>1.0181051109386869E-2</v>
          </cell>
        </row>
        <row r="44">
          <cell r="O44">
            <v>2.3820577689553399</v>
          </cell>
          <cell r="P44">
            <v>2.3894760869416798</v>
          </cell>
          <cell r="Q44">
            <v>2.3893748765118601</v>
          </cell>
          <cell r="U44">
            <v>2.6897614711636302E-4</v>
          </cell>
          <cell r="V44">
            <v>3.8349779708054402E-3</v>
          </cell>
          <cell r="W44">
            <v>3.4169708041694598E-3</v>
          </cell>
          <cell r="Y44">
            <v>2.38251038709886</v>
          </cell>
          <cell r="Z44">
            <v>2.3894760869416798</v>
          </cell>
          <cell r="AA44">
            <v>2.3893748765118601</v>
          </cell>
          <cell r="AE44">
            <v>4.5896950225588498E-4</v>
          </cell>
          <cell r="AF44">
            <v>3.8349779708054402E-3</v>
          </cell>
          <cell r="AG44">
            <v>3.4169708041694598E-3</v>
          </cell>
          <cell r="BJ44">
            <v>1.0237099043799745E-2</v>
          </cell>
          <cell r="BV44">
            <v>-1.0911796753253255E-3</v>
          </cell>
          <cell r="BY44">
            <v>9.14591936847442E-3</v>
          </cell>
        </row>
        <row r="45">
          <cell r="O45">
            <v>2.3820577689553399</v>
          </cell>
          <cell r="P45">
            <v>2.38829897826108</v>
          </cell>
          <cell r="Q45">
            <v>2.38906808866161</v>
          </cell>
          <cell r="U45">
            <v>2.4990500053291499E-3</v>
          </cell>
          <cell r="V45">
            <v>5.6084585047063299E-3</v>
          </cell>
          <cell r="W45">
            <v>5.5661008624167804E-3</v>
          </cell>
          <cell r="Y45">
            <v>2.38251038709886</v>
          </cell>
          <cell r="Z45">
            <v>2.38829897826108</v>
          </cell>
          <cell r="AA45">
            <v>2.38906808866161</v>
          </cell>
          <cell r="AE45">
            <v>2.68904336046866E-3</v>
          </cell>
          <cell r="AF45">
            <v>5.6084585047063299E-3</v>
          </cell>
          <cell r="AG45">
            <v>5.5661008624167804E-3</v>
          </cell>
          <cell r="BJ45">
            <v>1.0237099043799745E-2</v>
          </cell>
          <cell r="BV45">
            <v>-3.3212535335382263E-3</v>
          </cell>
          <cell r="BY45">
            <v>6.9158455102615191E-3</v>
          </cell>
        </row>
        <row r="46">
          <cell r="O46">
            <v>2.3820577689553399</v>
          </cell>
          <cell r="P46">
            <v>2.38611211841561</v>
          </cell>
          <cell r="Q46">
            <v>2.38843198836111</v>
          </cell>
          <cell r="U46">
            <v>2.32959365615729E-3</v>
          </cell>
          <cell r="V46">
            <v>4.9462586971848197E-3</v>
          </cell>
          <cell r="W46">
            <v>5.2682395692430599E-3</v>
          </cell>
          <cell r="Y46">
            <v>2.38251038709886</v>
          </cell>
          <cell r="Z46">
            <v>2.38611211841561</v>
          </cell>
          <cell r="AA46">
            <v>2.38843198836111</v>
          </cell>
          <cell r="AE46">
            <v>2.51958701129702E-3</v>
          </cell>
          <cell r="AF46">
            <v>4.9462586971848197E-3</v>
          </cell>
          <cell r="AG46">
            <v>5.2682395692430599E-3</v>
          </cell>
          <cell r="BJ46">
            <v>1.0237099043799745E-2</v>
          </cell>
          <cell r="BV46">
            <v>-3.1517971843663568E-3</v>
          </cell>
          <cell r="BY46">
            <v>7.0853018594333886E-3</v>
          </cell>
        </row>
        <row r="47">
          <cell r="O47">
            <v>2.3820577689553399</v>
          </cell>
          <cell r="P47">
            <v>2.3838307838319399</v>
          </cell>
          <cell r="Q47">
            <v>2.38755446889652</v>
          </cell>
          <cell r="U47">
            <v>2.0635158213607799E-3</v>
          </cell>
          <cell r="V47">
            <v>3.7641055793371202E-3</v>
          </cell>
          <cell r="W47">
            <v>4.7358717107952404E-3</v>
          </cell>
          <cell r="Y47">
            <v>2.38251038709886</v>
          </cell>
          <cell r="Z47">
            <v>2.3838307838319399</v>
          </cell>
          <cell r="AA47">
            <v>2.38755446889652</v>
          </cell>
          <cell r="AE47">
            <v>2.2535091765004301E-3</v>
          </cell>
          <cell r="AF47">
            <v>3.7641055793371202E-3</v>
          </cell>
          <cell r="AG47">
            <v>4.7358717107952404E-3</v>
          </cell>
          <cell r="BJ47">
            <v>1.0237099043799745E-2</v>
          </cell>
          <cell r="BV47">
            <v>-2.8857193495698862E-3</v>
          </cell>
          <cell r="BY47">
            <v>7.3513796942298593E-3</v>
          </cell>
        </row>
        <row r="48">
          <cell r="O48">
            <v>2.3820577689553399</v>
          </cell>
          <cell r="P48">
            <v>2.3822561031582801</v>
          </cell>
          <cell r="Q48">
            <v>2.38722623257916</v>
          </cell>
          <cell r="U48">
            <v>1.65341973414653E-3</v>
          </cell>
          <cell r="V48">
            <v>2.3974635525297302E-3</v>
          </cell>
          <cell r="W48">
            <v>3.9583041148906596E-3</v>
          </cell>
          <cell r="Y48">
            <v>2.38251038709886</v>
          </cell>
          <cell r="Z48">
            <v>2.3822561031582801</v>
          </cell>
          <cell r="AA48">
            <v>2.38722623257916</v>
          </cell>
          <cell r="AE48">
            <v>1.8434130892862001E-3</v>
          </cell>
          <cell r="AF48">
            <v>2.3974635525297302E-3</v>
          </cell>
          <cell r="AG48">
            <v>3.9583041148906596E-3</v>
          </cell>
          <cell r="BJ48">
            <v>1.0237099043799745E-2</v>
          </cell>
          <cell r="BV48">
            <v>-2.4756232623556361E-3</v>
          </cell>
          <cell r="BY48">
            <v>7.7614757814441094E-3</v>
          </cell>
        </row>
        <row r="49">
          <cell r="O49">
            <v>2.3820577689553399</v>
          </cell>
          <cell r="P49">
            <v>2.3806673920809698</v>
          </cell>
          <cell r="Q49">
            <v>2.3869764785898901</v>
          </cell>
          <cell r="U49">
            <v>1.8577122989850601E-3</v>
          </cell>
          <cell r="V49">
            <v>1.94097054282806E-3</v>
          </cell>
          <cell r="W49">
            <v>4.0251091851626897E-3</v>
          </cell>
          <cell r="Y49">
            <v>2.38251038709886</v>
          </cell>
          <cell r="Z49">
            <v>2.3806673920809698</v>
          </cell>
          <cell r="AA49">
            <v>2.3869764785898901</v>
          </cell>
          <cell r="AE49">
            <v>2.0477056541246602E-3</v>
          </cell>
          <cell r="AF49">
            <v>1.94097054282806E-3</v>
          </cell>
          <cell r="AG49">
            <v>4.0251091851626897E-3</v>
          </cell>
          <cell r="BJ49">
            <v>1.0237099043799745E-2</v>
          </cell>
          <cell r="BV49">
            <v>-2.6799158271941367E-3</v>
          </cell>
          <cell r="BY49">
            <v>7.5571832166056088E-3</v>
          </cell>
        </row>
        <row r="50">
          <cell r="O50">
            <v>2.3820577689553399</v>
          </cell>
          <cell r="P50">
            <v>2.3796966484954001</v>
          </cell>
          <cell r="Q50">
            <v>2.38640389887368</v>
          </cell>
          <cell r="U50">
            <v>3.2579909438837699E-3</v>
          </cell>
          <cell r="V50">
            <v>2.6741332292982102E-3</v>
          </cell>
          <cell r="W50">
            <v>5.3207613595865301E-3</v>
          </cell>
          <cell r="Y50">
            <v>2.38251038709886</v>
          </cell>
          <cell r="Z50">
            <v>2.3796966484954001</v>
          </cell>
          <cell r="AA50">
            <v>2.38640389887368</v>
          </cell>
          <cell r="AE50">
            <v>3.4479842990233702E-3</v>
          </cell>
          <cell r="AF50">
            <v>2.6741332292982102E-3</v>
          </cell>
          <cell r="AG50">
            <v>5.3207613595865301E-3</v>
          </cell>
          <cell r="BJ50">
            <v>1.0237099043799745E-2</v>
          </cell>
          <cell r="BV50">
            <v>-4.0801944720927682E-3</v>
          </cell>
          <cell r="BY50">
            <v>6.1569045717069764E-3</v>
          </cell>
        </row>
        <row r="51">
          <cell r="O51">
            <v>2.3820577689553399</v>
          </cell>
          <cell r="P51">
            <v>2.37825118787518</v>
          </cell>
          <cell r="Q51">
            <v>2.3852417134667601</v>
          </cell>
          <cell r="U51">
            <v>3.2876100409864701E-3</v>
          </cell>
          <cell r="V51">
            <v>2.2959080561931701E-3</v>
          </cell>
          <cell r="W51">
            <v>5.1104751176315197E-3</v>
          </cell>
          <cell r="Y51">
            <v>2.38251038709886</v>
          </cell>
          <cell r="Z51">
            <v>2.37825118787518</v>
          </cell>
          <cell r="AA51">
            <v>2.3852417134667601</v>
          </cell>
          <cell r="AE51">
            <v>3.4776033961262101E-3</v>
          </cell>
          <cell r="AF51">
            <v>2.2959080561931701E-3</v>
          </cell>
          <cell r="AG51">
            <v>5.1104751176315197E-3</v>
          </cell>
          <cell r="BJ51">
            <v>1.0237099043799745E-2</v>
          </cell>
          <cell r="BV51">
            <v>-4.109813569195658E-3</v>
          </cell>
          <cell r="BY51">
            <v>6.1272854746040866E-3</v>
          </cell>
        </row>
        <row r="52">
          <cell r="O52">
            <v>2.3820577689553399</v>
          </cell>
          <cell r="P52">
            <v>2.3767018773166102</v>
          </cell>
          <cell r="Q52">
            <v>2.3840449288889101</v>
          </cell>
          <cell r="U52">
            <v>6.0730761924898801E-3</v>
          </cell>
          <cell r="V52">
            <v>4.4737758420135398E-3</v>
          </cell>
          <cell r="W52">
            <v>7.4088198337534002E-3</v>
          </cell>
          <cell r="Y52">
            <v>2.38251038709886</v>
          </cell>
          <cell r="Z52">
            <v>2.3778645084707599</v>
          </cell>
          <cell r="AA52">
            <v>2.38462624446599</v>
          </cell>
          <cell r="AE52">
            <v>1.36457036101007E-3</v>
          </cell>
          <cell r="AF52">
            <v>-4.2472334460592599E-4</v>
          </cell>
          <cell r="AG52">
            <v>2.5103206471340802E-3</v>
          </cell>
          <cell r="BJ52">
            <v>1.0237099043799745E-2</v>
          </cell>
          <cell r="BV52">
            <v>-4.109813569195658E-3</v>
          </cell>
          <cell r="BY52">
            <v>6.1272854746040866E-3</v>
          </cell>
        </row>
        <row r="53">
          <cell r="O53">
            <v>2.3820577689553399</v>
          </cell>
          <cell r="P53">
            <v>2.3758875527152501</v>
          </cell>
          <cell r="Q53">
            <v>2.3832274538003499</v>
          </cell>
          <cell r="U53">
            <v>2.6556501608725799E-3</v>
          </cell>
          <cell r="V53">
            <v>4.0468802019090602E-4</v>
          </cell>
          <cell r="W53">
            <v>3.4895222675800299E-3</v>
          </cell>
          <cell r="Y53">
            <v>2.38251038709886</v>
          </cell>
          <cell r="Z53">
            <v>2.37822682262783</v>
          </cell>
          <cell r="AA53">
            <v>2.3843970887566401</v>
          </cell>
          <cell r="AE53">
            <v>-2.0948568609675802E-3</v>
          </cell>
          <cell r="AF53">
            <v>-4.0467535939100203E-3</v>
          </cell>
          <cell r="AG53">
            <v>-1.2071720012305301E-3</v>
          </cell>
          <cell r="BJ53">
            <v>1.0237099043799745E-2</v>
          </cell>
          <cell r="BV53">
            <v>-6.9238753757831784E-4</v>
          </cell>
          <cell r="BY53">
            <v>9.5447115062214268E-3</v>
          </cell>
        </row>
        <row r="54">
          <cell r="O54">
            <v>2.3820577689553399</v>
          </cell>
          <cell r="P54">
            <v>2.3751820503474401</v>
          </cell>
          <cell r="Q54">
            <v>2.3823290686445602</v>
          </cell>
          <cell r="U54">
            <v>3.2359047945362302E-3</v>
          </cell>
          <cell r="V54">
            <v>6.4225594745639404E-4</v>
          </cell>
          <cell r="W54">
            <v>3.7268239373915899E-3</v>
          </cell>
          <cell r="Y54">
            <v>2.38251038709886</v>
          </cell>
          <cell r="Z54">
            <v>2.3786974786596899</v>
          </cell>
          <cell r="AA54">
            <v>2.38408678280069</v>
          </cell>
          <cell r="AE54">
            <v>-1.51544959905257E-3</v>
          </cell>
          <cell r="AF54">
            <v>-3.3149883840286202E-3</v>
          </cell>
          <cell r="AG54">
            <v>-7.2386647483116797E-4</v>
          </cell>
          <cell r="BJ54">
            <v>1.0817353677463558E-2</v>
          </cell>
          <cell r="BV54">
            <v>-6.9238753757831784E-4</v>
          </cell>
          <cell r="BY54">
            <v>1.012496613988524E-2</v>
          </cell>
        </row>
        <row r="55">
          <cell r="O55">
            <v>2.3820577689553399</v>
          </cell>
          <cell r="P55">
            <v>2.3744086342026498</v>
          </cell>
          <cell r="Q55">
            <v>2.3813538062318602</v>
          </cell>
          <cell r="U55">
            <v>5.7593235099452E-3</v>
          </cell>
          <cell r="V55">
            <v>2.8686879074835501E-3</v>
          </cell>
          <cell r="W55">
            <v>5.8732100178057996E-3</v>
          </cell>
          <cell r="Y55">
            <v>2.38251038709886</v>
          </cell>
          <cell r="Z55">
            <v>2.3790980641449</v>
          </cell>
          <cell r="AA55">
            <v>2.38369852120299</v>
          </cell>
          <cell r="AE55">
            <v>1.00457672061434E-3</v>
          </cell>
          <cell r="AF55">
            <v>-5.9707956567909995E-4</v>
          </cell>
          <cell r="AG55">
            <v>1.66601115827032E-3</v>
          </cell>
          <cell r="BJ55">
            <v>1.3340772392872489E-2</v>
          </cell>
          <cell r="BV55">
            <v>-6.9238753757831784E-4</v>
          </cell>
          <cell r="BY55">
            <v>1.2648384855294171E-2</v>
          </cell>
        </row>
        <row r="56">
          <cell r="O56">
            <v>2.3820577689553399</v>
          </cell>
          <cell r="P56">
            <v>2.3747721533848201</v>
          </cell>
          <cell r="Q56">
            <v>2.3804421359002199</v>
          </cell>
          <cell r="U56">
            <v>8.0113101216056396E-4</v>
          </cell>
          <cell r="V56">
            <v>-2.4151815603759802E-3</v>
          </cell>
          <cell r="W56">
            <v>5.0556019385698901E-4</v>
          </cell>
          <cell r="Y56">
            <v>2.38251038709886</v>
          </cell>
          <cell r="Z56">
            <v>2.37946158332706</v>
          </cell>
          <cell r="AA56">
            <v>2.3827868508713399</v>
          </cell>
          <cell r="AE56">
            <v>9.9112436730018996E-4</v>
          </cell>
          <cell r="AF56">
            <v>-4.4214070396502402E-4</v>
          </cell>
          <cell r="AG56">
            <v>1.4896900624264901E-3</v>
          </cell>
          <cell r="BJ56">
            <v>1.3340772392872489E-2</v>
          </cell>
          <cell r="BV56">
            <v>-6.9238753757831784E-4</v>
          </cell>
          <cell r="BY56">
            <v>1.2648384855294171E-2</v>
          </cell>
        </row>
        <row r="57">
          <cell r="O57">
            <v>2.3820577689553399</v>
          </cell>
          <cell r="P57">
            <v>2.3751255928937698</v>
          </cell>
          <cell r="Q57">
            <v>2.3794781883628602</v>
          </cell>
          <cell r="U57">
            <v>5.7779804527598297E-4</v>
          </cell>
          <cell r="V57">
            <v>-2.4854274163946199E-3</v>
          </cell>
          <cell r="W57">
            <v>-1.00683067322668E-4</v>
          </cell>
          <cell r="Y57">
            <v>2.38251038709886</v>
          </cell>
          <cell r="Z57">
            <v>2.37981502283602</v>
          </cell>
          <cell r="AA57">
            <v>2.3818229033339802</v>
          </cell>
          <cell r="AE57">
            <v>7.6779140041581095E-4</v>
          </cell>
          <cell r="AF57">
            <v>-5.1268828627804703E-4</v>
          </cell>
          <cell r="AG57">
            <v>8.8382352138845796E-4</v>
          </cell>
          <cell r="BJ57">
            <v>1.3340772392872489E-2</v>
          </cell>
          <cell r="BV57">
            <v>-6.9238753757831784E-4</v>
          </cell>
          <cell r="BY57">
            <v>1.2648384855294171E-2</v>
          </cell>
        </row>
        <row r="58">
          <cell r="O58">
            <v>2.3820577689553399</v>
          </cell>
          <cell r="P58">
            <v>2.3752744310465101</v>
          </cell>
          <cell r="Q58">
            <v>2.37876526710239</v>
          </cell>
          <cell r="U58">
            <v>1.02775138835227E-3</v>
          </cell>
          <cell r="V58">
            <v>-1.88665423403583E-3</v>
          </cell>
          <cell r="W58">
            <v>-5.57564830442967E-5</v>
          </cell>
          <cell r="Y58">
            <v>2.38251038709886</v>
          </cell>
          <cell r="Z58">
            <v>2.3799638609887501</v>
          </cell>
          <cell r="AA58">
            <v>2.38110998207351</v>
          </cell>
          <cell r="AE58">
            <v>1.2177447434920301E-3</v>
          </cell>
          <cell r="AF58">
            <v>8.5791624531293901E-5</v>
          </cell>
          <cell r="AG58">
            <v>9.29148741601147E-4</v>
          </cell>
          <cell r="BJ58">
            <v>1.3340772392872489E-2</v>
          </cell>
          <cell r="BV58">
            <v>-6.9238753757831784E-4</v>
          </cell>
          <cell r="BY58">
            <v>1.2648384855294171E-2</v>
          </cell>
        </row>
        <row r="59">
          <cell r="O59">
            <v>2.3820577689553399</v>
          </cell>
          <cell r="P59">
            <v>2.3754516378278998</v>
          </cell>
          <cell r="Q59">
            <v>2.3780595149544399</v>
          </cell>
          <cell r="U59">
            <v>1.1126835163716201E-3</v>
          </cell>
          <cell r="V59">
            <v>-1.7390586873417E-3</v>
          </cell>
          <cell r="W59">
            <v>-2.7048168549629101E-4</v>
          </cell>
          <cell r="Y59">
            <v>2.38251038709886</v>
          </cell>
          <cell r="Z59">
            <v>2.38014106777015</v>
          </cell>
          <cell r="AA59">
            <v>2.3804042299255599</v>
          </cell>
          <cell r="AE59">
            <v>1.3026768715114099E-3</v>
          </cell>
          <cell r="AF59">
            <v>2.33263696703235E-4</v>
          </cell>
          <cell r="AG59">
            <v>7.1471857208631597E-4</v>
          </cell>
          <cell r="BJ59">
            <v>1.3340772392872489E-2</v>
          </cell>
          <cell r="BV59">
            <v>-6.9238753757831784E-4</v>
          </cell>
          <cell r="BY59">
            <v>1.2648384855294171E-2</v>
          </cell>
        </row>
        <row r="60">
          <cell r="O60">
            <v>2.3820577689553399</v>
          </cell>
          <cell r="P60">
            <v>2.3764226782980198</v>
          </cell>
          <cell r="Q60">
            <v>2.3780596633967099</v>
          </cell>
          <cell r="U60">
            <v>-8.2344883957958105E-4</v>
          </cell>
          <cell r="V60">
            <v>-3.60058906502283E-3</v>
          </cell>
          <cell r="W60">
            <v>-2.5033464986931099E-3</v>
          </cell>
          <cell r="Y60">
            <v>2.38251038709886</v>
          </cell>
          <cell r="Z60">
            <v>2.38111210824027</v>
          </cell>
          <cell r="AA60">
            <v>2.3804043783678299</v>
          </cell>
          <cell r="AE60">
            <v>-6.3345548443986398E-4</v>
          </cell>
          <cell r="AF60">
            <v>-1.6284136696500199E-3</v>
          </cell>
          <cell r="AG60">
            <v>-1.5178540008631801E-3</v>
          </cell>
          <cell r="BJ60">
            <v>1.3340772392872489E-2</v>
          </cell>
          <cell r="BV60">
            <v>-6.9238753757831784E-4</v>
          </cell>
          <cell r="BY60">
            <v>1.2648384855294171E-2</v>
          </cell>
        </row>
        <row r="61">
          <cell r="O61">
            <v>2.3820577689553399</v>
          </cell>
          <cell r="P61">
            <v>2.3769019690131898</v>
          </cell>
          <cell r="Q61">
            <v>2.3775765784441898</v>
          </cell>
          <cell r="U61">
            <v>1.27093219447898E-3</v>
          </cell>
          <cell r="V61">
            <v>-1.0975101492305499E-3</v>
          </cell>
          <cell r="W61">
            <v>-4.0890304303909601E-4</v>
          </cell>
          <cell r="Y61">
            <v>2.38251038709886</v>
          </cell>
          <cell r="Z61">
            <v>2.38159139895544</v>
          </cell>
          <cell r="AA61">
            <v>2.3799212934153098</v>
          </cell>
          <cell r="AE61">
            <v>1.4609255496188401E-3</v>
          </cell>
          <cell r="AF61">
            <v>8.7386018072507299E-4</v>
          </cell>
          <cell r="AG61">
            <v>5.7658939330493405E-4</v>
          </cell>
          <cell r="BJ61">
            <v>1.543515342693106E-2</v>
          </cell>
          <cell r="BV61">
            <v>-6.9238753757831784E-4</v>
          </cell>
          <cell r="BY61">
            <v>1.4742765889352742E-2</v>
          </cell>
        </row>
        <row r="62">
          <cell r="O62">
            <v>2.3820577689553399</v>
          </cell>
          <cell r="P62">
            <v>2.3784613181848302</v>
          </cell>
          <cell r="Q62">
            <v>2.3775815977507202</v>
          </cell>
          <cell r="U62">
            <v>-4.9143423627638302E-4</v>
          </cell>
          <cell r="V62">
            <v>-2.6582111132398899E-3</v>
          </cell>
          <cell r="W62">
            <v>-2.3744325962957299E-3</v>
          </cell>
          <cell r="Y62">
            <v>2.38251038709886</v>
          </cell>
          <cell r="Z62">
            <v>2.38198811697292</v>
          </cell>
          <cell r="AA62">
            <v>2.3799263127218402</v>
          </cell>
          <cell r="AE62">
            <v>-3.01440881136758E-4</v>
          </cell>
          <cell r="AF62">
            <v>-6.8723790902751097E-4</v>
          </cell>
          <cell r="AG62">
            <v>-1.38874002254457E-3</v>
          </cell>
          <cell r="BJ62">
            <v>1.543515342693106E-2</v>
          </cell>
          <cell r="BV62">
            <v>-6.9238753757831784E-4</v>
          </cell>
          <cell r="BY62">
            <v>1.4742765889352742E-2</v>
          </cell>
        </row>
        <row r="63">
          <cell r="O63">
            <v>2.3820577689553399</v>
          </cell>
          <cell r="P63">
            <v>2.3796817916534998</v>
          </cell>
          <cell r="Q63">
            <v>2.3777846721843798</v>
          </cell>
          <cell r="U63">
            <v>-2.4684337338461001E-3</v>
          </cell>
          <cell r="V63">
            <v>-3.9793830185304597E-3</v>
          </cell>
          <cell r="W63">
            <v>-4.3493209941523501E-3</v>
          </cell>
          <cell r="Y63">
            <v>2.38251038709886</v>
          </cell>
          <cell r="Z63">
            <v>2.3820319516831598</v>
          </cell>
          <cell r="AA63">
            <v>2.3801293871554998</v>
          </cell>
          <cell r="AE63">
            <v>-2.2784403787063701E-3</v>
          </cell>
          <cell r="AF63">
            <v>-2.4976744187973901E-3</v>
          </cell>
          <cell r="AG63">
            <v>-3.3636305002690699E-3</v>
          </cell>
          <cell r="BJ63">
            <v>1.345815392936154E-2</v>
          </cell>
          <cell r="BV63">
            <v>-6.9238753757831784E-4</v>
          </cell>
          <cell r="BY63">
            <v>1.2765766391783222E-2</v>
          </cell>
        </row>
        <row r="64">
          <cell r="O64">
            <v>2.3820577689553399</v>
          </cell>
          <cell r="P64">
            <v>2.3812926223784201</v>
          </cell>
          <cell r="Q64">
            <v>2.3782373363629299</v>
          </cell>
          <cell r="U64">
            <v>-3.5254529204970298E-3</v>
          </cell>
          <cell r="V64">
            <v>-4.5233980910733404E-3</v>
          </cell>
          <cell r="W64">
            <v>-5.32093164558091E-3</v>
          </cell>
          <cell r="Y64">
            <v>2.38251038709886</v>
          </cell>
          <cell r="Z64">
            <v>2.3824666240084098</v>
          </cell>
          <cell r="AA64">
            <v>2.3805820513340499</v>
          </cell>
          <cell r="AE64">
            <v>-3.33545956535725E-3</v>
          </cell>
          <cell r="AF64">
            <v>-3.5362912017592699E-3</v>
          </cell>
          <cell r="AG64">
            <v>-4.3353252930120002E-3</v>
          </cell>
          <cell r="BJ64">
            <v>1.240113474271058E-2</v>
          </cell>
          <cell r="BV64">
            <v>-6.9238753757831784E-4</v>
          </cell>
          <cell r="BY64">
            <v>1.1708747205132262E-2</v>
          </cell>
        </row>
        <row r="65">
          <cell r="O65">
            <v>2.3820577689553399</v>
          </cell>
          <cell r="P65">
            <v>2.3833080543622001</v>
          </cell>
          <cell r="Q65">
            <v>2.3788583442824298</v>
          </cell>
          <cell r="U65">
            <v>-2.71442845944358E-3</v>
          </cell>
          <cell r="V65">
            <v>-3.0356924944784499E-3</v>
          </cell>
          <cell r="W65">
            <v>-4.3195530696371999E-3</v>
          </cell>
          <cell r="Y65">
            <v>2.38251038709886</v>
          </cell>
          <cell r="Z65">
            <v>2.3833080543622001</v>
          </cell>
          <cell r="AA65">
            <v>2.3812030592535498</v>
          </cell>
          <cell r="AE65">
            <v>-2.52443510430406E-3</v>
          </cell>
          <cell r="AF65">
            <v>-2.5428037513496398E-3</v>
          </cell>
          <cell r="AG65">
            <v>-3.3341342210378199E-3</v>
          </cell>
          <cell r="BJ65">
            <v>1.321215920376405E-2</v>
          </cell>
          <cell r="BV65">
            <v>-6.9238753757831784E-4</v>
          </cell>
          <cell r="BY65">
            <v>1.2519771666185732E-2</v>
          </cell>
        </row>
        <row r="66">
          <cell r="O66">
            <v>2.3820577689553399</v>
          </cell>
          <cell r="P66">
            <v>2.3844069083766</v>
          </cell>
          <cell r="Q66">
            <v>2.3795895308807098</v>
          </cell>
          <cell r="U66">
            <v>-3.8049868494798101E-3</v>
          </cell>
          <cell r="V66">
            <v>-3.2802483584971E-3</v>
          </cell>
          <cell r="W66">
            <v>-5.1490244583943202E-3</v>
          </cell>
          <cell r="Y66">
            <v>2.38251038709886</v>
          </cell>
          <cell r="Z66">
            <v>2.3844069083766</v>
          </cell>
          <cell r="AA66">
            <v>2.3819342458518298</v>
          </cell>
          <cell r="AE66">
            <v>-3.6149934943402102E-3</v>
          </cell>
          <cell r="AF66">
            <v>-3.2802483584971E-3</v>
          </cell>
          <cell r="AG66">
            <v>-4.1638627295907098E-3</v>
          </cell>
          <cell r="BJ66">
            <v>1.212160081372772E-2</v>
          </cell>
          <cell r="BV66">
            <v>-6.9238753757831784E-4</v>
          </cell>
          <cell r="BY66">
            <v>1.1429213276149403E-2</v>
          </cell>
        </row>
        <row r="67">
          <cell r="O67">
            <v>2.3820577689553399</v>
          </cell>
          <cell r="P67">
            <v>2.3854012265584199</v>
          </cell>
          <cell r="Q67">
            <v>2.3802634097261</v>
          </cell>
          <cell r="U67">
            <v>-3.5901151035017198E-3</v>
          </cell>
          <cell r="V67">
            <v>-2.6044203504748402E-3</v>
          </cell>
          <cell r="W67">
            <v>-4.6268312398604298E-3</v>
          </cell>
          <cell r="Y67">
            <v>2.38251038709886</v>
          </cell>
          <cell r="Z67">
            <v>2.3854012265584199</v>
          </cell>
          <cell r="AA67">
            <v>2.3826081246972199</v>
          </cell>
          <cell r="AE67">
            <v>-3.40012174836194E-3</v>
          </cell>
          <cell r="AF67">
            <v>-2.6044203504748402E-3</v>
          </cell>
          <cell r="AG67">
            <v>-3.6419720768750799E-3</v>
          </cell>
          <cell r="BJ67">
            <v>1.2336472559705922E-2</v>
          </cell>
          <cell r="BV67">
            <v>-6.9238753757831784E-4</v>
          </cell>
          <cell r="BY67">
            <v>1.1644085022127604E-2</v>
          </cell>
        </row>
        <row r="68">
          <cell r="O68">
            <v>2.3820577689553399</v>
          </cell>
          <cell r="P68">
            <v>2.3867154178341701</v>
          </cell>
          <cell r="Q68">
            <v>2.3809949244403401</v>
          </cell>
          <cell r="U68">
            <v>-4.4797693997794402E-3</v>
          </cell>
          <cell r="V68">
            <v>-3.0771529727177398E-3</v>
          </cell>
          <cell r="W68">
            <v>-5.2333344143296601E-3</v>
          </cell>
          <cell r="Y68">
            <v>2.38251038709886</v>
          </cell>
          <cell r="Z68">
            <v>2.3867154178341701</v>
          </cell>
          <cell r="AA68">
            <v>2.3833396394114601</v>
          </cell>
          <cell r="AE68">
            <v>-4.28977604463963E-3</v>
          </cell>
          <cell r="AF68">
            <v>-3.0771529727179601E-3</v>
          </cell>
          <cell r="AG68">
            <v>-4.2487539386270702E-3</v>
          </cell>
          <cell r="BJ68">
            <v>1.1446818263428091E-2</v>
          </cell>
          <cell r="BV68">
            <v>-6.9238753757831784E-4</v>
          </cell>
          <cell r="BY68">
            <v>1.0754430725849773E-2</v>
          </cell>
        </row>
        <row r="69">
          <cell r="O69">
            <v>2.3820577689553399</v>
          </cell>
          <cell r="P69">
            <v>2.3881087936890202</v>
          </cell>
          <cell r="Q69">
            <v>2.38178021575846</v>
          </cell>
          <cell r="U69">
            <v>-4.7262120319555203E-3</v>
          </cell>
          <cell r="V69">
            <v>-2.7728163985591002E-3</v>
          </cell>
          <cell r="W69">
            <v>-5.1724991511863097E-3</v>
          </cell>
          <cell r="Y69">
            <v>2.38251038709886</v>
          </cell>
          <cell r="Z69">
            <v>2.3881087936890202</v>
          </cell>
          <cell r="AA69">
            <v>2.38412493072958</v>
          </cell>
          <cell r="AE69">
            <v>-4.5362186768156901E-3</v>
          </cell>
          <cell r="AF69">
            <v>-2.7728163985591002E-3</v>
          </cell>
          <cell r="AG69">
            <v>-4.1882210200030797E-3</v>
          </cell>
          <cell r="BJ69">
            <v>1.1200375631252091E-2</v>
          </cell>
          <cell r="BV69">
            <v>-6.9238753757831784E-4</v>
          </cell>
          <cell r="BY69">
            <v>1.0507988093673773E-2</v>
          </cell>
        </row>
        <row r="70">
          <cell r="O70">
            <v>2.3820577689553399</v>
          </cell>
          <cell r="P70">
            <v>2.38880860533052</v>
          </cell>
          <cell r="Q70">
            <v>2.3826156418142701</v>
          </cell>
          <cell r="U70">
            <v>-3.75457567950962E-3</v>
          </cell>
          <cell r="V70">
            <v>-1.2175456199316501E-3</v>
          </cell>
          <cell r="W70">
            <v>-3.8711007158689702E-3</v>
          </cell>
          <cell r="Y70">
            <v>2.38251038709886</v>
          </cell>
          <cell r="Z70">
            <v>2.38880860533052</v>
          </cell>
          <cell r="AA70">
            <v>2.3849603567853901</v>
          </cell>
          <cell r="AE70">
            <v>-3.5645823243700301E-3</v>
          </cell>
          <cell r="AF70">
            <v>-1.2175456199318699E-3</v>
          </cell>
          <cell r="AG70">
            <v>-2.8871469491754502E-3</v>
          </cell>
          <cell r="BJ70">
            <v>1.2172011983697894E-2</v>
          </cell>
          <cell r="BV70">
            <v>-6.9238753757831784E-4</v>
          </cell>
          <cell r="BY70">
            <v>1.1479624446119576E-2</v>
          </cell>
        </row>
        <row r="71">
          <cell r="O71">
            <v>2.3820577689553399</v>
          </cell>
          <cell r="P71">
            <v>2.3900710805669401</v>
          </cell>
          <cell r="Q71">
            <v>2.3834865247900701</v>
          </cell>
          <cell r="U71">
            <v>-4.0217125887634401E-3</v>
          </cell>
          <cell r="V71">
            <v>-1.1916853563030501E-3</v>
          </cell>
          <cell r="W71">
            <v>-3.7875421374499799E-3</v>
          </cell>
          <cell r="Y71">
            <v>2.38251038709886</v>
          </cell>
          <cell r="Z71">
            <v>2.3900710805669401</v>
          </cell>
          <cell r="AA71">
            <v>2.38583123976119</v>
          </cell>
          <cell r="AE71">
            <v>-3.83171923362378E-3</v>
          </cell>
          <cell r="AF71">
            <v>-1.1916853563030501E-3</v>
          </cell>
          <cell r="AG71">
            <v>-2.8039332087820101E-3</v>
          </cell>
          <cell r="BJ71">
            <v>1.1904875074444064E-2</v>
          </cell>
          <cell r="BV71">
            <v>-6.9238753757831784E-4</v>
          </cell>
          <cell r="BY71">
            <v>1.1212487536865746E-2</v>
          </cell>
        </row>
        <row r="72">
          <cell r="O72">
            <v>2.3820577689553399</v>
          </cell>
          <cell r="P72">
            <v>2.3906594641056</v>
          </cell>
          <cell r="Q72">
            <v>2.3845603911452198</v>
          </cell>
          <cell r="U72">
            <v>-2.9572421588747199E-3</v>
          </cell>
          <cell r="V72">
            <v>4.0114123602127798E-4</v>
          </cell>
          <cell r="W72">
            <v>-2.3576229802585399E-3</v>
          </cell>
          <cell r="Y72">
            <v>2.38251038709886</v>
          </cell>
          <cell r="Z72">
            <v>2.3906594641056</v>
          </cell>
          <cell r="AA72">
            <v>2.3863237905392598</v>
          </cell>
          <cell r="AE72">
            <v>-2.7672488037351001E-3</v>
          </cell>
          <cell r="AF72">
            <v>4.0114123602127798E-4</v>
          </cell>
          <cell r="AG72">
            <v>-1.37437326791937E-3</v>
          </cell>
          <cell r="BJ72">
            <v>1.2969345504332524E-2</v>
          </cell>
          <cell r="BV72">
            <v>-6.9238753757831784E-4</v>
          </cell>
          <cell r="BY72">
            <v>1.2276957966754206E-2</v>
          </cell>
        </row>
        <row r="73">
          <cell r="O73">
            <v>2.3820577689553399</v>
          </cell>
          <cell r="P73">
            <v>2.3907271606112901</v>
          </cell>
          <cell r="Q73">
            <v>2.3852044761323898</v>
          </cell>
          <cell r="U73">
            <v>-2.7518862933724698E-3</v>
          </cell>
          <cell r="V73">
            <v>8.5264506411459695E-4</v>
          </cell>
          <cell r="W73">
            <v>-1.7018242427624701E-3</v>
          </cell>
          <cell r="Y73">
            <v>2.38251038709886</v>
          </cell>
          <cell r="Z73">
            <v>2.3907271606112901</v>
          </cell>
          <cell r="AA73">
            <v>2.3863795561472299</v>
          </cell>
          <cell r="AE73">
            <v>-2.56189293823284E-3</v>
          </cell>
          <cell r="AF73">
            <v>8.5264506411459695E-4</v>
          </cell>
          <cell r="AG73">
            <v>-9.6259042060543702E-4</v>
          </cell>
          <cell r="BJ73">
            <v>1.3174701369834804E-2</v>
          </cell>
          <cell r="BV73">
            <v>-6.9238753757831784E-4</v>
          </cell>
          <cell r="BY73">
            <v>1.2482313832256486E-2</v>
          </cell>
        </row>
        <row r="74">
          <cell r="O74">
            <v>2.3820577689553399</v>
          </cell>
          <cell r="P74">
            <v>2.3907417243654301</v>
          </cell>
          <cell r="Q74">
            <v>2.3860171733719202</v>
          </cell>
          <cell r="U74">
            <v>-3.5863752828260102E-3</v>
          </cell>
          <cell r="V74">
            <v>4.6472758086174501E-5</v>
          </cell>
          <cell r="W74">
            <v>-2.2662433193321799E-3</v>
          </cell>
          <cell r="Y74">
            <v>2.38251038709886</v>
          </cell>
          <cell r="Z74">
            <v>2.3907417243654301</v>
          </cell>
          <cell r="AA74">
            <v>2.3866041741869202</v>
          </cell>
          <cell r="AE74">
            <v>-3.3963819276864901E-3</v>
          </cell>
          <cell r="AF74">
            <v>4.6472758086396498E-5</v>
          </cell>
          <cell r="AG74">
            <v>-1.77371084766721E-3</v>
          </cell>
          <cell r="BJ74">
            <v>1.2340212380381254E-2</v>
          </cell>
          <cell r="BV74">
            <v>-6.9238753757831784E-4</v>
          </cell>
          <cell r="BY74">
            <v>1.1647824842802936E-2</v>
          </cell>
        </row>
        <row r="75">
          <cell r="O75">
            <v>2.3820577689553399</v>
          </cell>
          <cell r="P75">
            <v>2.3910486513759701</v>
          </cell>
          <cell r="Q75">
            <v>2.38717835286909</v>
          </cell>
          <cell r="U75">
            <v>-3.9986060084640403E-3</v>
          </cell>
          <cell r="V75">
            <v>-3.5966621855425799E-4</v>
          </cell>
          <cell r="W75">
            <v>-2.3378077305157099E-3</v>
          </cell>
          <cell r="Y75">
            <v>2.38251038709886</v>
          </cell>
          <cell r="Z75">
            <v>2.3910486513759701</v>
          </cell>
          <cell r="AA75">
            <v>2.38717835286909</v>
          </cell>
          <cell r="AE75">
            <v>-3.80861265332442E-3</v>
          </cell>
          <cell r="AF75">
            <v>-3.5966621855425799E-4</v>
          </cell>
          <cell r="AG75">
            <v>-2.0918209759804699E-3</v>
          </cell>
          <cell r="BJ75">
            <v>1.1927981654743285E-2</v>
          </cell>
          <cell r="BV75">
            <v>-6.9238753757831784E-4</v>
          </cell>
          <cell r="BY75">
            <v>1.1235594117164967E-2</v>
          </cell>
        </row>
        <row r="76">
          <cell r="O76">
            <v>2.3820577689553399</v>
          </cell>
          <cell r="P76">
            <v>2.3914950075255601</v>
          </cell>
          <cell r="Q76">
            <v>2.3879509579510798</v>
          </cell>
          <cell r="U76">
            <v>-5.6699562573221804E-3</v>
          </cell>
          <cell r="V76">
            <v>-1.9026432068383E-3</v>
          </cell>
          <cell r="W76">
            <v>-3.52261620094292E-3</v>
          </cell>
          <cell r="Y76">
            <v>2.38251038709886</v>
          </cell>
          <cell r="Z76">
            <v>2.3914950075255601</v>
          </cell>
          <cell r="AA76">
            <v>2.3879509579510798</v>
          </cell>
          <cell r="AE76">
            <v>-5.4799629021825402E-3</v>
          </cell>
          <cell r="AF76">
            <v>-1.9026432068383E-3</v>
          </cell>
          <cell r="AG76">
            <v>-3.52261620094292E-3</v>
          </cell>
          <cell r="BJ76">
            <v>1.0256631405885045E-2</v>
          </cell>
          <cell r="BV76">
            <v>-6.9238753757831784E-4</v>
          </cell>
          <cell r="BY76">
            <v>9.5642438683067269E-3</v>
          </cell>
        </row>
        <row r="77">
          <cell r="O77">
            <v>2.3820577689553399</v>
          </cell>
          <cell r="P77">
            <v>2.3916778628214899</v>
          </cell>
          <cell r="Q77">
            <v>2.3885395446899498</v>
          </cell>
          <cell r="U77">
            <v>-4.35470762609494E-3</v>
          </cell>
          <cell r="V77">
            <v>-4.0073401055301802E-4</v>
          </cell>
          <cell r="W77">
            <v>-1.88377210728921E-3</v>
          </cell>
          <cell r="Y77">
            <v>2.38251038709886</v>
          </cell>
          <cell r="Z77">
            <v>2.3916778628214899</v>
          </cell>
          <cell r="AA77">
            <v>2.3885395446899498</v>
          </cell>
          <cell r="AE77">
            <v>-4.1647142709551896E-3</v>
          </cell>
          <cell r="AF77">
            <v>-4.0073401055301802E-4</v>
          </cell>
          <cell r="AG77">
            <v>-1.88377210728921E-3</v>
          </cell>
          <cell r="BJ77">
            <v>1.1571880037112355E-2</v>
          </cell>
          <cell r="BV77">
            <v>-6.9238753757831784E-4</v>
          </cell>
          <cell r="BY77">
            <v>1.0879492499534037E-2</v>
          </cell>
        </row>
        <row r="78">
          <cell r="O78">
            <v>2.3820577689553399</v>
          </cell>
          <cell r="P78">
            <v>2.3921516199550901</v>
          </cell>
          <cell r="Q78">
            <v>2.3894335188946298</v>
          </cell>
          <cell r="U78">
            <v>-6.4577787652418499E-3</v>
          </cell>
          <cell r="V78">
            <v>-2.4273474087962198E-3</v>
          </cell>
          <cell r="W78">
            <v>-3.74039169732358E-3</v>
          </cell>
          <cell r="Y78">
            <v>2.38251038709886</v>
          </cell>
          <cell r="Z78">
            <v>2.3921516199550901</v>
          </cell>
          <cell r="AA78">
            <v>2.3894335188946298</v>
          </cell>
          <cell r="AE78">
            <v>-6.2677854101022097E-3</v>
          </cell>
          <cell r="AF78">
            <v>-2.4273474087962198E-3</v>
          </cell>
          <cell r="AG78">
            <v>-3.74039169732358E-3</v>
          </cell>
          <cell r="BJ78">
            <v>9.4688088979654143E-3</v>
          </cell>
          <cell r="BV78">
            <v>-6.9238753757831784E-4</v>
          </cell>
          <cell r="BY78">
            <v>8.7764213603870964E-3</v>
          </cell>
        </row>
        <row r="79">
          <cell r="O79">
            <v>2.3820577689553399</v>
          </cell>
          <cell r="P79">
            <v>2.3926267801236598</v>
          </cell>
          <cell r="Q79">
            <v>2.39036778690634</v>
          </cell>
          <cell r="U79">
            <v>-6.7095851154336502E-3</v>
          </cell>
          <cell r="V79">
            <v>-2.48108769628261E-3</v>
          </cell>
          <cell r="W79">
            <v>-3.6179915782823899E-3</v>
          </cell>
          <cell r="Y79">
            <v>2.38251038709886</v>
          </cell>
          <cell r="Z79">
            <v>2.3926267801236598</v>
          </cell>
          <cell r="AA79">
            <v>2.39036778690634</v>
          </cell>
          <cell r="AE79">
            <v>-6.5195917602939796E-3</v>
          </cell>
          <cell r="AF79">
            <v>-2.48108769628261E-3</v>
          </cell>
          <cell r="AG79">
            <v>-3.6179915782821701E-3</v>
          </cell>
          <cell r="BJ79">
            <v>9.2170025477736443E-3</v>
          </cell>
          <cell r="BV79">
            <v>-6.9238753757831784E-4</v>
          </cell>
          <cell r="BY79">
            <v>8.5246150101953265E-3</v>
          </cell>
        </row>
        <row r="80">
          <cell r="O80">
            <v>2.3820577689553399</v>
          </cell>
          <cell r="P80">
            <v>2.39307331027346</v>
          </cell>
          <cell r="Q80">
            <v>2.3909409578019898</v>
          </cell>
          <cell r="U80">
            <v>-5.62036538547091E-3</v>
          </cell>
          <cell r="V80">
            <v>-1.19325472641727E-3</v>
          </cell>
          <cell r="W80">
            <v>-2.1378484756376099E-3</v>
          </cell>
          <cell r="Y80">
            <v>2.38251038709886</v>
          </cell>
          <cell r="Z80">
            <v>2.39307331027346</v>
          </cell>
          <cell r="AA80">
            <v>2.3909409578019898</v>
          </cell>
          <cell r="AE80">
            <v>-5.4303720303311397E-3</v>
          </cell>
          <cell r="AF80">
            <v>-1.19325472641727E-3</v>
          </cell>
          <cell r="AG80">
            <v>-2.1378484756373901E-3</v>
          </cell>
          <cell r="BJ80">
            <v>1.0306222277736355E-2</v>
          </cell>
          <cell r="BV80">
            <v>-6.9238753757831784E-4</v>
          </cell>
          <cell r="BY80">
            <v>9.6138347401580372E-3</v>
          </cell>
        </row>
        <row r="81">
          <cell r="O81">
            <v>2.3820577689553399</v>
          </cell>
          <cell r="P81">
            <v>2.39371474519973</v>
          </cell>
          <cell r="Q81">
            <v>2.3918929128833302</v>
          </cell>
          <cell r="U81">
            <v>-6.7000912363931802E-3</v>
          </cell>
          <cell r="V81">
            <v>-2.0863704084324399E-3</v>
          </cell>
          <cell r="W81">
            <v>-2.97781951088008E-3</v>
          </cell>
          <cell r="Y81">
            <v>2.38251038709886</v>
          </cell>
          <cell r="Z81">
            <v>2.39371474519973</v>
          </cell>
          <cell r="AA81">
            <v>2.3918929128833302</v>
          </cell>
          <cell r="AE81">
            <v>-6.5100978812534698E-3</v>
          </cell>
          <cell r="AF81">
            <v>-2.0863704084325501E-3</v>
          </cell>
          <cell r="AG81">
            <v>-2.97781951088008E-3</v>
          </cell>
          <cell r="BJ81">
            <v>9.2264964268139443E-3</v>
          </cell>
          <cell r="BV81">
            <v>-6.9238753757831784E-4</v>
          </cell>
          <cell r="BY81">
            <v>8.5341088892356264E-3</v>
          </cell>
        </row>
        <row r="82">
          <cell r="O82">
            <v>2.3820577689553399</v>
          </cell>
          <cell r="P82">
            <v>2.3920338479138898</v>
          </cell>
          <cell r="Q82">
            <v>2.39134665600975</v>
          </cell>
          <cell r="U82">
            <v>4.1032803717037502E-3</v>
          </cell>
          <cell r="V82">
            <v>8.9850034269088799E-3</v>
          </cell>
          <cell r="W82">
            <v>8.2236236671913206E-3</v>
          </cell>
          <cell r="Y82">
            <v>2.38251038709886</v>
          </cell>
          <cell r="Z82">
            <v>2.3920338479138898</v>
          </cell>
          <cell r="AA82">
            <v>2.39134665600975</v>
          </cell>
          <cell r="AE82">
            <v>4.2932737268433496E-3</v>
          </cell>
          <cell r="AF82">
            <v>8.9850034269088799E-3</v>
          </cell>
          <cell r="AG82">
            <v>8.2236236671913206E-3</v>
          </cell>
          <cell r="BJ82">
            <v>2.0029868034910893E-2</v>
          </cell>
          <cell r="BV82">
            <v>-6.9238753757831784E-4</v>
          </cell>
          <cell r="BY82">
            <v>1.9337480497332575E-2</v>
          </cell>
        </row>
        <row r="83">
          <cell r="O83">
            <v>2.3820577689553399</v>
          </cell>
          <cell r="P83">
            <v>2.3916907399244698</v>
          </cell>
          <cell r="Q83">
            <v>2.3912089502678802</v>
          </cell>
          <cell r="U83">
            <v>-1.31442713191499E-3</v>
          </cell>
          <cell r="V83">
            <v>2.8648363927683798E-3</v>
          </cell>
          <cell r="W83">
            <v>2.5775115988027602E-3</v>
          </cell>
          <cell r="Y83">
            <v>2.38251038709886</v>
          </cell>
          <cell r="Z83">
            <v>2.3916907399244698</v>
          </cell>
          <cell r="AA83">
            <v>2.3912089502678802</v>
          </cell>
          <cell r="AE83">
            <v>-1.1244337767751999E-3</v>
          </cell>
          <cell r="AF83">
            <v>2.8648363927683798E-3</v>
          </cell>
          <cell r="AG83">
            <v>2.5775115988027602E-3</v>
          </cell>
          <cell r="BJ83">
            <v>2.0029868034910893E-2</v>
          </cell>
          <cell r="BV83">
            <v>4.7253199660403124E-3</v>
          </cell>
          <cell r="BY83">
            <v>2.4755188000951205E-2</v>
          </cell>
        </row>
        <row r="84">
          <cell r="O84">
            <v>2.3820577689553399</v>
          </cell>
          <cell r="P84">
            <v>2.3912269768088099</v>
          </cell>
          <cell r="Q84">
            <v>2.3909843505871202</v>
          </cell>
          <cell r="U84">
            <v>-1.64455977990545E-3</v>
          </cell>
          <cell r="V84">
            <v>2.3912556913985301E-3</v>
          </cell>
          <cell r="W84">
            <v>2.1897922740465999E-3</v>
          </cell>
          <cell r="Y84">
            <v>2.38251038709886</v>
          </cell>
          <cell r="Z84">
            <v>2.3912269768088099</v>
          </cell>
          <cell r="AA84">
            <v>2.3909843505871202</v>
          </cell>
          <cell r="AE84">
            <v>-1.4545664247657599E-3</v>
          </cell>
          <cell r="AF84">
            <v>2.3912556913985301E-3</v>
          </cell>
          <cell r="AG84">
            <v>2.1897922740465999E-3</v>
          </cell>
          <cell r="BJ84">
            <v>2.0029868034910893E-2</v>
          </cell>
          <cell r="BV84">
            <v>5.055452614030783E-3</v>
          </cell>
          <cell r="BY84">
            <v>2.5085320648941676E-2</v>
          </cell>
        </row>
        <row r="85">
          <cell r="O85">
            <v>2.3820577689553399</v>
          </cell>
          <cell r="P85">
            <v>2.3902599001036</v>
          </cell>
          <cell r="Q85">
            <v>2.3906542757397902</v>
          </cell>
          <cell r="U85">
            <v>5.3227646679203598E-5</v>
          </cell>
          <cell r="V85">
            <v>3.89511834462101E-3</v>
          </cell>
          <cell r="W85">
            <v>3.7936480392387101E-3</v>
          </cell>
          <cell r="Y85">
            <v>2.38251038709886</v>
          </cell>
          <cell r="Z85">
            <v>2.3902599001036</v>
          </cell>
          <cell r="AA85">
            <v>2.3906542757397902</v>
          </cell>
          <cell r="AE85">
            <v>2.4322100181898499E-4</v>
          </cell>
          <cell r="AF85">
            <v>3.8951183446212299E-3</v>
          </cell>
          <cell r="AG85">
            <v>3.79364803923893E-3</v>
          </cell>
          <cell r="BJ85">
            <v>2.0029868034910893E-2</v>
          </cell>
          <cell r="BV85">
            <v>3.3576651874459426E-3</v>
          </cell>
          <cell r="BY85">
            <v>2.3387533222356836E-2</v>
          </cell>
        </row>
        <row r="86">
          <cell r="O86">
            <v>2.3820577689553399</v>
          </cell>
          <cell r="P86">
            <v>2.3898545456338698</v>
          </cell>
          <cell r="Q86">
            <v>2.3906747765797198</v>
          </cell>
          <cell r="U86">
            <v>-3.9764455956720303E-3</v>
          </cell>
          <cell r="V86">
            <v>-5.3906368057848202E-4</v>
          </cell>
          <cell r="W86">
            <v>-3.7408450606385202E-4</v>
          </cell>
          <cell r="Y86">
            <v>2.38251038709886</v>
          </cell>
          <cell r="Z86">
            <v>2.3898545456338698</v>
          </cell>
          <cell r="AA86">
            <v>2.3906747765797198</v>
          </cell>
          <cell r="AE86">
            <v>-3.7864522405323302E-3</v>
          </cell>
          <cell r="AF86">
            <v>-5.39063680578259E-4</v>
          </cell>
          <cell r="AG86">
            <v>-3.7408450606385202E-4</v>
          </cell>
          <cell r="BJ86">
            <v>2.0029868034910893E-2</v>
          </cell>
          <cell r="BV86">
            <v>7.3873384297972406E-3</v>
          </cell>
          <cell r="BY86">
            <v>2.7417206464708133E-2</v>
          </cell>
        </row>
        <row r="87">
          <cell r="O87">
            <v>2.3820577689553399</v>
          </cell>
          <cell r="P87">
            <v>2.39025039404165</v>
          </cell>
          <cell r="Q87">
            <v>2.3909641284315701</v>
          </cell>
          <cell r="U87">
            <v>-6.0079112523044199E-3</v>
          </cell>
          <cell r="V87">
            <v>-2.7401296575835302E-3</v>
          </cell>
          <cell r="W87">
            <v>-2.3969747897379201E-3</v>
          </cell>
          <cell r="Y87">
            <v>2.38251038709886</v>
          </cell>
          <cell r="Z87">
            <v>2.39025039404165</v>
          </cell>
          <cell r="AA87">
            <v>2.3909641284315701</v>
          </cell>
          <cell r="AE87">
            <v>-5.81791789716466E-3</v>
          </cell>
          <cell r="AF87">
            <v>-2.7401296575835302E-3</v>
          </cell>
          <cell r="AG87">
            <v>-2.3969747897379201E-3</v>
          </cell>
          <cell r="BJ87">
            <v>2.0029868034910893E-2</v>
          </cell>
          <cell r="BV87">
            <v>7.3873384297972406E-3</v>
          </cell>
          <cell r="BY87">
            <v>2.7417206464708133E-2</v>
          </cell>
        </row>
        <row r="88">
          <cell r="O88">
            <v>2.3820577689553399</v>
          </cell>
          <cell r="P88">
            <v>2.3892792448406301</v>
          </cell>
          <cell r="Q88">
            <v>2.3907154323978599</v>
          </cell>
          <cell r="U88">
            <v>-2.3988617299735399E-3</v>
          </cell>
          <cell r="V88">
            <v>1.0345431779102601E-3</v>
          </cell>
          <cell r="W88">
            <v>1.33310095726319E-3</v>
          </cell>
          <cell r="Y88">
            <v>2.38251038709886</v>
          </cell>
          <cell r="Z88">
            <v>2.3892792448406301</v>
          </cell>
          <cell r="AA88">
            <v>2.3907154323978599</v>
          </cell>
          <cell r="AE88">
            <v>-2.2088683748338199E-3</v>
          </cell>
          <cell r="AF88">
            <v>1.0345431779104899E-3</v>
          </cell>
          <cell r="AG88">
            <v>1.33310095726319E-3</v>
          </cell>
          <cell r="BJ88">
            <v>2.3638917557241623E-2</v>
          </cell>
          <cell r="BV88">
            <v>7.3873384297972406E-3</v>
          </cell>
          <cell r="BY88">
            <v>3.1026255987038863E-2</v>
          </cell>
        </row>
        <row r="89">
          <cell r="O89">
            <v>2.3820577689553399</v>
          </cell>
          <cell r="P89">
            <v>2.3887750624495698</v>
          </cell>
          <cell r="Q89">
            <v>2.3907009212866099</v>
          </cell>
          <cell r="U89">
            <v>-4.6049423767463397E-3</v>
          </cell>
          <cell r="V89">
            <v>-1.57791604071504E-3</v>
          </cell>
          <cell r="W89">
            <v>-9.7700005757070298E-4</v>
          </cell>
          <cell r="Y89">
            <v>2.38251038709886</v>
          </cell>
          <cell r="Z89">
            <v>2.3887750624495698</v>
          </cell>
          <cell r="AA89">
            <v>2.3907009212866099</v>
          </cell>
          <cell r="AE89">
            <v>-4.4149490216067802E-3</v>
          </cell>
          <cell r="AF89">
            <v>-1.5779160407151599E-3</v>
          </cell>
          <cell r="AG89">
            <v>-9.7700005757048094E-4</v>
          </cell>
          <cell r="BJ89">
            <v>2.3638917557241623E-2</v>
          </cell>
          <cell r="BV89">
            <v>7.3873384297972406E-3</v>
          </cell>
          <cell r="BY89">
            <v>3.1026255987038863E-2</v>
          </cell>
        </row>
        <row r="90">
          <cell r="O90">
            <v>2.3820577689553399</v>
          </cell>
          <cell r="P90">
            <v>2.38787462204973</v>
          </cell>
          <cell r="Q90">
            <v>2.3904739661615899</v>
          </cell>
          <cell r="U90">
            <v>-1.8543741340839701E-3</v>
          </cell>
          <cell r="V90">
            <v>9.6161132191543498E-4</v>
          </cell>
          <cell r="W90">
            <v>1.76749838895992E-3</v>
          </cell>
          <cell r="Y90">
            <v>2.38251038709886</v>
          </cell>
          <cell r="Z90">
            <v>2.38787462204973</v>
          </cell>
          <cell r="AA90">
            <v>2.3904739661615899</v>
          </cell>
          <cell r="AE90">
            <v>-1.6643807789442199E-3</v>
          </cell>
          <cell r="AF90">
            <v>9.6161132191543498E-4</v>
          </cell>
          <cell r="AG90">
            <v>1.76749838895992E-3</v>
          </cell>
          <cell r="BJ90">
            <v>2.3638917557241623E-2</v>
          </cell>
          <cell r="BV90">
            <v>7.3873384297972406E-3</v>
          </cell>
          <cell r="BY90">
            <v>3.1026255987038863E-2</v>
          </cell>
        </row>
        <row r="91">
          <cell r="O91">
            <v>2.3820577689553399</v>
          </cell>
          <cell r="P91">
            <v>2.3865320072128098</v>
          </cell>
          <cell r="Q91">
            <v>2.3901233762062701</v>
          </cell>
          <cell r="U91">
            <v>-1.0856319899569199E-3</v>
          </cell>
          <cell r="V91">
            <v>1.3533359035302901E-3</v>
          </cell>
          <cell r="W91">
            <v>2.44130356444141E-3</v>
          </cell>
          <cell r="Y91">
            <v>2.38251038709886</v>
          </cell>
          <cell r="Z91">
            <v>2.3865320072128098</v>
          </cell>
          <cell r="AA91">
            <v>2.3901233762062701</v>
          </cell>
          <cell r="AE91">
            <v>-8.95638634817161E-4</v>
          </cell>
          <cell r="AF91">
            <v>1.3533359035302901E-3</v>
          </cell>
          <cell r="AG91">
            <v>2.44130356444141E-3</v>
          </cell>
          <cell r="BJ91">
            <v>2.3638917557241623E-2</v>
          </cell>
          <cell r="BV91">
            <v>7.3873384297972406E-3</v>
          </cell>
          <cell r="BY91">
            <v>3.1026255987038863E-2</v>
          </cell>
        </row>
        <row r="92">
          <cell r="O92">
            <v>2.3820577689553399</v>
          </cell>
          <cell r="P92">
            <v>2.38809357280575</v>
          </cell>
          <cell r="Q92">
            <v>2.3900637103598199</v>
          </cell>
          <cell r="U92">
            <v>-2.4576361170494201E-3</v>
          </cell>
          <cell r="V92">
            <v>-5.8108989250121499E-4</v>
          </cell>
          <cell r="W92">
            <v>9.2262740837557205E-4</v>
          </cell>
          <cell r="Y92">
            <v>2.38251038709886</v>
          </cell>
          <cell r="Z92">
            <v>2.38809357280575</v>
          </cell>
          <cell r="AA92">
            <v>2.3900637103598199</v>
          </cell>
          <cell r="AE92">
            <v>-2.2676427619095999E-3</v>
          </cell>
          <cell r="AF92">
            <v>-5.8108989250110397E-4</v>
          </cell>
          <cell r="AG92">
            <v>9.2262740837535098E-4</v>
          </cell>
          <cell r="BJ92">
            <v>2.3638917557241623E-2</v>
          </cell>
          <cell r="BV92">
            <v>8.759342556889739E-3</v>
          </cell>
          <cell r="BY92">
            <v>3.2398260114131362E-2</v>
          </cell>
        </row>
        <row r="93">
          <cell r="O93">
            <v>2.3820577689553399</v>
          </cell>
          <cell r="P93">
            <v>2.3884124660206898</v>
          </cell>
          <cell r="Q93">
            <v>2.39005160297258</v>
          </cell>
          <cell r="U93">
            <v>-2.6505056543426799E-3</v>
          </cell>
          <cell r="V93">
            <v>-1.19849228922359E-4</v>
          </cell>
          <cell r="W93">
            <v>7.0479405884182303E-4</v>
          </cell>
          <cell r="Y93">
            <v>2.38251038709886</v>
          </cell>
          <cell r="Z93">
            <v>2.3884124660206898</v>
          </cell>
          <cell r="AA93">
            <v>2.39005160297258</v>
          </cell>
          <cell r="AE93">
            <v>-2.4605122992030202E-3</v>
          </cell>
          <cell r="AF93">
            <v>-1.19849228922359E-4</v>
          </cell>
          <cell r="AG93">
            <v>7.0479405884182303E-4</v>
          </cell>
          <cell r="BJ93">
            <v>2.3638917557241623E-2</v>
          </cell>
          <cell r="BV93">
            <v>8.952212094182949E-3</v>
          </cell>
          <cell r="BY93">
            <v>3.259112965142457E-2</v>
          </cell>
        </row>
        <row r="94">
          <cell r="O94">
            <v>2.3820577689553399</v>
          </cell>
          <cell r="P94">
            <v>2.38809250968262</v>
          </cell>
          <cell r="Q94">
            <v>2.3896597432457201</v>
          </cell>
          <cell r="U94">
            <v>-3.0267397445496799E-4</v>
          </cell>
          <cell r="V94">
            <v>2.3615081757625399E-3</v>
          </cell>
          <cell r="W94">
            <v>3.04756000853325E-3</v>
          </cell>
          <cell r="Y94">
            <v>2.38251038709886</v>
          </cell>
          <cell r="Z94">
            <v>2.38809250968262</v>
          </cell>
          <cell r="AA94">
            <v>2.3896597432457201</v>
          </cell>
          <cell r="AE94">
            <v>-1.12680619315391E-4</v>
          </cell>
          <cell r="AF94">
            <v>2.3615081757627698E-3</v>
          </cell>
          <cell r="AG94">
            <v>3.04756000853325E-3</v>
          </cell>
          <cell r="BJ94">
            <v>2.3638917557241623E-2</v>
          </cell>
          <cell r="BV94">
            <v>6.6043804142953289E-3</v>
          </cell>
          <cell r="BY94">
            <v>3.024329797153695E-2</v>
          </cell>
        </row>
        <row r="95">
          <cell r="O95">
            <v>2.3820577689553399</v>
          </cell>
          <cell r="P95">
            <v>2.3876071811999</v>
          </cell>
          <cell r="Q95">
            <v>2.3889335406517498</v>
          </cell>
          <cell r="U95">
            <v>2.0928484328259001E-3</v>
          </cell>
          <cell r="V95">
            <v>4.6230596816535796E-3</v>
          </cell>
          <cell r="W95">
            <v>5.2791144690675102E-3</v>
          </cell>
          <cell r="Y95">
            <v>2.38251038709886</v>
          </cell>
          <cell r="Z95">
            <v>2.3876071811999</v>
          </cell>
          <cell r="AA95">
            <v>2.3889335406517498</v>
          </cell>
          <cell r="AE95">
            <v>2.28284178796567E-3</v>
          </cell>
          <cell r="AF95">
            <v>4.6230596816535796E-3</v>
          </cell>
          <cell r="AG95">
            <v>5.2791144690675102E-3</v>
          </cell>
          <cell r="BJ95">
            <v>2.3638917557241623E-2</v>
          </cell>
          <cell r="BV95">
            <v>4.2088580070142288E-3</v>
          </cell>
          <cell r="BY95">
            <v>2.7847775564255849E-2</v>
          </cell>
        </row>
        <row r="96">
          <cell r="O96">
            <v>2.3820577689553399</v>
          </cell>
          <cell r="P96">
            <v>2.3862605254022098</v>
          </cell>
          <cell r="Q96">
            <v>2.38805753551804</v>
          </cell>
          <cell r="U96">
            <v>1.6703618514034701E-3</v>
          </cell>
          <cell r="V96">
            <v>3.9973239364198198E-3</v>
          </cell>
          <cell r="W96">
            <v>4.5526879804753898E-3</v>
          </cell>
          <cell r="Y96">
            <v>2.38251038709886</v>
          </cell>
          <cell r="Z96">
            <v>2.3862605254022098</v>
          </cell>
          <cell r="AA96">
            <v>2.38805753551804</v>
          </cell>
          <cell r="AE96">
            <v>1.8603552065429799E-3</v>
          </cell>
          <cell r="AF96">
            <v>3.9973239364196004E-3</v>
          </cell>
          <cell r="AG96">
            <v>4.5526879804753898E-3</v>
          </cell>
          <cell r="BJ96">
            <v>2.3638917557241623E-2</v>
          </cell>
          <cell r="BV96">
            <v>4.6313445884368278E-3</v>
          </cell>
          <cell r="BY96">
            <v>2.8270262145678446E-2</v>
          </cell>
        </row>
        <row r="97">
          <cell r="O97">
            <v>2.3820577689553399</v>
          </cell>
          <cell r="P97">
            <v>2.38465648778446</v>
          </cell>
          <cell r="Q97">
            <v>2.3874534409130499</v>
          </cell>
          <cell r="U97">
            <v>7.0808741260057896E-4</v>
          </cell>
          <cell r="V97">
            <v>2.4708713862101701E-3</v>
          </cell>
          <cell r="W97">
            <v>3.22365332396883E-3</v>
          </cell>
          <cell r="Y97">
            <v>2.38251038709886</v>
          </cell>
          <cell r="Z97">
            <v>2.38465648778446</v>
          </cell>
          <cell r="AA97">
            <v>2.3874534409130499</v>
          </cell>
          <cell r="AE97">
            <v>8.9808076774023401E-4</v>
          </cell>
          <cell r="AF97">
            <v>2.4708713862101701E-3</v>
          </cell>
          <cell r="AG97">
            <v>3.22365332396883E-3</v>
          </cell>
          <cell r="BJ97">
            <v>2.3638917557241623E-2</v>
          </cell>
          <cell r="BV97">
            <v>5.5936190272397289E-3</v>
          </cell>
          <cell r="BY97">
            <v>2.9232536584481349E-2</v>
          </cell>
        </row>
        <row r="98">
          <cell r="O98">
            <v>2.3820577689553399</v>
          </cell>
          <cell r="P98">
            <v>2.3844249003226601</v>
          </cell>
          <cell r="Q98">
            <v>2.38685207258164</v>
          </cell>
          <cell r="U98">
            <v>-1.4285045266019E-3</v>
          </cell>
          <cell r="V98">
            <v>-3.38143767968343E-4</v>
          </cell>
          <cell r="W98">
            <v>8.3406453848533697E-4</v>
          </cell>
          <cell r="Y98">
            <v>2.38251038709886</v>
          </cell>
          <cell r="Z98">
            <v>2.3844249003226601</v>
          </cell>
          <cell r="AA98">
            <v>2.38685207258164</v>
          </cell>
          <cell r="AE98">
            <v>-1.23851117146221E-3</v>
          </cell>
          <cell r="AF98">
            <v>-3.38143767968343E-4</v>
          </cell>
          <cell r="AG98">
            <v>8.3406453848533697E-4</v>
          </cell>
          <cell r="BJ98">
            <v>2.3638917557241623E-2</v>
          </cell>
          <cell r="BV98">
            <v>7.7302109664420787E-3</v>
          </cell>
          <cell r="BY98">
            <v>3.1369128523683697E-2</v>
          </cell>
        </row>
        <row r="99">
          <cell r="O99">
            <v>2.3820577689553399</v>
          </cell>
          <cell r="P99">
            <v>2.3834523616010199</v>
          </cell>
          <cell r="Q99">
            <v>2.3861137120252902</v>
          </cell>
          <cell r="U99">
            <v>-5.3265237985465402E-4</v>
          </cell>
          <cell r="V99">
            <v>4.6058801402488298E-4</v>
          </cell>
          <cell r="W99">
            <v>1.4779980206692401E-3</v>
          </cell>
          <cell r="Y99">
            <v>2.38251038709886</v>
          </cell>
          <cell r="Z99">
            <v>2.3834523616010199</v>
          </cell>
          <cell r="AA99">
            <v>2.3861137120252902</v>
          </cell>
          <cell r="AE99">
            <v>-3.4265902471489798E-4</v>
          </cell>
          <cell r="AF99">
            <v>4.6058801402510503E-4</v>
          </cell>
          <cell r="AG99">
            <v>1.47799802066902E-3</v>
          </cell>
          <cell r="BJ99">
            <v>2.3638917557241623E-2</v>
          </cell>
          <cell r="BV99">
            <v>6.8343588196947483E-3</v>
          </cell>
          <cell r="BY99">
            <v>3.0473276376936368E-2</v>
          </cell>
        </row>
        <row r="100">
          <cell r="O100">
            <v>2.3820577689553399</v>
          </cell>
          <cell r="P100">
            <v>2.38358940886702</v>
          </cell>
          <cell r="Q100">
            <v>2.3857320154583701</v>
          </cell>
          <cell r="U100">
            <v>-2.4284748278018699E-3</v>
          </cell>
          <cell r="V100">
            <v>-1.8431890358154299E-3</v>
          </cell>
          <cell r="W100">
            <v>-7.2721720131394398E-4</v>
          </cell>
          <cell r="Y100">
            <v>2.38251038709886</v>
          </cell>
          <cell r="Z100">
            <v>2.38358940886702</v>
          </cell>
          <cell r="AA100">
            <v>2.3857320154583701</v>
          </cell>
          <cell r="AE100">
            <v>-2.2384814726621499E-3</v>
          </cell>
          <cell r="AF100">
            <v>-1.8431890358154299E-3</v>
          </cell>
          <cell r="AG100">
            <v>-7.27217201314055E-4</v>
          </cell>
          <cell r="BJ100">
            <v>2.3638917557241623E-2</v>
          </cell>
          <cell r="BV100">
            <v>8.7301812676419226E-3</v>
          </cell>
          <cell r="BY100">
            <v>3.2369098824883542E-2</v>
          </cell>
        </row>
        <row r="101">
          <cell r="O101">
            <v>2.3820577689553399</v>
          </cell>
          <cell r="P101">
            <v>2.3833784855566602</v>
          </cell>
          <cell r="Q101">
            <v>2.3849552463847301</v>
          </cell>
          <cell r="U101">
            <v>-2.00734539073783E-4</v>
          </cell>
          <cell r="V101">
            <v>4.4204907761970501E-4</v>
          </cell>
          <cell r="W101">
            <v>1.3405445007066601E-3</v>
          </cell>
          <cell r="Y101">
            <v>2.38251038709886</v>
          </cell>
          <cell r="Z101">
            <v>2.3833784855566602</v>
          </cell>
          <cell r="AA101">
            <v>2.3849552463847301</v>
          </cell>
          <cell r="AE101">
            <v>-1.07411839340804E-5</v>
          </cell>
          <cell r="AF101">
            <v>4.42049077619927E-4</v>
          </cell>
          <cell r="AG101">
            <v>1.3405445007066601E-3</v>
          </cell>
          <cell r="BJ101">
            <v>2.3638917557241623E-2</v>
          </cell>
          <cell r="BV101">
            <v>8.7301812676419226E-3</v>
          </cell>
          <cell r="BY101">
            <v>3.2369098824883542E-2</v>
          </cell>
        </row>
        <row r="102">
          <cell r="O102">
            <v>2.3820577689553399</v>
          </cell>
          <cell r="P102">
            <v>2.3828740631342802</v>
          </cell>
          <cell r="Q102">
            <v>2.3854838179700102</v>
          </cell>
          <cell r="U102">
            <v>-3.43008691097217E-4</v>
          </cell>
          <cell r="V102">
            <v>2.1128122680430801E-4</v>
          </cell>
          <cell r="W102">
            <v>8.7262792532926097E-4</v>
          </cell>
          <cell r="Y102">
            <v>2.38251038709886</v>
          </cell>
          <cell r="Z102">
            <v>2.3828740631342802</v>
          </cell>
          <cell r="AA102">
            <v>2.3854838179700102</v>
          </cell>
          <cell r="AE102">
            <v>-1.5301533595759201E-4</v>
          </cell>
          <cell r="AF102">
            <v>2.1128122680430801E-4</v>
          </cell>
          <cell r="AG102">
            <v>8.7262792532926097E-4</v>
          </cell>
          <cell r="BJ102">
            <v>2.3638917557241623E-2</v>
          </cell>
          <cell r="BV102">
            <v>8.7301812676419226E-3</v>
          </cell>
          <cell r="BY102">
            <v>3.2369098824883542E-2</v>
          </cell>
        </row>
        <row r="103">
          <cell r="O103">
            <v>2.3820577689553399</v>
          </cell>
          <cell r="P103">
            <v>2.3822291811212302</v>
          </cell>
          <cell r="Q103">
            <v>2.38532082357096</v>
          </cell>
          <cell r="U103">
            <v>5.3227646679203598E-5</v>
          </cell>
          <cell r="V103">
            <v>3.9585340322400599E-4</v>
          </cell>
          <cell r="W103">
            <v>1.49046717231843E-3</v>
          </cell>
          <cell r="Y103">
            <v>2.38251038709886</v>
          </cell>
          <cell r="Z103">
            <v>2.3822291811212302</v>
          </cell>
          <cell r="AA103">
            <v>2.38532082357096</v>
          </cell>
          <cell r="AE103">
            <v>2.4322100181898499E-4</v>
          </cell>
          <cell r="AF103">
            <v>3.95853403223784E-4</v>
          </cell>
          <cell r="AG103">
            <v>1.49046717231843E-3</v>
          </cell>
          <cell r="BJ103">
            <v>2.3638917557241623E-2</v>
          </cell>
          <cell r="BV103">
            <v>8.7301812676419226E-3</v>
          </cell>
          <cell r="BY103">
            <v>3.2369098824883542E-2</v>
          </cell>
        </row>
        <row r="104">
          <cell r="O104">
            <v>2.3820577689553399</v>
          </cell>
          <cell r="P104">
            <v>2.3822363422617299</v>
          </cell>
          <cell r="Q104">
            <v>2.3851644259721798</v>
          </cell>
          <cell r="U104">
            <v>-3.3272725803478099E-4</v>
          </cell>
          <cell r="V104">
            <v>-2.6077014555710501E-4</v>
          </cell>
          <cell r="W104">
            <v>1.0361823269085301E-3</v>
          </cell>
          <cell r="Y104">
            <v>2.38251038709886</v>
          </cell>
          <cell r="Z104">
            <v>2.3822363422617299</v>
          </cell>
          <cell r="AA104">
            <v>2.3851644259721798</v>
          </cell>
          <cell r="AE104">
            <v>-1.4273390289504701E-4</v>
          </cell>
          <cell r="AF104">
            <v>-2.6077014555710501E-4</v>
          </cell>
          <cell r="AG104">
            <v>1.0361823269085301E-3</v>
          </cell>
          <cell r="BJ104">
            <v>2.3638917557241623E-2</v>
          </cell>
          <cell r="BV104">
            <v>8.7301812676419226E-3</v>
          </cell>
          <cell r="BY104">
            <v>3.2369098824883542E-2</v>
          </cell>
        </row>
        <row r="105">
          <cell r="O105">
            <v>2.3820577689553399</v>
          </cell>
          <cell r="P105">
            <v>2.3835880363055102</v>
          </cell>
          <cell r="Q105">
            <v>2.3855976087527102</v>
          </cell>
          <cell r="U105">
            <v>-3.5774139973621302E-3</v>
          </cell>
          <cell r="V105">
            <v>-3.5024508224138998E-3</v>
          </cell>
          <cell r="W105">
            <v>-2.2740732552754199E-3</v>
          </cell>
          <cell r="Y105">
            <v>2.38251038709886</v>
          </cell>
          <cell r="Z105">
            <v>2.3835880363055102</v>
          </cell>
          <cell r="AA105">
            <v>2.3855976087527102</v>
          </cell>
          <cell r="AE105">
            <v>-3.3874206422224201E-3</v>
          </cell>
          <cell r="AF105">
            <v>-3.5024508224138998E-3</v>
          </cell>
          <cell r="AG105">
            <v>-2.2740732552756402E-3</v>
          </cell>
          <cell r="BJ105">
            <v>2.3638917557241623E-2</v>
          </cell>
          <cell r="BV105">
            <v>8.7301812676419226E-3</v>
          </cell>
          <cell r="BY105">
            <v>3.2369098824883542E-2</v>
          </cell>
        </row>
        <row r="106">
          <cell r="O106">
            <v>2.3820577689553399</v>
          </cell>
          <cell r="P106">
            <v>2.3848794829422499</v>
          </cell>
          <cell r="Q106">
            <v>2.3855700041722301</v>
          </cell>
          <cell r="U106">
            <v>-3.7455678664094199E-3</v>
          </cell>
          <cell r="V106">
            <v>-3.1033600879456298E-3</v>
          </cell>
          <cell r="W106">
            <v>-2.26062813507689E-3</v>
          </cell>
          <cell r="Y106">
            <v>2.38251038709886</v>
          </cell>
          <cell r="Z106">
            <v>2.3848794829422499</v>
          </cell>
          <cell r="AA106">
            <v>2.3855700041722301</v>
          </cell>
          <cell r="AE106">
            <v>-3.55557451126984E-3</v>
          </cell>
          <cell r="AF106">
            <v>-3.10336008794541E-3</v>
          </cell>
          <cell r="AG106">
            <v>-2.26062813507689E-3</v>
          </cell>
          <cell r="BJ106">
            <v>2.3470763688194323E-2</v>
          </cell>
          <cell r="BV106">
            <v>8.7301812676419226E-3</v>
          </cell>
          <cell r="BY106">
            <v>3.2200944955836239E-2</v>
          </cell>
        </row>
        <row r="107">
          <cell r="O107">
            <v>2.3820577689553399</v>
          </cell>
          <cell r="P107">
            <v>2.3859877470153399</v>
          </cell>
          <cell r="Q107">
            <v>2.3853221173999</v>
          </cell>
          <cell r="U107">
            <v>-3.9369523457785504E-3</v>
          </cell>
          <cell r="V107">
            <v>-2.7530834725906801E-3</v>
          </cell>
          <cell r="W107">
            <v>-2.4635840295434402E-3</v>
          </cell>
          <cell r="Y107">
            <v>2.38251038709886</v>
          </cell>
          <cell r="Z107">
            <v>2.3859877470153399</v>
          </cell>
          <cell r="AA107">
            <v>2.3853221173999</v>
          </cell>
          <cell r="AE107">
            <v>-3.7469589906389202E-3</v>
          </cell>
          <cell r="AF107">
            <v>-2.7530834725906801E-3</v>
          </cell>
          <cell r="AG107">
            <v>-2.4635840295436601E-3</v>
          </cell>
          <cell r="BJ107">
            <v>2.3279379208825023E-2</v>
          </cell>
          <cell r="BV107">
            <v>8.7301812676419226E-3</v>
          </cell>
          <cell r="BY107">
            <v>3.2009560476466942E-2</v>
          </cell>
        </row>
        <row r="108">
          <cell r="O108">
            <v>2.3820577689553399</v>
          </cell>
          <cell r="P108">
            <v>2.3864471850667899</v>
          </cell>
          <cell r="Q108">
            <v>2.3854360426947299</v>
          </cell>
          <cell r="U108">
            <v>-3.3526433021618999E-3</v>
          </cell>
          <cell r="V108">
            <v>-1.70417793546311E-3</v>
          </cell>
          <cell r="W108">
            <v>-1.9831913044021298E-3</v>
          </cell>
          <cell r="Y108">
            <v>2.38251038709886</v>
          </cell>
          <cell r="Z108">
            <v>2.3864471850667899</v>
          </cell>
          <cell r="AA108">
            <v>2.3854360426947299</v>
          </cell>
          <cell r="AE108">
            <v>-3.1626499470222302E-3</v>
          </cell>
          <cell r="AF108">
            <v>-1.70417793546311E-3</v>
          </cell>
          <cell r="AG108">
            <v>-1.9831913044023501E-3</v>
          </cell>
          <cell r="BJ108">
            <v>2.3863688252441683E-2</v>
          </cell>
          <cell r="BV108">
            <v>8.7301812676419226E-3</v>
          </cell>
          <cell r="BY108">
            <v>3.2593869520083599E-2</v>
          </cell>
        </row>
        <row r="109">
          <cell r="O109">
            <v>2.3820577689553399</v>
          </cell>
          <cell r="P109">
            <v>2.38731018332065</v>
          </cell>
          <cell r="Q109">
            <v>2.3853812724608301</v>
          </cell>
          <cell r="U109">
            <v>-4.1470938540116402E-3</v>
          </cell>
          <cell r="V109">
            <v>-2.3060902717443399E-3</v>
          </cell>
          <cell r="W109">
            <v>-2.7298820281378899E-3</v>
          </cell>
          <cell r="Y109">
            <v>2.38251038709886</v>
          </cell>
          <cell r="Z109">
            <v>2.38731018332065</v>
          </cell>
          <cell r="AA109">
            <v>2.3853812724608301</v>
          </cell>
          <cell r="AE109">
            <v>-3.9571004988719896E-3</v>
          </cell>
          <cell r="AF109">
            <v>-2.3060902717443399E-3</v>
          </cell>
          <cell r="AG109">
            <v>-2.7298820281378899E-3</v>
          </cell>
          <cell r="BJ109">
            <v>2.3069237700592053E-2</v>
          </cell>
          <cell r="BV109">
            <v>8.7301812676419226E-3</v>
          </cell>
          <cell r="BY109">
            <v>3.1799418968233968E-2</v>
          </cell>
        </row>
        <row r="110">
          <cell r="O110">
            <v>2.3820577689553399</v>
          </cell>
          <cell r="P110">
            <v>2.3875835568713701</v>
          </cell>
          <cell r="Q110">
            <v>2.38558648286919</v>
          </cell>
          <cell r="U110">
            <v>-3.5726724679687499E-3</v>
          </cell>
          <cell r="V110">
            <v>-1.3701095534346701E-3</v>
          </cell>
          <cell r="W110">
            <v>-2.1784211665827401E-3</v>
          </cell>
          <cell r="Y110">
            <v>2.38251038709886</v>
          </cell>
          <cell r="Z110">
            <v>2.3875835568713701</v>
          </cell>
          <cell r="AA110">
            <v>2.38558648286919</v>
          </cell>
          <cell r="AE110">
            <v>-3.3826791128290898E-3</v>
          </cell>
          <cell r="AF110">
            <v>-1.3701095534346701E-3</v>
          </cell>
          <cell r="AG110">
            <v>-2.1784211665827401E-3</v>
          </cell>
          <cell r="BJ110">
            <v>2.3643659086634954E-2</v>
          </cell>
          <cell r="BV110">
            <v>8.7301812676419226E-3</v>
          </cell>
          <cell r="BY110">
            <v>3.2373840354276873E-2</v>
          </cell>
        </row>
        <row r="111">
          <cell r="O111">
            <v>2.3820577689553399</v>
          </cell>
          <cell r="P111">
            <v>2.3887708933784402</v>
          </cell>
          <cell r="Q111">
            <v>2.38607468946755</v>
          </cell>
          <cell r="U111">
            <v>-5.1718567616825997E-3</v>
          </cell>
          <cell r="V111">
            <v>-2.8547892881406298E-3</v>
          </cell>
          <cell r="W111">
            <v>-3.69158081330158E-3</v>
          </cell>
          <cell r="Y111">
            <v>2.38251038709886</v>
          </cell>
          <cell r="Z111">
            <v>2.3887708933784402</v>
          </cell>
          <cell r="AA111">
            <v>2.38607468946755</v>
          </cell>
          <cell r="AE111">
            <v>-4.9818634065428198E-3</v>
          </cell>
          <cell r="AF111">
            <v>-2.8547892881406298E-3</v>
          </cell>
          <cell r="AG111">
            <v>-3.69158081330158E-3</v>
          </cell>
          <cell r="BJ111">
            <v>2.2044474792921195E-2</v>
          </cell>
          <cell r="BV111">
            <v>8.7301812676419226E-3</v>
          </cell>
          <cell r="BY111">
            <v>3.0774656060563114E-2</v>
          </cell>
        </row>
        <row r="112">
          <cell r="O112">
            <v>2.3820577689553399</v>
          </cell>
          <cell r="P112">
            <v>2.39052520501453</v>
          </cell>
          <cell r="Q112">
            <v>2.38669963407441</v>
          </cell>
          <cell r="U112">
            <v>-7.6782042444753298E-3</v>
          </cell>
          <cell r="V112">
            <v>-4.86396406572697E-3</v>
          </cell>
          <cell r="W112">
            <v>-5.9933007743885403E-3</v>
          </cell>
          <cell r="Y112">
            <v>2.38251038709886</v>
          </cell>
          <cell r="Z112">
            <v>2.39052520501453</v>
          </cell>
          <cell r="AA112">
            <v>2.38669963407441</v>
          </cell>
          <cell r="AE112">
            <v>-7.4882108893355899E-3</v>
          </cell>
          <cell r="AF112">
            <v>-4.86396406572697E-3</v>
          </cell>
          <cell r="AG112">
            <v>-5.9933007743885403E-3</v>
          </cell>
          <cell r="BJ112">
            <v>1.9538127310128446E-2</v>
          </cell>
          <cell r="BV112">
            <v>8.7301812676419226E-3</v>
          </cell>
          <cell r="BY112">
            <v>2.8268308577770365E-2</v>
          </cell>
        </row>
        <row r="113">
          <cell r="O113">
            <v>2.3820577689553399</v>
          </cell>
          <cell r="P113">
            <v>2.3923958489467401</v>
          </cell>
          <cell r="Q113">
            <v>2.3873125150339898</v>
          </cell>
          <cell r="U113">
            <v>-7.7695709624041303E-3</v>
          </cell>
          <cell r="V113">
            <v>-4.2212010378647304E-3</v>
          </cell>
          <cell r="W113">
            <v>-5.8227885229532898E-3</v>
          </cell>
          <cell r="Y113">
            <v>2.38251038709886</v>
          </cell>
          <cell r="Z113">
            <v>2.3923958489467401</v>
          </cell>
          <cell r="AA113">
            <v>2.3873125150339898</v>
          </cell>
          <cell r="AE113">
            <v>-7.5795776072643704E-3</v>
          </cell>
          <cell r="AF113">
            <v>-4.2212010378646202E-3</v>
          </cell>
          <cell r="AG113">
            <v>-5.8227885229532898E-3</v>
          </cell>
          <cell r="BJ113">
            <v>1.9446760592199547E-2</v>
          </cell>
          <cell r="BV113">
            <v>8.7301812676419226E-3</v>
          </cell>
          <cell r="BY113">
            <v>2.8176941859841466E-2</v>
          </cell>
        </row>
        <row r="114">
          <cell r="O114">
            <v>2.3820577689553399</v>
          </cell>
          <cell r="P114">
            <v>2.3930951179633899</v>
          </cell>
          <cell r="Q114">
            <v>2.3876657301125599</v>
          </cell>
          <cell r="U114">
            <v>-3.2630201673834098E-3</v>
          </cell>
          <cell r="V114">
            <v>1.0675679901080101E-3</v>
          </cell>
          <cell r="W114">
            <v>-1.0594805418148499E-3</v>
          </cell>
          <cell r="Y114">
            <v>2.38251038709886</v>
          </cell>
          <cell r="Z114">
            <v>2.3938053494794498</v>
          </cell>
          <cell r="AA114">
            <v>2.38802084587059</v>
          </cell>
          <cell r="AE114">
            <v>-6.0404945215216197E-3</v>
          </cell>
          <cell r="AF114">
            <v>-1.8998997191698799E-3</v>
          </cell>
          <cell r="AG114">
            <v>-4.0269482510928E-3</v>
          </cell>
          <cell r="BJ114">
            <v>1.9446760592199547E-2</v>
          </cell>
          <cell r="BV114">
            <v>8.7301812676419226E-3</v>
          </cell>
          <cell r="BY114">
            <v>2.8176941859841466E-2</v>
          </cell>
        </row>
        <row r="115">
          <cell r="O115">
            <v>2.3820577689553399</v>
          </cell>
          <cell r="P115">
            <v>2.3924349183317402</v>
          </cell>
          <cell r="Q115">
            <v>2.3880114773186301</v>
          </cell>
          <cell r="U115">
            <v>-8.1193914423895099E-4</v>
          </cell>
          <cell r="V115">
            <v>3.8108944804222801E-3</v>
          </cell>
          <cell r="W115">
            <v>1.5395446440410201E-3</v>
          </cell>
          <cell r="Y115">
            <v>2.38251038709886</v>
          </cell>
          <cell r="Z115">
            <v>2.3938450578514701</v>
          </cell>
          <cell r="AA115">
            <v>2.3887165470784901</v>
          </cell>
          <cell r="AE115">
            <v>-3.55350933810603E-3</v>
          </cell>
          <cell r="AF115">
            <v>1.1760705549354899E-3</v>
          </cell>
          <cell r="AG115">
            <v>-1.2433007037048801E-3</v>
          </cell>
          <cell r="BJ115">
            <v>2.1897841615344048E-2</v>
          </cell>
          <cell r="BV115">
            <v>8.7301812676419226E-3</v>
          </cell>
          <cell r="BY115">
            <v>3.0628022882985967E-2</v>
          </cell>
        </row>
        <row r="116">
          <cell r="O116">
            <v>2.3820577689553399</v>
          </cell>
          <cell r="P116">
            <v>2.3917996373457799</v>
          </cell>
          <cell r="Q116">
            <v>2.3883395601440198</v>
          </cell>
          <cell r="U116">
            <v>-1.08506040220898E-3</v>
          </cell>
          <cell r="V116">
            <v>3.2618582743324902E-3</v>
          </cell>
          <cell r="W116">
            <v>1.4112184346672799E-3</v>
          </cell>
          <cell r="Y116">
            <v>2.38251038709886</v>
          </cell>
          <cell r="Z116">
            <v>2.3939135696499698</v>
          </cell>
          <cell r="AA116">
            <v>2.3893965262961099</v>
          </cell>
          <cell r="AE116">
            <v>-3.8420742202046102E-3</v>
          </cell>
          <cell r="AF116">
            <v>9.0409350555015796E-4</v>
          </cell>
          <cell r="AG116">
            <v>-1.2405783930654101E-3</v>
          </cell>
          <cell r="BJ116">
            <v>2.1624720357374078E-2</v>
          </cell>
          <cell r="BV116">
            <v>8.7301812676419226E-3</v>
          </cell>
          <cell r="BY116">
            <v>3.0354901625015997E-2</v>
          </cell>
        </row>
        <row r="117">
          <cell r="O117">
            <v>2.3820577689553399</v>
          </cell>
          <cell r="P117">
            <v>2.3908658928316902</v>
          </cell>
          <cell r="Q117">
            <v>2.3884268199235201</v>
          </cell>
          <cell r="U117">
            <v>-2.4804923754004101E-5</v>
          </cell>
          <cell r="V117">
            <v>4.0565410755698198E-3</v>
          </cell>
          <cell r="W117">
            <v>2.6088519338464799E-3</v>
          </cell>
          <cell r="Y117">
            <v>2.38251038709886</v>
          </cell>
          <cell r="Z117">
            <v>2.3936899240718601</v>
          </cell>
          <cell r="AA117">
            <v>2.3898388355436002</v>
          </cell>
          <cell r="AE117">
            <v>-2.8113349297058002E-3</v>
          </cell>
          <cell r="AF117">
            <v>1.9634523668477601E-3</v>
          </cell>
          <cell r="AG117">
            <v>7.4783388265365204E-5</v>
          </cell>
          <cell r="BJ117">
            <v>2.2684975835828999E-2</v>
          </cell>
          <cell r="BV117">
            <v>8.7301812676419226E-3</v>
          </cell>
          <cell r="BY117">
            <v>3.1415157103470918E-2</v>
          </cell>
        </row>
        <row r="118">
          <cell r="O118">
            <v>2.3820577689553399</v>
          </cell>
          <cell r="P118">
            <v>2.39126425352829</v>
          </cell>
          <cell r="Q118">
            <v>2.3888557192975401</v>
          </cell>
          <cell r="U118">
            <v>-5.0179969851761701E-3</v>
          </cell>
          <cell r="V118">
            <v>-1.32712132924399E-3</v>
          </cell>
          <cell r="W118">
            <v>-2.3478050439776398E-3</v>
          </cell>
          <cell r="Y118">
            <v>2.38251038709886</v>
          </cell>
          <cell r="Z118">
            <v>2.3940882847684599</v>
          </cell>
          <cell r="AA118">
            <v>2.3902677349176198</v>
          </cell>
          <cell r="AE118">
            <v>-4.8280036300364796E-3</v>
          </cell>
          <cell r="AF118">
            <v>-1.4664327603067999E-4</v>
          </cell>
          <cell r="AG118">
            <v>-1.75678907165738E-3</v>
          </cell>
          <cell r="BJ118">
            <v>2.2684975835828999E-2</v>
          </cell>
          <cell r="BV118">
            <v>8.7301812676419226E-3</v>
          </cell>
          <cell r="BY118">
            <v>3.1415157103470918E-2</v>
          </cell>
        </row>
        <row r="119">
          <cell r="O119">
            <v>2.3820577689553399</v>
          </cell>
          <cell r="P119">
            <v>2.3916565369811802</v>
          </cell>
          <cell r="Q119">
            <v>2.38948336015092</v>
          </cell>
          <cell r="U119">
            <v>-5.7857610471926998E-3</v>
          </cell>
          <cell r="V119">
            <v>-1.9282815200458E-3</v>
          </cell>
          <cell r="W119">
            <v>-2.9360112206671799E-3</v>
          </cell>
          <cell r="Y119">
            <v>2.38251038709886</v>
          </cell>
          <cell r="Z119">
            <v>2.3944805682213501</v>
          </cell>
          <cell r="AA119">
            <v>2.3908953757710001</v>
          </cell>
          <cell r="AE119">
            <v>-5.5957676920531498E-3</v>
          </cell>
          <cell r="AF119">
            <v>-7.4800000665459796E-4</v>
          </cell>
          <cell r="AG119">
            <v>-2.3451013290529902E-3</v>
          </cell>
          <cell r="BJ119">
            <v>2.1917211773812367E-2</v>
          </cell>
          <cell r="BV119">
            <v>8.7301812676419226E-3</v>
          </cell>
          <cell r="BY119">
            <v>3.0647393041454286E-2</v>
          </cell>
        </row>
        <row r="120">
          <cell r="O120">
            <v>2.3820577689553399</v>
          </cell>
          <cell r="P120">
            <v>2.3912244168025301</v>
          </cell>
          <cell r="Q120">
            <v>2.3894039868369501</v>
          </cell>
          <cell r="U120">
            <v>-1.7634437397445401E-3</v>
          </cell>
          <cell r="V120">
            <v>2.2580708910363901E-3</v>
          </cell>
          <cell r="W120">
            <v>1.3490086060239501E-3</v>
          </cell>
          <cell r="Y120">
            <v>2.38251038709886</v>
          </cell>
          <cell r="Z120">
            <v>2.3940484480427</v>
          </cell>
          <cell r="AA120">
            <v>2.3908160024570302</v>
          </cell>
          <cell r="AE120">
            <v>-1.5734503846048899E-3</v>
          </cell>
          <cell r="AF120">
            <v>3.4381589268876601E-3</v>
          </cell>
          <cell r="AG120">
            <v>1.93976333034646E-3</v>
          </cell>
          <cell r="BJ120">
            <v>2.593952908126055E-2</v>
          </cell>
          <cell r="BV120">
            <v>8.7301812676419226E-3</v>
          </cell>
          <cell r="BY120">
            <v>3.4669710348902469E-2</v>
          </cell>
        </row>
        <row r="121">
          <cell r="O121">
            <v>2.3820577689553399</v>
          </cell>
          <cell r="P121">
            <v>2.3905486835961498</v>
          </cell>
          <cell r="Q121">
            <v>2.3896597884872901</v>
          </cell>
          <cell r="U121">
            <v>-2.3457380398846498E-3</v>
          </cell>
          <cell r="V121">
            <v>1.49508207476705E-3</v>
          </cell>
          <cell r="W121">
            <v>7.3349598194785996E-4</v>
          </cell>
          <cell r="Y121">
            <v>2.38251038709886</v>
          </cell>
          <cell r="Z121">
            <v>2.3933727148363202</v>
          </cell>
          <cell r="AA121">
            <v>2.39107180410738</v>
          </cell>
          <cell r="AE121">
            <v>-2.1557446847449199E-3</v>
          </cell>
          <cell r="AF121">
            <v>2.67538323951885E-3</v>
          </cell>
          <cell r="AG121">
            <v>1.3242703246828099E-3</v>
          </cell>
          <cell r="BJ121">
            <v>2.593952908126055E-2</v>
          </cell>
          <cell r="BV121">
            <v>8.7301812676419226E-3</v>
          </cell>
          <cell r="BY121">
            <v>3.4669710348902469E-2</v>
          </cell>
        </row>
        <row r="122">
          <cell r="O122">
            <v>2.3820577689553399</v>
          </cell>
          <cell r="P122">
            <v>2.3891665719900601</v>
          </cell>
          <cell r="Q122">
            <v>2.3898458885023</v>
          </cell>
          <cell r="U122">
            <v>-1.90376891506467E-3</v>
          </cell>
          <cell r="V122">
            <v>1.65442247727197E-3</v>
          </cell>
          <cell r="W122">
            <v>1.2825160534022299E-3</v>
          </cell>
          <cell r="Y122">
            <v>2.38251038709886</v>
          </cell>
          <cell r="Z122">
            <v>2.3919906032302301</v>
          </cell>
          <cell r="AA122">
            <v>2.39125790412238</v>
          </cell>
          <cell r="AE122">
            <v>-1.71377555992487E-3</v>
          </cell>
          <cell r="AF122">
            <v>2.8350570793063698E-3</v>
          </cell>
          <cell r="AG122">
            <v>1.8732271752438701E-3</v>
          </cell>
          <cell r="BJ122">
            <v>2.593952908126055E-2</v>
          </cell>
          <cell r="BV122">
            <v>8.7301812676419226E-3</v>
          </cell>
          <cell r="BY122">
            <v>3.4669710348902469E-2</v>
          </cell>
        </row>
        <row r="123">
          <cell r="O123">
            <v>2.3820577689553399</v>
          </cell>
          <cell r="P123">
            <v>2.3868541330106798</v>
          </cell>
          <cell r="Q123">
            <v>2.3896249909787102</v>
          </cell>
          <cell r="U123">
            <v>1.90972673771742E-3</v>
          </cell>
          <cell r="V123">
            <v>4.8895942882754397E-3</v>
          </cell>
          <cell r="W123">
            <v>5.1738858746341997E-3</v>
          </cell>
          <cell r="Y123">
            <v>2.38251038709886</v>
          </cell>
          <cell r="Z123">
            <v>2.3896781642508498</v>
          </cell>
          <cell r="AA123">
            <v>2.3910370065987898</v>
          </cell>
          <cell r="AE123">
            <v>2.0997200928571402E-3</v>
          </cell>
          <cell r="AF123">
            <v>6.0709114736699696E-3</v>
          </cell>
          <cell r="AG123">
            <v>5.7645510107117602E-3</v>
          </cell>
          <cell r="BJ123">
            <v>2.593952908126055E-2</v>
          </cell>
          <cell r="BV123">
            <v>8.7301812676419226E-3</v>
          </cell>
          <cell r="BY123">
            <v>3.4669710348902469E-2</v>
          </cell>
        </row>
        <row r="124">
          <cell r="O124">
            <v>2.3820577689553399</v>
          </cell>
          <cell r="P124">
            <v>2.3857172328832301</v>
          </cell>
          <cell r="Q124">
            <v>2.3894061754233098</v>
          </cell>
          <cell r="U124">
            <v>1.5055478732576299E-3</v>
          </cell>
          <cell r="V124">
            <v>3.5170615146049998E-3</v>
          </cell>
          <cell r="W124">
            <v>4.6772710358526804E-3</v>
          </cell>
          <cell r="Y124">
            <v>2.38251038709886</v>
          </cell>
          <cell r="Z124">
            <v>2.3878310326073402</v>
          </cell>
          <cell r="AA124">
            <v>2.3908181910434001</v>
          </cell>
          <cell r="AE124">
            <v>1.69554122839748E-3</v>
          </cell>
          <cell r="AF124">
            <v>4.6995225107700602E-3</v>
          </cell>
          <cell r="AG124">
            <v>5.26799075703757E-3</v>
          </cell>
          <cell r="BJ124">
            <v>2.593952908126055E-2</v>
          </cell>
          <cell r="BV124">
            <v>9.1343601321016727E-3</v>
          </cell>
          <cell r="BY124">
            <v>3.5073889213362221E-2</v>
          </cell>
        </row>
        <row r="125">
          <cell r="O125">
            <v>2.3820577689553399</v>
          </cell>
          <cell r="P125">
            <v>2.3850507180323199</v>
          </cell>
          <cell r="Q125">
            <v>2.3887428181820298</v>
          </cell>
          <cell r="U125">
            <v>1.98776878458235E-3</v>
          </cell>
          <cell r="V125">
            <v>3.5228515622312199E-3</v>
          </cell>
          <cell r="W125">
            <v>5.0679187609255797E-3</v>
          </cell>
          <cell r="Y125">
            <v>2.38251038709886</v>
          </cell>
          <cell r="Z125">
            <v>2.3864646097527502</v>
          </cell>
          <cell r="AA125">
            <v>2.3901548338021099</v>
          </cell>
          <cell r="AE125">
            <v>2.1777621397219399E-3</v>
          </cell>
          <cell r="AF125">
            <v>4.4084820176949297E-3</v>
          </cell>
          <cell r="AG125">
            <v>5.6586925626979897E-3</v>
          </cell>
          <cell r="BJ125">
            <v>2.593952908126055E-2</v>
          </cell>
          <cell r="BV125">
            <v>8.6521392207771722E-3</v>
          </cell>
          <cell r="BY125">
            <v>3.459166830203772E-2</v>
          </cell>
        </row>
        <row r="126">
          <cell r="O126">
            <v>2.3820577689553399</v>
          </cell>
          <cell r="P126">
            <v>2.3837132659614602</v>
          </cell>
          <cell r="Q126">
            <v>2.3877564516536198</v>
          </cell>
          <cell r="U126">
            <v>4.5393298972873702E-3</v>
          </cell>
          <cell r="V126">
            <v>5.7949965045836502E-3</v>
          </cell>
          <cell r="W126">
            <v>7.3418170186500299E-3</v>
          </cell>
          <cell r="Y126">
            <v>2.38251038709886</v>
          </cell>
          <cell r="Z126">
            <v>2.38442336489743</v>
          </cell>
          <cell r="AA126">
            <v>2.3891684672736999</v>
          </cell>
          <cell r="AE126">
            <v>4.7293232524271804E-3</v>
          </cell>
          <cell r="AF126">
            <v>6.387634970431E-3</v>
          </cell>
          <cell r="AG126">
            <v>7.9327548306734694E-3</v>
          </cell>
          <cell r="BJ126">
            <v>2.593952908126055E-2</v>
          </cell>
          <cell r="BV126">
            <v>6.1005781080719721E-3</v>
          </cell>
          <cell r="BY126">
            <v>3.204010718933252E-2</v>
          </cell>
        </row>
        <row r="127">
          <cell r="O127">
            <v>2.3820577689553399</v>
          </cell>
          <cell r="P127">
            <v>2.3835136928922198</v>
          </cell>
          <cell r="Q127">
            <v>2.3871897928619501</v>
          </cell>
          <cell r="U127">
            <v>8.1334336566711205E-4</v>
          </cell>
          <cell r="V127">
            <v>1.5080880609467701E-3</v>
          </cell>
          <cell r="W127">
            <v>3.2028223458326999E-3</v>
          </cell>
          <cell r="Y127">
            <v>2.38251038709886</v>
          </cell>
          <cell r="Z127">
            <v>2.38351369289221</v>
          </cell>
          <cell r="AA127">
            <v>2.38860180848204</v>
          </cell>
          <cell r="AE127">
            <v>1.00333672080687E-3</v>
          </cell>
          <cell r="AF127">
            <v>1.80593981990283E-3</v>
          </cell>
          <cell r="AG127">
            <v>3.79400419824704E-3</v>
          </cell>
          <cell r="BJ127">
            <v>2.593952908126055E-2</v>
          </cell>
          <cell r="BV127">
            <v>9.8265646396921424E-3</v>
          </cell>
          <cell r="BY127">
            <v>3.5766093720952692E-2</v>
          </cell>
        </row>
        <row r="128">
          <cell r="O128">
            <v>2.3820577689553399</v>
          </cell>
          <cell r="P128">
            <v>2.3824682044433199</v>
          </cell>
          <cell r="Q128">
            <v>2.3868662289858098</v>
          </cell>
          <cell r="U128">
            <v>-6.4138865511447699E-4</v>
          </cell>
          <cell r="V128">
            <v>-3.0371070410914899E-5</v>
          </cell>
          <cell r="W128">
            <v>1.5107436554519999E-3</v>
          </cell>
          <cell r="Y128">
            <v>2.38251038709886</v>
          </cell>
          <cell r="Z128">
            <v>2.3824682044433199</v>
          </cell>
          <cell r="AA128">
            <v>2.3882782446058899</v>
          </cell>
          <cell r="AE128">
            <v>-4.5139529997472599E-4</v>
          </cell>
          <cell r="AF128">
            <v>-3.03710704111369E-5</v>
          </cell>
          <cell r="AG128">
            <v>2.1020657980809201E-3</v>
          </cell>
          <cell r="BJ128">
            <v>2.593952908126055E-2</v>
          </cell>
          <cell r="BV128">
            <v>1.1281296660473797E-2</v>
          </cell>
          <cell r="BY128">
            <v>3.7220825741734347E-2</v>
          </cell>
        </row>
        <row r="129">
          <cell r="O129">
            <v>2.3820577689553399</v>
          </cell>
          <cell r="P129">
            <v>2.3816104476511</v>
          </cell>
          <cell r="Q129">
            <v>2.3866334923161401</v>
          </cell>
          <cell r="U129">
            <v>-2.19920410636426E-3</v>
          </cell>
          <cell r="V129">
            <v>-2.0269160377124201E-3</v>
          </cell>
          <cell r="W129">
            <v>-1.8262272991455801E-4</v>
          </cell>
          <cell r="Y129">
            <v>2.38251038709886</v>
          </cell>
          <cell r="Z129">
            <v>2.3816104476511</v>
          </cell>
          <cell r="AA129">
            <v>2.3880455079362202</v>
          </cell>
          <cell r="AE129">
            <v>-2.0092107512246099E-3</v>
          </cell>
          <cell r="AF129">
            <v>-2.02691603771264E-3</v>
          </cell>
          <cell r="AG129">
            <v>4.0877954871694998E-4</v>
          </cell>
          <cell r="BJ129">
            <v>2.593952908126055E-2</v>
          </cell>
          <cell r="BV129">
            <v>1.2839112111723699E-2</v>
          </cell>
          <cell r="BY129">
            <v>3.8778641192984249E-2</v>
          </cell>
        </row>
        <row r="130">
          <cell r="O130">
            <v>2.3820577689553399</v>
          </cell>
          <cell r="P130">
            <v>2.3815510363770702</v>
          </cell>
          <cell r="Q130">
            <v>2.3863877265897999</v>
          </cell>
          <cell r="U130">
            <v>-1.5144406183614501E-3</v>
          </cell>
          <cell r="V130">
            <v>-1.70224601756893E-3</v>
          </cell>
          <cell r="W130">
            <v>4.0462879267939101E-4</v>
          </cell>
          <cell r="Y130">
            <v>2.38251038709886</v>
          </cell>
          <cell r="Z130">
            <v>2.3815510363770702</v>
          </cell>
          <cell r="AA130">
            <v>2.3877997422098902</v>
          </cell>
          <cell r="AE130">
            <v>-1.3244472632217999E-3</v>
          </cell>
          <cell r="AF130">
            <v>-1.7022460175687101E-3</v>
          </cell>
          <cell r="AG130">
            <v>9.9608872586956997E-4</v>
          </cell>
          <cell r="BJ130">
            <v>2.593952908126055E-2</v>
          </cell>
          <cell r="BV130">
            <v>1.2154348623721009E-2</v>
          </cell>
          <cell r="BY130">
            <v>3.8093877704981557E-2</v>
          </cell>
        </row>
        <row r="131">
          <cell r="O131">
            <v>2.3820577689553399</v>
          </cell>
          <cell r="P131">
            <v>2.3814323978106202</v>
          </cell>
          <cell r="Q131">
            <v>2.3859905407033799</v>
          </cell>
          <cell r="U131">
            <v>-1.8487307270427E-3</v>
          </cell>
          <cell r="V131">
            <v>-2.0614822777620901E-3</v>
          </cell>
          <cell r="W131">
            <v>-3.2642516077004099E-5</v>
          </cell>
          <cell r="Y131">
            <v>2.38251038709886</v>
          </cell>
          <cell r="Z131">
            <v>2.3814323978106202</v>
          </cell>
          <cell r="AA131">
            <v>2.3874025563234702</v>
          </cell>
          <cell r="AE131">
            <v>-1.6587373719030101E-3</v>
          </cell>
          <cell r="AF131">
            <v>-2.0614822777618698E-3</v>
          </cell>
          <cell r="AG131">
            <v>5.5887831149142202E-4</v>
          </cell>
          <cell r="BJ131">
            <v>2.593952908126055E-2</v>
          </cell>
          <cell r="BV131">
            <v>1.2488638732402059E-2</v>
          </cell>
          <cell r="BY131">
            <v>3.8428167813662609E-2</v>
          </cell>
        </row>
        <row r="132">
          <cell r="O132">
            <v>2.3820577689553399</v>
          </cell>
          <cell r="P132">
            <v>2.3805112413280098</v>
          </cell>
          <cell r="Q132">
            <v>2.3848389066590401</v>
          </cell>
          <cell r="U132">
            <v>1.9634058801799399E-3</v>
          </cell>
          <cell r="V132">
            <v>1.7008374161273101E-3</v>
          </cell>
          <cell r="W132">
            <v>3.61304211894691E-3</v>
          </cell>
          <cell r="Y132">
            <v>2.38251038709886</v>
          </cell>
          <cell r="Z132">
            <v>2.3805112413280098</v>
          </cell>
          <cell r="AA132">
            <v>2.3862509222791202</v>
          </cell>
          <cell r="AE132">
            <v>2.1533992353198099E-3</v>
          </cell>
          <cell r="AF132">
            <v>1.7008374161273101E-3</v>
          </cell>
          <cell r="AG132">
            <v>4.2046613853963999E-3</v>
          </cell>
          <cell r="BJ132">
            <v>2.593952908126055E-2</v>
          </cell>
          <cell r="BV132">
            <v>8.6765021251792186E-3</v>
          </cell>
          <cell r="BY132">
            <v>3.4616031206439767E-2</v>
          </cell>
        </row>
        <row r="133">
          <cell r="O133">
            <v>2.3820577689553399</v>
          </cell>
          <cell r="P133">
            <v>2.38063818676215</v>
          </cell>
          <cell r="Q133">
            <v>2.38374615988642</v>
          </cell>
          <cell r="U133">
            <v>1.37592711680382E-3</v>
          </cell>
          <cell r="V133">
            <v>7.2647608382389096E-4</v>
          </cell>
          <cell r="W133">
            <v>2.5427818688617898E-3</v>
          </cell>
          <cell r="Y133">
            <v>2.38251038709886</v>
          </cell>
          <cell r="Z133">
            <v>2.38063818676215</v>
          </cell>
          <cell r="AA133">
            <v>2.3851581755065001</v>
          </cell>
          <cell r="AE133">
            <v>1.56592047194353E-3</v>
          </cell>
          <cell r="AF133">
            <v>7.2647608382389096E-4</v>
          </cell>
          <cell r="AG133">
            <v>3.1346867425638002E-3</v>
          </cell>
          <cell r="BJ133">
            <v>2.593952908126055E-2</v>
          </cell>
          <cell r="BV133">
            <v>9.2639808885553974E-3</v>
          </cell>
          <cell r="BY133">
            <v>3.5203509969815944E-2</v>
          </cell>
        </row>
        <row r="134">
          <cell r="O134">
            <v>2.3820577689553399</v>
          </cell>
          <cell r="P134">
            <v>2.3805913360062498</v>
          </cell>
          <cell r="Q134">
            <v>2.38315428444474</v>
          </cell>
          <cell r="U134">
            <v>1.70254547568551E-3</v>
          </cell>
          <cell r="V134">
            <v>1.10641998355936E-3</v>
          </cell>
          <cell r="W134">
            <v>2.4110895227868298E-3</v>
          </cell>
          <cell r="Y134">
            <v>2.38251038709886</v>
          </cell>
          <cell r="Z134">
            <v>2.3805913360062498</v>
          </cell>
          <cell r="AA134">
            <v>2.3842111843067899</v>
          </cell>
          <cell r="AE134">
            <v>1.89253883082516E-3</v>
          </cell>
          <cell r="AF134">
            <v>1.10641998355936E-3</v>
          </cell>
          <cell r="AG134">
            <v>3.0032656546781201E-3</v>
          </cell>
          <cell r="BJ134">
            <v>2.593952908126055E-2</v>
          </cell>
          <cell r="BV134">
            <v>8.9373625296738785E-3</v>
          </cell>
          <cell r="BY134">
            <v>3.4876891610934421E-2</v>
          </cell>
        </row>
        <row r="135">
          <cell r="O135">
            <v>2.3820577689553399</v>
          </cell>
          <cell r="P135">
            <v>2.3799687189863001</v>
          </cell>
          <cell r="Q135">
            <v>2.38250971850931</v>
          </cell>
          <cell r="U135">
            <v>4.6101830661360501E-3</v>
          </cell>
          <cell r="V135">
            <v>3.9943774658858797E-3</v>
          </cell>
          <cell r="W135">
            <v>5.0703999448257304E-3</v>
          </cell>
          <cell r="Y135">
            <v>2.38251038709886</v>
          </cell>
          <cell r="Z135">
            <v>2.3799687189863001</v>
          </cell>
          <cell r="AA135">
            <v>2.3832166643695301</v>
          </cell>
          <cell r="AE135">
            <v>4.8001764212755801E-3</v>
          </cell>
          <cell r="AF135">
            <v>3.9943774658858797E-3</v>
          </cell>
          <cell r="AG135">
            <v>5.5137894379524597E-3</v>
          </cell>
          <cell r="BJ135">
            <v>2.593952908126055E-2</v>
          </cell>
          <cell r="BV135">
            <v>6.029724939223359E-3</v>
          </cell>
          <cell r="BY135">
            <v>3.1969254020483902E-2</v>
          </cell>
        </row>
        <row r="136">
          <cell r="O136">
            <v>2.3820577689553399</v>
          </cell>
          <cell r="P136">
            <v>2.3803640045006098</v>
          </cell>
          <cell r="Q136">
            <v>2.3820386352310399</v>
          </cell>
          <cell r="U136">
            <v>2.87373919800334E-3</v>
          </cell>
          <cell r="V136">
            <v>1.9963605826874399E-3</v>
          </cell>
          <cell r="W136">
            <v>3.0634519291257499E-3</v>
          </cell>
          <cell r="Y136">
            <v>2.38251038709886</v>
          </cell>
          <cell r="Z136">
            <v>2.3803640045006098</v>
          </cell>
          <cell r="AA136">
            <v>2.3823936846990201</v>
          </cell>
          <cell r="AE136">
            <v>3.0637325531429802E-3</v>
          </cell>
          <cell r="AF136">
            <v>1.9963605826874399E-3</v>
          </cell>
          <cell r="AG136">
            <v>3.36013109557597E-3</v>
          </cell>
          <cell r="BJ136">
            <v>2.593952908126055E-2</v>
          </cell>
          <cell r="BV136">
            <v>7.7661688073561285E-3</v>
          </cell>
          <cell r="BY136">
            <v>3.3705697888616673E-2</v>
          </cell>
        </row>
        <row r="137">
          <cell r="O137">
            <v>2.3820577689553399</v>
          </cell>
          <cell r="P137">
            <v>2.37953961497987</v>
          </cell>
          <cell r="Q137">
            <v>2.38152665393604</v>
          </cell>
          <cell r="U137">
            <v>4.2830009116749E-3</v>
          </cell>
          <cell r="V137">
            <v>3.5716970386833798E-3</v>
          </cell>
          <cell r="W137">
            <v>4.2749684443708098E-3</v>
          </cell>
          <cell r="Y137">
            <v>2.38251038709886</v>
          </cell>
          <cell r="Z137">
            <v>2.37953961497987</v>
          </cell>
          <cell r="AA137">
            <v>2.38152665393604</v>
          </cell>
          <cell r="AE137">
            <v>4.4729942668143702E-3</v>
          </cell>
          <cell r="AF137">
            <v>3.5716970386833798E-3</v>
          </cell>
          <cell r="AG137">
            <v>4.4240101117936099E-3</v>
          </cell>
          <cell r="BJ137">
            <v>2.593952908126055E-2</v>
          </cell>
          <cell r="BV137">
            <v>6.3569070936845282E-3</v>
          </cell>
          <cell r="BY137">
            <v>3.229643617494507E-2</v>
          </cell>
        </row>
        <row r="138">
          <cell r="O138">
            <v>2.3820577689553399</v>
          </cell>
          <cell r="P138">
            <v>2.3786609566925199</v>
          </cell>
          <cell r="Q138">
            <v>2.3805645805679201</v>
          </cell>
          <cell r="U138">
            <v>3.0517096461886899E-3</v>
          </cell>
          <cell r="V138">
            <v>1.9940166044704099E-3</v>
          </cell>
          <cell r="W138">
            <v>2.82871999203538E-3</v>
          </cell>
          <cell r="Y138">
            <v>2.38251038709886</v>
          </cell>
          <cell r="Z138">
            <v>2.3786609566925199</v>
          </cell>
          <cell r="AA138">
            <v>2.3805645805679201</v>
          </cell>
          <cell r="AE138">
            <v>3.2417030013283899E-3</v>
          </cell>
          <cell r="AF138">
            <v>1.9940166044704099E-3</v>
          </cell>
          <cell r="AG138">
            <v>2.8287199920351601E-3</v>
          </cell>
          <cell r="BJ138">
            <v>2.593952908126055E-2</v>
          </cell>
          <cell r="BV138">
            <v>7.5881983591706186E-3</v>
          </cell>
          <cell r="BY138">
            <v>3.3527727440431157E-2</v>
          </cell>
        </row>
        <row r="139">
          <cell r="O139">
            <v>2.3820577689553399</v>
          </cell>
          <cell r="P139">
            <v>2.3777184297736902</v>
          </cell>
          <cell r="Q139">
            <v>2.37966443871239</v>
          </cell>
          <cell r="U139">
            <v>1.7566940288984E-3</v>
          </cell>
          <cell r="V139">
            <v>3.2967721274029398E-4</v>
          </cell>
          <cell r="W139">
            <v>1.12964937712542E-3</v>
          </cell>
          <cell r="Y139">
            <v>2.38251038709886</v>
          </cell>
          <cell r="Z139">
            <v>2.3777184297736902</v>
          </cell>
          <cell r="AA139">
            <v>2.37966443871239</v>
          </cell>
          <cell r="AE139">
            <v>1.94668738403794E-3</v>
          </cell>
          <cell r="AF139">
            <v>3.2967721274051602E-4</v>
          </cell>
          <cell r="AG139">
            <v>1.12964937712542E-3</v>
          </cell>
          <cell r="BJ139">
            <v>2.593952908126055E-2</v>
          </cell>
          <cell r="BV139">
            <v>8.8832139764610761E-3</v>
          </cell>
          <cell r="BY139">
            <v>3.4822743057721615E-2</v>
          </cell>
        </row>
        <row r="140">
          <cell r="O140">
            <v>2.3820577689553399</v>
          </cell>
          <cell r="P140">
            <v>2.3770882242995</v>
          </cell>
          <cell r="Q140">
            <v>2.3793196303382902</v>
          </cell>
          <cell r="U140">
            <v>1.1306857429852499E-3</v>
          </cell>
          <cell r="V140">
            <v>-6.9265224715048701E-4</v>
          </cell>
          <cell r="W140">
            <v>1.2544841913324299E-4</v>
          </cell>
          <cell r="Y140">
            <v>2.38251038709886</v>
          </cell>
          <cell r="Z140">
            <v>2.3770882242995</v>
          </cell>
          <cell r="AA140">
            <v>2.3793196303382902</v>
          </cell>
          <cell r="AE140">
            <v>1.3206790981247999E-3</v>
          </cell>
          <cell r="AF140">
            <v>-6.9265224715071004E-4</v>
          </cell>
          <cell r="AG140">
            <v>1.2544841913324299E-4</v>
          </cell>
          <cell r="BJ140">
            <v>2.593952908126055E-2</v>
          </cell>
          <cell r="BV140">
            <v>9.509222262374167E-3</v>
          </cell>
          <cell r="BY140">
            <v>3.5448751343634705E-2</v>
          </cell>
        </row>
        <row r="141">
          <cell r="O141">
            <v>2.3820577689553399</v>
          </cell>
          <cell r="P141">
            <v>2.3765166040271901</v>
          </cell>
          <cell r="Q141">
            <v>2.3789745009189098</v>
          </cell>
          <cell r="U141">
            <v>5.4940126597756401E-4</v>
          </cell>
          <cell r="V141">
            <v>-1.53901815595152E-3</v>
          </cell>
          <cell r="W141">
            <v>-6.0074445416571595E-4</v>
          </cell>
          <cell r="Y141">
            <v>2.38251038709886</v>
          </cell>
          <cell r="Z141">
            <v>2.3765166040271901</v>
          </cell>
          <cell r="AA141">
            <v>2.3789745009189098</v>
          </cell>
          <cell r="AE141">
            <v>7.3939462111731501E-4</v>
          </cell>
          <cell r="AF141">
            <v>-1.53901815595152E-3</v>
          </cell>
          <cell r="AG141">
            <v>-6.0074445416571595E-4</v>
          </cell>
          <cell r="BJ141">
            <v>2.593952908126055E-2</v>
          </cell>
          <cell r="BV141">
            <v>1.0090506739381956E-2</v>
          </cell>
          <cell r="BY141">
            <v>3.6030035820642493E-2</v>
          </cell>
        </row>
        <row r="142">
          <cell r="O142">
            <v>2.3820577689553399</v>
          </cell>
          <cell r="P142">
            <v>2.3764187098939602</v>
          </cell>
          <cell r="Q142">
            <v>2.3784649756109801</v>
          </cell>
          <cell r="U142">
            <v>2.3752629285111499E-3</v>
          </cell>
          <cell r="V142">
            <v>4.63438034278241E-5</v>
          </cell>
          <cell r="W142">
            <v>1.0800528594797499E-3</v>
          </cell>
          <cell r="Y142">
            <v>2.38251038709886</v>
          </cell>
          <cell r="Z142">
            <v>2.3764187098939602</v>
          </cell>
          <cell r="AA142">
            <v>2.3784649756109801</v>
          </cell>
          <cell r="AE142">
            <v>2.5652562836508499E-3</v>
          </cell>
          <cell r="AF142">
            <v>4.63438034278241E-5</v>
          </cell>
          <cell r="AG142">
            <v>1.0800528594797499E-3</v>
          </cell>
          <cell r="BJ142">
            <v>2.593952908126055E-2</v>
          </cell>
          <cell r="BV142">
            <v>1.0090506739381956E-2</v>
          </cell>
          <cell r="BY142">
            <v>3.6030035820642493E-2</v>
          </cell>
        </row>
        <row r="143">
          <cell r="O143">
            <v>2.3820577689553399</v>
          </cell>
          <cell r="P143">
            <v>2.3758842114069498</v>
          </cell>
          <cell r="Q143">
            <v>2.3782611990845499</v>
          </cell>
          <cell r="U143">
            <v>3.6253966872066001E-3</v>
          </cell>
          <cell r="V143">
            <v>1.25528443544008E-3</v>
          </cell>
          <cell r="W143">
            <v>2.1159851291665701E-3</v>
          </cell>
          <cell r="Y143">
            <v>2.38251038709886</v>
          </cell>
          <cell r="Z143">
            <v>2.3758842114069498</v>
          </cell>
          <cell r="AA143">
            <v>2.3782611990845499</v>
          </cell>
          <cell r="AE143">
            <v>3.8153900423462E-3</v>
          </cell>
          <cell r="AF143">
            <v>1.2552844354398599E-3</v>
          </cell>
          <cell r="AG143">
            <v>2.1159851291665701E-3</v>
          </cell>
          <cell r="BJ143">
            <v>2.593952908126055E-2</v>
          </cell>
          <cell r="BV143">
            <v>1.0090506739381956E-2</v>
          </cell>
          <cell r="BY143">
            <v>3.6030035820642493E-2</v>
          </cell>
        </row>
        <row r="144">
          <cell r="O144">
            <v>2.3820577689553399</v>
          </cell>
          <cell r="P144">
            <v>2.3748161791576101</v>
          </cell>
          <cell r="Q144">
            <v>2.37770375758193</v>
          </cell>
          <cell r="U144">
            <v>6.2039556169996499E-3</v>
          </cell>
          <cell r="V144">
            <v>3.6089004278358002E-3</v>
          </cell>
          <cell r="W144">
            <v>4.6088647412631202E-3</v>
          </cell>
          <cell r="Y144">
            <v>2.38251038709886</v>
          </cell>
          <cell r="Z144">
            <v>2.3748161791576101</v>
          </cell>
          <cell r="AA144">
            <v>2.37770375758193</v>
          </cell>
          <cell r="AE144">
            <v>6.3939489721393499E-3</v>
          </cell>
          <cell r="AF144">
            <v>3.6089004278358002E-3</v>
          </cell>
          <cell r="AG144">
            <v>4.6088647412631202E-3</v>
          </cell>
          <cell r="BJ144">
            <v>2.593952908126055E-2</v>
          </cell>
          <cell r="BV144">
            <v>1.0090506739381956E-2</v>
          </cell>
          <cell r="BY144">
            <v>3.6030035820642493E-2</v>
          </cell>
        </row>
        <row r="145">
          <cell r="O145">
            <v>2.3820577689553399</v>
          </cell>
          <cell r="P145">
            <v>2.3741446434902498</v>
          </cell>
          <cell r="Q145">
            <v>2.3770566812382801</v>
          </cell>
          <cell r="U145">
            <v>7.44636898274415E-3</v>
          </cell>
          <cell r="V145">
            <v>4.40168229526348E-3</v>
          </cell>
          <cell r="W145">
            <v>5.6168602716143903E-3</v>
          </cell>
          <cell r="Y145">
            <v>2.38251038709886</v>
          </cell>
          <cell r="Z145">
            <v>2.3741446434902498</v>
          </cell>
          <cell r="AA145">
            <v>2.3770566812382801</v>
          </cell>
          <cell r="AE145">
            <v>7.6363623378838796E-3</v>
          </cell>
          <cell r="AF145">
            <v>4.40168229526348E-3</v>
          </cell>
          <cell r="AG145">
            <v>5.6168602716143903E-3</v>
          </cell>
          <cell r="BJ145">
            <v>2.593952908126055E-2</v>
          </cell>
          <cell r="BV145">
            <v>8.848093373637466E-3</v>
          </cell>
          <cell r="BY145">
            <v>3.4787622454898005E-2</v>
          </cell>
        </row>
        <row r="146">
          <cell r="O146">
            <v>2.3820577689553399</v>
          </cell>
          <cell r="P146">
            <v>2.3730994185442502</v>
          </cell>
          <cell r="Q146">
            <v>2.3767317115224298</v>
          </cell>
          <cell r="U146">
            <v>7.2839855215456302E-3</v>
          </cell>
          <cell r="V146">
            <v>3.9564850998955198E-3</v>
          </cell>
          <cell r="W146">
            <v>5.1822963899832196E-3</v>
          </cell>
          <cell r="Y146">
            <v>2.38251038709886</v>
          </cell>
          <cell r="Z146">
            <v>2.3730994185442502</v>
          </cell>
          <cell r="AA146">
            <v>2.3767317115224298</v>
          </cell>
          <cell r="AE146">
            <v>7.47397887668511E-3</v>
          </cell>
          <cell r="AF146">
            <v>3.9564850998955198E-3</v>
          </cell>
          <cell r="AG146">
            <v>5.1822963899832196E-3</v>
          </cell>
          <cell r="BJ146">
            <v>2.593952908126055E-2</v>
          </cell>
          <cell r="BV146">
            <v>9.0104768348362244E-3</v>
          </cell>
          <cell r="BY146">
            <v>3.495000591609676E-2</v>
          </cell>
        </row>
        <row r="147">
          <cell r="O147">
            <v>2.3820577689553399</v>
          </cell>
          <cell r="P147">
            <v>2.3727886561027498</v>
          </cell>
          <cell r="Q147">
            <v>2.3761641355413099</v>
          </cell>
          <cell r="U147">
            <v>5.5940561188042798E-3</v>
          </cell>
          <cell r="V147">
            <v>1.8262054858608401E-3</v>
          </cell>
          <cell r="W147">
            <v>3.3556466751442299E-3</v>
          </cell>
          <cell r="Y147">
            <v>2.38251038709886</v>
          </cell>
          <cell r="Z147">
            <v>2.3727886561027498</v>
          </cell>
          <cell r="AA147">
            <v>2.3761641355413099</v>
          </cell>
          <cell r="AE147">
            <v>5.78404947394411E-3</v>
          </cell>
          <cell r="AF147">
            <v>1.8262054858610699E-3</v>
          </cell>
          <cell r="AG147">
            <v>3.3556466751442299E-3</v>
          </cell>
          <cell r="BJ147">
            <v>2.593952908126055E-2</v>
          </cell>
          <cell r="BV147">
            <v>1.0700406237577334E-2</v>
          </cell>
          <cell r="BY147">
            <v>3.6639935318837871E-2</v>
          </cell>
        </row>
        <row r="148">
          <cell r="O148">
            <v>2.3820577689553399</v>
          </cell>
          <cell r="P148">
            <v>2.3721435366888999</v>
          </cell>
          <cell r="Q148">
            <v>2.3754022466907099</v>
          </cell>
          <cell r="U148">
            <v>5.7719276861370097E-3</v>
          </cell>
          <cell r="V148">
            <v>1.87311634065161E-3</v>
          </cell>
          <cell r="W148">
            <v>3.2946844863477199E-3</v>
          </cell>
          <cell r="Y148">
            <v>2.38251038709886</v>
          </cell>
          <cell r="Z148">
            <v>2.3721435366888999</v>
          </cell>
          <cell r="AA148">
            <v>2.3754022466907099</v>
          </cell>
          <cell r="AE148">
            <v>5.9619210412765501E-3</v>
          </cell>
          <cell r="AF148">
            <v>1.87311634065161E-3</v>
          </cell>
          <cell r="AG148">
            <v>3.2946844863477199E-3</v>
          </cell>
          <cell r="BJ148">
            <v>2.593952908126055E-2</v>
          </cell>
          <cell r="BV148">
            <v>1.0522534670244573E-2</v>
          </cell>
          <cell r="BY148">
            <v>3.6462063751505111E-2</v>
          </cell>
        </row>
        <row r="149">
          <cell r="O149">
            <v>2.3820577689553399</v>
          </cell>
          <cell r="P149">
            <v>2.3713386057467001</v>
          </cell>
          <cell r="Q149">
            <v>2.3745285177601998</v>
          </cell>
          <cell r="U149">
            <v>5.1475188644268203E-3</v>
          </cell>
          <cell r="V149">
            <v>9.7678817779547292E-4</v>
          </cell>
          <cell r="W149">
            <v>2.3495861084622798E-3</v>
          </cell>
          <cell r="Y149">
            <v>2.38251038709886</v>
          </cell>
          <cell r="Z149">
            <v>2.3713386057467001</v>
          </cell>
          <cell r="AA149">
            <v>2.3745285177601998</v>
          </cell>
          <cell r="AE149">
            <v>5.3375122195662697E-3</v>
          </cell>
          <cell r="AF149">
            <v>9.767881777952511E-4</v>
          </cell>
          <cell r="AG149">
            <v>2.3495861084622798E-3</v>
          </cell>
          <cell r="BJ149">
            <v>2.593952908126055E-2</v>
          </cell>
          <cell r="BV149">
            <v>1.1146943491954844E-2</v>
          </cell>
          <cell r="BY149">
            <v>3.708647257321538E-2</v>
          </cell>
        </row>
        <row r="150">
          <cell r="O150">
            <v>2.3820577689553399</v>
          </cell>
          <cell r="P150">
            <v>2.3700392725068702</v>
          </cell>
          <cell r="Q150">
            <v>2.37356374840319</v>
          </cell>
          <cell r="U150">
            <v>6.6064888351965497E-3</v>
          </cell>
          <cell r="V150">
            <v>2.09637415775151E-3</v>
          </cell>
          <cell r="W150">
            <v>3.4406648472557798E-3</v>
          </cell>
          <cell r="Y150">
            <v>2.38251038709886</v>
          </cell>
          <cell r="Z150">
            <v>2.3700392725068702</v>
          </cell>
          <cell r="AA150">
            <v>2.37356374840319</v>
          </cell>
          <cell r="AE150">
            <v>6.7964821903363001E-3</v>
          </cell>
          <cell r="AF150">
            <v>2.09637415775151E-3</v>
          </cell>
          <cell r="AG150">
            <v>3.4406648472557798E-3</v>
          </cell>
          <cell r="BJ150">
            <v>2.593952908126055E-2</v>
          </cell>
          <cell r="BV150">
            <v>9.6879735211849449E-3</v>
          </cell>
          <cell r="BY150">
            <v>3.5627502602445481E-2</v>
          </cell>
        </row>
        <row r="151">
          <cell r="O151">
            <v>2.3820577689553399</v>
          </cell>
          <cell r="P151">
            <v>2.3695684968897499</v>
          </cell>
          <cell r="Q151">
            <v>2.3730425504584698</v>
          </cell>
          <cell r="U151">
            <v>2.5287851067557899E-3</v>
          </cell>
          <cell r="V151">
            <v>-2.5294121347517102E-3</v>
          </cell>
          <cell r="W151">
            <v>-1.0434207778302299E-3</v>
          </cell>
          <cell r="Y151">
            <v>2.38251038709886</v>
          </cell>
          <cell r="Z151">
            <v>2.3695684968897499</v>
          </cell>
          <cell r="AA151">
            <v>2.3730425504584698</v>
          </cell>
          <cell r="AE151">
            <v>2.7187784618953499E-3</v>
          </cell>
          <cell r="AF151">
            <v>-2.5294121347517102E-3</v>
          </cell>
          <cell r="AG151">
            <v>-1.0434207778302299E-3</v>
          </cell>
          <cell r="BJ151">
            <v>2.593952908126055E-2</v>
          </cell>
          <cell r="BV151">
            <v>1.3765677249625737E-2</v>
          </cell>
          <cell r="BY151">
            <v>3.9705206330886277E-2</v>
          </cell>
        </row>
        <row r="152">
          <cell r="O152">
            <v>2.3820577689553399</v>
          </cell>
          <cell r="P152">
            <v>2.3695165023959301</v>
          </cell>
          <cell r="Q152">
            <v>2.3729676061449401</v>
          </cell>
          <cell r="U152">
            <v>2.59408148236371E-3</v>
          </cell>
          <cell r="V152">
            <v>-2.6627716992859499E-3</v>
          </cell>
          <cell r="W152">
            <v>-1.1977330716556401E-3</v>
          </cell>
          <cell r="Y152">
            <v>2.38251038709886</v>
          </cell>
          <cell r="Z152">
            <v>2.3695165023959301</v>
          </cell>
          <cell r="AA152">
            <v>2.3729676061449401</v>
          </cell>
          <cell r="AE152">
            <v>2.7840748375036499E-3</v>
          </cell>
          <cell r="AF152">
            <v>-2.6627716992859499E-3</v>
          </cell>
          <cell r="AG152">
            <v>-1.1977330716556401E-3</v>
          </cell>
          <cell r="BJ152">
            <v>2.593952908126055E-2</v>
          </cell>
          <cell r="BV152">
            <v>1.3765677249625737E-2</v>
          </cell>
          <cell r="BY152">
            <v>3.9705206330886277E-2</v>
          </cell>
        </row>
        <row r="153">
          <cell r="O153">
            <v>2.3820577689553399</v>
          </cell>
          <cell r="P153">
            <v>2.3698371122575201</v>
          </cell>
          <cell r="Q153">
            <v>2.3728606618322399</v>
          </cell>
          <cell r="U153">
            <v>2.27548327047999E-3</v>
          </cell>
          <cell r="V153">
            <v>-3.0033127519632002E-3</v>
          </cell>
          <cell r="W153">
            <v>-1.5479133118380499E-3</v>
          </cell>
          <cell r="Y153">
            <v>2.38251038709886</v>
          </cell>
          <cell r="Z153">
            <v>2.3698371122575201</v>
          </cell>
          <cell r="AA153">
            <v>2.3728606618322399</v>
          </cell>
          <cell r="AE153">
            <v>2.4654766256194298E-3</v>
          </cell>
          <cell r="AF153">
            <v>-3.0033127519632002E-3</v>
          </cell>
          <cell r="AG153">
            <v>-1.5479133118380499E-3</v>
          </cell>
          <cell r="BJ153">
            <v>2.562093086937647E-2</v>
          </cell>
          <cell r="BV153">
            <v>1.3765677249625737E-2</v>
          </cell>
          <cell r="BY153">
            <v>3.93866081190022E-2</v>
          </cell>
        </row>
        <row r="154">
          <cell r="O154">
            <v>2.3820577689553399</v>
          </cell>
          <cell r="P154">
            <v>2.3709153522166599</v>
          </cell>
          <cell r="Q154">
            <v>2.3728657656871399</v>
          </cell>
          <cell r="U154">
            <v>1.6596208901706901E-3</v>
          </cell>
          <cell r="V154">
            <v>-3.4838782592603399E-3</v>
          </cell>
          <cell r="W154">
            <v>-2.2088444585190502E-3</v>
          </cell>
          <cell r="Y154">
            <v>2.38251038709886</v>
          </cell>
          <cell r="Z154">
            <v>2.3709153522166599</v>
          </cell>
          <cell r="AA154">
            <v>2.3728657656871399</v>
          </cell>
          <cell r="AE154">
            <v>1.8496142453104201E-3</v>
          </cell>
          <cell r="AF154">
            <v>-3.4838782592603399E-3</v>
          </cell>
          <cell r="AG154">
            <v>-2.2088444585190502E-3</v>
          </cell>
          <cell r="BJ154">
            <v>2.500506848906716E-2</v>
          </cell>
          <cell r="BV154">
            <v>1.3765677249625737E-2</v>
          </cell>
          <cell r="BY154">
            <v>3.8770745738692894E-2</v>
          </cell>
        </row>
        <row r="155">
          <cell r="O155">
            <v>2.3820577689553399</v>
          </cell>
          <cell r="P155">
            <v>2.3722213489283202</v>
          </cell>
          <cell r="Q155">
            <v>2.3731829962092799</v>
          </cell>
          <cell r="U155">
            <v>1.93794927354322E-3</v>
          </cell>
          <cell r="V155">
            <v>-2.75066851019255E-3</v>
          </cell>
          <cell r="W155">
            <v>-1.92836514842207E-3</v>
          </cell>
          <cell r="Y155">
            <v>2.38251038709886</v>
          </cell>
          <cell r="Z155">
            <v>2.3722213489283202</v>
          </cell>
          <cell r="AA155">
            <v>2.3731829962092799</v>
          </cell>
          <cell r="AE155">
            <v>2.12794262868286E-3</v>
          </cell>
          <cell r="AF155">
            <v>-2.7506685101927799E-3</v>
          </cell>
          <cell r="AG155">
            <v>-1.9283651484218399E-3</v>
          </cell>
          <cell r="BJ155">
            <v>2.5283396872439731E-2</v>
          </cell>
          <cell r="BV155">
            <v>1.3765677249625737E-2</v>
          </cell>
          <cell r="BY155">
            <v>3.9049074122065465E-2</v>
          </cell>
        </row>
        <row r="156">
          <cell r="O156">
            <v>2.3820577689553399</v>
          </cell>
          <cell r="P156">
            <v>2.3735194587657</v>
          </cell>
          <cell r="Q156">
            <v>2.37330943865497</v>
          </cell>
          <cell r="U156">
            <v>1.8096266779588201E-3</v>
          </cell>
          <cell r="V156">
            <v>-2.3283020462167101E-3</v>
          </cell>
          <cell r="W156">
            <v>-1.92300579570204E-3</v>
          </cell>
          <cell r="Y156">
            <v>2.38251038709886</v>
          </cell>
          <cell r="Z156">
            <v>2.3735194587657</v>
          </cell>
          <cell r="AA156">
            <v>2.37330943865497</v>
          </cell>
          <cell r="AE156">
            <v>1.9996200330986598E-3</v>
          </cell>
          <cell r="AF156">
            <v>-2.3283020462167101E-3</v>
          </cell>
          <cell r="AG156">
            <v>-1.92300579570204E-3</v>
          </cell>
          <cell r="BJ156">
            <v>2.5155074276855302E-2</v>
          </cell>
          <cell r="BV156">
            <v>1.3765677249625737E-2</v>
          </cell>
          <cell r="BY156">
            <v>3.8920751526481036E-2</v>
          </cell>
        </row>
        <row r="157">
          <cell r="O157">
            <v>2.3820577689553399</v>
          </cell>
          <cell r="P157">
            <v>2.37458970204248</v>
          </cell>
          <cell r="Q157">
            <v>2.3736891790726098</v>
          </cell>
          <cell r="U157">
            <v>1.0860922482745399E-3</v>
          </cell>
          <cell r="V157">
            <v>-2.5047733629521402E-3</v>
          </cell>
          <cell r="W157">
            <v>-2.5932619583483598E-3</v>
          </cell>
          <cell r="Y157">
            <v>2.38251038709886</v>
          </cell>
          <cell r="Z157">
            <v>2.37458970204248</v>
          </cell>
          <cell r="AA157">
            <v>2.3736891790726098</v>
          </cell>
          <cell r="AE157">
            <v>1.2760856034143299E-3</v>
          </cell>
          <cell r="AF157">
            <v>-2.5047733629521402E-3</v>
          </cell>
          <cell r="AG157">
            <v>-2.5932619583481399E-3</v>
          </cell>
          <cell r="BJ157">
            <v>2.4431539847171065E-2</v>
          </cell>
          <cell r="BV157">
            <v>1.3765677249625737E-2</v>
          </cell>
          <cell r="BY157">
            <v>3.8197217096796798E-2</v>
          </cell>
        </row>
        <row r="158">
          <cell r="O158">
            <v>2.3820577689553399</v>
          </cell>
          <cell r="P158">
            <v>2.3749263789655002</v>
          </cell>
          <cell r="Q158">
            <v>2.3735349578272</v>
          </cell>
          <cell r="U158">
            <v>4.3513687085958196E-3</v>
          </cell>
          <cell r="V158">
            <v>1.2113113069803199E-3</v>
          </cell>
          <cell r="W158">
            <v>8.3200629848705998E-4</v>
          </cell>
          <cell r="Y158">
            <v>2.38251038709886</v>
          </cell>
          <cell r="Z158">
            <v>2.3749263789655002</v>
          </cell>
          <cell r="AA158">
            <v>2.3735349578272</v>
          </cell>
          <cell r="AE158">
            <v>4.5413620637356203E-3</v>
          </cell>
          <cell r="AF158">
            <v>1.2113113069803199E-3</v>
          </cell>
          <cell r="AG158">
            <v>8.3200629848705998E-4</v>
          </cell>
          <cell r="BJ158">
            <v>2.7696816307492416E-2</v>
          </cell>
          <cell r="BV158">
            <v>1.3765677249625737E-2</v>
          </cell>
          <cell r="BY158">
            <v>4.1462493557118146E-2</v>
          </cell>
        </row>
        <row r="159">
          <cell r="O159">
            <v>2.3820577689553399</v>
          </cell>
          <cell r="P159">
            <v>2.37489560364335</v>
          </cell>
          <cell r="Q159">
            <v>2.3731171046950199</v>
          </cell>
          <cell r="U159">
            <v>5.2773904246742297E-3</v>
          </cell>
          <cell r="V159">
            <v>2.27910617124442E-3</v>
          </cell>
          <cell r="W159">
            <v>1.69305478346361E-3</v>
          </cell>
          <cell r="Y159">
            <v>2.38251038709886</v>
          </cell>
          <cell r="Z159">
            <v>2.37489560364335</v>
          </cell>
          <cell r="AA159">
            <v>2.3731171046950199</v>
          </cell>
          <cell r="AE159">
            <v>5.4673837798137302E-3</v>
          </cell>
          <cell r="AF159">
            <v>2.27910617124442E-3</v>
          </cell>
          <cell r="AG159">
            <v>1.69305478346361E-3</v>
          </cell>
          <cell r="BJ159">
            <v>2.7696816307492416E-2</v>
          </cell>
          <cell r="BV159">
            <v>1.3765677249625737E-2</v>
          </cell>
          <cell r="BY159">
            <v>4.1462493557118146E-2</v>
          </cell>
        </row>
        <row r="160">
          <cell r="O160">
            <v>2.3820577689553399</v>
          </cell>
          <cell r="P160">
            <v>2.3749923208266899</v>
          </cell>
          <cell r="Q160">
            <v>2.37251579666678</v>
          </cell>
          <cell r="U160">
            <v>6.1978573971604098E-3</v>
          </cell>
          <cell r="V160">
            <v>3.1866146277001002E-3</v>
          </cell>
          <cell r="W160">
            <v>2.4374595008062301E-3</v>
          </cell>
          <cell r="Y160">
            <v>2.38251038709886</v>
          </cell>
          <cell r="Z160">
            <v>2.3749923208266899</v>
          </cell>
          <cell r="AA160">
            <v>2.37251579666678</v>
          </cell>
          <cell r="AE160">
            <v>6.3878507523000396E-3</v>
          </cell>
          <cell r="AF160">
            <v>3.1866146277001002E-3</v>
          </cell>
          <cell r="AG160">
            <v>2.4374595008062301E-3</v>
          </cell>
          <cell r="BJ160">
            <v>2.7696816307492416E-2</v>
          </cell>
          <cell r="BV160">
            <v>1.3765677249625737E-2</v>
          </cell>
          <cell r="BY160">
            <v>4.1462493557118146E-2</v>
          </cell>
        </row>
        <row r="161">
          <cell r="O161">
            <v>2.3820577689553399</v>
          </cell>
          <cell r="P161">
            <v>2.3742705480361499</v>
          </cell>
          <cell r="Q161">
            <v>2.3719195224629499</v>
          </cell>
          <cell r="U161">
            <v>5.5711193150221397E-3</v>
          </cell>
          <cell r="V161">
            <v>2.60060053100678E-3</v>
          </cell>
          <cell r="W161">
            <v>1.55730610232958E-3</v>
          </cell>
          <cell r="Y161">
            <v>2.38251038709886</v>
          </cell>
          <cell r="Z161">
            <v>2.3742705480361499</v>
          </cell>
          <cell r="AA161">
            <v>2.3719195224629499</v>
          </cell>
          <cell r="AE161">
            <v>5.7611126701617599E-3</v>
          </cell>
          <cell r="AF161">
            <v>2.6006005310070099E-3</v>
          </cell>
          <cell r="AG161">
            <v>1.55730610232958E-3</v>
          </cell>
          <cell r="BJ161">
            <v>2.7696816307492416E-2</v>
          </cell>
          <cell r="BV161">
            <v>1.4392415331764026E-2</v>
          </cell>
          <cell r="BY161">
            <v>4.2089231639256437E-2</v>
          </cell>
        </row>
        <row r="162">
          <cell r="O162">
            <v>2.3820577689553399</v>
          </cell>
          <cell r="P162">
            <v>2.3726145647397301</v>
          </cell>
          <cell r="Q162">
            <v>2.3710655335678301</v>
          </cell>
          <cell r="U162">
            <v>9.5884446575188898E-3</v>
          </cell>
          <cell r="V162">
            <v>6.3139743694399899E-3</v>
          </cell>
          <cell r="W162">
            <v>5.3232741528162399E-3</v>
          </cell>
          <cell r="Y162">
            <v>2.38251038709886</v>
          </cell>
          <cell r="Z162">
            <v>2.3726145647397301</v>
          </cell>
          <cell r="AA162">
            <v>2.3710655335678301</v>
          </cell>
          <cell r="AE162">
            <v>9.7784380126587495E-3</v>
          </cell>
          <cell r="AF162">
            <v>6.3139743694399899E-3</v>
          </cell>
          <cell r="AG162">
            <v>5.3232741528162399E-3</v>
          </cell>
          <cell r="BJ162">
            <v>2.7696816307492416E-2</v>
          </cell>
          <cell r="BV162">
            <v>1.0375089989267155E-2</v>
          </cell>
          <cell r="BY162">
            <v>3.8071906296759564E-2</v>
          </cell>
        </row>
        <row r="163">
          <cell r="O163">
            <v>2.3820577689553399</v>
          </cell>
          <cell r="P163">
            <v>2.3709817603574699</v>
          </cell>
          <cell r="Q163">
            <v>2.3704094363074999</v>
          </cell>
          <cell r="U163">
            <v>9.16940317188541E-3</v>
          </cell>
          <cell r="V163">
            <v>5.1972191939834E-3</v>
          </cell>
          <cell r="W163">
            <v>4.54412657607691E-3</v>
          </cell>
          <cell r="Y163">
            <v>2.38251038709886</v>
          </cell>
          <cell r="Z163">
            <v>2.3709817603574699</v>
          </cell>
          <cell r="AA163">
            <v>2.3704094363074999</v>
          </cell>
          <cell r="AE163">
            <v>9.3593965270250701E-3</v>
          </cell>
          <cell r="AF163">
            <v>5.1972191939834E-3</v>
          </cell>
          <cell r="AG163">
            <v>4.5441265760771303E-3</v>
          </cell>
          <cell r="BJ163">
            <v>2.7696816307492416E-2</v>
          </cell>
          <cell r="BV163">
            <v>1.0794131474900414E-2</v>
          </cell>
          <cell r="BY163">
            <v>3.8490947782392822E-2</v>
          </cell>
        </row>
        <row r="164">
          <cell r="O164">
            <v>2.3820577689553399</v>
          </cell>
          <cell r="P164">
            <v>2.3692677942918401</v>
          </cell>
          <cell r="Q164">
            <v>2.3700915732542498</v>
          </cell>
          <cell r="U164">
            <v>8.8929870899669208E-3</v>
          </cell>
          <cell r="V164">
            <v>4.2323784085945403E-3</v>
          </cell>
          <cell r="W164">
            <v>3.9909623224655003E-3</v>
          </cell>
          <cell r="Y164">
            <v>2.38251038709886</v>
          </cell>
          <cell r="Z164">
            <v>2.3692677942918401</v>
          </cell>
          <cell r="AA164">
            <v>2.3700915732542498</v>
          </cell>
          <cell r="AE164">
            <v>9.0829804451065498E-3</v>
          </cell>
          <cell r="AF164">
            <v>4.2323784085945403E-3</v>
          </cell>
          <cell r="AG164">
            <v>3.9909623224655003E-3</v>
          </cell>
          <cell r="BJ164">
            <v>2.7696816307492416E-2</v>
          </cell>
          <cell r="BV164">
            <v>1.1070547556819084E-2</v>
          </cell>
          <cell r="BY164">
            <v>3.876736386431149E-2</v>
          </cell>
        </row>
        <row r="165">
          <cell r="O165">
            <v>2.3820577689553399</v>
          </cell>
          <cell r="P165">
            <v>2.3680124892714098</v>
          </cell>
          <cell r="Q165">
            <v>2.3701169190998601</v>
          </cell>
          <cell r="U165">
            <v>7.2319951086071404E-3</v>
          </cell>
          <cell r="V165">
            <v>1.84823203607438E-3</v>
          </cell>
          <cell r="W165">
            <v>2.1958650838430202E-3</v>
          </cell>
          <cell r="Y165">
            <v>2.38251038709886</v>
          </cell>
          <cell r="Z165">
            <v>2.3680124892714098</v>
          </cell>
          <cell r="AA165">
            <v>2.3701169190998601</v>
          </cell>
          <cell r="AE165">
            <v>7.42198846374666E-3</v>
          </cell>
          <cell r="AF165">
            <v>1.84823203607438E-3</v>
          </cell>
          <cell r="AG165">
            <v>2.19586508384324E-3</v>
          </cell>
          <cell r="BJ165">
            <v>2.7696816307492416E-2</v>
          </cell>
          <cell r="BV165">
            <v>1.2731539538178814E-2</v>
          </cell>
          <cell r="BY165">
            <v>4.042835584567122E-2</v>
          </cell>
        </row>
        <row r="166">
          <cell r="O166">
            <v>2.3820577689553399</v>
          </cell>
          <cell r="P166">
            <v>2.36662292827639</v>
          </cell>
          <cell r="Q166">
            <v>2.3700711935210399</v>
          </cell>
          <cell r="U166">
            <v>7.6707835945971203E-3</v>
          </cell>
          <cell r="V166">
            <v>1.7570518587478E-3</v>
          </cell>
          <cell r="W166">
            <v>2.6453475490749601E-3</v>
          </cell>
          <cell r="Y166">
            <v>2.38251038709886</v>
          </cell>
          <cell r="Z166">
            <v>2.36662292827639</v>
          </cell>
          <cell r="AA166">
            <v>2.3700711935210399</v>
          </cell>
          <cell r="AE166">
            <v>7.8607769497368706E-3</v>
          </cell>
          <cell r="AF166">
            <v>1.7570518587478E-3</v>
          </cell>
          <cell r="AG166">
            <v>2.6453475490749601E-3</v>
          </cell>
          <cell r="BJ166">
            <v>2.7696816307492416E-2</v>
          </cell>
          <cell r="BV166">
            <v>1.2292751052188874E-2</v>
          </cell>
          <cell r="BY166">
            <v>3.9989567359681281E-2</v>
          </cell>
        </row>
        <row r="167">
          <cell r="O167">
            <v>2.3820577689553399</v>
          </cell>
          <cell r="P167">
            <v>2.36515120523869</v>
          </cell>
          <cell r="Q167">
            <v>2.3698704536405901</v>
          </cell>
          <cell r="U167">
            <v>7.2903814021147099E-3</v>
          </cell>
          <cell r="V167">
            <v>7.8967267126423902E-4</v>
          </cell>
          <cell r="W167">
            <v>2.2456526290753E-3</v>
          </cell>
          <cell r="Y167">
            <v>2.38251038709886</v>
          </cell>
          <cell r="Z167">
            <v>2.36515120523869</v>
          </cell>
          <cell r="AA167">
            <v>2.3698704536405901</v>
          </cell>
          <cell r="AE167">
            <v>7.4803747572543102E-3</v>
          </cell>
          <cell r="AF167">
            <v>7.8967267126423902E-4</v>
          </cell>
          <cell r="AG167">
            <v>2.2456526290755199E-3</v>
          </cell>
          <cell r="BJ167">
            <v>2.7696816307492416E-2</v>
          </cell>
          <cell r="BV167">
            <v>1.2673153244671435E-2</v>
          </cell>
          <cell r="BY167">
            <v>4.0369969552163841E-2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AA37-D9E4-4941-B88B-6368D3B1E93D}">
  <dimension ref="A1:BY167"/>
  <sheetViews>
    <sheetView tabSelected="1" workbookViewId="0">
      <selection activeCell="J7" sqref="J7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>
        <f>BJ167</f>
        <v>2.7696816307492416E-2</v>
      </c>
      <c r="BS1" s="6"/>
      <c r="BT1" s="6"/>
      <c r="BU1" s="6"/>
      <c r="BV1" s="7">
        <f>BV167</f>
        <v>8.9999827672095009E-3</v>
      </c>
      <c r="BY1" s="7">
        <f>BY167</f>
        <v>3.6696799074701907E-2</v>
      </c>
    </row>
    <row r="2" spans="1:77" x14ac:dyDescent="0.3">
      <c r="A2" s="1">
        <v>46024</v>
      </c>
      <c r="B2" s="8">
        <v>54.93</v>
      </c>
      <c r="C2" s="8">
        <v>129.65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54.93</v>
      </c>
      <c r="M2" s="8">
        <v>129.65</v>
      </c>
      <c r="N2" s="10">
        <v>2.3602767158201301</v>
      </c>
      <c r="O2" s="10">
        <v>2.3820577689553399</v>
      </c>
      <c r="X2" s="10">
        <v>2.3602767158201301</v>
      </c>
      <c r="Y2" s="10">
        <v>2.3818827909075999</v>
      </c>
    </row>
    <row r="3" spans="1:77" x14ac:dyDescent="0.3">
      <c r="A3" s="1">
        <v>46027</v>
      </c>
      <c r="B3" s="8">
        <v>56.13</v>
      </c>
      <c r="C3" s="8">
        <v>132.78</v>
      </c>
      <c r="D3" s="9">
        <v>2.1610781599578799E-2</v>
      </c>
      <c r="E3" s="9">
        <v>2.3855111306339799E-2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56.13</v>
      </c>
      <c r="M3" s="8">
        <v>132.78</v>
      </c>
      <c r="N3" s="10">
        <v>2.3655799037947598</v>
      </c>
      <c r="O3" s="10">
        <v>2.3820577689553399</v>
      </c>
      <c r="R3" s="8">
        <v>133.70490257146301</v>
      </c>
      <c r="U3" s="9">
        <v>6.9415285923566904E-3</v>
      </c>
      <c r="X3" s="10">
        <v>2.3655799037947598</v>
      </c>
      <c r="Y3" s="10">
        <v>2.3818827909075999</v>
      </c>
      <c r="AB3" s="8">
        <v>133.69508105364301</v>
      </c>
      <c r="AE3" s="9">
        <v>6.8680692174472599E-3</v>
      </c>
    </row>
    <row r="4" spans="1:77" x14ac:dyDescent="0.3">
      <c r="A4" s="1">
        <v>46028</v>
      </c>
      <c r="B4" s="8">
        <v>56.4</v>
      </c>
      <c r="C4" s="8">
        <v>133</v>
      </c>
      <c r="D4" s="9">
        <v>4.7987295499051898E-3</v>
      </c>
      <c r="E4" s="9">
        <v>1.65550493074049E-3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56.4</v>
      </c>
      <c r="M4" s="8">
        <v>133</v>
      </c>
      <c r="N4" s="10">
        <v>2.3581560283687901</v>
      </c>
      <c r="O4" s="10">
        <v>2.3820577689553399</v>
      </c>
      <c r="R4" s="8">
        <v>134.34805816908101</v>
      </c>
      <c r="U4" s="9">
        <v>1.00847532115212E-2</v>
      </c>
      <c r="X4" s="10">
        <v>2.3581560283687901</v>
      </c>
      <c r="Y4" s="10">
        <v>2.3818827909075999</v>
      </c>
      <c r="AB4" s="8">
        <v>134.338189407188</v>
      </c>
      <c r="AE4" s="9">
        <v>1.00112938366121E-2</v>
      </c>
    </row>
    <row r="5" spans="1:77" x14ac:dyDescent="0.3">
      <c r="A5" s="1">
        <v>46029</v>
      </c>
      <c r="B5" s="8">
        <v>55.61</v>
      </c>
      <c r="C5" s="8">
        <v>130.84</v>
      </c>
      <c r="D5" s="9">
        <v>-1.41061173045405E-2</v>
      </c>
      <c r="E5" s="9">
        <v>-1.6373925551570499E-2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55.61</v>
      </c>
      <c r="M5" s="8">
        <v>130.84</v>
      </c>
      <c r="N5" s="10">
        <v>2.3528142420427902</v>
      </c>
      <c r="O5" s="10">
        <v>2.3820577689553399</v>
      </c>
      <c r="R5" s="8">
        <v>132.46623253160601</v>
      </c>
      <c r="U5" s="9">
        <v>1.23525614585514E-2</v>
      </c>
      <c r="X5" s="10">
        <v>2.3528142420427902</v>
      </c>
      <c r="Y5" s="10">
        <v>2.3818827909075999</v>
      </c>
      <c r="AB5" s="8">
        <v>132.456502002371</v>
      </c>
      <c r="AE5" s="9">
        <v>1.2279102083642E-2</v>
      </c>
    </row>
    <row r="6" spans="1:77" x14ac:dyDescent="0.3">
      <c r="A6" s="1">
        <v>46030</v>
      </c>
      <c r="B6" s="8">
        <v>55.9</v>
      </c>
      <c r="C6" s="8">
        <v>131.79</v>
      </c>
      <c r="D6" s="9">
        <v>5.2013389615807298E-3</v>
      </c>
      <c r="E6" s="9">
        <v>7.23454398561471E-3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55.9</v>
      </c>
      <c r="M6" s="8">
        <v>131.79</v>
      </c>
      <c r="N6" s="10">
        <v>2.3576028622540202</v>
      </c>
      <c r="O6" s="10">
        <v>2.3820577689553399</v>
      </c>
      <c r="R6" s="8">
        <v>133.157029284603</v>
      </c>
      <c r="U6" s="9">
        <v>1.03193564345174E-2</v>
      </c>
      <c r="X6" s="10">
        <v>2.3576028622540202</v>
      </c>
      <c r="Y6" s="10">
        <v>2.3818827909075999</v>
      </c>
      <c r="AB6" s="8">
        <v>133.147248011735</v>
      </c>
      <c r="AE6" s="9">
        <v>1.02458970596083E-2</v>
      </c>
    </row>
    <row r="7" spans="1:77" x14ac:dyDescent="0.3">
      <c r="A7" s="1">
        <v>46031</v>
      </c>
      <c r="B7" s="8">
        <v>55.73</v>
      </c>
      <c r="C7" s="8">
        <v>131.56</v>
      </c>
      <c r="D7" s="9">
        <v>-3.04577857960847E-3</v>
      </c>
      <c r="E7" s="9">
        <v>-1.74672533494153E-3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55.73</v>
      </c>
      <c r="M7" s="8">
        <v>131.56</v>
      </c>
      <c r="N7" s="10">
        <v>2.3606675040373202</v>
      </c>
      <c r="O7" s="10">
        <v>2.3820577689553399</v>
      </c>
      <c r="R7" s="8">
        <v>132.75207946388099</v>
      </c>
      <c r="U7" s="9">
        <v>9.0203031898507206E-3</v>
      </c>
      <c r="X7" s="10">
        <v>2.3606675040373202</v>
      </c>
      <c r="Y7" s="10">
        <v>2.3818827909075999</v>
      </c>
      <c r="AB7" s="8">
        <v>132.74232793728001</v>
      </c>
      <c r="AE7" s="9">
        <v>8.9468438149413292E-3</v>
      </c>
    </row>
    <row r="8" spans="1:77" x14ac:dyDescent="0.3">
      <c r="A8" s="1">
        <v>46034</v>
      </c>
      <c r="B8" s="8">
        <v>55.29</v>
      </c>
      <c r="C8" s="8">
        <v>131.07</v>
      </c>
      <c r="D8" s="9">
        <v>-7.9265412316033707E-3</v>
      </c>
      <c r="E8" s="9">
        <v>-3.7314896894021401E-3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55.29</v>
      </c>
      <c r="M8" s="8">
        <v>131.07</v>
      </c>
      <c r="N8" s="10">
        <v>2.3705914270211599</v>
      </c>
      <c r="O8" s="10">
        <v>2.3820577689553399</v>
      </c>
      <c r="R8" s="8">
        <v>131.70397404554001</v>
      </c>
      <c r="U8" s="9">
        <v>4.8252516476492901E-3</v>
      </c>
      <c r="X8" s="10">
        <v>2.3705914270211599</v>
      </c>
      <c r="Y8" s="10">
        <v>2.3818827909075999</v>
      </c>
      <c r="AB8" s="8">
        <v>131.694299509281</v>
      </c>
      <c r="AE8" s="9">
        <v>4.7517922727401598E-3</v>
      </c>
    </row>
    <row r="9" spans="1:77" x14ac:dyDescent="0.3">
      <c r="A9" s="1">
        <v>46035</v>
      </c>
      <c r="B9" s="8">
        <v>54.23</v>
      </c>
      <c r="C9" s="8">
        <v>129.16</v>
      </c>
      <c r="D9" s="9">
        <v>-1.9357799496872299E-2</v>
      </c>
      <c r="E9" s="9">
        <v>-1.46795857413796E-2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54.23</v>
      </c>
      <c r="M9" s="8">
        <v>129.16</v>
      </c>
      <c r="N9" s="10">
        <v>2.3817075419509499</v>
      </c>
      <c r="O9" s="10">
        <v>2.3820577689553399</v>
      </c>
      <c r="R9" s="8">
        <v>129.17899281044799</v>
      </c>
      <c r="U9" s="9">
        <v>1.47037892156565E-4</v>
      </c>
      <c r="X9" s="10">
        <v>2.3817075419509499</v>
      </c>
      <c r="Y9" s="10">
        <v>2.3818827909075999</v>
      </c>
      <c r="AB9" s="8">
        <v>129.16950375091901</v>
      </c>
      <c r="AE9" s="9">
        <v>7.3578517247479405E-5</v>
      </c>
      <c r="BJ9" s="12">
        <f>AVERAGE(BI22:BI200)</f>
        <v>1.8970422128419462E-4</v>
      </c>
      <c r="BV9" s="12">
        <f>AVERAGE(BU22:BU200)</f>
        <v>6.1643717583626721E-5</v>
      </c>
      <c r="BY9" s="12">
        <f>AVERAGE(BX22:BX200)</f>
        <v>2.5134793886782129E-4</v>
      </c>
    </row>
    <row r="10" spans="1:77" x14ac:dyDescent="0.3">
      <c r="A10" s="1">
        <v>46036</v>
      </c>
      <c r="B10" s="8">
        <v>54.15</v>
      </c>
      <c r="C10" s="8">
        <v>128.99</v>
      </c>
      <c r="D10" s="9">
        <v>-1.4762874059695899E-3</v>
      </c>
      <c r="E10" s="9">
        <v>-1.3170639130295899E-3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54.15</v>
      </c>
      <c r="M10" s="8">
        <v>128.99</v>
      </c>
      <c r="N10" s="10">
        <v>2.3820867959372101</v>
      </c>
      <c r="O10" s="10">
        <v>2.3820577689553399</v>
      </c>
      <c r="R10" s="8">
        <v>128.98842818893101</v>
      </c>
      <c r="U10" s="9">
        <v>-1.2185600783275099E-5</v>
      </c>
      <c r="X10" s="10">
        <v>2.3820867959372101</v>
      </c>
      <c r="Y10" s="10">
        <v>2.3818827909075999</v>
      </c>
      <c r="AB10" s="8">
        <v>128.97895312764601</v>
      </c>
      <c r="AE10" s="9">
        <v>-8.5644975692501993E-5</v>
      </c>
      <c r="AZ10" s="13"/>
      <c r="BJ10" s="12">
        <f>STDEV(BI22:BI200)</f>
        <v>1.3621634978427093E-3</v>
      </c>
      <c r="BL10" s="13"/>
      <c r="BV10" s="12">
        <f>STDEV(BU22:BU200)</f>
        <v>1.2246800820687987E-3</v>
      </c>
      <c r="BY10" s="12">
        <f>STDEV(BX22:BX200)</f>
        <v>1.8253167543809724E-3</v>
      </c>
    </row>
    <row r="11" spans="1:77" x14ac:dyDescent="0.3">
      <c r="A11" s="1">
        <v>46037</v>
      </c>
      <c r="B11" s="8">
        <v>54.37</v>
      </c>
      <c r="C11" s="8">
        <v>129.76</v>
      </c>
      <c r="D11" s="9">
        <v>4.05455771082955E-3</v>
      </c>
      <c r="E11" s="9">
        <v>5.9517083900579399E-3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54.37</v>
      </c>
      <c r="M11" s="8">
        <v>129.76</v>
      </c>
      <c r="N11" s="10">
        <v>2.38661026301269</v>
      </c>
      <c r="O11" s="10">
        <v>2.3820577689553399</v>
      </c>
      <c r="P11" s="10">
        <v>2.3676093284239799</v>
      </c>
      <c r="R11" s="8">
        <v>129.51248089810099</v>
      </c>
      <c r="U11" s="9">
        <v>-1.9093362800115599E-3</v>
      </c>
      <c r="X11" s="10">
        <v>2.38661026301269</v>
      </c>
      <c r="Y11" s="10">
        <v>2.3818827909075999</v>
      </c>
      <c r="Z11" s="10">
        <v>2.3676093284239799</v>
      </c>
      <c r="AB11" s="8">
        <v>129.50296734164601</v>
      </c>
      <c r="AE11" s="9">
        <v>-1.9827956549208002E-3</v>
      </c>
      <c r="BJ11">
        <f>SQRT(252)*BJ9/BJ10</f>
        <v>2.2107927263006193</v>
      </c>
      <c r="BV11">
        <f>SQRT(252)*BV9/BV10</f>
        <v>0.79903616791220244</v>
      </c>
      <c r="BY11">
        <f>SQRT(252)*BY9/BY10</f>
        <v>2.185935577033959</v>
      </c>
    </row>
    <row r="12" spans="1:77" x14ac:dyDescent="0.3">
      <c r="A12" s="1">
        <v>46038</v>
      </c>
      <c r="B12" s="8">
        <v>54.44</v>
      </c>
      <c r="C12" s="8">
        <v>129.84</v>
      </c>
      <c r="D12" s="9">
        <v>1.28664662543604E-3</v>
      </c>
      <c r="E12" s="9">
        <v>6.1633283923312899E-4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54.44</v>
      </c>
      <c r="M12" s="8">
        <v>129.84</v>
      </c>
      <c r="N12" s="10">
        <v>2.3850110213078599</v>
      </c>
      <c r="O12" s="10">
        <v>2.3820577689553399</v>
      </c>
      <c r="P12" s="10">
        <v>2.37008275897275</v>
      </c>
      <c r="R12" s="8">
        <v>129.679224941928</v>
      </c>
      <c r="S12" s="8">
        <v>128.892651839401</v>
      </c>
      <c r="U12" s="9">
        <v>-1.2390224938085999E-3</v>
      </c>
      <c r="V12" s="9">
        <v>-7.32302156261639E-3</v>
      </c>
      <c r="X12" s="10">
        <v>2.3850110213078599</v>
      </c>
      <c r="Y12" s="10">
        <v>2.3818827909075999</v>
      </c>
      <c r="Z12" s="10">
        <v>2.37008275897275</v>
      </c>
      <c r="AB12" s="8">
        <v>129.66969913700899</v>
      </c>
      <c r="AC12" s="8">
        <v>128.892651839401</v>
      </c>
      <c r="AE12" s="9">
        <v>-1.31248186871775E-3</v>
      </c>
      <c r="AF12" s="9">
        <v>-7.32302156261639E-3</v>
      </c>
    </row>
    <row r="13" spans="1:77" x14ac:dyDescent="0.3">
      <c r="A13" s="1">
        <v>46042</v>
      </c>
      <c r="B13" s="8">
        <v>53.2</v>
      </c>
      <c r="C13" s="8">
        <v>126.95</v>
      </c>
      <c r="D13" s="9">
        <v>-2.3040781435666499E-2</v>
      </c>
      <c r="E13" s="9">
        <v>-2.2509615055648299E-2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53.2</v>
      </c>
      <c r="M13" s="8">
        <v>126.95</v>
      </c>
      <c r="N13" s="10">
        <v>2.3862781954887202</v>
      </c>
      <c r="O13" s="10">
        <v>2.3820577689553399</v>
      </c>
      <c r="P13" s="10">
        <v>2.3721525881421499</v>
      </c>
      <c r="R13" s="8">
        <v>126.725473308424</v>
      </c>
      <c r="S13" s="8">
        <v>126.08840277735</v>
      </c>
      <c r="U13" s="9">
        <v>-1.77018887382681E-3</v>
      </c>
      <c r="V13" s="9">
        <v>-6.8100378679286401E-3</v>
      </c>
      <c r="X13" s="10">
        <v>2.3862781954887202</v>
      </c>
      <c r="Y13" s="10">
        <v>2.3818827909075999</v>
      </c>
      <c r="Z13" s="10">
        <v>2.3721525881421499</v>
      </c>
      <c r="AB13" s="8">
        <v>126.71616447628401</v>
      </c>
      <c r="AC13" s="8">
        <v>126.08840277735</v>
      </c>
      <c r="AE13" s="9">
        <v>-1.84364824873598E-3</v>
      </c>
      <c r="AF13" s="9">
        <v>-6.8100378679286401E-3</v>
      </c>
    </row>
    <row r="14" spans="1:77" x14ac:dyDescent="0.3">
      <c r="A14" s="1">
        <v>46043</v>
      </c>
      <c r="B14" s="8">
        <v>53.46</v>
      </c>
      <c r="C14" s="8">
        <v>127.82</v>
      </c>
      <c r="D14" s="9">
        <v>4.8753143631741699E-3</v>
      </c>
      <c r="E14" s="9">
        <v>6.8297160714481499E-3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53.46</v>
      </c>
      <c r="M14" s="8">
        <v>127.82</v>
      </c>
      <c r="N14" s="10">
        <v>2.3909465020576102</v>
      </c>
      <c r="O14" s="10">
        <v>2.3820577689553399</v>
      </c>
      <c r="P14" s="10">
        <v>2.3754316355110299</v>
      </c>
      <c r="R14" s="8">
        <v>127.344808328352</v>
      </c>
      <c r="S14" s="8">
        <v>126.815277362079</v>
      </c>
      <c r="U14" s="9">
        <v>-3.7245905821007802E-3</v>
      </c>
      <c r="V14" s="9">
        <v>-7.8915055485433896E-3</v>
      </c>
      <c r="X14" s="10">
        <v>2.3909465020576102</v>
      </c>
      <c r="Y14" s="10">
        <v>2.3818827909075999</v>
      </c>
      <c r="Z14" s="10">
        <v>2.3754316355110299</v>
      </c>
      <c r="AB14" s="8">
        <v>127.33545400192</v>
      </c>
      <c r="AC14" s="8">
        <v>126.815277362079</v>
      </c>
      <c r="AE14" s="9">
        <v>-3.7980499570099201E-3</v>
      </c>
      <c r="AF14" s="9">
        <v>-7.8915055485433896E-3</v>
      </c>
    </row>
    <row r="15" spans="1:77" x14ac:dyDescent="0.3">
      <c r="A15" s="1">
        <v>46044</v>
      </c>
      <c r="B15" s="8">
        <v>53.81</v>
      </c>
      <c r="C15" s="8">
        <v>128.41</v>
      </c>
      <c r="D15" s="9">
        <v>6.5256127905554701E-3</v>
      </c>
      <c r="E15" s="9">
        <v>4.6052456210469899E-3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53.81</v>
      </c>
      <c r="M15" s="8">
        <v>128.41</v>
      </c>
      <c r="N15" s="10">
        <v>2.3863594127485501</v>
      </c>
      <c r="O15" s="10">
        <v>2.3820577689553399</v>
      </c>
      <c r="P15" s="10">
        <v>2.3787861525816099</v>
      </c>
      <c r="R15" s="8">
        <v>128.178528547486</v>
      </c>
      <c r="S15" s="8">
        <v>127.821976306848</v>
      </c>
      <c r="U15" s="9">
        <v>-1.8042234125923999E-3</v>
      </c>
      <c r="V15" s="9">
        <v>-4.58978410038867E-3</v>
      </c>
      <c r="X15" s="10">
        <v>2.3863594127485501</v>
      </c>
      <c r="Y15" s="10">
        <v>2.3818827909075999</v>
      </c>
      <c r="Z15" s="10">
        <v>2.3787861525816099</v>
      </c>
      <c r="AB15" s="8">
        <v>128.16911297873801</v>
      </c>
      <c r="AC15" s="8">
        <v>127.821976306848</v>
      </c>
      <c r="AE15" s="9">
        <v>-1.87768278750137E-3</v>
      </c>
      <c r="AF15" s="9">
        <v>-4.58978410038867E-3</v>
      </c>
    </row>
    <row r="16" spans="1:77" x14ac:dyDescent="0.3">
      <c r="A16" s="1">
        <v>46045</v>
      </c>
      <c r="B16" s="8">
        <v>53.07</v>
      </c>
      <c r="C16" s="8">
        <v>126.73</v>
      </c>
      <c r="D16" s="9">
        <v>-1.38475266615246E-2</v>
      </c>
      <c r="E16" s="9">
        <v>-1.3169430749209701E-2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53.07</v>
      </c>
      <c r="M16" s="8">
        <v>126.73</v>
      </c>
      <c r="N16" s="10">
        <v>2.3879781420764998</v>
      </c>
      <c r="O16" s="10">
        <v>2.3820577689553399</v>
      </c>
      <c r="P16" s="10">
        <v>2.38182368056385</v>
      </c>
      <c r="R16" s="8">
        <v>126.415805798459</v>
      </c>
      <c r="S16" s="8">
        <v>126.24218111750599</v>
      </c>
      <c r="U16" s="9">
        <v>-2.4823193249073699E-3</v>
      </c>
      <c r="V16" s="9">
        <v>-3.85670459887887E-3</v>
      </c>
      <c r="X16" s="10">
        <v>2.3879781420764998</v>
      </c>
      <c r="Y16" s="10">
        <v>2.3818827909075999</v>
      </c>
      <c r="Z16" s="10">
        <v>2.38182368056385</v>
      </c>
      <c r="AB16" s="8">
        <v>126.406519713466</v>
      </c>
      <c r="AC16" s="8">
        <v>126.24218111750599</v>
      </c>
      <c r="AE16" s="9">
        <v>-2.5557786998164599E-3</v>
      </c>
      <c r="AF16" s="9">
        <v>-3.85670459887887E-3</v>
      </c>
    </row>
    <row r="17" spans="1:77" x14ac:dyDescent="0.3">
      <c r="A17" s="1">
        <v>46048</v>
      </c>
      <c r="B17" s="8">
        <v>53.41</v>
      </c>
      <c r="C17" s="8">
        <v>127.49</v>
      </c>
      <c r="D17" s="9">
        <v>6.3861975118753404E-3</v>
      </c>
      <c r="E17" s="9">
        <v>5.979091056058E-3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53.41</v>
      </c>
      <c r="M17" s="8">
        <v>127.49</v>
      </c>
      <c r="N17" s="10">
        <v>2.3870061786182299</v>
      </c>
      <c r="O17" s="10">
        <v>2.3820577689553399</v>
      </c>
      <c r="P17" s="10">
        <v>2.3844575480219499</v>
      </c>
      <c r="R17" s="8">
        <v>127.225705439904</v>
      </c>
      <c r="S17" s="8">
        <v>127.213202778915</v>
      </c>
      <c r="U17" s="9">
        <v>-2.0752128690900099E-3</v>
      </c>
      <c r="V17" s="9">
        <v>-2.1734891986548801E-3</v>
      </c>
      <c r="X17" s="10">
        <v>2.3870061786182299</v>
      </c>
      <c r="Y17" s="10">
        <v>2.3818827909075999</v>
      </c>
      <c r="Z17" s="10">
        <v>2.3844575480219499</v>
      </c>
      <c r="AB17" s="8">
        <v>127.216359862375</v>
      </c>
      <c r="AC17" s="8">
        <v>127.213202778915</v>
      </c>
      <c r="AE17" s="9">
        <v>-2.14867224399924E-3</v>
      </c>
      <c r="AF17" s="9">
        <v>-2.1734891986548801E-3</v>
      </c>
    </row>
    <row r="18" spans="1:77" x14ac:dyDescent="0.3">
      <c r="A18" s="1">
        <v>46049</v>
      </c>
      <c r="B18" s="8">
        <v>53</v>
      </c>
      <c r="C18" s="8">
        <v>126.82</v>
      </c>
      <c r="D18" s="9">
        <v>-7.7060807995570496E-3</v>
      </c>
      <c r="E18" s="9">
        <v>-5.2691718781452896E-3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53</v>
      </c>
      <c r="M18" s="8">
        <v>126.82</v>
      </c>
      <c r="N18" s="10">
        <v>2.3928301886792398</v>
      </c>
      <c r="O18" s="10">
        <v>2.3820577689553399</v>
      </c>
      <c r="P18" s="10">
        <v>2.3866814241877501</v>
      </c>
      <c r="R18" s="8">
        <v>126.249061754633</v>
      </c>
      <c r="S18" s="8">
        <v>126.376250045163</v>
      </c>
      <c r="U18" s="9">
        <v>-4.5121217905016503E-3</v>
      </c>
      <c r="V18" s="9">
        <v>-3.5051894259603201E-3</v>
      </c>
      <c r="X18" s="10">
        <v>2.3928301886792398</v>
      </c>
      <c r="Y18" s="10">
        <v>2.3818827909075999</v>
      </c>
      <c r="Z18" s="10">
        <v>2.3866814241877501</v>
      </c>
      <c r="AB18" s="8">
        <v>126.239787918103</v>
      </c>
      <c r="AC18" s="8">
        <v>126.376250045163</v>
      </c>
      <c r="AE18" s="9">
        <v>-4.5855811654109202E-3</v>
      </c>
      <c r="AF18" s="9">
        <v>-3.5051894259603201E-3</v>
      </c>
    </row>
    <row r="19" spans="1:77" x14ac:dyDescent="0.3">
      <c r="A19" s="1">
        <v>46050</v>
      </c>
      <c r="B19" s="8">
        <v>52.99</v>
      </c>
      <c r="C19" s="8">
        <v>126.73</v>
      </c>
      <c r="D19" s="9">
        <v>-1.8869704745108699E-4</v>
      </c>
      <c r="E19" s="9">
        <v>-7.0991917791264896E-4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52.99</v>
      </c>
      <c r="M19" s="8">
        <v>126.73</v>
      </c>
      <c r="N19" s="10">
        <v>2.3915833176070902</v>
      </c>
      <c r="O19" s="10">
        <v>2.3820577689553399</v>
      </c>
      <c r="P19" s="10">
        <v>2.3876690017533702</v>
      </c>
      <c r="R19" s="8">
        <v>126.225241176943</v>
      </c>
      <c r="S19" s="8">
        <v>126.470248667709</v>
      </c>
      <c r="U19" s="9">
        <v>-3.9908996600400599E-3</v>
      </c>
      <c r="V19" s="9">
        <v>-2.0517469850807701E-3</v>
      </c>
      <c r="X19" s="10">
        <v>2.3915833176070902</v>
      </c>
      <c r="Y19" s="10">
        <v>2.3818827909075999</v>
      </c>
      <c r="Z19" s="10">
        <v>2.3876690017533702</v>
      </c>
      <c r="AB19" s="8">
        <v>126.215969090193</v>
      </c>
      <c r="AC19" s="8">
        <v>126.470248667709</v>
      </c>
      <c r="AE19" s="9">
        <v>-4.0643590349492597E-3</v>
      </c>
      <c r="AF19" s="9">
        <v>-2.0517469850807701E-3</v>
      </c>
      <c r="BX19" s="6" t="s">
        <v>33</v>
      </c>
      <c r="BY19" s="6" t="s">
        <v>33</v>
      </c>
    </row>
    <row r="20" spans="1:77" x14ac:dyDescent="0.3">
      <c r="A20" s="1">
        <v>46051</v>
      </c>
      <c r="B20" s="8">
        <v>53.55</v>
      </c>
      <c r="C20" s="8">
        <v>127.72</v>
      </c>
      <c r="D20" s="9">
        <v>1.05125803890869E-2</v>
      </c>
      <c r="E20" s="9">
        <v>7.7815287526085096E-3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53.55</v>
      </c>
      <c r="M20" s="8">
        <v>127.72</v>
      </c>
      <c r="N20" s="10">
        <v>2.3850606909430399</v>
      </c>
      <c r="O20" s="10">
        <v>2.3820577689553399</v>
      </c>
      <c r="P20" s="10">
        <v>2.3879663912539502</v>
      </c>
      <c r="R20" s="8">
        <v>127.55919352755799</v>
      </c>
      <c r="S20" s="8">
        <v>127.85967504389301</v>
      </c>
      <c r="U20" s="9">
        <v>-1.2598480235615501E-3</v>
      </c>
      <c r="V20" s="9">
        <v>1.0930059894202801E-3</v>
      </c>
      <c r="X20" s="10">
        <v>2.3850606909430399</v>
      </c>
      <c r="Y20" s="10">
        <v>2.3818827909075999</v>
      </c>
      <c r="Z20" s="10">
        <v>2.3879663912539502</v>
      </c>
      <c r="AB20" s="8">
        <v>127.54982345310199</v>
      </c>
      <c r="AC20" s="8">
        <v>127.85967504389301</v>
      </c>
      <c r="AE20" s="9">
        <v>-1.3333073984708101E-3</v>
      </c>
      <c r="AF20" s="9">
        <v>1.0930059894202801E-3</v>
      </c>
      <c r="AZ20" s="14" t="s">
        <v>34</v>
      </c>
      <c r="BA20" s="15">
        <v>-1.1209599027042093E-3</v>
      </c>
      <c r="BB20" s="6" t="s">
        <v>35</v>
      </c>
      <c r="BC20" s="6" t="s">
        <v>36</v>
      </c>
      <c r="BD20" s="6" t="s">
        <v>37</v>
      </c>
      <c r="BE20" s="6" t="s">
        <v>38</v>
      </c>
      <c r="BF20" s="6" t="s">
        <v>39</v>
      </c>
      <c r="BG20" s="6" t="str">
        <f>D1</f>
        <v>XLF log rtn</v>
      </c>
      <c r="BH20" s="6" t="str">
        <f>E1</f>
        <v>IYF log rtn</v>
      </c>
      <c r="BI20" s="6" t="s">
        <v>40</v>
      </c>
      <c r="BJ20" s="6" t="s">
        <v>41</v>
      </c>
      <c r="BL20" s="14" t="s">
        <v>34</v>
      </c>
      <c r="BM20" s="15">
        <v>2.2260370323622628E-3</v>
      </c>
      <c r="BN20" s="6" t="s">
        <v>36</v>
      </c>
      <c r="BO20" s="6" t="s">
        <v>35</v>
      </c>
      <c r="BP20" s="6" t="s">
        <v>37</v>
      </c>
      <c r="BQ20" s="6" t="s">
        <v>38</v>
      </c>
      <c r="BR20" s="6" t="s">
        <v>39</v>
      </c>
      <c r="BS20" s="7" t="str">
        <f>D1</f>
        <v>XLF log rtn</v>
      </c>
      <c r="BT20" s="7" t="str">
        <f>E1</f>
        <v>IYF log rtn</v>
      </c>
      <c r="BU20" s="6" t="s">
        <v>40</v>
      </c>
      <c r="BV20" s="6" t="s">
        <v>41</v>
      </c>
      <c r="BX20" s="6" t="s">
        <v>40</v>
      </c>
      <c r="BY20" s="6" t="s">
        <v>41</v>
      </c>
    </row>
    <row r="21" spans="1:77" x14ac:dyDescent="0.3">
      <c r="A21" s="1">
        <v>46052</v>
      </c>
      <c r="B21" s="8">
        <v>53.44</v>
      </c>
      <c r="C21" s="8">
        <v>127.7</v>
      </c>
      <c r="D21" s="9">
        <v>-2.0562676653674799E-3</v>
      </c>
      <c r="E21" s="9">
        <v>-1.5660480808768099E-4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53.44</v>
      </c>
      <c r="M21" s="8">
        <v>127.7</v>
      </c>
      <c r="N21" s="10">
        <v>2.38959580838323</v>
      </c>
      <c r="O21" s="10">
        <v>2.3820577689553399</v>
      </c>
      <c r="P21" s="10">
        <v>2.3882649457910099</v>
      </c>
      <c r="Q21" s="10">
        <v>2.37793713710749</v>
      </c>
      <c r="R21" s="8">
        <v>127.297167172973</v>
      </c>
      <c r="S21" s="8">
        <v>127.612923948611</v>
      </c>
      <c r="U21" s="9">
        <v>-3.1595108808414201E-3</v>
      </c>
      <c r="V21" s="9">
        <v>-6.8211239304345501E-4</v>
      </c>
      <c r="X21" s="10">
        <v>2.38959580838323</v>
      </c>
      <c r="Y21" s="10">
        <v>2.3818827909075999</v>
      </c>
      <c r="Z21" s="10">
        <v>2.3882649457910099</v>
      </c>
      <c r="AA21" s="10">
        <v>2.37793713710749</v>
      </c>
      <c r="AB21" s="8">
        <v>127.28781634610201</v>
      </c>
      <c r="AC21" s="8">
        <v>127.612923948611</v>
      </c>
      <c r="AE21" s="9">
        <v>-3.2329702557505999E-3</v>
      </c>
      <c r="AF21" s="9">
        <v>-6.8211239304345501E-4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54.03</v>
      </c>
      <c r="C22" s="8">
        <v>128.57</v>
      </c>
      <c r="D22" s="9">
        <v>1.0979918627584099E-2</v>
      </c>
      <c r="E22" s="9">
        <v>6.7897400576637599E-3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54.03</v>
      </c>
      <c r="M22" s="8">
        <v>128.57</v>
      </c>
      <c r="N22" s="10">
        <v>2.37960392374606</v>
      </c>
      <c r="O22" s="10">
        <v>2.3820577689553399</v>
      </c>
      <c r="P22" s="10">
        <v>2.3877242360348299</v>
      </c>
      <c r="Q22" s="10">
        <v>2.3789034975037899</v>
      </c>
      <c r="R22" s="8">
        <v>128.702581256657</v>
      </c>
      <c r="S22" s="8">
        <v>129.03795502108801</v>
      </c>
      <c r="T22" s="8">
        <v>128.479943517918</v>
      </c>
      <c r="U22" s="9">
        <v>1.0306676890789201E-3</v>
      </c>
      <c r="V22" s="9">
        <v>3.6330829595138002E-3</v>
      </c>
      <c r="W22" s="9">
        <v>-7.00692515500642E-4</v>
      </c>
      <c r="X22" s="10">
        <v>2.37960392374606</v>
      </c>
      <c r="Y22" s="10">
        <v>2.3818827909075999</v>
      </c>
      <c r="Z22" s="10">
        <v>2.3877242360348299</v>
      </c>
      <c r="AA22" s="10">
        <v>2.3789034975037899</v>
      </c>
      <c r="AB22" s="8">
        <v>128.69312719273699</v>
      </c>
      <c r="AC22" s="8">
        <v>129.03795502108801</v>
      </c>
      <c r="AD22" s="8">
        <v>128.479943517918</v>
      </c>
      <c r="AE22" s="9">
        <v>9.5720831416988301E-4</v>
      </c>
      <c r="AF22" s="9">
        <v>3.6330829595138002E-3</v>
      </c>
      <c r="AG22" s="9">
        <v>-7.00692515500642E-4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53.53</v>
      </c>
      <c r="C23" s="8">
        <v>127.68</v>
      </c>
      <c r="D23" s="9">
        <v>-9.2972034506844693E-3</v>
      </c>
      <c r="E23" s="9">
        <v>-6.9463693946587501E-3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53.53</v>
      </c>
      <c r="M23" s="8">
        <v>127.68</v>
      </c>
      <c r="N23" s="10">
        <v>2.3852045581916599</v>
      </c>
      <c r="O23" s="10">
        <v>2.3820577689553399</v>
      </c>
      <c r="P23" s="10">
        <v>2.3876168723051201</v>
      </c>
      <c r="Q23" s="10">
        <v>2.3798847302236399</v>
      </c>
      <c r="R23" s="8">
        <v>127.511552372179</v>
      </c>
      <c r="S23" s="8">
        <v>127.814878354944</v>
      </c>
      <c r="T23" s="8">
        <v>127.342704221378</v>
      </c>
      <c r="U23" s="9">
        <v>-1.3201663669467601E-3</v>
      </c>
      <c r="V23" s="9">
        <v>1.0558205185382001E-3</v>
      </c>
      <c r="W23" s="9">
        <v>-2.6452231092832798E-3</v>
      </c>
      <c r="X23" s="10">
        <v>2.3852045581916599</v>
      </c>
      <c r="Y23" s="10">
        <v>2.3818827909075999</v>
      </c>
      <c r="Z23" s="10">
        <v>2.3876168723051201</v>
      </c>
      <c r="AA23" s="10">
        <v>2.3798847302236399</v>
      </c>
      <c r="AB23" s="8">
        <v>127.502185797284</v>
      </c>
      <c r="AC23" s="8">
        <v>127.814878354944</v>
      </c>
      <c r="AD23" s="8">
        <v>127.342704221378</v>
      </c>
      <c r="AE23" s="9">
        <v>-1.3936257418559301E-3</v>
      </c>
      <c r="AF23" s="9">
        <v>1.0558205185382001E-3</v>
      </c>
      <c r="AG23" s="9">
        <v>-2.6452231092832798E-3</v>
      </c>
      <c r="AZ23" s="9"/>
      <c r="BB23">
        <f t="shared" ref="BB23:BB86" si="2">IF($AG23&lt;BA$20,1,0)</f>
        <v>1</v>
      </c>
      <c r="BC23">
        <f t="shared" ref="BC23:BC86" si="3">IF($AG23&gt;BA$21,1,0)</f>
        <v>0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53.96</v>
      </c>
      <c r="C24" s="8">
        <v>128.71</v>
      </c>
      <c r="D24" s="9">
        <v>8.0007869342651802E-3</v>
      </c>
      <c r="E24" s="9">
        <v>8.0346779597878105E-3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53.96</v>
      </c>
      <c r="M24" s="8">
        <v>128.71</v>
      </c>
      <c r="N24" s="10">
        <v>2.38528539659006</v>
      </c>
      <c r="O24" s="10">
        <v>2.3820577689553399</v>
      </c>
      <c r="P24" s="10">
        <v>2.3870507617583701</v>
      </c>
      <c r="Q24" s="10">
        <v>2.3812411986347</v>
      </c>
      <c r="R24" s="8">
        <v>128.53583721282999</v>
      </c>
      <c r="S24" s="8">
        <v>128.83580642958401</v>
      </c>
      <c r="T24" s="8">
        <v>128.41858004286701</v>
      </c>
      <c r="U24" s="9">
        <v>-1.3540573924693501E-3</v>
      </c>
      <c r="V24" s="9">
        <v>9.7696360375718007E-4</v>
      </c>
      <c r="W24" s="9">
        <v>-2.2667264903907299E-3</v>
      </c>
      <c r="X24" s="10">
        <v>2.38528539659006</v>
      </c>
      <c r="Y24" s="10">
        <v>2.3818827909075999</v>
      </c>
      <c r="Z24" s="10">
        <v>2.3870507617583701</v>
      </c>
      <c r="AA24" s="10">
        <v>2.3812411986347</v>
      </c>
      <c r="AB24" s="8">
        <v>128.52639539737399</v>
      </c>
      <c r="AC24" s="8">
        <v>128.83580642958401</v>
      </c>
      <c r="AD24" s="8">
        <v>128.41858004286701</v>
      </c>
      <c r="AE24" s="9">
        <v>-1.4275167673786101E-3</v>
      </c>
      <c r="AF24" s="9">
        <v>9.7696360375718007E-4</v>
      </c>
      <c r="AG24" s="9">
        <v>-2.2667264903907299E-3</v>
      </c>
      <c r="AZ24" s="9"/>
      <c r="BB24">
        <f t="shared" si="2"/>
        <v>1</v>
      </c>
      <c r="BC24">
        <f t="shared" si="3"/>
        <v>0</v>
      </c>
      <c r="BD24">
        <f t="shared" si="4"/>
        <v>1</v>
      </c>
      <c r="BE24">
        <f t="shared" si="0"/>
        <v>1</v>
      </c>
      <c r="BF24">
        <f t="shared" si="5"/>
        <v>1</v>
      </c>
      <c r="BG24" s="9">
        <f t="shared" si="6"/>
        <v>8.0007869342651802E-3</v>
      </c>
      <c r="BH24" s="9">
        <f t="shared" si="7"/>
        <v>-8.0346779597878105E-3</v>
      </c>
      <c r="BI24" s="9">
        <f t="shared" si="8"/>
        <v>-3.3891025522630319E-5</v>
      </c>
      <c r="BJ24" s="12">
        <f t="shared" si="9"/>
        <v>-3.3891025522630319E-5</v>
      </c>
      <c r="BL24" s="9"/>
      <c r="BN24">
        <f t="shared" si="10"/>
        <v>0</v>
      </c>
      <c r="BO24">
        <f t="shared" si="11"/>
        <v>1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-3.3891025522630319E-5</v>
      </c>
      <c r="BY24" s="12">
        <f t="shared" si="19"/>
        <v>-3.3891025522630319E-5</v>
      </c>
    </row>
    <row r="25" spans="1:77" x14ac:dyDescent="0.3">
      <c r="A25" s="1">
        <v>46058</v>
      </c>
      <c r="B25" s="8">
        <v>53.29</v>
      </c>
      <c r="C25" s="8">
        <v>126.95</v>
      </c>
      <c r="D25" s="9">
        <v>-1.2494335030864201E-2</v>
      </c>
      <c r="E25" s="9">
        <v>-1.37685035105989E-2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53.29</v>
      </c>
      <c r="M25" s="8">
        <v>126.95</v>
      </c>
      <c r="N25" s="10">
        <v>2.3822480765621998</v>
      </c>
      <c r="O25" s="10">
        <v>2.3820577689553399</v>
      </c>
      <c r="P25" s="10">
        <v>2.3866396281397302</v>
      </c>
      <c r="Q25" s="10">
        <v>2.3827128903606698</v>
      </c>
      <c r="R25" s="8">
        <v>126.93985850763001</v>
      </c>
      <c r="S25" s="8">
        <v>127.205935094103</v>
      </c>
      <c r="T25" s="8">
        <v>126.896343475243</v>
      </c>
      <c r="U25" s="9">
        <v>-7.9888912734580195E-5</v>
      </c>
      <c r="V25" s="9">
        <v>2.01400121165123E-3</v>
      </c>
      <c r="W25" s="9">
        <v>-4.2274806736380098E-4</v>
      </c>
      <c r="X25" s="10">
        <v>2.3822480765621998</v>
      </c>
      <c r="Y25" s="10">
        <v>2.3818827909075999</v>
      </c>
      <c r="Z25" s="10">
        <v>2.3866396281397302</v>
      </c>
      <c r="AA25" s="10">
        <v>2.3827128903606698</v>
      </c>
      <c r="AB25" s="8">
        <v>126.930533927466</v>
      </c>
      <c r="AC25" s="8">
        <v>127.205935094103</v>
      </c>
      <c r="AD25" s="8">
        <v>126.896343475243</v>
      </c>
      <c r="AE25" s="9">
        <v>-1.53348287643844E-4</v>
      </c>
      <c r="AF25" s="9">
        <v>2.01400121165123E-3</v>
      </c>
      <c r="AG25" s="9">
        <v>-4.2274806736380098E-4</v>
      </c>
      <c r="AZ25" s="9"/>
      <c r="BB25">
        <f t="shared" si="2"/>
        <v>0</v>
      </c>
      <c r="BC25">
        <f t="shared" si="3"/>
        <v>0</v>
      </c>
      <c r="BD25">
        <f t="shared" si="4"/>
        <v>1</v>
      </c>
      <c r="BE25">
        <f t="shared" si="0"/>
        <v>1</v>
      </c>
      <c r="BF25">
        <f t="shared" si="5"/>
        <v>1</v>
      </c>
      <c r="BG25" s="9">
        <f t="shared" si="6"/>
        <v>-1.2494335030864201E-2</v>
      </c>
      <c r="BH25" s="9">
        <f t="shared" si="7"/>
        <v>1.37685035105989E-2</v>
      </c>
      <c r="BI25" s="9">
        <f t="shared" si="8"/>
        <v>1.274168479734699E-3</v>
      </c>
      <c r="BJ25" s="12">
        <f t="shared" si="9"/>
        <v>1.2402774542120687E-3</v>
      </c>
      <c r="BL25" s="9"/>
      <c r="BN25">
        <f t="shared" si="10"/>
        <v>0</v>
      </c>
      <c r="BO25">
        <f t="shared" si="11"/>
        <v>1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1.274168479734699E-3</v>
      </c>
      <c r="BY25" s="12">
        <f t="shared" si="19"/>
        <v>1.2402774542120687E-3</v>
      </c>
    </row>
    <row r="26" spans="1:77" x14ac:dyDescent="0.3">
      <c r="A26" s="1">
        <v>46059</v>
      </c>
      <c r="B26" s="8">
        <v>54.26</v>
      </c>
      <c r="C26" s="8">
        <v>129.63999999999999</v>
      </c>
      <c r="D26" s="9">
        <v>1.8038610922094699E-2</v>
      </c>
      <c r="E26" s="9">
        <v>2.0968070122658899E-2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54.26</v>
      </c>
      <c r="M26" s="8">
        <v>129.63999999999999</v>
      </c>
      <c r="N26" s="10">
        <v>2.38923700700331</v>
      </c>
      <c r="O26" s="10">
        <v>2.3820577689553399</v>
      </c>
      <c r="P26" s="10">
        <v>2.38676551463241</v>
      </c>
      <c r="Q26" s="10">
        <v>2.3842945975981298</v>
      </c>
      <c r="R26" s="8">
        <v>129.25045454351601</v>
      </c>
      <c r="S26" s="8">
        <v>129.49906622286201</v>
      </c>
      <c r="T26" s="8">
        <v>129.28600143097</v>
      </c>
      <c r="U26" s="9">
        <v>-3.00934811329892E-3</v>
      </c>
      <c r="V26" s="9">
        <v>-1.0877077940201301E-3</v>
      </c>
      <c r="W26" s="9">
        <v>-2.7343626181712101E-3</v>
      </c>
      <c r="X26" s="10">
        <v>2.38923700700331</v>
      </c>
      <c r="Y26" s="10">
        <v>2.3818827909075999</v>
      </c>
      <c r="Z26" s="10">
        <v>2.38676551463241</v>
      </c>
      <c r="AA26" s="10">
        <v>2.3842945975981298</v>
      </c>
      <c r="AB26" s="8">
        <v>129.240960234646</v>
      </c>
      <c r="AC26" s="8">
        <v>129.49906622286201</v>
      </c>
      <c r="AD26" s="8">
        <v>129.28600143097</v>
      </c>
      <c r="AE26" s="9">
        <v>-3.0828074882080598E-3</v>
      </c>
      <c r="AF26" s="9">
        <v>-1.0877077940201301E-3</v>
      </c>
      <c r="AG26" s="9">
        <v>-2.7343626181712101E-3</v>
      </c>
      <c r="AZ26" s="9"/>
      <c r="BB26">
        <f t="shared" si="2"/>
        <v>1</v>
      </c>
      <c r="BC26">
        <f t="shared" si="3"/>
        <v>0</v>
      </c>
      <c r="BD26">
        <f t="shared" si="4"/>
        <v>1</v>
      </c>
      <c r="BE26">
        <f t="shared" si="0"/>
        <v>1</v>
      </c>
      <c r="BF26">
        <f t="shared" si="5"/>
        <v>1</v>
      </c>
      <c r="BG26" s="9">
        <f t="shared" si="6"/>
        <v>1.8038610922094699E-2</v>
      </c>
      <c r="BH26" s="9">
        <f t="shared" si="7"/>
        <v>-2.0968070122658899E-2</v>
      </c>
      <c r="BI26" s="9">
        <f t="shared" si="8"/>
        <v>-2.9294592005641995E-3</v>
      </c>
      <c r="BJ26" s="12">
        <f t="shared" si="9"/>
        <v>-1.6891817463521308E-3</v>
      </c>
      <c r="BL26" s="9"/>
      <c r="BN26">
        <f t="shared" si="10"/>
        <v>0</v>
      </c>
      <c r="BO26">
        <f t="shared" si="11"/>
        <v>1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-2.9294592005641995E-3</v>
      </c>
      <c r="BY26" s="12">
        <f t="shared" si="19"/>
        <v>-1.6891817463521308E-3</v>
      </c>
    </row>
    <row r="27" spans="1:77" x14ac:dyDescent="0.3">
      <c r="A27" s="1">
        <v>46062</v>
      </c>
      <c r="B27" s="8">
        <v>53.94</v>
      </c>
      <c r="C27" s="8">
        <v>129.16999999999999</v>
      </c>
      <c r="D27" s="9">
        <v>-5.9149895192018099E-3</v>
      </c>
      <c r="E27" s="9">
        <v>-3.6320120294224701E-3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53.94</v>
      </c>
      <c r="M27" s="8">
        <v>129.16999999999999</v>
      </c>
      <c r="N27" s="10">
        <v>2.39469781238413</v>
      </c>
      <c r="O27" s="10">
        <v>2.3820577689553399</v>
      </c>
      <c r="P27" s="10">
        <v>2.3875346780090001</v>
      </c>
      <c r="Q27" s="10">
        <v>2.3859961130154699</v>
      </c>
      <c r="R27" s="8">
        <v>128.48819605745101</v>
      </c>
      <c r="S27" s="8">
        <v>128.74213185927201</v>
      </c>
      <c r="T27" s="8">
        <v>128.608850594443</v>
      </c>
      <c r="U27" s="9">
        <v>-5.29232560307831E-3</v>
      </c>
      <c r="V27" s="9">
        <v>-3.3179403401186998E-3</v>
      </c>
      <c r="W27" s="9">
        <v>-4.3537341457173797E-3</v>
      </c>
      <c r="X27" s="10">
        <v>2.39469781238413</v>
      </c>
      <c r="Y27" s="10">
        <v>2.3818827909075999</v>
      </c>
      <c r="Z27" s="10">
        <v>2.3875346780090001</v>
      </c>
      <c r="AA27" s="10">
        <v>2.3859961130154699</v>
      </c>
      <c r="AB27" s="8">
        <v>128.478757741556</v>
      </c>
      <c r="AC27" s="8">
        <v>128.74213185927201</v>
      </c>
      <c r="AD27" s="8">
        <v>128.608850594443</v>
      </c>
      <c r="AE27" s="9">
        <v>-5.3657849779875496E-3</v>
      </c>
      <c r="AF27" s="9">
        <v>-3.3179403401186998E-3</v>
      </c>
      <c r="AG27" s="9">
        <v>-4.3537341457173797E-3</v>
      </c>
      <c r="AZ27" s="9"/>
      <c r="BB27">
        <f t="shared" si="2"/>
        <v>1</v>
      </c>
      <c r="BC27">
        <f t="shared" si="3"/>
        <v>0</v>
      </c>
      <c r="BD27">
        <f t="shared" si="4"/>
        <v>1</v>
      </c>
      <c r="BE27">
        <f t="shared" si="0"/>
        <v>1</v>
      </c>
      <c r="BF27">
        <f t="shared" si="5"/>
        <v>1</v>
      </c>
      <c r="BG27" s="9">
        <f t="shared" si="6"/>
        <v>-5.9149895192018099E-3</v>
      </c>
      <c r="BH27" s="9">
        <f t="shared" si="7"/>
        <v>3.6320120294224701E-3</v>
      </c>
      <c r="BI27" s="9">
        <f t="shared" si="8"/>
        <v>-2.2829774897793398E-3</v>
      </c>
      <c r="BJ27" s="12">
        <f t="shared" si="9"/>
        <v>-3.9721592361314706E-3</v>
      </c>
      <c r="BL27" s="9"/>
      <c r="BN27">
        <f t="shared" si="10"/>
        <v>0</v>
      </c>
      <c r="BO27">
        <f t="shared" si="11"/>
        <v>1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-2.2829774897793398E-3</v>
      </c>
      <c r="BY27" s="12">
        <f t="shared" si="19"/>
        <v>-3.9721592361314706E-3</v>
      </c>
    </row>
    <row r="28" spans="1:77" x14ac:dyDescent="0.3">
      <c r="A28" s="1">
        <v>46063</v>
      </c>
      <c r="B28" s="8">
        <v>53.55</v>
      </c>
      <c r="C28" s="8">
        <v>127.7</v>
      </c>
      <c r="D28" s="9">
        <v>-7.2565208178261703E-3</v>
      </c>
      <c r="E28" s="9">
        <v>-1.14456032054304E-2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53.55</v>
      </c>
      <c r="M28" s="8">
        <v>127.7</v>
      </c>
      <c r="N28" s="10">
        <v>2.3846872082166199</v>
      </c>
      <c r="O28" s="10">
        <v>2.3820577689553399</v>
      </c>
      <c r="P28" s="10">
        <v>2.3867203799627399</v>
      </c>
      <c r="Q28" s="10">
        <v>2.3867009020752499</v>
      </c>
      <c r="R28" s="8">
        <v>127.55919352755799</v>
      </c>
      <c r="S28" s="8">
        <v>127.85248200738199</v>
      </c>
      <c r="T28" s="8">
        <v>127.77009185197799</v>
      </c>
      <c r="U28" s="9">
        <v>-1.1032432154739499E-3</v>
      </c>
      <c r="V28" s="9">
        <v>1.1933519430548699E-3</v>
      </c>
      <c r="W28" s="9">
        <v>5.4872844981196205E-4</v>
      </c>
      <c r="X28" s="10">
        <v>2.3846872082166199</v>
      </c>
      <c r="Y28" s="10">
        <v>2.3818827909075999</v>
      </c>
      <c r="Z28" s="10">
        <v>2.3867203799627399</v>
      </c>
      <c r="AA28" s="10">
        <v>2.3867009020752499</v>
      </c>
      <c r="AB28" s="8">
        <v>127.54982345310199</v>
      </c>
      <c r="AC28" s="8">
        <v>127.85248200738199</v>
      </c>
      <c r="AD28" s="8">
        <v>127.77009185197799</v>
      </c>
      <c r="AE28" s="9">
        <v>-1.1767025903831501E-3</v>
      </c>
      <c r="AF28" s="9">
        <v>1.1933519430548699E-3</v>
      </c>
      <c r="AG28" s="9">
        <v>5.4872844981196205E-4</v>
      </c>
      <c r="AZ28" s="9"/>
      <c r="BB28">
        <f t="shared" si="2"/>
        <v>0</v>
      </c>
      <c r="BC28">
        <f t="shared" si="3"/>
        <v>1</v>
      </c>
      <c r="BD28">
        <f t="shared" si="4"/>
        <v>1</v>
      </c>
      <c r="BE28">
        <f t="shared" si="0"/>
        <v>1</v>
      </c>
      <c r="BF28">
        <f t="shared" si="5"/>
        <v>1</v>
      </c>
      <c r="BG28" s="9">
        <f t="shared" si="6"/>
        <v>-7.2565208178261703E-3</v>
      </c>
      <c r="BH28" s="9">
        <f t="shared" si="7"/>
        <v>1.14456032054304E-2</v>
      </c>
      <c r="BI28" s="9">
        <f t="shared" si="8"/>
        <v>4.1890823876042302E-3</v>
      </c>
      <c r="BJ28" s="12">
        <f t="shared" si="9"/>
        <v>2.1692315147275962E-4</v>
      </c>
      <c r="BL28" s="9"/>
      <c r="BN28">
        <f t="shared" si="10"/>
        <v>0</v>
      </c>
      <c r="BO28">
        <f t="shared" si="11"/>
        <v>0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4.1890823876042302E-3</v>
      </c>
      <c r="BY28" s="12">
        <f t="shared" si="19"/>
        <v>2.1692315147275962E-4</v>
      </c>
    </row>
    <row r="29" spans="1:77" x14ac:dyDescent="0.3">
      <c r="A29" s="1">
        <v>46064</v>
      </c>
      <c r="B29" s="8">
        <v>52.74</v>
      </c>
      <c r="C29" s="8">
        <v>125.66</v>
      </c>
      <c r="D29" s="9">
        <v>-1.5241615968616999E-2</v>
      </c>
      <c r="E29" s="9">
        <v>-1.61039160636927E-2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52.74</v>
      </c>
      <c r="M29" s="8">
        <v>125.66</v>
      </c>
      <c r="N29" s="10">
        <v>2.3826317785362101</v>
      </c>
      <c r="O29" s="10">
        <v>2.3820577689553399</v>
      </c>
      <c r="P29" s="10">
        <v>2.3858252260556498</v>
      </c>
      <c r="Q29" s="10">
        <v>2.38674711390451</v>
      </c>
      <c r="R29" s="8">
        <v>125.62972673470399</v>
      </c>
      <c r="S29" s="8">
        <v>125.875632839235</v>
      </c>
      <c r="T29" s="8">
        <v>125.874605575448</v>
      </c>
      <c r="U29" s="9">
        <v>-2.40943120398356E-4</v>
      </c>
      <c r="V29" s="9">
        <v>1.7145315725202899E-3</v>
      </c>
      <c r="W29" s="9">
        <v>1.7063705968416399E-3</v>
      </c>
      <c r="X29" s="10">
        <v>2.3826317785362101</v>
      </c>
      <c r="Y29" s="10">
        <v>2.3818827909075999</v>
      </c>
      <c r="Z29" s="10">
        <v>2.3858252260556498</v>
      </c>
      <c r="AA29" s="10">
        <v>2.38674711390451</v>
      </c>
      <c r="AB29" s="8">
        <v>125.620498392467</v>
      </c>
      <c r="AC29" s="8">
        <v>125.875632839235</v>
      </c>
      <c r="AD29" s="8">
        <v>125.874605575448</v>
      </c>
      <c r="AE29" s="9">
        <v>-3.1440249530744299E-4</v>
      </c>
      <c r="AF29" s="9">
        <v>1.7145315725202899E-3</v>
      </c>
      <c r="AG29" s="9">
        <v>1.7063705968416399E-3</v>
      </c>
      <c r="AZ29" s="9"/>
      <c r="BB29">
        <f t="shared" si="2"/>
        <v>0</v>
      </c>
      <c r="BC29">
        <f t="shared" si="3"/>
        <v>1</v>
      </c>
      <c r="BD29">
        <f t="shared" si="4"/>
        <v>0</v>
      </c>
      <c r="BE29">
        <f t="shared" si="0"/>
        <v>1</v>
      </c>
      <c r="BF29">
        <f t="shared" si="5"/>
        <v>0</v>
      </c>
      <c r="BG29" s="9">
        <f t="shared" si="6"/>
        <v>0</v>
      </c>
      <c r="BH29" s="9">
        <f t="shared" si="7"/>
        <v>0</v>
      </c>
      <c r="BI29" s="9">
        <f t="shared" si="8"/>
        <v>0</v>
      </c>
      <c r="BJ29" s="12">
        <f t="shared" si="9"/>
        <v>2.1692315147275962E-4</v>
      </c>
      <c r="BL29" s="9"/>
      <c r="BN29">
        <f t="shared" si="10"/>
        <v>0</v>
      </c>
      <c r="BO29">
        <f t="shared" si="11"/>
        <v>0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0</v>
      </c>
      <c r="BY29" s="12">
        <f t="shared" si="19"/>
        <v>2.1692315147275962E-4</v>
      </c>
    </row>
    <row r="30" spans="1:77" x14ac:dyDescent="0.3">
      <c r="A30" s="1">
        <v>46065</v>
      </c>
      <c r="B30" s="8">
        <v>51.69</v>
      </c>
      <c r="C30" s="8">
        <v>123.32</v>
      </c>
      <c r="D30" s="9">
        <v>-2.0109841717192701E-2</v>
      </c>
      <c r="E30" s="9">
        <v>-1.8797243956851398E-2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51.69</v>
      </c>
      <c r="M30" s="8">
        <v>123.32</v>
      </c>
      <c r="N30" s="10">
        <v>2.38576126910427</v>
      </c>
      <c r="O30" s="10">
        <v>2.3820577689553399</v>
      </c>
      <c r="P30" s="10">
        <v>2.38589528387178</v>
      </c>
      <c r="Q30" s="10">
        <v>2.38693083756286</v>
      </c>
      <c r="R30" s="8">
        <v>123.128566077301</v>
      </c>
      <c r="S30" s="8">
        <v>123.32330593481601</v>
      </c>
      <c r="T30" s="8">
        <v>123.370958317724</v>
      </c>
      <c r="U30" s="9">
        <v>-1.55354088073964E-3</v>
      </c>
      <c r="V30" s="9">
        <v>2.68074157096326E-5</v>
      </c>
      <c r="W30" s="9">
        <v>4.1313486960939898E-4</v>
      </c>
      <c r="X30" s="10">
        <v>2.38576126910427</v>
      </c>
      <c r="Y30" s="10">
        <v>2.3818827909075999</v>
      </c>
      <c r="Z30" s="10">
        <v>2.38589528387178</v>
      </c>
      <c r="AA30" s="10">
        <v>2.38693083756286</v>
      </c>
      <c r="AB30" s="8">
        <v>123.11952146201401</v>
      </c>
      <c r="AC30" s="8">
        <v>123.32330593481601</v>
      </c>
      <c r="AD30" s="8">
        <v>123.370958317724</v>
      </c>
      <c r="AE30" s="9">
        <v>-1.62700025564891E-3</v>
      </c>
      <c r="AF30" s="9">
        <v>2.68074157096326E-5</v>
      </c>
      <c r="AG30" s="9">
        <v>4.1313486960939898E-4</v>
      </c>
      <c r="AZ30" s="9"/>
      <c r="BB30">
        <f t="shared" si="2"/>
        <v>0</v>
      </c>
      <c r="BC30">
        <f t="shared" si="3"/>
        <v>1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2.1692315147275962E-4</v>
      </c>
      <c r="BL30" s="9"/>
      <c r="BN30">
        <f t="shared" si="10"/>
        <v>0</v>
      </c>
      <c r="BO30">
        <f t="shared" si="11"/>
        <v>0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0</v>
      </c>
      <c r="BY30" s="12">
        <f t="shared" si="19"/>
        <v>2.1692315147275962E-4</v>
      </c>
    </row>
    <row r="31" spans="1:77" x14ac:dyDescent="0.3">
      <c r="A31" s="1">
        <v>46066</v>
      </c>
      <c r="B31" s="8">
        <v>51.65</v>
      </c>
      <c r="C31" s="8">
        <v>123.83</v>
      </c>
      <c r="D31" s="9">
        <v>-7.7414364230038598E-4</v>
      </c>
      <c r="E31" s="9">
        <v>4.1270542090576399E-3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51.65</v>
      </c>
      <c r="M31" s="8">
        <v>123.83</v>
      </c>
      <c r="N31" s="10">
        <v>2.3974830590513001</v>
      </c>
      <c r="O31" s="10">
        <v>2.3820577689553399</v>
      </c>
      <c r="P31" s="10">
        <v>2.3866840089385799</v>
      </c>
      <c r="Q31" s="10">
        <v>2.38747447736479</v>
      </c>
      <c r="R31" s="8">
        <v>123.03328376654299</v>
      </c>
      <c r="S31" s="8">
        <v>123.231491411977</v>
      </c>
      <c r="T31" s="8">
        <v>123.284977760122</v>
      </c>
      <c r="U31" s="9">
        <v>-6.4547387320977104E-3</v>
      </c>
      <c r="V31" s="9">
        <v>-4.8450266805908897E-3</v>
      </c>
      <c r="W31" s="9">
        <v>-4.4110893524793304E-3</v>
      </c>
      <c r="X31" s="10">
        <v>2.3974830590513001</v>
      </c>
      <c r="Y31" s="10">
        <v>2.3818827909075999</v>
      </c>
      <c r="Z31" s="10">
        <v>2.3866840089385799</v>
      </c>
      <c r="AA31" s="10">
        <v>2.38747447736479</v>
      </c>
      <c r="AB31" s="8">
        <v>123.024246150377</v>
      </c>
      <c r="AC31" s="8">
        <v>123.231491411977</v>
      </c>
      <c r="AD31" s="8">
        <v>123.284977760122</v>
      </c>
      <c r="AE31" s="9">
        <v>-6.52819810700693E-3</v>
      </c>
      <c r="AF31" s="9">
        <v>-4.8450266805908897E-3</v>
      </c>
      <c r="AG31" s="9">
        <v>-4.4110893524793304E-3</v>
      </c>
      <c r="AZ31" s="9"/>
      <c r="BB31">
        <f t="shared" si="2"/>
        <v>1</v>
      </c>
      <c r="BC31">
        <f t="shared" si="3"/>
        <v>0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2.1692315147275962E-4</v>
      </c>
      <c r="BL31" s="9"/>
      <c r="BN31">
        <f t="shared" si="10"/>
        <v>0</v>
      </c>
      <c r="BO31">
        <f t="shared" si="11"/>
        <v>1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0</v>
      </c>
      <c r="BY31" s="12">
        <f t="shared" si="19"/>
        <v>2.1692315147275962E-4</v>
      </c>
    </row>
    <row r="32" spans="1:77" x14ac:dyDescent="0.3">
      <c r="A32" s="1">
        <v>46070</v>
      </c>
      <c r="B32" s="8">
        <v>52.2</v>
      </c>
      <c r="C32" s="8">
        <v>124.84</v>
      </c>
      <c r="D32" s="9">
        <v>1.05922993229455E-2</v>
      </c>
      <c r="E32" s="9">
        <v>8.1232601755714205E-3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52.2</v>
      </c>
      <c r="M32" s="8">
        <v>124.84</v>
      </c>
      <c r="N32" s="10">
        <v>2.3915708812260501</v>
      </c>
      <c r="O32" s="10">
        <v>2.3820577689553399</v>
      </c>
      <c r="P32" s="10">
        <v>2.3878807046865802</v>
      </c>
      <c r="Q32" s="10">
        <v>2.3878024703606999</v>
      </c>
      <c r="R32" s="8">
        <v>124.343415539468</v>
      </c>
      <c r="S32" s="8">
        <v>124.58490526659401</v>
      </c>
      <c r="T32" s="8">
        <v>124.62616771844201</v>
      </c>
      <c r="U32" s="9">
        <v>-3.9856995847236997E-3</v>
      </c>
      <c r="V32" s="9">
        <v>-2.0454639208898999E-3</v>
      </c>
      <c r="W32" s="9">
        <v>-1.71431930736155E-3</v>
      </c>
      <c r="X32" s="10">
        <v>2.3915708812260501</v>
      </c>
      <c r="Y32" s="10">
        <v>2.3818827909075999</v>
      </c>
      <c r="Z32" s="10">
        <v>2.3878807046865802</v>
      </c>
      <c r="AA32" s="10">
        <v>2.3878024703606999</v>
      </c>
      <c r="AB32" s="8">
        <v>124.334281685376</v>
      </c>
      <c r="AC32" s="8">
        <v>124.58490526659401</v>
      </c>
      <c r="AD32" s="8">
        <v>124.62616771844201</v>
      </c>
      <c r="AE32" s="9">
        <v>-4.0591589596328404E-3</v>
      </c>
      <c r="AF32" s="9">
        <v>-2.0454639208898999E-3</v>
      </c>
      <c r="AG32" s="9">
        <v>-1.71431930736155E-3</v>
      </c>
      <c r="AZ32" s="9"/>
      <c r="BB32">
        <f t="shared" si="2"/>
        <v>1</v>
      </c>
      <c r="BC32">
        <f t="shared" si="3"/>
        <v>0</v>
      </c>
      <c r="BD32">
        <f t="shared" si="4"/>
        <v>1</v>
      </c>
      <c r="BE32">
        <f t="shared" si="0"/>
        <v>1</v>
      </c>
      <c r="BF32">
        <f t="shared" si="5"/>
        <v>1</v>
      </c>
      <c r="BG32" s="9">
        <f t="shared" si="6"/>
        <v>1.05922993229455E-2</v>
      </c>
      <c r="BH32" s="9">
        <f t="shared" si="7"/>
        <v>-8.1232601755714205E-3</v>
      </c>
      <c r="BI32" s="9">
        <f t="shared" si="8"/>
        <v>2.4690391473740792E-3</v>
      </c>
      <c r="BJ32" s="12">
        <f t="shared" si="9"/>
        <v>2.6859622988468388E-3</v>
      </c>
      <c r="BL32" s="9"/>
      <c r="BN32">
        <f t="shared" si="10"/>
        <v>0</v>
      </c>
      <c r="BO32">
        <f t="shared" si="11"/>
        <v>1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2.4690391473740792E-3</v>
      </c>
      <c r="BY32" s="12">
        <f t="shared" si="19"/>
        <v>2.6859622988468388E-3</v>
      </c>
    </row>
    <row r="33" spans="1:77" x14ac:dyDescent="0.3">
      <c r="A33" s="1">
        <v>46071</v>
      </c>
      <c r="B33" s="8">
        <v>52.59</v>
      </c>
      <c r="C33" s="8">
        <v>125.8</v>
      </c>
      <c r="D33" s="9">
        <v>7.4434927126597796E-3</v>
      </c>
      <c r="E33" s="9">
        <v>7.6604268637613304E-3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52.59</v>
      </c>
      <c r="M33" s="8">
        <v>125.8</v>
      </c>
      <c r="N33" s="10">
        <v>2.3920897509032102</v>
      </c>
      <c r="O33" s="10">
        <v>2.3820577689553399</v>
      </c>
      <c r="P33" s="10">
        <v>2.3885692239577399</v>
      </c>
      <c r="Q33" s="10">
        <v>2.38809304813143</v>
      </c>
      <c r="R33" s="8">
        <v>125.272418069361</v>
      </c>
      <c r="S33" s="8">
        <v>125.57864625946701</v>
      </c>
      <c r="T33" s="8">
        <v>125.574531916269</v>
      </c>
      <c r="U33" s="9">
        <v>-4.2026337358252296E-3</v>
      </c>
      <c r="V33" s="9">
        <v>-1.7611185439781101E-3</v>
      </c>
      <c r="W33" s="9">
        <v>-1.7938821604146201E-3</v>
      </c>
      <c r="X33" s="10">
        <v>2.3920897509032102</v>
      </c>
      <c r="Y33" s="10">
        <v>2.3818827909075999</v>
      </c>
      <c r="Z33" s="10">
        <v>2.3885692239577399</v>
      </c>
      <c r="AA33" s="10">
        <v>2.38809304813143</v>
      </c>
      <c r="AB33" s="8">
        <v>125.26321597383</v>
      </c>
      <c r="AC33" s="8">
        <v>125.57864625946701</v>
      </c>
      <c r="AD33" s="8">
        <v>125.574531916269</v>
      </c>
      <c r="AE33" s="9">
        <v>-4.2760931107344701E-3</v>
      </c>
      <c r="AF33" s="9">
        <v>-1.7611185439781101E-3</v>
      </c>
      <c r="AG33" s="9">
        <v>-1.7938821604146201E-3</v>
      </c>
      <c r="AZ33" s="9"/>
      <c r="BB33">
        <f t="shared" si="2"/>
        <v>1</v>
      </c>
      <c r="BC33">
        <f t="shared" si="3"/>
        <v>0</v>
      </c>
      <c r="BD33">
        <f t="shared" si="4"/>
        <v>1</v>
      </c>
      <c r="BE33">
        <f t="shared" si="0"/>
        <v>1</v>
      </c>
      <c r="BF33">
        <f t="shared" si="5"/>
        <v>1</v>
      </c>
      <c r="BG33" s="9">
        <f t="shared" si="6"/>
        <v>7.4434927126597796E-3</v>
      </c>
      <c r="BH33" s="9">
        <f t="shared" si="7"/>
        <v>-7.6604268637613304E-3</v>
      </c>
      <c r="BI33" s="9">
        <f t="shared" si="8"/>
        <v>-2.1693415110155077E-4</v>
      </c>
      <c r="BJ33" s="12">
        <f t="shared" si="9"/>
        <v>2.4690281477452881E-3</v>
      </c>
      <c r="BL33" s="9"/>
      <c r="BN33">
        <f t="shared" si="10"/>
        <v>0</v>
      </c>
      <c r="BO33">
        <f t="shared" si="11"/>
        <v>1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-2.1693415110155077E-4</v>
      </c>
      <c r="BY33" s="12">
        <f t="shared" si="19"/>
        <v>2.4690281477452881E-3</v>
      </c>
    </row>
    <row r="34" spans="1:77" x14ac:dyDescent="0.3">
      <c r="A34" s="1">
        <v>46072</v>
      </c>
      <c r="B34" s="8">
        <v>52.15</v>
      </c>
      <c r="C34" s="8">
        <v>124.76</v>
      </c>
      <c r="D34" s="9">
        <v>-8.4018061544714803E-3</v>
      </c>
      <c r="E34" s="9">
        <v>-8.3014525267375606E-3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52.15</v>
      </c>
      <c r="M34" s="8">
        <v>124.76</v>
      </c>
      <c r="N34" s="10">
        <v>2.3923298178331698</v>
      </c>
      <c r="O34" s="10">
        <v>2.3820577689553399</v>
      </c>
      <c r="P34" s="10">
        <v>2.3892736660820502</v>
      </c>
      <c r="Q34" s="10">
        <v>2.3881622139202099</v>
      </c>
      <c r="R34" s="8">
        <v>124.22431265102099</v>
      </c>
      <c r="S34" s="8">
        <v>124.563885029396</v>
      </c>
      <c r="T34" s="8">
        <v>124.53905246005399</v>
      </c>
      <c r="U34" s="9">
        <v>-4.3029873635592403E-3</v>
      </c>
      <c r="V34" s="9">
        <v>-1.57317467620453E-3</v>
      </c>
      <c r="W34" s="9">
        <v>-1.7725506424169301E-3</v>
      </c>
      <c r="X34" s="10">
        <v>2.3923298178331698</v>
      </c>
      <c r="Y34" s="10">
        <v>2.3818827909075999</v>
      </c>
      <c r="Z34" s="10">
        <v>2.3892736660820502</v>
      </c>
      <c r="AA34" s="10">
        <v>2.3881622139202099</v>
      </c>
      <c r="AB34" s="8">
        <v>124.215187545831</v>
      </c>
      <c r="AC34" s="8">
        <v>124.563885029396</v>
      </c>
      <c r="AD34" s="8">
        <v>124.53905246005399</v>
      </c>
      <c r="AE34" s="9">
        <v>-4.3764467384684097E-3</v>
      </c>
      <c r="AF34" s="9">
        <v>-1.57317467620453E-3</v>
      </c>
      <c r="AG34" s="9">
        <v>-1.7725506424169301E-3</v>
      </c>
      <c r="AZ34" s="9"/>
      <c r="BB34">
        <f t="shared" si="2"/>
        <v>1</v>
      </c>
      <c r="BC34">
        <f t="shared" si="3"/>
        <v>0</v>
      </c>
      <c r="BD34">
        <f t="shared" si="4"/>
        <v>1</v>
      </c>
      <c r="BE34">
        <f t="shared" si="0"/>
        <v>1</v>
      </c>
      <c r="BF34">
        <f t="shared" si="5"/>
        <v>1</v>
      </c>
      <c r="BG34" s="9">
        <f t="shared" si="6"/>
        <v>-8.4018061544714803E-3</v>
      </c>
      <c r="BH34" s="9">
        <f t="shared" si="7"/>
        <v>8.3014525267375606E-3</v>
      </c>
      <c r="BI34" s="9">
        <f t="shared" si="8"/>
        <v>-1.0035362773391961E-4</v>
      </c>
      <c r="BJ34" s="12">
        <f t="shared" si="9"/>
        <v>2.3686745200113685E-3</v>
      </c>
      <c r="BL34" s="9"/>
      <c r="BN34">
        <f t="shared" si="10"/>
        <v>0</v>
      </c>
      <c r="BO34">
        <f t="shared" si="11"/>
        <v>1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-1.0035362773391961E-4</v>
      </c>
      <c r="BY34" s="12">
        <f t="shared" si="19"/>
        <v>2.3686745200113685E-3</v>
      </c>
    </row>
    <row r="35" spans="1:77" x14ac:dyDescent="0.3">
      <c r="A35" s="1">
        <v>46073</v>
      </c>
      <c r="B35" s="8">
        <v>52.49</v>
      </c>
      <c r="C35" s="8">
        <v>125.34</v>
      </c>
      <c r="D35" s="9">
        <v>6.4984938174269596E-3</v>
      </c>
      <c r="E35" s="9">
        <v>4.63815305692697E-3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52.49</v>
      </c>
      <c r="M35" s="8">
        <v>125.34</v>
      </c>
      <c r="N35" s="10">
        <v>2.3878834063631098</v>
      </c>
      <c r="O35" s="10">
        <v>2.3820577689553399</v>
      </c>
      <c r="P35" s="10">
        <v>2.3898371990621401</v>
      </c>
      <c r="Q35" s="10">
        <v>2.3882384136009298</v>
      </c>
      <c r="R35" s="8">
        <v>125.034212292465</v>
      </c>
      <c r="S35" s="8">
        <v>125.41297473264601</v>
      </c>
      <c r="T35" s="8">
        <v>125.35463460867101</v>
      </c>
      <c r="U35" s="9">
        <v>-2.4426466030590499E-3</v>
      </c>
      <c r="V35" s="9">
        <v>5.8204481749301196E-4</v>
      </c>
      <c r="W35" s="9">
        <v>1.16752468287791E-4</v>
      </c>
      <c r="X35" s="10">
        <v>2.3878834063631098</v>
      </c>
      <c r="Y35" s="10">
        <v>2.3818827909075999</v>
      </c>
      <c r="Z35" s="10">
        <v>2.3898371990621401</v>
      </c>
      <c r="AA35" s="10">
        <v>2.3882384136009298</v>
      </c>
      <c r="AB35" s="8">
        <v>125.02502769474</v>
      </c>
      <c r="AC35" s="8">
        <v>125.41297473264601</v>
      </c>
      <c r="AD35" s="8">
        <v>125.35463460867101</v>
      </c>
      <c r="AE35" s="9">
        <v>-2.51610597796827E-3</v>
      </c>
      <c r="AF35" s="9">
        <v>5.8204481749301196E-4</v>
      </c>
      <c r="AG35" s="9">
        <v>1.16752468287791E-4</v>
      </c>
      <c r="AZ35" s="9"/>
      <c r="BB35">
        <f t="shared" si="2"/>
        <v>0</v>
      </c>
      <c r="BC35">
        <f t="shared" si="3"/>
        <v>1</v>
      </c>
      <c r="BD35">
        <f t="shared" si="4"/>
        <v>1</v>
      </c>
      <c r="BE35">
        <f t="shared" si="0"/>
        <v>1</v>
      </c>
      <c r="BF35">
        <f t="shared" si="5"/>
        <v>1</v>
      </c>
      <c r="BG35" s="9">
        <f t="shared" si="6"/>
        <v>6.4984938174269596E-3</v>
      </c>
      <c r="BH35" s="9">
        <f t="shared" si="7"/>
        <v>-4.63815305692697E-3</v>
      </c>
      <c r="BI35" s="9">
        <f t="shared" si="8"/>
        <v>1.8603407604999896E-3</v>
      </c>
      <c r="BJ35" s="12">
        <f t="shared" si="9"/>
        <v>4.2290152805113581E-3</v>
      </c>
      <c r="BL35" s="9"/>
      <c r="BN35">
        <f t="shared" si="10"/>
        <v>0</v>
      </c>
      <c r="BO35">
        <f t="shared" si="11"/>
        <v>0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1.8603407604999896E-3</v>
      </c>
      <c r="BY35" s="12">
        <f t="shared" si="19"/>
        <v>4.2290152805113581E-3</v>
      </c>
    </row>
    <row r="36" spans="1:77" x14ac:dyDescent="0.3">
      <c r="A36" s="1">
        <v>46076</v>
      </c>
      <c r="B36" s="8">
        <v>50.73</v>
      </c>
      <c r="C36" s="8">
        <v>121.67</v>
      </c>
      <c r="D36" s="9">
        <v>-3.4105223685609802E-2</v>
      </c>
      <c r="E36" s="9">
        <v>-2.9717582997171699E-2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50.73</v>
      </c>
      <c r="M36" s="8">
        <v>121.67</v>
      </c>
      <c r="N36" s="10">
        <v>2.3983835994480498</v>
      </c>
      <c r="O36" s="10">
        <v>2.3820577689553399</v>
      </c>
      <c r="P36" s="10">
        <v>2.3907518583066101</v>
      </c>
      <c r="Q36" s="10">
        <v>2.3887586864695098</v>
      </c>
      <c r="R36" s="8">
        <v>120.841790619104</v>
      </c>
      <c r="S36" s="8">
        <v>121.236441108422</v>
      </c>
      <c r="T36" s="8">
        <v>121.155334721975</v>
      </c>
      <c r="U36" s="9">
        <v>-6.8302872914971302E-3</v>
      </c>
      <c r="V36" s="9">
        <v>-3.56976414466622E-3</v>
      </c>
      <c r="W36" s="9">
        <v>-4.2389814825558097E-3</v>
      </c>
      <c r="X36" s="10">
        <v>2.3983835994480498</v>
      </c>
      <c r="Y36" s="10">
        <v>2.3818827909075999</v>
      </c>
      <c r="Z36" s="10">
        <v>2.3907518583066101</v>
      </c>
      <c r="AA36" s="10">
        <v>2.3887586864695098</v>
      </c>
      <c r="AB36" s="8">
        <v>120.832913982742</v>
      </c>
      <c r="AC36" s="8">
        <v>121.236441108422</v>
      </c>
      <c r="AD36" s="8">
        <v>121.155334721975</v>
      </c>
      <c r="AE36" s="9">
        <v>-6.9037466664064497E-3</v>
      </c>
      <c r="AF36" s="9">
        <v>-3.56976414466622E-3</v>
      </c>
      <c r="AG36" s="9">
        <v>-4.2389814825558097E-3</v>
      </c>
      <c r="AZ36" s="9"/>
      <c r="BB36">
        <f t="shared" si="2"/>
        <v>1</v>
      </c>
      <c r="BC36">
        <f t="shared" si="3"/>
        <v>0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4.2290152805113581E-3</v>
      </c>
      <c r="BL36" s="9"/>
      <c r="BN36">
        <f t="shared" si="10"/>
        <v>0</v>
      </c>
      <c r="BO36">
        <f t="shared" si="11"/>
        <v>1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0</v>
      </c>
      <c r="BY36" s="12">
        <f t="shared" si="19"/>
        <v>4.2290152805113581E-3</v>
      </c>
    </row>
    <row r="37" spans="1:77" x14ac:dyDescent="0.3">
      <c r="A37" s="1">
        <v>46077</v>
      </c>
      <c r="B37" s="8">
        <v>50.98</v>
      </c>
      <c r="C37" s="8">
        <v>122.35</v>
      </c>
      <c r="D37" s="9">
        <v>4.91594736937076E-3</v>
      </c>
      <c r="E37" s="9">
        <v>5.5733280893228701E-3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50.98</v>
      </c>
      <c r="M37" s="8">
        <v>122.35</v>
      </c>
      <c r="N37" s="10">
        <v>2.3999607689289899</v>
      </c>
      <c r="O37" s="10">
        <v>2.3820577689553399</v>
      </c>
      <c r="P37" s="10">
        <v>2.3912781539611001</v>
      </c>
      <c r="Q37" s="10">
        <v>2.3894064159850501</v>
      </c>
      <c r="R37" s="8">
        <v>121.437305061343</v>
      </c>
      <c r="S37" s="8">
        <v>121.880529736471</v>
      </c>
      <c r="T37" s="8">
        <v>121.778917836215</v>
      </c>
      <c r="U37" s="9">
        <v>-7.48766801144934E-3</v>
      </c>
      <c r="V37" s="9">
        <v>-3.84448940326889E-3</v>
      </c>
      <c r="W37" s="9">
        <v>-4.6785379670161798E-3</v>
      </c>
      <c r="X37" s="10">
        <v>2.3999607689289899</v>
      </c>
      <c r="Y37" s="10">
        <v>2.3818827909075999</v>
      </c>
      <c r="Z37" s="10">
        <v>2.3912781539611001</v>
      </c>
      <c r="AA37" s="10">
        <v>2.3894064159850501</v>
      </c>
      <c r="AB37" s="8">
        <v>121.42838468046899</v>
      </c>
      <c r="AC37" s="8">
        <v>121.880529736471</v>
      </c>
      <c r="AD37" s="8">
        <v>121.778917836215</v>
      </c>
      <c r="AE37" s="9">
        <v>-7.5611273863585397E-3</v>
      </c>
      <c r="AF37" s="9">
        <v>-3.84448940326889E-3</v>
      </c>
      <c r="AG37" s="9">
        <v>-4.6785379670161798E-3</v>
      </c>
      <c r="AZ37" s="9"/>
      <c r="BB37">
        <f t="shared" si="2"/>
        <v>1</v>
      </c>
      <c r="BC37">
        <f t="shared" si="3"/>
        <v>0</v>
      </c>
      <c r="BD37">
        <f t="shared" si="4"/>
        <v>1</v>
      </c>
      <c r="BE37">
        <f t="shared" si="0"/>
        <v>1</v>
      </c>
      <c r="BF37">
        <f t="shared" si="5"/>
        <v>1</v>
      </c>
      <c r="BG37" s="9">
        <f t="shared" si="6"/>
        <v>4.91594736937076E-3</v>
      </c>
      <c r="BH37" s="9">
        <f t="shared" si="7"/>
        <v>-5.5733280893228701E-3</v>
      </c>
      <c r="BI37" s="9">
        <f t="shared" si="8"/>
        <v>-6.5738071995211003E-4</v>
      </c>
      <c r="BJ37" s="12">
        <f t="shared" si="9"/>
        <v>3.5716345605592481E-3</v>
      </c>
      <c r="BL37" s="9"/>
      <c r="BN37">
        <f t="shared" si="10"/>
        <v>0</v>
      </c>
      <c r="BO37">
        <f t="shared" si="11"/>
        <v>1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-6.5738071995211003E-4</v>
      </c>
      <c r="BY37" s="12">
        <f t="shared" si="19"/>
        <v>3.5716345605592481E-3</v>
      </c>
    </row>
    <row r="38" spans="1:77" x14ac:dyDescent="0.3">
      <c r="A38" s="1">
        <v>46078</v>
      </c>
      <c r="B38" s="8">
        <v>51.87</v>
      </c>
      <c r="C38" s="8">
        <v>124.17</v>
      </c>
      <c r="D38" s="9">
        <v>1.73071894153395E-2</v>
      </c>
      <c r="E38" s="9">
        <v>1.4765804540070201E-2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51.87</v>
      </c>
      <c r="M38" s="8">
        <v>124.17</v>
      </c>
      <c r="N38" s="10">
        <v>2.3938692886061301</v>
      </c>
      <c r="O38" s="10">
        <v>2.3820577689553399</v>
      </c>
      <c r="P38" s="10">
        <v>2.3921963620000501</v>
      </c>
      <c r="Q38" s="10">
        <v>2.3894583709813899</v>
      </c>
      <c r="R38" s="8">
        <v>123.557336475713</v>
      </c>
      <c r="S38" s="8">
        <v>124.035597845962</v>
      </c>
      <c r="T38" s="8">
        <v>123.938510797144</v>
      </c>
      <c r="U38" s="9">
        <v>-4.9462831361800803E-3</v>
      </c>
      <c r="V38" s="9">
        <v>-1.0829906201984599E-3</v>
      </c>
      <c r="W38" s="9">
        <v>-1.86603248138018E-3</v>
      </c>
      <c r="X38" s="10">
        <v>2.3938692886061301</v>
      </c>
      <c r="Y38" s="10">
        <v>2.3818827909075999</v>
      </c>
      <c r="Z38" s="10">
        <v>2.3921963620000501</v>
      </c>
      <c r="AA38" s="10">
        <v>2.3894583709813899</v>
      </c>
      <c r="AB38" s="8">
        <v>123.548260364377</v>
      </c>
      <c r="AC38" s="8">
        <v>124.035597845962</v>
      </c>
      <c r="AD38" s="8">
        <v>123.938510797144</v>
      </c>
      <c r="AE38" s="9">
        <v>-5.0197425110891196E-3</v>
      </c>
      <c r="AF38" s="9">
        <v>-1.0829906201984599E-3</v>
      </c>
      <c r="AG38" s="9">
        <v>-1.86603248138018E-3</v>
      </c>
      <c r="AZ38" s="9"/>
      <c r="BB38">
        <f t="shared" si="2"/>
        <v>1</v>
      </c>
      <c r="BC38">
        <f t="shared" si="3"/>
        <v>0</v>
      </c>
      <c r="BD38">
        <f t="shared" si="4"/>
        <v>1</v>
      </c>
      <c r="BE38">
        <f t="shared" si="0"/>
        <v>1</v>
      </c>
      <c r="BF38">
        <f t="shared" si="5"/>
        <v>1</v>
      </c>
      <c r="BG38" s="9">
        <f t="shared" si="6"/>
        <v>1.73071894153395E-2</v>
      </c>
      <c r="BH38" s="9">
        <f t="shared" si="7"/>
        <v>-1.4765804540070201E-2</v>
      </c>
      <c r="BI38" s="9">
        <f t="shared" si="8"/>
        <v>2.5413848752692987E-3</v>
      </c>
      <c r="BJ38" s="12">
        <f t="shared" si="9"/>
        <v>6.1130194358285468E-3</v>
      </c>
      <c r="BL38" s="9"/>
      <c r="BN38">
        <f t="shared" si="10"/>
        <v>0</v>
      </c>
      <c r="BO38">
        <f t="shared" si="11"/>
        <v>1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2.5413848752692987E-3</v>
      </c>
      <c r="BY38" s="12">
        <f t="shared" si="19"/>
        <v>6.1130194358285468E-3</v>
      </c>
    </row>
    <row r="39" spans="1:77" x14ac:dyDescent="0.3">
      <c r="A39" s="1">
        <v>46079</v>
      </c>
      <c r="B39" s="8">
        <v>52.5</v>
      </c>
      <c r="C39" s="8">
        <v>125.66</v>
      </c>
      <c r="D39" s="9">
        <v>1.20725812342692E-2</v>
      </c>
      <c r="E39" s="9">
        <v>1.19282525460501E-2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52.5</v>
      </c>
      <c r="M39" s="8">
        <v>125.66</v>
      </c>
      <c r="N39" s="10">
        <v>2.3935238095238001</v>
      </c>
      <c r="O39" s="10">
        <v>2.3820577689553399</v>
      </c>
      <c r="P39" s="10">
        <v>2.3932855650988101</v>
      </c>
      <c r="Q39" s="10">
        <v>2.3895553955772302</v>
      </c>
      <c r="R39" s="8">
        <v>125.058032870155</v>
      </c>
      <c r="S39" s="8">
        <v>125.590309005002</v>
      </c>
      <c r="T39" s="8">
        <v>125.44656447652299</v>
      </c>
      <c r="U39" s="9">
        <v>-4.8019544479609303E-3</v>
      </c>
      <c r="V39" s="9">
        <v>-5.5475352098440596E-4</v>
      </c>
      <c r="W39" s="9">
        <v>-1.6999601370155299E-3</v>
      </c>
      <c r="X39" s="10">
        <v>2.3935238095238001</v>
      </c>
      <c r="Y39" s="10">
        <v>2.3818827909075999</v>
      </c>
      <c r="Z39" s="10">
        <v>2.3932855650988101</v>
      </c>
      <c r="AA39" s="10">
        <v>2.3895553955772302</v>
      </c>
      <c r="AB39" s="8">
        <v>125.048846522649</v>
      </c>
      <c r="AC39" s="8">
        <v>125.590309005002</v>
      </c>
      <c r="AD39" s="8">
        <v>125.44656447652299</v>
      </c>
      <c r="AE39" s="9">
        <v>-4.8754138228701898E-3</v>
      </c>
      <c r="AF39" s="9">
        <v>-5.5475352098440596E-4</v>
      </c>
      <c r="AG39" s="9">
        <v>-1.6999601370155299E-3</v>
      </c>
      <c r="AZ39" s="9"/>
      <c r="BB39">
        <f t="shared" si="2"/>
        <v>1</v>
      </c>
      <c r="BC39">
        <f t="shared" si="3"/>
        <v>0</v>
      </c>
      <c r="BD39">
        <f t="shared" si="4"/>
        <v>1</v>
      </c>
      <c r="BE39">
        <f t="shared" si="0"/>
        <v>1</v>
      </c>
      <c r="BF39">
        <f t="shared" si="5"/>
        <v>1</v>
      </c>
      <c r="BG39" s="9">
        <f t="shared" si="6"/>
        <v>1.20725812342692E-2</v>
      </c>
      <c r="BH39" s="9">
        <f t="shared" si="7"/>
        <v>-1.19282525460501E-2</v>
      </c>
      <c r="BI39" s="9">
        <f t="shared" si="8"/>
        <v>1.4432868821910062E-4</v>
      </c>
      <c r="BJ39" s="12">
        <f t="shared" si="9"/>
        <v>6.2573481240476474E-3</v>
      </c>
      <c r="BL39" s="9"/>
      <c r="BN39">
        <f t="shared" si="10"/>
        <v>0</v>
      </c>
      <c r="BO39">
        <f t="shared" si="11"/>
        <v>1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1.4432868821910062E-4</v>
      </c>
      <c r="BY39" s="12">
        <f t="shared" si="19"/>
        <v>6.2573481240476474E-3</v>
      </c>
    </row>
    <row r="40" spans="1:77" x14ac:dyDescent="0.3">
      <c r="A40" s="1">
        <v>46080</v>
      </c>
      <c r="B40" s="8">
        <v>51.43</v>
      </c>
      <c r="C40" s="8">
        <v>122.61</v>
      </c>
      <c r="D40" s="9">
        <v>-2.0591509810753202E-2</v>
      </c>
      <c r="E40" s="9">
        <v>-2.45712607305053E-2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51.43</v>
      </c>
      <c r="M40" s="8">
        <v>122.61</v>
      </c>
      <c r="N40" s="10">
        <v>2.3840171106358099</v>
      </c>
      <c r="O40" s="10">
        <v>2.3820577689553399</v>
      </c>
      <c r="P40" s="10">
        <v>2.3931111492519599</v>
      </c>
      <c r="Q40" s="10">
        <v>2.3895032165618701</v>
      </c>
      <c r="R40" s="8">
        <v>122.509231057373</v>
      </c>
      <c r="S40" s="8">
        <v>123.086676613031</v>
      </c>
      <c r="T40" s="8">
        <v>122.894833994537</v>
      </c>
      <c r="U40" s="9">
        <v>-8.22203528208886E-4</v>
      </c>
      <c r="V40" s="9">
        <v>3.88020886300908E-3</v>
      </c>
      <c r="W40" s="9">
        <v>2.32039522565644E-3</v>
      </c>
      <c r="X40" s="10">
        <v>2.3840171106358099</v>
      </c>
      <c r="Y40" s="10">
        <v>2.3818827909075999</v>
      </c>
      <c r="Z40" s="10">
        <v>2.3931111492519599</v>
      </c>
      <c r="AA40" s="10">
        <v>2.3895032165618701</v>
      </c>
      <c r="AB40" s="8">
        <v>122.500231936378</v>
      </c>
      <c r="AC40" s="8">
        <v>123.086676613031</v>
      </c>
      <c r="AD40" s="8">
        <v>122.894833994537</v>
      </c>
      <c r="AE40" s="9">
        <v>-8.9566290311798998E-4</v>
      </c>
      <c r="AF40" s="9">
        <v>3.88020886300908E-3</v>
      </c>
      <c r="AG40" s="9">
        <v>2.32039522565644E-3</v>
      </c>
      <c r="AZ40" s="9"/>
      <c r="BB40">
        <f t="shared" si="2"/>
        <v>0</v>
      </c>
      <c r="BC40">
        <f t="shared" si="3"/>
        <v>1</v>
      </c>
      <c r="BD40">
        <f t="shared" si="4"/>
        <v>1</v>
      </c>
      <c r="BE40">
        <f t="shared" si="0"/>
        <v>1</v>
      </c>
      <c r="BF40">
        <f t="shared" si="5"/>
        <v>1</v>
      </c>
      <c r="BG40" s="9">
        <f t="shared" si="6"/>
        <v>-2.0591509810753202E-2</v>
      </c>
      <c r="BH40" s="9">
        <f t="shared" si="7"/>
        <v>2.45712607305053E-2</v>
      </c>
      <c r="BI40" s="9">
        <f t="shared" si="8"/>
        <v>3.979750919752098E-3</v>
      </c>
      <c r="BJ40" s="12">
        <f t="shared" si="9"/>
        <v>1.0237099043799745E-2</v>
      </c>
      <c r="BL40" s="9"/>
      <c r="BN40">
        <f t="shared" si="10"/>
        <v>1</v>
      </c>
      <c r="BO40">
        <f t="shared" si="11"/>
        <v>0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3.979750919752098E-3</v>
      </c>
      <c r="BY40" s="12">
        <f t="shared" si="19"/>
        <v>1.0237099043799745E-2</v>
      </c>
    </row>
    <row r="41" spans="1:77" x14ac:dyDescent="0.3">
      <c r="A41" s="1">
        <v>46083</v>
      </c>
      <c r="B41" s="8">
        <v>51.3</v>
      </c>
      <c r="C41" s="8">
        <v>122.54</v>
      </c>
      <c r="D41" s="9">
        <v>-2.5309076101010099E-3</v>
      </c>
      <c r="E41" s="9">
        <v>-5.7107894678706502E-4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51.3</v>
      </c>
      <c r="M41" s="8">
        <v>122.54</v>
      </c>
      <c r="N41" s="10">
        <v>2.3886939571150099</v>
      </c>
      <c r="O41" s="10">
        <v>2.3820577689553399</v>
      </c>
      <c r="P41" s="10">
        <v>2.3922322390583299</v>
      </c>
      <c r="Q41" s="10">
        <v>2.3894581239984598</v>
      </c>
      <c r="R41" s="8">
        <v>122.199563547409</v>
      </c>
      <c r="S41" s="8">
        <v>122.766601956625</v>
      </c>
      <c r="T41" s="8">
        <v>122.581515009624</v>
      </c>
      <c r="U41" s="9">
        <v>-2.7820321915227901E-3</v>
      </c>
      <c r="V41" s="9">
        <v>1.84750038745563E-3</v>
      </c>
      <c r="W41" s="9">
        <v>3.3873003778874298E-4</v>
      </c>
      <c r="X41" s="10">
        <v>2.3886939571150099</v>
      </c>
      <c r="Y41" s="10">
        <v>2.3818827909075999</v>
      </c>
      <c r="Z41" s="10">
        <v>2.3922322390583299</v>
      </c>
      <c r="AA41" s="10">
        <v>2.3894581239984598</v>
      </c>
      <c r="AB41" s="8">
        <v>122.19058717356</v>
      </c>
      <c r="AC41" s="8">
        <v>122.766601956625</v>
      </c>
      <c r="AD41" s="8">
        <v>122.581515009624</v>
      </c>
      <c r="AE41" s="9">
        <v>-2.8554915664319898E-3</v>
      </c>
      <c r="AF41" s="9">
        <v>1.84750038745563E-3</v>
      </c>
      <c r="AG41" s="9">
        <v>3.3873003778874298E-4</v>
      </c>
      <c r="AZ41" s="9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1.0237099043799745E-2</v>
      </c>
      <c r="BL41" s="9"/>
      <c r="BN41">
        <f t="shared" si="10"/>
        <v>0</v>
      </c>
      <c r="BO41">
        <f t="shared" si="11"/>
        <v>0</v>
      </c>
      <c r="BP41">
        <f t="shared" si="12"/>
        <v>1</v>
      </c>
      <c r="BQ41">
        <f t="shared" si="1"/>
        <v>1</v>
      </c>
      <c r="BR41">
        <f t="shared" si="13"/>
        <v>1</v>
      </c>
      <c r="BS41" s="9">
        <f t="shared" si="14"/>
        <v>2.5309076101010099E-3</v>
      </c>
      <c r="BT41" s="9">
        <f t="shared" si="15"/>
        <v>-5.7107894678706502E-4</v>
      </c>
      <c r="BU41" s="9">
        <f t="shared" si="16"/>
        <v>1.9598286633139448E-3</v>
      </c>
      <c r="BV41" s="12">
        <f t="shared" si="17"/>
        <v>1.9598286633139448E-3</v>
      </c>
      <c r="BX41" s="12">
        <f t="shared" si="18"/>
        <v>1.9598286633139448E-3</v>
      </c>
      <c r="BY41" s="12">
        <f t="shared" si="19"/>
        <v>1.219692770711369E-2</v>
      </c>
    </row>
    <row r="42" spans="1:77" x14ac:dyDescent="0.3">
      <c r="A42" s="1">
        <v>46084</v>
      </c>
      <c r="B42" s="8">
        <v>51.21</v>
      </c>
      <c r="C42" s="8">
        <v>122.04</v>
      </c>
      <c r="D42" s="9">
        <v>-1.7559267022648E-3</v>
      </c>
      <c r="E42" s="9">
        <v>-4.08864744903965E-3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51.21</v>
      </c>
      <c r="M42" s="8">
        <v>122.04</v>
      </c>
      <c r="N42" s="10">
        <v>2.3831282952548301</v>
      </c>
      <c r="O42" s="10">
        <v>2.3820577689553399</v>
      </c>
      <c r="P42" s="10">
        <v>2.3913879804612099</v>
      </c>
      <c r="Q42" s="10">
        <v>2.3896343425738999</v>
      </c>
      <c r="R42" s="8">
        <v>121.98517834820299</v>
      </c>
      <c r="S42" s="8">
        <v>122.506212962177</v>
      </c>
      <c r="T42" s="8">
        <v>122.36415052996099</v>
      </c>
      <c r="U42" s="9">
        <v>-4.4931144474810399E-4</v>
      </c>
      <c r="V42" s="9">
        <v>3.8128869087870601E-3</v>
      </c>
      <c r="W42" s="9">
        <v>2.6525795026262101E-3</v>
      </c>
      <c r="X42" s="10">
        <v>2.3831282952548301</v>
      </c>
      <c r="Y42" s="10">
        <v>2.3818827909075999</v>
      </c>
      <c r="Z42" s="10">
        <v>2.3913879804612099</v>
      </c>
      <c r="AA42" s="10">
        <v>2.3896343425738999</v>
      </c>
      <c r="AB42" s="8">
        <v>121.976217722378</v>
      </c>
      <c r="AC42" s="8">
        <v>122.506212962177</v>
      </c>
      <c r="AD42" s="8">
        <v>122.36415052996099</v>
      </c>
      <c r="AE42" s="9">
        <v>-5.2277081965727097E-4</v>
      </c>
      <c r="AF42" s="9">
        <v>3.8128869087870601E-3</v>
      </c>
      <c r="AG42" s="9">
        <v>2.6525795026262101E-3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1.0237099043799745E-2</v>
      </c>
      <c r="BL42" s="9"/>
      <c r="BN42">
        <f t="shared" si="10"/>
        <v>1</v>
      </c>
      <c r="BO42">
        <f t="shared" si="11"/>
        <v>0</v>
      </c>
      <c r="BP42">
        <f t="shared" si="12"/>
        <v>1</v>
      </c>
      <c r="BQ42">
        <f t="shared" si="1"/>
        <v>1</v>
      </c>
      <c r="BR42">
        <f t="shared" si="13"/>
        <v>1</v>
      </c>
      <c r="BS42" s="9">
        <f t="shared" si="14"/>
        <v>1.7559267022648E-3</v>
      </c>
      <c r="BT42" s="9">
        <f t="shared" si="15"/>
        <v>-4.08864744903965E-3</v>
      </c>
      <c r="BU42" s="9">
        <f t="shared" si="16"/>
        <v>-2.3327207467748502E-3</v>
      </c>
      <c r="BV42" s="12">
        <f t="shared" si="17"/>
        <v>-3.7289208346090539E-4</v>
      </c>
      <c r="BX42" s="12">
        <f t="shared" si="18"/>
        <v>-2.3327207467748502E-3</v>
      </c>
      <c r="BY42" s="12">
        <f t="shared" si="19"/>
        <v>9.8642069603388401E-3</v>
      </c>
    </row>
    <row r="43" spans="1:77" x14ac:dyDescent="0.3">
      <c r="A43" s="1">
        <v>46085</v>
      </c>
      <c r="B43" s="8">
        <v>51.5</v>
      </c>
      <c r="C43" s="8">
        <v>122.77</v>
      </c>
      <c r="D43" s="9">
        <v>5.6469821952314404E-3</v>
      </c>
      <c r="E43" s="9">
        <v>5.9638263442794697E-3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51.5</v>
      </c>
      <c r="M43" s="8">
        <v>122.77</v>
      </c>
      <c r="N43" s="10">
        <v>2.3838834951456298</v>
      </c>
      <c r="O43" s="10">
        <v>2.3820577689553399</v>
      </c>
      <c r="P43" s="10">
        <v>2.3905673548854498</v>
      </c>
      <c r="Q43" s="10">
        <v>2.3895682894215899</v>
      </c>
      <c r="R43" s="8">
        <v>122.6759751012</v>
      </c>
      <c r="S43" s="8">
        <v>123.156480993752</v>
      </c>
      <c r="T43" s="8">
        <v>123.066168642555</v>
      </c>
      <c r="U43" s="9">
        <v>-7.6615559379608904E-4</v>
      </c>
      <c r="V43" s="9">
        <v>3.14306381611672E-3</v>
      </c>
      <c r="W43" s="9">
        <v>2.4094809765185499E-3</v>
      </c>
      <c r="X43" s="10">
        <v>2.3838834951456298</v>
      </c>
      <c r="Y43" s="10">
        <v>2.3818827909075999</v>
      </c>
      <c r="Z43" s="10">
        <v>2.3905673548854498</v>
      </c>
      <c r="AA43" s="10">
        <v>2.3895682894215899</v>
      </c>
      <c r="AB43" s="8">
        <v>122.66696373174101</v>
      </c>
      <c r="AC43" s="8">
        <v>123.156480993752</v>
      </c>
      <c r="AD43" s="8">
        <v>123.066168642555</v>
      </c>
      <c r="AE43" s="9">
        <v>-8.3961496870532497E-4</v>
      </c>
      <c r="AF43" s="9">
        <v>3.14306381611672E-3</v>
      </c>
      <c r="AG43" s="9">
        <v>2.4094809765185499E-3</v>
      </c>
      <c r="AZ43" s="9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1.0237099043799745E-2</v>
      </c>
      <c r="BL43" s="9"/>
      <c r="BN43">
        <f t="shared" si="10"/>
        <v>1</v>
      </c>
      <c r="BO43">
        <f t="shared" si="11"/>
        <v>0</v>
      </c>
      <c r="BP43">
        <f t="shared" si="12"/>
        <v>1</v>
      </c>
      <c r="BQ43">
        <f t="shared" si="1"/>
        <v>1</v>
      </c>
      <c r="BR43">
        <f t="shared" si="13"/>
        <v>1</v>
      </c>
      <c r="BS43" s="9">
        <f t="shared" si="14"/>
        <v>-5.6469821952314404E-3</v>
      </c>
      <c r="BT43" s="9">
        <f t="shared" si="15"/>
        <v>5.9638263442794697E-3</v>
      </c>
      <c r="BU43" s="9">
        <f t="shared" si="16"/>
        <v>3.1684414904802928E-4</v>
      </c>
      <c r="BV43" s="12">
        <f t="shared" si="17"/>
        <v>-5.6047934412876109E-5</v>
      </c>
      <c r="BX43" s="12">
        <f t="shared" si="18"/>
        <v>3.1684414904802928E-4</v>
      </c>
      <c r="BY43" s="12">
        <f t="shared" si="19"/>
        <v>1.0181051109386869E-2</v>
      </c>
    </row>
    <row r="44" spans="1:77" x14ac:dyDescent="0.3">
      <c r="A44" s="1">
        <v>46086</v>
      </c>
      <c r="B44" s="8">
        <v>51.23</v>
      </c>
      <c r="C44" s="8">
        <v>122</v>
      </c>
      <c r="D44" s="9">
        <v>-5.2565097185795504E-3</v>
      </c>
      <c r="E44" s="9">
        <v>-6.2916414594919997E-3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51.23</v>
      </c>
      <c r="M44" s="8">
        <v>122</v>
      </c>
      <c r="N44" s="10">
        <v>2.3814171383954701</v>
      </c>
      <c r="O44" s="10">
        <v>2.3820577689553399</v>
      </c>
      <c r="P44" s="10">
        <v>2.3894760869416798</v>
      </c>
      <c r="Q44" s="10">
        <v>2.3893748765118601</v>
      </c>
      <c r="R44" s="8">
        <v>122.032819503582</v>
      </c>
      <c r="S44" s="8">
        <v>122.468765590781</v>
      </c>
      <c r="T44" s="8">
        <v>122.417583467068</v>
      </c>
      <c r="U44" s="9">
        <v>2.6897614711636302E-4</v>
      </c>
      <c r="V44" s="9">
        <v>3.8349779708054402E-3</v>
      </c>
      <c r="W44" s="9">
        <v>3.4169708041694598E-3</v>
      </c>
      <c r="X44" s="10">
        <v>2.3814171383954701</v>
      </c>
      <c r="Y44" s="10">
        <v>2.3818827909075999</v>
      </c>
      <c r="Z44" s="10">
        <v>2.3894760869416798</v>
      </c>
      <c r="AA44" s="10">
        <v>2.3893748765118601</v>
      </c>
      <c r="AB44" s="8">
        <v>122.023855378196</v>
      </c>
      <c r="AC44" s="8">
        <v>122.468765590781</v>
      </c>
      <c r="AD44" s="8">
        <v>122.417583467068</v>
      </c>
      <c r="AE44" s="9">
        <v>1.95516772207002E-4</v>
      </c>
      <c r="AF44" s="9">
        <v>3.8349779708054402E-3</v>
      </c>
      <c r="AG44" s="9">
        <v>3.4169708041694598E-3</v>
      </c>
      <c r="AZ44" s="9"/>
      <c r="BB44">
        <f t="shared" si="2"/>
        <v>0</v>
      </c>
      <c r="BC44">
        <f t="shared" si="3"/>
        <v>1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1.0237099043799745E-2</v>
      </c>
      <c r="BL44" s="9"/>
      <c r="BN44">
        <f t="shared" si="10"/>
        <v>1</v>
      </c>
      <c r="BO44">
        <f t="shared" si="11"/>
        <v>0</v>
      </c>
      <c r="BP44">
        <f t="shared" si="12"/>
        <v>1</v>
      </c>
      <c r="BQ44">
        <f t="shared" si="1"/>
        <v>1</v>
      </c>
      <c r="BR44">
        <f t="shared" si="13"/>
        <v>1</v>
      </c>
      <c r="BS44" s="9">
        <f t="shared" si="14"/>
        <v>5.2565097185795504E-3</v>
      </c>
      <c r="BT44" s="9">
        <f t="shared" si="15"/>
        <v>-6.2916414594919997E-3</v>
      </c>
      <c r="BU44" s="9">
        <f t="shared" si="16"/>
        <v>-1.0351317409124493E-3</v>
      </c>
      <c r="BV44" s="12">
        <f t="shared" si="17"/>
        <v>-1.0911796753253255E-3</v>
      </c>
      <c r="BX44" s="12">
        <f t="shared" si="18"/>
        <v>-1.0351317409124493E-3</v>
      </c>
      <c r="BY44" s="12">
        <f t="shared" si="19"/>
        <v>9.14591936847442E-3</v>
      </c>
    </row>
    <row r="45" spans="1:77" x14ac:dyDescent="0.3">
      <c r="A45" s="1">
        <v>46087</v>
      </c>
      <c r="B45" s="8">
        <v>50.57</v>
      </c>
      <c r="C45" s="8">
        <v>120.16</v>
      </c>
      <c r="D45" s="9">
        <v>-1.29667828592191E-2</v>
      </c>
      <c r="E45" s="9">
        <v>-1.5196856717432001E-2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50.57</v>
      </c>
      <c r="M45" s="8">
        <v>120.16</v>
      </c>
      <c r="N45" s="10">
        <v>2.3761123195570399</v>
      </c>
      <c r="O45" s="10">
        <v>2.3820577689553399</v>
      </c>
      <c r="P45" s="10">
        <v>2.38829897826108</v>
      </c>
      <c r="Q45" s="10">
        <v>2.38906808866161</v>
      </c>
      <c r="R45" s="8">
        <v>120.460661376071</v>
      </c>
      <c r="S45" s="8">
        <v>120.835805716641</v>
      </c>
      <c r="T45" s="8">
        <v>120.83068750520501</v>
      </c>
      <c r="U45" s="9">
        <v>2.4990500053291499E-3</v>
      </c>
      <c r="V45" s="9">
        <v>5.6084585047063299E-3</v>
      </c>
      <c r="W45" s="9">
        <v>5.5661008624167804E-3</v>
      </c>
      <c r="X45" s="10">
        <v>2.3761123195570399</v>
      </c>
      <c r="Y45" s="10">
        <v>2.3818827909075999</v>
      </c>
      <c r="Z45" s="10">
        <v>2.38829897826108</v>
      </c>
      <c r="AA45" s="10">
        <v>2.38906808866161</v>
      </c>
      <c r="AB45" s="8">
        <v>120.451812736197</v>
      </c>
      <c r="AC45" s="8">
        <v>120.835805716641</v>
      </c>
      <c r="AD45" s="8">
        <v>120.83068750520501</v>
      </c>
      <c r="AE45" s="9">
        <v>2.4255906304198201E-3</v>
      </c>
      <c r="AF45" s="9">
        <v>5.6084585047063299E-3</v>
      </c>
      <c r="AG45" s="9">
        <v>5.5661008624167804E-3</v>
      </c>
      <c r="AZ45" s="9"/>
      <c r="BB45">
        <f t="shared" si="2"/>
        <v>0</v>
      </c>
      <c r="BC45">
        <f t="shared" si="3"/>
        <v>1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1.0237099043799745E-2</v>
      </c>
      <c r="BL45" s="9"/>
      <c r="BN45">
        <f t="shared" si="10"/>
        <v>1</v>
      </c>
      <c r="BO45">
        <f t="shared" si="11"/>
        <v>0</v>
      </c>
      <c r="BP45">
        <f t="shared" si="12"/>
        <v>1</v>
      </c>
      <c r="BQ45">
        <f t="shared" si="1"/>
        <v>1</v>
      </c>
      <c r="BR45">
        <f t="shared" si="13"/>
        <v>1</v>
      </c>
      <c r="BS45" s="9">
        <f t="shared" si="14"/>
        <v>1.29667828592191E-2</v>
      </c>
      <c r="BT45" s="9">
        <f t="shared" si="15"/>
        <v>-1.5196856717432001E-2</v>
      </c>
      <c r="BU45" s="9">
        <f t="shared" si="16"/>
        <v>-2.2300738582129009E-3</v>
      </c>
      <c r="BV45" s="12">
        <f t="shared" si="17"/>
        <v>-3.3212535335382263E-3</v>
      </c>
      <c r="BX45" s="12">
        <f t="shared" si="18"/>
        <v>-2.2300738582129009E-3</v>
      </c>
      <c r="BY45" s="12">
        <f t="shared" si="19"/>
        <v>6.9158455102615191E-3</v>
      </c>
    </row>
    <row r="46" spans="1:77" x14ac:dyDescent="0.3">
      <c r="A46" s="1">
        <v>46090</v>
      </c>
      <c r="B46" s="8">
        <v>50.33</v>
      </c>
      <c r="C46" s="8">
        <v>119.61</v>
      </c>
      <c r="D46" s="9">
        <v>-4.7571943036231199E-3</v>
      </c>
      <c r="E46" s="9">
        <v>-4.5877379544512504E-3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50.33</v>
      </c>
      <c r="M46" s="8">
        <v>119.61</v>
      </c>
      <c r="N46" s="10">
        <v>2.3765150009934399</v>
      </c>
      <c r="O46" s="10">
        <v>2.3820577689553399</v>
      </c>
      <c r="P46" s="10">
        <v>2.38611211841561</v>
      </c>
      <c r="Q46" s="10">
        <v>2.38843198836111</v>
      </c>
      <c r="R46" s="8">
        <v>119.888967511522</v>
      </c>
      <c r="S46" s="8">
        <v>120.20308757588001</v>
      </c>
      <c r="T46" s="8">
        <v>120.241796902338</v>
      </c>
      <c r="U46" s="9">
        <v>2.32959365615729E-3</v>
      </c>
      <c r="V46" s="9">
        <v>4.9462586971848197E-3</v>
      </c>
      <c r="W46" s="9">
        <v>5.2682395692430599E-3</v>
      </c>
      <c r="X46" s="10">
        <v>2.3765150009934399</v>
      </c>
      <c r="Y46" s="10">
        <v>2.3818827909075999</v>
      </c>
      <c r="Z46" s="10">
        <v>2.38611211841561</v>
      </c>
      <c r="AA46" s="10">
        <v>2.38843198836111</v>
      </c>
      <c r="AB46" s="8">
        <v>119.880160866379</v>
      </c>
      <c r="AC46" s="8">
        <v>120.20308757588001</v>
      </c>
      <c r="AD46" s="8">
        <v>120.241796902338</v>
      </c>
      <c r="AE46" s="9">
        <v>2.2561342812480599E-3</v>
      </c>
      <c r="AF46" s="9">
        <v>4.9462586971848197E-3</v>
      </c>
      <c r="AG46" s="9">
        <v>5.2682395692430599E-3</v>
      </c>
      <c r="AZ46" s="9"/>
      <c r="BB46">
        <f t="shared" si="2"/>
        <v>0</v>
      </c>
      <c r="BC46">
        <f t="shared" si="3"/>
        <v>1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1.0237099043799745E-2</v>
      </c>
      <c r="BL46" s="9"/>
      <c r="BN46">
        <f t="shared" si="10"/>
        <v>1</v>
      </c>
      <c r="BO46">
        <f t="shared" si="11"/>
        <v>0</v>
      </c>
      <c r="BP46">
        <f t="shared" si="12"/>
        <v>1</v>
      </c>
      <c r="BQ46">
        <f t="shared" si="1"/>
        <v>1</v>
      </c>
      <c r="BR46">
        <f t="shared" si="13"/>
        <v>1</v>
      </c>
      <c r="BS46" s="9">
        <f t="shared" si="14"/>
        <v>4.7571943036231199E-3</v>
      </c>
      <c r="BT46" s="9">
        <f t="shared" si="15"/>
        <v>-4.5877379544512504E-3</v>
      </c>
      <c r="BU46" s="9">
        <f t="shared" si="16"/>
        <v>1.6945634917186949E-4</v>
      </c>
      <c r="BV46" s="12">
        <f t="shared" si="17"/>
        <v>-3.1517971843663568E-3</v>
      </c>
      <c r="BX46" s="12">
        <f t="shared" si="18"/>
        <v>1.6945634917186949E-4</v>
      </c>
      <c r="BY46" s="12">
        <f t="shared" si="19"/>
        <v>7.0853018594333886E-3</v>
      </c>
    </row>
    <row r="47" spans="1:77" x14ac:dyDescent="0.3">
      <c r="A47" s="1">
        <v>46091</v>
      </c>
      <c r="B47" s="8">
        <v>50.06</v>
      </c>
      <c r="C47" s="8">
        <v>119</v>
      </c>
      <c r="D47" s="9">
        <v>-5.3790347846404104E-3</v>
      </c>
      <c r="E47" s="9">
        <v>-5.1129569498439397E-3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50.06</v>
      </c>
      <c r="M47" s="8">
        <v>119</v>
      </c>
      <c r="N47" s="10">
        <v>2.3771474230922802</v>
      </c>
      <c r="O47" s="10">
        <v>2.3820577689553399</v>
      </c>
      <c r="P47" s="10">
        <v>2.3838307838319399</v>
      </c>
      <c r="Q47" s="10">
        <v>2.38755446889652</v>
      </c>
      <c r="R47" s="8">
        <v>119.24581191390401</v>
      </c>
      <c r="S47" s="8">
        <v>119.44877264788499</v>
      </c>
      <c r="T47" s="8">
        <v>119.564905337357</v>
      </c>
      <c r="U47" s="9">
        <v>2.0635158213607799E-3</v>
      </c>
      <c r="V47" s="9">
        <v>3.7641055793371202E-3</v>
      </c>
      <c r="W47" s="9">
        <v>4.7358717107952404E-3</v>
      </c>
      <c r="X47" s="10">
        <v>2.3771474230922802</v>
      </c>
      <c r="Y47" s="10">
        <v>2.3818827909075999</v>
      </c>
      <c r="Z47" s="10">
        <v>2.3838307838319399</v>
      </c>
      <c r="AA47" s="10">
        <v>2.38755446889652</v>
      </c>
      <c r="AB47" s="8">
        <v>119.237052512834</v>
      </c>
      <c r="AC47" s="8">
        <v>119.44877264788499</v>
      </c>
      <c r="AD47" s="8">
        <v>119.564905337357</v>
      </c>
      <c r="AE47" s="9">
        <v>1.9900564464515602E-3</v>
      </c>
      <c r="AF47" s="9">
        <v>3.7641055793371202E-3</v>
      </c>
      <c r="AG47" s="9">
        <v>4.7358717107952404E-3</v>
      </c>
      <c r="AZ47" s="9"/>
      <c r="BB47">
        <f t="shared" si="2"/>
        <v>0</v>
      </c>
      <c r="BC47">
        <f t="shared" si="3"/>
        <v>1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1.0237099043799745E-2</v>
      </c>
      <c r="BL47" s="9"/>
      <c r="BN47">
        <f t="shared" si="10"/>
        <v>1</v>
      </c>
      <c r="BO47">
        <f t="shared" si="11"/>
        <v>0</v>
      </c>
      <c r="BP47">
        <f t="shared" si="12"/>
        <v>1</v>
      </c>
      <c r="BQ47">
        <f t="shared" si="1"/>
        <v>1</v>
      </c>
      <c r="BR47">
        <f t="shared" si="13"/>
        <v>1</v>
      </c>
      <c r="BS47" s="9">
        <f t="shared" si="14"/>
        <v>5.3790347846404104E-3</v>
      </c>
      <c r="BT47" s="9">
        <f t="shared" si="15"/>
        <v>-5.1129569498439397E-3</v>
      </c>
      <c r="BU47" s="9">
        <f t="shared" si="16"/>
        <v>2.6607783479647065E-4</v>
      </c>
      <c r="BV47" s="12">
        <f t="shared" si="17"/>
        <v>-2.8857193495698862E-3</v>
      </c>
      <c r="BX47" s="12">
        <f t="shared" si="18"/>
        <v>2.6607783479647065E-4</v>
      </c>
      <c r="BY47" s="12">
        <f t="shared" si="19"/>
        <v>7.3513796942298593E-3</v>
      </c>
    </row>
    <row r="48" spans="1:77" x14ac:dyDescent="0.3">
      <c r="A48" s="1">
        <v>46092</v>
      </c>
      <c r="B48" s="8">
        <v>49.64</v>
      </c>
      <c r="C48" s="8">
        <v>118.05</v>
      </c>
      <c r="D48" s="9">
        <v>-8.4253256672216798E-3</v>
      </c>
      <c r="E48" s="9">
        <v>-8.0152295800074297E-3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49.64</v>
      </c>
      <c r="M48" s="8">
        <v>118.05</v>
      </c>
      <c r="N48" s="10">
        <v>2.3781224818694602</v>
      </c>
      <c r="O48" s="10">
        <v>2.3820577689553399</v>
      </c>
      <c r="P48" s="10">
        <v>2.3822561031582801</v>
      </c>
      <c r="Q48" s="10">
        <v>2.38722623257916</v>
      </c>
      <c r="R48" s="8">
        <v>118.245347650943</v>
      </c>
      <c r="S48" s="8">
        <v>118.333360109417</v>
      </c>
      <c r="T48" s="8">
        <v>118.51820383602301</v>
      </c>
      <c r="U48" s="9">
        <v>1.65341973414653E-3</v>
      </c>
      <c r="V48" s="9">
        <v>2.3974635525297302E-3</v>
      </c>
      <c r="W48" s="9">
        <v>3.9583041148906596E-3</v>
      </c>
      <c r="X48" s="10">
        <v>2.3781224818694602</v>
      </c>
      <c r="Y48" s="10">
        <v>2.3818827909075999</v>
      </c>
      <c r="Z48" s="10">
        <v>2.3822561031582801</v>
      </c>
      <c r="AA48" s="10">
        <v>2.38722623257916</v>
      </c>
      <c r="AB48" s="8">
        <v>118.23666174065301</v>
      </c>
      <c r="AC48" s="8">
        <v>118.333360109417</v>
      </c>
      <c r="AD48" s="8">
        <v>118.51820383602301</v>
      </c>
      <c r="AE48" s="9">
        <v>1.5799603592373799E-3</v>
      </c>
      <c r="AF48" s="9">
        <v>2.3974635525297302E-3</v>
      </c>
      <c r="AG48" s="9">
        <v>3.9583041148906596E-3</v>
      </c>
      <c r="AZ48" s="9"/>
      <c r="BB48">
        <f t="shared" si="2"/>
        <v>0</v>
      </c>
      <c r="BC48">
        <f t="shared" si="3"/>
        <v>1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1.0237099043799745E-2</v>
      </c>
      <c r="BL48" s="9"/>
      <c r="BN48">
        <f t="shared" si="10"/>
        <v>1</v>
      </c>
      <c r="BO48">
        <f t="shared" si="11"/>
        <v>0</v>
      </c>
      <c r="BP48">
        <f t="shared" si="12"/>
        <v>1</v>
      </c>
      <c r="BQ48">
        <f t="shared" si="1"/>
        <v>1</v>
      </c>
      <c r="BR48">
        <f t="shared" si="13"/>
        <v>1</v>
      </c>
      <c r="BS48" s="9">
        <f t="shared" si="14"/>
        <v>8.4253256672216798E-3</v>
      </c>
      <c r="BT48" s="9">
        <f t="shared" si="15"/>
        <v>-8.0152295800074297E-3</v>
      </c>
      <c r="BU48" s="9">
        <f t="shared" si="16"/>
        <v>4.1009608721425013E-4</v>
      </c>
      <c r="BV48" s="12">
        <f t="shared" si="17"/>
        <v>-2.4756232623556361E-3</v>
      </c>
      <c r="BX48" s="12">
        <f t="shared" si="18"/>
        <v>4.1009608721425013E-4</v>
      </c>
      <c r="BY48" s="12">
        <f t="shared" si="19"/>
        <v>7.7614757814441094E-3</v>
      </c>
    </row>
    <row r="49" spans="1:77" x14ac:dyDescent="0.3">
      <c r="A49" s="1">
        <v>46093</v>
      </c>
      <c r="B49" s="8">
        <v>48.83</v>
      </c>
      <c r="C49" s="8">
        <v>116.1</v>
      </c>
      <c r="D49" s="9">
        <v>-1.6452082262837599E-2</v>
      </c>
      <c r="E49" s="9">
        <v>-1.6656374827676099E-2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48.83</v>
      </c>
      <c r="M49" s="8">
        <v>116.1</v>
      </c>
      <c r="N49" s="10">
        <v>2.3776366987507598</v>
      </c>
      <c r="O49" s="10">
        <v>2.3820577689553399</v>
      </c>
      <c r="P49" s="10">
        <v>2.3806673920809698</v>
      </c>
      <c r="Q49" s="10">
        <v>2.3869764785898901</v>
      </c>
      <c r="R49" s="8">
        <v>116.315880858089</v>
      </c>
      <c r="S49" s="8">
        <v>116.325565517218</v>
      </c>
      <c r="T49" s="8">
        <v>116.56825693684</v>
      </c>
      <c r="U49" s="9">
        <v>1.8577122989850601E-3</v>
      </c>
      <c r="V49" s="9">
        <v>1.94097054282806E-3</v>
      </c>
      <c r="W49" s="9">
        <v>4.0251091851626897E-3</v>
      </c>
      <c r="X49" s="10">
        <v>2.3776366987507598</v>
      </c>
      <c r="Y49" s="10">
        <v>2.3818827909075999</v>
      </c>
      <c r="Z49" s="10">
        <v>2.3806673920809698</v>
      </c>
      <c r="AA49" s="10">
        <v>2.3869764785898901</v>
      </c>
      <c r="AB49" s="8">
        <v>116.307336680018</v>
      </c>
      <c r="AC49" s="8">
        <v>116.325565517218</v>
      </c>
      <c r="AD49" s="8">
        <v>116.56825693684</v>
      </c>
      <c r="AE49" s="9">
        <v>1.7842529240758901E-3</v>
      </c>
      <c r="AF49" s="9">
        <v>1.94097054282806E-3</v>
      </c>
      <c r="AG49" s="9">
        <v>4.0251091851626897E-3</v>
      </c>
      <c r="AZ49" s="9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1.0237099043799745E-2</v>
      </c>
      <c r="BL49" s="9"/>
      <c r="BN49">
        <f t="shared" si="10"/>
        <v>1</v>
      </c>
      <c r="BO49">
        <f t="shared" si="11"/>
        <v>0</v>
      </c>
      <c r="BP49">
        <f t="shared" si="12"/>
        <v>1</v>
      </c>
      <c r="BQ49">
        <f t="shared" si="1"/>
        <v>1</v>
      </c>
      <c r="BR49">
        <f t="shared" si="13"/>
        <v>1</v>
      </c>
      <c r="BS49" s="9">
        <f t="shared" si="14"/>
        <v>1.6452082262837599E-2</v>
      </c>
      <c r="BT49" s="9">
        <f t="shared" si="15"/>
        <v>-1.6656374827676099E-2</v>
      </c>
      <c r="BU49" s="9">
        <f t="shared" si="16"/>
        <v>-2.0429256483850064E-4</v>
      </c>
      <c r="BV49" s="12">
        <f t="shared" si="17"/>
        <v>-2.6799158271941367E-3</v>
      </c>
      <c r="BX49" s="12">
        <f t="shared" si="18"/>
        <v>-2.0429256483850064E-4</v>
      </c>
      <c r="BY49" s="12">
        <f t="shared" si="19"/>
        <v>7.5571832166056088E-3</v>
      </c>
    </row>
    <row r="50" spans="1:77" x14ac:dyDescent="0.3">
      <c r="A50" s="1">
        <v>46094</v>
      </c>
      <c r="B50" s="8">
        <v>48.89</v>
      </c>
      <c r="C50" s="8">
        <v>116.08</v>
      </c>
      <c r="D50" s="9">
        <v>1.22799851698528E-3</v>
      </c>
      <c r="E50" s="9">
        <v>-1.72280127913352E-4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48.89</v>
      </c>
      <c r="M50" s="8">
        <v>116.08</v>
      </c>
      <c r="N50" s="10">
        <v>2.3743096747801098</v>
      </c>
      <c r="O50" s="10">
        <v>2.3820577689553399</v>
      </c>
      <c r="P50" s="10">
        <v>2.3796966484954001</v>
      </c>
      <c r="Q50" s="10">
        <v>2.38640389887368</v>
      </c>
      <c r="R50" s="8">
        <v>116.45880432422599</v>
      </c>
      <c r="S50" s="8">
        <v>116.390828798838</v>
      </c>
      <c r="T50" s="8">
        <v>116.699280038259</v>
      </c>
      <c r="U50" s="9">
        <v>3.2579909438837699E-3</v>
      </c>
      <c r="V50" s="9">
        <v>2.6741332292982102E-3</v>
      </c>
      <c r="W50" s="9">
        <v>5.3207613595865301E-3</v>
      </c>
      <c r="X50" s="10">
        <v>2.3743096747801098</v>
      </c>
      <c r="Y50" s="10">
        <v>2.3818827909075999</v>
      </c>
      <c r="Z50" s="10">
        <v>2.3796966484954001</v>
      </c>
      <c r="AA50" s="10">
        <v>2.38640389887368</v>
      </c>
      <c r="AB50" s="8">
        <v>116.45024964747201</v>
      </c>
      <c r="AC50" s="8">
        <v>116.390828798838</v>
      </c>
      <c r="AD50" s="8">
        <v>116.699280038259</v>
      </c>
      <c r="AE50" s="9">
        <v>3.1845315689745901E-3</v>
      </c>
      <c r="AF50" s="9">
        <v>2.6741332292982102E-3</v>
      </c>
      <c r="AG50" s="9">
        <v>5.3207613595865301E-3</v>
      </c>
      <c r="AZ50" s="9"/>
      <c r="BB50">
        <f t="shared" si="2"/>
        <v>0</v>
      </c>
      <c r="BC50">
        <f t="shared" si="3"/>
        <v>1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1.0237099043799745E-2</v>
      </c>
      <c r="BL50" s="9"/>
      <c r="BN50">
        <f t="shared" si="10"/>
        <v>1</v>
      </c>
      <c r="BO50">
        <f t="shared" si="11"/>
        <v>0</v>
      </c>
      <c r="BP50">
        <f t="shared" si="12"/>
        <v>1</v>
      </c>
      <c r="BQ50">
        <f t="shared" si="1"/>
        <v>1</v>
      </c>
      <c r="BR50">
        <f t="shared" si="13"/>
        <v>1</v>
      </c>
      <c r="BS50" s="9">
        <f t="shared" si="14"/>
        <v>-1.22799851698528E-3</v>
      </c>
      <c r="BT50" s="9">
        <f t="shared" si="15"/>
        <v>-1.72280127913352E-4</v>
      </c>
      <c r="BU50" s="9">
        <f t="shared" si="16"/>
        <v>-1.4002786448986319E-3</v>
      </c>
      <c r="BV50" s="12">
        <f t="shared" si="17"/>
        <v>-4.0801944720927682E-3</v>
      </c>
      <c r="BX50" s="12">
        <f t="shared" si="18"/>
        <v>-1.4002786448986319E-3</v>
      </c>
      <c r="BY50" s="12">
        <f t="shared" si="19"/>
        <v>6.1569045717069764E-3</v>
      </c>
    </row>
    <row r="51" spans="1:77" x14ac:dyDescent="0.3">
      <c r="A51" s="1">
        <v>46097</v>
      </c>
      <c r="B51" s="8">
        <v>49.3</v>
      </c>
      <c r="C51" s="8">
        <v>117.05</v>
      </c>
      <c r="D51" s="9">
        <v>8.3512044580902299E-3</v>
      </c>
      <c r="E51" s="9">
        <v>8.3215853609873401E-3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49.3</v>
      </c>
      <c r="M51" s="8">
        <v>117.05</v>
      </c>
      <c r="N51" s="10">
        <v>2.3742393509127702</v>
      </c>
      <c r="O51" s="10">
        <v>2.3820577689553399</v>
      </c>
      <c r="P51" s="10">
        <v>2.37825118787518</v>
      </c>
      <c r="Q51" s="10">
        <v>2.3852417134667601</v>
      </c>
      <c r="R51" s="8">
        <v>117.435448009498</v>
      </c>
      <c r="S51" s="8">
        <v>117.319044770823</v>
      </c>
      <c r="T51" s="8">
        <v>117.649712214472</v>
      </c>
      <c r="U51" s="9">
        <v>3.2876100409864701E-3</v>
      </c>
      <c r="V51" s="9">
        <v>2.2959080561931701E-3</v>
      </c>
      <c r="W51" s="9">
        <v>5.1104751176315197E-3</v>
      </c>
      <c r="X51" s="10">
        <v>2.3742393509127702</v>
      </c>
      <c r="Y51" s="10">
        <v>2.3818827909075999</v>
      </c>
      <c r="Z51" s="10">
        <v>2.37825118787518</v>
      </c>
      <c r="AA51" s="10">
        <v>2.3852417134667601</v>
      </c>
      <c r="AB51" s="8">
        <v>117.426821591744</v>
      </c>
      <c r="AC51" s="8">
        <v>117.319044770823</v>
      </c>
      <c r="AD51" s="8">
        <v>117.649712214472</v>
      </c>
      <c r="AE51" s="9">
        <v>3.2141506660773099E-3</v>
      </c>
      <c r="AF51" s="9">
        <v>2.2959080561931701E-3</v>
      </c>
      <c r="AG51" s="9">
        <v>5.1104751176315197E-3</v>
      </c>
      <c r="AZ51" s="9"/>
      <c r="BB51">
        <f t="shared" si="2"/>
        <v>0</v>
      </c>
      <c r="BC51">
        <f t="shared" si="3"/>
        <v>1</v>
      </c>
      <c r="BD51">
        <f t="shared" si="4"/>
        <v>0</v>
      </c>
      <c r="BE51">
        <f t="shared" si="0"/>
        <v>0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1.0237099043799745E-2</v>
      </c>
      <c r="BL51" s="9"/>
      <c r="BN51">
        <f t="shared" si="10"/>
        <v>1</v>
      </c>
      <c r="BO51">
        <f t="shared" si="11"/>
        <v>0</v>
      </c>
      <c r="BP51">
        <f t="shared" si="12"/>
        <v>1</v>
      </c>
      <c r="BQ51">
        <f t="shared" si="1"/>
        <v>0</v>
      </c>
      <c r="BR51">
        <f t="shared" si="13"/>
        <v>1</v>
      </c>
      <c r="BS51" s="9">
        <f t="shared" si="14"/>
        <v>-8.3512044580902299E-3</v>
      </c>
      <c r="BT51" s="9">
        <f t="shared" si="15"/>
        <v>8.3215853609873401E-3</v>
      </c>
      <c r="BU51" s="9">
        <f t="shared" si="16"/>
        <v>-2.9619097102889791E-5</v>
      </c>
      <c r="BV51" s="12">
        <f t="shared" si="17"/>
        <v>-4.109813569195658E-3</v>
      </c>
      <c r="BX51" s="12">
        <f t="shared" si="18"/>
        <v>-2.9619097102889791E-5</v>
      </c>
      <c r="BY51" s="12">
        <f t="shared" si="19"/>
        <v>6.1272854746040866E-3</v>
      </c>
    </row>
    <row r="52" spans="1:77" x14ac:dyDescent="0.3">
      <c r="A52" s="1">
        <v>46098</v>
      </c>
      <c r="B52" s="8">
        <v>49.56</v>
      </c>
      <c r="C52" s="8">
        <v>117.34</v>
      </c>
      <c r="D52" s="9">
        <v>5.2599757122974503E-3</v>
      </c>
      <c r="E52" s="9">
        <v>2.4745095607941201E-3</v>
      </c>
      <c r="F52" s="8">
        <v>0</v>
      </c>
      <c r="G52" s="8">
        <v>0</v>
      </c>
      <c r="H52" s="8">
        <v>0.57620000000000005</v>
      </c>
      <c r="I52" s="8">
        <v>0.57620000000000005</v>
      </c>
      <c r="J52" s="8">
        <v>0</v>
      </c>
      <c r="K52" s="8">
        <v>0.57620000000000005</v>
      </c>
      <c r="L52" s="8">
        <v>49.56</v>
      </c>
      <c r="M52" s="8">
        <v>117.9162</v>
      </c>
      <c r="N52" s="10">
        <v>2.3676351896690799</v>
      </c>
      <c r="O52" s="10">
        <v>2.3820577689553399</v>
      </c>
      <c r="P52" s="10">
        <v>2.3767018773166102</v>
      </c>
      <c r="Q52" s="10">
        <v>2.3840449288889101</v>
      </c>
      <c r="R52" s="8">
        <v>118.05478302942601</v>
      </c>
      <c r="S52" s="8">
        <v>117.86612887109401</v>
      </c>
      <c r="T52" s="8">
        <v>118.212579319412</v>
      </c>
      <c r="U52" s="9">
        <v>6.0730761924898801E-3</v>
      </c>
      <c r="V52" s="9">
        <v>4.4737758420135398E-3</v>
      </c>
      <c r="W52" s="9">
        <v>7.4088198337534002E-3</v>
      </c>
      <c r="X52" s="10">
        <v>2.3792615012106499</v>
      </c>
      <c r="Y52" s="10">
        <v>2.3818827909075999</v>
      </c>
      <c r="Z52" s="10">
        <v>2.3778645084707599</v>
      </c>
      <c r="AA52" s="10">
        <v>2.38462624446599</v>
      </c>
      <c r="AB52" s="8">
        <v>118.04611111737999</v>
      </c>
      <c r="AC52" s="8">
        <v>117.86612887109401</v>
      </c>
      <c r="AD52" s="8">
        <v>118.212579319412</v>
      </c>
      <c r="AE52" s="9">
        <v>1.1011176309612899E-3</v>
      </c>
      <c r="AF52" s="9">
        <v>-4.2472334460592599E-4</v>
      </c>
      <c r="AG52" s="9">
        <v>2.5103206471340802E-3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1.0237099043799745E-2</v>
      </c>
      <c r="BL52" s="9"/>
      <c r="BN52">
        <f t="shared" si="10"/>
        <v>1</v>
      </c>
      <c r="BO52">
        <f t="shared" si="11"/>
        <v>0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-4.109813569195658E-3</v>
      </c>
      <c r="BX52" s="12">
        <f t="shared" si="18"/>
        <v>0</v>
      </c>
      <c r="BY52" s="12">
        <f t="shared" si="19"/>
        <v>6.1272854746040866E-3</v>
      </c>
    </row>
    <row r="53" spans="1:77" x14ac:dyDescent="0.3">
      <c r="A53" s="1">
        <v>46099</v>
      </c>
      <c r="B53" s="8">
        <v>48.97</v>
      </c>
      <c r="C53" s="8">
        <v>116.34</v>
      </c>
      <c r="D53" s="9">
        <v>-1.19761910467157E-2</v>
      </c>
      <c r="E53" s="9">
        <v>-8.5587650150983595E-3</v>
      </c>
      <c r="F53" s="8">
        <v>0</v>
      </c>
      <c r="G53" s="8">
        <v>0</v>
      </c>
      <c r="H53" s="8">
        <v>0</v>
      </c>
      <c r="I53" s="8">
        <v>0.57620000000000005</v>
      </c>
      <c r="J53" s="8">
        <v>0</v>
      </c>
      <c r="K53" s="8">
        <v>0.57620000000000005</v>
      </c>
      <c r="L53" s="8">
        <v>48.97</v>
      </c>
      <c r="M53" s="8">
        <v>116.9162</v>
      </c>
      <c r="N53" s="10">
        <v>2.3757402491321198</v>
      </c>
      <c r="O53" s="10">
        <v>2.3820577689553399</v>
      </c>
      <c r="P53" s="10">
        <v>2.3758875527152501</v>
      </c>
      <c r="Q53" s="10">
        <v>2.3832274538003499</v>
      </c>
      <c r="R53" s="8">
        <v>116.64936894574301</v>
      </c>
      <c r="S53" s="8">
        <v>116.387090932194</v>
      </c>
      <c r="T53" s="8">
        <v>116.74668016769</v>
      </c>
      <c r="U53" s="9">
        <v>2.6556501608725799E-3</v>
      </c>
      <c r="V53" s="9">
        <v>4.0468802019090602E-4</v>
      </c>
      <c r="W53" s="9">
        <v>3.4895222675800299E-3</v>
      </c>
      <c r="X53" s="10">
        <v>2.38750663671635</v>
      </c>
      <c r="Y53" s="10">
        <v>2.3818827909075999</v>
      </c>
      <c r="Z53" s="10">
        <v>2.37822682262783</v>
      </c>
      <c r="AA53" s="10">
        <v>2.3843970887566401</v>
      </c>
      <c r="AB53" s="8">
        <v>116.640800270745</v>
      </c>
      <c r="AC53" s="8">
        <v>116.44402497981299</v>
      </c>
      <c r="AD53" s="8">
        <v>116.775147191499</v>
      </c>
      <c r="AE53" s="9">
        <v>-2.35830959101663E-3</v>
      </c>
      <c r="AF53" s="9">
        <v>-4.0467535939100203E-3</v>
      </c>
      <c r="AG53" s="9">
        <v>-1.2071720012305301E-3</v>
      </c>
      <c r="AZ53" s="9"/>
      <c r="BB53">
        <f t="shared" si="2"/>
        <v>1</v>
      </c>
      <c r="BC53">
        <f t="shared" si="3"/>
        <v>0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1.0237099043799745E-2</v>
      </c>
      <c r="BL53" s="9"/>
      <c r="BN53">
        <f t="shared" si="10"/>
        <v>0</v>
      </c>
      <c r="BO53">
        <f t="shared" si="11"/>
        <v>1</v>
      </c>
      <c r="BP53">
        <f t="shared" si="12"/>
        <v>1</v>
      </c>
      <c r="BQ53">
        <f t="shared" si="1"/>
        <v>1</v>
      </c>
      <c r="BR53">
        <f t="shared" si="13"/>
        <v>1</v>
      </c>
      <c r="BS53" s="9">
        <f t="shared" si="14"/>
        <v>1.19761910467157E-2</v>
      </c>
      <c r="BT53" s="9">
        <f t="shared" si="15"/>
        <v>-8.5587650150983595E-3</v>
      </c>
      <c r="BU53" s="9">
        <f t="shared" si="16"/>
        <v>3.4174260316173401E-3</v>
      </c>
      <c r="BV53" s="12">
        <f t="shared" si="17"/>
        <v>-6.9238753757831784E-4</v>
      </c>
      <c r="BX53" s="12">
        <f t="shared" si="18"/>
        <v>3.4174260316173401E-3</v>
      </c>
      <c r="BY53" s="12">
        <f t="shared" si="19"/>
        <v>9.5447115062214268E-3</v>
      </c>
    </row>
    <row r="54" spans="1:77" x14ac:dyDescent="0.3">
      <c r="A54" s="1">
        <v>46100</v>
      </c>
      <c r="B54" s="8">
        <v>48.99</v>
      </c>
      <c r="C54" s="8">
        <v>116.32</v>
      </c>
      <c r="D54" s="9">
        <v>4.0832993625748698E-4</v>
      </c>
      <c r="E54" s="9">
        <v>-1.71924697406326E-4</v>
      </c>
      <c r="F54" s="8">
        <v>0</v>
      </c>
      <c r="G54" s="8">
        <v>0</v>
      </c>
      <c r="H54" s="8">
        <v>0</v>
      </c>
      <c r="I54" s="8">
        <v>0.57620000000000005</v>
      </c>
      <c r="J54" s="8">
        <v>0</v>
      </c>
      <c r="K54" s="8">
        <v>0.57620000000000005</v>
      </c>
      <c r="L54" s="8">
        <v>48.99</v>
      </c>
      <c r="M54" s="8">
        <v>116.89619999999999</v>
      </c>
      <c r="N54" s="10">
        <v>2.3743621147172802</v>
      </c>
      <c r="O54" s="10">
        <v>2.3820577689553399</v>
      </c>
      <c r="P54" s="10">
        <v>2.3751820503474401</v>
      </c>
      <c r="Q54" s="10">
        <v>2.3823290686445602</v>
      </c>
      <c r="R54" s="8">
        <v>116.697010101122</v>
      </c>
      <c r="S54" s="8">
        <v>116.39473120752</v>
      </c>
      <c r="T54" s="8">
        <v>116.75431296167901</v>
      </c>
      <c r="U54" s="9">
        <v>3.2359047945362302E-3</v>
      </c>
      <c r="V54" s="9">
        <v>6.4225594745639404E-4</v>
      </c>
      <c r="W54" s="9">
        <v>3.7268239373915899E-3</v>
      </c>
      <c r="X54" s="10">
        <v>2.38612369871402</v>
      </c>
      <c r="Y54" s="10">
        <v>2.3818827909075999</v>
      </c>
      <c r="Z54" s="10">
        <v>2.3786974786596899</v>
      </c>
      <c r="AA54" s="10">
        <v>2.38408678280069</v>
      </c>
      <c r="AB54" s="8">
        <v>116.688437926563</v>
      </c>
      <c r="AC54" s="8">
        <v>116.509332040537</v>
      </c>
      <c r="AD54" s="8">
        <v>116.811613378188</v>
      </c>
      <c r="AE54" s="9">
        <v>-1.77890232910146E-3</v>
      </c>
      <c r="AF54" s="9">
        <v>-3.3149883840286202E-3</v>
      </c>
      <c r="AG54" s="9">
        <v>-7.2386647483116797E-4</v>
      </c>
      <c r="AZ54" s="9"/>
      <c r="BB54">
        <f t="shared" si="2"/>
        <v>0</v>
      </c>
      <c r="BC54">
        <f t="shared" si="3"/>
        <v>0</v>
      </c>
      <c r="BD54">
        <f t="shared" si="4"/>
        <v>1</v>
      </c>
      <c r="BE54">
        <f t="shared" si="0"/>
        <v>1</v>
      </c>
      <c r="BF54">
        <f t="shared" si="5"/>
        <v>1</v>
      </c>
      <c r="BG54" s="9">
        <f t="shared" si="6"/>
        <v>4.0832993625748698E-4</v>
      </c>
      <c r="BH54" s="9">
        <f t="shared" si="7"/>
        <v>1.71924697406326E-4</v>
      </c>
      <c r="BI54" s="9">
        <f t="shared" si="8"/>
        <v>5.8025463366381293E-4</v>
      </c>
      <c r="BJ54" s="12">
        <f t="shared" si="9"/>
        <v>1.0817353677463558E-2</v>
      </c>
      <c r="BL54" s="9"/>
      <c r="BN54">
        <f t="shared" si="10"/>
        <v>0</v>
      </c>
      <c r="BO54">
        <f t="shared" si="11"/>
        <v>1</v>
      </c>
      <c r="BP54">
        <f t="shared" si="12"/>
        <v>0</v>
      </c>
      <c r="BQ54">
        <f t="shared" si="1"/>
        <v>1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-6.9238753757831784E-4</v>
      </c>
      <c r="BX54" s="12">
        <f t="shared" si="18"/>
        <v>5.8025463366381293E-4</v>
      </c>
      <c r="BY54" s="12">
        <f t="shared" si="19"/>
        <v>1.012496613988524E-2</v>
      </c>
    </row>
    <row r="55" spans="1:77" x14ac:dyDescent="0.3">
      <c r="A55" s="1">
        <v>46101</v>
      </c>
      <c r="B55" s="8">
        <v>49.08</v>
      </c>
      <c r="C55" s="8">
        <v>116.24</v>
      </c>
      <c r="D55" s="9">
        <v>1.8354241922271799E-3</v>
      </c>
      <c r="E55" s="9">
        <v>-6.87994523181751E-4</v>
      </c>
      <c r="F55" s="8">
        <v>0</v>
      </c>
      <c r="G55" s="8">
        <v>0</v>
      </c>
      <c r="H55" s="8">
        <v>0</v>
      </c>
      <c r="I55" s="8">
        <v>0.57620000000000005</v>
      </c>
      <c r="J55" s="8">
        <v>0</v>
      </c>
      <c r="K55" s="8">
        <v>0.57620000000000005</v>
      </c>
      <c r="L55" s="8">
        <v>49.08</v>
      </c>
      <c r="M55" s="8">
        <v>116.81619999999999</v>
      </c>
      <c r="N55" s="10">
        <v>2.3683781581091998</v>
      </c>
      <c r="O55" s="10">
        <v>2.3820577689553399</v>
      </c>
      <c r="P55" s="10">
        <v>2.3744086342026498</v>
      </c>
      <c r="Q55" s="10">
        <v>2.3813538062318602</v>
      </c>
      <c r="R55" s="8">
        <v>116.911395300328</v>
      </c>
      <c r="S55" s="8">
        <v>116.573935031052</v>
      </c>
      <c r="T55" s="8">
        <v>116.924710689075</v>
      </c>
      <c r="U55" s="9">
        <v>5.7593235099452E-3</v>
      </c>
      <c r="V55" s="9">
        <v>2.8686879074835501E-3</v>
      </c>
      <c r="W55" s="9">
        <v>5.8732100178057996E-3</v>
      </c>
      <c r="X55" s="10">
        <v>2.38011817440912</v>
      </c>
      <c r="Y55" s="10">
        <v>2.3818827909075999</v>
      </c>
      <c r="Z55" s="10">
        <v>2.3790980641449</v>
      </c>
      <c r="AA55" s="10">
        <v>2.38369852120299</v>
      </c>
      <c r="AB55" s="8">
        <v>116.90280737774501</v>
      </c>
      <c r="AC55" s="8">
        <v>116.746472252617</v>
      </c>
      <c r="AD55" s="8">
        <v>117.010979299857</v>
      </c>
      <c r="AE55" s="9">
        <v>7.4112399056543003E-4</v>
      </c>
      <c r="AF55" s="9">
        <v>-5.9707956567909995E-4</v>
      </c>
      <c r="AG55" s="9">
        <v>1.66601115827032E-3</v>
      </c>
      <c r="AZ55" s="9"/>
      <c r="BB55">
        <f t="shared" si="2"/>
        <v>0</v>
      </c>
      <c r="BC55">
        <f t="shared" si="3"/>
        <v>1</v>
      </c>
      <c r="BD55">
        <f t="shared" si="4"/>
        <v>1</v>
      </c>
      <c r="BE55">
        <f t="shared" si="0"/>
        <v>0</v>
      </c>
      <c r="BF55">
        <f t="shared" si="5"/>
        <v>1</v>
      </c>
      <c r="BG55" s="9">
        <f t="shared" si="6"/>
        <v>1.8354241922271799E-3</v>
      </c>
      <c r="BH55" s="9">
        <f t="shared" si="7"/>
        <v>6.87994523181751E-4</v>
      </c>
      <c r="BI55" s="9">
        <f t="shared" si="8"/>
        <v>2.5234187154089308E-3</v>
      </c>
      <c r="BJ55" s="12">
        <f t="shared" si="9"/>
        <v>1.3340772392872489E-2</v>
      </c>
      <c r="BL55" s="9"/>
      <c r="BN55">
        <f t="shared" si="10"/>
        <v>0</v>
      </c>
      <c r="BO55">
        <f t="shared" si="11"/>
        <v>0</v>
      </c>
      <c r="BP55">
        <f t="shared" si="12"/>
        <v>0</v>
      </c>
      <c r="BQ55">
        <f t="shared" si="1"/>
        <v>0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-6.9238753757831784E-4</v>
      </c>
      <c r="BX55" s="12">
        <f t="shared" si="18"/>
        <v>2.5234187154089308E-3</v>
      </c>
      <c r="BY55" s="12">
        <f t="shared" si="19"/>
        <v>1.2648384855294171E-2</v>
      </c>
    </row>
    <row r="56" spans="1:77" x14ac:dyDescent="0.3">
      <c r="A56" s="1">
        <v>46104</v>
      </c>
      <c r="B56" s="8">
        <v>49.27</v>
      </c>
      <c r="C56" s="8">
        <v>117.27</v>
      </c>
      <c r="D56" s="9">
        <v>3.8637567131611099E-3</v>
      </c>
      <c r="E56" s="9">
        <v>8.8219492109457599E-3</v>
      </c>
      <c r="F56" s="8">
        <v>0.2515</v>
      </c>
      <c r="G56" s="8">
        <v>0.2515</v>
      </c>
      <c r="H56" s="8">
        <v>0</v>
      </c>
      <c r="I56" s="8">
        <v>0.57620000000000005</v>
      </c>
      <c r="J56" s="8">
        <v>0.2515</v>
      </c>
      <c r="K56" s="8">
        <v>0.57620000000000005</v>
      </c>
      <c r="L56" s="8">
        <v>49.521500000000003</v>
      </c>
      <c r="M56" s="8">
        <v>117.8462</v>
      </c>
      <c r="N56" s="10">
        <v>2.3801501928150999</v>
      </c>
      <c r="O56" s="10">
        <v>2.3820577689553399</v>
      </c>
      <c r="P56" s="10">
        <v>2.3747721533848201</v>
      </c>
      <c r="Q56" s="10">
        <v>2.3804421359002199</v>
      </c>
      <c r="R56" s="8">
        <v>117.363986276429</v>
      </c>
      <c r="S56" s="8">
        <v>116.987113407164</v>
      </c>
      <c r="T56" s="8">
        <v>117.329302033044</v>
      </c>
      <c r="U56" s="9">
        <v>8.0113101216056396E-4</v>
      </c>
      <c r="V56" s="9">
        <v>-2.4151815603759802E-3</v>
      </c>
      <c r="W56" s="9">
        <v>5.0556019385698901E-4</v>
      </c>
      <c r="X56" s="10">
        <v>2.3796977070565299</v>
      </c>
      <c r="Y56" s="10">
        <v>2.3818827909075999</v>
      </c>
      <c r="Z56" s="10">
        <v>2.3794163347512098</v>
      </c>
      <c r="AA56" s="10">
        <v>2.3827642265834101</v>
      </c>
      <c r="AB56" s="8">
        <v>117.95440862993</v>
      </c>
      <c r="AC56" s="8">
        <v>117.816504783551</v>
      </c>
      <c r="AD56" s="8">
        <v>118.044326317753</v>
      </c>
      <c r="AE56" s="9">
        <v>9.1779777970432902E-4</v>
      </c>
      <c r="AF56" s="9">
        <v>-2.52014561512165E-4</v>
      </c>
      <c r="AG56" s="9">
        <v>1.6798162048792199E-3</v>
      </c>
      <c r="AZ56" s="9"/>
      <c r="BB56">
        <f t="shared" si="2"/>
        <v>0</v>
      </c>
      <c r="BC56">
        <f t="shared" si="3"/>
        <v>1</v>
      </c>
      <c r="BD56">
        <f t="shared" si="4"/>
        <v>0</v>
      </c>
      <c r="BE56">
        <f t="shared" si="0"/>
        <v>1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1.3340772392872489E-2</v>
      </c>
      <c r="BL56" s="9"/>
      <c r="BN56">
        <f t="shared" si="10"/>
        <v>0</v>
      </c>
      <c r="BO56">
        <f t="shared" si="11"/>
        <v>0</v>
      </c>
      <c r="BP56">
        <f t="shared" si="12"/>
        <v>0</v>
      </c>
      <c r="BQ56">
        <f t="shared" si="1"/>
        <v>1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-6.9238753757831784E-4</v>
      </c>
      <c r="BX56" s="12">
        <f t="shared" si="18"/>
        <v>0</v>
      </c>
      <c r="BY56" s="12">
        <f t="shared" si="19"/>
        <v>1.2648384855294171E-2</v>
      </c>
    </row>
    <row r="57" spans="1:77" x14ac:dyDescent="0.3">
      <c r="A57" s="1">
        <v>46105</v>
      </c>
      <c r="B57" s="8">
        <v>49.28</v>
      </c>
      <c r="C57" s="8">
        <v>117.32</v>
      </c>
      <c r="D57" s="9">
        <v>2.0294266939266701E-4</v>
      </c>
      <c r="E57" s="9">
        <v>4.2627563627709399E-4</v>
      </c>
      <c r="F57" s="8">
        <v>0</v>
      </c>
      <c r="G57" s="8">
        <v>0.2515</v>
      </c>
      <c r="H57" s="8">
        <v>0</v>
      </c>
      <c r="I57" s="8">
        <v>0.57620000000000005</v>
      </c>
      <c r="J57" s="8">
        <v>0.2515</v>
      </c>
      <c r="K57" s="8">
        <v>0.57620000000000005</v>
      </c>
      <c r="L57" s="8">
        <v>49.531500000000001</v>
      </c>
      <c r="M57" s="8">
        <v>117.89619999999999</v>
      </c>
      <c r="N57" s="10">
        <v>2.3806818181818099</v>
      </c>
      <c r="O57" s="10">
        <v>2.3820577689553399</v>
      </c>
      <c r="P57" s="10">
        <v>2.3751255928937698</v>
      </c>
      <c r="Q57" s="10">
        <v>2.3794781883628602</v>
      </c>
      <c r="R57" s="8">
        <v>117.38780685411901</v>
      </c>
      <c r="S57" s="8">
        <v>117.02877171880399</v>
      </c>
      <c r="T57" s="8">
        <v>117.308188457162</v>
      </c>
      <c r="U57" s="9">
        <v>5.7779804527598297E-4</v>
      </c>
      <c r="V57" s="9">
        <v>-2.4854274163946199E-3</v>
      </c>
      <c r="W57" s="9">
        <v>-1.00683067322668E-4</v>
      </c>
      <c r="X57" s="10">
        <v>2.3802267244077</v>
      </c>
      <c r="Y57" s="10">
        <v>2.3818827909075999</v>
      </c>
      <c r="Z57" s="10">
        <v>2.3797242648827499</v>
      </c>
      <c r="AA57" s="10">
        <v>2.38177752435735</v>
      </c>
      <c r="AB57" s="8">
        <v>117.978227457839</v>
      </c>
      <c r="AC57" s="8">
        <v>117.856060184729</v>
      </c>
      <c r="AD57" s="8">
        <v>118.021886289016</v>
      </c>
      <c r="AE57" s="9">
        <v>6.9551805196324404E-4</v>
      </c>
      <c r="AF57" s="9">
        <v>-3.4052539413044101E-4</v>
      </c>
      <c r="AG57" s="9">
        <v>1.0655079725722101E-3</v>
      </c>
      <c r="AZ57" s="9"/>
      <c r="BB57">
        <f t="shared" si="2"/>
        <v>0</v>
      </c>
      <c r="BC57">
        <f t="shared" si="3"/>
        <v>1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1.3340772392872489E-2</v>
      </c>
      <c r="BL57" s="9"/>
      <c r="BN57">
        <f t="shared" si="10"/>
        <v>0</v>
      </c>
      <c r="BO57">
        <f t="shared" si="11"/>
        <v>0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-6.9238753757831784E-4</v>
      </c>
      <c r="BX57" s="12">
        <f t="shared" si="18"/>
        <v>0</v>
      </c>
      <c r="BY57" s="12">
        <f t="shared" si="19"/>
        <v>1.2648384855294171E-2</v>
      </c>
    </row>
    <row r="58" spans="1:77" x14ac:dyDescent="0.3">
      <c r="A58" s="1">
        <v>46106</v>
      </c>
      <c r="B58" s="8">
        <v>49.34</v>
      </c>
      <c r="C58" s="8">
        <v>117.41</v>
      </c>
      <c r="D58" s="9">
        <v>1.21679187594636E-3</v>
      </c>
      <c r="E58" s="9">
        <v>7.6683853287013901E-4</v>
      </c>
      <c r="F58" s="8">
        <v>0</v>
      </c>
      <c r="G58" s="8">
        <v>0.2515</v>
      </c>
      <c r="H58" s="8">
        <v>0</v>
      </c>
      <c r="I58" s="8">
        <v>0.57620000000000005</v>
      </c>
      <c r="J58" s="8">
        <v>0.2515</v>
      </c>
      <c r="K58" s="8">
        <v>0.57620000000000005</v>
      </c>
      <c r="L58" s="8">
        <v>49.591500000000003</v>
      </c>
      <c r="M58" s="8">
        <v>117.9862</v>
      </c>
      <c r="N58" s="10">
        <v>2.37961086339683</v>
      </c>
      <c r="O58" s="10">
        <v>2.3820577689553399</v>
      </c>
      <c r="P58" s="10">
        <v>2.3752744310465101</v>
      </c>
      <c r="Q58" s="10">
        <v>2.37876526710239</v>
      </c>
      <c r="R58" s="8">
        <v>117.530730320256</v>
      </c>
      <c r="S58" s="8">
        <v>117.188696753378</v>
      </c>
      <c r="T58" s="8">
        <v>117.40345381382301</v>
      </c>
      <c r="U58" s="9">
        <v>1.02775138835227E-3</v>
      </c>
      <c r="V58" s="9">
        <v>-1.88665423403583E-3</v>
      </c>
      <c r="W58" s="9">
        <v>-5.57564830442967E-5</v>
      </c>
      <c r="X58" s="10">
        <v>2.3791617515098298</v>
      </c>
      <c r="Y58" s="10">
        <v>2.3818827909075999</v>
      </c>
      <c r="Z58" s="10">
        <v>2.3798281918467801</v>
      </c>
      <c r="AA58" s="10">
        <v>2.3810421475025301</v>
      </c>
      <c r="AB58" s="8">
        <v>118.121140425294</v>
      </c>
      <c r="AC58" s="8">
        <v>118.01409588193199</v>
      </c>
      <c r="AD58" s="8">
        <v>118.115920099167</v>
      </c>
      <c r="AE58" s="9">
        <v>1.14304315777342E-3</v>
      </c>
      <c r="AF58" s="9">
        <v>2.36405483803875E-4</v>
      </c>
      <c r="AG58" s="9">
        <v>1.0988475001052699E-3</v>
      </c>
      <c r="AZ58" s="9"/>
      <c r="BB58">
        <f t="shared" si="2"/>
        <v>0</v>
      </c>
      <c r="BC58">
        <f t="shared" si="3"/>
        <v>1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1.3340772392872489E-2</v>
      </c>
      <c r="BL58" s="9"/>
      <c r="BN58">
        <f t="shared" si="10"/>
        <v>0</v>
      </c>
      <c r="BO58">
        <f t="shared" si="11"/>
        <v>0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-6.9238753757831784E-4</v>
      </c>
      <c r="BX58" s="12">
        <f t="shared" si="18"/>
        <v>0</v>
      </c>
      <c r="BY58" s="12">
        <f t="shared" si="19"/>
        <v>1.2648384855294171E-2</v>
      </c>
    </row>
    <row r="59" spans="1:77" x14ac:dyDescent="0.3">
      <c r="A59" s="1">
        <v>46107</v>
      </c>
      <c r="B59" s="8">
        <v>49.05</v>
      </c>
      <c r="C59" s="8">
        <v>116.71</v>
      </c>
      <c r="D59" s="9">
        <v>-5.89492508983869E-3</v>
      </c>
      <c r="E59" s="9">
        <v>-5.9798572178581802E-3</v>
      </c>
      <c r="F59" s="8">
        <v>0</v>
      </c>
      <c r="G59" s="8">
        <v>0.2515</v>
      </c>
      <c r="H59" s="8">
        <v>0</v>
      </c>
      <c r="I59" s="8">
        <v>0.57620000000000005</v>
      </c>
      <c r="J59" s="8">
        <v>0.2515</v>
      </c>
      <c r="K59" s="8">
        <v>0.57620000000000005</v>
      </c>
      <c r="L59" s="8">
        <v>49.301499999999997</v>
      </c>
      <c r="M59" s="8">
        <v>117.28619999999999</v>
      </c>
      <c r="N59" s="10">
        <v>2.3794087665647199</v>
      </c>
      <c r="O59" s="10">
        <v>2.3820577689553399</v>
      </c>
      <c r="P59" s="10">
        <v>2.3754516378278998</v>
      </c>
      <c r="Q59" s="10">
        <v>2.3780595149544399</v>
      </c>
      <c r="R59" s="8">
        <v>116.839933567259</v>
      </c>
      <c r="S59" s="8">
        <v>116.507210842831</v>
      </c>
      <c r="T59" s="8">
        <v>116.678436351372</v>
      </c>
      <c r="U59" s="9">
        <v>1.1126835163716201E-3</v>
      </c>
      <c r="V59" s="9">
        <v>-1.7390586873417E-3</v>
      </c>
      <c r="W59" s="9">
        <v>-2.7048168549629101E-4</v>
      </c>
      <c r="X59" s="10">
        <v>2.3789580438728999</v>
      </c>
      <c r="Y59" s="10">
        <v>2.3818827909075999</v>
      </c>
      <c r="Z59" s="10">
        <v>2.3799603263589999</v>
      </c>
      <c r="AA59" s="10">
        <v>2.3803138592199899</v>
      </c>
      <c r="AB59" s="8">
        <v>117.430394415931</v>
      </c>
      <c r="AC59" s="8">
        <v>117.329099600334</v>
      </c>
      <c r="AD59" s="8">
        <v>117.38894943509599</v>
      </c>
      <c r="AE59" s="9">
        <v>1.22866842397753E-3</v>
      </c>
      <c r="AF59" s="9">
        <v>3.6570164763912702E-4</v>
      </c>
      <c r="AG59" s="9">
        <v>8.7567381471205096E-4</v>
      </c>
      <c r="AZ59" s="9"/>
      <c r="BB59">
        <f t="shared" si="2"/>
        <v>0</v>
      </c>
      <c r="BC59">
        <f t="shared" si="3"/>
        <v>1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1.3340772392872489E-2</v>
      </c>
      <c r="BL59" s="9"/>
      <c r="BN59">
        <f t="shared" si="10"/>
        <v>0</v>
      </c>
      <c r="BO59">
        <f t="shared" si="11"/>
        <v>0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-6.9238753757831784E-4</v>
      </c>
      <c r="BX59" s="12">
        <f t="shared" si="18"/>
        <v>0</v>
      </c>
      <c r="BY59" s="12">
        <f t="shared" si="19"/>
        <v>1.2648384855294171E-2</v>
      </c>
    </row>
    <row r="60" spans="1:77" x14ac:dyDescent="0.3">
      <c r="A60" s="1">
        <v>46108</v>
      </c>
      <c r="B60" s="8">
        <v>47.81</v>
      </c>
      <c r="C60" s="8">
        <v>113.98</v>
      </c>
      <c r="D60" s="9">
        <v>-2.5605363373360002E-2</v>
      </c>
      <c r="E60" s="9">
        <v>-2.3669231017408698E-2</v>
      </c>
      <c r="F60" s="8">
        <v>0</v>
      </c>
      <c r="G60" s="8">
        <v>0.2515</v>
      </c>
      <c r="H60" s="8">
        <v>0</v>
      </c>
      <c r="I60" s="8">
        <v>0.57620000000000005</v>
      </c>
      <c r="J60" s="8">
        <v>0.2515</v>
      </c>
      <c r="K60" s="8">
        <v>0.57620000000000005</v>
      </c>
      <c r="L60" s="8">
        <v>48.061500000000002</v>
      </c>
      <c r="M60" s="8">
        <v>114.5562</v>
      </c>
      <c r="N60" s="10">
        <v>2.3840200794812798</v>
      </c>
      <c r="O60" s="10">
        <v>2.3820577689553399</v>
      </c>
      <c r="P60" s="10">
        <v>2.3764226782980198</v>
      </c>
      <c r="Q60" s="10">
        <v>2.3780596633967099</v>
      </c>
      <c r="R60" s="8">
        <v>113.886181933754</v>
      </c>
      <c r="S60" s="8">
        <v>113.570342804552</v>
      </c>
      <c r="T60" s="8">
        <v>113.695025409971</v>
      </c>
      <c r="U60" s="9">
        <v>-8.2344883957958105E-4</v>
      </c>
      <c r="V60" s="9">
        <v>-3.60058906502283E-3</v>
      </c>
      <c r="W60" s="9">
        <v>-2.5033464986931099E-3</v>
      </c>
      <c r="X60" s="10">
        <v>2.3835335975780998</v>
      </c>
      <c r="Y60" s="10">
        <v>2.3818827909075999</v>
      </c>
      <c r="Z60" s="10">
        <v>2.3808827186388002</v>
      </c>
      <c r="AA60" s="10">
        <v>2.3802896835671001</v>
      </c>
      <c r="AB60" s="8">
        <v>114.476859755205</v>
      </c>
      <c r="AC60" s="8">
        <v>114.38446322530299</v>
      </c>
      <c r="AD60" s="8">
        <v>114.401454544901</v>
      </c>
      <c r="AE60" s="9">
        <v>-6.9282790923436599E-4</v>
      </c>
      <c r="AF60" s="9">
        <v>-1.5002735162006301E-3</v>
      </c>
      <c r="AG60" s="9">
        <v>-1.3517388529209801E-3</v>
      </c>
      <c r="AZ60" s="9"/>
      <c r="BB60">
        <f t="shared" si="2"/>
        <v>1</v>
      </c>
      <c r="BC60">
        <f t="shared" si="3"/>
        <v>0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1.3340772392872489E-2</v>
      </c>
      <c r="BL60" s="9"/>
      <c r="BN60">
        <f t="shared" si="10"/>
        <v>0</v>
      </c>
      <c r="BO60">
        <f t="shared" si="11"/>
        <v>1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-6.9238753757831784E-4</v>
      </c>
      <c r="BX60" s="12">
        <f t="shared" si="18"/>
        <v>0</v>
      </c>
      <c r="BY60" s="12">
        <f t="shared" si="19"/>
        <v>1.2648384855294171E-2</v>
      </c>
    </row>
    <row r="61" spans="1:77" x14ac:dyDescent="0.3">
      <c r="A61" s="1">
        <v>46111</v>
      </c>
      <c r="B61" s="8">
        <v>48.36</v>
      </c>
      <c r="C61" s="8">
        <v>115.05</v>
      </c>
      <c r="D61" s="9">
        <v>1.1438203108579801E-2</v>
      </c>
      <c r="E61" s="9">
        <v>9.3438220745212294E-3</v>
      </c>
      <c r="F61" s="8">
        <v>0</v>
      </c>
      <c r="G61" s="8">
        <v>0.2515</v>
      </c>
      <c r="H61" s="8">
        <v>0</v>
      </c>
      <c r="I61" s="8">
        <v>0.57620000000000005</v>
      </c>
      <c r="J61" s="8">
        <v>0.2515</v>
      </c>
      <c r="K61" s="8">
        <v>0.57620000000000005</v>
      </c>
      <c r="L61" s="8">
        <v>48.611499999999999</v>
      </c>
      <c r="M61" s="8">
        <v>115.6262</v>
      </c>
      <c r="N61" s="10">
        <v>2.3790322580645098</v>
      </c>
      <c r="O61" s="10">
        <v>2.3820577689553399</v>
      </c>
      <c r="P61" s="10">
        <v>2.3769019690131898</v>
      </c>
      <c r="Q61" s="10">
        <v>2.3775765784441898</v>
      </c>
      <c r="R61" s="8">
        <v>115.19631370668</v>
      </c>
      <c r="S61" s="8">
        <v>114.923800722492</v>
      </c>
      <c r="T61" s="8">
        <v>115.00296532186501</v>
      </c>
      <c r="U61" s="9">
        <v>1.27093219447898E-3</v>
      </c>
      <c r="V61" s="9">
        <v>-1.0975101492305499E-3</v>
      </c>
      <c r="W61" s="9">
        <v>-4.0890304303909601E-4</v>
      </c>
      <c r="X61" s="10">
        <v>2.3785770856690198</v>
      </c>
      <c r="Y61" s="10">
        <v>2.3818827909075999</v>
      </c>
      <c r="Z61" s="10">
        <v>2.3813164921144199</v>
      </c>
      <c r="AA61" s="10">
        <v>2.3797838399948001</v>
      </c>
      <c r="AB61" s="8">
        <v>115.786895290204</v>
      </c>
      <c r="AC61" s="8">
        <v>115.73828027710999</v>
      </c>
      <c r="AD61" s="8">
        <v>115.70945195272201</v>
      </c>
      <c r="AE61" s="9">
        <v>1.38881782668991E-3</v>
      </c>
      <c r="AF61" s="9">
        <v>9.68863377328266E-4</v>
      </c>
      <c r="AG61" s="9">
        <v>7.1975033345327304E-4</v>
      </c>
      <c r="AZ61" s="9"/>
      <c r="BB61">
        <f t="shared" si="2"/>
        <v>0</v>
      </c>
      <c r="BC61">
        <f t="shared" si="3"/>
        <v>1</v>
      </c>
      <c r="BD61">
        <f t="shared" si="4"/>
        <v>1</v>
      </c>
      <c r="BE61">
        <f t="shared" si="0"/>
        <v>1</v>
      </c>
      <c r="BF61">
        <f t="shared" si="5"/>
        <v>1</v>
      </c>
      <c r="BG61" s="9">
        <f t="shared" si="6"/>
        <v>1.1438203108579801E-2</v>
      </c>
      <c r="BH61" s="9">
        <f t="shared" si="7"/>
        <v>-9.3438220745212294E-3</v>
      </c>
      <c r="BI61" s="9">
        <f t="shared" si="8"/>
        <v>2.0943810340585713E-3</v>
      </c>
      <c r="BJ61" s="12">
        <f t="shared" si="9"/>
        <v>1.543515342693106E-2</v>
      </c>
      <c r="BL61" s="9"/>
      <c r="BN61">
        <f t="shared" si="10"/>
        <v>0</v>
      </c>
      <c r="BO61">
        <f t="shared" si="11"/>
        <v>0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-6.9238753757831784E-4</v>
      </c>
      <c r="BX61" s="12">
        <f t="shared" si="18"/>
        <v>2.0943810340585713E-3</v>
      </c>
      <c r="BY61" s="12">
        <f t="shared" si="19"/>
        <v>1.4742765889352742E-2</v>
      </c>
    </row>
    <row r="62" spans="1:77" x14ac:dyDescent="0.3">
      <c r="A62" s="1">
        <v>46112</v>
      </c>
      <c r="B62" s="8">
        <v>49.37</v>
      </c>
      <c r="C62" s="8">
        <v>117.66</v>
      </c>
      <c r="D62" s="9">
        <v>2.06699265241795E-2</v>
      </c>
      <c r="E62" s="9">
        <v>2.2432292954934901E-2</v>
      </c>
      <c r="F62" s="8">
        <v>0</v>
      </c>
      <c r="G62" s="8">
        <v>0.2515</v>
      </c>
      <c r="H62" s="8">
        <v>0</v>
      </c>
      <c r="I62" s="8">
        <v>0.57620000000000005</v>
      </c>
      <c r="J62" s="8">
        <v>0.2515</v>
      </c>
      <c r="K62" s="8">
        <v>0.57620000000000005</v>
      </c>
      <c r="L62" s="8">
        <v>49.621499999999997</v>
      </c>
      <c r="M62" s="8">
        <v>118.2362</v>
      </c>
      <c r="N62" s="10">
        <v>2.3832286813854502</v>
      </c>
      <c r="O62" s="10">
        <v>2.3820577689553399</v>
      </c>
      <c r="P62" s="10">
        <v>2.3784613181848302</v>
      </c>
      <c r="Q62" s="10">
        <v>2.3775815977507202</v>
      </c>
      <c r="R62" s="8">
        <v>117.602192053325</v>
      </c>
      <c r="S62" s="8">
        <v>117.347650210181</v>
      </c>
      <c r="T62" s="8">
        <v>117.380955677789</v>
      </c>
      <c r="U62" s="9">
        <v>-4.9143423627638302E-4</v>
      </c>
      <c r="V62" s="9">
        <v>-2.6582111132398899E-3</v>
      </c>
      <c r="W62" s="9">
        <v>-2.3744325962957299E-3</v>
      </c>
      <c r="X62" s="10">
        <v>2.3827615045897401</v>
      </c>
      <c r="Y62" s="10">
        <v>2.3818827909075999</v>
      </c>
      <c r="Z62" s="10">
        <v>2.3816664924523301</v>
      </c>
      <c r="AA62" s="10">
        <v>2.3797655004615499</v>
      </c>
      <c r="AB62" s="8">
        <v>118.19259690902101</v>
      </c>
      <c r="AC62" s="8">
        <v>118.164496313456</v>
      </c>
      <c r="AD62" s="8">
        <v>118.088443816302</v>
      </c>
      <c r="AE62" s="9">
        <v>-3.6884755192883998E-4</v>
      </c>
      <c r="AF62" s="9">
        <v>-6.0662840559330797E-4</v>
      </c>
      <c r="AG62" s="9">
        <v>-1.2504510791992299E-3</v>
      </c>
      <c r="AZ62" s="9"/>
      <c r="BB62">
        <f t="shared" si="2"/>
        <v>1</v>
      </c>
      <c r="BC62">
        <f t="shared" si="3"/>
        <v>0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1.543515342693106E-2</v>
      </c>
      <c r="BL62" s="9"/>
      <c r="BN62">
        <f t="shared" si="10"/>
        <v>0</v>
      </c>
      <c r="BO62">
        <f t="shared" si="11"/>
        <v>1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-6.9238753757831784E-4</v>
      </c>
      <c r="BX62" s="12">
        <f t="shared" si="18"/>
        <v>0</v>
      </c>
      <c r="BY62" s="12">
        <f t="shared" si="19"/>
        <v>1.4742765889352742E-2</v>
      </c>
    </row>
    <row r="63" spans="1:77" x14ac:dyDescent="0.3">
      <c r="A63" s="1">
        <v>46113</v>
      </c>
      <c r="B63" s="8">
        <v>49.44</v>
      </c>
      <c r="C63" s="8">
        <v>118.06</v>
      </c>
      <c r="D63" s="9">
        <v>1.4168608786639201E-3</v>
      </c>
      <c r="E63" s="9">
        <v>3.3938603762334401E-3</v>
      </c>
      <c r="F63" s="8">
        <v>0</v>
      </c>
      <c r="G63" s="8">
        <v>0.2515</v>
      </c>
      <c r="H63" s="8">
        <v>0</v>
      </c>
      <c r="I63" s="8">
        <v>0.57620000000000005</v>
      </c>
      <c r="J63" s="8">
        <v>0.2515</v>
      </c>
      <c r="K63" s="8">
        <v>0.57620000000000005</v>
      </c>
      <c r="L63" s="8">
        <v>49.691499999999998</v>
      </c>
      <c r="M63" s="8">
        <v>118.6362</v>
      </c>
      <c r="N63" s="10">
        <v>2.3879449838187701</v>
      </c>
      <c r="O63" s="10">
        <v>2.3820577689553399</v>
      </c>
      <c r="P63" s="10">
        <v>2.3796817916534998</v>
      </c>
      <c r="Q63" s="10">
        <v>2.3777846721843798</v>
      </c>
      <c r="R63" s="8">
        <v>117.76893609715199</v>
      </c>
      <c r="S63" s="8">
        <v>117.591127571058</v>
      </c>
      <c r="T63" s="8">
        <v>117.547634192795</v>
      </c>
      <c r="U63" s="9">
        <v>-2.4684337338461001E-3</v>
      </c>
      <c r="V63" s="9">
        <v>-3.9793830185304597E-3</v>
      </c>
      <c r="W63" s="9">
        <v>-4.3493209941523501E-3</v>
      </c>
      <c r="X63" s="10">
        <v>2.3874545948502202</v>
      </c>
      <c r="Y63" s="10">
        <v>2.3818827909075999</v>
      </c>
      <c r="Z63" s="10">
        <v>2.38166128826572</v>
      </c>
      <c r="AA63" s="10">
        <v>2.3799440554467801</v>
      </c>
      <c r="AB63" s="8">
        <v>118.35932870438501</v>
      </c>
      <c r="AC63" s="8">
        <v>118.348580509695</v>
      </c>
      <c r="AD63" s="8">
        <v>118.254117366185</v>
      </c>
      <c r="AE63" s="9">
        <v>-2.3365117737740001E-3</v>
      </c>
      <c r="AF63" s="9">
        <v>-2.4273257624830001E-3</v>
      </c>
      <c r="AG63" s="9">
        <v>-3.22582171690125E-3</v>
      </c>
      <c r="AZ63" s="9"/>
      <c r="BB63">
        <f t="shared" si="2"/>
        <v>1</v>
      </c>
      <c r="BC63">
        <f t="shared" si="3"/>
        <v>0</v>
      </c>
      <c r="BD63">
        <f t="shared" si="4"/>
        <v>1</v>
      </c>
      <c r="BE63">
        <f t="shared" si="0"/>
        <v>1</v>
      </c>
      <c r="BF63">
        <f t="shared" si="5"/>
        <v>1</v>
      </c>
      <c r="BG63" s="9">
        <f t="shared" si="6"/>
        <v>1.4168608786639201E-3</v>
      </c>
      <c r="BH63" s="9">
        <f t="shared" si="7"/>
        <v>-3.3938603762334401E-3</v>
      </c>
      <c r="BI63" s="9">
        <f t="shared" si="8"/>
        <v>-1.97699949756952E-3</v>
      </c>
      <c r="BJ63" s="12">
        <f t="shared" si="9"/>
        <v>1.345815392936154E-2</v>
      </c>
      <c r="BL63" s="9"/>
      <c r="BN63">
        <f t="shared" si="10"/>
        <v>0</v>
      </c>
      <c r="BO63">
        <f t="shared" si="11"/>
        <v>1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-6.9238753757831784E-4</v>
      </c>
      <c r="BX63" s="12">
        <f t="shared" si="18"/>
        <v>-1.97699949756952E-3</v>
      </c>
      <c r="BY63" s="12">
        <f t="shared" si="19"/>
        <v>1.2765766391783222E-2</v>
      </c>
    </row>
    <row r="64" spans="1:77" x14ac:dyDescent="0.3">
      <c r="A64" s="1">
        <v>46114</v>
      </c>
      <c r="B64" s="8">
        <v>49.53</v>
      </c>
      <c r="C64" s="8">
        <v>118.4</v>
      </c>
      <c r="D64" s="9">
        <v>1.81873345071113E-3</v>
      </c>
      <c r="E64" s="9">
        <v>2.8757526373620898E-3</v>
      </c>
      <c r="F64" s="8">
        <v>0</v>
      </c>
      <c r="G64" s="8">
        <v>0.2515</v>
      </c>
      <c r="H64" s="8">
        <v>0</v>
      </c>
      <c r="I64" s="8">
        <v>0.57620000000000005</v>
      </c>
      <c r="J64" s="8">
        <v>0.2515</v>
      </c>
      <c r="K64" s="8">
        <v>0.57620000000000005</v>
      </c>
      <c r="L64" s="8">
        <v>49.781500000000001</v>
      </c>
      <c r="M64" s="8">
        <v>118.97620000000001</v>
      </c>
      <c r="N64" s="10">
        <v>2.3904704219664801</v>
      </c>
      <c r="O64" s="10">
        <v>2.3820577689553399</v>
      </c>
      <c r="P64" s="10">
        <v>2.3812926223784201</v>
      </c>
      <c r="Q64" s="10">
        <v>2.3782373363629299</v>
      </c>
      <c r="R64" s="8">
        <v>117.983321296358</v>
      </c>
      <c r="S64" s="8">
        <v>117.865639140597</v>
      </c>
      <c r="T64" s="8">
        <v>117.77167481329199</v>
      </c>
      <c r="U64" s="9">
        <v>-3.5254529204970298E-3</v>
      </c>
      <c r="V64" s="9">
        <v>-4.5233980910733404E-3</v>
      </c>
      <c r="W64" s="9">
        <v>-5.32093164558091E-3</v>
      </c>
      <c r="X64" s="10">
        <v>2.3899681608629701</v>
      </c>
      <c r="Y64" s="10">
        <v>2.3818827909075999</v>
      </c>
      <c r="Z64" s="10">
        <v>2.3820457344806099</v>
      </c>
      <c r="AA64" s="10">
        <v>2.3803716065701499</v>
      </c>
      <c r="AB64" s="8">
        <v>118.57369815556601</v>
      </c>
      <c r="AC64" s="8">
        <v>118.5626714218</v>
      </c>
      <c r="AD64" s="8">
        <v>118.477184996223</v>
      </c>
      <c r="AE64" s="9">
        <v>-3.3887804856740102E-3</v>
      </c>
      <c r="AF64" s="9">
        <v>-3.4817795797767899E-3</v>
      </c>
      <c r="AG64" s="9">
        <v>-4.2030627477145704E-3</v>
      </c>
      <c r="AZ64" s="9"/>
      <c r="BB64">
        <f t="shared" si="2"/>
        <v>1</v>
      </c>
      <c r="BC64">
        <f t="shared" si="3"/>
        <v>0</v>
      </c>
      <c r="BD64">
        <f t="shared" si="4"/>
        <v>1</v>
      </c>
      <c r="BE64">
        <f t="shared" si="0"/>
        <v>1</v>
      </c>
      <c r="BF64">
        <f t="shared" si="5"/>
        <v>1</v>
      </c>
      <c r="BG64" s="9">
        <f t="shared" si="6"/>
        <v>1.81873345071113E-3</v>
      </c>
      <c r="BH64" s="9">
        <f t="shared" si="7"/>
        <v>-2.8757526373620898E-3</v>
      </c>
      <c r="BI64" s="9">
        <f t="shared" si="8"/>
        <v>-1.0570191866509598E-3</v>
      </c>
      <c r="BJ64" s="12">
        <f t="shared" si="9"/>
        <v>1.240113474271058E-2</v>
      </c>
      <c r="BL64" s="9"/>
      <c r="BN64">
        <f t="shared" si="10"/>
        <v>0</v>
      </c>
      <c r="BO64">
        <f t="shared" si="11"/>
        <v>1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-6.9238753757831784E-4</v>
      </c>
      <c r="BX64" s="12">
        <f t="shared" si="18"/>
        <v>-1.0570191866509598E-3</v>
      </c>
      <c r="BY64" s="12">
        <f t="shared" si="19"/>
        <v>1.1708747205132262E-2</v>
      </c>
    </row>
    <row r="65" spans="1:77" x14ac:dyDescent="0.3">
      <c r="A65" s="1">
        <v>46118</v>
      </c>
      <c r="B65" s="8">
        <v>49.88</v>
      </c>
      <c r="C65" s="8">
        <v>119.14</v>
      </c>
      <c r="D65" s="9">
        <v>7.04157421168941E-3</v>
      </c>
      <c r="E65" s="9">
        <v>6.2305497506359398E-3</v>
      </c>
      <c r="F65" s="8">
        <v>0</v>
      </c>
      <c r="G65" s="8">
        <v>0.2515</v>
      </c>
      <c r="H65" s="8">
        <v>0</v>
      </c>
      <c r="I65" s="8">
        <v>0.57620000000000005</v>
      </c>
      <c r="J65" s="8">
        <v>0.2515</v>
      </c>
      <c r="K65" s="8">
        <v>0.57620000000000005</v>
      </c>
      <c r="L65" s="8">
        <v>50.131500000000003</v>
      </c>
      <c r="M65" s="8">
        <v>119.7162</v>
      </c>
      <c r="N65" s="10">
        <v>2.38853247794707</v>
      </c>
      <c r="O65" s="10">
        <v>2.3820577689553399</v>
      </c>
      <c r="P65" s="10">
        <v>2.3833080543622001</v>
      </c>
      <c r="Q65" s="10">
        <v>2.3788583442824298</v>
      </c>
      <c r="R65" s="8">
        <v>118.81704151549199</v>
      </c>
      <c r="S65" s="8">
        <v>118.778876004235</v>
      </c>
      <c r="T65" s="8">
        <v>118.626478337783</v>
      </c>
      <c r="U65" s="9">
        <v>-2.71442845944358E-3</v>
      </c>
      <c r="V65" s="9">
        <v>-3.0356924944784499E-3</v>
      </c>
      <c r="W65" s="9">
        <v>-4.3195530696371999E-3</v>
      </c>
      <c r="X65" s="10">
        <v>2.3880434457377002</v>
      </c>
      <c r="Y65" s="10">
        <v>2.3818827909075999</v>
      </c>
      <c r="Z65" s="10">
        <v>2.38283826161347</v>
      </c>
      <c r="AA65" s="10">
        <v>2.3809681628791801</v>
      </c>
      <c r="AB65" s="8">
        <v>119.40735713238401</v>
      </c>
      <c r="AC65" s="8">
        <v>119.41552573811499</v>
      </c>
      <c r="AD65" s="8">
        <v>119.331599194771</v>
      </c>
      <c r="AE65" s="9">
        <v>-2.58312516800569E-3</v>
      </c>
      <c r="AF65" s="9">
        <v>-2.5147179397238999E-3</v>
      </c>
      <c r="AG65" s="9">
        <v>-3.2177760127701199E-3</v>
      </c>
      <c r="AZ65" s="9"/>
      <c r="BB65">
        <f t="shared" si="2"/>
        <v>1</v>
      </c>
      <c r="BC65">
        <f t="shared" si="3"/>
        <v>0</v>
      </c>
      <c r="BD65">
        <f t="shared" si="4"/>
        <v>1</v>
      </c>
      <c r="BE65">
        <f t="shared" si="0"/>
        <v>1</v>
      </c>
      <c r="BF65">
        <f t="shared" si="5"/>
        <v>1</v>
      </c>
      <c r="BG65" s="9">
        <f t="shared" si="6"/>
        <v>7.04157421168941E-3</v>
      </c>
      <c r="BH65" s="9">
        <f t="shared" si="7"/>
        <v>-6.2305497506359398E-3</v>
      </c>
      <c r="BI65" s="9">
        <f t="shared" si="8"/>
        <v>8.1102446105347017E-4</v>
      </c>
      <c r="BJ65" s="12">
        <f t="shared" si="9"/>
        <v>1.321215920376405E-2</v>
      </c>
      <c r="BL65" s="9"/>
      <c r="BN65">
        <f t="shared" si="10"/>
        <v>0</v>
      </c>
      <c r="BO65">
        <f t="shared" si="11"/>
        <v>1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-6.9238753757831784E-4</v>
      </c>
      <c r="BX65" s="12">
        <f t="shared" si="18"/>
        <v>8.1102446105347017E-4</v>
      </c>
      <c r="BY65" s="12">
        <f t="shared" si="19"/>
        <v>1.2519771666185732E-2</v>
      </c>
    </row>
    <row r="66" spans="1:77" x14ac:dyDescent="0.3">
      <c r="A66" s="1">
        <v>46119</v>
      </c>
      <c r="B66" s="8">
        <v>49.88</v>
      </c>
      <c r="C66" s="8">
        <v>119.27</v>
      </c>
      <c r="D66" s="9">
        <v>0</v>
      </c>
      <c r="E66" s="9">
        <v>1.09055839003633E-3</v>
      </c>
      <c r="F66" s="8">
        <v>0</v>
      </c>
      <c r="G66" s="8">
        <v>0.2515</v>
      </c>
      <c r="H66" s="8">
        <v>0</v>
      </c>
      <c r="I66" s="8">
        <v>0.57620000000000005</v>
      </c>
      <c r="J66" s="8">
        <v>0.2515</v>
      </c>
      <c r="K66" s="8">
        <v>0.57620000000000005</v>
      </c>
      <c r="L66" s="8">
        <v>50.131500000000003</v>
      </c>
      <c r="M66" s="8">
        <v>119.8462</v>
      </c>
      <c r="N66" s="10">
        <v>2.3911387329590998</v>
      </c>
      <c r="O66" s="10">
        <v>2.3820577689553399</v>
      </c>
      <c r="P66" s="10">
        <v>2.3844069083766</v>
      </c>
      <c r="Q66" s="10">
        <v>2.3795895308807098</v>
      </c>
      <c r="R66" s="8">
        <v>118.81704151549199</v>
      </c>
      <c r="S66" s="8">
        <v>118.87940575158601</v>
      </c>
      <c r="T66" s="8">
        <v>118.657454212807</v>
      </c>
      <c r="U66" s="9">
        <v>-3.8049868494798101E-3</v>
      </c>
      <c r="V66" s="9">
        <v>-3.2802483584971E-3</v>
      </c>
      <c r="W66" s="9">
        <v>-5.1490244583943202E-3</v>
      </c>
      <c r="X66" s="10">
        <v>2.3906366256744702</v>
      </c>
      <c r="Y66" s="10">
        <v>2.3818827909075999</v>
      </c>
      <c r="Z66" s="10">
        <v>2.38393215347527</v>
      </c>
      <c r="AA66" s="10">
        <v>2.3816742441132401</v>
      </c>
      <c r="AB66" s="8">
        <v>119.40735713238401</v>
      </c>
      <c r="AC66" s="8">
        <v>119.45525631207499</v>
      </c>
      <c r="AD66" s="8">
        <v>119.361505457378</v>
      </c>
      <c r="AE66" s="9">
        <v>-3.6684374938182E-3</v>
      </c>
      <c r="AF66" s="9">
        <v>-3.2673769875905599E-3</v>
      </c>
      <c r="AG66" s="9">
        <v>-4.0525049561564701E-3</v>
      </c>
      <c r="AZ66" s="9"/>
      <c r="BB66">
        <f t="shared" si="2"/>
        <v>1</v>
      </c>
      <c r="BC66">
        <f t="shared" si="3"/>
        <v>0</v>
      </c>
      <c r="BD66">
        <f t="shared" si="4"/>
        <v>1</v>
      </c>
      <c r="BE66">
        <f t="shared" si="0"/>
        <v>1</v>
      </c>
      <c r="BF66">
        <f t="shared" si="5"/>
        <v>1</v>
      </c>
      <c r="BG66" s="9">
        <f t="shared" si="6"/>
        <v>0</v>
      </c>
      <c r="BH66" s="9">
        <f t="shared" si="7"/>
        <v>-1.09055839003633E-3</v>
      </c>
      <c r="BI66" s="9">
        <f t="shared" si="8"/>
        <v>-1.09055839003633E-3</v>
      </c>
      <c r="BJ66" s="12">
        <f t="shared" si="9"/>
        <v>1.212160081372772E-2</v>
      </c>
      <c r="BL66" s="9"/>
      <c r="BN66">
        <f t="shared" si="10"/>
        <v>0</v>
      </c>
      <c r="BO66">
        <f t="shared" si="11"/>
        <v>1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-6.9238753757831784E-4</v>
      </c>
      <c r="BX66" s="12">
        <f t="shared" si="18"/>
        <v>-1.09055839003633E-3</v>
      </c>
      <c r="BY66" s="12">
        <f t="shared" si="19"/>
        <v>1.1429213276149403E-2</v>
      </c>
    </row>
    <row r="67" spans="1:77" x14ac:dyDescent="0.3">
      <c r="A67" s="1">
        <v>46120</v>
      </c>
      <c r="B67" s="8">
        <v>51.2</v>
      </c>
      <c r="C67" s="8">
        <v>122.4</v>
      </c>
      <c r="D67" s="9">
        <v>2.6119411233626301E-2</v>
      </c>
      <c r="E67" s="9">
        <v>2.59045394876481E-2</v>
      </c>
      <c r="F67" s="8">
        <v>0</v>
      </c>
      <c r="G67" s="8">
        <v>0.2515</v>
      </c>
      <c r="H67" s="8">
        <v>0</v>
      </c>
      <c r="I67" s="8">
        <v>0.57620000000000005</v>
      </c>
      <c r="J67" s="8">
        <v>0.2515</v>
      </c>
      <c r="K67" s="8">
        <v>0.57620000000000005</v>
      </c>
      <c r="L67" s="8">
        <v>51.451500000000003</v>
      </c>
      <c r="M67" s="8">
        <v>122.97620000000001</v>
      </c>
      <c r="N67" s="10">
        <v>2.390625</v>
      </c>
      <c r="O67" s="10">
        <v>2.3820577689553399</v>
      </c>
      <c r="P67" s="10">
        <v>2.3854012265584199</v>
      </c>
      <c r="Q67" s="10">
        <v>2.3802634097261</v>
      </c>
      <c r="R67" s="8">
        <v>121.961357770513</v>
      </c>
      <c r="S67" s="8">
        <v>122.08163370888199</v>
      </c>
      <c r="T67" s="8">
        <v>121.83498398109199</v>
      </c>
      <c r="U67" s="9">
        <v>-3.5901151035017198E-3</v>
      </c>
      <c r="V67" s="9">
        <v>-2.6044203504748402E-3</v>
      </c>
      <c r="W67" s="9">
        <v>-4.6268312398604298E-3</v>
      </c>
      <c r="X67" s="10">
        <v>2.3901382855699</v>
      </c>
      <c r="Y67" s="10">
        <v>2.3818827909075999</v>
      </c>
      <c r="Z67" s="10">
        <v>2.3849233095914899</v>
      </c>
      <c r="AA67" s="10">
        <v>2.3823237872371199</v>
      </c>
      <c r="AB67" s="8">
        <v>122.551442416382</v>
      </c>
      <c r="AC67" s="8">
        <v>122.65688519453199</v>
      </c>
      <c r="AD67" s="8">
        <v>122.540712370992</v>
      </c>
      <c r="AE67" s="9">
        <v>-3.45996078632745E-3</v>
      </c>
      <c r="AF67" s="9">
        <v>-2.5999346552673499E-3</v>
      </c>
      <c r="AG67" s="9">
        <v>-3.5475200589313899E-3</v>
      </c>
      <c r="AZ67" s="9"/>
      <c r="BB67">
        <f t="shared" si="2"/>
        <v>1</v>
      </c>
      <c r="BC67">
        <f t="shared" si="3"/>
        <v>0</v>
      </c>
      <c r="BD67">
        <f t="shared" si="4"/>
        <v>1</v>
      </c>
      <c r="BE67">
        <f t="shared" si="0"/>
        <v>1</v>
      </c>
      <c r="BF67">
        <f t="shared" si="5"/>
        <v>1</v>
      </c>
      <c r="BG67" s="9">
        <f t="shared" si="6"/>
        <v>2.6119411233626301E-2</v>
      </c>
      <c r="BH67" s="9">
        <f t="shared" si="7"/>
        <v>-2.59045394876481E-2</v>
      </c>
      <c r="BI67" s="9">
        <f t="shared" si="8"/>
        <v>2.1487174597820125E-4</v>
      </c>
      <c r="BJ67" s="12">
        <f t="shared" si="9"/>
        <v>1.2336472559705922E-2</v>
      </c>
      <c r="BL67" s="9"/>
      <c r="BN67">
        <f t="shared" si="10"/>
        <v>0</v>
      </c>
      <c r="BO67">
        <f t="shared" si="11"/>
        <v>1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-6.9238753757831784E-4</v>
      </c>
      <c r="BX67" s="12">
        <f t="shared" si="18"/>
        <v>2.1487174597820125E-4</v>
      </c>
      <c r="BY67" s="12">
        <f t="shared" si="19"/>
        <v>1.1644085022127604E-2</v>
      </c>
    </row>
    <row r="68" spans="1:77" x14ac:dyDescent="0.3">
      <c r="A68" s="1">
        <v>46121</v>
      </c>
      <c r="B68" s="8">
        <v>51.33</v>
      </c>
      <c r="C68" s="8">
        <v>122.82</v>
      </c>
      <c r="D68" s="9">
        <v>2.5358445267496098E-3</v>
      </c>
      <c r="E68" s="9">
        <v>3.4254988230274399E-3</v>
      </c>
      <c r="F68" s="8">
        <v>0</v>
      </c>
      <c r="G68" s="8">
        <v>0.2515</v>
      </c>
      <c r="H68" s="8">
        <v>0</v>
      </c>
      <c r="I68" s="8">
        <v>0.57620000000000005</v>
      </c>
      <c r="J68" s="8">
        <v>0.2515</v>
      </c>
      <c r="K68" s="8">
        <v>0.57620000000000005</v>
      </c>
      <c r="L68" s="8">
        <v>51.581499999999998</v>
      </c>
      <c r="M68" s="8">
        <v>123.39619999999999</v>
      </c>
      <c r="N68" s="10">
        <v>2.3927527761542899</v>
      </c>
      <c r="O68" s="10">
        <v>2.3820577689553399</v>
      </c>
      <c r="P68" s="10">
        <v>2.3867154178341701</v>
      </c>
      <c r="Q68" s="10">
        <v>2.3809949244403401</v>
      </c>
      <c r="R68" s="8">
        <v>122.27102528047701</v>
      </c>
      <c r="S68" s="8">
        <v>122.442644959243</v>
      </c>
      <c r="T68" s="8">
        <v>122.17892082124</v>
      </c>
      <c r="U68" s="9">
        <v>-4.4797693997794402E-3</v>
      </c>
      <c r="V68" s="9">
        <v>-3.0771529727177398E-3</v>
      </c>
      <c r="W68" s="9">
        <v>-5.2333344143296601E-3</v>
      </c>
      <c r="X68" s="10">
        <v>2.3922569138159999</v>
      </c>
      <c r="Y68" s="10">
        <v>2.3818827909075999</v>
      </c>
      <c r="Z68" s="10">
        <v>2.3862328258221002</v>
      </c>
      <c r="AA68" s="10">
        <v>2.3830305088344401</v>
      </c>
      <c r="AB68" s="8">
        <v>122.8610871792</v>
      </c>
      <c r="AC68" s="8">
        <v>123.017921693693</v>
      </c>
      <c r="AD68" s="8">
        <v>122.883834431371</v>
      </c>
      <c r="AE68" s="9">
        <v>-4.3459722079525901E-3</v>
      </c>
      <c r="AF68" s="9">
        <v>-3.0702672465450298E-3</v>
      </c>
      <c r="AG68" s="9">
        <v>-4.1608432369293902E-3</v>
      </c>
      <c r="AZ68" s="9"/>
      <c r="BB68">
        <f t="shared" si="2"/>
        <v>1</v>
      </c>
      <c r="BC68">
        <f t="shared" si="3"/>
        <v>0</v>
      </c>
      <c r="BD68">
        <f t="shared" si="4"/>
        <v>1</v>
      </c>
      <c r="BE68">
        <f t="shared" si="0"/>
        <v>1</v>
      </c>
      <c r="BF68">
        <f t="shared" si="5"/>
        <v>1</v>
      </c>
      <c r="BG68" s="9">
        <f t="shared" si="6"/>
        <v>2.5358445267496098E-3</v>
      </c>
      <c r="BH68" s="9">
        <f t="shared" si="7"/>
        <v>-3.4254988230274399E-3</v>
      </c>
      <c r="BI68" s="9">
        <f t="shared" si="8"/>
        <v>-8.896542962778301E-4</v>
      </c>
      <c r="BJ68" s="12">
        <f t="shared" si="9"/>
        <v>1.1446818263428091E-2</v>
      </c>
      <c r="BL68" s="9"/>
      <c r="BN68">
        <f t="shared" si="10"/>
        <v>0</v>
      </c>
      <c r="BO68">
        <f t="shared" si="11"/>
        <v>1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-6.9238753757831784E-4</v>
      </c>
      <c r="BX68" s="12">
        <f t="shared" si="18"/>
        <v>-8.896542962778301E-4</v>
      </c>
      <c r="BY68" s="12">
        <f t="shared" si="19"/>
        <v>1.0754430725849773E-2</v>
      </c>
    </row>
    <row r="69" spans="1:77" x14ac:dyDescent="0.3">
      <c r="A69" s="1">
        <v>46122</v>
      </c>
      <c r="B69" s="8">
        <v>50.77</v>
      </c>
      <c r="C69" s="8">
        <v>121.51</v>
      </c>
      <c r="D69" s="9">
        <v>-1.09697476129087E-2</v>
      </c>
      <c r="E69" s="9">
        <v>-1.0723304980732699E-2</v>
      </c>
      <c r="F69" s="8">
        <v>0</v>
      </c>
      <c r="G69" s="8">
        <v>0.2515</v>
      </c>
      <c r="H69" s="8">
        <v>0</v>
      </c>
      <c r="I69" s="8">
        <v>0.57620000000000005</v>
      </c>
      <c r="J69" s="8">
        <v>0.2515</v>
      </c>
      <c r="K69" s="8">
        <v>0.57620000000000005</v>
      </c>
      <c r="L69" s="8">
        <v>51.021500000000003</v>
      </c>
      <c r="M69" s="8">
        <v>122.08620000000001</v>
      </c>
      <c r="N69" s="10">
        <v>2.3933425251132499</v>
      </c>
      <c r="O69" s="10">
        <v>2.3820577689553399</v>
      </c>
      <c r="P69" s="10">
        <v>2.3881087936890202</v>
      </c>
      <c r="Q69" s="10">
        <v>2.38178021575846</v>
      </c>
      <c r="R69" s="8">
        <v>120.937072929862</v>
      </c>
      <c r="S69" s="8">
        <v>121.17354176344</v>
      </c>
      <c r="T69" s="8">
        <v>120.88311231383599</v>
      </c>
      <c r="U69" s="9">
        <v>-4.7262120319555203E-3</v>
      </c>
      <c r="V69" s="9">
        <v>-2.7728163985591002E-3</v>
      </c>
      <c r="W69" s="9">
        <v>-5.1724991511863097E-3</v>
      </c>
      <c r="X69" s="10">
        <v>2.3928383132600901</v>
      </c>
      <c r="Y69" s="10">
        <v>2.3818827909075999</v>
      </c>
      <c r="Z69" s="10">
        <v>2.3876208527608198</v>
      </c>
      <c r="AA69" s="10">
        <v>2.3837905895599101</v>
      </c>
      <c r="AB69" s="8">
        <v>121.527232816292</v>
      </c>
      <c r="AC69" s="8">
        <v>121.749178122682</v>
      </c>
      <c r="AD69" s="8">
        <v>121.585791106496</v>
      </c>
      <c r="AE69" s="9">
        <v>-4.5889765451149799E-3</v>
      </c>
      <c r="AF69" s="9">
        <v>-2.7643412086232398E-3</v>
      </c>
      <c r="AG69" s="9">
        <v>-4.1072393646705199E-3</v>
      </c>
      <c r="AZ69" s="9"/>
      <c r="BB69">
        <f t="shared" si="2"/>
        <v>1</v>
      </c>
      <c r="BC69">
        <f t="shared" si="3"/>
        <v>0</v>
      </c>
      <c r="BD69">
        <f t="shared" si="4"/>
        <v>1</v>
      </c>
      <c r="BE69">
        <f t="shared" si="0"/>
        <v>1</v>
      </c>
      <c r="BF69">
        <f t="shared" si="5"/>
        <v>1</v>
      </c>
      <c r="BG69" s="9">
        <f t="shared" si="6"/>
        <v>-1.09697476129087E-2</v>
      </c>
      <c r="BH69" s="9">
        <f t="shared" si="7"/>
        <v>1.0723304980732699E-2</v>
      </c>
      <c r="BI69" s="9">
        <f t="shared" si="8"/>
        <v>-2.4644263217600028E-4</v>
      </c>
      <c r="BJ69" s="12">
        <f t="shared" si="9"/>
        <v>1.1200375631252091E-2</v>
      </c>
      <c r="BL69" s="9"/>
      <c r="BN69">
        <f t="shared" si="10"/>
        <v>0</v>
      </c>
      <c r="BO69">
        <f t="shared" si="11"/>
        <v>1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-6.9238753757831784E-4</v>
      </c>
      <c r="BX69" s="12">
        <f t="shared" si="18"/>
        <v>-2.4644263217600028E-4</v>
      </c>
      <c r="BY69" s="12">
        <f t="shared" si="19"/>
        <v>1.0507988093673773E-2</v>
      </c>
    </row>
    <row r="70" spans="1:77" x14ac:dyDescent="0.3">
      <c r="A70" s="1">
        <v>46125</v>
      </c>
      <c r="B70" s="8">
        <v>51.66</v>
      </c>
      <c r="C70" s="8">
        <v>123.52</v>
      </c>
      <c r="D70" s="9">
        <v>1.7378158708391302E-2</v>
      </c>
      <c r="E70" s="9">
        <v>1.6406522355945499E-2</v>
      </c>
      <c r="F70" s="8">
        <v>0</v>
      </c>
      <c r="G70" s="8">
        <v>0.2515</v>
      </c>
      <c r="H70" s="8">
        <v>0</v>
      </c>
      <c r="I70" s="8">
        <v>0.57620000000000005</v>
      </c>
      <c r="J70" s="8">
        <v>0.2515</v>
      </c>
      <c r="K70" s="8">
        <v>0.57620000000000005</v>
      </c>
      <c r="L70" s="8">
        <v>51.911499999999997</v>
      </c>
      <c r="M70" s="8">
        <v>124.0962</v>
      </c>
      <c r="N70" s="10">
        <v>2.39101819589624</v>
      </c>
      <c r="O70" s="10">
        <v>2.3820577689553399</v>
      </c>
      <c r="P70" s="10">
        <v>2.38880860533052</v>
      </c>
      <c r="Q70" s="10">
        <v>2.3826156418142701</v>
      </c>
      <c r="R70" s="8">
        <v>123.057104344232</v>
      </c>
      <c r="S70" s="8">
        <v>123.369700281974</v>
      </c>
      <c r="T70" s="8">
        <v>123.042765946082</v>
      </c>
      <c r="U70" s="9">
        <v>-3.75457567950962E-3</v>
      </c>
      <c r="V70" s="9">
        <v>-1.2175456199316501E-3</v>
      </c>
      <c r="W70" s="9">
        <v>-3.8711007158689702E-3</v>
      </c>
      <c r="X70" s="10">
        <v>2.39053388940793</v>
      </c>
      <c r="Y70" s="10">
        <v>2.3818827909075999</v>
      </c>
      <c r="Z70" s="10">
        <v>2.3883208819438</v>
      </c>
      <c r="AA70" s="10">
        <v>2.3846018002912999</v>
      </c>
      <c r="AB70" s="8">
        <v>123.64710850020001</v>
      </c>
      <c r="AC70" s="8">
        <v>123.944979898093</v>
      </c>
      <c r="AD70" s="8">
        <v>123.746145189939</v>
      </c>
      <c r="AE70" s="9">
        <v>-3.6254621319342199E-3</v>
      </c>
      <c r="AF70" s="9">
        <v>-1.21931463722079E-3</v>
      </c>
      <c r="AG70" s="9">
        <v>-2.8248202910385201E-3</v>
      </c>
      <c r="AZ70" s="9"/>
      <c r="BB70">
        <f t="shared" si="2"/>
        <v>1</v>
      </c>
      <c r="BC70">
        <f t="shared" si="3"/>
        <v>0</v>
      </c>
      <c r="BD70">
        <f t="shared" si="4"/>
        <v>1</v>
      </c>
      <c r="BE70">
        <f t="shared" si="0"/>
        <v>1</v>
      </c>
      <c r="BF70">
        <f t="shared" si="5"/>
        <v>1</v>
      </c>
      <c r="BG70" s="9">
        <f t="shared" si="6"/>
        <v>1.7378158708391302E-2</v>
      </c>
      <c r="BH70" s="9">
        <f t="shared" si="7"/>
        <v>-1.6406522355945499E-2</v>
      </c>
      <c r="BI70" s="9">
        <f t="shared" si="8"/>
        <v>9.7163635244580313E-4</v>
      </c>
      <c r="BJ70" s="12">
        <f t="shared" si="9"/>
        <v>1.2172011983697894E-2</v>
      </c>
      <c r="BL70" s="9"/>
      <c r="BN70">
        <f t="shared" si="10"/>
        <v>0</v>
      </c>
      <c r="BO70">
        <f t="shared" si="11"/>
        <v>1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-6.9238753757831784E-4</v>
      </c>
      <c r="BX70" s="12">
        <f t="shared" si="18"/>
        <v>9.7163635244580313E-4</v>
      </c>
      <c r="BY70" s="12">
        <f t="shared" si="19"/>
        <v>1.1479624446119576E-2</v>
      </c>
    </row>
    <row r="71" spans="1:77" x14ac:dyDescent="0.3">
      <c r="A71" s="1">
        <v>46126</v>
      </c>
      <c r="B71" s="8">
        <v>51.78</v>
      </c>
      <c r="C71" s="8">
        <v>123.84</v>
      </c>
      <c r="D71" s="9">
        <v>2.32018665569712E-3</v>
      </c>
      <c r="E71" s="9">
        <v>2.5873235649509501E-3</v>
      </c>
      <c r="F71" s="8">
        <v>0</v>
      </c>
      <c r="G71" s="8">
        <v>0.2515</v>
      </c>
      <c r="H71" s="8">
        <v>0</v>
      </c>
      <c r="I71" s="8">
        <v>0.57620000000000005</v>
      </c>
      <c r="J71" s="8">
        <v>0.2515</v>
      </c>
      <c r="K71" s="8">
        <v>0.57620000000000005</v>
      </c>
      <c r="L71" s="8">
        <v>52.031500000000001</v>
      </c>
      <c r="M71" s="8">
        <v>124.4162</v>
      </c>
      <c r="N71" s="10">
        <v>2.3916570104287298</v>
      </c>
      <c r="O71" s="10">
        <v>2.3820577689553399</v>
      </c>
      <c r="P71" s="10">
        <v>2.3900710805669401</v>
      </c>
      <c r="Q71" s="10">
        <v>2.3834865247900701</v>
      </c>
      <c r="R71" s="8">
        <v>123.34295127650699</v>
      </c>
      <c r="S71" s="8">
        <v>123.692509584014</v>
      </c>
      <c r="T71" s="8">
        <v>123.371837933143</v>
      </c>
      <c r="U71" s="9">
        <v>-4.0217125887634401E-3</v>
      </c>
      <c r="V71" s="9">
        <v>-1.1916853563030501E-3</v>
      </c>
      <c r="W71" s="9">
        <v>-3.7875421374499799E-3</v>
      </c>
      <c r="X71" s="10">
        <v>2.3911707331135901</v>
      </c>
      <c r="Y71" s="10">
        <v>2.3818827909075999</v>
      </c>
      <c r="Z71" s="10">
        <v>2.3895802466882601</v>
      </c>
      <c r="AA71" s="10">
        <v>2.38544836940134</v>
      </c>
      <c r="AB71" s="8">
        <v>123.932934435108</v>
      </c>
      <c r="AC71" s="8">
        <v>124.267917968859</v>
      </c>
      <c r="AD71" s="8">
        <v>124.07440857185701</v>
      </c>
      <c r="AE71" s="9">
        <v>-3.8918289444830599E-3</v>
      </c>
      <c r="AF71" s="9">
        <v>-1.19253332239208E-3</v>
      </c>
      <c r="AG71" s="9">
        <v>-2.7509421434853301E-3</v>
      </c>
      <c r="AZ71" s="9"/>
      <c r="BB71">
        <f t="shared" si="2"/>
        <v>1</v>
      </c>
      <c r="BC71">
        <f t="shared" si="3"/>
        <v>0</v>
      </c>
      <c r="BD71">
        <f t="shared" si="4"/>
        <v>1</v>
      </c>
      <c r="BE71">
        <f t="shared" si="0"/>
        <v>1</v>
      </c>
      <c r="BF71">
        <f t="shared" si="5"/>
        <v>1</v>
      </c>
      <c r="BG71" s="9">
        <f t="shared" si="6"/>
        <v>2.32018665569712E-3</v>
      </c>
      <c r="BH71" s="9">
        <f t="shared" si="7"/>
        <v>-2.5873235649509501E-3</v>
      </c>
      <c r="BI71" s="9">
        <f t="shared" si="8"/>
        <v>-2.6713690925383006E-4</v>
      </c>
      <c r="BJ71" s="12">
        <f t="shared" si="9"/>
        <v>1.1904875074444064E-2</v>
      </c>
      <c r="BL71" s="9"/>
      <c r="BN71">
        <f t="shared" si="10"/>
        <v>0</v>
      </c>
      <c r="BO71">
        <f t="shared" si="11"/>
        <v>1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-6.9238753757831784E-4</v>
      </c>
      <c r="BX71" s="12">
        <f t="shared" si="18"/>
        <v>-2.6713690925383006E-4</v>
      </c>
      <c r="BY71" s="12">
        <f t="shared" si="19"/>
        <v>1.1212487536865746E-2</v>
      </c>
    </row>
    <row r="72" spans="1:77" x14ac:dyDescent="0.3">
      <c r="A72" s="1">
        <v>46127</v>
      </c>
      <c r="B72" s="8">
        <v>52.17</v>
      </c>
      <c r="C72" s="8">
        <v>124.64</v>
      </c>
      <c r="D72" s="9">
        <v>7.5036427109096901E-3</v>
      </c>
      <c r="E72" s="9">
        <v>6.4391722810212297E-3</v>
      </c>
      <c r="F72" s="8">
        <v>0</v>
      </c>
      <c r="G72" s="8">
        <v>0.2515</v>
      </c>
      <c r="H72" s="8">
        <v>0</v>
      </c>
      <c r="I72" s="8">
        <v>0.57620000000000005</v>
      </c>
      <c r="J72" s="8">
        <v>0.2515</v>
      </c>
      <c r="K72" s="8">
        <v>0.57620000000000005</v>
      </c>
      <c r="L72" s="8">
        <v>52.421500000000002</v>
      </c>
      <c r="M72" s="8">
        <v>125.2162</v>
      </c>
      <c r="N72" s="10">
        <v>2.3891125167720899</v>
      </c>
      <c r="O72" s="10">
        <v>2.3820577689553399</v>
      </c>
      <c r="P72" s="10">
        <v>2.3906594641056</v>
      </c>
      <c r="Q72" s="10">
        <v>2.3845603911452198</v>
      </c>
      <c r="R72" s="8">
        <v>124.27195380640001</v>
      </c>
      <c r="S72" s="8">
        <v>124.690008273177</v>
      </c>
      <c r="T72" s="8">
        <v>124.346491998297</v>
      </c>
      <c r="U72" s="9">
        <v>-2.9572421588747199E-3</v>
      </c>
      <c r="V72" s="9">
        <v>4.0114123602127798E-4</v>
      </c>
      <c r="W72" s="9">
        <v>-2.3576229802585399E-3</v>
      </c>
      <c r="X72" s="10">
        <v>2.3886420648016502</v>
      </c>
      <c r="Y72" s="10">
        <v>2.3818827909075999</v>
      </c>
      <c r="Z72" s="10">
        <v>2.39016830270945</v>
      </c>
      <c r="AA72" s="10">
        <v>2.3859173975808901</v>
      </c>
      <c r="AB72" s="8">
        <v>124.861868723562</v>
      </c>
      <c r="AC72" s="8">
        <v>125.265380901768</v>
      </c>
      <c r="AD72" s="8">
        <v>125.04878169657199</v>
      </c>
      <c r="AE72" s="9">
        <v>-2.8337671940544401E-3</v>
      </c>
      <c r="AF72" s="9">
        <v>3.9269076970743002E-4</v>
      </c>
      <c r="AG72" s="9">
        <v>-1.3379285209329001E-3</v>
      </c>
      <c r="AZ72" s="9"/>
      <c r="BB72">
        <f t="shared" si="2"/>
        <v>1</v>
      </c>
      <c r="BC72">
        <f t="shared" si="3"/>
        <v>0</v>
      </c>
      <c r="BD72">
        <f t="shared" si="4"/>
        <v>1</v>
      </c>
      <c r="BE72">
        <f t="shared" si="0"/>
        <v>1</v>
      </c>
      <c r="BF72">
        <f t="shared" si="5"/>
        <v>1</v>
      </c>
      <c r="BG72" s="9">
        <f t="shared" si="6"/>
        <v>7.5036427109096901E-3</v>
      </c>
      <c r="BH72" s="9">
        <f t="shared" si="7"/>
        <v>-6.4391722810212297E-3</v>
      </c>
      <c r="BI72" s="9">
        <f t="shared" si="8"/>
        <v>1.0644704298884604E-3</v>
      </c>
      <c r="BJ72" s="12">
        <f t="shared" si="9"/>
        <v>1.2969345504332524E-2</v>
      </c>
      <c r="BL72" s="9"/>
      <c r="BN72">
        <f t="shared" si="10"/>
        <v>0</v>
      </c>
      <c r="BO72">
        <f t="shared" si="11"/>
        <v>1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-6.9238753757831784E-4</v>
      </c>
      <c r="BX72" s="12">
        <f t="shared" si="18"/>
        <v>1.0644704298884604E-3</v>
      </c>
      <c r="BY72" s="12">
        <f t="shared" si="19"/>
        <v>1.2276957966754206E-2</v>
      </c>
    </row>
    <row r="73" spans="1:77" x14ac:dyDescent="0.3">
      <c r="A73" s="1">
        <v>46128</v>
      </c>
      <c r="B73" s="8">
        <v>52.03</v>
      </c>
      <c r="C73" s="8">
        <v>124.28</v>
      </c>
      <c r="D73" s="9">
        <v>-2.6871417320891702E-3</v>
      </c>
      <c r="E73" s="9">
        <v>-2.8924975975914498E-3</v>
      </c>
      <c r="F73" s="8">
        <v>0</v>
      </c>
      <c r="G73" s="8">
        <v>0.2515</v>
      </c>
      <c r="H73" s="8">
        <v>0</v>
      </c>
      <c r="I73" s="8">
        <v>0.57620000000000005</v>
      </c>
      <c r="J73" s="8">
        <v>0.2515</v>
      </c>
      <c r="K73" s="8">
        <v>0.57620000000000005</v>
      </c>
      <c r="L73" s="8">
        <v>52.281500000000001</v>
      </c>
      <c r="M73" s="8">
        <v>124.8562</v>
      </c>
      <c r="N73" s="10">
        <v>2.3886219488756399</v>
      </c>
      <c r="O73" s="10">
        <v>2.3820577689553399</v>
      </c>
      <c r="P73" s="10">
        <v>2.3907271606112901</v>
      </c>
      <c r="Q73" s="10">
        <v>2.3852044761323898</v>
      </c>
      <c r="R73" s="8">
        <v>123.938465718746</v>
      </c>
      <c r="S73" s="8">
        <v>124.386011917414</v>
      </c>
      <c r="T73" s="8">
        <v>124.068677151285</v>
      </c>
      <c r="U73" s="9">
        <v>-2.7518862933724698E-3</v>
      </c>
      <c r="V73" s="9">
        <v>8.5264506411459695E-4</v>
      </c>
      <c r="W73" s="9">
        <v>-1.7018242427624701E-3</v>
      </c>
      <c r="X73" s="10">
        <v>2.3881525969989301</v>
      </c>
      <c r="Y73" s="10">
        <v>2.3818827909075999</v>
      </c>
      <c r="Z73" s="10">
        <v>2.3902381029243198</v>
      </c>
      <c r="AA73" s="10">
        <v>2.3859496955950199</v>
      </c>
      <c r="AB73" s="8">
        <v>124.528405132835</v>
      </c>
      <c r="AC73" s="8">
        <v>124.961584118104</v>
      </c>
      <c r="AD73" s="8">
        <v>124.739340421625</v>
      </c>
      <c r="AE73" s="9">
        <v>-2.6288315252284101E-3</v>
      </c>
      <c r="AF73" s="9">
        <v>8.4368792820439895E-4</v>
      </c>
      <c r="AG73" s="9">
        <v>-9.36391625553859E-4</v>
      </c>
      <c r="AZ73" s="9"/>
      <c r="BB73">
        <f t="shared" si="2"/>
        <v>0</v>
      </c>
      <c r="BC73">
        <f t="shared" si="3"/>
        <v>0</v>
      </c>
      <c r="BD73">
        <f t="shared" si="4"/>
        <v>1</v>
      </c>
      <c r="BE73">
        <f t="shared" si="0"/>
        <v>1</v>
      </c>
      <c r="BF73">
        <f t="shared" si="5"/>
        <v>1</v>
      </c>
      <c r="BG73" s="9">
        <f t="shared" si="6"/>
        <v>-2.6871417320891702E-3</v>
      </c>
      <c r="BH73" s="9">
        <f t="shared" si="7"/>
        <v>2.8924975975914498E-3</v>
      </c>
      <c r="BI73" s="9">
        <f t="shared" si="8"/>
        <v>2.053558655022796E-4</v>
      </c>
      <c r="BJ73" s="12">
        <f t="shared" si="9"/>
        <v>1.3174701369834804E-2</v>
      </c>
      <c r="BL73" s="9"/>
      <c r="BN73">
        <f t="shared" si="10"/>
        <v>0</v>
      </c>
      <c r="BO73">
        <f t="shared" si="11"/>
        <v>1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-6.9238753757831784E-4</v>
      </c>
      <c r="BX73" s="12">
        <f t="shared" si="18"/>
        <v>2.053558655022796E-4</v>
      </c>
      <c r="BY73" s="12">
        <f t="shared" si="19"/>
        <v>1.2482313832256486E-2</v>
      </c>
    </row>
    <row r="74" spans="1:77" x14ac:dyDescent="0.3">
      <c r="A74" s="1">
        <v>46129</v>
      </c>
      <c r="B74" s="8">
        <v>52.43</v>
      </c>
      <c r="C74" s="8">
        <v>125.34</v>
      </c>
      <c r="D74" s="9">
        <v>7.6584712822293103E-3</v>
      </c>
      <c r="E74" s="9">
        <v>8.4929602716828593E-3</v>
      </c>
      <c r="F74" s="8">
        <v>0</v>
      </c>
      <c r="G74" s="8">
        <v>0.2515</v>
      </c>
      <c r="H74" s="8">
        <v>0</v>
      </c>
      <c r="I74" s="8">
        <v>0.57620000000000005</v>
      </c>
      <c r="J74" s="8">
        <v>0.2515</v>
      </c>
      <c r="K74" s="8">
        <v>0.57620000000000005</v>
      </c>
      <c r="L74" s="8">
        <v>52.6815</v>
      </c>
      <c r="M74" s="8">
        <v>125.9162</v>
      </c>
      <c r="N74" s="10">
        <v>2.3906160595079098</v>
      </c>
      <c r="O74" s="10">
        <v>2.3820577689553399</v>
      </c>
      <c r="P74" s="10">
        <v>2.3907417243654301</v>
      </c>
      <c r="Q74" s="10">
        <v>2.3860171733719202</v>
      </c>
      <c r="R74" s="8">
        <v>124.89128882632799</v>
      </c>
      <c r="S74" s="8">
        <v>125.34582503084999</v>
      </c>
      <c r="T74" s="8">
        <v>125.05627068362099</v>
      </c>
      <c r="U74" s="9">
        <v>-3.5863752828260102E-3</v>
      </c>
      <c r="V74" s="9">
        <v>4.6472758086174501E-5</v>
      </c>
      <c r="W74" s="9">
        <v>-2.2662433193321799E-3</v>
      </c>
      <c r="X74" s="10">
        <v>2.3901407514972002</v>
      </c>
      <c r="Y74" s="10">
        <v>2.3818827909075999</v>
      </c>
      <c r="Z74" s="10">
        <v>2.3902553619877498</v>
      </c>
      <c r="AA74" s="10">
        <v>2.38615054823418</v>
      </c>
      <c r="AB74" s="8">
        <v>125.481158249198</v>
      </c>
      <c r="AC74" s="8">
        <v>125.921328619207</v>
      </c>
      <c r="AD74" s="8">
        <v>125.695408888489</v>
      </c>
      <c r="AE74" s="9">
        <v>-3.4609924948449302E-3</v>
      </c>
      <c r="AF74" s="9">
        <v>4.0729586545735602E-5</v>
      </c>
      <c r="AG74" s="9">
        <v>-1.75501574952943E-3</v>
      </c>
      <c r="AZ74" s="9"/>
      <c r="BB74">
        <f t="shared" si="2"/>
        <v>1</v>
      </c>
      <c r="BC74">
        <f t="shared" si="3"/>
        <v>0</v>
      </c>
      <c r="BD74">
        <f t="shared" si="4"/>
        <v>1</v>
      </c>
      <c r="BE74">
        <f t="shared" si="0"/>
        <v>1</v>
      </c>
      <c r="BF74">
        <f t="shared" si="5"/>
        <v>1</v>
      </c>
      <c r="BG74" s="9">
        <f t="shared" si="6"/>
        <v>7.6584712822293103E-3</v>
      </c>
      <c r="BH74" s="9">
        <f t="shared" si="7"/>
        <v>-8.4929602716828593E-3</v>
      </c>
      <c r="BI74" s="9">
        <f t="shared" si="8"/>
        <v>-8.3448898945354903E-4</v>
      </c>
      <c r="BJ74" s="12">
        <f t="shared" si="9"/>
        <v>1.2340212380381254E-2</v>
      </c>
      <c r="BL74" s="9"/>
      <c r="BN74">
        <f t="shared" si="10"/>
        <v>0</v>
      </c>
      <c r="BO74">
        <f t="shared" si="11"/>
        <v>1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-6.9238753757831784E-4</v>
      </c>
      <c r="BX74" s="12">
        <f t="shared" si="18"/>
        <v>-8.3448898945354903E-4</v>
      </c>
      <c r="BY74" s="12">
        <f t="shared" si="19"/>
        <v>1.1647824842802936E-2</v>
      </c>
    </row>
    <row r="75" spans="1:77" x14ac:dyDescent="0.3">
      <c r="A75" s="1">
        <v>46132</v>
      </c>
      <c r="B75" s="8">
        <v>52.63</v>
      </c>
      <c r="C75" s="8">
        <v>125.87</v>
      </c>
      <c r="D75" s="9">
        <v>3.80735278124622E-3</v>
      </c>
      <c r="E75" s="9">
        <v>4.2195835068841898E-3</v>
      </c>
      <c r="F75" s="8">
        <v>0</v>
      </c>
      <c r="G75" s="8">
        <v>0.2515</v>
      </c>
      <c r="H75" s="8">
        <v>0</v>
      </c>
      <c r="I75" s="8">
        <v>0.57620000000000005</v>
      </c>
      <c r="J75" s="8">
        <v>0.2515</v>
      </c>
      <c r="K75" s="8">
        <v>0.57620000000000005</v>
      </c>
      <c r="L75" s="8">
        <v>52.881500000000003</v>
      </c>
      <c r="M75" s="8">
        <v>126.4462</v>
      </c>
      <c r="N75" s="10">
        <v>2.3916017480524401</v>
      </c>
      <c r="O75" s="10">
        <v>2.3820577689553399</v>
      </c>
      <c r="P75" s="10">
        <v>2.3910486513759701</v>
      </c>
      <c r="Q75" s="10">
        <v>2.38717835286909</v>
      </c>
      <c r="R75" s="8">
        <v>125.367700380119</v>
      </c>
      <c r="S75" s="8">
        <v>125.824736953352</v>
      </c>
      <c r="T75" s="8">
        <v>125.576083834564</v>
      </c>
      <c r="U75" s="9">
        <v>-3.9986060084640403E-3</v>
      </c>
      <c r="V75" s="9">
        <v>-3.5966621855425799E-4</v>
      </c>
      <c r="W75" s="9">
        <v>-2.3378077305157099E-3</v>
      </c>
      <c r="X75" s="10">
        <v>2.3911235498236598</v>
      </c>
      <c r="Y75" s="10">
        <v>2.3818827909075999</v>
      </c>
      <c r="Z75" s="10">
        <v>2.3905633723963402</v>
      </c>
      <c r="AA75" s="10">
        <v>2.3867008170049102</v>
      </c>
      <c r="AB75" s="8">
        <v>125.95753480738</v>
      </c>
      <c r="AC75" s="8">
        <v>126.40028892495501</v>
      </c>
      <c r="AD75" s="8">
        <v>126.183220216446</v>
      </c>
      <c r="AE75" s="9">
        <v>-3.8720964532800999E-3</v>
      </c>
      <c r="AF75" s="9">
        <v>-3.6315375186330199E-4</v>
      </c>
      <c r="AG75" s="9">
        <v>-2.08194182861787E-3</v>
      </c>
      <c r="AZ75" s="9"/>
      <c r="BB75">
        <f t="shared" si="2"/>
        <v>1</v>
      </c>
      <c r="BC75">
        <f t="shared" si="3"/>
        <v>0</v>
      </c>
      <c r="BD75">
        <f t="shared" si="4"/>
        <v>1</v>
      </c>
      <c r="BE75">
        <f t="shared" si="0"/>
        <v>1</v>
      </c>
      <c r="BF75">
        <f t="shared" si="5"/>
        <v>1</v>
      </c>
      <c r="BG75" s="9">
        <f t="shared" si="6"/>
        <v>3.80735278124622E-3</v>
      </c>
      <c r="BH75" s="9">
        <f t="shared" si="7"/>
        <v>-4.2195835068841898E-3</v>
      </c>
      <c r="BI75" s="9">
        <f t="shared" si="8"/>
        <v>-4.1223072563796983E-4</v>
      </c>
      <c r="BJ75" s="12">
        <f t="shared" si="9"/>
        <v>1.1927981654743285E-2</v>
      </c>
      <c r="BL75" s="9"/>
      <c r="BN75">
        <f t="shared" si="10"/>
        <v>0</v>
      </c>
      <c r="BO75">
        <f t="shared" si="11"/>
        <v>1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-6.9238753757831784E-4</v>
      </c>
      <c r="BX75" s="12">
        <f t="shared" si="18"/>
        <v>-4.1223072563796983E-4</v>
      </c>
      <c r="BY75" s="12">
        <f t="shared" si="19"/>
        <v>1.1235594117164967E-2</v>
      </c>
    </row>
    <row r="76" spans="1:77" x14ac:dyDescent="0.3">
      <c r="A76" s="1">
        <v>46133</v>
      </c>
      <c r="B76" s="8">
        <v>52.3</v>
      </c>
      <c r="C76" s="8">
        <v>125.29</v>
      </c>
      <c r="D76" s="9">
        <v>-6.28992829481048E-3</v>
      </c>
      <c r="E76" s="9">
        <v>-4.6185780459522402E-3</v>
      </c>
      <c r="F76" s="8">
        <v>0</v>
      </c>
      <c r="G76" s="8">
        <v>0.2515</v>
      </c>
      <c r="H76" s="8">
        <v>0</v>
      </c>
      <c r="I76" s="8">
        <v>0.57620000000000005</v>
      </c>
      <c r="J76" s="8">
        <v>0.2515</v>
      </c>
      <c r="K76" s="8">
        <v>0.57620000000000005</v>
      </c>
      <c r="L76" s="8">
        <v>52.551499999999997</v>
      </c>
      <c r="M76" s="8">
        <v>125.86620000000001</v>
      </c>
      <c r="N76" s="10">
        <v>2.3956022944550601</v>
      </c>
      <c r="O76" s="10">
        <v>2.3820577689553399</v>
      </c>
      <c r="P76" s="10">
        <v>2.3914950075255601</v>
      </c>
      <c r="Q76" s="10">
        <v>2.3879509579510798</v>
      </c>
      <c r="R76" s="8">
        <v>124.58162131636399</v>
      </c>
      <c r="S76" s="8">
        <v>125.051844466963</v>
      </c>
      <c r="T76" s="8">
        <v>124.84942785505299</v>
      </c>
      <c r="U76" s="9">
        <v>-5.6699562573221804E-3</v>
      </c>
      <c r="V76" s="9">
        <v>-1.9026432068383E-3</v>
      </c>
      <c r="W76" s="9">
        <v>-3.52261620094292E-3</v>
      </c>
      <c r="X76" s="10">
        <v>2.39510194761329</v>
      </c>
      <c r="Y76" s="10">
        <v>2.3818827909075999</v>
      </c>
      <c r="Z76" s="10">
        <v>2.39100990459022</v>
      </c>
      <c r="AA76" s="10">
        <v>2.3874710290327399</v>
      </c>
      <c r="AB76" s="8">
        <v>125.17151348637999</v>
      </c>
      <c r="AC76" s="8">
        <v>125.627691064486</v>
      </c>
      <c r="AD76" s="8">
        <v>125.42470798483301</v>
      </c>
      <c r="AE76" s="9">
        <v>-5.5345332557328198E-3</v>
      </c>
      <c r="AF76" s="9">
        <v>-1.8967379764903E-3</v>
      </c>
      <c r="AG76" s="9">
        <v>-3.5137958070706101E-3</v>
      </c>
      <c r="AZ76" s="9"/>
      <c r="BB76">
        <f t="shared" si="2"/>
        <v>1</v>
      </c>
      <c r="BC76">
        <f t="shared" si="3"/>
        <v>0</v>
      </c>
      <c r="BD76">
        <f t="shared" si="4"/>
        <v>1</v>
      </c>
      <c r="BE76">
        <f t="shared" si="0"/>
        <v>1</v>
      </c>
      <c r="BF76">
        <f t="shared" si="5"/>
        <v>1</v>
      </c>
      <c r="BG76" s="9">
        <f t="shared" si="6"/>
        <v>-6.28992829481048E-3</v>
      </c>
      <c r="BH76" s="9">
        <f t="shared" si="7"/>
        <v>4.6185780459522402E-3</v>
      </c>
      <c r="BI76" s="9">
        <f t="shared" si="8"/>
        <v>-1.6713502488582398E-3</v>
      </c>
      <c r="BJ76" s="12">
        <f t="shared" si="9"/>
        <v>1.0256631405885045E-2</v>
      </c>
      <c r="BL76" s="9"/>
      <c r="BN76">
        <f t="shared" si="10"/>
        <v>0</v>
      </c>
      <c r="BO76">
        <f t="shared" si="11"/>
        <v>1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-6.9238753757831784E-4</v>
      </c>
      <c r="BX76" s="12">
        <f t="shared" si="18"/>
        <v>-1.6713502488582398E-3</v>
      </c>
      <c r="BY76" s="12">
        <f t="shared" si="19"/>
        <v>9.5642438683067269E-3</v>
      </c>
    </row>
    <row r="77" spans="1:77" x14ac:dyDescent="0.3">
      <c r="A77" s="1">
        <v>46134</v>
      </c>
      <c r="B77" s="8">
        <v>52.21</v>
      </c>
      <c r="C77" s="8">
        <v>124.91</v>
      </c>
      <c r="D77" s="9">
        <v>-1.72232364841613E-3</v>
      </c>
      <c r="E77" s="9">
        <v>-3.03757227964344E-3</v>
      </c>
      <c r="F77" s="8">
        <v>0</v>
      </c>
      <c r="G77" s="8">
        <v>0.2515</v>
      </c>
      <c r="H77" s="8">
        <v>0</v>
      </c>
      <c r="I77" s="8">
        <v>0.57620000000000005</v>
      </c>
      <c r="J77" s="8">
        <v>0.2515</v>
      </c>
      <c r="K77" s="8">
        <v>0.57620000000000005</v>
      </c>
      <c r="L77" s="8">
        <v>52.461500000000001</v>
      </c>
      <c r="M77" s="8">
        <v>125.4862</v>
      </c>
      <c r="N77" s="10">
        <v>2.3924535529591999</v>
      </c>
      <c r="O77" s="10">
        <v>2.3820577689553399</v>
      </c>
      <c r="P77" s="10">
        <v>2.3916778628214899</v>
      </c>
      <c r="Q77" s="10">
        <v>2.3885395446899498</v>
      </c>
      <c r="R77" s="8">
        <v>124.367236117158</v>
      </c>
      <c r="S77" s="8">
        <v>124.85995434290901</v>
      </c>
      <c r="T77" s="8">
        <v>124.674919514626</v>
      </c>
      <c r="U77" s="9">
        <v>-4.35470762609494E-3</v>
      </c>
      <c r="V77" s="9">
        <v>-4.0073401055301802E-4</v>
      </c>
      <c r="W77" s="9">
        <v>-1.88377210728921E-3</v>
      </c>
      <c r="X77" s="10">
        <v>2.3919674427913802</v>
      </c>
      <c r="Y77" s="10">
        <v>2.3818827909075999</v>
      </c>
      <c r="Z77" s="10">
        <v>2.3911928203123698</v>
      </c>
      <c r="AA77" s="10">
        <v>2.3880580649519301</v>
      </c>
      <c r="AB77" s="8">
        <v>124.95714403519899</v>
      </c>
      <c r="AC77" s="8">
        <v>125.43596610966</v>
      </c>
      <c r="AD77" s="8">
        <v>125.25031138960099</v>
      </c>
      <c r="AE77" s="9">
        <v>-4.2249615682349896E-3</v>
      </c>
      <c r="AF77" s="9">
        <v>-4.0039420820942099E-4</v>
      </c>
      <c r="AG77" s="9">
        <v>-1.8815662600071999E-3</v>
      </c>
      <c r="AZ77" s="9"/>
      <c r="BB77">
        <f t="shared" si="2"/>
        <v>1</v>
      </c>
      <c r="BC77">
        <f t="shared" si="3"/>
        <v>0</v>
      </c>
      <c r="BD77">
        <f t="shared" si="4"/>
        <v>1</v>
      </c>
      <c r="BE77">
        <f t="shared" si="0"/>
        <v>1</v>
      </c>
      <c r="BF77">
        <f t="shared" si="5"/>
        <v>1</v>
      </c>
      <c r="BG77" s="9">
        <f t="shared" si="6"/>
        <v>-1.72232364841613E-3</v>
      </c>
      <c r="BH77" s="9">
        <f t="shared" si="7"/>
        <v>3.03757227964344E-3</v>
      </c>
      <c r="BI77" s="9">
        <f t="shared" si="8"/>
        <v>1.31524863122731E-3</v>
      </c>
      <c r="BJ77" s="12">
        <f t="shared" si="9"/>
        <v>1.1571880037112355E-2</v>
      </c>
      <c r="BL77" s="9"/>
      <c r="BN77">
        <f t="shared" si="10"/>
        <v>0</v>
      </c>
      <c r="BO77">
        <f t="shared" si="11"/>
        <v>1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-6.9238753757831784E-4</v>
      </c>
      <c r="BX77" s="12">
        <f t="shared" si="18"/>
        <v>1.31524863122731E-3</v>
      </c>
      <c r="BY77" s="12">
        <f t="shared" si="19"/>
        <v>1.0879492499534037E-2</v>
      </c>
    </row>
    <row r="78" spans="1:77" x14ac:dyDescent="0.3">
      <c r="A78" s="1">
        <v>46135</v>
      </c>
      <c r="B78" s="8">
        <v>51.8</v>
      </c>
      <c r="C78" s="8">
        <v>124.19</v>
      </c>
      <c r="D78" s="9">
        <v>-7.88389815702366E-3</v>
      </c>
      <c r="E78" s="9">
        <v>-5.7808270178767197E-3</v>
      </c>
      <c r="F78" s="8">
        <v>0</v>
      </c>
      <c r="G78" s="8">
        <v>0.2515</v>
      </c>
      <c r="H78" s="8">
        <v>0</v>
      </c>
      <c r="I78" s="8">
        <v>0.57620000000000005</v>
      </c>
      <c r="J78" s="8">
        <v>0.2515</v>
      </c>
      <c r="K78" s="8">
        <v>0.57620000000000005</v>
      </c>
      <c r="L78" s="8">
        <v>52.051499999999997</v>
      </c>
      <c r="M78" s="8">
        <v>124.7662</v>
      </c>
      <c r="N78" s="10">
        <v>2.39749034749034</v>
      </c>
      <c r="O78" s="10">
        <v>2.3820577689553399</v>
      </c>
      <c r="P78" s="10">
        <v>2.3921516199550901</v>
      </c>
      <c r="Q78" s="10">
        <v>2.3894335188946298</v>
      </c>
      <c r="R78" s="8">
        <v>123.39059243188601</v>
      </c>
      <c r="S78" s="8">
        <v>123.888913294153</v>
      </c>
      <c r="T78" s="8">
        <v>123.726348414939</v>
      </c>
      <c r="U78" s="9">
        <v>-6.4577787652418499E-3</v>
      </c>
      <c r="V78" s="9">
        <v>-2.4273474087962198E-3</v>
      </c>
      <c r="W78" s="9">
        <v>-3.74039169732358E-3</v>
      </c>
      <c r="X78" s="10">
        <v>2.3969760717750601</v>
      </c>
      <c r="Y78" s="10">
        <v>2.3818827909075999</v>
      </c>
      <c r="Z78" s="10">
        <v>2.3916647361082801</v>
      </c>
      <c r="AA78" s="10">
        <v>2.3889487809651899</v>
      </c>
      <c r="AB78" s="8">
        <v>123.980572090927</v>
      </c>
      <c r="AC78" s="8">
        <v>124.465173086489</v>
      </c>
      <c r="AD78" s="8">
        <v>124.302004367845</v>
      </c>
      <c r="AE78" s="9">
        <v>-6.3167092761321599E-3</v>
      </c>
      <c r="AF78" s="9">
        <v>-2.4156433932463598E-3</v>
      </c>
      <c r="AG78" s="9">
        <v>-3.7274622892368601E-3</v>
      </c>
      <c r="AZ78" s="9"/>
      <c r="BB78">
        <f t="shared" si="2"/>
        <v>1</v>
      </c>
      <c r="BC78">
        <f t="shared" si="3"/>
        <v>0</v>
      </c>
      <c r="BD78">
        <f t="shared" si="4"/>
        <v>1</v>
      </c>
      <c r="BE78">
        <f t="shared" si="0"/>
        <v>1</v>
      </c>
      <c r="BF78">
        <f t="shared" si="5"/>
        <v>1</v>
      </c>
      <c r="BG78" s="9">
        <f t="shared" si="6"/>
        <v>-7.88389815702366E-3</v>
      </c>
      <c r="BH78" s="9">
        <f t="shared" si="7"/>
        <v>5.7808270178767197E-3</v>
      </c>
      <c r="BI78" s="9">
        <f t="shared" si="8"/>
        <v>-2.1030711391469403E-3</v>
      </c>
      <c r="BJ78" s="12">
        <f t="shared" si="9"/>
        <v>9.4688088979654143E-3</v>
      </c>
      <c r="BL78" s="9"/>
      <c r="BN78">
        <f t="shared" si="10"/>
        <v>0</v>
      </c>
      <c r="BO78">
        <f t="shared" si="11"/>
        <v>1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-6.9238753757831784E-4</v>
      </c>
      <c r="BX78" s="12">
        <f t="shared" si="18"/>
        <v>-2.1030711391469403E-3</v>
      </c>
      <c r="BY78" s="12">
        <f t="shared" si="19"/>
        <v>8.7764213603870964E-3</v>
      </c>
    </row>
    <row r="79" spans="1:77" x14ac:dyDescent="0.3">
      <c r="A79" s="1">
        <v>46136</v>
      </c>
      <c r="B79" s="8">
        <v>51.42</v>
      </c>
      <c r="C79" s="8">
        <v>123.31</v>
      </c>
      <c r="D79" s="9">
        <v>-7.3629474276938897E-3</v>
      </c>
      <c r="E79" s="9">
        <v>-7.1111410775021198E-3</v>
      </c>
      <c r="F79" s="8">
        <v>0</v>
      </c>
      <c r="G79" s="8">
        <v>0.2515</v>
      </c>
      <c r="H79" s="8">
        <v>0</v>
      </c>
      <c r="I79" s="8">
        <v>0.57620000000000005</v>
      </c>
      <c r="J79" s="8">
        <v>0.2515</v>
      </c>
      <c r="K79" s="8">
        <v>0.57620000000000005</v>
      </c>
      <c r="L79" s="8">
        <v>51.671500000000002</v>
      </c>
      <c r="M79" s="8">
        <v>123.8862</v>
      </c>
      <c r="N79" s="10">
        <v>2.39809412679891</v>
      </c>
      <c r="O79" s="10">
        <v>2.3820577689553399</v>
      </c>
      <c r="P79" s="10">
        <v>2.3926267801236598</v>
      </c>
      <c r="Q79" s="10">
        <v>2.39036778690634</v>
      </c>
      <c r="R79" s="8">
        <v>122.485410479683</v>
      </c>
      <c r="S79" s="8">
        <v>123.00443629809</v>
      </c>
      <c r="T79" s="8">
        <v>122.864671541562</v>
      </c>
      <c r="U79" s="9">
        <v>-6.7095851154336502E-3</v>
      </c>
      <c r="V79" s="9">
        <v>-2.48108769628261E-3</v>
      </c>
      <c r="W79" s="9">
        <v>-3.6179915782823899E-3</v>
      </c>
      <c r="X79" s="10">
        <v>2.3975731302555499</v>
      </c>
      <c r="Y79" s="10">
        <v>2.3818827909075999</v>
      </c>
      <c r="Z79" s="10">
        <v>2.3921382178078199</v>
      </c>
      <c r="AA79" s="10">
        <v>2.3898795352843201</v>
      </c>
      <c r="AB79" s="8">
        <v>123.07545663038201</v>
      </c>
      <c r="AC79" s="8">
        <v>123.58090441181901</v>
      </c>
      <c r="AD79" s="8">
        <v>123.44056693564301</v>
      </c>
      <c r="AE79" s="9">
        <v>-6.5657664693802601E-3</v>
      </c>
      <c r="AF79" s="9">
        <v>-2.4673642485953402E-3</v>
      </c>
      <c r="AG79" s="9">
        <v>-3.6036014389007401E-3</v>
      </c>
      <c r="AZ79" s="9"/>
      <c r="BB79">
        <f t="shared" si="2"/>
        <v>1</v>
      </c>
      <c r="BC79">
        <f t="shared" si="3"/>
        <v>0</v>
      </c>
      <c r="BD79">
        <f t="shared" si="4"/>
        <v>1</v>
      </c>
      <c r="BE79">
        <f t="shared" si="0"/>
        <v>1</v>
      </c>
      <c r="BF79">
        <f t="shared" si="5"/>
        <v>1</v>
      </c>
      <c r="BG79" s="9">
        <f t="shared" si="6"/>
        <v>-7.3629474276938897E-3</v>
      </c>
      <c r="BH79" s="9">
        <f t="shared" si="7"/>
        <v>7.1111410775021198E-3</v>
      </c>
      <c r="BI79" s="9">
        <f t="shared" si="8"/>
        <v>-2.5180635019176993E-4</v>
      </c>
      <c r="BJ79" s="12">
        <f t="shared" si="9"/>
        <v>9.2170025477736443E-3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-6.9238753757831784E-4</v>
      </c>
      <c r="BX79" s="12">
        <f t="shared" si="18"/>
        <v>-2.5180635019176993E-4</v>
      </c>
      <c r="BY79" s="12">
        <f t="shared" si="19"/>
        <v>8.5246150101953265E-3</v>
      </c>
    </row>
    <row r="80" spans="1:77" x14ac:dyDescent="0.3">
      <c r="A80" s="1">
        <v>46139</v>
      </c>
      <c r="B80" s="8">
        <v>51.81</v>
      </c>
      <c r="C80" s="8">
        <v>124.11</v>
      </c>
      <c r="D80" s="9">
        <v>7.5559789889534197E-3</v>
      </c>
      <c r="E80" s="9">
        <v>6.4667592589907098E-3</v>
      </c>
      <c r="F80" s="8">
        <v>0</v>
      </c>
      <c r="G80" s="8">
        <v>0.2515</v>
      </c>
      <c r="H80" s="8">
        <v>0</v>
      </c>
      <c r="I80" s="8">
        <v>0.57620000000000005</v>
      </c>
      <c r="J80" s="8">
        <v>0.2515</v>
      </c>
      <c r="K80" s="8">
        <v>0.57620000000000005</v>
      </c>
      <c r="L80" s="8">
        <v>52.061500000000002</v>
      </c>
      <c r="M80" s="8">
        <v>124.6862</v>
      </c>
      <c r="N80" s="10">
        <v>2.39548349739432</v>
      </c>
      <c r="O80" s="10">
        <v>2.3820577689553399</v>
      </c>
      <c r="P80" s="10">
        <v>2.39307331027346</v>
      </c>
      <c r="Q80" s="10">
        <v>2.3909409578019898</v>
      </c>
      <c r="R80" s="8">
        <v>123.41441300957599</v>
      </c>
      <c r="S80" s="8">
        <v>123.961993478206</v>
      </c>
      <c r="T80" s="8">
        <v>123.84495503961701</v>
      </c>
      <c r="U80" s="9">
        <v>-5.62036538547091E-3</v>
      </c>
      <c r="V80" s="9">
        <v>-1.19325472641727E-3</v>
      </c>
      <c r="W80" s="9">
        <v>-2.1378484756376099E-3</v>
      </c>
      <c r="X80" s="10">
        <v>2.39497901520317</v>
      </c>
      <c r="Y80" s="10">
        <v>2.3818827909075999</v>
      </c>
      <c r="Z80" s="10">
        <v>2.3925827303873501</v>
      </c>
      <c r="AA80" s="10">
        <v>2.3904518061655802</v>
      </c>
      <c r="AB80" s="8">
        <v>124.00439091883599</v>
      </c>
      <c r="AC80" s="8">
        <v>124.538303826402</v>
      </c>
      <c r="AD80" s="8">
        <v>124.420713426205</v>
      </c>
      <c r="AE80" s="9">
        <v>-5.4832053507968097E-3</v>
      </c>
      <c r="AF80" s="9">
        <v>-1.18685112168158E-3</v>
      </c>
      <c r="AG80" s="9">
        <v>-2.1315078787618302E-3</v>
      </c>
      <c r="AZ80" s="9"/>
      <c r="BB80">
        <f t="shared" si="2"/>
        <v>1</v>
      </c>
      <c r="BC80">
        <f t="shared" si="3"/>
        <v>0</v>
      </c>
      <c r="BD80">
        <f t="shared" si="4"/>
        <v>1</v>
      </c>
      <c r="BE80">
        <f t="shared" si="0"/>
        <v>1</v>
      </c>
      <c r="BF80">
        <f t="shared" si="5"/>
        <v>1</v>
      </c>
      <c r="BG80" s="9">
        <f t="shared" si="6"/>
        <v>7.5559789889534197E-3</v>
      </c>
      <c r="BH80" s="9">
        <f t="shared" si="7"/>
        <v>-6.4667592589907098E-3</v>
      </c>
      <c r="BI80" s="9">
        <f t="shared" si="8"/>
        <v>1.0892197299627098E-3</v>
      </c>
      <c r="BJ80" s="12">
        <f t="shared" si="9"/>
        <v>1.0306222277736355E-2</v>
      </c>
      <c r="BL80" s="9"/>
      <c r="BN80">
        <f t="shared" si="10"/>
        <v>0</v>
      </c>
      <c r="BO80">
        <f t="shared" si="11"/>
        <v>1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-6.9238753757831784E-4</v>
      </c>
      <c r="BX80" s="12">
        <f t="shared" si="18"/>
        <v>1.0892197299627098E-3</v>
      </c>
      <c r="BY80" s="12">
        <f t="shared" si="19"/>
        <v>9.6138347401580372E-3</v>
      </c>
    </row>
    <row r="81" spans="1:77" x14ac:dyDescent="0.3">
      <c r="A81" s="1">
        <v>46140</v>
      </c>
      <c r="B81" s="8">
        <v>51.85</v>
      </c>
      <c r="C81" s="8">
        <v>124.34</v>
      </c>
      <c r="D81" s="9">
        <v>7.7175384883930898E-4</v>
      </c>
      <c r="E81" s="9">
        <v>1.85147969976172E-3</v>
      </c>
      <c r="F81" s="8">
        <v>0</v>
      </c>
      <c r="G81" s="8">
        <v>0.2515</v>
      </c>
      <c r="H81" s="8">
        <v>0</v>
      </c>
      <c r="I81" s="8">
        <v>0.57620000000000005</v>
      </c>
      <c r="J81" s="8">
        <v>0.2515</v>
      </c>
      <c r="K81" s="8">
        <v>0.57620000000000005</v>
      </c>
      <c r="L81" s="8">
        <v>52.101500000000001</v>
      </c>
      <c r="M81" s="8">
        <v>124.9162</v>
      </c>
      <c r="N81" s="10">
        <v>2.3980713596914098</v>
      </c>
      <c r="O81" s="10">
        <v>2.3820577689553399</v>
      </c>
      <c r="P81" s="10">
        <v>2.39371474519973</v>
      </c>
      <c r="Q81" s="10">
        <v>2.3918929128833302</v>
      </c>
      <c r="R81" s="8">
        <v>123.509695320334</v>
      </c>
      <c r="S81" s="8">
        <v>124.08085113767901</v>
      </c>
      <c r="T81" s="8">
        <v>123.970288662033</v>
      </c>
      <c r="U81" s="9">
        <v>-6.7000912363931802E-3</v>
      </c>
      <c r="V81" s="9">
        <v>-2.0863704084324399E-3</v>
      </c>
      <c r="W81" s="9">
        <v>-2.97781951088008E-3</v>
      </c>
      <c r="X81" s="10">
        <v>2.39755477289521</v>
      </c>
      <c r="Y81" s="10">
        <v>2.3818827909075999</v>
      </c>
      <c r="Z81" s="10">
        <v>2.3932211343655099</v>
      </c>
      <c r="AA81" s="10">
        <v>2.3914006905268899</v>
      </c>
      <c r="AB81" s="8">
        <v>124.099666230472</v>
      </c>
      <c r="AC81" s="8">
        <v>124.657149127276</v>
      </c>
      <c r="AD81" s="8">
        <v>124.546124778936</v>
      </c>
      <c r="AE81" s="9">
        <v>-6.5581097975612604E-3</v>
      </c>
      <c r="AF81" s="9">
        <v>-2.0759505505084101E-3</v>
      </c>
      <c r="AG81" s="9">
        <v>-2.96698503770392E-3</v>
      </c>
      <c r="AZ81" s="9"/>
      <c r="BB81">
        <f t="shared" si="2"/>
        <v>1</v>
      </c>
      <c r="BC81">
        <f t="shared" si="3"/>
        <v>0</v>
      </c>
      <c r="BD81">
        <f t="shared" si="4"/>
        <v>1</v>
      </c>
      <c r="BE81">
        <f t="shared" si="0"/>
        <v>1</v>
      </c>
      <c r="BF81">
        <f t="shared" si="5"/>
        <v>1</v>
      </c>
      <c r="BG81" s="9">
        <f t="shared" si="6"/>
        <v>7.7175384883930898E-4</v>
      </c>
      <c r="BH81" s="9">
        <f t="shared" si="7"/>
        <v>-1.85147969976172E-3</v>
      </c>
      <c r="BI81" s="9">
        <f t="shared" si="8"/>
        <v>-1.079725850922411E-3</v>
      </c>
      <c r="BJ81" s="12">
        <f t="shared" si="9"/>
        <v>9.2264964268139443E-3</v>
      </c>
      <c r="BL81" s="9"/>
      <c r="BN81">
        <f t="shared" si="10"/>
        <v>0</v>
      </c>
      <c r="BO81">
        <f t="shared" si="11"/>
        <v>1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-6.9238753757831784E-4</v>
      </c>
      <c r="BX81" s="12">
        <f t="shared" si="18"/>
        <v>-1.079725850922411E-3</v>
      </c>
      <c r="BY81" s="12">
        <f t="shared" si="19"/>
        <v>8.5341088892356264E-3</v>
      </c>
    </row>
    <row r="82" spans="1:77" x14ac:dyDescent="0.3">
      <c r="A82" s="1">
        <v>46141</v>
      </c>
      <c r="B82" s="8">
        <v>51.92</v>
      </c>
      <c r="C82" s="8">
        <v>123.17</v>
      </c>
      <c r="D82" s="9">
        <v>1.3491377202983199E-3</v>
      </c>
      <c r="E82" s="9">
        <v>-9.4542338877986291E-3</v>
      </c>
      <c r="F82" s="8">
        <v>0</v>
      </c>
      <c r="G82" s="8">
        <v>0.2515</v>
      </c>
      <c r="H82" s="8">
        <v>0</v>
      </c>
      <c r="I82" s="8">
        <v>0.57620000000000005</v>
      </c>
      <c r="J82" s="8">
        <v>0.2515</v>
      </c>
      <c r="K82" s="8">
        <v>0.57620000000000005</v>
      </c>
      <c r="L82" s="8">
        <v>52.171500000000002</v>
      </c>
      <c r="M82" s="8">
        <v>123.7462</v>
      </c>
      <c r="N82" s="10">
        <v>2.3723035439137101</v>
      </c>
      <c r="O82" s="10">
        <v>2.3820577689553399</v>
      </c>
      <c r="P82" s="10">
        <v>2.3920338479138898</v>
      </c>
      <c r="Q82" s="10">
        <v>2.39134665600975</v>
      </c>
      <c r="R82" s="8">
        <v>123.676439364161</v>
      </c>
      <c r="S82" s="8">
        <v>124.28166957077001</v>
      </c>
      <c r="T82" s="8">
        <v>124.187080036902</v>
      </c>
      <c r="U82" s="9">
        <v>4.1032803717037502E-3</v>
      </c>
      <c r="V82" s="9">
        <v>8.9850034269088799E-3</v>
      </c>
      <c r="W82" s="9">
        <v>8.2236236671913206E-3</v>
      </c>
      <c r="X82" s="10">
        <v>2.3719118675905402</v>
      </c>
      <c r="Y82" s="10">
        <v>2.3818827909075999</v>
      </c>
      <c r="Z82" s="10">
        <v>2.3915481146444</v>
      </c>
      <c r="AA82" s="10">
        <v>2.3908582086769301</v>
      </c>
      <c r="AB82" s="8">
        <v>124.266398025836</v>
      </c>
      <c r="AC82" s="8">
        <v>124.85793641155</v>
      </c>
      <c r="AD82" s="8">
        <v>124.762961125823</v>
      </c>
      <c r="AE82" s="9">
        <v>4.19493842510975E-3</v>
      </c>
      <c r="AF82" s="9">
        <v>8.9438883723204996E-3</v>
      </c>
      <c r="AG82" s="9">
        <v>8.1829321282981295E-3</v>
      </c>
      <c r="AZ82" s="9"/>
      <c r="BB82">
        <f t="shared" si="2"/>
        <v>0</v>
      </c>
      <c r="BC82">
        <f t="shared" si="3"/>
        <v>1</v>
      </c>
      <c r="BD82">
        <f t="shared" si="4"/>
        <v>1</v>
      </c>
      <c r="BE82">
        <f t="shared" si="0"/>
        <v>1</v>
      </c>
      <c r="BF82">
        <f t="shared" si="5"/>
        <v>1</v>
      </c>
      <c r="BG82" s="9">
        <f t="shared" si="6"/>
        <v>1.3491377202983199E-3</v>
      </c>
      <c r="BH82" s="9">
        <f t="shared" si="7"/>
        <v>9.4542338877986291E-3</v>
      </c>
      <c r="BI82" s="9">
        <f t="shared" si="8"/>
        <v>1.0803371608096949E-2</v>
      </c>
      <c r="BJ82" s="12">
        <f t="shared" si="9"/>
        <v>2.0029868034910893E-2</v>
      </c>
      <c r="BL82" s="9"/>
      <c r="BN82">
        <f t="shared" si="10"/>
        <v>1</v>
      </c>
      <c r="BO82">
        <f t="shared" si="11"/>
        <v>0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-6.9238753757831784E-4</v>
      </c>
      <c r="BX82" s="12">
        <f t="shared" si="18"/>
        <v>1.0803371608096949E-2</v>
      </c>
      <c r="BY82" s="12">
        <f t="shared" si="19"/>
        <v>1.9337480497332575E-2</v>
      </c>
    </row>
    <row r="83" spans="1:77" x14ac:dyDescent="0.3">
      <c r="A83" s="1">
        <v>46142</v>
      </c>
      <c r="B83" s="8">
        <v>52.13</v>
      </c>
      <c r="C83" s="8">
        <v>124.34</v>
      </c>
      <c r="D83" s="9">
        <v>4.0365263841800302E-3</v>
      </c>
      <c r="E83" s="9">
        <v>9.4542338877986604E-3</v>
      </c>
      <c r="F83" s="8">
        <v>0</v>
      </c>
      <c r="G83" s="8">
        <v>0.2515</v>
      </c>
      <c r="H83" s="8">
        <v>0</v>
      </c>
      <c r="I83" s="8">
        <v>0.57620000000000005</v>
      </c>
      <c r="J83" s="8">
        <v>0.2515</v>
      </c>
      <c r="K83" s="8">
        <v>0.57620000000000005</v>
      </c>
      <c r="L83" s="8">
        <v>52.381500000000003</v>
      </c>
      <c r="M83" s="8">
        <v>124.9162</v>
      </c>
      <c r="N83" s="10">
        <v>2.3851908689813901</v>
      </c>
      <c r="O83" s="10">
        <v>2.3820577689553399</v>
      </c>
      <c r="P83" s="10">
        <v>2.3916907399244698</v>
      </c>
      <c r="Q83" s="10">
        <v>2.3912089502678802</v>
      </c>
      <c r="R83" s="8">
        <v>124.176671495641</v>
      </c>
      <c r="S83" s="8">
        <v>124.696724491751</v>
      </c>
      <c r="T83" s="8">
        <v>124.66090117778801</v>
      </c>
      <c r="U83" s="9">
        <v>-1.31442713191499E-3</v>
      </c>
      <c r="V83" s="9">
        <v>2.8648363927683798E-3</v>
      </c>
      <c r="W83" s="9">
        <v>2.5775115988027602E-3</v>
      </c>
      <c r="X83" s="10">
        <v>2.38473888682072</v>
      </c>
      <c r="Y83" s="10">
        <v>2.3818827909075999</v>
      </c>
      <c r="Z83" s="10">
        <v>2.3912067436265798</v>
      </c>
      <c r="AA83" s="10">
        <v>2.39072242327545</v>
      </c>
      <c r="AB83" s="8">
        <v>124.766593411926</v>
      </c>
      <c r="AC83" s="8">
        <v>125.272877567245</v>
      </c>
      <c r="AD83" s="8">
        <v>125.23673925781</v>
      </c>
      <c r="AE83" s="9">
        <v>-1.1983733755387201E-3</v>
      </c>
      <c r="AF83" s="9">
        <v>2.8512660293142098E-3</v>
      </c>
      <c r="AG83" s="9">
        <v>2.5627476870333202E-3</v>
      </c>
      <c r="AZ83" s="9"/>
      <c r="BB83">
        <f t="shared" si="2"/>
        <v>0</v>
      </c>
      <c r="BC83">
        <f t="shared" si="3"/>
        <v>1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2.0029868034910893E-2</v>
      </c>
      <c r="BL83" s="9"/>
      <c r="BN83">
        <f t="shared" si="10"/>
        <v>1</v>
      </c>
      <c r="BO83">
        <f t="shared" si="11"/>
        <v>0</v>
      </c>
      <c r="BP83">
        <f t="shared" si="12"/>
        <v>1</v>
      </c>
      <c r="BQ83">
        <f t="shared" si="1"/>
        <v>1</v>
      </c>
      <c r="BR83">
        <f t="shared" si="13"/>
        <v>1</v>
      </c>
      <c r="BS83" s="9">
        <f t="shared" si="14"/>
        <v>-4.0365263841800302E-3</v>
      </c>
      <c r="BT83" s="9">
        <f t="shared" si="15"/>
        <v>9.4542338877986604E-3</v>
      </c>
      <c r="BU83" s="9">
        <f t="shared" si="16"/>
        <v>5.4177075036186302E-3</v>
      </c>
      <c r="BV83" s="12">
        <f t="shared" si="17"/>
        <v>4.7253199660403124E-3</v>
      </c>
      <c r="BX83" s="12">
        <f t="shared" si="18"/>
        <v>5.4177075036186302E-3</v>
      </c>
      <c r="BY83" s="12">
        <f t="shared" si="19"/>
        <v>2.4755188000951205E-2</v>
      </c>
    </row>
    <row r="84" spans="1:77" x14ac:dyDescent="0.3">
      <c r="A84" s="1">
        <v>46143</v>
      </c>
      <c r="B84" s="8">
        <v>51.92</v>
      </c>
      <c r="C84" s="8">
        <v>123.88</v>
      </c>
      <c r="D84" s="9">
        <v>-4.0365263841799903E-3</v>
      </c>
      <c r="E84" s="9">
        <v>-3.70639373618952E-3</v>
      </c>
      <c r="F84" s="8">
        <v>0</v>
      </c>
      <c r="G84" s="8">
        <v>0.2515</v>
      </c>
      <c r="H84" s="8">
        <v>0</v>
      </c>
      <c r="I84" s="8">
        <v>0.57620000000000005</v>
      </c>
      <c r="J84" s="8">
        <v>0.2515</v>
      </c>
      <c r="K84" s="8">
        <v>0.57620000000000005</v>
      </c>
      <c r="L84" s="8">
        <v>52.171500000000002</v>
      </c>
      <c r="M84" s="8">
        <v>124.4562</v>
      </c>
      <c r="N84" s="10">
        <v>2.3859784283512999</v>
      </c>
      <c r="O84" s="10">
        <v>2.3820577689553399</v>
      </c>
      <c r="P84" s="10">
        <v>2.3912269768088099</v>
      </c>
      <c r="Q84" s="10">
        <v>2.3909843505871202</v>
      </c>
      <c r="R84" s="8">
        <v>123.676439364161</v>
      </c>
      <c r="S84" s="8">
        <v>124.176583216878</v>
      </c>
      <c r="T84" s="8">
        <v>124.151568697908</v>
      </c>
      <c r="U84" s="9">
        <v>-1.64455977990545E-3</v>
      </c>
      <c r="V84" s="9">
        <v>2.3912556913985301E-3</v>
      </c>
      <c r="W84" s="9">
        <v>2.1897922740465999E-3</v>
      </c>
      <c r="X84" s="10">
        <v>2.3855208303383999</v>
      </c>
      <c r="Y84" s="10">
        <v>2.3818827909075999</v>
      </c>
      <c r="Z84" s="10">
        <v>2.3907447515107001</v>
      </c>
      <c r="AA84" s="10">
        <v>2.3905000567492198</v>
      </c>
      <c r="AB84" s="8">
        <v>124.266398025836</v>
      </c>
      <c r="AC84" s="8">
        <v>124.752842625114</v>
      </c>
      <c r="AD84" s="8">
        <v>124.72757490591501</v>
      </c>
      <c r="AE84" s="9">
        <v>-1.52621444543484E-3</v>
      </c>
      <c r="AF84" s="9">
        <v>2.3806741689147799E-3</v>
      </c>
      <c r="AG84" s="9">
        <v>2.1781114224251E-3</v>
      </c>
      <c r="AZ84" s="9"/>
      <c r="BB84">
        <f t="shared" si="2"/>
        <v>0</v>
      </c>
      <c r="BC84">
        <f t="shared" si="3"/>
        <v>1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2.0029868034910893E-2</v>
      </c>
      <c r="BL84" s="9"/>
      <c r="BN84">
        <f t="shared" si="10"/>
        <v>0</v>
      </c>
      <c r="BO84">
        <f t="shared" si="11"/>
        <v>0</v>
      </c>
      <c r="BP84">
        <f t="shared" si="12"/>
        <v>1</v>
      </c>
      <c r="BQ84">
        <f t="shared" si="1"/>
        <v>1</v>
      </c>
      <c r="BR84">
        <f t="shared" si="13"/>
        <v>1</v>
      </c>
      <c r="BS84" s="9">
        <f t="shared" si="14"/>
        <v>4.0365263841799903E-3</v>
      </c>
      <c r="BT84" s="9">
        <f t="shared" si="15"/>
        <v>-3.70639373618952E-3</v>
      </c>
      <c r="BU84" s="9">
        <f t="shared" si="16"/>
        <v>3.3013264799047022E-4</v>
      </c>
      <c r="BV84" s="12">
        <f t="shared" si="17"/>
        <v>5.055452614030783E-3</v>
      </c>
      <c r="BX84" s="12">
        <f t="shared" si="18"/>
        <v>3.3013264799047022E-4</v>
      </c>
      <c r="BY84" s="12">
        <f t="shared" si="19"/>
        <v>2.5085320648941676E-2</v>
      </c>
    </row>
    <row r="85" spans="1:77" x14ac:dyDescent="0.3">
      <c r="A85" s="1">
        <v>46146</v>
      </c>
      <c r="B85" s="8">
        <v>51.58</v>
      </c>
      <c r="C85" s="8">
        <v>122.86</v>
      </c>
      <c r="D85" s="9">
        <v>-6.5700719426358698E-3</v>
      </c>
      <c r="E85" s="9">
        <v>-8.2678593692207102E-3</v>
      </c>
      <c r="F85" s="8">
        <v>0</v>
      </c>
      <c r="G85" s="8">
        <v>0.2515</v>
      </c>
      <c r="H85" s="8">
        <v>0</v>
      </c>
      <c r="I85" s="8">
        <v>0.57620000000000005</v>
      </c>
      <c r="J85" s="8">
        <v>0.2515</v>
      </c>
      <c r="K85" s="8">
        <v>0.57620000000000005</v>
      </c>
      <c r="L85" s="8">
        <v>51.831499999999998</v>
      </c>
      <c r="M85" s="8">
        <v>123.4362</v>
      </c>
      <c r="N85" s="10">
        <v>2.3819309810003801</v>
      </c>
      <c r="O85" s="10">
        <v>2.3820577689553399</v>
      </c>
      <c r="P85" s="10">
        <v>2.3902599001036</v>
      </c>
      <c r="Q85" s="10">
        <v>2.3906542757397902</v>
      </c>
      <c r="R85" s="8">
        <v>122.866539722716</v>
      </c>
      <c r="S85" s="8">
        <v>123.33948746379799</v>
      </c>
      <c r="T85" s="8">
        <v>123.326972803283</v>
      </c>
      <c r="U85" s="9">
        <v>5.3227646679203598E-5</v>
      </c>
      <c r="V85" s="9">
        <v>3.89511834462101E-3</v>
      </c>
      <c r="W85" s="9">
        <v>3.7936480392387101E-3</v>
      </c>
      <c r="X85" s="10">
        <v>2.3814900205473499</v>
      </c>
      <c r="Y85" s="10">
        <v>2.3818827909075999</v>
      </c>
      <c r="Z85" s="10">
        <v>2.3897813985830698</v>
      </c>
      <c r="AA85" s="10">
        <v>2.3901723854896999</v>
      </c>
      <c r="AB85" s="8">
        <v>123.45655787692699</v>
      </c>
      <c r="AC85" s="8">
        <v>123.915886587926</v>
      </c>
      <c r="AD85" s="8">
        <v>123.903203691397</v>
      </c>
      <c r="AE85" s="9">
        <v>1.6491271067364899E-4</v>
      </c>
      <c r="AF85" s="9">
        <v>3.8785780697111701E-3</v>
      </c>
      <c r="AG85" s="9">
        <v>3.7762219798217101E-3</v>
      </c>
      <c r="AZ85" s="9"/>
      <c r="BB85">
        <f t="shared" si="2"/>
        <v>0</v>
      </c>
      <c r="BC85">
        <f t="shared" si="3"/>
        <v>1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2.0029868034910893E-2</v>
      </c>
      <c r="BL85" s="9"/>
      <c r="BN85">
        <f t="shared" si="10"/>
        <v>1</v>
      </c>
      <c r="BO85">
        <f t="shared" si="11"/>
        <v>0</v>
      </c>
      <c r="BP85">
        <f t="shared" si="12"/>
        <v>1</v>
      </c>
      <c r="BQ85">
        <f t="shared" si="1"/>
        <v>1</v>
      </c>
      <c r="BR85">
        <f t="shared" si="13"/>
        <v>1</v>
      </c>
      <c r="BS85" s="9">
        <f t="shared" si="14"/>
        <v>6.5700719426358698E-3</v>
      </c>
      <c r="BT85" s="9">
        <f t="shared" si="15"/>
        <v>-8.2678593692207102E-3</v>
      </c>
      <c r="BU85" s="9">
        <f t="shared" si="16"/>
        <v>-1.6977874265848404E-3</v>
      </c>
      <c r="BV85" s="12">
        <f t="shared" si="17"/>
        <v>3.3576651874459426E-3</v>
      </c>
      <c r="BX85" s="12">
        <f t="shared" si="18"/>
        <v>-1.6977874265848404E-3</v>
      </c>
      <c r="BY85" s="12">
        <f t="shared" si="19"/>
        <v>2.3387533222356836E-2</v>
      </c>
    </row>
    <row r="86" spans="1:77" x14ac:dyDescent="0.3">
      <c r="A86" s="1">
        <v>46147</v>
      </c>
      <c r="B86" s="8">
        <v>51.59</v>
      </c>
      <c r="C86" s="8">
        <v>123.38</v>
      </c>
      <c r="D86" s="9">
        <v>1.9385480335985201E-4</v>
      </c>
      <c r="E86" s="9">
        <v>4.22352804571115E-3</v>
      </c>
      <c r="F86" s="8">
        <v>0</v>
      </c>
      <c r="G86" s="8">
        <v>0.2515</v>
      </c>
      <c r="H86" s="8">
        <v>0</v>
      </c>
      <c r="I86" s="8">
        <v>0.57620000000000005</v>
      </c>
      <c r="J86" s="8">
        <v>0.2515</v>
      </c>
      <c r="K86" s="8">
        <v>0.57620000000000005</v>
      </c>
      <c r="L86" s="8">
        <v>51.841500000000003</v>
      </c>
      <c r="M86" s="8">
        <v>123.9562</v>
      </c>
      <c r="N86" s="10">
        <v>2.3915487497577002</v>
      </c>
      <c r="O86" s="10">
        <v>2.3820577689553399</v>
      </c>
      <c r="P86" s="10">
        <v>2.3898545456338698</v>
      </c>
      <c r="Q86" s="10">
        <v>2.3906747765797198</v>
      </c>
      <c r="R86" s="8">
        <v>122.890360300406</v>
      </c>
      <c r="S86" s="8">
        <v>123.31350824634499</v>
      </c>
      <c r="T86" s="8">
        <v>123.333854085415</v>
      </c>
      <c r="U86" s="9">
        <v>-3.9764455956720303E-3</v>
      </c>
      <c r="V86" s="9">
        <v>-5.3906368057848202E-4</v>
      </c>
      <c r="W86" s="9">
        <v>-3.7408450606385202E-4</v>
      </c>
      <c r="X86" s="10">
        <v>2.39106121543551</v>
      </c>
      <c r="Y86" s="10">
        <v>2.3818827909075999</v>
      </c>
      <c r="Z86" s="10">
        <v>2.3893773253652899</v>
      </c>
      <c r="AA86" s="10">
        <v>2.3901936149777598</v>
      </c>
      <c r="AB86" s="8">
        <v>123.480376704836</v>
      </c>
      <c r="AC86" s="8">
        <v>123.88985237464399</v>
      </c>
      <c r="AD86" s="8">
        <v>123.910121722364</v>
      </c>
      <c r="AE86" s="9">
        <v>-3.8460270347127901E-3</v>
      </c>
      <c r="AF86" s="9">
        <v>-5.35393856830661E-4</v>
      </c>
      <c r="AG86" s="9">
        <v>-3.7179942677043E-4</v>
      </c>
      <c r="AZ86" s="9"/>
      <c r="BB86">
        <f t="shared" si="2"/>
        <v>0</v>
      </c>
      <c r="BC86">
        <f t="shared" si="3"/>
        <v>0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2.0029868034910893E-2</v>
      </c>
      <c r="BL86" s="9"/>
      <c r="BN86">
        <f t="shared" si="10"/>
        <v>0</v>
      </c>
      <c r="BO86">
        <f t="shared" si="11"/>
        <v>1</v>
      </c>
      <c r="BP86">
        <f t="shared" si="12"/>
        <v>1</v>
      </c>
      <c r="BQ86">
        <f t="shared" ref="BQ86:BQ149" si="21">IF(F87+H87&gt;0,0,1)</f>
        <v>1</v>
      </c>
      <c r="BR86">
        <f t="shared" si="13"/>
        <v>1</v>
      </c>
      <c r="BS86" s="9">
        <f t="shared" si="14"/>
        <v>-1.9385480335985201E-4</v>
      </c>
      <c r="BT86" s="9">
        <f t="shared" si="15"/>
        <v>4.22352804571115E-3</v>
      </c>
      <c r="BU86" s="9">
        <f t="shared" si="16"/>
        <v>4.029673242351298E-3</v>
      </c>
      <c r="BV86" s="12">
        <f t="shared" si="17"/>
        <v>7.3873384297972406E-3</v>
      </c>
      <c r="BX86" s="12">
        <f t="shared" si="18"/>
        <v>4.029673242351298E-3</v>
      </c>
      <c r="BY86" s="12">
        <f t="shared" si="19"/>
        <v>2.7417206464708133E-2</v>
      </c>
    </row>
    <row r="87" spans="1:77" x14ac:dyDescent="0.3">
      <c r="A87" s="1">
        <v>46148</v>
      </c>
      <c r="B87" s="8">
        <v>51.84</v>
      </c>
      <c r="C87" s="8">
        <v>124.23</v>
      </c>
      <c r="D87" s="9">
        <v>4.8341967874606399E-3</v>
      </c>
      <c r="E87" s="9">
        <v>6.8656624440931596E-3</v>
      </c>
      <c r="F87" s="8">
        <v>0</v>
      </c>
      <c r="G87" s="8">
        <v>0.2515</v>
      </c>
      <c r="H87" s="8">
        <v>0</v>
      </c>
      <c r="I87" s="8">
        <v>0.57620000000000005</v>
      </c>
      <c r="J87" s="8">
        <v>0.2515</v>
      </c>
      <c r="K87" s="8">
        <v>0.57620000000000005</v>
      </c>
      <c r="L87" s="8">
        <v>52.091500000000003</v>
      </c>
      <c r="M87" s="8">
        <v>124.8062</v>
      </c>
      <c r="N87" s="10">
        <v>2.3964120370370301</v>
      </c>
      <c r="O87" s="10">
        <v>2.3820577689553399</v>
      </c>
      <c r="P87" s="10">
        <v>2.39025039404165</v>
      </c>
      <c r="Q87" s="10">
        <v>2.3909641284315701</v>
      </c>
      <c r="R87" s="8">
        <v>123.485874742644</v>
      </c>
      <c r="S87" s="8">
        <v>123.89005964565899</v>
      </c>
      <c r="T87" s="8">
        <v>123.932580417892</v>
      </c>
      <c r="U87" s="9">
        <v>-6.0079112523044199E-3</v>
      </c>
      <c r="V87" s="9">
        <v>-2.7401296575835302E-3</v>
      </c>
      <c r="W87" s="9">
        <v>-2.3969747897379201E-3</v>
      </c>
      <c r="X87" s="10">
        <v>2.3959033623527799</v>
      </c>
      <c r="Y87" s="10">
        <v>2.3818827909075999</v>
      </c>
      <c r="Z87" s="10">
        <v>2.3897709173214299</v>
      </c>
      <c r="AA87" s="10">
        <v>2.3904818688169001</v>
      </c>
      <c r="AB87" s="8">
        <v>124.075847402563</v>
      </c>
      <c r="AC87" s="8">
        <v>124.466248944266</v>
      </c>
      <c r="AD87" s="8">
        <v>124.508770694614</v>
      </c>
      <c r="AE87" s="9">
        <v>-5.8690829776031003E-3</v>
      </c>
      <c r="AF87" s="9">
        <v>-2.7275478531992099E-3</v>
      </c>
      <c r="AG87" s="9">
        <v>-2.3859734187599798E-3</v>
      </c>
      <c r="AZ87" s="9"/>
      <c r="BB87">
        <f t="shared" ref="BB87:BB150" si="22">IF($AG87&lt;BA$20,1,0)</f>
        <v>1</v>
      </c>
      <c r="BC87">
        <f t="shared" ref="BC87:BC150" si="23">IF($AG87&gt;BA$21,1,0)</f>
        <v>0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2.0029868034910893E-2</v>
      </c>
      <c r="BL87" s="9"/>
      <c r="BN87">
        <f t="shared" ref="BN87:BN150" si="30">IF($AG87&gt;BM$20,1,0)</f>
        <v>0</v>
      </c>
      <c r="BO87">
        <f t="shared" ref="BO87:BO150" si="31">IF($AG87&lt;BM$21,1,0)</f>
        <v>1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7.3873384297972406E-3</v>
      </c>
      <c r="BX87" s="12">
        <f t="shared" ref="BX87:BX150" si="38">BI87+BU87</f>
        <v>0</v>
      </c>
      <c r="BY87" s="12">
        <f t="shared" ref="BY87:BY150" si="39">BY86+BX87</f>
        <v>2.7417206464708133E-2</v>
      </c>
    </row>
    <row r="88" spans="1:77" x14ac:dyDescent="0.3">
      <c r="A88" s="1">
        <v>46149</v>
      </c>
      <c r="B88" s="8">
        <v>51.55</v>
      </c>
      <c r="C88" s="8">
        <v>123.09</v>
      </c>
      <c r="D88" s="9">
        <v>-5.6098415810504404E-3</v>
      </c>
      <c r="E88" s="9">
        <v>-9.2188911033811698E-3</v>
      </c>
      <c r="F88" s="8">
        <v>0</v>
      </c>
      <c r="G88" s="8">
        <v>0.2515</v>
      </c>
      <c r="H88" s="8">
        <v>0</v>
      </c>
      <c r="I88" s="8">
        <v>0.57620000000000005</v>
      </c>
      <c r="J88" s="8">
        <v>0.2515</v>
      </c>
      <c r="K88" s="8">
        <v>0.57620000000000005</v>
      </c>
      <c r="L88" s="8">
        <v>51.801499999999997</v>
      </c>
      <c r="M88" s="8">
        <v>123.6662</v>
      </c>
      <c r="N88" s="10">
        <v>2.3877788554801098</v>
      </c>
      <c r="O88" s="10">
        <v>2.3820577689553399</v>
      </c>
      <c r="P88" s="10">
        <v>2.3892792448406301</v>
      </c>
      <c r="Q88" s="10">
        <v>2.3907154323978599</v>
      </c>
      <c r="R88" s="8">
        <v>122.795077989647</v>
      </c>
      <c r="S88" s="8">
        <v>123.217407812847</v>
      </c>
      <c r="T88" s="8">
        <v>123.254200820647</v>
      </c>
      <c r="U88" s="9">
        <v>-2.3988617299735399E-3</v>
      </c>
      <c r="V88" s="9">
        <v>1.0345431779102601E-3</v>
      </c>
      <c r="W88" s="9">
        <v>1.33310095726319E-3</v>
      </c>
      <c r="X88" s="10">
        <v>2.3873092478017002</v>
      </c>
      <c r="Y88" s="10">
        <v>2.3818827909075999</v>
      </c>
      <c r="Z88" s="10">
        <v>2.3888042349240899</v>
      </c>
      <c r="AA88" s="10">
        <v>2.3902344855161801</v>
      </c>
      <c r="AB88" s="8">
        <v>123.3851013932</v>
      </c>
      <c r="AC88" s="8">
        <v>123.793718173626</v>
      </c>
      <c r="AD88" s="8">
        <v>123.830546527518</v>
      </c>
      <c r="AE88" s="9">
        <v>-2.2756304178134399E-3</v>
      </c>
      <c r="AF88" s="9">
        <v>1.03061688417677E-3</v>
      </c>
      <c r="AG88" s="9">
        <v>1.3280704007670801E-3</v>
      </c>
      <c r="AZ88" s="9"/>
      <c r="BB88">
        <f t="shared" si="22"/>
        <v>0</v>
      </c>
      <c r="BC88">
        <f t="shared" si="23"/>
        <v>1</v>
      </c>
      <c r="BD88">
        <f t="shared" si="24"/>
        <v>1</v>
      </c>
      <c r="BE88">
        <f t="shared" si="20"/>
        <v>1</v>
      </c>
      <c r="BF88">
        <f t="shared" si="25"/>
        <v>1</v>
      </c>
      <c r="BG88" s="9">
        <f t="shared" si="26"/>
        <v>-5.6098415810504404E-3</v>
      </c>
      <c r="BH88" s="9">
        <f t="shared" si="27"/>
        <v>9.2188911033811698E-3</v>
      </c>
      <c r="BI88" s="9">
        <f t="shared" si="28"/>
        <v>3.6090495223307295E-3</v>
      </c>
      <c r="BJ88" s="12">
        <f t="shared" si="29"/>
        <v>2.3638917557241623E-2</v>
      </c>
      <c r="BL88" s="9"/>
      <c r="BN88">
        <f t="shared" si="30"/>
        <v>0</v>
      </c>
      <c r="BO88">
        <f t="shared" si="31"/>
        <v>0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7.3873384297972406E-3</v>
      </c>
      <c r="BX88" s="12">
        <f t="shared" si="38"/>
        <v>3.6090495223307295E-3</v>
      </c>
      <c r="BY88" s="12">
        <f t="shared" si="39"/>
        <v>3.1026255987038863E-2</v>
      </c>
    </row>
    <row r="89" spans="1:77" x14ac:dyDescent="0.3">
      <c r="A89" s="1">
        <v>46150</v>
      </c>
      <c r="B89" s="8">
        <v>51.24</v>
      </c>
      <c r="C89" s="8">
        <v>122.62</v>
      </c>
      <c r="D89" s="9">
        <v>-6.0317334344353202E-3</v>
      </c>
      <c r="E89" s="9">
        <v>-3.8256527876624901E-3</v>
      </c>
      <c r="F89" s="8">
        <v>0</v>
      </c>
      <c r="G89" s="8">
        <v>0.2515</v>
      </c>
      <c r="H89" s="8">
        <v>0</v>
      </c>
      <c r="I89" s="8">
        <v>0.57620000000000005</v>
      </c>
      <c r="J89" s="8">
        <v>0.2515</v>
      </c>
      <c r="K89" s="8">
        <v>0.57620000000000005</v>
      </c>
      <c r="L89" s="8">
        <v>51.491500000000002</v>
      </c>
      <c r="M89" s="8">
        <v>123.1962</v>
      </c>
      <c r="N89" s="10">
        <v>2.3930523028883601</v>
      </c>
      <c r="O89" s="10">
        <v>2.3820577689553399</v>
      </c>
      <c r="P89" s="10">
        <v>2.3887750624495698</v>
      </c>
      <c r="Q89" s="10">
        <v>2.3907009212866099</v>
      </c>
      <c r="R89" s="8">
        <v>122.056640081271</v>
      </c>
      <c r="S89" s="8">
        <v>122.426668505633</v>
      </c>
      <c r="T89" s="8">
        <v>122.500258756066</v>
      </c>
      <c r="U89" s="9">
        <v>-4.6049423767463397E-3</v>
      </c>
      <c r="V89" s="9">
        <v>-1.57791604071504E-3</v>
      </c>
      <c r="W89" s="9">
        <v>-9.7700005757070298E-4</v>
      </c>
      <c r="X89" s="10">
        <v>2.39255411087266</v>
      </c>
      <c r="Y89" s="10">
        <v>2.3818827909075999</v>
      </c>
      <c r="Z89" s="10">
        <v>2.3883023329858002</v>
      </c>
      <c r="AA89" s="10">
        <v>2.39022027539681</v>
      </c>
      <c r="AB89" s="8">
        <v>122.646717728018</v>
      </c>
      <c r="AC89" s="8">
        <v>123.003113262594</v>
      </c>
      <c r="AD89" s="8">
        <v>123.076759010956</v>
      </c>
      <c r="AE89" s="9">
        <v>-4.4701974095404402E-3</v>
      </c>
      <c r="AF89" s="9">
        <v>-1.56854033778588E-3</v>
      </c>
      <c r="AG89" s="9">
        <v>-9.6998873841247003E-4</v>
      </c>
      <c r="AZ89" s="9"/>
      <c r="BB89">
        <f t="shared" si="22"/>
        <v>0</v>
      </c>
      <c r="BC89">
        <f t="shared" si="23"/>
        <v>0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2.3638917557241623E-2</v>
      </c>
      <c r="BL89" s="9"/>
      <c r="BN89">
        <f t="shared" si="30"/>
        <v>0</v>
      </c>
      <c r="BO89">
        <f t="shared" si="31"/>
        <v>1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7.3873384297972406E-3</v>
      </c>
      <c r="BX89" s="12">
        <f t="shared" si="38"/>
        <v>0</v>
      </c>
      <c r="BY89" s="12">
        <f t="shared" si="39"/>
        <v>3.1026255987038863E-2</v>
      </c>
    </row>
    <row r="90" spans="1:77" x14ac:dyDescent="0.3">
      <c r="A90" s="1">
        <v>46153</v>
      </c>
      <c r="B90" s="8">
        <v>51.18</v>
      </c>
      <c r="C90" s="8">
        <v>122.14</v>
      </c>
      <c r="D90" s="9">
        <v>-1.17164629689074E-3</v>
      </c>
      <c r="E90" s="9">
        <v>-3.9222145395531802E-3</v>
      </c>
      <c r="F90" s="8">
        <v>0</v>
      </c>
      <c r="G90" s="8">
        <v>0.2515</v>
      </c>
      <c r="H90" s="8">
        <v>0</v>
      </c>
      <c r="I90" s="8">
        <v>0.57620000000000005</v>
      </c>
      <c r="J90" s="8">
        <v>0.2515</v>
      </c>
      <c r="K90" s="8">
        <v>0.57620000000000005</v>
      </c>
      <c r="L90" s="8">
        <v>51.4315</v>
      </c>
      <c r="M90" s="8">
        <v>122.7162</v>
      </c>
      <c r="N90" s="10">
        <v>2.3864790933958502</v>
      </c>
      <c r="O90" s="10">
        <v>2.3820577689553399</v>
      </c>
      <c r="P90" s="10">
        <v>2.38787462204973</v>
      </c>
      <c r="Q90" s="10">
        <v>2.3904739661615899</v>
      </c>
      <c r="R90" s="8">
        <v>121.91371661513401</v>
      </c>
      <c r="S90" s="8">
        <v>122.257507696169</v>
      </c>
      <c r="T90" s="8">
        <v>122.356073151449</v>
      </c>
      <c r="U90" s="9">
        <v>-1.8543741340839701E-3</v>
      </c>
      <c r="V90" s="9">
        <v>9.6161132191543498E-4</v>
      </c>
      <c r="W90" s="9">
        <v>1.76749838895992E-3</v>
      </c>
      <c r="X90" s="10">
        <v>2.3860124631791799</v>
      </c>
      <c r="Y90" s="10">
        <v>2.3818827909075999</v>
      </c>
      <c r="Z90" s="10">
        <v>2.3874056777833998</v>
      </c>
      <c r="AA90" s="10">
        <v>2.3899942040853799</v>
      </c>
      <c r="AB90" s="8">
        <v>122.50380476056399</v>
      </c>
      <c r="AC90" s="8">
        <v>122.833971438959</v>
      </c>
      <c r="AD90" s="8">
        <v>122.932614094071</v>
      </c>
      <c r="AE90" s="9">
        <v>-1.7322835692465601E-3</v>
      </c>
      <c r="AF90" s="9">
        <v>9.5924549594117502E-4</v>
      </c>
      <c r="AG90" s="9">
        <v>1.76198001084629E-3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2.3638917557241623E-2</v>
      </c>
      <c r="BL90" s="9"/>
      <c r="BN90">
        <f t="shared" si="30"/>
        <v>0</v>
      </c>
      <c r="BO90">
        <f t="shared" si="31"/>
        <v>0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7.3873384297972406E-3</v>
      </c>
      <c r="BX90" s="12">
        <f t="shared" si="38"/>
        <v>0</v>
      </c>
      <c r="BY90" s="12">
        <f t="shared" si="39"/>
        <v>3.1026255987038863E-2</v>
      </c>
    </row>
    <row r="91" spans="1:77" x14ac:dyDescent="0.3">
      <c r="A91" s="1">
        <v>46154</v>
      </c>
      <c r="B91" s="8">
        <v>51.58</v>
      </c>
      <c r="C91" s="8">
        <v>123</v>
      </c>
      <c r="D91" s="9">
        <v>7.7851697215558999E-3</v>
      </c>
      <c r="E91" s="9">
        <v>7.0164275774288899E-3</v>
      </c>
      <c r="F91" s="8">
        <v>0</v>
      </c>
      <c r="G91" s="8">
        <v>0.2515</v>
      </c>
      <c r="H91" s="8">
        <v>0</v>
      </c>
      <c r="I91" s="8">
        <v>0.57620000000000005</v>
      </c>
      <c r="J91" s="8">
        <v>0.2515</v>
      </c>
      <c r="K91" s="8">
        <v>0.57620000000000005</v>
      </c>
      <c r="L91" s="8">
        <v>51.831499999999998</v>
      </c>
      <c r="M91" s="8">
        <v>123.5762</v>
      </c>
      <c r="N91" s="10">
        <v>2.3846452113222099</v>
      </c>
      <c r="O91" s="10">
        <v>2.3820577689553399</v>
      </c>
      <c r="P91" s="10">
        <v>2.3865320072128098</v>
      </c>
      <c r="Q91" s="10">
        <v>2.3901233762062701</v>
      </c>
      <c r="R91" s="8">
        <v>122.866539722716</v>
      </c>
      <c r="S91" s="8">
        <v>123.16657300532501</v>
      </c>
      <c r="T91" s="8">
        <v>123.30064717461499</v>
      </c>
      <c r="U91" s="9">
        <v>-1.0856319899569199E-3</v>
      </c>
      <c r="V91" s="9">
        <v>1.3533359035302901E-3</v>
      </c>
      <c r="W91" s="9">
        <v>2.44130356444141E-3</v>
      </c>
      <c r="X91" s="10">
        <v>2.3841910807134599</v>
      </c>
      <c r="Y91" s="10">
        <v>2.3818827909075999</v>
      </c>
      <c r="Z91" s="10">
        <v>2.3860693085652298</v>
      </c>
      <c r="AA91" s="10">
        <v>2.3896452214653698</v>
      </c>
      <c r="AB91" s="8">
        <v>123.45655787692699</v>
      </c>
      <c r="AC91" s="8">
        <v>123.74281738803001</v>
      </c>
      <c r="AD91" s="8">
        <v>123.87698458905101</v>
      </c>
      <c r="AE91" s="9">
        <v>-9.6863374279028999E-4</v>
      </c>
      <c r="AF91" s="9">
        <v>1.34738860761778E-3</v>
      </c>
      <c r="AG91" s="9">
        <v>2.4310435744571801E-3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2.3638917557241623E-2</v>
      </c>
      <c r="BL91" s="9"/>
      <c r="BN91">
        <f t="shared" si="30"/>
        <v>1</v>
      </c>
      <c r="BO91">
        <f t="shared" si="31"/>
        <v>0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7.3873384297972406E-3</v>
      </c>
      <c r="BX91" s="12">
        <f t="shared" si="38"/>
        <v>0</v>
      </c>
      <c r="BY91" s="12">
        <f t="shared" si="39"/>
        <v>3.1026255987038863E-2</v>
      </c>
    </row>
    <row r="92" spans="1:77" x14ac:dyDescent="0.3">
      <c r="A92" s="1">
        <v>46155</v>
      </c>
      <c r="B92" s="8">
        <v>50.99</v>
      </c>
      <c r="C92" s="8">
        <v>121.76</v>
      </c>
      <c r="D92" s="9">
        <v>-1.1504465386134199E-2</v>
      </c>
      <c r="E92" s="9">
        <v>-1.01324612590417E-2</v>
      </c>
      <c r="F92" s="8">
        <v>0</v>
      </c>
      <c r="G92" s="8">
        <v>0.2515</v>
      </c>
      <c r="H92" s="8">
        <v>0</v>
      </c>
      <c r="I92" s="8">
        <v>0.57620000000000005</v>
      </c>
      <c r="J92" s="8">
        <v>0.2515</v>
      </c>
      <c r="K92" s="8">
        <v>0.57620000000000005</v>
      </c>
      <c r="L92" s="8">
        <v>51.241500000000002</v>
      </c>
      <c r="M92" s="8">
        <v>122.33620000000001</v>
      </c>
      <c r="N92" s="10">
        <v>2.3879191998431</v>
      </c>
      <c r="O92" s="10">
        <v>2.3820577689553399</v>
      </c>
      <c r="P92" s="10">
        <v>2.38809357280575</v>
      </c>
      <c r="Q92" s="10">
        <v>2.3900637103598199</v>
      </c>
      <c r="R92" s="8">
        <v>121.46112563903201</v>
      </c>
      <c r="S92" s="8">
        <v>121.689267047781</v>
      </c>
      <c r="T92" s="8">
        <v>121.872390952757</v>
      </c>
      <c r="U92" s="9">
        <v>-2.4576361170494201E-3</v>
      </c>
      <c r="V92" s="9">
        <v>-5.8108989250121499E-4</v>
      </c>
      <c r="W92" s="9">
        <v>9.2262740837557205E-4</v>
      </c>
      <c r="X92" s="10">
        <v>2.3874437711620402</v>
      </c>
      <c r="Y92" s="10">
        <v>2.3818827909075999</v>
      </c>
      <c r="Z92" s="10">
        <v>2.3876224989223802</v>
      </c>
      <c r="AA92" s="10">
        <v>2.3895853067833901</v>
      </c>
      <c r="AB92" s="8">
        <v>122.05124703029099</v>
      </c>
      <c r="AC92" s="8">
        <v>122.265770474845</v>
      </c>
      <c r="AD92" s="8">
        <v>122.449005615717</v>
      </c>
      <c r="AE92" s="9">
        <v>-2.3319781953184599E-3</v>
      </c>
      <c r="AF92" s="9">
        <v>-5.7587048022710496E-4</v>
      </c>
      <c r="AG92" s="9">
        <v>9.2167027349313903E-4</v>
      </c>
      <c r="AZ92" s="9"/>
      <c r="BB92">
        <f t="shared" si="22"/>
        <v>0</v>
      </c>
      <c r="BC92">
        <f t="shared" si="23"/>
        <v>1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2.3638917557241623E-2</v>
      </c>
      <c r="BL92" s="9"/>
      <c r="BN92">
        <f t="shared" si="30"/>
        <v>0</v>
      </c>
      <c r="BO92">
        <f t="shared" si="31"/>
        <v>0</v>
      </c>
      <c r="BP92">
        <f t="shared" si="32"/>
        <v>1</v>
      </c>
      <c r="BQ92">
        <f t="shared" si="21"/>
        <v>1</v>
      </c>
      <c r="BR92">
        <f t="shared" si="33"/>
        <v>1</v>
      </c>
      <c r="BS92" s="9">
        <f t="shared" si="34"/>
        <v>1.1504465386134199E-2</v>
      </c>
      <c r="BT92" s="9">
        <f t="shared" si="35"/>
        <v>-1.01324612590417E-2</v>
      </c>
      <c r="BU92" s="9">
        <f t="shared" si="36"/>
        <v>1.3720041270924993E-3</v>
      </c>
      <c r="BV92" s="12">
        <f t="shared" si="37"/>
        <v>8.759342556889739E-3</v>
      </c>
      <c r="BX92" s="12">
        <f t="shared" si="38"/>
        <v>1.3720041270924993E-3</v>
      </c>
      <c r="BY92" s="12">
        <f t="shared" si="39"/>
        <v>3.2398260114131362E-2</v>
      </c>
    </row>
    <row r="93" spans="1:77" x14ac:dyDescent="0.3">
      <c r="A93" s="1">
        <v>46156</v>
      </c>
      <c r="B93" s="8">
        <v>51.29</v>
      </c>
      <c r="C93" s="8">
        <v>122.5</v>
      </c>
      <c r="D93" s="9">
        <v>5.86626633411269E-3</v>
      </c>
      <c r="E93" s="9">
        <v>6.0591358714058999E-3</v>
      </c>
      <c r="F93" s="8">
        <v>0</v>
      </c>
      <c r="G93" s="8">
        <v>0.2515</v>
      </c>
      <c r="H93" s="8">
        <v>0</v>
      </c>
      <c r="I93" s="8">
        <v>0.57620000000000005</v>
      </c>
      <c r="J93" s="8">
        <v>0.2515</v>
      </c>
      <c r="K93" s="8">
        <v>0.57620000000000005</v>
      </c>
      <c r="L93" s="8">
        <v>51.541499999999999</v>
      </c>
      <c r="M93" s="8">
        <v>123.0762</v>
      </c>
      <c r="N93" s="10">
        <v>2.3883798011308199</v>
      </c>
      <c r="O93" s="10">
        <v>2.3820577689553399</v>
      </c>
      <c r="P93" s="10">
        <v>2.3884124660206898</v>
      </c>
      <c r="Q93" s="10">
        <v>2.39005160297258</v>
      </c>
      <c r="R93" s="8">
        <v>122.175742969719</v>
      </c>
      <c r="S93" s="8">
        <v>122.48531934920599</v>
      </c>
      <c r="T93" s="8">
        <v>122.586367704355</v>
      </c>
      <c r="U93" s="9">
        <v>-2.6505056543426799E-3</v>
      </c>
      <c r="V93" s="9">
        <v>-1.19849228922359E-4</v>
      </c>
      <c r="W93" s="9">
        <v>7.0479405884182303E-4</v>
      </c>
      <c r="X93" s="10">
        <v>2.3879048921742601</v>
      </c>
      <c r="Y93" s="10">
        <v>2.3818827909075999</v>
      </c>
      <c r="Z93" s="10">
        <v>2.3879390994577299</v>
      </c>
      <c r="AA93" s="10">
        <v>2.3895729215421602</v>
      </c>
      <c r="AB93" s="8">
        <v>122.765811867564</v>
      </c>
      <c r="AC93" s="8">
        <v>123.06164502820801</v>
      </c>
      <c r="AD93" s="8">
        <v>123.162811089576</v>
      </c>
      <c r="AE93" s="9">
        <v>-2.5251037851605099E-3</v>
      </c>
      <c r="AF93" s="9">
        <v>-1.18266833832521E-4</v>
      </c>
      <c r="AG93" s="9">
        <v>7.0347174287953903E-4</v>
      </c>
      <c r="AZ93" s="9"/>
      <c r="BB93">
        <f t="shared" si="22"/>
        <v>0</v>
      </c>
      <c r="BC93">
        <f t="shared" si="23"/>
        <v>1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2.3638917557241623E-2</v>
      </c>
      <c r="BL93" s="9"/>
      <c r="BN93">
        <f t="shared" si="30"/>
        <v>0</v>
      </c>
      <c r="BO93">
        <f t="shared" si="31"/>
        <v>0</v>
      </c>
      <c r="BP93">
        <f t="shared" si="32"/>
        <v>1</v>
      </c>
      <c r="BQ93">
        <f t="shared" si="21"/>
        <v>1</v>
      </c>
      <c r="BR93">
        <f t="shared" si="33"/>
        <v>1</v>
      </c>
      <c r="BS93" s="9">
        <f t="shared" si="34"/>
        <v>-5.86626633411269E-3</v>
      </c>
      <c r="BT93" s="9">
        <f t="shared" si="35"/>
        <v>6.0591358714058999E-3</v>
      </c>
      <c r="BU93" s="9">
        <f t="shared" si="36"/>
        <v>1.9286953729320995E-4</v>
      </c>
      <c r="BV93" s="12">
        <f t="shared" si="37"/>
        <v>8.952212094182949E-3</v>
      </c>
      <c r="BX93" s="12">
        <f t="shared" si="38"/>
        <v>1.9286953729320995E-4</v>
      </c>
      <c r="BY93" s="12">
        <f t="shared" si="39"/>
        <v>3.259112965142457E-2</v>
      </c>
    </row>
    <row r="94" spans="1:77" x14ac:dyDescent="0.3">
      <c r="A94" s="1">
        <v>46157</v>
      </c>
      <c r="B94" s="8">
        <v>51.1</v>
      </c>
      <c r="C94" s="8">
        <v>121.76</v>
      </c>
      <c r="D94" s="9">
        <v>-3.7113041915182599E-3</v>
      </c>
      <c r="E94" s="9">
        <v>-6.05913587140588E-3</v>
      </c>
      <c r="F94" s="8">
        <v>0</v>
      </c>
      <c r="G94" s="8">
        <v>0.2515</v>
      </c>
      <c r="H94" s="8">
        <v>0</v>
      </c>
      <c r="I94" s="8">
        <v>0.57620000000000005</v>
      </c>
      <c r="J94" s="8">
        <v>0.2515</v>
      </c>
      <c r="K94" s="8">
        <v>0.57620000000000005</v>
      </c>
      <c r="L94" s="8">
        <v>51.351500000000001</v>
      </c>
      <c r="M94" s="8">
        <v>122.33620000000001</v>
      </c>
      <c r="N94" s="10">
        <v>2.3827788649706401</v>
      </c>
      <c r="O94" s="10">
        <v>2.3820577689553399</v>
      </c>
      <c r="P94" s="10">
        <v>2.38809250968262</v>
      </c>
      <c r="Q94" s="10">
        <v>2.3896597432457201</v>
      </c>
      <c r="R94" s="8">
        <v>121.72315199361699</v>
      </c>
      <c r="S94" s="8">
        <v>122.047877013657</v>
      </c>
      <c r="T94" s="8">
        <v>122.13163691189899</v>
      </c>
      <c r="U94" s="9">
        <v>-3.0267397445496799E-4</v>
      </c>
      <c r="V94" s="9">
        <v>2.3615081757625399E-3</v>
      </c>
      <c r="W94" s="9">
        <v>3.04756000853325E-3</v>
      </c>
      <c r="X94" s="10">
        <v>2.3823296300984298</v>
      </c>
      <c r="Y94" s="10">
        <v>2.3818827909075999</v>
      </c>
      <c r="Z94" s="10">
        <v>2.3876199794337398</v>
      </c>
      <c r="AA94" s="10">
        <v>2.38918236547222</v>
      </c>
      <c r="AB94" s="8">
        <v>122.313254137291</v>
      </c>
      <c r="AC94" s="8">
        <v>122.624254665804</v>
      </c>
      <c r="AD94" s="8">
        <v>122.708153880572</v>
      </c>
      <c r="AE94" s="9">
        <v>-1.8758155710074599E-4</v>
      </c>
      <c r="AF94" s="9">
        <v>2.3518473540611699E-3</v>
      </c>
      <c r="AG94" s="9">
        <v>3.0358109488917702E-3</v>
      </c>
      <c r="AZ94" s="9"/>
      <c r="BB94">
        <f t="shared" si="22"/>
        <v>0</v>
      </c>
      <c r="BC94">
        <f t="shared" si="23"/>
        <v>1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2.3638917557241623E-2</v>
      </c>
      <c r="BL94" s="9"/>
      <c r="BN94">
        <f t="shared" si="30"/>
        <v>1</v>
      </c>
      <c r="BO94">
        <f t="shared" si="31"/>
        <v>0</v>
      </c>
      <c r="BP94">
        <f t="shared" si="32"/>
        <v>1</v>
      </c>
      <c r="BQ94">
        <f t="shared" si="21"/>
        <v>1</v>
      </c>
      <c r="BR94">
        <f t="shared" si="33"/>
        <v>1</v>
      </c>
      <c r="BS94" s="9">
        <f t="shared" si="34"/>
        <v>3.7113041915182599E-3</v>
      </c>
      <c r="BT94" s="9">
        <f t="shared" si="35"/>
        <v>-6.05913587140588E-3</v>
      </c>
      <c r="BU94" s="9">
        <f t="shared" si="36"/>
        <v>-2.34783167988762E-3</v>
      </c>
      <c r="BV94" s="12">
        <f t="shared" si="37"/>
        <v>6.6043804142953289E-3</v>
      </c>
      <c r="BX94" s="12">
        <f t="shared" si="38"/>
        <v>-2.34783167988762E-3</v>
      </c>
      <c r="BY94" s="12">
        <f t="shared" si="39"/>
        <v>3.024329797153695E-2</v>
      </c>
    </row>
    <row r="95" spans="1:77" x14ac:dyDescent="0.3">
      <c r="A95" s="1">
        <v>46160</v>
      </c>
      <c r="B95" s="8">
        <v>51.74</v>
      </c>
      <c r="C95" s="8">
        <v>122.99</v>
      </c>
      <c r="D95" s="9">
        <v>1.24466795482243E-2</v>
      </c>
      <c r="E95" s="9">
        <v>1.00511571409432E-2</v>
      </c>
      <c r="F95" s="8">
        <v>0</v>
      </c>
      <c r="G95" s="8">
        <v>0.2515</v>
      </c>
      <c r="H95" s="8">
        <v>0</v>
      </c>
      <c r="I95" s="8">
        <v>0.57620000000000005</v>
      </c>
      <c r="J95" s="8">
        <v>0.2515</v>
      </c>
      <c r="K95" s="8">
        <v>0.57620000000000005</v>
      </c>
      <c r="L95" s="8">
        <v>51.991500000000002</v>
      </c>
      <c r="M95" s="8">
        <v>123.56619999999999</v>
      </c>
      <c r="N95" s="10">
        <v>2.3770776961731701</v>
      </c>
      <c r="O95" s="10">
        <v>2.3820577689553399</v>
      </c>
      <c r="P95" s="10">
        <v>2.3876071811999</v>
      </c>
      <c r="Q95" s="10">
        <v>2.3889335406517498</v>
      </c>
      <c r="R95" s="8">
        <v>123.247668965749</v>
      </c>
      <c r="S95" s="8">
        <v>123.559906450979</v>
      </c>
      <c r="T95" s="8">
        <v>123.640995115533</v>
      </c>
      <c r="U95" s="9">
        <v>2.0928484328259001E-3</v>
      </c>
      <c r="V95" s="9">
        <v>4.6230596816535796E-3</v>
      </c>
      <c r="W95" s="9">
        <v>5.2791144690675102E-3</v>
      </c>
      <c r="X95" s="10">
        <v>2.37666156967965</v>
      </c>
      <c r="Y95" s="10">
        <v>2.3818827909075999</v>
      </c>
      <c r="Z95" s="10">
        <v>2.3871371343469701</v>
      </c>
      <c r="AA95" s="10">
        <v>2.3884592664650199</v>
      </c>
      <c r="AB95" s="8">
        <v>123.83765912347199</v>
      </c>
      <c r="AC95" s="8">
        <v>124.135944160729</v>
      </c>
      <c r="AD95" s="8">
        <v>124.21717495444901</v>
      </c>
      <c r="AE95" s="9">
        <v>2.1944623933714499E-3</v>
      </c>
      <c r="AF95" s="9">
        <v>4.60024411508395E-3</v>
      </c>
      <c r="AG95" s="9">
        <v>5.2543997536823699E-3</v>
      </c>
      <c r="AZ95" s="9"/>
      <c r="BB95">
        <f t="shared" si="22"/>
        <v>0</v>
      </c>
      <c r="BC95">
        <f t="shared" si="23"/>
        <v>1</v>
      </c>
      <c r="BD95">
        <f t="shared" si="24"/>
        <v>0</v>
      </c>
      <c r="BE95">
        <f t="shared" si="20"/>
        <v>1</v>
      </c>
      <c r="BF95">
        <f t="shared" si="25"/>
        <v>0</v>
      </c>
      <c r="BG95" s="9">
        <f t="shared" si="26"/>
        <v>0</v>
      </c>
      <c r="BH95" s="9">
        <f t="shared" si="27"/>
        <v>0</v>
      </c>
      <c r="BI95" s="9">
        <f t="shared" si="28"/>
        <v>0</v>
      </c>
      <c r="BJ95" s="12">
        <f t="shared" si="29"/>
        <v>2.3638917557241623E-2</v>
      </c>
      <c r="BL95" s="9"/>
      <c r="BN95">
        <f t="shared" si="30"/>
        <v>1</v>
      </c>
      <c r="BO95">
        <f t="shared" si="31"/>
        <v>0</v>
      </c>
      <c r="BP95">
        <f t="shared" si="32"/>
        <v>1</v>
      </c>
      <c r="BQ95">
        <f t="shared" si="21"/>
        <v>1</v>
      </c>
      <c r="BR95">
        <f t="shared" si="33"/>
        <v>1</v>
      </c>
      <c r="BS95" s="9">
        <f t="shared" si="34"/>
        <v>-1.24466795482243E-2</v>
      </c>
      <c r="BT95" s="9">
        <f t="shared" si="35"/>
        <v>1.00511571409432E-2</v>
      </c>
      <c r="BU95" s="9">
        <f t="shared" si="36"/>
        <v>-2.3955224072811001E-3</v>
      </c>
      <c r="BV95" s="12">
        <f t="shared" si="37"/>
        <v>4.2088580070142288E-3</v>
      </c>
      <c r="BX95" s="12">
        <f t="shared" si="38"/>
        <v>-2.3955224072811001E-3</v>
      </c>
      <c r="BY95" s="12">
        <f t="shared" si="39"/>
        <v>2.7847775564255849E-2</v>
      </c>
    </row>
    <row r="96" spans="1:77" x14ac:dyDescent="0.3">
      <c r="A96" s="1">
        <v>46161</v>
      </c>
      <c r="B96" s="8">
        <v>51.1</v>
      </c>
      <c r="C96" s="8">
        <v>121.52</v>
      </c>
      <c r="D96" s="9">
        <v>-1.24466795482243E-2</v>
      </c>
      <c r="E96" s="9">
        <v>-1.2024192966801701E-2</v>
      </c>
      <c r="F96" s="8">
        <v>0</v>
      </c>
      <c r="G96" s="8">
        <v>0.2515</v>
      </c>
      <c r="H96" s="8">
        <v>0</v>
      </c>
      <c r="I96" s="8">
        <v>0.57620000000000005</v>
      </c>
      <c r="J96" s="8">
        <v>0.2515</v>
      </c>
      <c r="K96" s="8">
        <v>0.57620000000000005</v>
      </c>
      <c r="L96" s="8">
        <v>51.351500000000001</v>
      </c>
      <c r="M96" s="8">
        <v>122.0962</v>
      </c>
      <c r="N96" s="10">
        <v>2.3780821917808201</v>
      </c>
      <c r="O96" s="10">
        <v>2.3820577689553399</v>
      </c>
      <c r="P96" s="10">
        <v>2.3862605254022098</v>
      </c>
      <c r="Q96" s="10">
        <v>2.38805753551804</v>
      </c>
      <c r="R96" s="8">
        <v>121.72315199361699</v>
      </c>
      <c r="S96" s="8">
        <v>122.006726959315</v>
      </c>
      <c r="T96" s="8">
        <v>122.07450392730399</v>
      </c>
      <c r="U96" s="9">
        <v>1.6703618514034701E-3</v>
      </c>
      <c r="V96" s="9">
        <v>3.9973239364198198E-3</v>
      </c>
      <c r="W96" s="9">
        <v>4.5526879804753898E-3</v>
      </c>
      <c r="X96" s="10">
        <v>2.3776559594169502</v>
      </c>
      <c r="Y96" s="10">
        <v>2.3818827909075999</v>
      </c>
      <c r="Z96" s="10">
        <v>2.3857966087451099</v>
      </c>
      <c r="AA96" s="10">
        <v>2.3875869670552001</v>
      </c>
      <c r="AB96" s="8">
        <v>122.313254137291</v>
      </c>
      <c r="AC96" s="8">
        <v>122.583072554418</v>
      </c>
      <c r="AD96" s="8">
        <v>122.65096602187801</v>
      </c>
      <c r="AE96" s="9">
        <v>1.7761521960760101E-3</v>
      </c>
      <c r="AF96" s="9">
        <v>3.9796848496543502E-3</v>
      </c>
      <c r="AG96" s="9">
        <v>4.5333883207447001E-3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2.3638917557241623E-2</v>
      </c>
      <c r="BL96" s="9"/>
      <c r="BN96">
        <f t="shared" si="30"/>
        <v>1</v>
      </c>
      <c r="BO96">
        <f t="shared" si="31"/>
        <v>0</v>
      </c>
      <c r="BP96">
        <f t="shared" si="32"/>
        <v>1</v>
      </c>
      <c r="BQ96">
        <f t="shared" si="21"/>
        <v>1</v>
      </c>
      <c r="BR96">
        <f t="shared" si="33"/>
        <v>1</v>
      </c>
      <c r="BS96" s="9">
        <f t="shared" si="34"/>
        <v>1.24466795482243E-2</v>
      </c>
      <c r="BT96" s="9">
        <f t="shared" si="35"/>
        <v>-1.2024192966801701E-2</v>
      </c>
      <c r="BU96" s="9">
        <f t="shared" si="36"/>
        <v>4.22486581422599E-4</v>
      </c>
      <c r="BV96" s="12">
        <f t="shared" si="37"/>
        <v>4.6313445884368278E-3</v>
      </c>
      <c r="BX96" s="12">
        <f t="shared" si="38"/>
        <v>4.22486581422599E-4</v>
      </c>
      <c r="BY96" s="12">
        <f t="shared" si="39"/>
        <v>2.8270262145678446E-2</v>
      </c>
    </row>
    <row r="97" spans="1:77" x14ac:dyDescent="0.3">
      <c r="A97" s="1">
        <v>46162</v>
      </c>
      <c r="B97" s="8">
        <v>51.66</v>
      </c>
      <c r="C97" s="8">
        <v>122.97</v>
      </c>
      <c r="D97" s="9">
        <v>1.08992904580356E-2</v>
      </c>
      <c r="E97" s="9">
        <v>1.1861564896838501E-2</v>
      </c>
      <c r="F97" s="8">
        <v>0</v>
      </c>
      <c r="G97" s="8">
        <v>0.2515</v>
      </c>
      <c r="H97" s="8">
        <v>0</v>
      </c>
      <c r="I97" s="8">
        <v>0.57620000000000005</v>
      </c>
      <c r="J97" s="8">
        <v>0.2515</v>
      </c>
      <c r="K97" s="8">
        <v>0.57620000000000005</v>
      </c>
      <c r="L97" s="8">
        <v>51.911499999999997</v>
      </c>
      <c r="M97" s="8">
        <v>123.5462</v>
      </c>
      <c r="N97" s="10">
        <v>2.3803716608594598</v>
      </c>
      <c r="O97" s="10">
        <v>2.3820577689553399</v>
      </c>
      <c r="P97" s="10">
        <v>2.38465648778446</v>
      </c>
      <c r="Q97" s="10">
        <v>2.3874534409130499</v>
      </c>
      <c r="R97" s="8">
        <v>123.057104344232</v>
      </c>
      <c r="S97" s="8">
        <v>123.27421874227799</v>
      </c>
      <c r="T97" s="8">
        <v>123.367052284862</v>
      </c>
      <c r="U97" s="9">
        <v>7.0808741260057896E-4</v>
      </c>
      <c r="V97" s="9">
        <v>2.4708713862101701E-3</v>
      </c>
      <c r="W97" s="9">
        <v>3.22365332396883E-3</v>
      </c>
      <c r="X97" s="10">
        <v>2.3799389345328099</v>
      </c>
      <c r="Y97" s="10">
        <v>2.3818827909075999</v>
      </c>
      <c r="Z97" s="10">
        <v>2.38420016596312</v>
      </c>
      <c r="AA97" s="10">
        <v>2.3869855416422698</v>
      </c>
      <c r="AB97" s="8">
        <v>123.64710850020001</v>
      </c>
      <c r="AC97" s="8">
        <v>123.85028065487199</v>
      </c>
      <c r="AD97" s="8">
        <v>123.943220840286</v>
      </c>
      <c r="AE97" s="9">
        <v>8.1643395945855198E-4</v>
      </c>
      <c r="AF97" s="9">
        <v>2.4582468367907902E-3</v>
      </c>
      <c r="AG97" s="9">
        <v>3.20838910615278E-3</v>
      </c>
      <c r="AZ97" s="9"/>
      <c r="BB97">
        <f t="shared" si="22"/>
        <v>0</v>
      </c>
      <c r="BC97">
        <f t="shared" si="23"/>
        <v>1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2.3638917557241623E-2</v>
      </c>
      <c r="BL97" s="9"/>
      <c r="BN97">
        <f t="shared" si="30"/>
        <v>1</v>
      </c>
      <c r="BO97">
        <f t="shared" si="31"/>
        <v>0</v>
      </c>
      <c r="BP97">
        <f t="shared" si="32"/>
        <v>1</v>
      </c>
      <c r="BQ97">
        <f t="shared" si="21"/>
        <v>1</v>
      </c>
      <c r="BR97">
        <f t="shared" si="33"/>
        <v>1</v>
      </c>
      <c r="BS97" s="9">
        <f t="shared" si="34"/>
        <v>-1.08992904580356E-2</v>
      </c>
      <c r="BT97" s="9">
        <f t="shared" si="35"/>
        <v>1.1861564896838501E-2</v>
      </c>
      <c r="BU97" s="9">
        <f t="shared" si="36"/>
        <v>9.6227443880290107E-4</v>
      </c>
      <c r="BV97" s="12">
        <f t="shared" si="37"/>
        <v>5.5936190272397289E-3</v>
      </c>
      <c r="BX97" s="12">
        <f t="shared" si="38"/>
        <v>9.6227443880290107E-4</v>
      </c>
      <c r="BY97" s="12">
        <f t="shared" si="39"/>
        <v>2.9232536584481349E-2</v>
      </c>
    </row>
    <row r="98" spans="1:77" x14ac:dyDescent="0.3">
      <c r="A98" s="1">
        <v>46163</v>
      </c>
      <c r="B98" s="8">
        <v>51.73</v>
      </c>
      <c r="C98" s="8">
        <v>123.4</v>
      </c>
      <c r="D98" s="9">
        <v>1.3540963477292299E-3</v>
      </c>
      <c r="E98" s="9">
        <v>3.4906882869315801E-3</v>
      </c>
      <c r="F98" s="8">
        <v>0</v>
      </c>
      <c r="G98" s="8">
        <v>0.2515</v>
      </c>
      <c r="H98" s="8">
        <v>0</v>
      </c>
      <c r="I98" s="8">
        <v>0.57620000000000005</v>
      </c>
      <c r="J98" s="8">
        <v>0.2515</v>
      </c>
      <c r="K98" s="8">
        <v>0.57620000000000005</v>
      </c>
      <c r="L98" s="8">
        <v>51.981499999999997</v>
      </c>
      <c r="M98" s="8">
        <v>123.97620000000001</v>
      </c>
      <c r="N98" s="10">
        <v>2.3854629808621599</v>
      </c>
      <c r="O98" s="10">
        <v>2.3820577689553399</v>
      </c>
      <c r="P98" s="10">
        <v>2.3844249003226601</v>
      </c>
      <c r="Q98" s="10">
        <v>2.38685207258164</v>
      </c>
      <c r="R98" s="8">
        <v>123.223848388059</v>
      </c>
      <c r="S98" s="8">
        <v>123.35828011309</v>
      </c>
      <c r="T98" s="8">
        <v>123.502966498432</v>
      </c>
      <c r="U98" s="9">
        <v>-1.4285045266019E-3</v>
      </c>
      <c r="V98" s="9">
        <v>-3.38143767968343E-4</v>
      </c>
      <c r="W98" s="9">
        <v>8.3406453848533697E-4</v>
      </c>
      <c r="X98" s="10">
        <v>2.3850062041303102</v>
      </c>
      <c r="Y98" s="10">
        <v>2.3818827909075999</v>
      </c>
      <c r="Z98" s="10">
        <v>2.3839698615959799</v>
      </c>
      <c r="AA98" s="10">
        <v>2.3863870482600298</v>
      </c>
      <c r="AB98" s="8">
        <v>123.813840295563</v>
      </c>
      <c r="AC98" s="8">
        <v>123.93430092701099</v>
      </c>
      <c r="AD98" s="8">
        <v>124.07908893287799</v>
      </c>
      <c r="AE98" s="9">
        <v>-1.3104620950698E-3</v>
      </c>
      <c r="AF98" s="9">
        <v>-3.3801773809776598E-4</v>
      </c>
      <c r="AG98" s="9">
        <v>8.2956456378004595E-4</v>
      </c>
      <c r="AZ98" s="9"/>
      <c r="BB98">
        <f t="shared" si="22"/>
        <v>0</v>
      </c>
      <c r="BC98">
        <f t="shared" si="23"/>
        <v>1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2.3638917557241623E-2</v>
      </c>
      <c r="BL98" s="9"/>
      <c r="BN98">
        <f t="shared" si="30"/>
        <v>0</v>
      </c>
      <c r="BO98">
        <f t="shared" si="31"/>
        <v>0</v>
      </c>
      <c r="BP98">
        <f t="shared" si="32"/>
        <v>1</v>
      </c>
      <c r="BQ98">
        <f t="shared" si="21"/>
        <v>1</v>
      </c>
      <c r="BR98">
        <f t="shared" si="33"/>
        <v>1</v>
      </c>
      <c r="BS98" s="9">
        <f t="shared" si="34"/>
        <v>-1.3540963477292299E-3</v>
      </c>
      <c r="BT98" s="9">
        <f t="shared" si="35"/>
        <v>3.4906882869315801E-3</v>
      </c>
      <c r="BU98" s="9">
        <f t="shared" si="36"/>
        <v>2.1365919392023502E-3</v>
      </c>
      <c r="BV98" s="12">
        <f t="shared" si="37"/>
        <v>7.7302109664420787E-3</v>
      </c>
      <c r="BX98" s="12">
        <f t="shared" si="38"/>
        <v>2.1365919392023502E-3</v>
      </c>
      <c r="BY98" s="12">
        <f t="shared" si="39"/>
        <v>3.1369128523683697E-2</v>
      </c>
    </row>
    <row r="99" spans="1:77" x14ac:dyDescent="0.3">
      <c r="A99" s="1">
        <v>46164</v>
      </c>
      <c r="B99" s="8">
        <v>51.94</v>
      </c>
      <c r="C99" s="8">
        <v>123.79</v>
      </c>
      <c r="D99" s="9">
        <v>4.0513222191787199E-3</v>
      </c>
      <c r="E99" s="9">
        <v>3.1554700724313899E-3</v>
      </c>
      <c r="F99" s="8">
        <v>0</v>
      </c>
      <c r="G99" s="8">
        <v>0.2515</v>
      </c>
      <c r="H99" s="8">
        <v>0</v>
      </c>
      <c r="I99" s="8">
        <v>0.57620000000000005</v>
      </c>
      <c r="J99" s="8">
        <v>0.2515</v>
      </c>
      <c r="K99" s="8">
        <v>0.57620000000000005</v>
      </c>
      <c r="L99" s="8">
        <v>52.191499999999998</v>
      </c>
      <c r="M99" s="8">
        <v>124.36620000000001</v>
      </c>
      <c r="N99" s="10">
        <v>2.3833269156719199</v>
      </c>
      <c r="O99" s="10">
        <v>2.3820577689553399</v>
      </c>
      <c r="P99" s="10">
        <v>2.3834523616010199</v>
      </c>
      <c r="Q99" s="10">
        <v>2.3861137120252902</v>
      </c>
      <c r="R99" s="8">
        <v>123.72408051954</v>
      </c>
      <c r="S99" s="8">
        <v>123.847029322759</v>
      </c>
      <c r="T99" s="8">
        <v>123.97309664989</v>
      </c>
      <c r="U99" s="9">
        <v>-5.3265237985465402E-4</v>
      </c>
      <c r="V99" s="9">
        <v>4.6058801402488298E-4</v>
      </c>
      <c r="W99" s="9">
        <v>1.4779980206692401E-3</v>
      </c>
      <c r="X99" s="10">
        <v>2.38288227010145</v>
      </c>
      <c r="Y99" s="10">
        <v>2.3818827909075999</v>
      </c>
      <c r="Z99" s="10">
        <v>2.38300267751886</v>
      </c>
      <c r="AA99" s="10">
        <v>2.3856525052523301</v>
      </c>
      <c r="AB99" s="8">
        <v>124.314035681654</v>
      </c>
      <c r="AC99" s="8">
        <v>124.42296303148601</v>
      </c>
      <c r="AD99" s="8">
        <v>124.549119629263</v>
      </c>
      <c r="AE99" s="9">
        <v>-4.1952927194167298E-4</v>
      </c>
      <c r="AF99" s="9">
        <v>4.5631434890426798E-4</v>
      </c>
      <c r="AG99" s="9">
        <v>1.46973406428824E-3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2.3638917557241623E-2</v>
      </c>
      <c r="BL99" s="9"/>
      <c r="BN99">
        <f t="shared" si="30"/>
        <v>0</v>
      </c>
      <c r="BO99">
        <f t="shared" si="31"/>
        <v>0</v>
      </c>
      <c r="BP99">
        <f t="shared" si="32"/>
        <v>1</v>
      </c>
      <c r="BQ99">
        <f t="shared" si="21"/>
        <v>1</v>
      </c>
      <c r="BR99">
        <f t="shared" si="33"/>
        <v>1</v>
      </c>
      <c r="BS99" s="9">
        <f t="shared" si="34"/>
        <v>-4.0513222191787199E-3</v>
      </c>
      <c r="BT99" s="9">
        <f t="shared" si="35"/>
        <v>3.1554700724313899E-3</v>
      </c>
      <c r="BU99" s="9">
        <f t="shared" si="36"/>
        <v>-8.9585214674732993E-4</v>
      </c>
      <c r="BV99" s="12">
        <f t="shared" si="37"/>
        <v>6.8343588196947483E-3</v>
      </c>
      <c r="BX99" s="12">
        <f t="shared" si="38"/>
        <v>-8.9585214674732993E-4</v>
      </c>
      <c r="BY99" s="12">
        <f t="shared" si="39"/>
        <v>3.0473276376936368E-2</v>
      </c>
    </row>
    <row r="100" spans="1:77" x14ac:dyDescent="0.3">
      <c r="A100" s="1">
        <v>46168</v>
      </c>
      <c r="B100" s="8">
        <v>51.85</v>
      </c>
      <c r="C100" s="8">
        <v>123.81</v>
      </c>
      <c r="D100" s="9">
        <v>-1.7342715590660199E-3</v>
      </c>
      <c r="E100" s="9">
        <v>1.6155088888115501E-4</v>
      </c>
      <c r="F100" s="8">
        <v>0</v>
      </c>
      <c r="G100" s="8">
        <v>0.2515</v>
      </c>
      <c r="H100" s="8">
        <v>0</v>
      </c>
      <c r="I100" s="8">
        <v>0.57620000000000005</v>
      </c>
      <c r="J100" s="8">
        <v>0.2515</v>
      </c>
      <c r="K100" s="8">
        <v>0.57620000000000005</v>
      </c>
      <c r="L100" s="8">
        <v>52.101500000000001</v>
      </c>
      <c r="M100" s="8">
        <v>124.3862</v>
      </c>
      <c r="N100" s="10">
        <v>2.3878495660559298</v>
      </c>
      <c r="O100" s="10">
        <v>2.3820577689553399</v>
      </c>
      <c r="P100" s="10">
        <v>2.38358940886702</v>
      </c>
      <c r="Q100" s="10">
        <v>2.3857320154583701</v>
      </c>
      <c r="R100" s="8">
        <v>123.509695320334</v>
      </c>
      <c r="S100" s="8">
        <v>123.582004949012</v>
      </c>
      <c r="T100" s="8">
        <v>123.719995968511</v>
      </c>
      <c r="U100" s="9">
        <v>-2.4284748278018699E-3</v>
      </c>
      <c r="V100" s="9">
        <v>-1.8431890358154299E-3</v>
      </c>
      <c r="W100" s="9">
        <v>-7.2721720131394398E-4</v>
      </c>
      <c r="X100" s="10">
        <v>2.38738232104641</v>
      </c>
      <c r="Y100" s="10">
        <v>2.3818827909075999</v>
      </c>
      <c r="Z100" s="10">
        <v>2.3831396633055801</v>
      </c>
      <c r="AA100" s="10">
        <v>2.3852726705444902</v>
      </c>
      <c r="AB100" s="8">
        <v>124.099666230472</v>
      </c>
      <c r="AC100" s="8">
        <v>124.158014002748</v>
      </c>
      <c r="AD100" s="8">
        <v>124.296074002404</v>
      </c>
      <c r="AE100" s="9">
        <v>-2.3062389895572499E-3</v>
      </c>
      <c r="AF100" s="9">
        <v>-1.83618083630372E-3</v>
      </c>
      <c r="AG100" s="9">
        <v>-7.2482851383695905E-4</v>
      </c>
      <c r="AZ100" s="9"/>
      <c r="BB100">
        <f t="shared" si="22"/>
        <v>0</v>
      </c>
      <c r="BC100">
        <f t="shared" si="23"/>
        <v>0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2.3638917557241623E-2</v>
      </c>
      <c r="BL100" s="9"/>
      <c r="BN100">
        <f t="shared" si="30"/>
        <v>0</v>
      </c>
      <c r="BO100">
        <f t="shared" si="31"/>
        <v>1</v>
      </c>
      <c r="BP100">
        <f t="shared" si="32"/>
        <v>1</v>
      </c>
      <c r="BQ100">
        <f t="shared" si="21"/>
        <v>1</v>
      </c>
      <c r="BR100">
        <f t="shared" si="33"/>
        <v>1</v>
      </c>
      <c r="BS100" s="9">
        <f t="shared" si="34"/>
        <v>1.7342715590660199E-3</v>
      </c>
      <c r="BT100" s="9">
        <f t="shared" si="35"/>
        <v>1.6155088888115501E-4</v>
      </c>
      <c r="BU100" s="9">
        <f t="shared" si="36"/>
        <v>1.8958224479471749E-3</v>
      </c>
      <c r="BV100" s="12">
        <f t="shared" si="37"/>
        <v>8.7301812676419226E-3</v>
      </c>
      <c r="BX100" s="12">
        <f t="shared" si="38"/>
        <v>1.8958224479471749E-3</v>
      </c>
      <c r="BY100" s="12">
        <f t="shared" si="39"/>
        <v>3.2369098824883542E-2</v>
      </c>
    </row>
    <row r="101" spans="1:77" x14ac:dyDescent="0.3">
      <c r="A101" s="1">
        <v>46169</v>
      </c>
      <c r="B101" s="8">
        <v>51.42</v>
      </c>
      <c r="C101" s="8">
        <v>122.51</v>
      </c>
      <c r="D101" s="9">
        <v>-8.3277328377928794E-3</v>
      </c>
      <c r="E101" s="9">
        <v>-1.0555473126520901E-2</v>
      </c>
      <c r="F101" s="8">
        <v>0</v>
      </c>
      <c r="G101" s="8">
        <v>0.2515</v>
      </c>
      <c r="H101" s="8">
        <v>0</v>
      </c>
      <c r="I101" s="8">
        <v>0.57620000000000005</v>
      </c>
      <c r="J101" s="8">
        <v>0.2515</v>
      </c>
      <c r="K101" s="8">
        <v>0.57620000000000005</v>
      </c>
      <c r="L101" s="8">
        <v>51.671500000000002</v>
      </c>
      <c r="M101" s="8">
        <v>123.08620000000001</v>
      </c>
      <c r="N101" s="10">
        <v>2.38253597821859</v>
      </c>
      <c r="O101" s="10">
        <v>2.3820577689553399</v>
      </c>
      <c r="P101" s="10">
        <v>2.3833784855566602</v>
      </c>
      <c r="Q101" s="10">
        <v>2.3849552463847301</v>
      </c>
      <c r="R101" s="8">
        <v>122.485410479683</v>
      </c>
      <c r="S101" s="8">
        <v>122.56416740394199</v>
      </c>
      <c r="T101" s="8">
        <v>122.67434023486901</v>
      </c>
      <c r="U101" s="9">
        <v>-2.00734539073783E-4</v>
      </c>
      <c r="V101" s="9">
        <v>4.4204907761970501E-4</v>
      </c>
      <c r="W101" s="9">
        <v>1.3405445007066601E-3</v>
      </c>
      <c r="X101" s="10">
        <v>2.3820907076434699</v>
      </c>
      <c r="Y101" s="10">
        <v>2.3818827909075999</v>
      </c>
      <c r="Z101" s="10">
        <v>2.3829296259985799</v>
      </c>
      <c r="AA101" s="10">
        <v>2.3844994672819002</v>
      </c>
      <c r="AB101" s="8">
        <v>123.07545663038201</v>
      </c>
      <c r="AC101" s="8">
        <v>123.140401112494</v>
      </c>
      <c r="AD101" s="8">
        <v>123.250616796039</v>
      </c>
      <c r="AE101" s="9">
        <v>-8.7287108574342598E-5</v>
      </c>
      <c r="AF101" s="9">
        <v>4.4025392159109298E-4</v>
      </c>
      <c r="AG101" s="9">
        <v>1.3348944148382899E-3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2.3638917557241623E-2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8.7301812676419226E-3</v>
      </c>
      <c r="BX101" s="12">
        <f t="shared" si="38"/>
        <v>0</v>
      </c>
      <c r="BY101" s="12">
        <f t="shared" si="39"/>
        <v>3.2369098824883542E-2</v>
      </c>
    </row>
    <row r="102" spans="1:77" x14ac:dyDescent="0.3">
      <c r="A102" s="1">
        <v>46170</v>
      </c>
      <c r="B102" s="8">
        <v>51.27</v>
      </c>
      <c r="C102" s="8">
        <v>122.17</v>
      </c>
      <c r="D102" s="9">
        <v>-2.9214160421341799E-3</v>
      </c>
      <c r="E102" s="9">
        <v>-2.77914189011077E-3</v>
      </c>
      <c r="F102" s="8">
        <v>0</v>
      </c>
      <c r="G102" s="8">
        <v>0.2515</v>
      </c>
      <c r="H102" s="8">
        <v>0</v>
      </c>
      <c r="I102" s="8">
        <v>0.57620000000000005</v>
      </c>
      <c r="J102" s="8">
        <v>0.2515</v>
      </c>
      <c r="K102" s="8">
        <v>0.57620000000000005</v>
      </c>
      <c r="L102" s="8">
        <v>51.521500000000003</v>
      </c>
      <c r="M102" s="8">
        <v>122.7462</v>
      </c>
      <c r="N102" s="10">
        <v>2.38287497561927</v>
      </c>
      <c r="O102" s="10">
        <v>2.3820577689553399</v>
      </c>
      <c r="P102" s="10">
        <v>2.3828740631342802</v>
      </c>
      <c r="Q102" s="10">
        <v>2.3854838179700102</v>
      </c>
      <c r="R102" s="8">
        <v>122.12810181434</v>
      </c>
      <c r="S102" s="8">
        <v>122.19581495449</v>
      </c>
      <c r="T102" s="8">
        <v>122.276655482145</v>
      </c>
      <c r="U102" s="9">
        <v>-3.43008691097217E-4</v>
      </c>
      <c r="V102" s="9">
        <v>2.1128122680430801E-4</v>
      </c>
      <c r="W102" s="9">
        <v>8.7262792532926097E-4</v>
      </c>
      <c r="X102" s="10">
        <v>2.3824267538794399</v>
      </c>
      <c r="Y102" s="10">
        <v>2.3818827909075999</v>
      </c>
      <c r="Z102" s="10">
        <v>2.3824279242703201</v>
      </c>
      <c r="AA102" s="10">
        <v>2.3850252115963499</v>
      </c>
      <c r="AB102" s="8">
        <v>122.718174211746</v>
      </c>
      <c r="AC102" s="8">
        <v>122.772108725886</v>
      </c>
      <c r="AD102" s="8">
        <v>122.852989303564</v>
      </c>
      <c r="AE102" s="9">
        <v>-2.2834913184988301E-4</v>
      </c>
      <c r="AF102" s="9">
        <v>2.11053310987145E-4</v>
      </c>
      <c r="AG102" s="9">
        <v>8.6962266119544097E-4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2.3638917557241623E-2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8.7301812676419226E-3</v>
      </c>
      <c r="BX102" s="12">
        <f t="shared" si="38"/>
        <v>0</v>
      </c>
      <c r="BY102" s="12">
        <f t="shared" si="39"/>
        <v>3.2369098824883542E-2</v>
      </c>
    </row>
    <row r="103" spans="1:77" x14ac:dyDescent="0.3">
      <c r="A103" s="1">
        <v>46171</v>
      </c>
      <c r="B103" s="8">
        <v>51.58</v>
      </c>
      <c r="C103" s="8">
        <v>122.86</v>
      </c>
      <c r="D103" s="9">
        <v>6.0282146575894001E-3</v>
      </c>
      <c r="E103" s="9">
        <v>5.6319783198127398E-3</v>
      </c>
      <c r="F103" s="8">
        <v>0</v>
      </c>
      <c r="G103" s="8">
        <v>0.2515</v>
      </c>
      <c r="H103" s="8">
        <v>0</v>
      </c>
      <c r="I103" s="8">
        <v>0.57620000000000005</v>
      </c>
      <c r="J103" s="8">
        <v>0.2515</v>
      </c>
      <c r="K103" s="8">
        <v>0.57620000000000005</v>
      </c>
      <c r="L103" s="8">
        <v>51.831499999999998</v>
      </c>
      <c r="M103" s="8">
        <v>123.4362</v>
      </c>
      <c r="N103" s="10">
        <v>2.3819309810003801</v>
      </c>
      <c r="O103" s="10">
        <v>2.3820577689553399</v>
      </c>
      <c r="P103" s="10">
        <v>2.3822291811212302</v>
      </c>
      <c r="Q103" s="10">
        <v>2.38532082357096</v>
      </c>
      <c r="R103" s="8">
        <v>122.866539722716</v>
      </c>
      <c r="S103" s="8">
        <v>122.908644176466</v>
      </c>
      <c r="T103" s="8">
        <v>123.043255330893</v>
      </c>
      <c r="U103" s="9">
        <v>5.3227646679203598E-5</v>
      </c>
      <c r="V103" s="9">
        <v>3.9585340322400599E-4</v>
      </c>
      <c r="W103" s="9">
        <v>1.49046717231843E-3</v>
      </c>
      <c r="X103" s="10">
        <v>2.3814900205473499</v>
      </c>
      <c r="Y103" s="10">
        <v>2.3818827909075999</v>
      </c>
      <c r="Z103" s="10">
        <v>2.3817864371076301</v>
      </c>
      <c r="AA103" s="10">
        <v>2.3848627682826802</v>
      </c>
      <c r="AB103" s="8">
        <v>123.45655787692699</v>
      </c>
      <c r="AC103" s="8">
        <v>123.484812956817</v>
      </c>
      <c r="AD103" s="8">
        <v>123.619434254856</v>
      </c>
      <c r="AE103" s="9">
        <v>1.6491271067364899E-4</v>
      </c>
      <c r="AF103" s="9">
        <v>3.9375310236507599E-4</v>
      </c>
      <c r="AG103" s="9">
        <v>1.4833443406930601E-3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2.3638917557241623E-2</v>
      </c>
      <c r="BL103" s="9"/>
      <c r="BN103">
        <f t="shared" si="30"/>
        <v>0</v>
      </c>
      <c r="BO103">
        <f t="shared" si="31"/>
        <v>0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8.7301812676419226E-3</v>
      </c>
      <c r="BX103" s="12">
        <f t="shared" si="38"/>
        <v>0</v>
      </c>
      <c r="BY103" s="12">
        <f t="shared" si="39"/>
        <v>3.2369098824883542E-2</v>
      </c>
    </row>
    <row r="104" spans="1:77" x14ac:dyDescent="0.3">
      <c r="A104" s="1">
        <v>46174</v>
      </c>
      <c r="B104" s="8">
        <v>51.43</v>
      </c>
      <c r="C104" s="8">
        <v>122.55</v>
      </c>
      <c r="D104" s="9">
        <v>-2.9123406663738999E-3</v>
      </c>
      <c r="E104" s="9">
        <v>-2.5263857616598302E-3</v>
      </c>
      <c r="F104" s="8">
        <v>0</v>
      </c>
      <c r="G104" s="8">
        <v>0.2515</v>
      </c>
      <c r="H104" s="8">
        <v>0</v>
      </c>
      <c r="I104" s="8">
        <v>0.57620000000000005</v>
      </c>
      <c r="J104" s="8">
        <v>0.2515</v>
      </c>
      <c r="K104" s="8">
        <v>0.57620000000000005</v>
      </c>
      <c r="L104" s="8">
        <v>51.6815</v>
      </c>
      <c r="M104" s="8">
        <v>123.1262</v>
      </c>
      <c r="N104" s="10">
        <v>2.38285047637565</v>
      </c>
      <c r="O104" s="10">
        <v>2.3820577689553399</v>
      </c>
      <c r="P104" s="10">
        <v>2.3822363422617299</v>
      </c>
      <c r="Q104" s="10">
        <v>2.3851644259721798</v>
      </c>
      <c r="R104" s="8">
        <v>122.509231057373</v>
      </c>
      <c r="S104" s="8">
        <v>122.518046785065</v>
      </c>
      <c r="T104" s="8">
        <v>122.677049956254</v>
      </c>
      <c r="U104" s="9">
        <v>-3.3272725803478099E-4</v>
      </c>
      <c r="V104" s="9">
        <v>-2.6077014555710501E-4</v>
      </c>
      <c r="W104" s="9">
        <v>1.0361823269085301E-3</v>
      </c>
      <c r="X104" s="10">
        <v>2.3824037615007301</v>
      </c>
      <c r="Y104" s="10">
        <v>2.3818827909075999</v>
      </c>
      <c r="Z104" s="10">
        <v>2.3817938502478602</v>
      </c>
      <c r="AA104" s="10">
        <v>2.3847069148408</v>
      </c>
      <c r="AB104" s="8">
        <v>123.099275458291</v>
      </c>
      <c r="AC104" s="8">
        <v>123.09429574937801</v>
      </c>
      <c r="AD104" s="8">
        <v>123.253285159001</v>
      </c>
      <c r="AE104" s="9">
        <v>-2.1869826236190401E-4</v>
      </c>
      <c r="AF104" s="9">
        <v>-2.5915186876143101E-4</v>
      </c>
      <c r="AG104" s="9">
        <v>1.03162136401394E-3</v>
      </c>
      <c r="AZ104" s="9"/>
      <c r="BB104">
        <f t="shared" si="22"/>
        <v>0</v>
      </c>
      <c r="BC104">
        <f t="shared" si="23"/>
        <v>1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2.3638917557241623E-2</v>
      </c>
      <c r="BL104" s="9"/>
      <c r="BN104">
        <f t="shared" si="30"/>
        <v>0</v>
      </c>
      <c r="BO104">
        <f t="shared" si="31"/>
        <v>0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8.7301812676419226E-3</v>
      </c>
      <c r="BX104" s="12">
        <f t="shared" si="38"/>
        <v>0</v>
      </c>
      <c r="BY104" s="12">
        <f t="shared" si="39"/>
        <v>3.2369098824883542E-2</v>
      </c>
    </row>
    <row r="105" spans="1:77" x14ac:dyDescent="0.3">
      <c r="A105" s="1">
        <v>46175</v>
      </c>
      <c r="B105" s="8">
        <v>51.46</v>
      </c>
      <c r="C105" s="8">
        <v>123.02</v>
      </c>
      <c r="D105" s="9">
        <v>5.83147066773309E-4</v>
      </c>
      <c r="E105" s="9">
        <v>3.8278338061005402E-3</v>
      </c>
      <c r="F105" s="8">
        <v>0</v>
      </c>
      <c r="G105" s="8">
        <v>0.2515</v>
      </c>
      <c r="H105" s="8">
        <v>0</v>
      </c>
      <c r="I105" s="8">
        <v>0.57620000000000005</v>
      </c>
      <c r="J105" s="8">
        <v>0.2515</v>
      </c>
      <c r="K105" s="8">
        <v>0.57620000000000005</v>
      </c>
      <c r="L105" s="8">
        <v>51.711500000000001</v>
      </c>
      <c r="M105" s="8">
        <v>123.5962</v>
      </c>
      <c r="N105" s="10">
        <v>2.3905946366109601</v>
      </c>
      <c r="O105" s="10">
        <v>2.3820577689553399</v>
      </c>
      <c r="P105" s="10">
        <v>2.3835880363055102</v>
      </c>
      <c r="Q105" s="10">
        <v>2.3855976087527102</v>
      </c>
      <c r="R105" s="8">
        <v>122.58069279044101</v>
      </c>
      <c r="S105" s="8">
        <v>122.589882172789</v>
      </c>
      <c r="T105" s="8">
        <v>122.74056136052801</v>
      </c>
      <c r="U105" s="9">
        <v>-3.5774139973621302E-3</v>
      </c>
      <c r="V105" s="9">
        <v>-3.5024508224138998E-3</v>
      </c>
      <c r="W105" s="9">
        <v>-2.2740732552754199E-3</v>
      </c>
      <c r="X105" s="10">
        <v>2.3901105170029799</v>
      </c>
      <c r="Y105" s="10">
        <v>2.3818827909075999</v>
      </c>
      <c r="Z105" s="10">
        <v>2.3831387449801902</v>
      </c>
      <c r="AA105" s="10">
        <v>2.3851379396635801</v>
      </c>
      <c r="AB105" s="8">
        <v>123.17073194201799</v>
      </c>
      <c r="AC105" s="8">
        <v>123.166132687092</v>
      </c>
      <c r="AD105" s="8">
        <v>123.31677162679</v>
      </c>
      <c r="AE105" s="9">
        <v>-3.44834274380905E-3</v>
      </c>
      <c r="AF105" s="9">
        <v>-3.48568392645081E-3</v>
      </c>
      <c r="AG105" s="9">
        <v>-2.2633763682683998E-3</v>
      </c>
      <c r="AZ105" s="9"/>
      <c r="BB105">
        <f t="shared" si="22"/>
        <v>1</v>
      </c>
      <c r="BC105">
        <f t="shared" si="23"/>
        <v>0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2.3638917557241623E-2</v>
      </c>
      <c r="BL105" s="9"/>
      <c r="BN105">
        <f t="shared" si="30"/>
        <v>0</v>
      </c>
      <c r="BO105">
        <f t="shared" si="31"/>
        <v>1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8.7301812676419226E-3</v>
      </c>
      <c r="BX105" s="12">
        <f t="shared" si="38"/>
        <v>0</v>
      </c>
      <c r="BY105" s="12">
        <f t="shared" si="39"/>
        <v>3.2369098824883542E-2</v>
      </c>
    </row>
    <row r="106" spans="1:77" x14ac:dyDescent="0.3">
      <c r="A106" s="1">
        <v>46176</v>
      </c>
      <c r="B106" s="8">
        <v>50.87</v>
      </c>
      <c r="C106" s="8">
        <v>121.63</v>
      </c>
      <c r="D106" s="9">
        <v>-1.1531448018924501E-2</v>
      </c>
      <c r="E106" s="9">
        <v>-1.13632941498772E-2</v>
      </c>
      <c r="F106" s="8">
        <v>0</v>
      </c>
      <c r="G106" s="8">
        <v>0.2515</v>
      </c>
      <c r="H106" s="8">
        <v>0</v>
      </c>
      <c r="I106" s="8">
        <v>0.57620000000000005</v>
      </c>
      <c r="J106" s="8">
        <v>0.2515</v>
      </c>
      <c r="K106" s="8">
        <v>0.57620000000000005</v>
      </c>
      <c r="L106" s="8">
        <v>51.121499999999997</v>
      </c>
      <c r="M106" s="8">
        <v>122.2062</v>
      </c>
      <c r="N106" s="10">
        <v>2.3909966581482198</v>
      </c>
      <c r="O106" s="10">
        <v>2.3820577689553399</v>
      </c>
      <c r="P106" s="10">
        <v>2.3848794829422499</v>
      </c>
      <c r="Q106" s="10">
        <v>2.3855700041722301</v>
      </c>
      <c r="R106" s="8">
        <v>121.17527870675799</v>
      </c>
      <c r="S106" s="8">
        <v>121.25312340686099</v>
      </c>
      <c r="T106" s="8">
        <v>121.35535035725</v>
      </c>
      <c r="U106" s="9">
        <v>-3.7455678664094199E-3</v>
      </c>
      <c r="V106" s="9">
        <v>-3.1033600879456298E-3</v>
      </c>
      <c r="W106" s="9">
        <v>-2.26062813507689E-3</v>
      </c>
      <c r="X106" s="10">
        <v>2.3905049734456099</v>
      </c>
      <c r="Y106" s="10">
        <v>2.3818827909075999</v>
      </c>
      <c r="Z106" s="10">
        <v>2.3844236463830599</v>
      </c>
      <c r="AA106" s="10">
        <v>2.3851101275640798</v>
      </c>
      <c r="AB106" s="8">
        <v>121.765421095383</v>
      </c>
      <c r="AC106" s="8">
        <v>121.829627351505</v>
      </c>
      <c r="AD106" s="8">
        <v>121.931829182511</v>
      </c>
      <c r="AE106" s="9">
        <v>-3.6133660318399098E-3</v>
      </c>
      <c r="AF106" s="9">
        <v>-3.0862103444133102E-3</v>
      </c>
      <c r="AG106" s="9">
        <v>-2.2476705814121799E-3</v>
      </c>
      <c r="AZ106" s="9"/>
      <c r="BB106">
        <f t="shared" si="22"/>
        <v>1</v>
      </c>
      <c r="BC106">
        <f t="shared" si="23"/>
        <v>0</v>
      </c>
      <c r="BD106">
        <f t="shared" si="24"/>
        <v>1</v>
      </c>
      <c r="BE106">
        <f t="shared" si="20"/>
        <v>1</v>
      </c>
      <c r="BF106">
        <f t="shared" si="25"/>
        <v>1</v>
      </c>
      <c r="BG106" s="9">
        <f t="shared" si="26"/>
        <v>-1.1531448018924501E-2</v>
      </c>
      <c r="BH106" s="9">
        <f t="shared" si="27"/>
        <v>1.13632941498772E-2</v>
      </c>
      <c r="BI106" s="9">
        <f t="shared" si="28"/>
        <v>-1.6815386904730015E-4</v>
      </c>
      <c r="BJ106" s="12">
        <f t="shared" si="29"/>
        <v>2.3470763688194323E-2</v>
      </c>
      <c r="BL106" s="9"/>
      <c r="BN106">
        <f t="shared" si="30"/>
        <v>0</v>
      </c>
      <c r="BO106">
        <f t="shared" si="31"/>
        <v>1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8.7301812676419226E-3</v>
      </c>
      <c r="BX106" s="12">
        <f t="shared" si="38"/>
        <v>-1.6815386904730015E-4</v>
      </c>
      <c r="BY106" s="12">
        <f t="shared" si="39"/>
        <v>3.2200944955836239E-2</v>
      </c>
    </row>
    <row r="107" spans="1:77" x14ac:dyDescent="0.3">
      <c r="A107" s="1">
        <v>46177</v>
      </c>
      <c r="B107" s="8">
        <v>52.19</v>
      </c>
      <c r="C107" s="8">
        <v>124.81</v>
      </c>
      <c r="D107" s="9">
        <v>2.56175468206481E-2</v>
      </c>
      <c r="E107" s="9">
        <v>2.58089313000174E-2</v>
      </c>
      <c r="F107" s="8">
        <v>0</v>
      </c>
      <c r="G107" s="8">
        <v>0.2515</v>
      </c>
      <c r="H107" s="8">
        <v>0</v>
      </c>
      <c r="I107" s="8">
        <v>0.57620000000000005</v>
      </c>
      <c r="J107" s="8">
        <v>0.2515</v>
      </c>
      <c r="K107" s="8">
        <v>0.57620000000000005</v>
      </c>
      <c r="L107" s="8">
        <v>52.441499999999998</v>
      </c>
      <c r="M107" s="8">
        <v>125.3862</v>
      </c>
      <c r="N107" s="10">
        <v>2.3914543015903398</v>
      </c>
      <c r="O107" s="10">
        <v>2.3820577689553399</v>
      </c>
      <c r="P107" s="10">
        <v>2.3859877470153399</v>
      </c>
      <c r="Q107" s="10">
        <v>2.3853221173999</v>
      </c>
      <c r="R107" s="8">
        <v>124.319594961779</v>
      </c>
      <c r="S107" s="8">
        <v>124.466860214756</v>
      </c>
      <c r="T107" s="8">
        <v>124.502898517749</v>
      </c>
      <c r="U107" s="9">
        <v>-3.9369523457785504E-3</v>
      </c>
      <c r="V107" s="9">
        <v>-2.7530834725906801E-3</v>
      </c>
      <c r="W107" s="9">
        <v>-2.4635840295434402E-3</v>
      </c>
      <c r="X107" s="10">
        <v>2.3909727982609099</v>
      </c>
      <c r="Y107" s="10">
        <v>2.3818827909075999</v>
      </c>
      <c r="Z107" s="10">
        <v>2.3855270327558702</v>
      </c>
      <c r="AA107" s="10">
        <v>2.3848635993594902</v>
      </c>
      <c r="AB107" s="8">
        <v>124.909506379381</v>
      </c>
      <c r="AC107" s="8">
        <v>125.042752651797</v>
      </c>
      <c r="AD107" s="8">
        <v>125.078752754652</v>
      </c>
      <c r="AE107" s="9">
        <v>-3.8090481364668701E-3</v>
      </c>
      <c r="AF107" s="9">
        <v>-2.7428742554651102E-3</v>
      </c>
      <c r="AG107" s="9">
        <v>-2.4550133372685601E-3</v>
      </c>
      <c r="AZ107" s="9"/>
      <c r="BB107">
        <f t="shared" si="22"/>
        <v>1</v>
      </c>
      <c r="BC107">
        <f t="shared" si="23"/>
        <v>0</v>
      </c>
      <c r="BD107">
        <f t="shared" si="24"/>
        <v>1</v>
      </c>
      <c r="BE107">
        <f t="shared" si="20"/>
        <v>1</v>
      </c>
      <c r="BF107">
        <f t="shared" si="25"/>
        <v>1</v>
      </c>
      <c r="BG107" s="9">
        <f t="shared" si="26"/>
        <v>2.56175468206481E-2</v>
      </c>
      <c r="BH107" s="9">
        <f t="shared" si="27"/>
        <v>-2.58089313000174E-2</v>
      </c>
      <c r="BI107" s="9">
        <f t="shared" si="28"/>
        <v>-1.913844793693005E-4</v>
      </c>
      <c r="BJ107" s="12">
        <f t="shared" si="29"/>
        <v>2.3279379208825023E-2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8.7301812676419226E-3</v>
      </c>
      <c r="BX107" s="12">
        <f t="shared" si="38"/>
        <v>-1.913844793693005E-4</v>
      </c>
      <c r="BY107" s="12">
        <f t="shared" si="39"/>
        <v>3.2009560476466942E-2</v>
      </c>
    </row>
    <row r="108" spans="1:77" x14ac:dyDescent="0.3">
      <c r="A108" s="1">
        <v>46178</v>
      </c>
      <c r="B108" s="8">
        <v>52.3</v>
      </c>
      <c r="C108" s="8">
        <v>125</v>
      </c>
      <c r="D108" s="9">
        <v>2.1054654155554299E-3</v>
      </c>
      <c r="E108" s="9">
        <v>1.52115637193877E-3</v>
      </c>
      <c r="F108" s="8">
        <v>0</v>
      </c>
      <c r="G108" s="8">
        <v>0.2515</v>
      </c>
      <c r="H108" s="8">
        <v>0</v>
      </c>
      <c r="I108" s="8">
        <v>0.57620000000000005</v>
      </c>
      <c r="J108" s="8">
        <v>0.2515</v>
      </c>
      <c r="K108" s="8">
        <v>0.57620000000000005</v>
      </c>
      <c r="L108" s="8">
        <v>52.551499999999997</v>
      </c>
      <c r="M108" s="8">
        <v>125.5762</v>
      </c>
      <c r="N108" s="10">
        <v>2.39005736137667</v>
      </c>
      <c r="O108" s="10">
        <v>2.3820577689553399</v>
      </c>
      <c r="P108" s="10">
        <v>2.3864471850667899</v>
      </c>
      <c r="Q108" s="10">
        <v>2.3854360426947299</v>
      </c>
      <c r="R108" s="8">
        <v>124.58162131636399</v>
      </c>
      <c r="S108" s="8">
        <v>124.78715916890199</v>
      </c>
      <c r="T108" s="8">
        <v>124.752346740014</v>
      </c>
      <c r="U108" s="9">
        <v>-3.3526433021618999E-3</v>
      </c>
      <c r="V108" s="9">
        <v>-1.70417793546311E-3</v>
      </c>
      <c r="W108" s="9">
        <v>-1.9831913044021298E-3</v>
      </c>
      <c r="X108" s="10">
        <v>2.3895835513734101</v>
      </c>
      <c r="Y108" s="10">
        <v>2.3818827909075999</v>
      </c>
      <c r="Z108" s="10">
        <v>2.38598476748018</v>
      </c>
      <c r="AA108" s="10">
        <v>2.3849773145380802</v>
      </c>
      <c r="AB108" s="8">
        <v>125.17151348637999</v>
      </c>
      <c r="AC108" s="8">
        <v>125.36302386187</v>
      </c>
      <c r="AD108" s="8">
        <v>125.32815944174</v>
      </c>
      <c r="AE108" s="9">
        <v>-3.2278409191443601E-3</v>
      </c>
      <c r="AF108" s="9">
        <v>-1.6990264505502199E-3</v>
      </c>
      <c r="AG108" s="9">
        <v>-1.97717281289916E-3</v>
      </c>
      <c r="AZ108" s="9"/>
      <c r="BB108">
        <f t="shared" si="22"/>
        <v>1</v>
      </c>
      <c r="BC108">
        <f t="shared" si="23"/>
        <v>0</v>
      </c>
      <c r="BD108">
        <f t="shared" si="24"/>
        <v>1</v>
      </c>
      <c r="BE108">
        <f t="shared" si="20"/>
        <v>1</v>
      </c>
      <c r="BF108">
        <f t="shared" si="25"/>
        <v>1</v>
      </c>
      <c r="BG108" s="9">
        <f t="shared" si="26"/>
        <v>2.1054654155554299E-3</v>
      </c>
      <c r="BH108" s="9">
        <f t="shared" si="27"/>
        <v>-1.52115637193877E-3</v>
      </c>
      <c r="BI108" s="9">
        <f t="shared" si="28"/>
        <v>5.8430904361665985E-4</v>
      </c>
      <c r="BJ108" s="12">
        <f t="shared" si="29"/>
        <v>2.3863688252441683E-2</v>
      </c>
      <c r="BL108" s="9"/>
      <c r="BN108">
        <f t="shared" si="30"/>
        <v>0</v>
      </c>
      <c r="BO108">
        <f t="shared" si="31"/>
        <v>1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8.7301812676419226E-3</v>
      </c>
      <c r="BX108" s="12">
        <f t="shared" si="38"/>
        <v>5.8430904361665985E-4</v>
      </c>
      <c r="BY108" s="12">
        <f t="shared" si="39"/>
        <v>3.2593869520083599E-2</v>
      </c>
    </row>
    <row r="109" spans="1:77" x14ac:dyDescent="0.3">
      <c r="A109" s="1">
        <v>46181</v>
      </c>
      <c r="B109" s="8">
        <v>51.97</v>
      </c>
      <c r="C109" s="8">
        <v>124.31</v>
      </c>
      <c r="D109" s="9">
        <v>-6.3297420505266499E-3</v>
      </c>
      <c r="E109" s="9">
        <v>-5.5352914986770202E-3</v>
      </c>
      <c r="F109" s="8">
        <v>0</v>
      </c>
      <c r="G109" s="8">
        <v>0.2515</v>
      </c>
      <c r="H109" s="8">
        <v>0</v>
      </c>
      <c r="I109" s="8">
        <v>0.57620000000000005</v>
      </c>
      <c r="J109" s="8">
        <v>0.2515</v>
      </c>
      <c r="K109" s="8">
        <v>0.57620000000000005</v>
      </c>
      <c r="L109" s="8">
        <v>52.221499999999999</v>
      </c>
      <c r="M109" s="8">
        <v>124.8862</v>
      </c>
      <c r="N109" s="10">
        <v>2.3919568982105002</v>
      </c>
      <c r="O109" s="10">
        <v>2.3820577689553399</v>
      </c>
      <c r="P109" s="10">
        <v>2.38731018332065</v>
      </c>
      <c r="Q109" s="10">
        <v>2.3853812724608301</v>
      </c>
      <c r="R109" s="8">
        <v>123.795542252609</v>
      </c>
      <c r="S109" s="8">
        <v>124.023660207921</v>
      </c>
      <c r="T109" s="8">
        <v>123.971111138845</v>
      </c>
      <c r="U109" s="9">
        <v>-4.1470938540116402E-3</v>
      </c>
      <c r="V109" s="9">
        <v>-2.3060902717443399E-3</v>
      </c>
      <c r="W109" s="9">
        <v>-2.7298820281378899E-3</v>
      </c>
      <c r="X109" s="10">
        <v>2.3914709458747798</v>
      </c>
      <c r="Y109" s="10">
        <v>2.3818827909075999</v>
      </c>
      <c r="Z109" s="10">
        <v>2.38684363505751</v>
      </c>
      <c r="AA109" s="10">
        <v>2.3849231562881799</v>
      </c>
      <c r="AB109" s="8">
        <v>124.385492165381</v>
      </c>
      <c r="AC109" s="8">
        <v>124.599703534966</v>
      </c>
      <c r="AD109" s="8">
        <v>124.54709283115</v>
      </c>
      <c r="AE109" s="9">
        <v>-4.01737159715635E-3</v>
      </c>
      <c r="AF109" s="9">
        <v>-2.29669562014417E-3</v>
      </c>
      <c r="AG109" s="9">
        <v>-2.71902258051617E-3</v>
      </c>
      <c r="AZ109" s="9"/>
      <c r="BB109">
        <f t="shared" si="22"/>
        <v>1</v>
      </c>
      <c r="BC109">
        <f t="shared" si="23"/>
        <v>0</v>
      </c>
      <c r="BD109">
        <f t="shared" si="24"/>
        <v>1</v>
      </c>
      <c r="BE109">
        <f t="shared" si="20"/>
        <v>1</v>
      </c>
      <c r="BF109">
        <f t="shared" si="25"/>
        <v>1</v>
      </c>
      <c r="BG109" s="9">
        <f t="shared" si="26"/>
        <v>-6.3297420505266499E-3</v>
      </c>
      <c r="BH109" s="9">
        <f t="shared" si="27"/>
        <v>5.5352914986770202E-3</v>
      </c>
      <c r="BI109" s="9">
        <f t="shared" si="28"/>
        <v>-7.9445055184962973E-4</v>
      </c>
      <c r="BJ109" s="12">
        <f t="shared" si="29"/>
        <v>2.3069237700592053E-2</v>
      </c>
      <c r="BL109" s="9"/>
      <c r="BN109">
        <f t="shared" si="30"/>
        <v>0</v>
      </c>
      <c r="BO109">
        <f t="shared" si="31"/>
        <v>1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8.7301812676419226E-3</v>
      </c>
      <c r="BX109" s="12">
        <f t="shared" si="38"/>
        <v>-7.9445055184962973E-4</v>
      </c>
      <c r="BY109" s="12">
        <f t="shared" si="39"/>
        <v>3.1799418968233968E-2</v>
      </c>
    </row>
    <row r="110" spans="1:77" x14ac:dyDescent="0.3">
      <c r="A110" s="1">
        <v>46182</v>
      </c>
      <c r="B110" s="8">
        <v>52.46</v>
      </c>
      <c r="C110" s="8">
        <v>125.41</v>
      </c>
      <c r="D110" s="9">
        <v>9.3843454183771009E-3</v>
      </c>
      <c r="E110" s="9">
        <v>8.8099240323341998E-3</v>
      </c>
      <c r="F110" s="8">
        <v>0</v>
      </c>
      <c r="G110" s="8">
        <v>0.2515</v>
      </c>
      <c r="H110" s="8">
        <v>0</v>
      </c>
      <c r="I110" s="8">
        <v>0.57620000000000005</v>
      </c>
      <c r="J110" s="8">
        <v>0.2515</v>
      </c>
      <c r="K110" s="8">
        <v>0.57620000000000005</v>
      </c>
      <c r="L110" s="8">
        <v>52.711500000000001</v>
      </c>
      <c r="M110" s="8">
        <v>125.9862</v>
      </c>
      <c r="N110" s="10">
        <v>2.39058330156309</v>
      </c>
      <c r="O110" s="10">
        <v>2.3820577689553399</v>
      </c>
      <c r="P110" s="10">
        <v>2.3875835568713701</v>
      </c>
      <c r="Q110" s="10">
        <v>2.38558648286919</v>
      </c>
      <c r="R110" s="8">
        <v>124.96275055939699</v>
      </c>
      <c r="S110" s="8">
        <v>125.238292217001</v>
      </c>
      <c r="T110" s="8">
        <v>125.137101553295</v>
      </c>
      <c r="U110" s="9">
        <v>-3.5726724679687499E-3</v>
      </c>
      <c r="V110" s="9">
        <v>-1.3701095534346701E-3</v>
      </c>
      <c r="W110" s="9">
        <v>-2.1784211665827401E-3</v>
      </c>
      <c r="X110" s="10">
        <v>2.3901084203636702</v>
      </c>
      <c r="Y110" s="10">
        <v>2.3818827909075999</v>
      </c>
      <c r="Z110" s="10">
        <v>2.3871162449892398</v>
      </c>
      <c r="AA110" s="10">
        <v>2.3851279541474102</v>
      </c>
      <c r="AB110" s="8">
        <v>125.552614732926</v>
      </c>
      <c r="AC110" s="8">
        <v>125.814108269334</v>
      </c>
      <c r="AD110" s="8">
        <v>125.712876952684</v>
      </c>
      <c r="AE110" s="9">
        <v>-3.4474655290465599E-3</v>
      </c>
      <c r="AF110" s="9">
        <v>-1.3668907607237201E-3</v>
      </c>
      <c r="AG110" s="9">
        <v>-2.1718248478224001E-3</v>
      </c>
      <c r="AZ110" s="9"/>
      <c r="BB110">
        <f t="shared" si="22"/>
        <v>1</v>
      </c>
      <c r="BC110">
        <f t="shared" si="23"/>
        <v>0</v>
      </c>
      <c r="BD110">
        <f t="shared" si="24"/>
        <v>1</v>
      </c>
      <c r="BE110">
        <f t="shared" si="20"/>
        <v>1</v>
      </c>
      <c r="BF110">
        <f t="shared" si="25"/>
        <v>1</v>
      </c>
      <c r="BG110" s="9">
        <f t="shared" si="26"/>
        <v>9.3843454183771009E-3</v>
      </c>
      <c r="BH110" s="9">
        <f t="shared" si="27"/>
        <v>-8.8099240323341998E-3</v>
      </c>
      <c r="BI110" s="9">
        <f t="shared" si="28"/>
        <v>5.7442138604290108E-4</v>
      </c>
      <c r="BJ110" s="12">
        <f t="shared" si="29"/>
        <v>2.3643659086634954E-2</v>
      </c>
      <c r="BL110" s="9"/>
      <c r="BN110">
        <f t="shared" si="30"/>
        <v>0</v>
      </c>
      <c r="BO110">
        <f t="shared" si="31"/>
        <v>1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8.7301812676419226E-3</v>
      </c>
      <c r="BX110" s="12">
        <f t="shared" si="38"/>
        <v>5.7442138604290108E-4</v>
      </c>
      <c r="BY110" s="12">
        <f t="shared" si="39"/>
        <v>3.2373840354276873E-2</v>
      </c>
    </row>
    <row r="111" spans="1:77" x14ac:dyDescent="0.3">
      <c r="A111" s="1">
        <v>46183</v>
      </c>
      <c r="B111" s="8">
        <v>52.23</v>
      </c>
      <c r="C111" s="8">
        <v>125.06</v>
      </c>
      <c r="D111" s="9">
        <v>-4.3939319905202797E-3</v>
      </c>
      <c r="E111" s="9">
        <v>-2.7947476968065198E-3</v>
      </c>
      <c r="F111" s="8">
        <v>0</v>
      </c>
      <c r="G111" s="8">
        <v>0.2515</v>
      </c>
      <c r="H111" s="8">
        <v>0</v>
      </c>
      <c r="I111" s="8">
        <v>0.57620000000000005</v>
      </c>
      <c r="J111" s="8">
        <v>0.2515</v>
      </c>
      <c r="K111" s="8">
        <v>0.57620000000000005</v>
      </c>
      <c r="L111" s="8">
        <v>52.481499999999997</v>
      </c>
      <c r="M111" s="8">
        <v>125.6362</v>
      </c>
      <c r="N111" s="10">
        <v>2.3944093432892899</v>
      </c>
      <c r="O111" s="10">
        <v>2.3820577689553399</v>
      </c>
      <c r="P111" s="10">
        <v>2.3887708933784402</v>
      </c>
      <c r="Q111" s="10">
        <v>2.38607468946755</v>
      </c>
      <c r="R111" s="8">
        <v>124.414877272537</v>
      </c>
      <c r="S111" s="8">
        <v>124.703489175391</v>
      </c>
      <c r="T111" s="8">
        <v>124.599182000258</v>
      </c>
      <c r="U111" s="9">
        <v>-5.1718567616825997E-3</v>
      </c>
      <c r="V111" s="9">
        <v>-2.8547892881406298E-3</v>
      </c>
      <c r="W111" s="9">
        <v>-3.69158081330158E-3</v>
      </c>
      <c r="X111" s="10">
        <v>2.3939140459018802</v>
      </c>
      <c r="Y111" s="10">
        <v>2.3818827909075999</v>
      </c>
      <c r="Z111" s="10">
        <v>2.3882985788150801</v>
      </c>
      <c r="AA111" s="10">
        <v>2.38561410240683</v>
      </c>
      <c r="AB111" s="8">
        <v>125.004781691017</v>
      </c>
      <c r="AC111" s="8">
        <v>125.279441211402</v>
      </c>
      <c r="AD111" s="8">
        <v>125.17509272558701</v>
      </c>
      <c r="AE111" s="9">
        <v>-5.0384389694009702E-3</v>
      </c>
      <c r="AF111" s="9">
        <v>-2.84365715331393E-3</v>
      </c>
      <c r="AG111" s="9">
        <v>-3.6769300848353199E-3</v>
      </c>
      <c r="AZ111" s="9"/>
      <c r="BB111">
        <f t="shared" si="22"/>
        <v>1</v>
      </c>
      <c r="BC111">
        <f t="shared" si="23"/>
        <v>0</v>
      </c>
      <c r="BD111">
        <f t="shared" si="24"/>
        <v>1</v>
      </c>
      <c r="BE111">
        <f t="shared" si="20"/>
        <v>1</v>
      </c>
      <c r="BF111">
        <f t="shared" si="25"/>
        <v>1</v>
      </c>
      <c r="BG111" s="9">
        <f t="shared" si="26"/>
        <v>-4.3939319905202797E-3</v>
      </c>
      <c r="BH111" s="9">
        <f t="shared" si="27"/>
        <v>2.7947476968065198E-3</v>
      </c>
      <c r="BI111" s="9">
        <f t="shared" si="28"/>
        <v>-1.5991842937137599E-3</v>
      </c>
      <c r="BJ111" s="12">
        <f t="shared" si="29"/>
        <v>2.2044474792921195E-2</v>
      </c>
      <c r="BL111" s="9"/>
      <c r="BN111">
        <f t="shared" si="30"/>
        <v>0</v>
      </c>
      <c r="BO111">
        <f t="shared" si="31"/>
        <v>1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8.7301812676419226E-3</v>
      </c>
      <c r="BX111" s="12">
        <f t="shared" si="38"/>
        <v>-1.5991842937137599E-3</v>
      </c>
      <c r="BY111" s="12">
        <f t="shared" si="39"/>
        <v>3.0774656060563114E-2</v>
      </c>
    </row>
    <row r="112" spans="1:77" x14ac:dyDescent="0.3">
      <c r="A112" s="1">
        <v>46184</v>
      </c>
      <c r="B112" s="8">
        <v>52.62</v>
      </c>
      <c r="C112" s="8">
        <v>126.31</v>
      </c>
      <c r="D112" s="9">
        <v>7.4392331639392901E-3</v>
      </c>
      <c r="E112" s="9">
        <v>9.9455806467320402E-3</v>
      </c>
      <c r="F112" s="8">
        <v>0</v>
      </c>
      <c r="G112" s="8">
        <v>0.2515</v>
      </c>
      <c r="H112" s="8">
        <v>0</v>
      </c>
      <c r="I112" s="8">
        <v>0.57620000000000005</v>
      </c>
      <c r="J112" s="8">
        <v>0.2515</v>
      </c>
      <c r="K112" s="8">
        <v>0.57620000000000005</v>
      </c>
      <c r="L112" s="8">
        <v>52.871499999999997</v>
      </c>
      <c r="M112" s="8">
        <v>126.8862</v>
      </c>
      <c r="N112" s="10">
        <v>2.4004180919802298</v>
      </c>
      <c r="O112" s="10">
        <v>2.3820577689553399</v>
      </c>
      <c r="P112" s="10">
        <v>2.39052520501453</v>
      </c>
      <c r="Q112" s="10">
        <v>2.38669963407441</v>
      </c>
      <c r="R112" s="8">
        <v>125.34387980243</v>
      </c>
      <c r="S112" s="8">
        <v>125.69712440957299</v>
      </c>
      <c r="T112" s="8">
        <v>125.55525015978201</v>
      </c>
      <c r="U112" s="9">
        <v>-7.6782042444753298E-3</v>
      </c>
      <c r="V112" s="9">
        <v>-4.86396406572697E-3</v>
      </c>
      <c r="W112" s="9">
        <v>-5.9933007743885403E-3</v>
      </c>
      <c r="X112" s="10">
        <v>2.3998978655797498</v>
      </c>
      <c r="Y112" s="10">
        <v>2.3818827909075999</v>
      </c>
      <c r="Z112" s="10">
        <v>2.3900456899851101</v>
      </c>
      <c r="AA112" s="10">
        <v>2.3862368071277098</v>
      </c>
      <c r="AB112" s="8">
        <v>125.933715979471</v>
      </c>
      <c r="AC112" s="8">
        <v>126.272928309821</v>
      </c>
      <c r="AD112" s="8">
        <v>126.130996015402</v>
      </c>
      <c r="AE112" s="9">
        <v>-7.5349168855790597E-3</v>
      </c>
      <c r="AF112" s="9">
        <v>-4.8449597209104297E-3</v>
      </c>
      <c r="AG112" s="9">
        <v>-5.9696039573901103E-3</v>
      </c>
      <c r="AZ112" s="9"/>
      <c r="BB112">
        <f t="shared" si="22"/>
        <v>1</v>
      </c>
      <c r="BC112">
        <f t="shared" si="23"/>
        <v>0</v>
      </c>
      <c r="BD112">
        <f t="shared" si="24"/>
        <v>1</v>
      </c>
      <c r="BE112">
        <f t="shared" si="20"/>
        <v>1</v>
      </c>
      <c r="BF112">
        <f t="shared" si="25"/>
        <v>1</v>
      </c>
      <c r="BG112" s="9">
        <f t="shared" si="26"/>
        <v>7.4392331639392901E-3</v>
      </c>
      <c r="BH112" s="9">
        <f t="shared" si="27"/>
        <v>-9.9455806467320402E-3</v>
      </c>
      <c r="BI112" s="9">
        <f t="shared" si="28"/>
        <v>-2.5063474827927501E-3</v>
      </c>
      <c r="BJ112" s="12">
        <f t="shared" si="29"/>
        <v>1.9538127310128446E-2</v>
      </c>
      <c r="BL112" s="9"/>
      <c r="BN112">
        <f t="shared" si="30"/>
        <v>0</v>
      </c>
      <c r="BO112">
        <f t="shared" si="31"/>
        <v>1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8.7301812676419226E-3</v>
      </c>
      <c r="BX112" s="12">
        <f t="shared" si="38"/>
        <v>-2.5063474827927501E-3</v>
      </c>
      <c r="BY112" s="12">
        <f t="shared" si="39"/>
        <v>2.8268308577770365E-2</v>
      </c>
    </row>
    <row r="113" spans="1:77" x14ac:dyDescent="0.3">
      <c r="A113" s="1">
        <v>46185</v>
      </c>
      <c r="B113" s="8">
        <v>53.34</v>
      </c>
      <c r="C113" s="8">
        <v>128.05000000000001</v>
      </c>
      <c r="D113" s="9">
        <v>1.35902431417216E-2</v>
      </c>
      <c r="E113" s="9">
        <v>1.3681609859650499E-2</v>
      </c>
      <c r="F113" s="8">
        <v>0</v>
      </c>
      <c r="G113" s="8">
        <v>0.2515</v>
      </c>
      <c r="H113" s="8">
        <v>0</v>
      </c>
      <c r="I113" s="8">
        <v>0.57620000000000005</v>
      </c>
      <c r="J113" s="8">
        <v>0.2515</v>
      </c>
      <c r="K113" s="8">
        <v>0.57620000000000005</v>
      </c>
      <c r="L113" s="8">
        <v>53.591500000000003</v>
      </c>
      <c r="M113" s="8">
        <v>128.62620000000001</v>
      </c>
      <c r="N113" s="10">
        <v>2.4006374203224499</v>
      </c>
      <c r="O113" s="10">
        <v>2.3820577689553399</v>
      </c>
      <c r="P113" s="10">
        <v>2.3923958489467401</v>
      </c>
      <c r="Q113" s="10">
        <v>2.3873125150339898</v>
      </c>
      <c r="R113" s="8">
        <v>127.058961396077</v>
      </c>
      <c r="S113" s="8">
        <v>127.51061443547501</v>
      </c>
      <c r="T113" s="8">
        <v>127.306558481529</v>
      </c>
      <c r="U113" s="9">
        <v>-7.7695709624041303E-3</v>
      </c>
      <c r="V113" s="9">
        <v>-4.2212010378647304E-3</v>
      </c>
      <c r="W113" s="9">
        <v>-5.8227885229532898E-3</v>
      </c>
      <c r="X113" s="10">
        <v>2.4001231538583498</v>
      </c>
      <c r="Y113" s="10">
        <v>2.3818827909075999</v>
      </c>
      <c r="Z113" s="10">
        <v>2.39190900331621</v>
      </c>
      <c r="AA113" s="10">
        <v>2.3868477202119198</v>
      </c>
      <c r="AB113" s="8">
        <v>127.648671588924</v>
      </c>
      <c r="AC113" s="8">
        <v>128.08613359483701</v>
      </c>
      <c r="AD113" s="8">
        <v>127.882009849185</v>
      </c>
      <c r="AE113" s="9">
        <v>-7.6287865906710202E-3</v>
      </c>
      <c r="AF113" s="9">
        <v>-4.2075672357524104E-3</v>
      </c>
      <c r="AG113" s="9">
        <v>-5.8024828074764402E-3</v>
      </c>
      <c r="AZ113" s="9"/>
      <c r="BB113">
        <f t="shared" si="22"/>
        <v>1</v>
      </c>
      <c r="BC113">
        <f t="shared" si="23"/>
        <v>0</v>
      </c>
      <c r="BD113">
        <f t="shared" si="24"/>
        <v>1</v>
      </c>
      <c r="BE113">
        <f t="shared" si="20"/>
        <v>0</v>
      </c>
      <c r="BF113">
        <f t="shared" si="25"/>
        <v>1</v>
      </c>
      <c r="BG113" s="9">
        <f t="shared" si="26"/>
        <v>1.35902431417216E-2</v>
      </c>
      <c r="BH113" s="9">
        <f t="shared" si="27"/>
        <v>-1.3681609859650499E-2</v>
      </c>
      <c r="BI113" s="9">
        <f t="shared" si="28"/>
        <v>-9.1366717928899333E-5</v>
      </c>
      <c r="BJ113" s="12">
        <f t="shared" si="29"/>
        <v>1.9446760592199547E-2</v>
      </c>
      <c r="BL113" s="9"/>
      <c r="BN113">
        <f t="shared" si="30"/>
        <v>0</v>
      </c>
      <c r="BO113">
        <f t="shared" si="31"/>
        <v>1</v>
      </c>
      <c r="BP113">
        <f t="shared" si="32"/>
        <v>0</v>
      </c>
      <c r="BQ113">
        <f t="shared" si="21"/>
        <v>0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8.7301812676419226E-3</v>
      </c>
      <c r="BX113" s="12">
        <f t="shared" si="38"/>
        <v>-9.1366717928899333E-5</v>
      </c>
      <c r="BY113" s="12">
        <f t="shared" si="39"/>
        <v>2.8176941859841466E-2</v>
      </c>
    </row>
    <row r="114" spans="1:77" x14ac:dyDescent="0.3">
      <c r="A114" s="1">
        <v>46188</v>
      </c>
      <c r="B114" s="8">
        <v>53.56</v>
      </c>
      <c r="C114" s="8">
        <v>128</v>
      </c>
      <c r="D114" s="9">
        <v>4.11600206910349E-3</v>
      </c>
      <c r="E114" s="9">
        <v>-3.9054872591722098E-4</v>
      </c>
      <c r="F114" s="8">
        <v>0</v>
      </c>
      <c r="G114" s="8">
        <v>0.2515</v>
      </c>
      <c r="H114" s="8">
        <v>0.38040000000000002</v>
      </c>
      <c r="I114" s="8">
        <v>0.95660000000000001</v>
      </c>
      <c r="J114" s="8">
        <v>0.2515</v>
      </c>
      <c r="K114" s="8">
        <v>0.95660000000000001</v>
      </c>
      <c r="L114" s="8">
        <v>53.811500000000002</v>
      </c>
      <c r="M114" s="8">
        <v>128.95660000000001</v>
      </c>
      <c r="N114" s="10">
        <v>2.3898431665421902</v>
      </c>
      <c r="O114" s="10">
        <v>2.3820577689553399</v>
      </c>
      <c r="P114" s="10">
        <v>2.3930951179633899</v>
      </c>
      <c r="Q114" s="10">
        <v>2.3876657301125599</v>
      </c>
      <c r="R114" s="8">
        <v>127.583014105248</v>
      </c>
      <c r="S114" s="8">
        <v>128.13672166958699</v>
      </c>
      <c r="T114" s="8">
        <v>127.86445830522</v>
      </c>
      <c r="U114" s="9">
        <v>-3.2630201673834098E-3</v>
      </c>
      <c r="V114" s="9">
        <v>1.0675679901080101E-3</v>
      </c>
      <c r="W114" s="9">
        <v>-1.0594805418148499E-3</v>
      </c>
      <c r="X114" s="10">
        <v>2.3964505728329399</v>
      </c>
      <c r="Y114" s="10">
        <v>2.3818827909075999</v>
      </c>
      <c r="Z114" s="10">
        <v>2.39331368444943</v>
      </c>
      <c r="AA114" s="10">
        <v>2.3875537673486402</v>
      </c>
      <c r="AB114" s="8">
        <v>128.17268580292401</v>
      </c>
      <c r="AC114" s="8">
        <v>128.71221133194999</v>
      </c>
      <c r="AD114" s="8">
        <v>128.43985609618301</v>
      </c>
      <c r="AE114" s="9">
        <v>-6.09745111983167E-3</v>
      </c>
      <c r="AF114" s="9">
        <v>-1.8969214013019901E-3</v>
      </c>
      <c r="AG114" s="9">
        <v>-4.0151648230062403E-3</v>
      </c>
      <c r="AZ114" s="9"/>
      <c r="BB114">
        <f t="shared" si="22"/>
        <v>1</v>
      </c>
      <c r="BC114">
        <f t="shared" si="23"/>
        <v>0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1.9446760592199547E-2</v>
      </c>
      <c r="BL114" s="9"/>
      <c r="BN114">
        <f t="shared" si="30"/>
        <v>0</v>
      </c>
      <c r="BO114">
        <f t="shared" si="31"/>
        <v>1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8.7301812676419226E-3</v>
      </c>
      <c r="BX114" s="12">
        <f t="shared" si="38"/>
        <v>0</v>
      </c>
      <c r="BY114" s="12">
        <f t="shared" si="39"/>
        <v>2.8176941859841466E-2</v>
      </c>
    </row>
    <row r="115" spans="1:77" x14ac:dyDescent="0.3">
      <c r="A115" s="1">
        <v>46189</v>
      </c>
      <c r="B115" s="8">
        <v>54.35</v>
      </c>
      <c r="C115" s="8">
        <v>129.57</v>
      </c>
      <c r="D115" s="9">
        <v>1.46420927442467E-2</v>
      </c>
      <c r="E115" s="9">
        <v>1.21910117211022E-2</v>
      </c>
      <c r="F115" s="8">
        <v>0</v>
      </c>
      <c r="G115" s="8">
        <v>0.2515</v>
      </c>
      <c r="H115" s="8">
        <v>0</v>
      </c>
      <c r="I115" s="8">
        <v>0.95660000000000001</v>
      </c>
      <c r="J115" s="8">
        <v>0.2515</v>
      </c>
      <c r="K115" s="8">
        <v>0.95660000000000001</v>
      </c>
      <c r="L115" s="8">
        <v>54.601500000000001</v>
      </c>
      <c r="M115" s="8">
        <v>130.5266</v>
      </c>
      <c r="N115" s="10">
        <v>2.3839926402943799</v>
      </c>
      <c r="O115" s="10">
        <v>2.3820577689553399</v>
      </c>
      <c r="P115" s="10">
        <v>2.3924349183317402</v>
      </c>
      <c r="Q115" s="10">
        <v>2.3880114773186301</v>
      </c>
      <c r="R115" s="8">
        <v>129.46483974272201</v>
      </c>
      <c r="S115" s="8">
        <v>130.06471966130999</v>
      </c>
      <c r="T115" s="8">
        <v>129.76963243161799</v>
      </c>
      <c r="U115" s="9">
        <v>-8.1193914423895099E-4</v>
      </c>
      <c r="V115" s="9">
        <v>3.8108944804222801E-3</v>
      </c>
      <c r="W115" s="9">
        <v>1.5395446440410201E-3</v>
      </c>
      <c r="X115" s="10">
        <v>2.3905313956576202</v>
      </c>
      <c r="Y115" s="10">
        <v>2.3818827909075999</v>
      </c>
      <c r="Z115" s="10">
        <v>2.3933557723148899</v>
      </c>
      <c r="AA115" s="10">
        <v>2.3882472586475401</v>
      </c>
      <c r="AB115" s="8">
        <v>130.05437320774101</v>
      </c>
      <c r="AC115" s="8">
        <v>130.67851714146499</v>
      </c>
      <c r="AD115" s="8">
        <v>130.364017027887</v>
      </c>
      <c r="AE115" s="9">
        <v>-3.6244189542499199E-3</v>
      </c>
      <c r="AF115" s="9">
        <v>1.16320200965029E-3</v>
      </c>
      <c r="AG115" s="9">
        <v>-1.2463690339790899E-3</v>
      </c>
      <c r="AZ115" s="9"/>
      <c r="BB115">
        <f t="shared" si="22"/>
        <v>1</v>
      </c>
      <c r="BC115">
        <f t="shared" si="23"/>
        <v>0</v>
      </c>
      <c r="BD115">
        <f t="shared" si="24"/>
        <v>1</v>
      </c>
      <c r="BE115">
        <f t="shared" si="20"/>
        <v>1</v>
      </c>
      <c r="BF115">
        <f t="shared" si="25"/>
        <v>1</v>
      </c>
      <c r="BG115" s="9">
        <f t="shared" si="26"/>
        <v>1.46420927442467E-2</v>
      </c>
      <c r="BH115" s="9">
        <f t="shared" si="27"/>
        <v>-1.21910117211022E-2</v>
      </c>
      <c r="BI115" s="9">
        <f t="shared" si="28"/>
        <v>2.4510810231444993E-3</v>
      </c>
      <c r="BJ115" s="12">
        <f t="shared" si="29"/>
        <v>2.1897841615344048E-2</v>
      </c>
      <c r="BL115" s="9"/>
      <c r="BN115">
        <f t="shared" si="30"/>
        <v>0</v>
      </c>
      <c r="BO115">
        <f t="shared" si="31"/>
        <v>1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8.7301812676419226E-3</v>
      </c>
      <c r="BX115" s="12">
        <f t="shared" si="38"/>
        <v>2.4510810231444993E-3</v>
      </c>
      <c r="BY115" s="12">
        <f t="shared" si="39"/>
        <v>3.0628022882985967E-2</v>
      </c>
    </row>
    <row r="116" spans="1:77" x14ac:dyDescent="0.3">
      <c r="A116" s="1">
        <v>46190</v>
      </c>
      <c r="B116" s="8">
        <v>54.05</v>
      </c>
      <c r="C116" s="8">
        <v>128.88999999999999</v>
      </c>
      <c r="D116" s="9">
        <v>-5.5350694820012498E-3</v>
      </c>
      <c r="E116" s="9">
        <v>-5.2619482240312803E-3</v>
      </c>
      <c r="F116" s="8">
        <v>0</v>
      </c>
      <c r="G116" s="8">
        <v>0.2515</v>
      </c>
      <c r="H116" s="8">
        <v>0</v>
      </c>
      <c r="I116" s="8">
        <v>0.95660000000000001</v>
      </c>
      <c r="J116" s="8">
        <v>0.2515</v>
      </c>
      <c r="K116" s="8">
        <v>0.95660000000000001</v>
      </c>
      <c r="L116" s="8">
        <v>54.301499999999997</v>
      </c>
      <c r="M116" s="8">
        <v>129.8466</v>
      </c>
      <c r="N116" s="10">
        <v>2.3846438482886199</v>
      </c>
      <c r="O116" s="10">
        <v>2.3820577689553399</v>
      </c>
      <c r="P116" s="10">
        <v>2.3917996373457799</v>
      </c>
      <c r="Q116" s="10">
        <v>2.3883395601440198</v>
      </c>
      <c r="R116" s="8">
        <v>128.75022241203601</v>
      </c>
      <c r="S116" s="8">
        <v>129.31110733583</v>
      </c>
      <c r="T116" s="8">
        <v>129.07202034907101</v>
      </c>
      <c r="U116" s="9">
        <v>-1.08506040220898E-3</v>
      </c>
      <c r="V116" s="9">
        <v>3.2618582743324902E-3</v>
      </c>
      <c r="W116" s="9">
        <v>1.4112184346672799E-3</v>
      </c>
      <c r="X116" s="10">
        <v>2.3912157122731399</v>
      </c>
      <c r="Y116" s="10">
        <v>2.3818827909075999</v>
      </c>
      <c r="Z116" s="10">
        <v>2.39342684619765</v>
      </c>
      <c r="AA116" s="10">
        <v>2.3889252462903499</v>
      </c>
      <c r="AB116" s="8">
        <v>129.339808370469</v>
      </c>
      <c r="AC116" s="8">
        <v>129.962808470357</v>
      </c>
      <c r="AD116" s="8">
        <v>129.68540851544901</v>
      </c>
      <c r="AE116" s="9">
        <v>-3.9106392853293197E-3</v>
      </c>
      <c r="AF116" s="9">
        <v>8.9456712742835604E-4</v>
      </c>
      <c r="AG116" s="9">
        <v>-1.24217052223071E-3</v>
      </c>
      <c r="AZ116" s="9"/>
      <c r="BB116">
        <f t="shared" si="22"/>
        <v>1</v>
      </c>
      <c r="BC116">
        <f t="shared" si="23"/>
        <v>0</v>
      </c>
      <c r="BD116">
        <f t="shared" si="24"/>
        <v>1</v>
      </c>
      <c r="BE116">
        <f t="shared" si="20"/>
        <v>1</v>
      </c>
      <c r="BF116">
        <f t="shared" si="25"/>
        <v>1</v>
      </c>
      <c r="BG116" s="9">
        <f t="shared" si="26"/>
        <v>-5.5350694820012498E-3</v>
      </c>
      <c r="BH116" s="9">
        <f t="shared" si="27"/>
        <v>5.2619482240312803E-3</v>
      </c>
      <c r="BI116" s="9">
        <f t="shared" si="28"/>
        <v>-2.7312125796996947E-4</v>
      </c>
      <c r="BJ116" s="12">
        <f t="shared" si="29"/>
        <v>2.1624720357374078E-2</v>
      </c>
      <c r="BL116" s="9"/>
      <c r="BN116">
        <f t="shared" si="30"/>
        <v>0</v>
      </c>
      <c r="BO116">
        <f t="shared" si="31"/>
        <v>1</v>
      </c>
      <c r="BP116">
        <f t="shared" si="32"/>
        <v>0</v>
      </c>
      <c r="BQ116">
        <f t="shared" si="21"/>
        <v>1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8.7301812676419226E-3</v>
      </c>
      <c r="BX116" s="12">
        <f t="shared" si="38"/>
        <v>-2.7312125796996947E-4</v>
      </c>
      <c r="BY116" s="12">
        <f t="shared" si="39"/>
        <v>3.0354901625015997E-2</v>
      </c>
    </row>
    <row r="117" spans="1:77" x14ac:dyDescent="0.3">
      <c r="A117" s="1">
        <v>46191</v>
      </c>
      <c r="B117" s="8">
        <v>53.57</v>
      </c>
      <c r="C117" s="8">
        <v>127.61</v>
      </c>
      <c r="D117" s="9">
        <v>-8.9203341923482001E-3</v>
      </c>
      <c r="E117" s="9">
        <v>-9.9805896708031194E-3</v>
      </c>
      <c r="F117" s="8">
        <v>0</v>
      </c>
      <c r="G117" s="8">
        <v>0.2515</v>
      </c>
      <c r="H117" s="8">
        <v>0</v>
      </c>
      <c r="I117" s="8">
        <v>0.95660000000000001</v>
      </c>
      <c r="J117" s="8">
        <v>0.2515</v>
      </c>
      <c r="K117" s="8">
        <v>0.95660000000000001</v>
      </c>
      <c r="L117" s="8">
        <v>53.8215</v>
      </c>
      <c r="M117" s="8">
        <v>128.56659999999999</v>
      </c>
      <c r="N117" s="10">
        <v>2.3821168564495001</v>
      </c>
      <c r="O117" s="10">
        <v>2.3820577689553399</v>
      </c>
      <c r="P117" s="10">
        <v>2.3908658928316902</v>
      </c>
      <c r="Q117" s="10">
        <v>2.3884268199235201</v>
      </c>
      <c r="R117" s="8">
        <v>127.60683468293701</v>
      </c>
      <c r="S117" s="8">
        <v>128.128706572613</v>
      </c>
      <c r="T117" s="8">
        <v>127.94335023691499</v>
      </c>
      <c r="U117" s="9">
        <v>-2.4804923754004101E-5</v>
      </c>
      <c r="V117" s="9">
        <v>4.0565410755698198E-3</v>
      </c>
      <c r="W117" s="9">
        <v>2.6088519338464799E-3</v>
      </c>
      <c r="X117" s="10">
        <v>2.3887591390057801</v>
      </c>
      <c r="Y117" s="10">
        <v>2.3818827909075999</v>
      </c>
      <c r="Z117" s="10">
        <v>2.3932054802721301</v>
      </c>
      <c r="AA117" s="10">
        <v>2.3893662565140001</v>
      </c>
      <c r="AB117" s="8">
        <v>128.196504630833</v>
      </c>
      <c r="AC117" s="8">
        <v>128.817823002626</v>
      </c>
      <c r="AD117" s="8">
        <v>128.57554014321599</v>
      </c>
      <c r="AE117" s="9">
        <v>-2.8827788634374E-3</v>
      </c>
      <c r="AF117" s="9">
        <v>1.95212343836413E-3</v>
      </c>
      <c r="AG117" s="9">
        <v>6.9534641152380294E-5</v>
      </c>
      <c r="AZ117" s="9"/>
      <c r="BB117">
        <f t="shared" si="22"/>
        <v>0</v>
      </c>
      <c r="BC117">
        <f t="shared" si="23"/>
        <v>1</v>
      </c>
      <c r="BD117">
        <f t="shared" si="24"/>
        <v>1</v>
      </c>
      <c r="BE117">
        <f t="shared" si="20"/>
        <v>0</v>
      </c>
      <c r="BF117">
        <f t="shared" si="25"/>
        <v>1</v>
      </c>
      <c r="BG117" s="9">
        <f t="shared" si="26"/>
        <v>-8.9203341923482001E-3</v>
      </c>
      <c r="BH117" s="9">
        <f t="shared" si="27"/>
        <v>9.9805896708031194E-3</v>
      </c>
      <c r="BI117" s="9">
        <f t="shared" si="28"/>
        <v>1.0602554784549193E-3</v>
      </c>
      <c r="BJ117" s="12">
        <f t="shared" si="29"/>
        <v>2.2684975835828999E-2</v>
      </c>
      <c r="BL117" s="9"/>
      <c r="BN117">
        <f t="shared" si="30"/>
        <v>0</v>
      </c>
      <c r="BO117">
        <f t="shared" si="31"/>
        <v>0</v>
      </c>
      <c r="BP117">
        <f t="shared" si="32"/>
        <v>0</v>
      </c>
      <c r="BQ117">
        <f t="shared" si="21"/>
        <v>0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8.7301812676419226E-3</v>
      </c>
      <c r="BX117" s="12">
        <f t="shared" si="38"/>
        <v>1.0602554784549193E-3</v>
      </c>
      <c r="BY117" s="12">
        <f t="shared" si="39"/>
        <v>3.1415157103470918E-2</v>
      </c>
    </row>
    <row r="118" spans="1:77" x14ac:dyDescent="0.3">
      <c r="A118" s="1">
        <v>46195</v>
      </c>
      <c r="B118" s="8">
        <v>53.7</v>
      </c>
      <c r="C118" s="8">
        <v>128.56</v>
      </c>
      <c r="D118" s="9">
        <v>2.4237916219500199E-3</v>
      </c>
      <c r="E118" s="9">
        <v>7.4169836833722497E-3</v>
      </c>
      <c r="F118" s="8">
        <v>0.18709999999999999</v>
      </c>
      <c r="G118" s="8">
        <v>0.43859999999999999</v>
      </c>
      <c r="H118" s="8">
        <v>0</v>
      </c>
      <c r="I118" s="8">
        <v>0.95660000000000001</v>
      </c>
      <c r="J118" s="8">
        <v>0.43859999999999999</v>
      </c>
      <c r="K118" s="8">
        <v>0.95660000000000001</v>
      </c>
      <c r="L118" s="8">
        <v>54.138599999999997</v>
      </c>
      <c r="M118" s="8">
        <v>129.51660000000001</v>
      </c>
      <c r="N118" s="10">
        <v>2.3940409683426398</v>
      </c>
      <c r="O118" s="10">
        <v>2.3820577689553399</v>
      </c>
      <c r="P118" s="10">
        <v>2.39126425352829</v>
      </c>
      <c r="Q118" s="10">
        <v>2.3888557192975401</v>
      </c>
      <c r="R118" s="8">
        <v>127.91650219290101</v>
      </c>
      <c r="S118" s="8">
        <v>128.389498445062</v>
      </c>
      <c r="T118" s="8">
        <v>128.25852022989301</v>
      </c>
      <c r="U118" s="9">
        <v>-5.0179969851761701E-3</v>
      </c>
      <c r="V118" s="9">
        <v>-1.32712132924399E-3</v>
      </c>
      <c r="W118" s="9">
        <v>-2.3478050439776398E-3</v>
      </c>
      <c r="X118" s="10">
        <v>2.3923152796710601</v>
      </c>
      <c r="Y118" s="10">
        <v>2.3818827909075999</v>
      </c>
      <c r="Z118" s="10">
        <v>2.3934786531019001</v>
      </c>
      <c r="AA118" s="10">
        <v>2.38973171029104</v>
      </c>
      <c r="AB118" s="8">
        <v>128.95179966383</v>
      </c>
      <c r="AC118" s="8">
        <v>129.56479421426101</v>
      </c>
      <c r="AD118" s="8">
        <v>129.356944014909</v>
      </c>
      <c r="AE118" s="9">
        <v>-4.3703697309531503E-3</v>
      </c>
      <c r="AF118" s="9">
        <v>3.7203918068459501E-4</v>
      </c>
      <c r="AG118" s="9">
        <v>-1.2334671427373599E-3</v>
      </c>
      <c r="AZ118" s="9"/>
      <c r="BB118">
        <f t="shared" si="22"/>
        <v>1</v>
      </c>
      <c r="BC118">
        <f t="shared" si="23"/>
        <v>0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2.2684975835828999E-2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8.7301812676419226E-3</v>
      </c>
      <c r="BX118" s="12">
        <f t="shared" si="38"/>
        <v>0</v>
      </c>
      <c r="BY118" s="12">
        <f t="shared" si="39"/>
        <v>3.1415157103470918E-2</v>
      </c>
    </row>
    <row r="119" spans="1:77" x14ac:dyDescent="0.3">
      <c r="A119" s="1">
        <v>46196</v>
      </c>
      <c r="B119" s="8">
        <v>53.88</v>
      </c>
      <c r="C119" s="8">
        <v>129.09</v>
      </c>
      <c r="D119" s="9">
        <v>3.34635002734417E-3</v>
      </c>
      <c r="E119" s="9">
        <v>4.1141140893608003E-3</v>
      </c>
      <c r="F119" s="8">
        <v>0</v>
      </c>
      <c r="G119" s="8">
        <v>0.43859999999999999</v>
      </c>
      <c r="H119" s="8">
        <v>0</v>
      </c>
      <c r="I119" s="8">
        <v>0.95660000000000001</v>
      </c>
      <c r="J119" s="8">
        <v>0.43859999999999999</v>
      </c>
      <c r="K119" s="8">
        <v>0.95660000000000001</v>
      </c>
      <c r="L119" s="8">
        <v>54.318600000000004</v>
      </c>
      <c r="M119" s="8">
        <v>130.04660000000001</v>
      </c>
      <c r="N119" s="10">
        <v>2.3958797327394201</v>
      </c>
      <c r="O119" s="10">
        <v>2.3820577689553399</v>
      </c>
      <c r="P119" s="10">
        <v>2.3916565369811802</v>
      </c>
      <c r="Q119" s="10">
        <v>2.38948336015092</v>
      </c>
      <c r="R119" s="8">
        <v>128.34527259131301</v>
      </c>
      <c r="S119" s="8">
        <v>128.84131798010401</v>
      </c>
      <c r="T119" s="8">
        <v>128.71154615575099</v>
      </c>
      <c r="U119" s="9">
        <v>-5.7857610471926998E-3</v>
      </c>
      <c r="V119" s="9">
        <v>-1.9282815200458E-3</v>
      </c>
      <c r="W119" s="9">
        <v>-2.9360112206671799E-3</v>
      </c>
      <c r="X119" s="10">
        <v>2.3941449153696799</v>
      </c>
      <c r="Y119" s="10">
        <v>2.3818827909075999</v>
      </c>
      <c r="Z119" s="10">
        <v>2.3937460500513899</v>
      </c>
      <c r="AA119" s="10">
        <v>2.3902948425544501</v>
      </c>
      <c r="AB119" s="8">
        <v>129.380538566193</v>
      </c>
      <c r="AC119" s="8">
        <v>130.01040956638101</v>
      </c>
      <c r="AD119" s="8">
        <v>129.806880878615</v>
      </c>
      <c r="AE119" s="9">
        <v>-5.1348744852733096E-3</v>
      </c>
      <c r="AF119" s="9">
        <v>-2.7832692464600301E-4</v>
      </c>
      <c r="AG119" s="9">
        <v>-1.84503350563376E-3</v>
      </c>
      <c r="AZ119" s="9"/>
      <c r="BB119">
        <f t="shared" si="22"/>
        <v>1</v>
      </c>
      <c r="BC119">
        <f t="shared" si="23"/>
        <v>0</v>
      </c>
      <c r="BD119">
        <f t="shared" si="24"/>
        <v>1</v>
      </c>
      <c r="BE119">
        <f t="shared" si="20"/>
        <v>1</v>
      </c>
      <c r="BF119">
        <f t="shared" si="25"/>
        <v>1</v>
      </c>
      <c r="BG119" s="9">
        <f t="shared" si="26"/>
        <v>3.34635002734417E-3</v>
      </c>
      <c r="BH119" s="9">
        <f t="shared" si="27"/>
        <v>-4.1141140893608003E-3</v>
      </c>
      <c r="BI119" s="9">
        <f t="shared" si="28"/>
        <v>-7.6776406201663032E-4</v>
      </c>
      <c r="BJ119" s="12">
        <f t="shared" si="29"/>
        <v>2.1917211773812367E-2</v>
      </c>
      <c r="BL119" s="9"/>
      <c r="BN119">
        <f t="shared" si="30"/>
        <v>0</v>
      </c>
      <c r="BO119">
        <f t="shared" si="31"/>
        <v>1</v>
      </c>
      <c r="BP119">
        <f t="shared" si="32"/>
        <v>0</v>
      </c>
      <c r="BQ119">
        <f t="shared" si="21"/>
        <v>1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8.7301812676419226E-3</v>
      </c>
      <c r="BX119" s="12">
        <f t="shared" si="38"/>
        <v>-7.6776406201663032E-4</v>
      </c>
      <c r="BY119" s="12">
        <f t="shared" si="39"/>
        <v>3.0647393041454286E-2</v>
      </c>
    </row>
    <row r="120" spans="1:77" x14ac:dyDescent="0.3">
      <c r="A120" s="1">
        <v>46197</v>
      </c>
      <c r="B120" s="8">
        <v>53.72</v>
      </c>
      <c r="C120" s="8">
        <v>128.19</v>
      </c>
      <c r="D120" s="9">
        <v>-2.9739798871265002E-3</v>
      </c>
      <c r="E120" s="9">
        <v>-6.9962971945746804E-3</v>
      </c>
      <c r="F120" s="8">
        <v>0</v>
      </c>
      <c r="G120" s="8">
        <v>0.43859999999999999</v>
      </c>
      <c r="H120" s="8">
        <v>0</v>
      </c>
      <c r="I120" s="8">
        <v>0.95660000000000001</v>
      </c>
      <c r="J120" s="8">
        <v>0.43859999999999999</v>
      </c>
      <c r="K120" s="8">
        <v>0.95660000000000001</v>
      </c>
      <c r="L120" s="8">
        <v>54.1586</v>
      </c>
      <c r="M120" s="8">
        <v>129.14660000000001</v>
      </c>
      <c r="N120" s="10">
        <v>2.38626209977661</v>
      </c>
      <c r="O120" s="10">
        <v>2.3820577689553399</v>
      </c>
      <c r="P120" s="10">
        <v>2.3912244168025301</v>
      </c>
      <c r="Q120" s="10">
        <v>2.3894039868369501</v>
      </c>
      <c r="R120" s="8">
        <v>127.96414334828</v>
      </c>
      <c r="S120" s="8">
        <v>128.47978916662899</v>
      </c>
      <c r="T120" s="8">
        <v>128.36304610730701</v>
      </c>
      <c r="U120" s="9">
        <v>-1.7634437397445401E-3</v>
      </c>
      <c r="V120" s="9">
        <v>2.2580708910363901E-3</v>
      </c>
      <c r="W120" s="9">
        <v>1.3490086060239501E-3</v>
      </c>
      <c r="X120" s="10">
        <v>2.3846000450528599</v>
      </c>
      <c r="Y120" s="10">
        <v>2.3818827909075999</v>
      </c>
      <c r="Z120" s="10">
        <v>2.3931952125203102</v>
      </c>
      <c r="AA120" s="10">
        <v>2.3901557287547699</v>
      </c>
      <c r="AB120" s="8">
        <v>128.999437319648</v>
      </c>
      <c r="AC120" s="8">
        <v>129.64193482631299</v>
      </c>
      <c r="AD120" s="8">
        <v>129.45502225996901</v>
      </c>
      <c r="AE120" s="9">
        <v>-1.1401507287996499E-3</v>
      </c>
      <c r="AF120" s="9">
        <v>3.82810955322661E-3</v>
      </c>
      <c r="AG120" s="9">
        <v>2.3853091369662898E-3</v>
      </c>
      <c r="AZ120" s="9"/>
      <c r="BB120">
        <f t="shared" si="22"/>
        <v>0</v>
      </c>
      <c r="BC120">
        <f t="shared" si="23"/>
        <v>1</v>
      </c>
      <c r="BD120">
        <f t="shared" si="24"/>
        <v>1</v>
      </c>
      <c r="BE120">
        <f t="shared" si="20"/>
        <v>1</v>
      </c>
      <c r="BF120">
        <f t="shared" si="25"/>
        <v>1</v>
      </c>
      <c r="BG120" s="9">
        <f t="shared" si="26"/>
        <v>-2.9739798871265002E-3</v>
      </c>
      <c r="BH120" s="9">
        <f t="shared" si="27"/>
        <v>6.9962971945746804E-3</v>
      </c>
      <c r="BI120" s="9">
        <f t="shared" si="28"/>
        <v>4.0223173074481807E-3</v>
      </c>
      <c r="BJ120" s="12">
        <f t="shared" si="29"/>
        <v>2.593952908126055E-2</v>
      </c>
      <c r="BL120" s="9"/>
      <c r="BN120">
        <f t="shared" si="30"/>
        <v>1</v>
      </c>
      <c r="BO120">
        <f t="shared" si="31"/>
        <v>0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8.7301812676419226E-3</v>
      </c>
      <c r="BX120" s="12">
        <f t="shared" si="38"/>
        <v>4.0223173074481807E-3</v>
      </c>
      <c r="BY120" s="12">
        <f t="shared" si="39"/>
        <v>3.4669710348902469E-2</v>
      </c>
    </row>
    <row r="121" spans="1:77" x14ac:dyDescent="0.3">
      <c r="A121" s="1">
        <v>46198</v>
      </c>
      <c r="B121" s="8">
        <v>53.45</v>
      </c>
      <c r="C121" s="8">
        <v>127.62</v>
      </c>
      <c r="D121" s="9">
        <v>-5.0387341839825397E-3</v>
      </c>
      <c r="E121" s="9">
        <v>-4.4564398838423903E-3</v>
      </c>
      <c r="F121" s="8">
        <v>0</v>
      </c>
      <c r="G121" s="8">
        <v>0.43859999999999999</v>
      </c>
      <c r="H121" s="8">
        <v>0</v>
      </c>
      <c r="I121" s="8">
        <v>0.95660000000000001</v>
      </c>
      <c r="J121" s="8">
        <v>0.43859999999999999</v>
      </c>
      <c r="K121" s="8">
        <v>0.95660000000000001</v>
      </c>
      <c r="L121" s="8">
        <v>53.888599999999997</v>
      </c>
      <c r="M121" s="8">
        <v>128.57660000000001</v>
      </c>
      <c r="N121" s="10">
        <v>2.3876520112254398</v>
      </c>
      <c r="O121" s="10">
        <v>2.3820577689553399</v>
      </c>
      <c r="P121" s="10">
        <v>2.3905486835961498</v>
      </c>
      <c r="Q121" s="10">
        <v>2.3896597884872901</v>
      </c>
      <c r="R121" s="8">
        <v>127.32098775066299</v>
      </c>
      <c r="S121" s="8">
        <v>127.810945078095</v>
      </c>
      <c r="T121" s="8">
        <v>127.71364309643501</v>
      </c>
      <c r="U121" s="9">
        <v>-2.3457380398846498E-3</v>
      </c>
      <c r="V121" s="9">
        <v>1.49508207476705E-3</v>
      </c>
      <c r="W121" s="9">
        <v>7.3349598194785996E-4</v>
      </c>
      <c r="X121" s="10">
        <v>2.3859703165419002</v>
      </c>
      <c r="Y121" s="10">
        <v>2.3818827909075999</v>
      </c>
      <c r="Z121" s="10">
        <v>2.3924008395843099</v>
      </c>
      <c r="AA121" s="10">
        <v>2.3903497091996901</v>
      </c>
      <c r="AB121" s="8">
        <v>128.35632896610301</v>
      </c>
      <c r="AC121" s="8">
        <v>128.965939529422</v>
      </c>
      <c r="AD121" s="8">
        <v>128.80214600457401</v>
      </c>
      <c r="AE121" s="9">
        <v>-1.7146193658227401E-3</v>
      </c>
      <c r="AF121" s="9">
        <v>3.0234991604149602E-3</v>
      </c>
      <c r="AG121" s="9">
        <v>1.7526393753244599E-3</v>
      </c>
      <c r="AZ121" s="9"/>
      <c r="BB121">
        <f t="shared" si="22"/>
        <v>0</v>
      </c>
      <c r="BC121">
        <f t="shared" si="23"/>
        <v>1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2.593952908126055E-2</v>
      </c>
      <c r="BL121" s="9"/>
      <c r="BN121">
        <f t="shared" si="30"/>
        <v>0</v>
      </c>
      <c r="BO121">
        <f t="shared" si="31"/>
        <v>0</v>
      </c>
      <c r="BP121">
        <f t="shared" si="32"/>
        <v>1</v>
      </c>
      <c r="BQ121">
        <f t="shared" si="21"/>
        <v>1</v>
      </c>
      <c r="BR121">
        <f t="shared" si="33"/>
        <v>1</v>
      </c>
      <c r="BS121" s="9">
        <f t="shared" si="34"/>
        <v>5.0387341839825397E-3</v>
      </c>
      <c r="BT121" s="9">
        <f t="shared" si="35"/>
        <v>-4.4564398838423903E-3</v>
      </c>
      <c r="BU121" s="9">
        <f t="shared" si="36"/>
        <v>5.8229430014014941E-4</v>
      </c>
      <c r="BV121" s="12">
        <f t="shared" si="37"/>
        <v>9.312475567782072E-3</v>
      </c>
      <c r="BX121" s="12">
        <f t="shared" si="38"/>
        <v>5.8229430014014941E-4</v>
      </c>
      <c r="BY121" s="12">
        <f t="shared" si="39"/>
        <v>3.5252004649042615E-2</v>
      </c>
    </row>
    <row r="122" spans="1:77" x14ac:dyDescent="0.3">
      <c r="A122" s="1">
        <v>46199</v>
      </c>
      <c r="B122" s="8">
        <v>53.57</v>
      </c>
      <c r="C122" s="8">
        <v>127.85</v>
      </c>
      <c r="D122" s="9">
        <v>2.2425724218146301E-3</v>
      </c>
      <c r="E122" s="9">
        <v>1.8006032969946799E-3</v>
      </c>
      <c r="F122" s="8">
        <v>0</v>
      </c>
      <c r="G122" s="8">
        <v>0.43859999999999999</v>
      </c>
      <c r="H122" s="8">
        <v>0</v>
      </c>
      <c r="I122" s="8">
        <v>0.95660000000000001</v>
      </c>
      <c r="J122" s="8">
        <v>0.43859999999999999</v>
      </c>
      <c r="K122" s="8">
        <v>0.95660000000000001</v>
      </c>
      <c r="L122" s="8">
        <v>54.008600000000001</v>
      </c>
      <c r="M122" s="8">
        <v>128.8066</v>
      </c>
      <c r="N122" s="10">
        <v>2.3865969759193502</v>
      </c>
      <c r="O122" s="10">
        <v>2.3820577689553399</v>
      </c>
      <c r="P122" s="10">
        <v>2.3891665719900601</v>
      </c>
      <c r="Q122" s="10">
        <v>2.3898458885023</v>
      </c>
      <c r="R122" s="8">
        <v>127.60683468293701</v>
      </c>
      <c r="S122" s="8">
        <v>128.061692980245</v>
      </c>
      <c r="T122" s="8">
        <v>128.01407486926399</v>
      </c>
      <c r="U122" s="9">
        <v>-1.90376891506467E-3</v>
      </c>
      <c r="V122" s="9">
        <v>1.65442247727197E-3</v>
      </c>
      <c r="W122" s="9">
        <v>1.2825160534022299E-3</v>
      </c>
      <c r="X122" s="10">
        <v>2.38492758560673</v>
      </c>
      <c r="Y122" s="10">
        <v>2.3818827909075999</v>
      </c>
      <c r="Z122" s="10">
        <v>2.3909038115870098</v>
      </c>
      <c r="AA122" s="10">
        <v>2.3904747507860602</v>
      </c>
      <c r="AB122" s="8">
        <v>128.64215490101199</v>
      </c>
      <c r="AC122" s="8">
        <v>129.210219984773</v>
      </c>
      <c r="AD122" s="8">
        <v>129.09944130428201</v>
      </c>
      <c r="AE122" s="9">
        <v>-1.27749789596266E-3</v>
      </c>
      <c r="AF122" s="9">
        <v>3.1286356759889999E-3</v>
      </c>
      <c r="AG122" s="9">
        <v>2.2709156299851301E-3</v>
      </c>
      <c r="AZ122" s="9"/>
      <c r="BB122">
        <f t="shared" si="22"/>
        <v>0</v>
      </c>
      <c r="BC122">
        <f t="shared" si="23"/>
        <v>1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2.593952908126055E-2</v>
      </c>
      <c r="BL122" s="9"/>
      <c r="BN122">
        <f t="shared" si="30"/>
        <v>1</v>
      </c>
      <c r="BO122">
        <f t="shared" si="31"/>
        <v>0</v>
      </c>
      <c r="BP122">
        <f t="shared" si="32"/>
        <v>1</v>
      </c>
      <c r="BQ122">
        <f t="shared" si="21"/>
        <v>1</v>
      </c>
      <c r="BR122">
        <f t="shared" si="33"/>
        <v>1</v>
      </c>
      <c r="BS122" s="9">
        <f t="shared" si="34"/>
        <v>-2.2425724218146301E-3</v>
      </c>
      <c r="BT122" s="9">
        <f t="shared" si="35"/>
        <v>1.8006032969946799E-3</v>
      </c>
      <c r="BU122" s="9">
        <f t="shared" si="36"/>
        <v>-4.4196912481995012E-4</v>
      </c>
      <c r="BV122" s="12">
        <f t="shared" si="37"/>
        <v>8.8705064429621221E-3</v>
      </c>
      <c r="BX122" s="12">
        <f t="shared" si="38"/>
        <v>-4.4196912481995012E-4</v>
      </c>
      <c r="BY122" s="12">
        <f t="shared" si="39"/>
        <v>3.4810035524222661E-2</v>
      </c>
    </row>
    <row r="123" spans="1:77" x14ac:dyDescent="0.3">
      <c r="A123" s="1">
        <v>46202</v>
      </c>
      <c r="B123" s="8">
        <v>53.72</v>
      </c>
      <c r="C123" s="8">
        <v>127.72</v>
      </c>
      <c r="D123" s="9">
        <v>2.7961617621678602E-3</v>
      </c>
      <c r="E123" s="9">
        <v>-1.0173338906142701E-3</v>
      </c>
      <c r="F123" s="8">
        <v>0</v>
      </c>
      <c r="G123" s="8">
        <v>0.43859999999999999</v>
      </c>
      <c r="H123" s="8">
        <v>0</v>
      </c>
      <c r="I123" s="8">
        <v>0.95660000000000001</v>
      </c>
      <c r="J123" s="8">
        <v>0.43859999999999999</v>
      </c>
      <c r="K123" s="8">
        <v>0.95660000000000001</v>
      </c>
      <c r="L123" s="8">
        <v>54.1586</v>
      </c>
      <c r="M123" s="8">
        <v>128.67660000000001</v>
      </c>
      <c r="N123" s="10">
        <v>2.37751303052866</v>
      </c>
      <c r="O123" s="10">
        <v>2.3820577689553399</v>
      </c>
      <c r="P123" s="10">
        <v>2.3868541330106798</v>
      </c>
      <c r="Q123" s="10">
        <v>2.3896249909787102</v>
      </c>
      <c r="R123" s="8">
        <v>127.96414334828</v>
      </c>
      <c r="S123" s="8">
        <v>128.34602824730601</v>
      </c>
      <c r="T123" s="8">
        <v>128.38252113034301</v>
      </c>
      <c r="U123" s="9">
        <v>1.90972673771742E-3</v>
      </c>
      <c r="V123" s="9">
        <v>4.8895942882754397E-3</v>
      </c>
      <c r="W123" s="9">
        <v>5.1738858746341997E-3</v>
      </c>
      <c r="X123" s="10">
        <v>2.37592182958939</v>
      </c>
      <c r="Y123" s="10">
        <v>2.3818827909075999</v>
      </c>
      <c r="Z123" s="10">
        <v>2.3884836791601098</v>
      </c>
      <c r="AA123" s="10">
        <v>2.3901963412381599</v>
      </c>
      <c r="AB123" s="8">
        <v>128.999437319648</v>
      </c>
      <c r="AC123" s="8">
        <v>129.48800317021599</v>
      </c>
      <c r="AD123" s="8">
        <v>129.46476583792199</v>
      </c>
      <c r="AE123" s="9">
        <v>2.5057625996362299E-3</v>
      </c>
      <c r="AF123" s="9">
        <v>6.2859573467158999E-3</v>
      </c>
      <c r="AG123" s="9">
        <v>6.1064857585518099E-3</v>
      </c>
      <c r="AZ123" s="9"/>
      <c r="BB123">
        <f t="shared" si="22"/>
        <v>0</v>
      </c>
      <c r="BC123">
        <f t="shared" si="23"/>
        <v>1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2.593952908126055E-2</v>
      </c>
      <c r="BL123" s="9"/>
      <c r="BN123">
        <f t="shared" si="30"/>
        <v>1</v>
      </c>
      <c r="BO123">
        <f t="shared" si="31"/>
        <v>0</v>
      </c>
      <c r="BP123">
        <f t="shared" si="32"/>
        <v>1</v>
      </c>
      <c r="BQ123">
        <f t="shared" si="21"/>
        <v>1</v>
      </c>
      <c r="BR123">
        <f t="shared" si="33"/>
        <v>1</v>
      </c>
      <c r="BS123" s="9">
        <f t="shared" si="34"/>
        <v>-2.7961617621678602E-3</v>
      </c>
      <c r="BT123" s="9">
        <f t="shared" si="35"/>
        <v>-1.0173338906142701E-3</v>
      </c>
      <c r="BU123" s="9">
        <f t="shared" si="36"/>
        <v>-3.8134956527821305E-3</v>
      </c>
      <c r="BV123" s="12">
        <f t="shared" si="37"/>
        <v>5.0570107901799916E-3</v>
      </c>
      <c r="BX123" s="12">
        <f t="shared" si="38"/>
        <v>-3.8134956527821305E-3</v>
      </c>
      <c r="BY123" s="12">
        <f t="shared" si="39"/>
        <v>3.0996539871440531E-2</v>
      </c>
    </row>
    <row r="124" spans="1:77" x14ac:dyDescent="0.3">
      <c r="A124" s="1">
        <v>46203</v>
      </c>
      <c r="B124" s="8">
        <v>53.61</v>
      </c>
      <c r="C124" s="8">
        <v>127.51</v>
      </c>
      <c r="D124" s="9">
        <v>-2.0497538155904499E-3</v>
      </c>
      <c r="E124" s="9">
        <v>-1.6455749511306999E-3</v>
      </c>
      <c r="F124" s="8">
        <v>0</v>
      </c>
      <c r="G124" s="8">
        <v>0.43859999999999999</v>
      </c>
      <c r="H124" s="8">
        <v>0</v>
      </c>
      <c r="I124" s="8">
        <v>0.95660000000000001</v>
      </c>
      <c r="J124" s="8">
        <v>0.43859999999999999</v>
      </c>
      <c r="K124" s="8">
        <v>0.95660000000000001</v>
      </c>
      <c r="L124" s="8">
        <v>54.0486</v>
      </c>
      <c r="M124" s="8">
        <v>128.4666</v>
      </c>
      <c r="N124" s="10">
        <v>2.37847416526767</v>
      </c>
      <c r="O124" s="10">
        <v>2.3820577689553399</v>
      </c>
      <c r="P124" s="10">
        <v>2.3857172328832301</v>
      </c>
      <c r="Q124" s="10">
        <v>2.3894061754233098</v>
      </c>
      <c r="R124" s="8">
        <v>127.702116993695</v>
      </c>
      <c r="S124" s="8">
        <v>127.959250070702</v>
      </c>
      <c r="T124" s="8">
        <v>128.10779576636801</v>
      </c>
      <c r="U124" s="9">
        <v>1.5055478732576299E-3</v>
      </c>
      <c r="V124" s="9">
        <v>3.5170615146049998E-3</v>
      </c>
      <c r="W124" s="9">
        <v>4.6772710358526804E-3</v>
      </c>
      <c r="X124" s="10">
        <v>2.3768719263773699</v>
      </c>
      <c r="Y124" s="10">
        <v>2.3818827909075999</v>
      </c>
      <c r="Z124" s="10">
        <v>2.3865258145145498</v>
      </c>
      <c r="AA124" s="10">
        <v>2.3899197494819902</v>
      </c>
      <c r="AB124" s="8">
        <v>128.73743021264801</v>
      </c>
      <c r="AC124" s="8">
        <v>129.09419898145299</v>
      </c>
      <c r="AD124" s="8">
        <v>129.18676596904501</v>
      </c>
      <c r="AE124" s="9">
        <v>2.1059569908011798E-3</v>
      </c>
      <c r="AF124" s="9">
        <v>4.8734141691315902E-3</v>
      </c>
      <c r="AG124" s="9">
        <v>5.5902071513226296E-3</v>
      </c>
      <c r="AZ124" s="9"/>
      <c r="BB124">
        <f t="shared" si="22"/>
        <v>0</v>
      </c>
      <c r="BC124">
        <f t="shared" si="23"/>
        <v>1</v>
      </c>
      <c r="BD124">
        <f t="shared" si="24"/>
        <v>0</v>
      </c>
      <c r="BE124">
        <f t="shared" si="20"/>
        <v>1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2.593952908126055E-2</v>
      </c>
      <c r="BL124" s="9"/>
      <c r="BN124">
        <f t="shared" si="30"/>
        <v>1</v>
      </c>
      <c r="BO124">
        <f t="shared" si="31"/>
        <v>0</v>
      </c>
      <c r="BP124">
        <f t="shared" si="32"/>
        <v>1</v>
      </c>
      <c r="BQ124">
        <f t="shared" si="21"/>
        <v>1</v>
      </c>
      <c r="BR124">
        <f t="shared" si="33"/>
        <v>1</v>
      </c>
      <c r="BS124" s="9">
        <f t="shared" si="34"/>
        <v>2.0497538155904499E-3</v>
      </c>
      <c r="BT124" s="9">
        <f t="shared" si="35"/>
        <v>-1.6455749511306999E-3</v>
      </c>
      <c r="BU124" s="9">
        <f t="shared" si="36"/>
        <v>4.0417886445974992E-4</v>
      </c>
      <c r="BV124" s="12">
        <f t="shared" si="37"/>
        <v>5.4611896546397417E-3</v>
      </c>
      <c r="BX124" s="12">
        <f t="shared" si="38"/>
        <v>4.0417886445974992E-4</v>
      </c>
      <c r="BY124" s="12">
        <f t="shared" si="39"/>
        <v>3.1400718735900279E-2</v>
      </c>
    </row>
    <row r="125" spans="1:77" x14ac:dyDescent="0.3">
      <c r="A125" s="1">
        <v>46204</v>
      </c>
      <c r="B125" s="8">
        <v>54.78</v>
      </c>
      <c r="C125" s="8">
        <v>130.22999999999999</v>
      </c>
      <c r="D125" s="9">
        <v>2.1589545995485699E-2</v>
      </c>
      <c r="E125" s="9">
        <v>2.1107325084161199E-2</v>
      </c>
      <c r="F125" s="8">
        <v>0</v>
      </c>
      <c r="G125" s="8">
        <v>0.43859999999999999</v>
      </c>
      <c r="H125" s="8">
        <v>0</v>
      </c>
      <c r="I125" s="8">
        <v>0.95660000000000001</v>
      </c>
      <c r="J125" s="8">
        <v>0.43859999999999999</v>
      </c>
      <c r="K125" s="8">
        <v>0.95660000000000001</v>
      </c>
      <c r="L125" s="8">
        <v>55.218600000000002</v>
      </c>
      <c r="M125" s="8">
        <v>131.1866</v>
      </c>
      <c r="N125" s="10">
        <v>2.3773274917853202</v>
      </c>
      <c r="O125" s="10">
        <v>2.3820577689553399</v>
      </c>
      <c r="P125" s="10">
        <v>2.3850507180323199</v>
      </c>
      <c r="Q125" s="10">
        <v>2.3887428181820298</v>
      </c>
      <c r="R125" s="8">
        <v>130.48912458337301</v>
      </c>
      <c r="S125" s="8">
        <v>130.68959001734299</v>
      </c>
      <c r="T125" s="8">
        <v>130.89167028968899</v>
      </c>
      <c r="U125" s="9">
        <v>1.98776878458235E-3</v>
      </c>
      <c r="V125" s="9">
        <v>3.5228515622312199E-3</v>
      </c>
      <c r="W125" s="9">
        <v>5.0679187609255797E-3</v>
      </c>
      <c r="X125" s="10">
        <v>2.3757683099535298</v>
      </c>
      <c r="Y125" s="10">
        <v>2.3818827909075999</v>
      </c>
      <c r="Z125" s="10">
        <v>2.3850495059441399</v>
      </c>
      <c r="AA125" s="10">
        <v>2.38920263912952</v>
      </c>
      <c r="AB125" s="8">
        <v>131.52423307801001</v>
      </c>
      <c r="AC125" s="8">
        <v>131.78061434135299</v>
      </c>
      <c r="AD125" s="8">
        <v>131.968022678746</v>
      </c>
      <c r="AE125" s="9">
        <v>2.5703794544421101E-3</v>
      </c>
      <c r="AF125" s="9">
        <v>4.5177901981557399E-3</v>
      </c>
      <c r="AG125" s="9">
        <v>5.9389036571716501E-3</v>
      </c>
      <c r="AZ125" s="9"/>
      <c r="BB125">
        <f t="shared" si="22"/>
        <v>0</v>
      </c>
      <c r="BC125">
        <f t="shared" si="23"/>
        <v>1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2.593952908126055E-2</v>
      </c>
      <c r="BL125" s="9"/>
      <c r="BN125">
        <f t="shared" si="30"/>
        <v>1</v>
      </c>
      <c r="BO125">
        <f t="shared" si="31"/>
        <v>0</v>
      </c>
      <c r="BP125">
        <f t="shared" si="32"/>
        <v>1</v>
      </c>
      <c r="BQ125">
        <f t="shared" si="21"/>
        <v>1</v>
      </c>
      <c r="BR125">
        <f t="shared" si="33"/>
        <v>1</v>
      </c>
      <c r="BS125" s="9">
        <f t="shared" si="34"/>
        <v>-2.1589545995485699E-2</v>
      </c>
      <c r="BT125" s="9">
        <f t="shared" si="35"/>
        <v>2.1107325084161199E-2</v>
      </c>
      <c r="BU125" s="9">
        <f t="shared" si="36"/>
        <v>-4.8222091132450046E-4</v>
      </c>
      <c r="BV125" s="12">
        <f t="shared" si="37"/>
        <v>4.9789687433152412E-3</v>
      </c>
      <c r="BX125" s="12">
        <f t="shared" si="38"/>
        <v>-4.8222091132450046E-4</v>
      </c>
      <c r="BY125" s="12">
        <f t="shared" si="39"/>
        <v>3.0918497824575779E-2</v>
      </c>
    </row>
    <row r="126" spans="1:77" x14ac:dyDescent="0.3">
      <c r="A126" s="1">
        <v>46205</v>
      </c>
      <c r="B126" s="8">
        <v>55.62</v>
      </c>
      <c r="C126" s="8">
        <v>131.88999999999999</v>
      </c>
      <c r="D126" s="9">
        <v>1.52176849708867E-2</v>
      </c>
      <c r="E126" s="9">
        <v>1.2666123858181499E-2</v>
      </c>
      <c r="F126" s="8">
        <v>0</v>
      </c>
      <c r="G126" s="8">
        <v>0.43859999999999999</v>
      </c>
      <c r="H126" s="8">
        <v>0</v>
      </c>
      <c r="I126" s="8">
        <v>0.95660000000000001</v>
      </c>
      <c r="J126" s="8">
        <v>0.43859999999999999</v>
      </c>
      <c r="K126" s="8">
        <v>0.95660000000000001</v>
      </c>
      <c r="L126" s="8">
        <v>56.058599999999998</v>
      </c>
      <c r="M126" s="8">
        <v>132.8466</v>
      </c>
      <c r="N126" s="10">
        <v>2.3712693275799999</v>
      </c>
      <c r="O126" s="10">
        <v>2.3820577689553399</v>
      </c>
      <c r="P126" s="10">
        <v>2.3837132659614602</v>
      </c>
      <c r="Q126" s="10">
        <v>2.3877564516536198</v>
      </c>
      <c r="R126" s="8">
        <v>132.49005310929601</v>
      </c>
      <c r="S126" s="8">
        <v>132.656520936958</v>
      </c>
      <c r="T126" s="8">
        <v>132.861875547284</v>
      </c>
      <c r="U126" s="9">
        <v>4.5393298972873702E-3</v>
      </c>
      <c r="V126" s="9">
        <v>5.7949965045836502E-3</v>
      </c>
      <c r="W126" s="9">
        <v>7.3418170186500299E-3</v>
      </c>
      <c r="X126" s="10">
        <v>2.3697809078357199</v>
      </c>
      <c r="Y126" s="10">
        <v>2.3818827909075999</v>
      </c>
      <c r="Z126" s="10">
        <v>2.3829060255004002</v>
      </c>
      <c r="AA126" s="10">
        <v>2.38816643584902</v>
      </c>
      <c r="AB126" s="8">
        <v>133.52501462237299</v>
      </c>
      <c r="AC126" s="8">
        <v>133.70253623392</v>
      </c>
      <c r="AD126" s="8">
        <v>133.93535506590601</v>
      </c>
      <c r="AE126" s="9">
        <v>5.0937566316874303E-3</v>
      </c>
      <c r="AF126" s="9">
        <v>6.4223744114979796E-3</v>
      </c>
      <c r="AG126" s="9">
        <v>8.1621795607762192E-3</v>
      </c>
      <c r="AZ126" s="9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2.593952908126055E-2</v>
      </c>
      <c r="BL126" s="9"/>
      <c r="BN126">
        <f t="shared" si="30"/>
        <v>1</v>
      </c>
      <c r="BO126">
        <f t="shared" si="31"/>
        <v>0</v>
      </c>
      <c r="BP126">
        <f t="shared" si="32"/>
        <v>1</v>
      </c>
      <c r="BQ126">
        <f t="shared" si="21"/>
        <v>1</v>
      </c>
      <c r="BR126">
        <f t="shared" si="33"/>
        <v>1</v>
      </c>
      <c r="BS126" s="9">
        <f t="shared" si="34"/>
        <v>-1.52176849708867E-2</v>
      </c>
      <c r="BT126" s="9">
        <f t="shared" si="35"/>
        <v>1.2666123858181499E-2</v>
      </c>
      <c r="BU126" s="9">
        <f t="shared" si="36"/>
        <v>-2.5515611127052001E-3</v>
      </c>
      <c r="BV126" s="12">
        <f t="shared" si="37"/>
        <v>2.4274076306100411E-3</v>
      </c>
      <c r="BX126" s="12">
        <f t="shared" si="38"/>
        <v>-2.5515611127052001E-3</v>
      </c>
      <c r="BY126" s="12">
        <f t="shared" si="39"/>
        <v>2.8366936711870579E-2</v>
      </c>
    </row>
    <row r="127" spans="1:77" x14ac:dyDescent="0.3">
      <c r="A127" s="1">
        <v>46209</v>
      </c>
      <c r="B127" s="8">
        <v>56.14</v>
      </c>
      <c r="C127" s="8">
        <v>133.62</v>
      </c>
      <c r="D127" s="9">
        <v>9.3057221279176303E-3</v>
      </c>
      <c r="E127" s="9">
        <v>1.3031708659537801E-2</v>
      </c>
      <c r="F127" s="8">
        <v>0</v>
      </c>
      <c r="G127" s="8">
        <v>0.43859999999999999</v>
      </c>
      <c r="H127" s="8">
        <v>0</v>
      </c>
      <c r="I127" s="8">
        <v>0.95660000000000001</v>
      </c>
      <c r="J127" s="8">
        <v>0.43859999999999999</v>
      </c>
      <c r="K127" s="8">
        <v>0.95660000000000001</v>
      </c>
      <c r="L127" s="8">
        <v>56.578600000000002</v>
      </c>
      <c r="M127" s="8">
        <v>134.57660000000001</v>
      </c>
      <c r="N127" s="10">
        <v>2.3801211257570301</v>
      </c>
      <c r="O127" s="10">
        <v>2.3820577689553399</v>
      </c>
      <c r="P127" s="10">
        <v>2.3835136928922198</v>
      </c>
      <c r="Q127" s="10">
        <v>2.3871897928619501</v>
      </c>
      <c r="R127" s="8">
        <v>133.72872314915199</v>
      </c>
      <c r="S127" s="8">
        <v>133.82166275107599</v>
      </c>
      <c r="T127" s="8">
        <v>134.04864719583401</v>
      </c>
      <c r="U127" s="9">
        <v>8.1334336566711205E-4</v>
      </c>
      <c r="V127" s="9">
        <v>1.5080880609467701E-3</v>
      </c>
      <c r="W127" s="9">
        <v>3.2028223458326999E-3</v>
      </c>
      <c r="X127" s="10">
        <v>2.3785777661518601</v>
      </c>
      <c r="Y127" s="10">
        <v>2.3818827909075999</v>
      </c>
      <c r="Z127" s="10">
        <v>2.3818878882150099</v>
      </c>
      <c r="AA127" s="10">
        <v>2.3875466842435702</v>
      </c>
      <c r="AB127" s="8">
        <v>134.76359367364401</v>
      </c>
      <c r="AC127" s="8">
        <v>134.82148685437701</v>
      </c>
      <c r="AD127" s="8">
        <v>135.119113507327</v>
      </c>
      <c r="AE127" s="9">
        <v>1.38853173853037E-3</v>
      </c>
      <c r="AF127" s="9">
        <v>1.81803014778163E-3</v>
      </c>
      <c r="AG127" s="9">
        <v>4.0231580400272504E-3</v>
      </c>
      <c r="AZ127" s="9"/>
      <c r="BB127">
        <f t="shared" si="22"/>
        <v>0</v>
      </c>
      <c r="BC127">
        <f t="shared" si="23"/>
        <v>1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2.593952908126055E-2</v>
      </c>
      <c r="BL127" s="9"/>
      <c r="BN127">
        <f t="shared" si="30"/>
        <v>1</v>
      </c>
      <c r="BO127">
        <f t="shared" si="31"/>
        <v>0</v>
      </c>
      <c r="BP127">
        <f t="shared" si="32"/>
        <v>1</v>
      </c>
      <c r="BQ127">
        <f t="shared" si="21"/>
        <v>1</v>
      </c>
      <c r="BR127">
        <f t="shared" si="33"/>
        <v>1</v>
      </c>
      <c r="BS127" s="9">
        <f t="shared" si="34"/>
        <v>-9.3057221279176303E-3</v>
      </c>
      <c r="BT127" s="9">
        <f t="shared" si="35"/>
        <v>1.3031708659537801E-2</v>
      </c>
      <c r="BU127" s="9">
        <f t="shared" si="36"/>
        <v>3.7259865316201703E-3</v>
      </c>
      <c r="BV127" s="12">
        <f t="shared" si="37"/>
        <v>6.1533941622302114E-3</v>
      </c>
      <c r="BX127" s="12">
        <f t="shared" si="38"/>
        <v>3.7259865316201703E-3</v>
      </c>
      <c r="BY127" s="12">
        <f t="shared" si="39"/>
        <v>3.2092923243490751E-2</v>
      </c>
    </row>
    <row r="128" spans="1:77" x14ac:dyDescent="0.3">
      <c r="A128" s="1">
        <v>46210</v>
      </c>
      <c r="B128" s="8">
        <v>56.05</v>
      </c>
      <c r="C128" s="8">
        <v>133.6</v>
      </c>
      <c r="D128" s="9">
        <v>-1.60442141556761E-3</v>
      </c>
      <c r="E128" s="9">
        <v>-1.4968939478595601E-4</v>
      </c>
      <c r="F128" s="8">
        <v>0</v>
      </c>
      <c r="G128" s="8">
        <v>0.43859999999999999</v>
      </c>
      <c r="H128" s="8">
        <v>0</v>
      </c>
      <c r="I128" s="8">
        <v>0.95660000000000001</v>
      </c>
      <c r="J128" s="8">
        <v>0.43859999999999999</v>
      </c>
      <c r="K128" s="8">
        <v>0.95660000000000001</v>
      </c>
      <c r="L128" s="8">
        <v>56.488599999999998</v>
      </c>
      <c r="M128" s="8">
        <v>134.5566</v>
      </c>
      <c r="N128" s="10">
        <v>2.3835860838537002</v>
      </c>
      <c r="O128" s="10">
        <v>2.3820577689553399</v>
      </c>
      <c r="P128" s="10">
        <v>2.3824682044433199</v>
      </c>
      <c r="Q128" s="10">
        <v>2.3868662289858098</v>
      </c>
      <c r="R128" s="8">
        <v>133.514337949946</v>
      </c>
      <c r="S128" s="8">
        <v>133.59594248660801</v>
      </c>
      <c r="T128" s="8">
        <v>133.801987889912</v>
      </c>
      <c r="U128" s="9">
        <v>-6.4138865511447699E-4</v>
      </c>
      <c r="V128" s="9">
        <v>-3.0371070410914899E-5</v>
      </c>
      <c r="W128" s="9">
        <v>1.5107436554519999E-3</v>
      </c>
      <c r="X128" s="10">
        <v>2.3820133619880801</v>
      </c>
      <c r="Y128" s="10">
        <v>2.3818827909075999</v>
      </c>
      <c r="Z128" s="10">
        <v>2.3808576964467099</v>
      </c>
      <c r="AA128" s="10">
        <v>2.3871681747742999</v>
      </c>
      <c r="AB128" s="8">
        <v>134.54922422246301</v>
      </c>
      <c r="AC128" s="8">
        <v>134.54951216222199</v>
      </c>
      <c r="AD128" s="8">
        <v>134.86916962756101</v>
      </c>
      <c r="AE128" s="9">
        <v>-5.4816929807388898E-5</v>
      </c>
      <c r="AF128" s="9">
        <v>-5.2676899250118402E-5</v>
      </c>
      <c r="AG128" s="9">
        <v>2.3202663072936802E-3</v>
      </c>
      <c r="AZ128" s="9"/>
      <c r="BB128">
        <f t="shared" si="22"/>
        <v>0</v>
      </c>
      <c r="BC128">
        <f t="shared" si="23"/>
        <v>1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2.593952908126055E-2</v>
      </c>
      <c r="BL128" s="9"/>
      <c r="BN128">
        <f t="shared" si="30"/>
        <v>1</v>
      </c>
      <c r="BO128">
        <f t="shared" si="31"/>
        <v>0</v>
      </c>
      <c r="BP128">
        <f t="shared" si="32"/>
        <v>1</v>
      </c>
      <c r="BQ128">
        <f t="shared" si="21"/>
        <v>1</v>
      </c>
      <c r="BR128">
        <f t="shared" si="33"/>
        <v>1</v>
      </c>
      <c r="BS128" s="9">
        <f t="shared" si="34"/>
        <v>1.60442141556761E-3</v>
      </c>
      <c r="BT128" s="9">
        <f t="shared" si="35"/>
        <v>-1.4968939478595601E-4</v>
      </c>
      <c r="BU128" s="9">
        <f t="shared" si="36"/>
        <v>1.454732020781654E-3</v>
      </c>
      <c r="BV128" s="12">
        <f t="shared" si="37"/>
        <v>7.6081261830118659E-3</v>
      </c>
      <c r="BX128" s="12">
        <f t="shared" si="38"/>
        <v>1.454732020781654E-3</v>
      </c>
      <c r="BY128" s="12">
        <f t="shared" si="39"/>
        <v>3.3547655264272405E-2</v>
      </c>
    </row>
    <row r="129" spans="1:77" x14ac:dyDescent="0.3">
      <c r="A129" s="1">
        <v>46211</v>
      </c>
      <c r="B129" s="8">
        <v>54.97</v>
      </c>
      <c r="C129" s="8">
        <v>131.22999999999999</v>
      </c>
      <c r="D129" s="9">
        <v>-1.9456567645599901E-2</v>
      </c>
      <c r="E129" s="9">
        <v>-1.7898752194349998E-2</v>
      </c>
      <c r="F129" s="8">
        <v>0</v>
      </c>
      <c r="G129" s="8">
        <v>0.43859999999999999</v>
      </c>
      <c r="H129" s="8">
        <v>0</v>
      </c>
      <c r="I129" s="8">
        <v>0.95660000000000001</v>
      </c>
      <c r="J129" s="8">
        <v>0.43859999999999999</v>
      </c>
      <c r="K129" s="8">
        <v>0.95660000000000001</v>
      </c>
      <c r="L129" s="8">
        <v>55.4086</v>
      </c>
      <c r="M129" s="8">
        <v>132.1866</v>
      </c>
      <c r="N129" s="10">
        <v>2.3873021648171702</v>
      </c>
      <c r="O129" s="10">
        <v>2.3820577689553399</v>
      </c>
      <c r="P129" s="10">
        <v>2.3816104476511</v>
      </c>
      <c r="Q129" s="10">
        <v>2.3866334923161401</v>
      </c>
      <c r="R129" s="8">
        <v>130.941715559475</v>
      </c>
      <c r="S129" s="8">
        <v>130.96427719824899</v>
      </c>
      <c r="T129" s="8">
        <v>131.20603660735</v>
      </c>
      <c r="U129" s="9">
        <v>-2.19920410636426E-3</v>
      </c>
      <c r="V129" s="9">
        <v>-2.0269160377124201E-3</v>
      </c>
      <c r="W129" s="9">
        <v>-1.8262272991455801E-4</v>
      </c>
      <c r="X129" s="10">
        <v>2.3856693726244602</v>
      </c>
      <c r="Y129" s="10">
        <v>2.3818827909075999</v>
      </c>
      <c r="Z129" s="10">
        <v>2.38001014217219</v>
      </c>
      <c r="AA129" s="10">
        <v>2.3868780961117899</v>
      </c>
      <c r="AB129" s="8">
        <v>131.976790808283</v>
      </c>
      <c r="AC129" s="8">
        <v>131.91999175933699</v>
      </c>
      <c r="AD129" s="8">
        <v>132.269646528799</v>
      </c>
      <c r="AE129" s="9">
        <v>-1.5884807898027601E-3</v>
      </c>
      <c r="AF129" s="9">
        <v>-2.01894492255918E-3</v>
      </c>
      <c r="AG129" s="9">
        <v>6.2805498164410396E-4</v>
      </c>
      <c r="AZ129" s="9"/>
      <c r="BB129">
        <f t="shared" si="22"/>
        <v>0</v>
      </c>
      <c r="BC129">
        <f t="shared" si="23"/>
        <v>1</v>
      </c>
      <c r="BD129">
        <f t="shared" si="24"/>
        <v>0</v>
      </c>
      <c r="BE129">
        <f t="shared" si="20"/>
        <v>1</v>
      </c>
      <c r="BF129">
        <f t="shared" si="25"/>
        <v>0</v>
      </c>
      <c r="BG129" s="9">
        <f t="shared" si="26"/>
        <v>0</v>
      </c>
      <c r="BH129" s="9">
        <f t="shared" si="27"/>
        <v>0</v>
      </c>
      <c r="BI129" s="9">
        <f t="shared" si="28"/>
        <v>0</v>
      </c>
      <c r="BJ129" s="12">
        <f t="shared" si="29"/>
        <v>2.593952908126055E-2</v>
      </c>
      <c r="BL129" s="9"/>
      <c r="BN129">
        <f t="shared" si="30"/>
        <v>0</v>
      </c>
      <c r="BO129">
        <f t="shared" si="31"/>
        <v>0</v>
      </c>
      <c r="BP129">
        <f t="shared" si="32"/>
        <v>1</v>
      </c>
      <c r="BQ129">
        <f t="shared" si="21"/>
        <v>1</v>
      </c>
      <c r="BR129">
        <f t="shared" si="33"/>
        <v>1</v>
      </c>
      <c r="BS129" s="9">
        <f t="shared" si="34"/>
        <v>1.9456567645599901E-2</v>
      </c>
      <c r="BT129" s="9">
        <f t="shared" si="35"/>
        <v>-1.7898752194349998E-2</v>
      </c>
      <c r="BU129" s="9">
        <f t="shared" si="36"/>
        <v>1.5578154512499026E-3</v>
      </c>
      <c r="BV129" s="12">
        <f t="shared" si="37"/>
        <v>9.1659416342617685E-3</v>
      </c>
      <c r="BX129" s="12">
        <f t="shared" si="38"/>
        <v>1.5578154512499026E-3</v>
      </c>
      <c r="BY129" s="12">
        <f t="shared" si="39"/>
        <v>3.5105470715522308E-2</v>
      </c>
    </row>
    <row r="130" spans="1:77" x14ac:dyDescent="0.3">
      <c r="A130" s="1">
        <v>46212</v>
      </c>
      <c r="B130" s="8">
        <v>55.54</v>
      </c>
      <c r="C130" s="8">
        <v>132.5</v>
      </c>
      <c r="D130" s="9">
        <v>1.03159000060844E-2</v>
      </c>
      <c r="E130" s="9">
        <v>9.6311365180817097E-3</v>
      </c>
      <c r="F130" s="8">
        <v>0</v>
      </c>
      <c r="G130" s="8">
        <v>0.43859999999999999</v>
      </c>
      <c r="H130" s="8">
        <v>0</v>
      </c>
      <c r="I130" s="8">
        <v>0.95660000000000001</v>
      </c>
      <c r="J130" s="8">
        <v>0.43859999999999999</v>
      </c>
      <c r="K130" s="8">
        <v>0.95660000000000001</v>
      </c>
      <c r="L130" s="8">
        <v>55.9786</v>
      </c>
      <c r="M130" s="8">
        <v>133.45660000000001</v>
      </c>
      <c r="N130" s="10">
        <v>2.3856679870363702</v>
      </c>
      <c r="O130" s="10">
        <v>2.3820577689553399</v>
      </c>
      <c r="P130" s="10">
        <v>2.3815510363770702</v>
      </c>
      <c r="Q130" s="10">
        <v>2.3863877265897999</v>
      </c>
      <c r="R130" s="8">
        <v>132.299488487779</v>
      </c>
      <c r="S130" s="8">
        <v>132.27464426254201</v>
      </c>
      <c r="T130" s="8">
        <v>132.553624163238</v>
      </c>
      <c r="U130" s="9">
        <v>-1.5144406183614501E-3</v>
      </c>
      <c r="V130" s="9">
        <v>-1.70224601756893E-3</v>
      </c>
      <c r="W130" s="9">
        <v>4.0462879267939101E-4</v>
      </c>
      <c r="X130" s="10">
        <v>2.3840646246958599</v>
      </c>
      <c r="Y130" s="10">
        <v>2.3818827909075999</v>
      </c>
      <c r="Z130" s="10">
        <v>2.3799566001364898</v>
      </c>
      <c r="AA130" s="10">
        <v>2.3865759063284</v>
      </c>
      <c r="AB130" s="8">
        <v>133.3344639991</v>
      </c>
      <c r="AC130" s="8">
        <v>133.22963574459999</v>
      </c>
      <c r="AD130" s="8">
        <v>133.61409419100301</v>
      </c>
      <c r="AE130" s="9">
        <v>-9.1559295578473295E-4</v>
      </c>
      <c r="AF130" s="9">
        <v>-1.7021074189455701E-3</v>
      </c>
      <c r="AG130" s="9">
        <v>1.1794196269818099E-3</v>
      </c>
      <c r="AZ130" s="9"/>
      <c r="BB130">
        <f t="shared" si="22"/>
        <v>0</v>
      </c>
      <c r="BC130">
        <f t="shared" si="23"/>
        <v>1</v>
      </c>
      <c r="BD130">
        <f t="shared" si="24"/>
        <v>0</v>
      </c>
      <c r="BE130">
        <f t="shared" si="20"/>
        <v>1</v>
      </c>
      <c r="BF130">
        <f t="shared" si="25"/>
        <v>0</v>
      </c>
      <c r="BG130" s="9">
        <f t="shared" si="26"/>
        <v>0</v>
      </c>
      <c r="BH130" s="9">
        <f t="shared" si="27"/>
        <v>0</v>
      </c>
      <c r="BI130" s="9">
        <f t="shared" si="28"/>
        <v>0</v>
      </c>
      <c r="BJ130" s="12">
        <f t="shared" si="29"/>
        <v>2.593952908126055E-2</v>
      </c>
      <c r="BL130" s="9"/>
      <c r="BN130">
        <f t="shared" si="30"/>
        <v>0</v>
      </c>
      <c r="BO130">
        <f t="shared" si="31"/>
        <v>0</v>
      </c>
      <c r="BP130">
        <f t="shared" si="32"/>
        <v>1</v>
      </c>
      <c r="BQ130">
        <f t="shared" si="21"/>
        <v>1</v>
      </c>
      <c r="BR130">
        <f t="shared" si="33"/>
        <v>1</v>
      </c>
      <c r="BS130" s="9">
        <f t="shared" si="34"/>
        <v>-1.03159000060844E-2</v>
      </c>
      <c r="BT130" s="9">
        <f t="shared" si="35"/>
        <v>9.6311365180817097E-3</v>
      </c>
      <c r="BU130" s="9">
        <f t="shared" si="36"/>
        <v>-6.8476348800269003E-4</v>
      </c>
      <c r="BV130" s="12">
        <f t="shared" si="37"/>
        <v>8.4811781462590784E-3</v>
      </c>
      <c r="BX130" s="12">
        <f t="shared" si="38"/>
        <v>-6.8476348800269003E-4</v>
      </c>
      <c r="BY130" s="12">
        <f t="shared" si="39"/>
        <v>3.4420707227519616E-2</v>
      </c>
    </row>
    <row r="131" spans="1:77" x14ac:dyDescent="0.3">
      <c r="A131" s="1">
        <v>46213</v>
      </c>
      <c r="B131" s="8">
        <v>55.71</v>
      </c>
      <c r="C131" s="8">
        <v>132.94999999999999</v>
      </c>
      <c r="D131" s="9">
        <v>3.0561821540707099E-3</v>
      </c>
      <c r="E131" s="9">
        <v>3.3904722627517599E-3</v>
      </c>
      <c r="F131" s="8">
        <v>0</v>
      </c>
      <c r="G131" s="8">
        <v>0.43859999999999999</v>
      </c>
      <c r="H131" s="8">
        <v>0</v>
      </c>
      <c r="I131" s="8">
        <v>0.95660000000000001</v>
      </c>
      <c r="J131" s="8">
        <v>0.43859999999999999</v>
      </c>
      <c r="K131" s="8">
        <v>0.95660000000000001</v>
      </c>
      <c r="L131" s="8">
        <v>56.148600000000002</v>
      </c>
      <c r="M131" s="8">
        <v>133.9066</v>
      </c>
      <c r="N131" s="10">
        <v>2.3864656255609402</v>
      </c>
      <c r="O131" s="10">
        <v>2.3820577689553399</v>
      </c>
      <c r="P131" s="10">
        <v>2.3814323978106202</v>
      </c>
      <c r="Q131" s="10">
        <v>2.3859905407033799</v>
      </c>
      <c r="R131" s="8">
        <v>132.70443830850201</v>
      </c>
      <c r="S131" s="8">
        <v>132.676208236566</v>
      </c>
      <c r="T131" s="8">
        <v>132.94566024831801</v>
      </c>
      <c r="U131" s="9">
        <v>-1.8487307270427E-3</v>
      </c>
      <c r="V131" s="9">
        <v>-2.0614822777620901E-3</v>
      </c>
      <c r="W131" s="9">
        <v>-3.2642516077004099E-5</v>
      </c>
      <c r="X131" s="10">
        <v>2.38486088700341</v>
      </c>
      <c r="Y131" s="10">
        <v>2.3818827909075999</v>
      </c>
      <c r="Z131" s="10">
        <v>2.3798456571826399</v>
      </c>
      <c r="AA131" s="10">
        <v>2.3861232483834698</v>
      </c>
      <c r="AB131" s="8">
        <v>133.73938407355399</v>
      </c>
      <c r="AC131" s="8">
        <v>133.63123115842299</v>
      </c>
      <c r="AD131" s="8">
        <v>134.00289593407001</v>
      </c>
      <c r="AE131" s="9">
        <v>-1.2495307843356201E-3</v>
      </c>
      <c r="AF131" s="9">
        <v>-2.0585420583362499E-3</v>
      </c>
      <c r="AG131" s="9">
        <v>7.1886916797903597E-4</v>
      </c>
      <c r="AZ131" s="9"/>
      <c r="BB131">
        <f t="shared" si="22"/>
        <v>0</v>
      </c>
      <c r="BC131">
        <f t="shared" si="23"/>
        <v>1</v>
      </c>
      <c r="BD131">
        <f t="shared" si="24"/>
        <v>0</v>
      </c>
      <c r="BE131">
        <f t="shared" si="20"/>
        <v>1</v>
      </c>
      <c r="BF131">
        <f t="shared" si="25"/>
        <v>0</v>
      </c>
      <c r="BG131" s="9">
        <f t="shared" si="26"/>
        <v>0</v>
      </c>
      <c r="BH131" s="9">
        <f t="shared" si="27"/>
        <v>0</v>
      </c>
      <c r="BI131" s="9">
        <f t="shared" si="28"/>
        <v>0</v>
      </c>
      <c r="BJ131" s="12">
        <f t="shared" si="29"/>
        <v>2.593952908126055E-2</v>
      </c>
      <c r="BL131" s="9"/>
      <c r="BN131">
        <f t="shared" si="30"/>
        <v>0</v>
      </c>
      <c r="BO131">
        <f t="shared" si="31"/>
        <v>0</v>
      </c>
      <c r="BP131">
        <f t="shared" si="32"/>
        <v>1</v>
      </c>
      <c r="BQ131">
        <f t="shared" si="21"/>
        <v>1</v>
      </c>
      <c r="BR131">
        <f t="shared" si="33"/>
        <v>1</v>
      </c>
      <c r="BS131" s="9">
        <f t="shared" si="34"/>
        <v>-3.0561821540707099E-3</v>
      </c>
      <c r="BT131" s="9">
        <f t="shared" si="35"/>
        <v>3.3904722627517599E-3</v>
      </c>
      <c r="BU131" s="9">
        <f t="shared" si="36"/>
        <v>3.3429010868104994E-4</v>
      </c>
      <c r="BV131" s="12">
        <f t="shared" si="37"/>
        <v>8.815468254940128E-3</v>
      </c>
      <c r="BX131" s="12">
        <f t="shared" si="38"/>
        <v>3.3429010868104994E-4</v>
      </c>
      <c r="BY131" s="12">
        <f t="shared" si="39"/>
        <v>3.4754997336200667E-2</v>
      </c>
    </row>
    <row r="132" spans="1:77" x14ac:dyDescent="0.3">
      <c r="A132" s="1">
        <v>46216</v>
      </c>
      <c r="B132" s="8">
        <v>56.07</v>
      </c>
      <c r="C132" s="8">
        <v>133.30000000000001</v>
      </c>
      <c r="D132" s="9">
        <v>6.4412461028570704E-3</v>
      </c>
      <c r="E132" s="9">
        <v>2.62910949563423E-3</v>
      </c>
      <c r="F132" s="8">
        <v>0</v>
      </c>
      <c r="G132" s="8">
        <v>0.43859999999999999</v>
      </c>
      <c r="H132" s="8">
        <v>0</v>
      </c>
      <c r="I132" s="8">
        <v>0.95660000000000001</v>
      </c>
      <c r="J132" s="8">
        <v>0.43859999999999999</v>
      </c>
      <c r="K132" s="8">
        <v>0.95660000000000001</v>
      </c>
      <c r="L132" s="8">
        <v>56.508600000000001</v>
      </c>
      <c r="M132" s="8">
        <v>134.25659999999999</v>
      </c>
      <c r="N132" s="10">
        <v>2.37738541109327</v>
      </c>
      <c r="O132" s="10">
        <v>2.3820577689553399</v>
      </c>
      <c r="P132" s="10">
        <v>2.3805112413280098</v>
      </c>
      <c r="Q132" s="10">
        <v>2.3848389066590401</v>
      </c>
      <c r="R132" s="8">
        <v>133.56197910532501</v>
      </c>
      <c r="S132" s="8">
        <v>133.526914545241</v>
      </c>
      <c r="T132" s="8">
        <v>133.78248961723901</v>
      </c>
      <c r="U132" s="9">
        <v>1.9634058801799399E-3</v>
      </c>
      <c r="V132" s="9">
        <v>1.7008374161273101E-3</v>
      </c>
      <c r="W132" s="9">
        <v>3.61304211894691E-3</v>
      </c>
      <c r="X132" s="10">
        <v>2.37586137331308</v>
      </c>
      <c r="Y132" s="10">
        <v>2.3818827909075999</v>
      </c>
      <c r="Z132" s="10">
        <v>2.3789390359532798</v>
      </c>
      <c r="AA132" s="10">
        <v>2.3849214237701402</v>
      </c>
      <c r="AB132" s="8">
        <v>134.596861878281</v>
      </c>
      <c r="AC132" s="8">
        <v>134.481746303471</v>
      </c>
      <c r="AD132" s="8">
        <v>134.83648419360199</v>
      </c>
      <c r="AE132" s="9">
        <v>2.5312083212628098E-3</v>
      </c>
      <c r="AF132" s="9">
        <v>1.67558042418804E-3</v>
      </c>
      <c r="AG132" s="9">
        <v>4.3099219214287696E-3</v>
      </c>
      <c r="AZ132" s="9"/>
      <c r="BB132">
        <f t="shared" si="22"/>
        <v>0</v>
      </c>
      <c r="BC132">
        <f t="shared" si="23"/>
        <v>1</v>
      </c>
      <c r="BD132">
        <f t="shared" si="24"/>
        <v>0</v>
      </c>
      <c r="BE132">
        <f t="shared" si="20"/>
        <v>1</v>
      </c>
      <c r="BF132">
        <f t="shared" si="25"/>
        <v>0</v>
      </c>
      <c r="BG132" s="9">
        <f t="shared" si="26"/>
        <v>0</v>
      </c>
      <c r="BH132" s="9">
        <f t="shared" si="27"/>
        <v>0</v>
      </c>
      <c r="BI132" s="9">
        <f t="shared" si="28"/>
        <v>0</v>
      </c>
      <c r="BJ132" s="12">
        <f t="shared" si="29"/>
        <v>2.593952908126055E-2</v>
      </c>
      <c r="BL132" s="9"/>
      <c r="BN132">
        <f t="shared" si="30"/>
        <v>1</v>
      </c>
      <c r="BO132">
        <f t="shared" si="31"/>
        <v>0</v>
      </c>
      <c r="BP132">
        <f t="shared" si="32"/>
        <v>1</v>
      </c>
      <c r="BQ132">
        <f t="shared" si="21"/>
        <v>1</v>
      </c>
      <c r="BR132">
        <f t="shared" si="33"/>
        <v>1</v>
      </c>
      <c r="BS132" s="9">
        <f t="shared" si="34"/>
        <v>-6.4412461028570704E-3</v>
      </c>
      <c r="BT132" s="9">
        <f t="shared" si="35"/>
        <v>2.62910949563423E-3</v>
      </c>
      <c r="BU132" s="9">
        <f t="shared" si="36"/>
        <v>-3.8121366072228404E-3</v>
      </c>
      <c r="BV132" s="12">
        <f t="shared" si="37"/>
        <v>5.0033316477172875E-3</v>
      </c>
      <c r="BX132" s="12">
        <f t="shared" si="38"/>
        <v>-3.8121366072228404E-3</v>
      </c>
      <c r="BY132" s="12">
        <f t="shared" si="39"/>
        <v>3.0942860728977825E-2</v>
      </c>
    </row>
    <row r="133" spans="1:77" x14ac:dyDescent="0.3">
      <c r="A133" s="1">
        <v>46217</v>
      </c>
      <c r="B133" s="8">
        <v>56.18</v>
      </c>
      <c r="C133" s="8">
        <v>133.63999999999999</v>
      </c>
      <c r="D133" s="9">
        <v>1.9599115405164202E-3</v>
      </c>
      <c r="E133" s="9">
        <v>2.5473903038926E-3</v>
      </c>
      <c r="F133" s="8">
        <v>0</v>
      </c>
      <c r="G133" s="8">
        <v>0.43859999999999999</v>
      </c>
      <c r="H133" s="8">
        <v>0</v>
      </c>
      <c r="I133" s="8">
        <v>0.95660000000000001</v>
      </c>
      <c r="J133" s="8">
        <v>0.43859999999999999</v>
      </c>
      <c r="K133" s="8">
        <v>0.95660000000000001</v>
      </c>
      <c r="L133" s="8">
        <v>56.618600000000001</v>
      </c>
      <c r="M133" s="8">
        <v>134.5966</v>
      </c>
      <c r="N133" s="10">
        <v>2.3787824848700598</v>
      </c>
      <c r="O133" s="10">
        <v>2.3820577689553399</v>
      </c>
      <c r="P133" s="10">
        <v>2.38063818676215</v>
      </c>
      <c r="Q133" s="10">
        <v>2.38374615988642</v>
      </c>
      <c r="R133" s="8">
        <v>133.82400545991101</v>
      </c>
      <c r="S133" s="8">
        <v>133.73712153780701</v>
      </c>
      <c r="T133" s="8">
        <v>133.98024977610399</v>
      </c>
      <c r="U133" s="9">
        <v>1.37592711680382E-3</v>
      </c>
      <c r="V133" s="9">
        <v>7.2647608382389096E-4</v>
      </c>
      <c r="W133" s="9">
        <v>2.5427818688617898E-3</v>
      </c>
      <c r="X133" s="10">
        <v>2.3772505854966299</v>
      </c>
      <c r="Y133" s="10">
        <v>2.3818827909075999</v>
      </c>
      <c r="Z133" s="10">
        <v>2.379071911544</v>
      </c>
      <c r="AA133" s="10">
        <v>2.38377779535206</v>
      </c>
      <c r="AB133" s="8">
        <v>134.85886898528099</v>
      </c>
      <c r="AC133" s="8">
        <v>134.69219770102401</v>
      </c>
      <c r="AD133" s="8">
        <v>135.03091212387201</v>
      </c>
      <c r="AE133" s="9">
        <v>1.94665982539502E-3</v>
      </c>
      <c r="AF133" s="9">
        <v>7.1000135064291003E-4</v>
      </c>
      <c r="AG133" s="9">
        <v>3.2215740602904801E-3</v>
      </c>
      <c r="AZ133" s="9"/>
      <c r="BB133">
        <f t="shared" si="22"/>
        <v>0</v>
      </c>
      <c r="BC133">
        <f t="shared" si="23"/>
        <v>1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2.593952908126055E-2</v>
      </c>
      <c r="BL133" s="9"/>
      <c r="BN133">
        <f t="shared" si="30"/>
        <v>1</v>
      </c>
      <c r="BO133">
        <f t="shared" si="31"/>
        <v>0</v>
      </c>
      <c r="BP133">
        <f t="shared" si="32"/>
        <v>1</v>
      </c>
      <c r="BQ133">
        <f t="shared" si="21"/>
        <v>1</v>
      </c>
      <c r="BR133">
        <f t="shared" si="33"/>
        <v>1</v>
      </c>
      <c r="BS133" s="9">
        <f t="shared" si="34"/>
        <v>-1.9599115405164202E-3</v>
      </c>
      <c r="BT133" s="9">
        <f t="shared" si="35"/>
        <v>2.5473903038926E-3</v>
      </c>
      <c r="BU133" s="9">
        <f t="shared" si="36"/>
        <v>5.8747876337617976E-4</v>
      </c>
      <c r="BV133" s="12">
        <f t="shared" si="37"/>
        <v>5.5908104110934673E-3</v>
      </c>
      <c r="BX133" s="12">
        <f t="shared" si="38"/>
        <v>5.8747876337617976E-4</v>
      </c>
      <c r="BY133" s="12">
        <f t="shared" si="39"/>
        <v>3.1530339492354002E-2</v>
      </c>
    </row>
    <row r="134" spans="1:77" x14ac:dyDescent="0.3">
      <c r="A134" s="1">
        <v>46218</v>
      </c>
      <c r="B134" s="8">
        <v>56.56</v>
      </c>
      <c r="C134" s="8">
        <v>134.5</v>
      </c>
      <c r="D134" s="9">
        <v>6.7411999122197197E-3</v>
      </c>
      <c r="E134" s="9">
        <v>6.4145815533381998E-3</v>
      </c>
      <c r="F134" s="8">
        <v>0</v>
      </c>
      <c r="G134" s="8">
        <v>0.43859999999999999</v>
      </c>
      <c r="H134" s="8">
        <v>0</v>
      </c>
      <c r="I134" s="8">
        <v>0.95660000000000001</v>
      </c>
      <c r="J134" s="8">
        <v>0.43859999999999999</v>
      </c>
      <c r="K134" s="8">
        <v>0.95660000000000001</v>
      </c>
      <c r="L134" s="8">
        <v>56.998600000000003</v>
      </c>
      <c r="M134" s="8">
        <v>135.45660000000001</v>
      </c>
      <c r="N134" s="10">
        <v>2.3780056577086199</v>
      </c>
      <c r="O134" s="10">
        <v>2.3820577689553399</v>
      </c>
      <c r="P134" s="10">
        <v>2.3805913360062498</v>
      </c>
      <c r="Q134" s="10">
        <v>2.38315428444474</v>
      </c>
      <c r="R134" s="8">
        <v>134.72918741211399</v>
      </c>
      <c r="S134" s="8">
        <v>134.64889584326701</v>
      </c>
      <c r="T134" s="8">
        <v>134.82468280317599</v>
      </c>
      <c r="U134" s="9">
        <v>1.70254547568551E-3</v>
      </c>
      <c r="V134" s="9">
        <v>1.10641998355936E-3</v>
      </c>
      <c r="W134" s="9">
        <v>2.4110895227868298E-3</v>
      </c>
      <c r="X134" s="10">
        <v>2.3764899488759301</v>
      </c>
      <c r="Y134" s="10">
        <v>2.3818827909075999</v>
      </c>
      <c r="Z134" s="10">
        <v>2.3790337137938602</v>
      </c>
      <c r="AA134" s="10">
        <v>2.3827797641542099</v>
      </c>
      <c r="AB134" s="8">
        <v>135.763984445826</v>
      </c>
      <c r="AC134" s="8">
        <v>135.60376825733201</v>
      </c>
      <c r="AD134" s="8">
        <v>135.87199704615301</v>
      </c>
      <c r="AE134" s="9">
        <v>2.2666758724183998E-3</v>
      </c>
      <c r="AF134" s="9">
        <v>1.08587081718356E-3</v>
      </c>
      <c r="AG134" s="9">
        <v>3.0619505295338299E-3</v>
      </c>
      <c r="AZ134" s="9"/>
      <c r="BB134">
        <f t="shared" si="22"/>
        <v>0</v>
      </c>
      <c r="BC134">
        <f t="shared" si="23"/>
        <v>1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2.593952908126055E-2</v>
      </c>
      <c r="BL134" s="9"/>
      <c r="BN134">
        <f t="shared" si="30"/>
        <v>1</v>
      </c>
      <c r="BO134">
        <f t="shared" si="31"/>
        <v>0</v>
      </c>
      <c r="BP134">
        <f t="shared" si="32"/>
        <v>1</v>
      </c>
      <c r="BQ134">
        <f t="shared" si="21"/>
        <v>1</v>
      </c>
      <c r="BR134">
        <f t="shared" si="33"/>
        <v>1</v>
      </c>
      <c r="BS134" s="9">
        <f t="shared" si="34"/>
        <v>-6.7411999122197197E-3</v>
      </c>
      <c r="BT134" s="9">
        <f t="shared" si="35"/>
        <v>6.4145815533381998E-3</v>
      </c>
      <c r="BU134" s="9">
        <f t="shared" si="36"/>
        <v>-3.2661835888151986E-4</v>
      </c>
      <c r="BV134" s="12">
        <f t="shared" si="37"/>
        <v>5.2641920522119474E-3</v>
      </c>
      <c r="BX134" s="12">
        <f t="shared" si="38"/>
        <v>-3.2661835888151986E-4</v>
      </c>
      <c r="BY134" s="12">
        <f t="shared" si="39"/>
        <v>3.1203721133472483E-2</v>
      </c>
    </row>
    <row r="135" spans="1:77" x14ac:dyDescent="0.3">
      <c r="A135" s="1">
        <v>46219</v>
      </c>
      <c r="B135" s="8">
        <v>56.75</v>
      </c>
      <c r="C135" s="8">
        <v>134.56</v>
      </c>
      <c r="D135" s="9">
        <v>3.3536347731947498E-3</v>
      </c>
      <c r="E135" s="9">
        <v>4.4599718274423002E-4</v>
      </c>
      <c r="F135" s="8">
        <v>0</v>
      </c>
      <c r="G135" s="8">
        <v>0.43859999999999999</v>
      </c>
      <c r="H135" s="8">
        <v>0</v>
      </c>
      <c r="I135" s="8">
        <v>0.95660000000000001</v>
      </c>
      <c r="J135" s="8">
        <v>0.43859999999999999</v>
      </c>
      <c r="K135" s="8">
        <v>0.95660000000000001</v>
      </c>
      <c r="L135" s="8">
        <v>57.188600000000001</v>
      </c>
      <c r="M135" s="8">
        <v>135.51660000000001</v>
      </c>
      <c r="N135" s="10">
        <v>2.3711013215859</v>
      </c>
      <c r="O135" s="10">
        <v>2.3820577689553399</v>
      </c>
      <c r="P135" s="10">
        <v>2.3799687189863001</v>
      </c>
      <c r="Q135" s="10">
        <v>2.38250971850931</v>
      </c>
      <c r="R135" s="8">
        <v>135.18177838821501</v>
      </c>
      <c r="S135" s="8">
        <v>135.09855831835401</v>
      </c>
      <c r="T135" s="8">
        <v>135.24400564223899</v>
      </c>
      <c r="U135" s="9">
        <v>4.6101830661360501E-3</v>
      </c>
      <c r="V135" s="9">
        <v>3.9943774658858797E-3</v>
      </c>
      <c r="W135" s="9">
        <v>5.0703999448257304E-3</v>
      </c>
      <c r="X135" s="10">
        <v>2.3696436002979602</v>
      </c>
      <c r="Y135" s="10">
        <v>2.3818827909075999</v>
      </c>
      <c r="Z135" s="10">
        <v>2.3784212428283</v>
      </c>
      <c r="AA135" s="10">
        <v>2.3817353743862202</v>
      </c>
      <c r="AB135" s="8">
        <v>136.21654217609799</v>
      </c>
      <c r="AC135" s="8">
        <v>136.053607444671</v>
      </c>
      <c r="AD135" s="8">
        <v>136.26783882030901</v>
      </c>
      <c r="AE135" s="9">
        <v>5.1516993365749502E-3</v>
      </c>
      <c r="AF135" s="9">
        <v>3.9548384166109103E-3</v>
      </c>
      <c r="AG135" s="9">
        <v>5.5282100534775197E-3</v>
      </c>
      <c r="AZ135" s="9"/>
      <c r="BB135">
        <f t="shared" si="22"/>
        <v>0</v>
      </c>
      <c r="BC135">
        <f t="shared" si="23"/>
        <v>1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2.593952908126055E-2</v>
      </c>
      <c r="BL135" s="9"/>
      <c r="BN135">
        <f t="shared" si="30"/>
        <v>1</v>
      </c>
      <c r="BO135">
        <f t="shared" si="31"/>
        <v>0</v>
      </c>
      <c r="BP135">
        <f t="shared" si="32"/>
        <v>1</v>
      </c>
      <c r="BQ135">
        <f t="shared" si="21"/>
        <v>1</v>
      </c>
      <c r="BR135">
        <f t="shared" si="33"/>
        <v>1</v>
      </c>
      <c r="BS135" s="9">
        <f t="shared" si="34"/>
        <v>-3.3536347731947498E-3</v>
      </c>
      <c r="BT135" s="9">
        <f t="shared" si="35"/>
        <v>4.4599718274423002E-4</v>
      </c>
      <c r="BU135" s="9">
        <f t="shared" si="36"/>
        <v>-2.9076375904505199E-3</v>
      </c>
      <c r="BV135" s="12">
        <f t="shared" si="37"/>
        <v>2.3565544617614276E-3</v>
      </c>
      <c r="BX135" s="12">
        <f t="shared" si="38"/>
        <v>-2.9076375904505199E-3</v>
      </c>
      <c r="BY135" s="12">
        <f t="shared" si="39"/>
        <v>2.8296083543021964E-2</v>
      </c>
    </row>
    <row r="136" spans="1:77" x14ac:dyDescent="0.3">
      <c r="A136" s="1">
        <v>46220</v>
      </c>
      <c r="B136" s="8">
        <v>56.26</v>
      </c>
      <c r="C136" s="8">
        <v>133.63</v>
      </c>
      <c r="D136" s="9">
        <v>-8.6718532998012396E-3</v>
      </c>
      <c r="E136" s="9">
        <v>-6.9354094316684701E-3</v>
      </c>
      <c r="F136" s="8">
        <v>0</v>
      </c>
      <c r="G136" s="8">
        <v>0.43859999999999999</v>
      </c>
      <c r="H136" s="8">
        <v>0</v>
      </c>
      <c r="I136" s="8">
        <v>0.95660000000000001</v>
      </c>
      <c r="J136" s="8">
        <v>0.43859999999999999</v>
      </c>
      <c r="K136" s="8">
        <v>0.95660000000000001</v>
      </c>
      <c r="L136" s="8">
        <v>56.698599999999999</v>
      </c>
      <c r="M136" s="8">
        <v>134.5866</v>
      </c>
      <c r="N136" s="10">
        <v>2.37522218272307</v>
      </c>
      <c r="O136" s="10">
        <v>2.3820577689553399</v>
      </c>
      <c r="P136" s="10">
        <v>2.3803640045006098</v>
      </c>
      <c r="Q136" s="10">
        <v>2.3820386352310399</v>
      </c>
      <c r="R136" s="8">
        <v>134.014570081427</v>
      </c>
      <c r="S136" s="8">
        <v>133.89704013016899</v>
      </c>
      <c r="T136" s="8">
        <v>134.03999676333399</v>
      </c>
      <c r="U136" s="9">
        <v>2.87373919800334E-3</v>
      </c>
      <c r="V136" s="9">
        <v>1.9963605826874399E-3</v>
      </c>
      <c r="W136" s="9">
        <v>3.0634519291257499E-3</v>
      </c>
      <c r="X136" s="10">
        <v>2.3737199860314</v>
      </c>
      <c r="Y136" s="10">
        <v>2.3818827909075999</v>
      </c>
      <c r="Z136" s="10">
        <v>2.3788151506478701</v>
      </c>
      <c r="AA136" s="10">
        <v>2.3808605880741398</v>
      </c>
      <c r="AB136" s="8">
        <v>135.04941960855299</v>
      </c>
      <c r="AC136" s="8">
        <v>134.85315467862401</v>
      </c>
      <c r="AD136" s="8">
        <v>135.04106129817399</v>
      </c>
      <c r="AE136" s="9">
        <v>3.43292460519189E-3</v>
      </c>
      <c r="AF136" s="9">
        <v>1.97858527522691E-3</v>
      </c>
      <c r="AG136" s="9">
        <v>3.3710319360866501E-3</v>
      </c>
      <c r="AZ136" s="9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2.593952908126055E-2</v>
      </c>
      <c r="BL136" s="9"/>
      <c r="BN136">
        <f t="shared" si="30"/>
        <v>1</v>
      </c>
      <c r="BO136">
        <f t="shared" si="31"/>
        <v>0</v>
      </c>
      <c r="BP136">
        <f t="shared" si="32"/>
        <v>1</v>
      </c>
      <c r="BQ136">
        <f t="shared" si="21"/>
        <v>1</v>
      </c>
      <c r="BR136">
        <f t="shared" si="33"/>
        <v>1</v>
      </c>
      <c r="BS136" s="9">
        <f t="shared" si="34"/>
        <v>8.6718532998012396E-3</v>
      </c>
      <c r="BT136" s="9">
        <f t="shared" si="35"/>
        <v>-6.9354094316684701E-3</v>
      </c>
      <c r="BU136" s="9">
        <f t="shared" si="36"/>
        <v>1.7364438681327695E-3</v>
      </c>
      <c r="BV136" s="12">
        <f t="shared" si="37"/>
        <v>4.0929983298941975E-3</v>
      </c>
      <c r="BX136" s="12">
        <f t="shared" si="38"/>
        <v>1.7364438681327695E-3</v>
      </c>
      <c r="BY136" s="12">
        <f t="shared" si="39"/>
        <v>3.0032527411154732E-2</v>
      </c>
    </row>
    <row r="137" spans="1:77" x14ac:dyDescent="0.3">
      <c r="A137" s="1">
        <v>46223</v>
      </c>
      <c r="B137" s="8">
        <v>56.04</v>
      </c>
      <c r="C137" s="8">
        <v>132.91999999999999</v>
      </c>
      <c r="D137" s="9">
        <v>-3.9180815929045097E-3</v>
      </c>
      <c r="E137" s="9">
        <v>-5.32734330657611E-3</v>
      </c>
      <c r="F137" s="8">
        <v>0</v>
      </c>
      <c r="G137" s="8">
        <v>0.43859999999999999</v>
      </c>
      <c r="H137" s="8">
        <v>0</v>
      </c>
      <c r="I137" s="8">
        <v>0.95660000000000001</v>
      </c>
      <c r="J137" s="8">
        <v>0.43859999999999999</v>
      </c>
      <c r="K137" s="8">
        <v>0.95660000000000001</v>
      </c>
      <c r="L137" s="8">
        <v>56.4786</v>
      </c>
      <c r="M137" s="8">
        <v>133.8766</v>
      </c>
      <c r="N137" s="10">
        <v>2.3718772305495999</v>
      </c>
      <c r="O137" s="10">
        <v>2.3820577689553399</v>
      </c>
      <c r="P137" s="10">
        <v>2.37953961497987</v>
      </c>
      <c r="Q137" s="10">
        <v>2.38152665393604</v>
      </c>
      <c r="R137" s="8">
        <v>133.49051737225699</v>
      </c>
      <c r="S137" s="8">
        <v>133.39559881221399</v>
      </c>
      <c r="T137" s="8">
        <v>133.48944511834699</v>
      </c>
      <c r="U137" s="9">
        <v>4.2830009116749E-3</v>
      </c>
      <c r="V137" s="9">
        <v>3.5716970386833798E-3</v>
      </c>
      <c r="W137" s="9">
        <v>4.2749684443708098E-3</v>
      </c>
      <c r="X137" s="10">
        <v>2.3703951585202101</v>
      </c>
      <c r="Y137" s="10">
        <v>2.3818827909075999</v>
      </c>
      <c r="Z137" s="10">
        <v>2.3779968898847001</v>
      </c>
      <c r="AA137" s="10">
        <v>2.3799423890498601</v>
      </c>
      <c r="AB137" s="8">
        <v>134.52540539455401</v>
      </c>
      <c r="AC137" s="8">
        <v>134.35214936738001</v>
      </c>
      <c r="AD137" s="8">
        <v>134.46767280960401</v>
      </c>
      <c r="AE137" s="9">
        <v>4.8345887529722296E-3</v>
      </c>
      <c r="AF137" s="9">
        <v>3.5458530583482302E-3</v>
      </c>
      <c r="AG137" s="9">
        <v>4.40533915129493E-3</v>
      </c>
      <c r="AZ137" s="9"/>
      <c r="BB137">
        <f t="shared" si="22"/>
        <v>0</v>
      </c>
      <c r="BC137">
        <f t="shared" si="23"/>
        <v>1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2.593952908126055E-2</v>
      </c>
      <c r="BL137" s="9"/>
      <c r="BN137">
        <f t="shared" si="30"/>
        <v>1</v>
      </c>
      <c r="BO137">
        <f t="shared" si="31"/>
        <v>0</v>
      </c>
      <c r="BP137">
        <f t="shared" si="32"/>
        <v>1</v>
      </c>
      <c r="BQ137">
        <f t="shared" si="21"/>
        <v>1</v>
      </c>
      <c r="BR137">
        <f t="shared" si="33"/>
        <v>1</v>
      </c>
      <c r="BS137" s="9">
        <f t="shared" si="34"/>
        <v>3.9180815929045097E-3</v>
      </c>
      <c r="BT137" s="9">
        <f t="shared" si="35"/>
        <v>-5.32734330657611E-3</v>
      </c>
      <c r="BU137" s="9">
        <f t="shared" si="36"/>
        <v>-1.4092617136716003E-3</v>
      </c>
      <c r="BV137" s="12">
        <f t="shared" si="37"/>
        <v>2.6837366162225972E-3</v>
      </c>
      <c r="BX137" s="12">
        <f t="shared" si="38"/>
        <v>-1.4092617136716003E-3</v>
      </c>
      <c r="BY137" s="12">
        <f t="shared" si="39"/>
        <v>2.8623265697483132E-2</v>
      </c>
    </row>
    <row r="138" spans="1:77" x14ac:dyDescent="0.3">
      <c r="A138" s="1">
        <v>46224</v>
      </c>
      <c r="B138" s="8">
        <v>56.11</v>
      </c>
      <c r="C138" s="8">
        <v>133.25</v>
      </c>
      <c r="D138" s="9">
        <v>1.2483282940744099E-3</v>
      </c>
      <c r="E138" s="9">
        <v>2.4796195595605001E-3</v>
      </c>
      <c r="F138" s="8">
        <v>0</v>
      </c>
      <c r="G138" s="8">
        <v>0.43859999999999999</v>
      </c>
      <c r="H138" s="8">
        <v>0</v>
      </c>
      <c r="I138" s="8">
        <v>0.95660000000000001</v>
      </c>
      <c r="J138" s="8">
        <v>0.43859999999999999</v>
      </c>
      <c r="K138" s="8">
        <v>0.95660000000000001</v>
      </c>
      <c r="L138" s="8">
        <v>56.5486</v>
      </c>
      <c r="M138" s="8">
        <v>134.20660000000001</v>
      </c>
      <c r="N138" s="10">
        <v>2.3747995009802101</v>
      </c>
      <c r="O138" s="10">
        <v>2.3820577689553399</v>
      </c>
      <c r="P138" s="10">
        <v>2.3786609566925199</v>
      </c>
      <c r="Q138" s="10">
        <v>2.3805645805679201</v>
      </c>
      <c r="R138" s="8">
        <v>133.657261416084</v>
      </c>
      <c r="S138" s="8">
        <v>133.51596779651999</v>
      </c>
      <c r="T138" s="8">
        <v>133.62746055235101</v>
      </c>
      <c r="U138" s="9">
        <v>3.0517096461886899E-3</v>
      </c>
      <c r="V138" s="9">
        <v>1.9940166044704099E-3</v>
      </c>
      <c r="W138" s="9">
        <v>2.82871999203538E-3</v>
      </c>
      <c r="X138" s="10">
        <v>2.3732965979705898</v>
      </c>
      <c r="Y138" s="10">
        <v>2.3818827909075999</v>
      </c>
      <c r="Z138" s="10">
        <v>2.3771252134829499</v>
      </c>
      <c r="AA138" s="10">
        <v>2.3789914549648299</v>
      </c>
      <c r="AB138" s="8">
        <v>134.69213718991699</v>
      </c>
      <c r="AC138" s="8">
        <v>134.47239492733399</v>
      </c>
      <c r="AD138" s="8">
        <v>134.58241018142499</v>
      </c>
      <c r="AE138" s="9">
        <v>3.6113053015456001E-3</v>
      </c>
      <c r="AF138" s="9">
        <v>1.9785321447460102E-3</v>
      </c>
      <c r="AG138" s="9">
        <v>2.7963228560285401E-3</v>
      </c>
      <c r="AZ138" s="9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2.593952908126055E-2</v>
      </c>
      <c r="BL138" s="9"/>
      <c r="BN138">
        <f t="shared" si="30"/>
        <v>1</v>
      </c>
      <c r="BO138">
        <f t="shared" si="31"/>
        <v>0</v>
      </c>
      <c r="BP138">
        <f t="shared" si="32"/>
        <v>1</v>
      </c>
      <c r="BQ138">
        <f t="shared" si="21"/>
        <v>1</v>
      </c>
      <c r="BR138">
        <f t="shared" si="33"/>
        <v>1</v>
      </c>
      <c r="BS138" s="9">
        <f t="shared" si="34"/>
        <v>-1.2483282940744099E-3</v>
      </c>
      <c r="BT138" s="9">
        <f t="shared" si="35"/>
        <v>2.4796195595605001E-3</v>
      </c>
      <c r="BU138" s="9">
        <f t="shared" si="36"/>
        <v>1.2312912654860902E-3</v>
      </c>
      <c r="BV138" s="12">
        <f t="shared" si="37"/>
        <v>3.9150278817086876E-3</v>
      </c>
      <c r="BX138" s="12">
        <f t="shared" si="38"/>
        <v>1.2312912654860902E-3</v>
      </c>
      <c r="BY138" s="12">
        <f t="shared" si="39"/>
        <v>2.9854556962969223E-2</v>
      </c>
    </row>
    <row r="139" spans="1:77" x14ac:dyDescent="0.3">
      <c r="A139" s="1">
        <v>46225</v>
      </c>
      <c r="B139" s="8">
        <v>56.05</v>
      </c>
      <c r="C139" s="8">
        <v>133.28</v>
      </c>
      <c r="D139" s="9">
        <v>-1.0699002447117499E-3</v>
      </c>
      <c r="E139" s="9">
        <v>2.25115372578707E-4</v>
      </c>
      <c r="F139" s="8">
        <v>0</v>
      </c>
      <c r="G139" s="8">
        <v>0.43859999999999999</v>
      </c>
      <c r="H139" s="8">
        <v>0</v>
      </c>
      <c r="I139" s="8">
        <v>0.95660000000000001</v>
      </c>
      <c r="J139" s="8">
        <v>0.43859999999999999</v>
      </c>
      <c r="K139" s="8">
        <v>0.95660000000000001</v>
      </c>
      <c r="L139" s="8">
        <v>56.488599999999998</v>
      </c>
      <c r="M139" s="8">
        <v>134.23660000000001</v>
      </c>
      <c r="N139" s="10">
        <v>2.3778768956289</v>
      </c>
      <c r="O139" s="10">
        <v>2.3820577689553399</v>
      </c>
      <c r="P139" s="10">
        <v>2.3777184297736902</v>
      </c>
      <c r="Q139" s="10">
        <v>2.37966443871239</v>
      </c>
      <c r="R139" s="8">
        <v>133.514337949946</v>
      </c>
      <c r="S139" s="8">
        <v>133.32394662261601</v>
      </c>
      <c r="T139" s="8">
        <v>133.43064474083201</v>
      </c>
      <c r="U139" s="9">
        <v>1.7566940288984E-3</v>
      </c>
      <c r="V139" s="9">
        <v>3.2967721274029398E-4</v>
      </c>
      <c r="W139" s="9">
        <v>1.12964937712542E-3</v>
      </c>
      <c r="X139" s="10">
        <v>2.3763485021756598</v>
      </c>
      <c r="Y139" s="10">
        <v>2.3818827909075999</v>
      </c>
      <c r="Z139" s="10">
        <v>2.37619312643807</v>
      </c>
      <c r="AA139" s="10">
        <v>2.3781016343051302</v>
      </c>
      <c r="AB139" s="8">
        <v>134.54922422246301</v>
      </c>
      <c r="AC139" s="8">
        <v>134.28047533435301</v>
      </c>
      <c r="AD139" s="8">
        <v>134.385896702926</v>
      </c>
      <c r="AE139" s="9">
        <v>2.3261968099698902E-3</v>
      </c>
      <c r="AF139" s="9">
        <v>3.2679735312423399E-4</v>
      </c>
      <c r="AG139" s="9">
        <v>1.11157270989342E-3</v>
      </c>
      <c r="AZ139" s="9"/>
      <c r="BB139">
        <f t="shared" si="22"/>
        <v>0</v>
      </c>
      <c r="BC139">
        <f t="shared" si="23"/>
        <v>1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2.593952908126055E-2</v>
      </c>
      <c r="BL139" s="9"/>
      <c r="BN139">
        <f t="shared" si="30"/>
        <v>0</v>
      </c>
      <c r="BO139">
        <f t="shared" si="31"/>
        <v>0</v>
      </c>
      <c r="BP139">
        <f t="shared" si="32"/>
        <v>1</v>
      </c>
      <c r="BQ139">
        <f t="shared" si="21"/>
        <v>1</v>
      </c>
      <c r="BR139">
        <f t="shared" si="33"/>
        <v>1</v>
      </c>
      <c r="BS139" s="9">
        <f t="shared" si="34"/>
        <v>1.0699002447117499E-3</v>
      </c>
      <c r="BT139" s="9">
        <f t="shared" si="35"/>
        <v>2.25115372578707E-4</v>
      </c>
      <c r="BU139" s="9">
        <f t="shared" si="36"/>
        <v>1.2950156172904569E-3</v>
      </c>
      <c r="BV139" s="12">
        <f t="shared" si="37"/>
        <v>5.2100434989991442E-3</v>
      </c>
      <c r="BX139" s="12">
        <f t="shared" si="38"/>
        <v>1.2950156172904569E-3</v>
      </c>
      <c r="BY139" s="12">
        <f t="shared" si="39"/>
        <v>3.1149572580259681E-2</v>
      </c>
    </row>
    <row r="140" spans="1:77" x14ac:dyDescent="0.3">
      <c r="A140" s="1">
        <v>46226</v>
      </c>
      <c r="B140" s="8">
        <v>55.83</v>
      </c>
      <c r="C140" s="8">
        <v>132.84</v>
      </c>
      <c r="D140" s="9">
        <v>-3.9327901958998504E-3</v>
      </c>
      <c r="E140" s="9">
        <v>-3.3067819099867599E-3</v>
      </c>
      <c r="F140" s="8">
        <v>0</v>
      </c>
      <c r="G140" s="8">
        <v>0.43859999999999999</v>
      </c>
      <c r="H140" s="8">
        <v>0</v>
      </c>
      <c r="I140" s="8">
        <v>0.95660000000000001</v>
      </c>
      <c r="J140" s="8">
        <v>0.43859999999999999</v>
      </c>
      <c r="K140" s="8">
        <v>0.95660000000000001</v>
      </c>
      <c r="L140" s="8">
        <v>56.268599999999999</v>
      </c>
      <c r="M140" s="8">
        <v>133.79660000000001</v>
      </c>
      <c r="N140" s="10">
        <v>2.3793659322944598</v>
      </c>
      <c r="O140" s="10">
        <v>2.3820577689553399</v>
      </c>
      <c r="P140" s="10">
        <v>2.3770882242995</v>
      </c>
      <c r="Q140" s="10">
        <v>2.3793196303382902</v>
      </c>
      <c r="R140" s="8">
        <v>132.99028524077599</v>
      </c>
      <c r="S140" s="8">
        <v>132.74801993426499</v>
      </c>
      <c r="T140" s="8">
        <v>132.856665613313</v>
      </c>
      <c r="U140" s="9">
        <v>1.1306857429852499E-3</v>
      </c>
      <c r="V140" s="9">
        <v>-6.9265224715048701E-4</v>
      </c>
      <c r="W140" s="9">
        <v>1.2544841913324299E-4</v>
      </c>
      <c r="X140" s="10">
        <v>2.37781995642329</v>
      </c>
      <c r="Y140" s="10">
        <v>2.3818827909075999</v>
      </c>
      <c r="Z140" s="10">
        <v>2.3755686596108201</v>
      </c>
      <c r="AA140" s="10">
        <v>2.3777626298736498</v>
      </c>
      <c r="AB140" s="8">
        <v>134.02521000846301</v>
      </c>
      <c r="AC140" s="8">
        <v>133.705060554293</v>
      </c>
      <c r="AD140" s="8">
        <v>133.81244962006201</v>
      </c>
      <c r="AE140" s="9">
        <v>1.70718033739925E-3</v>
      </c>
      <c r="AF140" s="9">
        <v>-6.8440284886320398E-4</v>
      </c>
      <c r="AG140" s="9">
        <v>1.1845354335392601E-4</v>
      </c>
      <c r="AZ140" s="9"/>
      <c r="BB140">
        <f t="shared" si="22"/>
        <v>0</v>
      </c>
      <c r="BC140">
        <f t="shared" si="23"/>
        <v>1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2.593952908126055E-2</v>
      </c>
      <c r="BL140" s="9"/>
      <c r="BN140">
        <f t="shared" si="30"/>
        <v>0</v>
      </c>
      <c r="BO140">
        <f t="shared" si="31"/>
        <v>0</v>
      </c>
      <c r="BP140">
        <f t="shared" si="32"/>
        <v>1</v>
      </c>
      <c r="BQ140">
        <f t="shared" si="21"/>
        <v>1</v>
      </c>
      <c r="BR140">
        <f t="shared" si="33"/>
        <v>1</v>
      </c>
      <c r="BS140" s="9">
        <f t="shared" si="34"/>
        <v>3.9327901958998504E-3</v>
      </c>
      <c r="BT140" s="9">
        <f t="shared" si="35"/>
        <v>-3.3067819099867599E-3</v>
      </c>
      <c r="BU140" s="9">
        <f t="shared" si="36"/>
        <v>6.2600828591309046E-4</v>
      </c>
      <c r="BV140" s="12">
        <f t="shared" si="37"/>
        <v>5.8360517849122343E-3</v>
      </c>
      <c r="BX140" s="12">
        <f t="shared" si="38"/>
        <v>6.2600828591309046E-4</v>
      </c>
      <c r="BY140" s="12">
        <f t="shared" si="39"/>
        <v>3.177558086617277E-2</v>
      </c>
    </row>
    <row r="141" spans="1:77" x14ac:dyDescent="0.3">
      <c r="A141" s="1">
        <v>46227</v>
      </c>
      <c r="B141" s="8">
        <v>56.31</v>
      </c>
      <c r="C141" s="8">
        <v>134.06</v>
      </c>
      <c r="D141" s="9">
        <v>8.5607799442580304E-3</v>
      </c>
      <c r="E141" s="9">
        <v>9.1420644212658192E-3</v>
      </c>
      <c r="F141" s="8">
        <v>0</v>
      </c>
      <c r="G141" s="8">
        <v>0.43859999999999999</v>
      </c>
      <c r="H141" s="8">
        <v>0</v>
      </c>
      <c r="I141" s="8">
        <v>0.95660000000000001</v>
      </c>
      <c r="J141" s="8">
        <v>0.43859999999999999</v>
      </c>
      <c r="K141" s="8">
        <v>0.95660000000000001</v>
      </c>
      <c r="L141" s="8">
        <v>56.748600000000003</v>
      </c>
      <c r="M141" s="8">
        <v>135.01660000000001</v>
      </c>
      <c r="N141" s="10">
        <v>2.3807494228378601</v>
      </c>
      <c r="O141" s="10">
        <v>2.3820577689553399</v>
      </c>
      <c r="P141" s="10">
        <v>2.3765166040271901</v>
      </c>
      <c r="Q141" s="10">
        <v>2.3789745009189098</v>
      </c>
      <c r="R141" s="8">
        <v>134.13367296987499</v>
      </c>
      <c r="S141" s="8">
        <v>133.853837910305</v>
      </c>
      <c r="T141" s="8">
        <v>133.979488384349</v>
      </c>
      <c r="U141" s="9">
        <v>5.4940126597756401E-4</v>
      </c>
      <c r="V141" s="9">
        <v>-1.53901815595152E-3</v>
      </c>
      <c r="W141" s="9">
        <v>-6.0074445416571595E-4</v>
      </c>
      <c r="X141" s="10">
        <v>2.3792058306284201</v>
      </c>
      <c r="Y141" s="10">
        <v>2.3818827909075999</v>
      </c>
      <c r="Z141" s="10">
        <v>2.3750031539733198</v>
      </c>
      <c r="AA141" s="10">
        <v>2.3774244055779801</v>
      </c>
      <c r="AB141" s="8">
        <v>135.168513748099</v>
      </c>
      <c r="AC141" s="8">
        <v>134.81019563679001</v>
      </c>
      <c r="AD141" s="8">
        <v>134.934700377648</v>
      </c>
      <c r="AE141" s="9">
        <v>1.1245161659740001E-3</v>
      </c>
      <c r="AF141" s="9">
        <v>-1.5299029362998999E-3</v>
      </c>
      <c r="AG141" s="9">
        <v>-6.0677333096711603E-4</v>
      </c>
      <c r="AZ141" s="9"/>
      <c r="BB141">
        <f t="shared" si="22"/>
        <v>0</v>
      </c>
      <c r="BC141">
        <f t="shared" si="23"/>
        <v>0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2.593952908126055E-2</v>
      </c>
      <c r="BL141" s="9"/>
      <c r="BN141">
        <f t="shared" si="30"/>
        <v>0</v>
      </c>
      <c r="BO141">
        <f t="shared" si="31"/>
        <v>1</v>
      </c>
      <c r="BP141">
        <f t="shared" si="32"/>
        <v>1</v>
      </c>
      <c r="BQ141">
        <f t="shared" si="21"/>
        <v>1</v>
      </c>
      <c r="BR141">
        <f t="shared" si="33"/>
        <v>1</v>
      </c>
      <c r="BS141" s="9">
        <f t="shared" si="34"/>
        <v>-8.5607799442580304E-3</v>
      </c>
      <c r="BT141" s="9">
        <f t="shared" si="35"/>
        <v>9.1420644212658192E-3</v>
      </c>
      <c r="BU141" s="9">
        <f t="shared" si="36"/>
        <v>5.8128447700778879E-4</v>
      </c>
      <c r="BV141" s="12">
        <f t="shared" si="37"/>
        <v>6.417336261920023E-3</v>
      </c>
      <c r="BX141" s="12">
        <f t="shared" si="38"/>
        <v>5.8128447700778879E-4</v>
      </c>
      <c r="BY141" s="12">
        <f t="shared" si="39"/>
        <v>3.2356865343180559E-2</v>
      </c>
    </row>
    <row r="142" spans="1:77" x14ac:dyDescent="0.3">
      <c r="A142" s="1">
        <v>46230</v>
      </c>
      <c r="B142" s="8">
        <v>56.88</v>
      </c>
      <c r="C142" s="8">
        <v>135.16999999999999</v>
      </c>
      <c r="D142" s="9">
        <v>1.00716462284581E-2</v>
      </c>
      <c r="E142" s="9">
        <v>8.2457845659247297E-3</v>
      </c>
      <c r="F142" s="8">
        <v>0</v>
      </c>
      <c r="G142" s="8">
        <v>0.43859999999999999</v>
      </c>
      <c r="H142" s="8">
        <v>0</v>
      </c>
      <c r="I142" s="8">
        <v>0.95660000000000001</v>
      </c>
      <c r="J142" s="8">
        <v>0.43859999999999999</v>
      </c>
      <c r="K142" s="8">
        <v>0.95660000000000001</v>
      </c>
      <c r="L142" s="8">
        <v>57.318600000000004</v>
      </c>
      <c r="M142" s="8">
        <v>136.1266</v>
      </c>
      <c r="N142" s="10">
        <v>2.37640646976089</v>
      </c>
      <c r="O142" s="10">
        <v>2.3820577689553399</v>
      </c>
      <c r="P142" s="10">
        <v>2.3764187098939602</v>
      </c>
      <c r="Q142" s="10">
        <v>2.3784649756109801</v>
      </c>
      <c r="R142" s="8">
        <v>135.49144589817899</v>
      </c>
      <c r="S142" s="8">
        <v>135.176264437067</v>
      </c>
      <c r="T142" s="8">
        <v>135.316069612267</v>
      </c>
      <c r="U142" s="9">
        <v>2.3752629285111499E-3</v>
      </c>
      <c r="V142" s="9">
        <v>4.63438034278241E-5</v>
      </c>
      <c r="W142" s="9">
        <v>1.0800528594797499E-3</v>
      </c>
      <c r="X142" s="10">
        <v>2.37491145980536</v>
      </c>
      <c r="Y142" s="10">
        <v>2.3818827909075999</v>
      </c>
      <c r="Z142" s="10">
        <v>2.3749081626225501</v>
      </c>
      <c r="AA142" s="10">
        <v>2.3769235992879101</v>
      </c>
      <c r="AB142" s="8">
        <v>136.526186938916</v>
      </c>
      <c r="AC142" s="8">
        <v>136.13185578133499</v>
      </c>
      <c r="AD142" s="8">
        <v>136.27063853356199</v>
      </c>
      <c r="AE142" s="9">
        <v>2.9311068446179001E-3</v>
      </c>
      <c r="AF142" s="9">
        <v>3.8608764755104099E-5</v>
      </c>
      <c r="AG142" s="9">
        <v>1.0575624610771701E-3</v>
      </c>
      <c r="AZ142" s="9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2.593952908126055E-2</v>
      </c>
      <c r="BL142" s="9"/>
      <c r="BN142">
        <f t="shared" si="30"/>
        <v>0</v>
      </c>
      <c r="BO142">
        <f t="shared" si="31"/>
        <v>0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6.417336261920023E-3</v>
      </c>
      <c r="BX142" s="12">
        <f t="shared" si="38"/>
        <v>0</v>
      </c>
      <c r="BY142" s="12">
        <f t="shared" si="39"/>
        <v>3.2356865343180559E-2</v>
      </c>
    </row>
    <row r="143" spans="1:77" x14ac:dyDescent="0.3">
      <c r="A143" s="1">
        <v>46231</v>
      </c>
      <c r="B143" s="8">
        <v>57.6</v>
      </c>
      <c r="C143" s="8">
        <v>136.71</v>
      </c>
      <c r="D143" s="9">
        <v>1.25787822068601E-2</v>
      </c>
      <c r="E143" s="9">
        <v>1.1328648448164599E-2</v>
      </c>
      <c r="F143" s="8">
        <v>0</v>
      </c>
      <c r="G143" s="8">
        <v>0.43859999999999999</v>
      </c>
      <c r="H143" s="8">
        <v>0</v>
      </c>
      <c r="I143" s="8">
        <v>0.95660000000000001</v>
      </c>
      <c r="J143" s="8">
        <v>0.43859999999999999</v>
      </c>
      <c r="K143" s="8">
        <v>0.95660000000000001</v>
      </c>
      <c r="L143" s="8">
        <v>58.038600000000002</v>
      </c>
      <c r="M143" s="8">
        <v>137.66659999999999</v>
      </c>
      <c r="N143" s="10">
        <v>2.3734375000000001</v>
      </c>
      <c r="O143" s="10">
        <v>2.3820577689553399</v>
      </c>
      <c r="P143" s="10">
        <v>2.3758842114069498</v>
      </c>
      <c r="Q143" s="10">
        <v>2.3782611990845499</v>
      </c>
      <c r="R143" s="8">
        <v>137.20652749182699</v>
      </c>
      <c r="S143" s="8">
        <v>136.88171768989201</v>
      </c>
      <c r="T143" s="8">
        <v>136.999582595193</v>
      </c>
      <c r="U143" s="9">
        <v>3.6253966872066001E-3</v>
      </c>
      <c r="V143" s="9">
        <v>1.25528443544008E-3</v>
      </c>
      <c r="W143" s="9">
        <v>2.1159851291665701E-3</v>
      </c>
      <c r="X143" s="10">
        <v>2.3719834730679201</v>
      </c>
      <c r="Y143" s="10">
        <v>2.3818827909075999</v>
      </c>
      <c r="Z143" s="10">
        <v>2.3743814513796702</v>
      </c>
      <c r="AA143" s="10">
        <v>2.37672668146184</v>
      </c>
      <c r="AB143" s="8">
        <v>138.24114254836999</v>
      </c>
      <c r="AC143" s="8">
        <v>137.83634488718499</v>
      </c>
      <c r="AD143" s="8">
        <v>137.953318009631</v>
      </c>
      <c r="AE143" s="9">
        <v>4.1647499524540702E-3</v>
      </c>
      <c r="AF143" s="9">
        <v>1.2322547676122399E-3</v>
      </c>
      <c r="AG143" s="9">
        <v>2.0805326053822898E-3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2.593952908126055E-2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6.417336261920023E-3</v>
      </c>
      <c r="BX143" s="12">
        <f t="shared" si="38"/>
        <v>0</v>
      </c>
      <c r="BY143" s="12">
        <f t="shared" si="39"/>
        <v>3.2356865343180559E-2</v>
      </c>
    </row>
    <row r="144" spans="1:77" x14ac:dyDescent="0.3">
      <c r="A144" s="1">
        <v>46232</v>
      </c>
      <c r="B144" s="8">
        <v>56.68</v>
      </c>
      <c r="C144" s="8">
        <v>134.18</v>
      </c>
      <c r="D144" s="9">
        <v>-1.61011528793659E-2</v>
      </c>
      <c r="E144" s="9">
        <v>-1.8679711809158901E-2</v>
      </c>
      <c r="F144" s="8">
        <v>0</v>
      </c>
      <c r="G144" s="8">
        <v>0.43859999999999999</v>
      </c>
      <c r="H144" s="8">
        <v>0</v>
      </c>
      <c r="I144" s="8">
        <v>0.95660000000000001</v>
      </c>
      <c r="J144" s="8">
        <v>0.43859999999999999</v>
      </c>
      <c r="K144" s="8">
        <v>0.95660000000000001</v>
      </c>
      <c r="L144" s="8">
        <v>57.118600000000001</v>
      </c>
      <c r="M144" s="8">
        <v>135.13659999999999</v>
      </c>
      <c r="N144" s="10">
        <v>2.3673253352152401</v>
      </c>
      <c r="O144" s="10">
        <v>2.3820577689553399</v>
      </c>
      <c r="P144" s="10">
        <v>2.3748161791576101</v>
      </c>
      <c r="Q144" s="10">
        <v>2.37770375758193</v>
      </c>
      <c r="R144" s="8">
        <v>135.015034344388</v>
      </c>
      <c r="S144" s="8">
        <v>134.66511710254599</v>
      </c>
      <c r="T144" s="8">
        <v>134.79984476411201</v>
      </c>
      <c r="U144" s="9">
        <v>6.2039556169996499E-3</v>
      </c>
      <c r="V144" s="9">
        <v>3.6089004278358002E-3</v>
      </c>
      <c r="W144" s="9">
        <v>4.6088647412631202E-3</v>
      </c>
      <c r="X144" s="10">
        <v>2.3658948223520802</v>
      </c>
      <c r="Y144" s="10">
        <v>2.3818827909075999</v>
      </c>
      <c r="Z144" s="10">
        <v>2.3733219387272899</v>
      </c>
      <c r="AA144" s="10">
        <v>2.3761778262605699</v>
      </c>
      <c r="AB144" s="8">
        <v>136.04981038073501</v>
      </c>
      <c r="AC144" s="8">
        <v>135.621344368775</v>
      </c>
      <c r="AD144" s="8">
        <v>135.75530062774601</v>
      </c>
      <c r="AE144" s="9">
        <v>6.7349527681293602E-3</v>
      </c>
      <c r="AF144" s="9">
        <v>3.5806512552518299E-3</v>
      </c>
      <c r="AG144" s="9">
        <v>4.5678863200276001E-3</v>
      </c>
      <c r="AZ144" s="9"/>
      <c r="BB144">
        <f t="shared" si="22"/>
        <v>0</v>
      </c>
      <c r="BC144">
        <f t="shared" si="23"/>
        <v>1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2.593952908126055E-2</v>
      </c>
      <c r="BL144" s="9"/>
      <c r="BN144">
        <f t="shared" si="30"/>
        <v>1</v>
      </c>
      <c r="BO144">
        <f t="shared" si="31"/>
        <v>0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6.417336261920023E-3</v>
      </c>
      <c r="BX144" s="12">
        <f t="shared" si="38"/>
        <v>0</v>
      </c>
      <c r="BY144" s="12">
        <f t="shared" si="39"/>
        <v>3.2356865343180559E-2</v>
      </c>
    </row>
    <row r="145" spans="1:77" x14ac:dyDescent="0.3">
      <c r="A145" s="1">
        <v>46233</v>
      </c>
      <c r="B145" s="8">
        <v>57</v>
      </c>
      <c r="C145" s="8">
        <v>134.77000000000001</v>
      </c>
      <c r="D145" s="9">
        <v>5.6298530120704599E-3</v>
      </c>
      <c r="E145" s="9">
        <v>4.3874396463259701E-3</v>
      </c>
      <c r="F145" s="8">
        <v>0</v>
      </c>
      <c r="G145" s="8">
        <v>0.43859999999999999</v>
      </c>
      <c r="H145" s="8">
        <v>0</v>
      </c>
      <c r="I145" s="8">
        <v>0.95660000000000001</v>
      </c>
      <c r="J145" s="8">
        <v>0.43859999999999999</v>
      </c>
      <c r="K145" s="8">
        <v>0.95660000000000001</v>
      </c>
      <c r="L145" s="8">
        <v>57.438600000000001</v>
      </c>
      <c r="M145" s="8">
        <v>135.72659999999999</v>
      </c>
      <c r="N145" s="10">
        <v>2.3643859649122798</v>
      </c>
      <c r="O145" s="10">
        <v>2.3820577689553399</v>
      </c>
      <c r="P145" s="10">
        <v>2.3741446434902498</v>
      </c>
      <c r="Q145" s="10">
        <v>2.3770566812382801</v>
      </c>
      <c r="R145" s="8">
        <v>135.777292830454</v>
      </c>
      <c r="S145" s="8">
        <v>135.364522211984</v>
      </c>
      <c r="T145" s="8">
        <v>135.52911418216999</v>
      </c>
      <c r="U145" s="9">
        <v>7.44636898274415E-3</v>
      </c>
      <c r="V145" s="9">
        <v>4.40168229526348E-3</v>
      </c>
      <c r="W145" s="9">
        <v>5.6168602716143903E-3</v>
      </c>
      <c r="X145" s="10">
        <v>2.3629858666471599</v>
      </c>
      <c r="Y145" s="10">
        <v>2.3818827909075999</v>
      </c>
      <c r="Z145" s="10">
        <v>2.3726561653622098</v>
      </c>
      <c r="AA145" s="10">
        <v>2.37553870409526</v>
      </c>
      <c r="AB145" s="8">
        <v>136.81201287382501</v>
      </c>
      <c r="AC145" s="8">
        <v>136.32028950978099</v>
      </c>
      <c r="AD145" s="8">
        <v>136.48432769145001</v>
      </c>
      <c r="AE145" s="9">
        <v>7.9652464731955197E-3</v>
      </c>
      <c r="AF145" s="9">
        <v>4.3646185650419696E-3</v>
      </c>
      <c r="AG145" s="9">
        <v>5.5672243209293499E-3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2.593952908126055E-2</v>
      </c>
      <c r="BL145" s="9"/>
      <c r="BN145">
        <f t="shared" si="30"/>
        <v>1</v>
      </c>
      <c r="BO145">
        <f t="shared" si="31"/>
        <v>0</v>
      </c>
      <c r="BP145">
        <f t="shared" si="32"/>
        <v>1</v>
      </c>
      <c r="BQ145">
        <f t="shared" si="21"/>
        <v>1</v>
      </c>
      <c r="BR145">
        <f t="shared" si="33"/>
        <v>1</v>
      </c>
      <c r="BS145" s="9">
        <f t="shared" si="34"/>
        <v>-5.6298530120704599E-3</v>
      </c>
      <c r="BT145" s="9">
        <f t="shared" si="35"/>
        <v>4.3874396463259701E-3</v>
      </c>
      <c r="BU145" s="9">
        <f t="shared" si="36"/>
        <v>-1.2424133657444898E-3</v>
      </c>
      <c r="BV145" s="12">
        <f t="shared" si="37"/>
        <v>5.1749228961755333E-3</v>
      </c>
      <c r="BX145" s="12">
        <f t="shared" si="38"/>
        <v>-1.2424133657444898E-3</v>
      </c>
      <c r="BY145" s="12">
        <f t="shared" si="39"/>
        <v>3.1114451977436071E-2</v>
      </c>
    </row>
    <row r="146" spans="1:77" x14ac:dyDescent="0.3">
      <c r="A146" s="1">
        <v>46234</v>
      </c>
      <c r="B146" s="8">
        <v>56.94</v>
      </c>
      <c r="C146" s="8">
        <v>134.65</v>
      </c>
      <c r="D146" s="9">
        <v>-1.0531859846586999E-3</v>
      </c>
      <c r="E146" s="9">
        <v>-8.9080252345994195E-4</v>
      </c>
      <c r="F146" s="8">
        <v>0</v>
      </c>
      <c r="G146" s="8">
        <v>0.43859999999999999</v>
      </c>
      <c r="H146" s="8">
        <v>0</v>
      </c>
      <c r="I146" s="8">
        <v>0.95660000000000001</v>
      </c>
      <c r="J146" s="8">
        <v>0.43859999999999999</v>
      </c>
      <c r="K146" s="8">
        <v>0.95660000000000001</v>
      </c>
      <c r="L146" s="8">
        <v>57.378599999999999</v>
      </c>
      <c r="M146" s="8">
        <v>135.60659999999999</v>
      </c>
      <c r="N146" s="10">
        <v>2.36476993326308</v>
      </c>
      <c r="O146" s="10">
        <v>2.3820577689553399</v>
      </c>
      <c r="P146" s="10">
        <v>2.3730994185442502</v>
      </c>
      <c r="Q146" s="10">
        <v>2.3767317115224298</v>
      </c>
      <c r="R146" s="8">
        <v>135.634369364317</v>
      </c>
      <c r="S146" s="8">
        <v>135.18379600033501</v>
      </c>
      <c r="T146" s="8">
        <v>135.34960742970699</v>
      </c>
      <c r="U146" s="9">
        <v>7.2839855215456302E-3</v>
      </c>
      <c r="V146" s="9">
        <v>3.9564850998955198E-3</v>
      </c>
      <c r="W146" s="9">
        <v>5.1822963899832196E-3</v>
      </c>
      <c r="X146" s="10">
        <v>2.36336543589421</v>
      </c>
      <c r="Y146" s="10">
        <v>2.3818827909075999</v>
      </c>
      <c r="Z146" s="10">
        <v>2.3716207103484899</v>
      </c>
      <c r="AA146" s="10">
        <v>2.37521793049818</v>
      </c>
      <c r="AB146" s="8">
        <v>136.669099906371</v>
      </c>
      <c r="AC146" s="8">
        <v>136.139689049852</v>
      </c>
      <c r="AD146" s="8">
        <v>136.30508508680001</v>
      </c>
      <c r="AE146" s="9">
        <v>7.8046281765138002E-3</v>
      </c>
      <c r="AF146" s="9">
        <v>3.9234370820811397E-3</v>
      </c>
      <c r="AG146" s="9">
        <v>5.1375991653204497E-3</v>
      </c>
      <c r="AZ146" s="9"/>
      <c r="BB146">
        <f t="shared" si="22"/>
        <v>0</v>
      </c>
      <c r="BC146">
        <f t="shared" si="23"/>
        <v>1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2.593952908126055E-2</v>
      </c>
      <c r="BL146" s="9"/>
      <c r="BN146">
        <f t="shared" si="30"/>
        <v>1</v>
      </c>
      <c r="BO146">
        <f t="shared" si="31"/>
        <v>0</v>
      </c>
      <c r="BP146">
        <f t="shared" si="32"/>
        <v>1</v>
      </c>
      <c r="BQ146">
        <f t="shared" si="21"/>
        <v>1</v>
      </c>
      <c r="BR146">
        <f t="shared" si="33"/>
        <v>1</v>
      </c>
      <c r="BS146" s="9">
        <f t="shared" si="34"/>
        <v>1.0531859846586999E-3</v>
      </c>
      <c r="BT146" s="9">
        <f t="shared" si="35"/>
        <v>-8.9080252345994195E-4</v>
      </c>
      <c r="BU146" s="9">
        <f t="shared" si="36"/>
        <v>1.62383461198758E-4</v>
      </c>
      <c r="BV146" s="12">
        <f t="shared" si="37"/>
        <v>5.3373063573742916E-3</v>
      </c>
      <c r="BX146" s="12">
        <f t="shared" si="38"/>
        <v>1.62383461198758E-4</v>
      </c>
      <c r="BY146" s="12">
        <f t="shared" si="39"/>
        <v>3.1276835438634826E-2</v>
      </c>
    </row>
    <row r="147" spans="1:77" x14ac:dyDescent="0.3">
      <c r="A147" s="1">
        <v>46237</v>
      </c>
      <c r="B147" s="8">
        <v>57.38</v>
      </c>
      <c r="C147" s="8">
        <v>135.91999999999999</v>
      </c>
      <c r="D147" s="9">
        <v>7.6977287033273504E-3</v>
      </c>
      <c r="E147" s="9">
        <v>9.3876581060684597E-3</v>
      </c>
      <c r="F147" s="8">
        <v>0</v>
      </c>
      <c r="G147" s="8">
        <v>0.43859999999999999</v>
      </c>
      <c r="H147" s="8">
        <v>0</v>
      </c>
      <c r="I147" s="8">
        <v>0.95660000000000001</v>
      </c>
      <c r="J147" s="8">
        <v>0.43859999999999999</v>
      </c>
      <c r="K147" s="8">
        <v>0.95660000000000001</v>
      </c>
      <c r="L147" s="8">
        <v>57.818600000000004</v>
      </c>
      <c r="M147" s="8">
        <v>136.8766</v>
      </c>
      <c r="N147" s="10">
        <v>2.3687696061345398</v>
      </c>
      <c r="O147" s="10">
        <v>2.3820577689553399</v>
      </c>
      <c r="P147" s="10">
        <v>2.3727886561027498</v>
      </c>
      <c r="Q147" s="10">
        <v>2.3761641355413099</v>
      </c>
      <c r="R147" s="8">
        <v>136.68247478265701</v>
      </c>
      <c r="S147" s="8">
        <v>136.16844463606901</v>
      </c>
      <c r="T147" s="8">
        <v>136.37686560715699</v>
      </c>
      <c r="U147" s="9">
        <v>5.5940561188042798E-3</v>
      </c>
      <c r="V147" s="9">
        <v>1.8262054858608401E-3</v>
      </c>
      <c r="W147" s="9">
        <v>3.3556466751442299E-3</v>
      </c>
      <c r="X147" s="10">
        <v>2.36734545630644</v>
      </c>
      <c r="Y147" s="10">
        <v>2.3818827909075999</v>
      </c>
      <c r="Z147" s="10">
        <v>2.3713157401271099</v>
      </c>
      <c r="AA147" s="10">
        <v>2.3746563150059101</v>
      </c>
      <c r="AB147" s="8">
        <v>137.71712833436999</v>
      </c>
      <c r="AC147" s="8">
        <v>137.12378920335499</v>
      </c>
      <c r="AD147" s="8">
        <v>137.331775436302</v>
      </c>
      <c r="AE147" s="9">
        <v>6.1219967741904498E-3</v>
      </c>
      <c r="AF147" s="9">
        <v>1.8042986809945301E-3</v>
      </c>
      <c r="AG147" s="9">
        <v>3.3199267064935802E-3</v>
      </c>
      <c r="AZ147" s="9"/>
      <c r="BB147">
        <f t="shared" si="22"/>
        <v>0</v>
      </c>
      <c r="BC147">
        <f t="shared" si="23"/>
        <v>1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2.593952908126055E-2</v>
      </c>
      <c r="BL147" s="9"/>
      <c r="BN147">
        <f t="shared" si="30"/>
        <v>1</v>
      </c>
      <c r="BO147">
        <f t="shared" si="31"/>
        <v>0</v>
      </c>
      <c r="BP147">
        <f t="shared" si="32"/>
        <v>1</v>
      </c>
      <c r="BQ147">
        <f t="shared" si="21"/>
        <v>1</v>
      </c>
      <c r="BR147">
        <f t="shared" si="33"/>
        <v>1</v>
      </c>
      <c r="BS147" s="9">
        <f t="shared" si="34"/>
        <v>-7.6977287033273504E-3</v>
      </c>
      <c r="BT147" s="9">
        <f t="shared" si="35"/>
        <v>9.3876581060684597E-3</v>
      </c>
      <c r="BU147" s="9">
        <f t="shared" si="36"/>
        <v>1.6899294027411093E-3</v>
      </c>
      <c r="BV147" s="12">
        <f t="shared" si="37"/>
        <v>7.0272357601154009E-3</v>
      </c>
      <c r="BX147" s="12">
        <f t="shared" si="38"/>
        <v>1.6899294027411093E-3</v>
      </c>
      <c r="BY147" s="12">
        <f t="shared" si="39"/>
        <v>3.2966764841375937E-2</v>
      </c>
    </row>
    <row r="148" spans="1:77" x14ac:dyDescent="0.3">
      <c r="A148" s="1">
        <v>46238</v>
      </c>
      <c r="B148" s="8">
        <v>57.88</v>
      </c>
      <c r="C148" s="8">
        <v>137.08000000000001</v>
      </c>
      <c r="D148" s="9">
        <v>8.6760912100643899E-3</v>
      </c>
      <c r="E148" s="9">
        <v>8.4982196427316296E-3</v>
      </c>
      <c r="F148" s="8">
        <v>0</v>
      </c>
      <c r="G148" s="8">
        <v>0.43859999999999999</v>
      </c>
      <c r="H148" s="8">
        <v>0</v>
      </c>
      <c r="I148" s="8">
        <v>0.95660000000000001</v>
      </c>
      <c r="J148" s="8">
        <v>0.43859999999999999</v>
      </c>
      <c r="K148" s="8">
        <v>0.95660000000000001</v>
      </c>
      <c r="L148" s="8">
        <v>58.318600000000004</v>
      </c>
      <c r="M148" s="8">
        <v>138.03659999999999</v>
      </c>
      <c r="N148" s="10">
        <v>2.3683483068417401</v>
      </c>
      <c r="O148" s="10">
        <v>2.3820577689553399</v>
      </c>
      <c r="P148" s="10">
        <v>2.3721435366888999</v>
      </c>
      <c r="Q148" s="10">
        <v>2.3754022466907099</v>
      </c>
      <c r="R148" s="8">
        <v>137.873503667135</v>
      </c>
      <c r="S148" s="8">
        <v>137.33700741522699</v>
      </c>
      <c r="T148" s="8">
        <v>137.532380165131</v>
      </c>
      <c r="U148" s="9">
        <v>5.7719276861370097E-3</v>
      </c>
      <c r="V148" s="9">
        <v>1.87311634065161E-3</v>
      </c>
      <c r="W148" s="9">
        <v>3.2946844863477199E-3</v>
      </c>
      <c r="X148" s="10">
        <v>2.36693953558555</v>
      </c>
      <c r="Y148" s="10">
        <v>2.3818827909075999</v>
      </c>
      <c r="Z148" s="10">
        <v>2.3706800338886098</v>
      </c>
      <c r="AA148" s="10">
        <v>2.3739026236857801</v>
      </c>
      <c r="AB148" s="8">
        <v>138.90806972982401</v>
      </c>
      <c r="AC148" s="8">
        <v>138.29181412217699</v>
      </c>
      <c r="AD148" s="8">
        <v>138.48663177230301</v>
      </c>
      <c r="AE148" s="9">
        <v>6.2934780950567497E-3</v>
      </c>
      <c r="AF148" s="9">
        <v>1.8471802514816501E-3</v>
      </c>
      <c r="AG148" s="9">
        <v>3.2549320846883899E-3</v>
      </c>
      <c r="AZ148" s="9"/>
      <c r="BB148">
        <f t="shared" si="22"/>
        <v>0</v>
      </c>
      <c r="BC148">
        <f t="shared" si="23"/>
        <v>1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2.593952908126055E-2</v>
      </c>
      <c r="BL148" s="9"/>
      <c r="BN148">
        <f t="shared" si="30"/>
        <v>1</v>
      </c>
      <c r="BO148">
        <f t="shared" si="31"/>
        <v>0</v>
      </c>
      <c r="BP148">
        <f t="shared" si="32"/>
        <v>1</v>
      </c>
      <c r="BQ148">
        <f t="shared" si="21"/>
        <v>1</v>
      </c>
      <c r="BR148">
        <f t="shared" si="33"/>
        <v>1</v>
      </c>
      <c r="BS148" s="9">
        <f t="shared" si="34"/>
        <v>-8.6760912100643899E-3</v>
      </c>
      <c r="BT148" s="9">
        <f t="shared" si="35"/>
        <v>8.4982196427316296E-3</v>
      </c>
      <c r="BU148" s="9">
        <f t="shared" si="36"/>
        <v>-1.7787156733276022E-4</v>
      </c>
      <c r="BV148" s="12">
        <f t="shared" si="37"/>
        <v>6.8493641927826407E-3</v>
      </c>
      <c r="BX148" s="12">
        <f t="shared" si="38"/>
        <v>-1.7787156733276022E-4</v>
      </c>
      <c r="BY148" s="12">
        <f t="shared" si="39"/>
        <v>3.2788893274043177E-2</v>
      </c>
    </row>
    <row r="149" spans="1:77" x14ac:dyDescent="0.3">
      <c r="A149" s="1">
        <v>46239</v>
      </c>
      <c r="B149" s="8">
        <v>58</v>
      </c>
      <c r="C149" s="8">
        <v>137.44999999999999</v>
      </c>
      <c r="D149" s="9">
        <v>2.0711087831360902E-3</v>
      </c>
      <c r="E149" s="9">
        <v>2.6955176048463602E-3</v>
      </c>
      <c r="F149" s="8">
        <v>0</v>
      </c>
      <c r="G149" s="8">
        <v>0.43859999999999999</v>
      </c>
      <c r="H149" s="8">
        <v>0</v>
      </c>
      <c r="I149" s="8">
        <v>0.95660000000000001</v>
      </c>
      <c r="J149" s="8">
        <v>0.43859999999999999</v>
      </c>
      <c r="K149" s="8">
        <v>0.95660000000000001</v>
      </c>
      <c r="L149" s="8">
        <v>58.438600000000001</v>
      </c>
      <c r="M149" s="8">
        <v>138.4066</v>
      </c>
      <c r="N149" s="10">
        <v>2.36982758620689</v>
      </c>
      <c r="O149" s="10">
        <v>2.3820577689553399</v>
      </c>
      <c r="P149" s="10">
        <v>2.3713386057467001</v>
      </c>
      <c r="Q149" s="10">
        <v>2.3745285177601998</v>
      </c>
      <c r="R149" s="8">
        <v>138.15935059940901</v>
      </c>
      <c r="S149" s="8">
        <v>137.58432512795599</v>
      </c>
      <c r="T149" s="8">
        <v>137.77333030806099</v>
      </c>
      <c r="U149" s="9">
        <v>5.1475188644268203E-3</v>
      </c>
      <c r="V149" s="9">
        <v>9.7678817779547292E-4</v>
      </c>
      <c r="W149" s="9">
        <v>2.3495861084622798E-3</v>
      </c>
      <c r="X149" s="10">
        <v>2.3684106053190801</v>
      </c>
      <c r="Y149" s="10">
        <v>2.3818827909075999</v>
      </c>
      <c r="Z149" s="10">
        <v>2.36988624420295</v>
      </c>
      <c r="AA149" s="10">
        <v>2.37303968532051</v>
      </c>
      <c r="AB149" s="8">
        <v>139.19389566473299</v>
      </c>
      <c r="AC149" s="8">
        <v>138.53922222840299</v>
      </c>
      <c r="AD149" s="8">
        <v>138.72754586452399</v>
      </c>
      <c r="AE149" s="9">
        <v>5.6721640476990196E-3</v>
      </c>
      <c r="AF149" s="9">
        <v>9.5774861287885402E-4</v>
      </c>
      <c r="AG149" s="9">
        <v>2.3161780155531702E-3</v>
      </c>
      <c r="AZ149" s="9"/>
      <c r="BB149">
        <f t="shared" si="22"/>
        <v>0</v>
      </c>
      <c r="BC149">
        <f t="shared" si="23"/>
        <v>1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2.593952908126055E-2</v>
      </c>
      <c r="BL149" s="9"/>
      <c r="BN149">
        <f t="shared" si="30"/>
        <v>1</v>
      </c>
      <c r="BO149">
        <f t="shared" si="31"/>
        <v>0</v>
      </c>
      <c r="BP149">
        <f t="shared" si="32"/>
        <v>1</v>
      </c>
      <c r="BQ149">
        <f t="shared" si="21"/>
        <v>1</v>
      </c>
      <c r="BR149">
        <f t="shared" si="33"/>
        <v>1</v>
      </c>
      <c r="BS149" s="9">
        <f t="shared" si="34"/>
        <v>-2.0711087831360902E-3</v>
      </c>
      <c r="BT149" s="9">
        <f t="shared" si="35"/>
        <v>2.6955176048463602E-3</v>
      </c>
      <c r="BU149" s="9">
        <f t="shared" si="36"/>
        <v>6.2440882171027005E-4</v>
      </c>
      <c r="BV149" s="12">
        <f t="shared" si="37"/>
        <v>7.4737730144929107E-3</v>
      </c>
      <c r="BX149" s="12">
        <f t="shared" si="38"/>
        <v>6.2440882171027005E-4</v>
      </c>
      <c r="BY149" s="12">
        <f t="shared" si="39"/>
        <v>3.3413302095753446E-2</v>
      </c>
    </row>
    <row r="150" spans="1:77" x14ac:dyDescent="0.3">
      <c r="A150" s="1">
        <v>46240</v>
      </c>
      <c r="B150" s="8">
        <v>57.81</v>
      </c>
      <c r="C150" s="8">
        <v>136.80000000000001</v>
      </c>
      <c r="D150" s="9">
        <v>-3.28123945203456E-3</v>
      </c>
      <c r="E150" s="9">
        <v>-4.7402094228044603E-3</v>
      </c>
      <c r="F150" s="8">
        <v>0</v>
      </c>
      <c r="G150" s="8">
        <v>0.43859999999999999</v>
      </c>
      <c r="H150" s="8">
        <v>0</v>
      </c>
      <c r="I150" s="8">
        <v>0.95660000000000001</v>
      </c>
      <c r="J150" s="8">
        <v>0.43859999999999999</v>
      </c>
      <c r="K150" s="8">
        <v>0.95660000000000001</v>
      </c>
      <c r="L150" s="8">
        <v>58.248600000000003</v>
      </c>
      <c r="M150" s="8">
        <v>137.75659999999999</v>
      </c>
      <c r="N150" s="10">
        <v>2.3663725998962102</v>
      </c>
      <c r="O150" s="10">
        <v>2.3820577689553399</v>
      </c>
      <c r="P150" s="10">
        <v>2.3700392725068702</v>
      </c>
      <c r="Q150" s="10">
        <v>2.37356374840319</v>
      </c>
      <c r="R150" s="8">
        <v>137.70675962330799</v>
      </c>
      <c r="S150" s="8">
        <v>137.08708479821601</v>
      </c>
      <c r="T150" s="8">
        <v>137.27149361171701</v>
      </c>
      <c r="U150" s="9">
        <v>6.6064888351965497E-3</v>
      </c>
      <c r="V150" s="9">
        <v>2.09637415775151E-3</v>
      </c>
      <c r="W150" s="9">
        <v>3.4406648472557798E-3</v>
      </c>
      <c r="X150" s="10">
        <v>2.36497701232304</v>
      </c>
      <c r="Y150" s="10">
        <v>2.3818827909075999</v>
      </c>
      <c r="Z150" s="10">
        <v>2.36860194979293</v>
      </c>
      <c r="AA150" s="10">
        <v>2.3720853047018702</v>
      </c>
      <c r="AB150" s="8">
        <v>138.74133793446001</v>
      </c>
      <c r="AC150" s="8">
        <v>138.04255588408</v>
      </c>
      <c r="AD150" s="8">
        <v>138.22623941436001</v>
      </c>
      <c r="AE150" s="9">
        <v>7.1229616056687596E-3</v>
      </c>
      <c r="AF150" s="9">
        <v>2.0736538198043498E-3</v>
      </c>
      <c r="AG150" s="9">
        <v>3.4033990568511402E-3</v>
      </c>
      <c r="AZ150" s="9"/>
      <c r="BB150">
        <f t="shared" si="22"/>
        <v>0</v>
      </c>
      <c r="BC150">
        <f t="shared" si="23"/>
        <v>1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2.593952908126055E-2</v>
      </c>
      <c r="BL150" s="9"/>
      <c r="BN150">
        <f t="shared" si="30"/>
        <v>1</v>
      </c>
      <c r="BO150">
        <f t="shared" si="31"/>
        <v>0</v>
      </c>
      <c r="BP150">
        <f t="shared" si="32"/>
        <v>1</v>
      </c>
      <c r="BQ150">
        <f t="shared" ref="BQ150:BQ167" si="41">IF(F151+H151&gt;0,0,1)</f>
        <v>1</v>
      </c>
      <c r="BR150">
        <f t="shared" si="33"/>
        <v>1</v>
      </c>
      <c r="BS150" s="9">
        <f t="shared" si="34"/>
        <v>3.28123945203456E-3</v>
      </c>
      <c r="BT150" s="9">
        <f t="shared" si="35"/>
        <v>-4.7402094228044603E-3</v>
      </c>
      <c r="BU150" s="9">
        <f t="shared" si="36"/>
        <v>-1.4589699707699003E-3</v>
      </c>
      <c r="BV150" s="12">
        <f t="shared" si="37"/>
        <v>6.0148030437230104E-3</v>
      </c>
      <c r="BX150" s="12">
        <f t="shared" si="38"/>
        <v>-1.4589699707699003E-3</v>
      </c>
      <c r="BY150" s="12">
        <f t="shared" si="39"/>
        <v>3.1954332124983546E-2</v>
      </c>
    </row>
    <row r="151" spans="1:77" x14ac:dyDescent="0.3">
      <c r="A151" s="1">
        <v>46241</v>
      </c>
      <c r="B151" s="8">
        <v>57.6</v>
      </c>
      <c r="C151" s="8">
        <v>136.86000000000001</v>
      </c>
      <c r="D151" s="9">
        <v>-3.6392033925391602E-3</v>
      </c>
      <c r="E151" s="9">
        <v>4.3850033590163299E-4</v>
      </c>
      <c r="F151" s="8">
        <v>0</v>
      </c>
      <c r="G151" s="8">
        <v>0.43859999999999999</v>
      </c>
      <c r="H151" s="8">
        <v>0</v>
      </c>
      <c r="I151" s="8">
        <v>0.95660000000000001</v>
      </c>
      <c r="J151" s="8">
        <v>0.43859999999999999</v>
      </c>
      <c r="K151" s="8">
        <v>0.95660000000000001</v>
      </c>
      <c r="L151" s="8">
        <v>58.038600000000002</v>
      </c>
      <c r="M151" s="8">
        <v>137.81659999999999</v>
      </c>
      <c r="N151" s="10">
        <v>2.3760416666666599</v>
      </c>
      <c r="O151" s="10">
        <v>2.3820577689553399</v>
      </c>
      <c r="P151" s="10">
        <v>2.3695684968897499</v>
      </c>
      <c r="Q151" s="10">
        <v>2.3730425504584698</v>
      </c>
      <c r="R151" s="8">
        <v>137.20652749182699</v>
      </c>
      <c r="S151" s="8">
        <v>136.51426209639601</v>
      </c>
      <c r="T151" s="8">
        <v>136.71727190802301</v>
      </c>
      <c r="U151" s="9">
        <v>2.5287851067557899E-3</v>
      </c>
      <c r="V151" s="9">
        <v>-2.5294121347517102E-3</v>
      </c>
      <c r="W151" s="9">
        <v>-1.0434207778302299E-3</v>
      </c>
      <c r="X151" s="10">
        <v>2.3745679599438998</v>
      </c>
      <c r="Y151" s="10">
        <v>2.3818827909075999</v>
      </c>
      <c r="Z151" s="10">
        <v>2.3681381627244802</v>
      </c>
      <c r="AA151" s="10">
        <v>2.3715706583489</v>
      </c>
      <c r="AB151" s="8">
        <v>138.24114254836999</v>
      </c>
      <c r="AC151" s="8">
        <v>137.47034112325201</v>
      </c>
      <c r="AD151" s="8">
        <v>137.67251016546999</v>
      </c>
      <c r="AE151" s="9">
        <v>3.0757542182392101E-3</v>
      </c>
      <c r="AF151" s="9">
        <v>-2.5156228474859598E-3</v>
      </c>
      <c r="AG151" s="9">
        <v>-1.0460656508877899E-3</v>
      </c>
      <c r="AZ151" s="9"/>
      <c r="BB151">
        <f t="shared" ref="BB151:BB167" si="42">IF($AG151&lt;BA$20,1,0)</f>
        <v>0</v>
      </c>
      <c r="BC151">
        <f t="shared" ref="BC151:BC167" si="43">IF($AG151&gt;BA$21,1,0)</f>
        <v>0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2.593952908126055E-2</v>
      </c>
      <c r="BL151" s="9"/>
      <c r="BN151">
        <f t="shared" ref="BN151:BN167" si="50">IF($AG151&gt;BM$20,1,0)</f>
        <v>0</v>
      </c>
      <c r="BO151">
        <f t="shared" ref="BO151:BO167" si="51">IF($AG151&lt;BM$21,1,0)</f>
        <v>1</v>
      </c>
      <c r="BP151">
        <f t="shared" ref="BP151:BP167" si="52">BR151</f>
        <v>1</v>
      </c>
      <c r="BQ151">
        <f t="shared" si="41"/>
        <v>1</v>
      </c>
      <c r="BR151">
        <f t="shared" ref="BR151:BR167" si="53">IF(BN150,1,IF(BO150,0,BP150))*BQ150</f>
        <v>1</v>
      </c>
      <c r="BS151" s="9">
        <f t="shared" ref="BS151:BS167" si="54">-BR151*D151</f>
        <v>3.6392033925391602E-3</v>
      </c>
      <c r="BT151" s="9">
        <f t="shared" ref="BT151:BT167" si="55">BR151*$E151</f>
        <v>4.3850033590163299E-4</v>
      </c>
      <c r="BU151" s="9">
        <f t="shared" ref="BU151:BU167" si="56">BS151+BT151</f>
        <v>4.0777037284407932E-3</v>
      </c>
      <c r="BV151" s="12">
        <f t="shared" ref="BV151:BV167" si="57">BV150+BU151</f>
        <v>1.0092506772163803E-2</v>
      </c>
      <c r="BX151" s="12">
        <f t="shared" ref="BX151:BX167" si="58">BI151+BU151</f>
        <v>4.0777037284407932E-3</v>
      </c>
      <c r="BY151" s="12">
        <f t="shared" ref="BY151:BY167" si="59">BY150+BX151</f>
        <v>3.6032035853424342E-2</v>
      </c>
    </row>
    <row r="152" spans="1:77" x14ac:dyDescent="0.3">
      <c r="A152" s="1">
        <v>46244</v>
      </c>
      <c r="B152" s="8">
        <v>57.81</v>
      </c>
      <c r="C152" s="8">
        <v>137.35</v>
      </c>
      <c r="D152" s="9">
        <v>3.6392033925391701E-3</v>
      </c>
      <c r="E152" s="9">
        <v>3.5739070169311499E-3</v>
      </c>
      <c r="F152" s="8">
        <v>0</v>
      </c>
      <c r="G152" s="8">
        <v>0.43859999999999999</v>
      </c>
      <c r="H152" s="8">
        <v>0</v>
      </c>
      <c r="I152" s="8">
        <v>0.95660000000000001</v>
      </c>
      <c r="J152" s="8">
        <v>0.43859999999999999</v>
      </c>
      <c r="K152" s="8">
        <v>0.95660000000000001</v>
      </c>
      <c r="L152" s="8">
        <v>58.248600000000003</v>
      </c>
      <c r="M152" s="8">
        <v>138.3066</v>
      </c>
      <c r="N152" s="10">
        <v>2.3758865248226901</v>
      </c>
      <c r="O152" s="10">
        <v>2.3820577689553399</v>
      </c>
      <c r="P152" s="10">
        <v>2.3695165023959301</v>
      </c>
      <c r="Q152" s="10">
        <v>2.3729676061449401</v>
      </c>
      <c r="R152" s="8">
        <v>137.70675962330799</v>
      </c>
      <c r="S152" s="8">
        <v>136.98475480519599</v>
      </c>
      <c r="T152" s="8">
        <v>137.18558984200399</v>
      </c>
      <c r="U152" s="9">
        <v>2.59408148236371E-3</v>
      </c>
      <c r="V152" s="9">
        <v>-2.6627716992859499E-3</v>
      </c>
      <c r="W152" s="9">
        <v>-1.1977330716556401E-3</v>
      </c>
      <c r="X152" s="10">
        <v>2.3744192993479598</v>
      </c>
      <c r="Y152" s="10">
        <v>2.3818827909075999</v>
      </c>
      <c r="Z152" s="10">
        <v>2.36808894667874</v>
      </c>
      <c r="AA152" s="10">
        <v>2.37149855465064</v>
      </c>
      <c r="AB152" s="8">
        <v>138.74133793446001</v>
      </c>
      <c r="AC152" s="8">
        <v>137.940732585273</v>
      </c>
      <c r="AD152" s="8">
        <v>138.14067064990101</v>
      </c>
      <c r="AE152" s="9">
        <v>3.1383615017985499E-3</v>
      </c>
      <c r="AF152" s="9">
        <v>-2.6488409877064301E-3</v>
      </c>
      <c r="AG152" s="9">
        <v>-1.2004413690484899E-3</v>
      </c>
      <c r="AZ152" s="9"/>
      <c r="BB152">
        <f t="shared" si="42"/>
        <v>1</v>
      </c>
      <c r="BC152">
        <f t="shared" si="43"/>
        <v>0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2.593952908126055E-2</v>
      </c>
      <c r="BL152" s="9"/>
      <c r="BN152">
        <f t="shared" si="50"/>
        <v>0</v>
      </c>
      <c r="BO152">
        <f t="shared" si="51"/>
        <v>1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1.0092506772163803E-2</v>
      </c>
      <c r="BX152" s="12">
        <f t="shared" si="58"/>
        <v>0</v>
      </c>
      <c r="BY152" s="12">
        <f t="shared" si="59"/>
        <v>3.6032035853424342E-2</v>
      </c>
    </row>
    <row r="153" spans="1:77" x14ac:dyDescent="0.3">
      <c r="A153" s="1">
        <v>46245</v>
      </c>
      <c r="B153" s="8">
        <v>57.8</v>
      </c>
      <c r="C153" s="8">
        <v>137.37</v>
      </c>
      <c r="D153" s="9">
        <v>-1.7299541605304399E-4</v>
      </c>
      <c r="E153" s="9">
        <v>1.4560279583103399E-4</v>
      </c>
      <c r="F153" s="8">
        <v>0</v>
      </c>
      <c r="G153" s="8">
        <v>0.43859999999999999</v>
      </c>
      <c r="H153" s="8">
        <v>0</v>
      </c>
      <c r="I153" s="8">
        <v>0.95660000000000001</v>
      </c>
      <c r="J153" s="8">
        <v>0.43859999999999999</v>
      </c>
      <c r="K153" s="8">
        <v>0.95660000000000001</v>
      </c>
      <c r="L153" s="8">
        <v>58.238599999999998</v>
      </c>
      <c r="M153" s="8">
        <v>138.32660000000001</v>
      </c>
      <c r="N153" s="10">
        <v>2.3766435986159098</v>
      </c>
      <c r="O153" s="10">
        <v>2.3820577689553399</v>
      </c>
      <c r="P153" s="10">
        <v>2.3698371122575201</v>
      </c>
      <c r="Q153" s="10">
        <v>2.3728606618322399</v>
      </c>
      <c r="R153" s="8">
        <v>137.68293904561801</v>
      </c>
      <c r="S153" s="8">
        <v>136.958053838485</v>
      </c>
      <c r="T153" s="8">
        <v>137.15752763517801</v>
      </c>
      <c r="U153" s="9">
        <v>2.27548327047999E-3</v>
      </c>
      <c r="V153" s="9">
        <v>-3.0033127519632002E-3</v>
      </c>
      <c r="W153" s="9">
        <v>-1.5479133118380499E-3</v>
      </c>
      <c r="X153" s="10">
        <v>2.3751704196186001</v>
      </c>
      <c r="Y153" s="10">
        <v>2.3818827909075999</v>
      </c>
      <c r="Z153" s="10">
        <v>2.3684076413338002</v>
      </c>
      <c r="AA153" s="10">
        <v>2.3713945463567399</v>
      </c>
      <c r="AB153" s="8">
        <v>138.71751910655101</v>
      </c>
      <c r="AC153" s="8">
        <v>137.914184930044</v>
      </c>
      <c r="AD153" s="8">
        <v>138.11275572487699</v>
      </c>
      <c r="AE153" s="9">
        <v>2.82207301317439E-3</v>
      </c>
      <c r="AF153" s="9">
        <v>-2.9859122828157598E-3</v>
      </c>
      <c r="AG153" s="9">
        <v>-1.5471336721749E-3</v>
      </c>
      <c r="AZ153" s="9"/>
      <c r="BB153">
        <f t="shared" si="42"/>
        <v>1</v>
      </c>
      <c r="BC153">
        <f t="shared" si="43"/>
        <v>0</v>
      </c>
      <c r="BD153">
        <f t="shared" si="44"/>
        <v>1</v>
      </c>
      <c r="BE153">
        <f t="shared" si="40"/>
        <v>1</v>
      </c>
      <c r="BF153">
        <f t="shared" si="45"/>
        <v>1</v>
      </c>
      <c r="BG153" s="9">
        <f t="shared" si="46"/>
        <v>-1.7299541605304399E-4</v>
      </c>
      <c r="BH153" s="9">
        <f t="shared" si="47"/>
        <v>-1.4560279583103399E-4</v>
      </c>
      <c r="BI153" s="9">
        <f t="shared" si="48"/>
        <v>-3.1859821188407801E-4</v>
      </c>
      <c r="BJ153" s="12">
        <f t="shared" si="49"/>
        <v>2.562093086937647E-2</v>
      </c>
      <c r="BL153" s="9"/>
      <c r="BN153">
        <f t="shared" si="50"/>
        <v>0</v>
      </c>
      <c r="BO153">
        <f t="shared" si="51"/>
        <v>1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1.0092506772163803E-2</v>
      </c>
      <c r="BX153" s="12">
        <f t="shared" si="58"/>
        <v>-3.1859821188407801E-4</v>
      </c>
      <c r="BY153" s="12">
        <f t="shared" si="59"/>
        <v>3.5713437641540266E-2</v>
      </c>
    </row>
    <row r="154" spans="1:77" x14ac:dyDescent="0.3">
      <c r="A154" s="1">
        <v>46246</v>
      </c>
      <c r="B154" s="8">
        <v>57.92</v>
      </c>
      <c r="C154" s="8">
        <v>137.74</v>
      </c>
      <c r="D154" s="9">
        <v>2.0739723991291701E-3</v>
      </c>
      <c r="E154" s="9">
        <v>2.6898347794384798E-3</v>
      </c>
      <c r="F154" s="8">
        <v>0</v>
      </c>
      <c r="G154" s="8">
        <v>0.43859999999999999</v>
      </c>
      <c r="H154" s="8">
        <v>0</v>
      </c>
      <c r="I154" s="8">
        <v>0.95660000000000001</v>
      </c>
      <c r="J154" s="8">
        <v>0.43859999999999999</v>
      </c>
      <c r="K154" s="8">
        <v>0.95660000000000001</v>
      </c>
      <c r="L154" s="8">
        <v>58.358600000000003</v>
      </c>
      <c r="M154" s="8">
        <v>138.69659999999999</v>
      </c>
      <c r="N154" s="10">
        <v>2.37810773480662</v>
      </c>
      <c r="O154" s="10">
        <v>2.3820577689553399</v>
      </c>
      <c r="P154" s="10">
        <v>2.3709153522166599</v>
      </c>
      <c r="Q154" s="10">
        <v>2.3728657656871399</v>
      </c>
      <c r="R154" s="8">
        <v>137.96878597789299</v>
      </c>
      <c r="S154" s="8">
        <v>137.26096554195601</v>
      </c>
      <c r="T154" s="8">
        <v>137.43608953332301</v>
      </c>
      <c r="U154" s="9">
        <v>1.6596208901706901E-3</v>
      </c>
      <c r="V154" s="9">
        <v>-3.4838782592603399E-3</v>
      </c>
      <c r="W154" s="9">
        <v>-2.2088444585190502E-3</v>
      </c>
      <c r="X154" s="10">
        <v>2.37662658117226</v>
      </c>
      <c r="Y154" s="10">
        <v>2.3818827909075999</v>
      </c>
      <c r="Z154" s="10">
        <v>2.3694808172158202</v>
      </c>
      <c r="AA154" s="10">
        <v>2.3714013779715599</v>
      </c>
      <c r="AB154" s="8">
        <v>139.00334504145999</v>
      </c>
      <c r="AC154" s="8">
        <v>138.21695417754299</v>
      </c>
      <c r="AD154" s="8">
        <v>138.391265773014</v>
      </c>
      <c r="AE154" s="9">
        <v>2.2091842054221501E-3</v>
      </c>
      <c r="AF154" s="9">
        <v>-3.46423130903113E-3</v>
      </c>
      <c r="AG154" s="9">
        <v>-2.2038810665338899E-3</v>
      </c>
      <c r="AZ154" s="9"/>
      <c r="BB154">
        <f t="shared" si="42"/>
        <v>1</v>
      </c>
      <c r="BC154">
        <f t="shared" si="43"/>
        <v>0</v>
      </c>
      <c r="BD154">
        <f t="shared" si="44"/>
        <v>1</v>
      </c>
      <c r="BE154">
        <f t="shared" si="40"/>
        <v>1</v>
      </c>
      <c r="BF154">
        <f t="shared" si="45"/>
        <v>1</v>
      </c>
      <c r="BG154" s="9">
        <f t="shared" si="46"/>
        <v>2.0739723991291701E-3</v>
      </c>
      <c r="BH154" s="9">
        <f t="shared" si="47"/>
        <v>-2.6898347794384798E-3</v>
      </c>
      <c r="BI154" s="9">
        <f t="shared" si="48"/>
        <v>-6.1586238030930966E-4</v>
      </c>
      <c r="BJ154" s="12">
        <f t="shared" si="49"/>
        <v>2.500506848906716E-2</v>
      </c>
      <c r="BL154" s="9"/>
      <c r="BN154">
        <f t="shared" si="50"/>
        <v>0</v>
      </c>
      <c r="BO154">
        <f t="shared" si="51"/>
        <v>1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1.0092506772163803E-2</v>
      </c>
      <c r="BX154" s="12">
        <f t="shared" si="58"/>
        <v>-6.1586238030930966E-4</v>
      </c>
      <c r="BY154" s="12">
        <f t="shared" si="59"/>
        <v>3.5097575261230959E-2</v>
      </c>
    </row>
    <row r="155" spans="1:77" x14ac:dyDescent="0.3">
      <c r="A155" s="1">
        <v>46247</v>
      </c>
      <c r="B155" s="8">
        <v>58.26</v>
      </c>
      <c r="C155" s="8">
        <v>138.51</v>
      </c>
      <c r="D155" s="9">
        <v>5.8530034538274503E-3</v>
      </c>
      <c r="E155" s="9">
        <v>5.5746750704548801E-3</v>
      </c>
      <c r="F155" s="8">
        <v>0</v>
      </c>
      <c r="G155" s="8">
        <v>0.43859999999999999</v>
      </c>
      <c r="H155" s="8">
        <v>0</v>
      </c>
      <c r="I155" s="8">
        <v>0.95660000000000001</v>
      </c>
      <c r="J155" s="8">
        <v>0.43859999999999999</v>
      </c>
      <c r="K155" s="8">
        <v>0.95660000000000001</v>
      </c>
      <c r="L155" s="8">
        <v>58.698599999999999</v>
      </c>
      <c r="M155" s="8">
        <v>139.4666</v>
      </c>
      <c r="N155" s="10">
        <v>2.3774459320288299</v>
      </c>
      <c r="O155" s="10">
        <v>2.3820577689553399</v>
      </c>
      <c r="P155" s="10">
        <v>2.3722213489283202</v>
      </c>
      <c r="Q155" s="10">
        <v>2.3731829962092799</v>
      </c>
      <c r="R155" s="8">
        <v>138.77868561933801</v>
      </c>
      <c r="S155" s="8">
        <v>138.129528420143</v>
      </c>
      <c r="T155" s="8">
        <v>138.243159508932</v>
      </c>
      <c r="U155" s="9">
        <v>1.93794927354322E-3</v>
      </c>
      <c r="V155" s="9">
        <v>-2.75066851019255E-3</v>
      </c>
      <c r="W155" s="9">
        <v>-1.92836514842207E-3</v>
      </c>
      <c r="X155" s="10">
        <v>2.37597830271931</v>
      </c>
      <c r="Y155" s="10">
        <v>2.3818827909075999</v>
      </c>
      <c r="Z155" s="10">
        <v>2.3707800608230398</v>
      </c>
      <c r="AA155" s="10">
        <v>2.3717181130926202</v>
      </c>
      <c r="AB155" s="8">
        <v>139.81318519036901</v>
      </c>
      <c r="AC155" s="8">
        <v>139.08520669742401</v>
      </c>
      <c r="AD155" s="8">
        <v>139.19794092500101</v>
      </c>
      <c r="AE155" s="9">
        <v>2.4819939477897599E-3</v>
      </c>
      <c r="AF155" s="9">
        <v>-2.73840292354433E-3</v>
      </c>
      <c r="AG155" s="9">
        <v>-1.92819048555306E-3</v>
      </c>
      <c r="AZ155" s="9"/>
      <c r="BB155">
        <f t="shared" si="42"/>
        <v>1</v>
      </c>
      <c r="BC155">
        <f t="shared" si="43"/>
        <v>0</v>
      </c>
      <c r="BD155">
        <f t="shared" si="44"/>
        <v>1</v>
      </c>
      <c r="BE155">
        <f t="shared" si="40"/>
        <v>1</v>
      </c>
      <c r="BF155">
        <f t="shared" si="45"/>
        <v>1</v>
      </c>
      <c r="BG155" s="9">
        <f t="shared" si="46"/>
        <v>5.8530034538274503E-3</v>
      </c>
      <c r="BH155" s="9">
        <f t="shared" si="47"/>
        <v>-5.5746750704548801E-3</v>
      </c>
      <c r="BI155" s="9">
        <f t="shared" si="48"/>
        <v>2.7832838337257023E-4</v>
      </c>
      <c r="BJ155" s="12">
        <f t="shared" si="49"/>
        <v>2.5283396872439731E-2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1.0092506772163803E-2</v>
      </c>
      <c r="BX155" s="12">
        <f t="shared" si="58"/>
        <v>2.7832838337257023E-4</v>
      </c>
      <c r="BY155" s="12">
        <f t="shared" si="59"/>
        <v>3.537590364460353E-2</v>
      </c>
    </row>
    <row r="156" spans="1:77" x14ac:dyDescent="0.3">
      <c r="A156" s="1">
        <v>46248</v>
      </c>
      <c r="B156" s="8">
        <v>58.16</v>
      </c>
      <c r="C156" s="8">
        <v>138.29</v>
      </c>
      <c r="D156" s="9">
        <v>-1.7179183060246201E-3</v>
      </c>
      <c r="E156" s="9">
        <v>-1.58959571044019E-3</v>
      </c>
      <c r="F156" s="8">
        <v>0</v>
      </c>
      <c r="G156" s="8">
        <v>0.43859999999999999</v>
      </c>
      <c r="H156" s="8">
        <v>0</v>
      </c>
      <c r="I156" s="8">
        <v>0.95660000000000001</v>
      </c>
      <c r="J156" s="8">
        <v>0.43859999999999999</v>
      </c>
      <c r="K156" s="8">
        <v>0.95660000000000001</v>
      </c>
      <c r="L156" s="8">
        <v>58.598599999999998</v>
      </c>
      <c r="M156" s="8">
        <v>139.2466</v>
      </c>
      <c r="N156" s="10">
        <v>2.3777510316368602</v>
      </c>
      <c r="O156" s="10">
        <v>2.3820577689553399</v>
      </c>
      <c r="P156" s="10">
        <v>2.3735194587657</v>
      </c>
      <c r="Q156" s="10">
        <v>2.37330943865497</v>
      </c>
      <c r="R156" s="8">
        <v>138.54047984244201</v>
      </c>
      <c r="S156" s="8">
        <v>137.968393653671</v>
      </c>
      <c r="T156" s="8">
        <v>138.02432305953201</v>
      </c>
      <c r="U156" s="9">
        <v>1.8096266779588201E-3</v>
      </c>
      <c r="V156" s="9">
        <v>-2.3283020462167101E-3</v>
      </c>
      <c r="W156" s="9">
        <v>-1.92300579570204E-3</v>
      </c>
      <c r="X156" s="10">
        <v>2.37627861416484</v>
      </c>
      <c r="Y156" s="10">
        <v>2.3818827909075999</v>
      </c>
      <c r="Z156" s="10">
        <v>2.3720713786501002</v>
      </c>
      <c r="AA156" s="10">
        <v>2.3718460444992999</v>
      </c>
      <c r="AB156" s="8">
        <v>139.57499691127799</v>
      </c>
      <c r="AC156" s="8">
        <v>138.924392472145</v>
      </c>
      <c r="AD156" s="8">
        <v>138.97936102186901</v>
      </c>
      <c r="AE156" s="9">
        <v>2.3556070746974501E-3</v>
      </c>
      <c r="AF156" s="9">
        <v>-2.3166158993854699E-3</v>
      </c>
      <c r="AG156" s="9">
        <v>-1.9210217431332101E-3</v>
      </c>
      <c r="AZ156" s="9"/>
      <c r="BB156">
        <f t="shared" si="42"/>
        <v>1</v>
      </c>
      <c r="BC156">
        <f t="shared" si="43"/>
        <v>0</v>
      </c>
      <c r="BD156">
        <f t="shared" si="44"/>
        <v>1</v>
      </c>
      <c r="BE156">
        <f t="shared" si="40"/>
        <v>1</v>
      </c>
      <c r="BF156">
        <f t="shared" si="45"/>
        <v>1</v>
      </c>
      <c r="BG156" s="9">
        <f t="shared" si="46"/>
        <v>-1.7179183060246201E-3</v>
      </c>
      <c r="BH156" s="9">
        <f t="shared" si="47"/>
        <v>1.58959571044019E-3</v>
      </c>
      <c r="BI156" s="9">
        <f t="shared" si="48"/>
        <v>-1.2832259558443002E-4</v>
      </c>
      <c r="BJ156" s="12">
        <f t="shared" si="49"/>
        <v>2.5155074276855302E-2</v>
      </c>
      <c r="BL156" s="9"/>
      <c r="BN156">
        <f t="shared" si="50"/>
        <v>0</v>
      </c>
      <c r="BO156">
        <f t="shared" si="51"/>
        <v>1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1.0092506772163803E-2</v>
      </c>
      <c r="BX156" s="12">
        <f t="shared" si="58"/>
        <v>-1.2832259558443002E-4</v>
      </c>
      <c r="BY156" s="12">
        <f t="shared" si="59"/>
        <v>3.5247581049019101E-2</v>
      </c>
    </row>
    <row r="157" spans="1:77" x14ac:dyDescent="0.3">
      <c r="A157" s="1">
        <v>46251</v>
      </c>
      <c r="B157" s="8">
        <v>57.58</v>
      </c>
      <c r="C157" s="8">
        <v>137.01</v>
      </c>
      <c r="D157" s="9">
        <v>-1.0022548041234E-2</v>
      </c>
      <c r="E157" s="9">
        <v>-9.2990136115497606E-3</v>
      </c>
      <c r="F157" s="8">
        <v>0</v>
      </c>
      <c r="G157" s="8">
        <v>0.43859999999999999</v>
      </c>
      <c r="H157" s="8">
        <v>0</v>
      </c>
      <c r="I157" s="8">
        <v>0.95660000000000001</v>
      </c>
      <c r="J157" s="8">
        <v>0.43859999999999999</v>
      </c>
      <c r="K157" s="8">
        <v>0.95660000000000001</v>
      </c>
      <c r="L157" s="8">
        <v>58.018599999999999</v>
      </c>
      <c r="M157" s="8">
        <v>137.9666</v>
      </c>
      <c r="N157" s="10">
        <v>2.37947203890239</v>
      </c>
      <c r="O157" s="10">
        <v>2.3820577689553399</v>
      </c>
      <c r="P157" s="10">
        <v>2.37458970204248</v>
      </c>
      <c r="Q157" s="10">
        <v>2.3736891790726098</v>
      </c>
      <c r="R157" s="8">
        <v>137.15888633644801</v>
      </c>
      <c r="S157" s="8">
        <v>136.66725043572899</v>
      </c>
      <c r="T157" s="8">
        <v>136.65515747775299</v>
      </c>
      <c r="U157" s="9">
        <v>1.0860922482745399E-3</v>
      </c>
      <c r="V157" s="9">
        <v>-2.5047733629521402E-3</v>
      </c>
      <c r="W157" s="9">
        <v>-2.5932619583483598E-3</v>
      </c>
      <c r="X157" s="10">
        <v>2.37797189177263</v>
      </c>
      <c r="Y157" s="10">
        <v>2.3818827909075999</v>
      </c>
      <c r="Z157" s="10">
        <v>2.3731340221967199</v>
      </c>
      <c r="AA157" s="10">
        <v>2.37222488116192</v>
      </c>
      <c r="AB157" s="8">
        <v>138.193504892551</v>
      </c>
      <c r="AC157" s="8">
        <v>137.62426048934799</v>
      </c>
      <c r="AD157" s="8">
        <v>137.61118691738699</v>
      </c>
      <c r="AE157" s="9">
        <v>1.6432854680520699E-3</v>
      </c>
      <c r="AF157" s="9">
        <v>-2.4844052239433299E-3</v>
      </c>
      <c r="AG157" s="9">
        <v>-2.57940441169214E-3</v>
      </c>
      <c r="BB157">
        <f t="shared" si="42"/>
        <v>1</v>
      </c>
      <c r="BC157">
        <f t="shared" si="43"/>
        <v>0</v>
      </c>
      <c r="BD157">
        <f t="shared" si="44"/>
        <v>1</v>
      </c>
      <c r="BE157">
        <f t="shared" si="40"/>
        <v>1</v>
      </c>
      <c r="BF157">
        <f t="shared" si="45"/>
        <v>1</v>
      </c>
      <c r="BG157" s="9">
        <f t="shared" si="46"/>
        <v>-1.0022548041234E-2</v>
      </c>
      <c r="BH157" s="9">
        <f t="shared" si="47"/>
        <v>9.2990136115497606E-3</v>
      </c>
      <c r="BI157" s="9">
        <f t="shared" si="48"/>
        <v>-7.2353442968423921E-4</v>
      </c>
      <c r="BJ157" s="12">
        <f t="shared" si="49"/>
        <v>2.4431539847171065E-2</v>
      </c>
      <c r="BL157" s="9"/>
      <c r="BN157">
        <f t="shared" si="50"/>
        <v>0</v>
      </c>
      <c r="BO157">
        <f t="shared" si="51"/>
        <v>1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1.0092506772163803E-2</v>
      </c>
      <c r="BX157" s="12">
        <f t="shared" si="58"/>
        <v>-7.2353442968423921E-4</v>
      </c>
      <c r="BY157" s="12">
        <f t="shared" si="59"/>
        <v>3.4524046619334864E-2</v>
      </c>
    </row>
    <row r="158" spans="1:77" x14ac:dyDescent="0.3">
      <c r="A158" s="1">
        <v>46252</v>
      </c>
      <c r="B158" s="8">
        <v>57.84</v>
      </c>
      <c r="C158" s="8">
        <v>137.18</v>
      </c>
      <c r="D158" s="9">
        <v>4.5052926664795401E-3</v>
      </c>
      <c r="E158" s="9">
        <v>1.2400162061581899E-3</v>
      </c>
      <c r="F158" s="8">
        <v>0</v>
      </c>
      <c r="G158" s="8">
        <v>0.43859999999999999</v>
      </c>
      <c r="H158" s="8">
        <v>0</v>
      </c>
      <c r="I158" s="8">
        <v>0.95660000000000001</v>
      </c>
      <c r="J158" s="8">
        <v>0.43859999999999999</v>
      </c>
      <c r="K158" s="8">
        <v>0.95660000000000001</v>
      </c>
      <c r="L158" s="8">
        <v>58.278599999999997</v>
      </c>
      <c r="M158" s="8">
        <v>138.13659999999999</v>
      </c>
      <c r="N158" s="10">
        <v>2.3717150760719199</v>
      </c>
      <c r="O158" s="10">
        <v>2.3820577689553399</v>
      </c>
      <c r="P158" s="10">
        <v>2.3749263789655002</v>
      </c>
      <c r="Q158" s="10">
        <v>2.3735349578272</v>
      </c>
      <c r="R158" s="8">
        <v>137.77822135637601</v>
      </c>
      <c r="S158" s="8">
        <v>137.346268366137</v>
      </c>
      <c r="T158" s="8">
        <v>137.29418211756001</v>
      </c>
      <c r="U158" s="9">
        <v>4.3513687085958196E-3</v>
      </c>
      <c r="V158" s="9">
        <v>1.2113113069803199E-3</v>
      </c>
      <c r="W158" s="9">
        <v>8.3200629848705998E-4</v>
      </c>
      <c r="X158" s="10">
        <v>2.3702799998627202</v>
      </c>
      <c r="Y158" s="10">
        <v>2.3818827909075999</v>
      </c>
      <c r="Z158" s="10">
        <v>2.37346806862443</v>
      </c>
      <c r="AA158" s="10">
        <v>2.3720740512565199</v>
      </c>
      <c r="AB158" s="8">
        <v>138.812794418187</v>
      </c>
      <c r="AC158" s="8">
        <v>138.302928425993</v>
      </c>
      <c r="AD158" s="8">
        <v>138.249944959283</v>
      </c>
      <c r="AE158" s="9">
        <v>4.8831719836999301E-3</v>
      </c>
      <c r="AF158" s="9">
        <v>1.2033622471603401E-3</v>
      </c>
      <c r="AG158" s="9">
        <v>8.2019163164309499E-4</v>
      </c>
      <c r="BB158">
        <f t="shared" si="42"/>
        <v>0</v>
      </c>
      <c r="BC158">
        <f t="shared" si="43"/>
        <v>1</v>
      </c>
      <c r="BD158">
        <f t="shared" si="44"/>
        <v>1</v>
      </c>
      <c r="BE158">
        <f t="shared" si="40"/>
        <v>1</v>
      </c>
      <c r="BF158">
        <f t="shared" si="45"/>
        <v>1</v>
      </c>
      <c r="BG158" s="9">
        <f t="shared" si="46"/>
        <v>4.5052926664795401E-3</v>
      </c>
      <c r="BH158" s="9">
        <f t="shared" si="47"/>
        <v>-1.2400162061581899E-3</v>
      </c>
      <c r="BI158" s="9">
        <f t="shared" si="48"/>
        <v>3.2652764603213502E-3</v>
      </c>
      <c r="BJ158" s="12">
        <f t="shared" si="49"/>
        <v>2.7696816307492416E-2</v>
      </c>
      <c r="BL158" s="9"/>
      <c r="BN158">
        <f t="shared" si="50"/>
        <v>0</v>
      </c>
      <c r="BO158">
        <f t="shared" si="51"/>
        <v>0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1.0092506772163803E-2</v>
      </c>
      <c r="BX158" s="12">
        <f t="shared" si="58"/>
        <v>3.2652764603213502E-3</v>
      </c>
      <c r="BY158" s="12">
        <f t="shared" si="59"/>
        <v>3.7789323079656212E-2</v>
      </c>
    </row>
    <row r="159" spans="1:77" x14ac:dyDescent="0.3">
      <c r="A159" s="1">
        <v>46253</v>
      </c>
      <c r="B159" s="8">
        <v>57.48</v>
      </c>
      <c r="C159" s="8">
        <v>136.19999999999999</v>
      </c>
      <c r="D159" s="9">
        <v>-6.2435166396851496E-3</v>
      </c>
      <c r="E159" s="9">
        <v>-7.1695383557634999E-3</v>
      </c>
      <c r="F159" s="8">
        <v>0</v>
      </c>
      <c r="G159" s="8">
        <v>0.43859999999999999</v>
      </c>
      <c r="H159" s="8">
        <v>0</v>
      </c>
      <c r="I159" s="8">
        <v>0.95660000000000001</v>
      </c>
      <c r="J159" s="8">
        <v>0.43859999999999999</v>
      </c>
      <c r="K159" s="8">
        <v>0.95660000000000001</v>
      </c>
      <c r="L159" s="8">
        <v>57.918599999999998</v>
      </c>
      <c r="M159" s="8">
        <v>137.1566</v>
      </c>
      <c r="N159" s="10">
        <v>2.3695198329853802</v>
      </c>
      <c r="O159" s="10">
        <v>2.3820577689553399</v>
      </c>
      <c r="P159" s="10">
        <v>2.37489560364335</v>
      </c>
      <c r="Q159" s="10">
        <v>2.3731171046950199</v>
      </c>
      <c r="R159" s="8">
        <v>136.92068055955301</v>
      </c>
      <c r="S159" s="8">
        <v>136.51076826293701</v>
      </c>
      <c r="T159" s="8">
        <v>136.43078937590701</v>
      </c>
      <c r="U159" s="9">
        <v>5.2773904246742297E-3</v>
      </c>
      <c r="V159" s="9">
        <v>2.27910617124442E-3</v>
      </c>
      <c r="W159" s="9">
        <v>1.69305478346361E-3</v>
      </c>
      <c r="X159" s="10">
        <v>2.3680924607984299</v>
      </c>
      <c r="Y159" s="10">
        <v>2.3818827909075999</v>
      </c>
      <c r="Z159" s="10">
        <v>2.3734362541723701</v>
      </c>
      <c r="AA159" s="10">
        <v>2.3716612491876599</v>
      </c>
      <c r="AB159" s="8">
        <v>137.95531661346101</v>
      </c>
      <c r="AC159" s="8">
        <v>137.46794767943101</v>
      </c>
      <c r="AD159" s="8">
        <v>137.387208145106</v>
      </c>
      <c r="AE159" s="9">
        <v>5.8065013495832698E-3</v>
      </c>
      <c r="AF159" s="9">
        <v>2.2674434274476702E-3</v>
      </c>
      <c r="AG159" s="9">
        <v>1.6799373542559801E-3</v>
      </c>
      <c r="BB159">
        <f t="shared" si="42"/>
        <v>0</v>
      </c>
      <c r="BC159">
        <f t="shared" si="43"/>
        <v>1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2.7696816307492416E-2</v>
      </c>
      <c r="BL159" s="9"/>
      <c r="BN159">
        <f t="shared" si="50"/>
        <v>0</v>
      </c>
      <c r="BO159">
        <f t="shared" si="51"/>
        <v>0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1.0092506772163803E-2</v>
      </c>
      <c r="BX159" s="12">
        <f t="shared" si="58"/>
        <v>0</v>
      </c>
      <c r="BY159" s="12">
        <f t="shared" si="59"/>
        <v>3.7789323079656212E-2</v>
      </c>
    </row>
    <row r="160" spans="1:77" x14ac:dyDescent="0.3">
      <c r="A160" s="1">
        <v>46254</v>
      </c>
      <c r="B160" s="8">
        <v>56.95</v>
      </c>
      <c r="C160" s="8">
        <v>134.82</v>
      </c>
      <c r="D160" s="9">
        <v>-9.2633713176328795E-3</v>
      </c>
      <c r="E160" s="9">
        <v>-1.0183838290119099E-2</v>
      </c>
      <c r="F160" s="8">
        <v>0</v>
      </c>
      <c r="G160" s="8">
        <v>0.43859999999999999</v>
      </c>
      <c r="H160" s="8">
        <v>0</v>
      </c>
      <c r="I160" s="8">
        <v>0.95660000000000001</v>
      </c>
      <c r="J160" s="8">
        <v>0.43859999999999999</v>
      </c>
      <c r="K160" s="8">
        <v>0.95660000000000001</v>
      </c>
      <c r="L160" s="8">
        <v>57.388599999999997</v>
      </c>
      <c r="M160" s="8">
        <v>135.7766</v>
      </c>
      <c r="N160" s="10">
        <v>2.3673397717295801</v>
      </c>
      <c r="O160" s="10">
        <v>2.3820577689553399</v>
      </c>
      <c r="P160" s="10">
        <v>2.3749923208266899</v>
      </c>
      <c r="Q160" s="10">
        <v>2.37251579666678</v>
      </c>
      <c r="R160" s="8">
        <v>135.658189942006</v>
      </c>
      <c r="S160" s="8">
        <v>135.25030462748799</v>
      </c>
      <c r="T160" s="8">
        <v>135.14901911238101</v>
      </c>
      <c r="U160" s="9">
        <v>6.1978573971604098E-3</v>
      </c>
      <c r="V160" s="9">
        <v>3.1866146277001002E-3</v>
      </c>
      <c r="W160" s="9">
        <v>2.4374595008062301E-3</v>
      </c>
      <c r="X160" s="10">
        <v>2.3659158787633698</v>
      </c>
      <c r="Y160" s="10">
        <v>2.3818827909075999</v>
      </c>
      <c r="Z160" s="10">
        <v>2.3735301408164</v>
      </c>
      <c r="AA160" s="10">
        <v>2.3710660453046701</v>
      </c>
      <c r="AB160" s="8">
        <v>136.69291873428</v>
      </c>
      <c r="AC160" s="8">
        <v>136.208183816196</v>
      </c>
      <c r="AD160" s="8">
        <v>136.10631876513099</v>
      </c>
      <c r="AE160" s="9">
        <v>6.7260528299788701E-3</v>
      </c>
      <c r="AF160" s="9">
        <v>3.1735906132115202E-3</v>
      </c>
      <c r="AG160" s="9">
        <v>2.4254478969691902E-3</v>
      </c>
      <c r="BB160">
        <f t="shared" si="42"/>
        <v>0</v>
      </c>
      <c r="BC160">
        <f t="shared" si="43"/>
        <v>1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2.7696816307492416E-2</v>
      </c>
      <c r="BL160" s="9"/>
      <c r="BN160">
        <f t="shared" si="50"/>
        <v>1</v>
      </c>
      <c r="BO160">
        <f t="shared" si="51"/>
        <v>0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1.0092506772163803E-2</v>
      </c>
      <c r="BX160" s="12">
        <f t="shared" si="58"/>
        <v>0</v>
      </c>
      <c r="BY160" s="12">
        <f t="shared" si="59"/>
        <v>3.7789323079656212E-2</v>
      </c>
    </row>
    <row r="161" spans="1:77" x14ac:dyDescent="0.3">
      <c r="A161" s="1">
        <v>46255</v>
      </c>
      <c r="B161" s="8">
        <v>57.48</v>
      </c>
      <c r="C161" s="8">
        <v>136.16</v>
      </c>
      <c r="D161" s="9">
        <v>9.2633713176329003E-3</v>
      </c>
      <c r="E161" s="9">
        <v>9.8901093997711895E-3</v>
      </c>
      <c r="F161" s="8">
        <v>0</v>
      </c>
      <c r="G161" s="8">
        <v>0.43859999999999999</v>
      </c>
      <c r="H161" s="8">
        <v>0</v>
      </c>
      <c r="I161" s="8">
        <v>0.95660000000000001</v>
      </c>
      <c r="J161" s="8">
        <v>0.43859999999999999</v>
      </c>
      <c r="K161" s="8">
        <v>0.95660000000000001</v>
      </c>
      <c r="L161" s="8">
        <v>57.918599999999998</v>
      </c>
      <c r="M161" s="8">
        <v>137.11660000000001</v>
      </c>
      <c r="N161" s="10">
        <v>2.3688239387613002</v>
      </c>
      <c r="O161" s="10">
        <v>2.3820577689553399</v>
      </c>
      <c r="P161" s="10">
        <v>2.3742705480361499</v>
      </c>
      <c r="Q161" s="10">
        <v>2.3719195224629499</v>
      </c>
      <c r="R161" s="8">
        <v>136.92068055955301</v>
      </c>
      <c r="S161" s="8">
        <v>136.51455860111801</v>
      </c>
      <c r="T161" s="8">
        <v>136.372207992406</v>
      </c>
      <c r="U161" s="9">
        <v>5.5711193150221397E-3</v>
      </c>
      <c r="V161" s="9">
        <v>2.60060053100678E-3</v>
      </c>
      <c r="W161" s="9">
        <v>1.55730610232958E-3</v>
      </c>
      <c r="X161" s="10">
        <v>2.36740183637035</v>
      </c>
      <c r="Y161" s="10">
        <v>2.3818827909075999</v>
      </c>
      <c r="Z161" s="10">
        <v>2.3728135284590501</v>
      </c>
      <c r="AA161" s="10">
        <v>2.3704758455917601</v>
      </c>
      <c r="AB161" s="8">
        <v>137.95531661346101</v>
      </c>
      <c r="AC161" s="8">
        <v>137.47154281388899</v>
      </c>
      <c r="AD161" s="8">
        <v>137.32882585158299</v>
      </c>
      <c r="AE161" s="9">
        <v>6.0981813262167596E-3</v>
      </c>
      <c r="AF161" s="9">
        <v>2.5852755908876502E-3</v>
      </c>
      <c r="AG161" s="9">
        <v>1.54657993097626E-3</v>
      </c>
      <c r="BB161">
        <f t="shared" si="42"/>
        <v>0</v>
      </c>
      <c r="BC161">
        <f t="shared" si="43"/>
        <v>1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2.7696816307492416E-2</v>
      </c>
      <c r="BL161" s="9"/>
      <c r="BN161">
        <f t="shared" si="50"/>
        <v>0</v>
      </c>
      <c r="BO161">
        <f t="shared" si="51"/>
        <v>0</v>
      </c>
      <c r="BP161">
        <f t="shared" si="52"/>
        <v>1</v>
      </c>
      <c r="BQ161">
        <f t="shared" si="41"/>
        <v>1</v>
      </c>
      <c r="BR161">
        <f t="shared" si="53"/>
        <v>1</v>
      </c>
      <c r="BS161" s="9">
        <f t="shared" si="54"/>
        <v>-9.2633713176329003E-3</v>
      </c>
      <c r="BT161" s="9">
        <f t="shared" si="55"/>
        <v>9.8901093997711895E-3</v>
      </c>
      <c r="BU161" s="9">
        <f t="shared" si="56"/>
        <v>6.2673808213828917E-4</v>
      </c>
      <c r="BV161" s="12">
        <f t="shared" si="57"/>
        <v>1.0719244854302092E-2</v>
      </c>
      <c r="BX161" s="12">
        <f t="shared" si="58"/>
        <v>6.2673808213828917E-4</v>
      </c>
      <c r="BY161" s="12">
        <f t="shared" si="59"/>
        <v>3.8416061161794503E-2</v>
      </c>
    </row>
    <row r="162" spans="1:77" x14ac:dyDescent="0.3">
      <c r="A162" s="1">
        <v>46258</v>
      </c>
      <c r="B162" s="8">
        <v>58.22</v>
      </c>
      <c r="C162" s="8">
        <v>137.36000000000001</v>
      </c>
      <c r="D162" s="9">
        <v>1.2791877106653001E-2</v>
      </c>
      <c r="E162" s="9">
        <v>8.7745517641561292E-3</v>
      </c>
      <c r="F162" s="8">
        <v>0</v>
      </c>
      <c r="G162" s="8">
        <v>0.43859999999999999</v>
      </c>
      <c r="H162" s="8">
        <v>0</v>
      </c>
      <c r="I162" s="8">
        <v>0.95660000000000001</v>
      </c>
      <c r="J162" s="8">
        <v>0.43859999999999999</v>
      </c>
      <c r="K162" s="8">
        <v>0.95660000000000001</v>
      </c>
      <c r="L162" s="8">
        <v>58.6586</v>
      </c>
      <c r="M162" s="8">
        <v>138.31659999999999</v>
      </c>
      <c r="N162" s="10">
        <v>2.3593266918584601</v>
      </c>
      <c r="O162" s="10">
        <v>2.3820577689553399</v>
      </c>
      <c r="P162" s="10">
        <v>2.3726145647397301</v>
      </c>
      <c r="Q162" s="10">
        <v>2.3710655335678301</v>
      </c>
      <c r="R162" s="8">
        <v>138.68340330857899</v>
      </c>
      <c r="S162" s="8">
        <v>138.23003130666399</v>
      </c>
      <c r="T162" s="8">
        <v>138.09315459779299</v>
      </c>
      <c r="U162" s="9">
        <v>9.5884446575188898E-3</v>
      </c>
      <c r="V162" s="9">
        <v>6.3139743694399899E-3</v>
      </c>
      <c r="W162" s="9">
        <v>5.3232741528162399E-3</v>
      </c>
      <c r="X162" s="10">
        <v>2.35799354229388</v>
      </c>
      <c r="Y162" s="10">
        <v>2.3818827909075999</v>
      </c>
      <c r="Z162" s="10">
        <v>2.3711709527536402</v>
      </c>
      <c r="AA162" s="10">
        <v>2.3696299497161899</v>
      </c>
      <c r="AB162" s="8">
        <v>139.717909878732</v>
      </c>
      <c r="AC162" s="8">
        <v>139.185919640468</v>
      </c>
      <c r="AD162" s="8">
        <v>139.048794436229</v>
      </c>
      <c r="AE162" s="9">
        <v>1.00802000799533E-2</v>
      </c>
      <c r="AF162" s="9">
        <v>6.26533038552924E-3</v>
      </c>
      <c r="AG162" s="9">
        <v>5.2796502499917203E-3</v>
      </c>
      <c r="BB162">
        <f t="shared" si="42"/>
        <v>0</v>
      </c>
      <c r="BC162">
        <f t="shared" si="43"/>
        <v>1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2.7696816307492416E-2</v>
      </c>
      <c r="BL162" s="9"/>
      <c r="BN162">
        <f t="shared" si="50"/>
        <v>1</v>
      </c>
      <c r="BO162">
        <f t="shared" si="51"/>
        <v>0</v>
      </c>
      <c r="BP162">
        <f t="shared" si="52"/>
        <v>1</v>
      </c>
      <c r="BQ162">
        <f t="shared" si="41"/>
        <v>1</v>
      </c>
      <c r="BR162">
        <f t="shared" si="53"/>
        <v>1</v>
      </c>
      <c r="BS162" s="9">
        <f t="shared" si="54"/>
        <v>-1.2791877106653001E-2</v>
      </c>
      <c r="BT162" s="9">
        <f t="shared" si="55"/>
        <v>8.7745517641561292E-3</v>
      </c>
      <c r="BU162" s="9">
        <f t="shared" si="56"/>
        <v>-4.0173253424968716E-3</v>
      </c>
      <c r="BV162" s="12">
        <f t="shared" si="57"/>
        <v>6.7019195118052204E-3</v>
      </c>
      <c r="BX162" s="12">
        <f t="shared" si="58"/>
        <v>-4.0173253424968716E-3</v>
      </c>
      <c r="BY162" s="12">
        <f t="shared" si="59"/>
        <v>3.4398735819297629E-2</v>
      </c>
    </row>
    <row r="163" spans="1:77" x14ac:dyDescent="0.3">
      <c r="A163" s="1">
        <v>46259</v>
      </c>
      <c r="B163" s="8">
        <v>58.31</v>
      </c>
      <c r="C163" s="8">
        <v>137.63</v>
      </c>
      <c r="D163" s="9">
        <v>1.54466691658757E-3</v>
      </c>
      <c r="E163" s="9">
        <v>1.9637084022208302E-3</v>
      </c>
      <c r="F163" s="8">
        <v>0</v>
      </c>
      <c r="G163" s="8">
        <v>0.43859999999999999</v>
      </c>
      <c r="H163" s="8">
        <v>0</v>
      </c>
      <c r="I163" s="8">
        <v>0.95660000000000001</v>
      </c>
      <c r="J163" s="8">
        <v>0.43859999999999999</v>
      </c>
      <c r="K163" s="8">
        <v>0.95660000000000001</v>
      </c>
      <c r="L163" s="8">
        <v>58.748600000000003</v>
      </c>
      <c r="M163" s="8">
        <v>138.5866</v>
      </c>
      <c r="N163" s="10">
        <v>2.3603155547933401</v>
      </c>
      <c r="O163" s="10">
        <v>2.3820577689553399</v>
      </c>
      <c r="P163" s="10">
        <v>2.3709817603574699</v>
      </c>
      <c r="Q163" s="10">
        <v>2.3704094363074999</v>
      </c>
      <c r="R163" s="8">
        <v>138.89778850778501</v>
      </c>
      <c r="S163" s="8">
        <v>138.347155269973</v>
      </c>
      <c r="T163" s="8">
        <v>138.25683126234</v>
      </c>
      <c r="U163" s="9">
        <v>9.16940317188541E-3</v>
      </c>
      <c r="V163" s="9">
        <v>5.1972191939834E-3</v>
      </c>
      <c r="W163" s="9">
        <v>4.54412657607691E-3</v>
      </c>
      <c r="X163" s="10">
        <v>2.3589770649853699</v>
      </c>
      <c r="Y163" s="10">
        <v>2.3818827909075999</v>
      </c>
      <c r="Z163" s="10">
        <v>2.3695516172903202</v>
      </c>
      <c r="AA163" s="10">
        <v>2.3689796293120602</v>
      </c>
      <c r="AB163" s="8">
        <v>139.932279329914</v>
      </c>
      <c r="AC163" s="8">
        <v>139.30297383494201</v>
      </c>
      <c r="AD163" s="8">
        <v>139.21244206389599</v>
      </c>
      <c r="AE163" s="9">
        <v>9.6631855222500604E-3</v>
      </c>
      <c r="AF163" s="9">
        <v>5.1558279929465704E-3</v>
      </c>
      <c r="AG163" s="9">
        <v>4.50572556366176E-3</v>
      </c>
      <c r="BB163">
        <f t="shared" si="42"/>
        <v>0</v>
      </c>
      <c r="BC163">
        <f t="shared" si="43"/>
        <v>1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2.7696816307492416E-2</v>
      </c>
      <c r="BL163" s="9"/>
      <c r="BN163">
        <f t="shared" si="50"/>
        <v>1</v>
      </c>
      <c r="BO163">
        <f t="shared" si="51"/>
        <v>0</v>
      </c>
      <c r="BP163">
        <f t="shared" si="52"/>
        <v>1</v>
      </c>
      <c r="BQ163">
        <f t="shared" si="41"/>
        <v>1</v>
      </c>
      <c r="BR163">
        <f t="shared" si="53"/>
        <v>1</v>
      </c>
      <c r="BS163" s="9">
        <f t="shared" si="54"/>
        <v>-1.54466691658757E-3</v>
      </c>
      <c r="BT163" s="9">
        <f t="shared" si="55"/>
        <v>1.9637084022208302E-3</v>
      </c>
      <c r="BU163" s="9">
        <f t="shared" si="56"/>
        <v>4.1904148563326016E-4</v>
      </c>
      <c r="BV163" s="12">
        <f t="shared" si="57"/>
        <v>7.1209609974384807E-3</v>
      </c>
      <c r="BX163" s="12">
        <f t="shared" si="58"/>
        <v>4.1904148563326016E-4</v>
      </c>
      <c r="BY163" s="12">
        <f t="shared" si="59"/>
        <v>3.4817777304930887E-2</v>
      </c>
    </row>
    <row r="164" spans="1:77" x14ac:dyDescent="0.3">
      <c r="A164" s="1">
        <v>46260</v>
      </c>
      <c r="B164" s="8">
        <v>58.26</v>
      </c>
      <c r="C164" s="8">
        <v>137.55000000000001</v>
      </c>
      <c r="D164" s="9">
        <v>-8.5785370277611898E-4</v>
      </c>
      <c r="E164" s="9">
        <v>-5.8143762085744995E-4</v>
      </c>
      <c r="F164" s="8">
        <v>0</v>
      </c>
      <c r="G164" s="8">
        <v>0.43859999999999999</v>
      </c>
      <c r="H164" s="8">
        <v>0</v>
      </c>
      <c r="I164" s="8">
        <v>0.95660000000000001</v>
      </c>
      <c r="J164" s="8">
        <v>0.43859999999999999</v>
      </c>
      <c r="K164" s="8">
        <v>0.95660000000000001</v>
      </c>
      <c r="L164" s="8">
        <v>58.698599999999999</v>
      </c>
      <c r="M164" s="8">
        <v>138.50659999999999</v>
      </c>
      <c r="N164" s="10">
        <v>2.3609680741503598</v>
      </c>
      <c r="O164" s="10">
        <v>2.3820577689553399</v>
      </c>
      <c r="P164" s="10">
        <v>2.3692677942918401</v>
      </c>
      <c r="Q164" s="10">
        <v>2.3700915732542498</v>
      </c>
      <c r="R164" s="8">
        <v>138.77868561933801</v>
      </c>
      <c r="S164" s="8">
        <v>138.13339735842601</v>
      </c>
      <c r="T164" s="8">
        <v>138.100053759275</v>
      </c>
      <c r="U164" s="9">
        <v>8.8929870899669208E-3</v>
      </c>
      <c r="V164" s="9">
        <v>4.2323784085945403E-3</v>
      </c>
      <c r="W164" s="9">
        <v>3.9909623224655003E-3</v>
      </c>
      <c r="X164" s="10">
        <v>2.3596235685348499</v>
      </c>
      <c r="Y164" s="10">
        <v>2.3818827909075999</v>
      </c>
      <c r="Z164" s="10">
        <v>2.3678513160265799</v>
      </c>
      <c r="AA164" s="10">
        <v>2.3686660666211998</v>
      </c>
      <c r="AB164" s="8">
        <v>139.81318519036901</v>
      </c>
      <c r="AC164" s="8">
        <v>139.089362562677</v>
      </c>
      <c r="AD164" s="8">
        <v>139.055787669137</v>
      </c>
      <c r="AE164" s="9">
        <v>9.3891620971991007E-3</v>
      </c>
      <c r="AF164" s="9">
        <v>4.1986447742663104E-3</v>
      </c>
      <c r="AG164" s="9">
        <v>3.9572248273390103E-3</v>
      </c>
      <c r="BB164">
        <f t="shared" si="42"/>
        <v>0</v>
      </c>
      <c r="BC164">
        <f t="shared" si="43"/>
        <v>1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2.7696816307492416E-2</v>
      </c>
      <c r="BL164" s="9"/>
      <c r="BN164">
        <f t="shared" si="50"/>
        <v>1</v>
      </c>
      <c r="BO164">
        <f t="shared" si="51"/>
        <v>0</v>
      </c>
      <c r="BP164">
        <f t="shared" si="52"/>
        <v>1</v>
      </c>
      <c r="BQ164">
        <f t="shared" si="41"/>
        <v>1</v>
      </c>
      <c r="BR164">
        <f t="shared" si="53"/>
        <v>1</v>
      </c>
      <c r="BS164" s="9">
        <f t="shared" si="54"/>
        <v>8.5785370277611898E-4</v>
      </c>
      <c r="BT164" s="9">
        <f t="shared" si="55"/>
        <v>-5.8143762085744995E-4</v>
      </c>
      <c r="BU164" s="9">
        <f t="shared" si="56"/>
        <v>2.7641608191866904E-4</v>
      </c>
      <c r="BV164" s="12">
        <f t="shared" si="57"/>
        <v>7.3973770793571494E-3</v>
      </c>
      <c r="BX164" s="12">
        <f t="shared" si="58"/>
        <v>2.7641608191866904E-4</v>
      </c>
      <c r="BY164" s="12">
        <f t="shared" si="59"/>
        <v>3.5094193386849555E-2</v>
      </c>
    </row>
    <row r="165" spans="1:77" x14ac:dyDescent="0.3">
      <c r="A165" s="1">
        <v>46261</v>
      </c>
      <c r="B165" s="8">
        <v>57.88</v>
      </c>
      <c r="C165" s="8">
        <v>136.88</v>
      </c>
      <c r="D165" s="9">
        <v>-6.5438497680053503E-3</v>
      </c>
      <c r="E165" s="9">
        <v>-4.8828577866456202E-3</v>
      </c>
      <c r="F165" s="8">
        <v>0</v>
      </c>
      <c r="G165" s="8">
        <v>0.43859999999999999</v>
      </c>
      <c r="H165" s="8">
        <v>0</v>
      </c>
      <c r="I165" s="8">
        <v>0.95660000000000001</v>
      </c>
      <c r="J165" s="8">
        <v>0.43859999999999999</v>
      </c>
      <c r="K165" s="8">
        <v>0.95660000000000001</v>
      </c>
      <c r="L165" s="8">
        <v>58.318600000000004</v>
      </c>
      <c r="M165" s="8">
        <v>137.8366</v>
      </c>
      <c r="N165" s="10">
        <v>2.3648928818244599</v>
      </c>
      <c r="O165" s="10">
        <v>2.3820577689553399</v>
      </c>
      <c r="P165" s="10">
        <v>2.3680124892714098</v>
      </c>
      <c r="Q165" s="10">
        <v>2.3701169190998601</v>
      </c>
      <c r="R165" s="8">
        <v>137.873503667135</v>
      </c>
      <c r="S165" s="8">
        <v>137.133219933612</v>
      </c>
      <c r="T165" s="8">
        <v>137.18090025995599</v>
      </c>
      <c r="U165" s="9">
        <v>7.2319951086071404E-3</v>
      </c>
      <c r="V165" s="9">
        <v>1.84823203607438E-3</v>
      </c>
      <c r="W165" s="9">
        <v>2.1958650838430202E-3</v>
      </c>
      <c r="X165" s="10">
        <v>2.36351009797903</v>
      </c>
      <c r="Y165" s="10">
        <v>2.3818827909075999</v>
      </c>
      <c r="Z165" s="10">
        <v>2.3666044955525498</v>
      </c>
      <c r="AA165" s="10">
        <v>2.3686922781877899</v>
      </c>
      <c r="AB165" s="8">
        <v>138.90806972982401</v>
      </c>
      <c r="AC165" s="8">
        <v>138.08977375882699</v>
      </c>
      <c r="AD165" s="8">
        <v>138.13728887285501</v>
      </c>
      <c r="AE165" s="9">
        <v>7.7434198439388499E-3</v>
      </c>
      <c r="AF165" s="9">
        <v>1.8350824999172201E-3</v>
      </c>
      <c r="AG165" s="9">
        <v>2.1791118940216901E-3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2.7696816307492416E-2</v>
      </c>
      <c r="BL165" s="9"/>
      <c r="BN165">
        <f t="shared" si="50"/>
        <v>0</v>
      </c>
      <c r="BO165">
        <f t="shared" si="51"/>
        <v>0</v>
      </c>
      <c r="BP165">
        <f t="shared" si="52"/>
        <v>1</v>
      </c>
      <c r="BQ165">
        <f t="shared" si="41"/>
        <v>1</v>
      </c>
      <c r="BR165">
        <f t="shared" si="53"/>
        <v>1</v>
      </c>
      <c r="BS165" s="9">
        <f t="shared" si="54"/>
        <v>6.5438497680053503E-3</v>
      </c>
      <c r="BT165" s="9">
        <f t="shared" si="55"/>
        <v>-4.8828577866456202E-3</v>
      </c>
      <c r="BU165" s="9">
        <f t="shared" si="56"/>
        <v>1.6609919813597301E-3</v>
      </c>
      <c r="BV165" s="12">
        <f t="shared" si="57"/>
        <v>9.0583690607168796E-3</v>
      </c>
      <c r="BX165" s="12">
        <f t="shared" si="58"/>
        <v>1.6609919813597301E-3</v>
      </c>
      <c r="BY165" s="12">
        <f t="shared" si="59"/>
        <v>3.6755185368209285E-2</v>
      </c>
    </row>
    <row r="166" spans="1:77" x14ac:dyDescent="0.3">
      <c r="A166" s="1">
        <v>46262</v>
      </c>
      <c r="B166" s="8">
        <v>58.1</v>
      </c>
      <c r="C166" s="8">
        <v>137.34</v>
      </c>
      <c r="D166" s="9">
        <v>3.7937620945823099E-3</v>
      </c>
      <c r="E166" s="9">
        <v>3.3549736085923699E-3</v>
      </c>
      <c r="F166" s="8">
        <v>0</v>
      </c>
      <c r="G166" s="8">
        <v>0.43859999999999999</v>
      </c>
      <c r="H166" s="8">
        <v>0</v>
      </c>
      <c r="I166" s="8">
        <v>0.95660000000000001</v>
      </c>
      <c r="J166" s="8">
        <v>0.43859999999999999</v>
      </c>
      <c r="K166" s="8">
        <v>0.95660000000000001</v>
      </c>
      <c r="L166" s="8">
        <v>58.538600000000002</v>
      </c>
      <c r="M166" s="8">
        <v>138.29660000000001</v>
      </c>
      <c r="N166" s="10">
        <v>2.3638554216867398</v>
      </c>
      <c r="O166" s="10">
        <v>2.3820577689553399</v>
      </c>
      <c r="P166" s="10">
        <v>2.36662292827639</v>
      </c>
      <c r="Q166" s="10">
        <v>2.3700711935210399</v>
      </c>
      <c r="R166" s="8">
        <v>138.397556376305</v>
      </c>
      <c r="S166" s="8">
        <v>137.581525626668</v>
      </c>
      <c r="T166" s="8">
        <v>137.70379299970199</v>
      </c>
      <c r="U166" s="9">
        <v>7.6707835945971203E-3</v>
      </c>
      <c r="V166" s="9">
        <v>1.7570518587478E-3</v>
      </c>
      <c r="W166" s="9">
        <v>2.6453475490749601E-3</v>
      </c>
      <c r="X166" s="10">
        <v>2.36248560778699</v>
      </c>
      <c r="Y166" s="10">
        <v>2.3818827909075999</v>
      </c>
      <c r="Z166" s="10">
        <v>2.36522519491476</v>
      </c>
      <c r="AA166" s="10">
        <v>2.3686482867824301</v>
      </c>
      <c r="AB166" s="8">
        <v>139.43208394382299</v>
      </c>
      <c r="AC166" s="8">
        <v>138.53771392335199</v>
      </c>
      <c r="AD166" s="8">
        <v>138.659929795924</v>
      </c>
      <c r="AE166" s="9">
        <v>8.1769751291590302E-3</v>
      </c>
      <c r="AF166" s="9">
        <v>1.7419371240802999E-3</v>
      </c>
      <c r="AG166" s="9">
        <v>2.62373307913167E-3</v>
      </c>
      <c r="BB166">
        <f t="shared" si="42"/>
        <v>0</v>
      </c>
      <c r="BC166">
        <f t="shared" si="43"/>
        <v>1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2.7696816307492416E-2</v>
      </c>
      <c r="BL166" s="9"/>
      <c r="BN166">
        <f t="shared" si="50"/>
        <v>1</v>
      </c>
      <c r="BO166">
        <f t="shared" si="51"/>
        <v>0</v>
      </c>
      <c r="BP166">
        <f t="shared" si="52"/>
        <v>1</v>
      </c>
      <c r="BQ166">
        <f t="shared" si="41"/>
        <v>1</v>
      </c>
      <c r="BR166">
        <f t="shared" si="53"/>
        <v>1</v>
      </c>
      <c r="BS166" s="9">
        <f t="shared" si="54"/>
        <v>-3.7937620945823099E-3</v>
      </c>
      <c r="BT166" s="9">
        <f t="shared" si="55"/>
        <v>3.3549736085923699E-3</v>
      </c>
      <c r="BU166" s="9">
        <f t="shared" si="56"/>
        <v>-4.3878848598993998E-4</v>
      </c>
      <c r="BV166" s="12">
        <f t="shared" si="57"/>
        <v>8.6195805747269396E-3</v>
      </c>
      <c r="BX166" s="12">
        <f t="shared" si="58"/>
        <v>-4.3878848598993998E-4</v>
      </c>
      <c r="BY166" s="12">
        <f t="shared" si="59"/>
        <v>3.6316396882219347E-2</v>
      </c>
    </row>
    <row r="167" spans="1:77" x14ac:dyDescent="0.3">
      <c r="A167" s="1">
        <v>46265</v>
      </c>
      <c r="B167" s="8">
        <v>57.71</v>
      </c>
      <c r="C167" s="8">
        <v>136.47</v>
      </c>
      <c r="D167" s="9">
        <v>-6.7351951349905502E-3</v>
      </c>
      <c r="E167" s="9">
        <v>-6.3547929425079898E-3</v>
      </c>
      <c r="F167" s="8">
        <v>0</v>
      </c>
      <c r="G167" s="8">
        <v>0.43859999999999999</v>
      </c>
      <c r="H167" s="8">
        <v>0</v>
      </c>
      <c r="I167" s="8">
        <v>0.95660000000000001</v>
      </c>
      <c r="J167" s="8">
        <v>0.43859999999999999</v>
      </c>
      <c r="K167" s="8">
        <v>0.95660000000000001</v>
      </c>
      <c r="L167" s="8">
        <v>58.148600000000002</v>
      </c>
      <c r="M167" s="8">
        <v>137.42660000000001</v>
      </c>
      <c r="N167" s="10">
        <v>2.36475480852538</v>
      </c>
      <c r="O167" s="10">
        <v>2.3820577689553399</v>
      </c>
      <c r="P167" s="10">
        <v>2.36515120523869</v>
      </c>
      <c r="Q167" s="10">
        <v>2.3698704536405901</v>
      </c>
      <c r="R167" s="8">
        <v>137.46855384641199</v>
      </c>
      <c r="S167" s="8">
        <v>136.57780919083001</v>
      </c>
      <c r="T167" s="8">
        <v>136.77680857809901</v>
      </c>
      <c r="U167" s="9">
        <v>7.2903814021147099E-3</v>
      </c>
      <c r="V167" s="9">
        <v>7.8967267126423902E-4</v>
      </c>
      <c r="W167" s="9">
        <v>2.2456526290753E-3</v>
      </c>
      <c r="X167" s="10">
        <v>2.3633690235018499</v>
      </c>
      <c r="Y167" s="10">
        <v>2.3818827909075999</v>
      </c>
      <c r="Z167" s="10">
        <v>2.3637649080876799</v>
      </c>
      <c r="AA167" s="10">
        <v>2.3684494651421999</v>
      </c>
      <c r="AB167" s="8">
        <v>138.50314965536899</v>
      </c>
      <c r="AC167" s="8">
        <v>137.53453376901999</v>
      </c>
      <c r="AD167" s="8">
        <v>137.73358176879699</v>
      </c>
      <c r="AE167" s="9">
        <v>7.8031101696665302E-3</v>
      </c>
      <c r="AF167" s="9">
        <v>7.8508386320061603E-4</v>
      </c>
      <c r="AG167" s="9">
        <v>2.2312959250679301E-3</v>
      </c>
      <c r="BB167">
        <f t="shared" si="42"/>
        <v>0</v>
      </c>
      <c r="BC167">
        <f t="shared" si="43"/>
        <v>1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2.7696816307492416E-2</v>
      </c>
      <c r="BL167" s="9"/>
      <c r="BN167">
        <f t="shared" si="50"/>
        <v>1</v>
      </c>
      <c r="BO167">
        <f t="shared" si="51"/>
        <v>0</v>
      </c>
      <c r="BP167">
        <f t="shared" si="52"/>
        <v>1</v>
      </c>
      <c r="BQ167">
        <f t="shared" si="41"/>
        <v>1</v>
      </c>
      <c r="BR167">
        <f t="shared" si="53"/>
        <v>1</v>
      </c>
      <c r="BS167" s="9">
        <f t="shared" si="54"/>
        <v>6.7351951349905502E-3</v>
      </c>
      <c r="BT167" s="9">
        <f t="shared" si="55"/>
        <v>-6.3547929425079898E-3</v>
      </c>
      <c r="BU167" s="9">
        <f t="shared" si="56"/>
        <v>3.8040219248256044E-4</v>
      </c>
      <c r="BV167" s="12">
        <f t="shared" si="57"/>
        <v>8.9999827672095009E-3</v>
      </c>
      <c r="BX167" s="12">
        <f t="shared" si="58"/>
        <v>3.8040219248256044E-4</v>
      </c>
      <c r="BY167" s="12">
        <f t="shared" si="59"/>
        <v>3.6696799074701907E-2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XLF_IYF_2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2026-09-03T20:26:19Z</dcterms:created>
  <dcterms:modified xsi:type="dcterms:W3CDTF">2026-09-03T20:29:23Z</dcterms:modified>
</cp:coreProperties>
</file>