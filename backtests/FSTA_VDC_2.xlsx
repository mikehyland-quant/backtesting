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8D060B57-FA75-4B77-BA1C-6B59712BBD2F}" xr6:coauthVersionLast="47" xr6:coauthVersionMax="47" xr10:uidLastSave="{00000000-0000-0000-0000-000000000000}"/>
  <bookViews>
    <workbookView xWindow="-108" yWindow="-108" windowWidth="23256" windowHeight="1245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4" i="1" l="1"/>
  <c r="CP14" i="1"/>
  <c r="CQ14" i="1"/>
  <c r="CR14" i="1"/>
  <c r="CS14" i="1"/>
  <c r="CT14" i="1"/>
  <c r="CN14" i="1"/>
  <c r="CL17" i="1"/>
  <c r="CL18" i="1"/>
  <c r="CL19" i="1"/>
  <c r="CL20" i="1"/>
  <c r="CL21" i="1" s="1"/>
  <c r="CL22" i="1" s="1"/>
  <c r="CL16" i="1"/>
  <c r="CL6" i="1"/>
  <c r="CL7" i="1"/>
  <c r="CL8" i="1" s="1"/>
  <c r="CL9" i="1" s="1"/>
  <c r="CL10" i="1" s="1"/>
  <c r="CL11" i="1" s="1"/>
  <c r="CL5" i="1"/>
  <c r="CO3" i="1"/>
  <c r="CP3" i="1"/>
  <c r="CQ3" i="1"/>
  <c r="CR3" i="1"/>
  <c r="CS3" i="1"/>
  <c r="CT3" i="1"/>
  <c r="CN3" i="1"/>
  <c r="BQ167" i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R111" i="1" s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R55" i="1" s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Q21" i="1"/>
  <c r="BR22" i="1" s="1"/>
  <c r="BE21" i="1"/>
  <c r="BF22" i="1" s="1"/>
  <c r="BH22" i="1" s="1"/>
  <c r="BT20" i="1"/>
  <c r="BS20" i="1"/>
  <c r="BH20" i="1"/>
  <c r="BG20" i="1"/>
  <c r="BF23" i="1" l="1"/>
  <c r="BD23" i="1" s="1"/>
  <c r="BF163" i="1"/>
  <c r="BG163" i="1" s="1"/>
  <c r="BR109" i="1"/>
  <c r="BT109" i="1" s="1"/>
  <c r="BR130" i="1"/>
  <c r="BS130" i="1" s="1"/>
  <c r="BR132" i="1"/>
  <c r="BP132" i="1" s="1"/>
  <c r="BR23" i="1"/>
  <c r="BT23" i="1" s="1"/>
  <c r="BF134" i="1"/>
  <c r="BH134" i="1" s="1"/>
  <c r="BF162" i="1"/>
  <c r="BG162" i="1" s="1"/>
  <c r="BF97" i="1"/>
  <c r="BH97" i="1" s="1"/>
  <c r="BF104" i="1"/>
  <c r="BD104" i="1" s="1"/>
  <c r="BF153" i="1"/>
  <c r="BD153" i="1" s="1"/>
  <c r="BF160" i="1"/>
  <c r="BG160" i="1" s="1"/>
  <c r="BF131" i="1"/>
  <c r="BG131" i="1" s="1"/>
  <c r="BF166" i="1"/>
  <c r="BH166" i="1" s="1"/>
  <c r="BF154" i="1"/>
  <c r="BG154" i="1" s="1"/>
  <c r="BF161" i="1"/>
  <c r="BH161" i="1" s="1"/>
  <c r="BF101" i="1"/>
  <c r="BG101" i="1" s="1"/>
  <c r="BF105" i="1"/>
  <c r="BD105" i="1" s="1"/>
  <c r="BF106" i="1" s="1"/>
  <c r="BG106" i="1" s="1"/>
  <c r="BF112" i="1"/>
  <c r="BG112" i="1" s="1"/>
  <c r="BF149" i="1"/>
  <c r="BD149" i="1" s="1"/>
  <c r="BF150" i="1" s="1"/>
  <c r="BH150" i="1" s="1"/>
  <c r="BF73" i="1"/>
  <c r="BG73" i="1" s="1"/>
  <c r="BF116" i="1"/>
  <c r="BD116" i="1" s="1"/>
  <c r="BF117" i="1" s="1"/>
  <c r="BF138" i="1"/>
  <c r="BH138" i="1" s="1"/>
  <c r="BR36" i="1"/>
  <c r="BT36" i="1" s="1"/>
  <c r="BF71" i="1"/>
  <c r="BG71" i="1" s="1"/>
  <c r="BR94" i="1"/>
  <c r="BT94" i="1" s="1"/>
  <c r="BH23" i="1"/>
  <c r="BF35" i="1"/>
  <c r="BD35" i="1" s="1"/>
  <c r="BF36" i="1" s="1"/>
  <c r="BR39" i="1"/>
  <c r="BP39" i="1" s="1"/>
  <c r="BR40" i="1" s="1"/>
  <c r="BS40" i="1" s="1"/>
  <c r="BF127" i="1"/>
  <c r="BG127" i="1" s="1"/>
  <c r="BF144" i="1"/>
  <c r="BH144" i="1" s="1"/>
  <c r="BR78" i="1"/>
  <c r="BT78" i="1" s="1"/>
  <c r="BF125" i="1"/>
  <c r="BG125" i="1" s="1"/>
  <c r="BF38" i="1"/>
  <c r="BD38" i="1" s="1"/>
  <c r="BF39" i="1" s="1"/>
  <c r="BR133" i="1"/>
  <c r="BS133" i="1" s="1"/>
  <c r="BR158" i="1"/>
  <c r="BS158" i="1" s="1"/>
  <c r="BR156" i="1"/>
  <c r="BS156" i="1" s="1"/>
  <c r="BF24" i="1"/>
  <c r="BD24" i="1" s="1"/>
  <c r="BF25" i="1" s="1"/>
  <c r="BF107" i="1"/>
  <c r="BD107" i="1" s="1"/>
  <c r="BF108" i="1" s="1"/>
  <c r="BT22" i="1"/>
  <c r="BS22" i="1"/>
  <c r="BG22" i="1"/>
  <c r="BI22" i="1" s="1"/>
  <c r="BP55" i="1"/>
  <c r="BT55" i="1"/>
  <c r="BS55" i="1"/>
  <c r="BR92" i="1"/>
  <c r="BD97" i="1"/>
  <c r="BF98" i="1" s="1"/>
  <c r="BT132" i="1"/>
  <c r="BS132" i="1"/>
  <c r="BP23" i="1"/>
  <c r="BR24" i="1" s="1"/>
  <c r="BP24" i="1" s="1"/>
  <c r="BR25" i="1" s="1"/>
  <c r="BS111" i="1"/>
  <c r="BT111" i="1"/>
  <c r="BP111" i="1"/>
  <c r="BR112" i="1" s="1"/>
  <c r="BP112" i="1" s="1"/>
  <c r="BR113" i="1" s="1"/>
  <c r="BR61" i="1"/>
  <c r="BF43" i="1"/>
  <c r="BR52" i="1"/>
  <c r="BF40" i="1"/>
  <c r="BF62" i="1"/>
  <c r="BR56" i="1"/>
  <c r="BT130" i="1"/>
  <c r="BP130" i="1"/>
  <c r="BR131" i="1" s="1"/>
  <c r="BR67" i="1"/>
  <c r="BR58" i="1"/>
  <c r="BF118" i="1"/>
  <c r="BF119" i="1"/>
  <c r="BR95" i="1"/>
  <c r="BF100" i="1"/>
  <c r="BF146" i="1"/>
  <c r="BS109" i="1" l="1"/>
  <c r="BU109" i="1" s="1"/>
  <c r="BP109" i="1"/>
  <c r="BR110" i="1" s="1"/>
  <c r="BP110" i="1" s="1"/>
  <c r="BG23" i="1"/>
  <c r="BI23" i="1" s="1"/>
  <c r="BD163" i="1"/>
  <c r="BF164" i="1" s="1"/>
  <c r="BD164" i="1" s="1"/>
  <c r="BF165" i="1" s="1"/>
  <c r="BG165" i="1" s="1"/>
  <c r="BH163" i="1"/>
  <c r="BG97" i="1"/>
  <c r="BI97" i="1" s="1"/>
  <c r="BG104" i="1"/>
  <c r="BS23" i="1"/>
  <c r="BU23" i="1" s="1"/>
  <c r="BH162" i="1"/>
  <c r="BI162" i="1" s="1"/>
  <c r="BD162" i="1"/>
  <c r="BH104" i="1"/>
  <c r="BI104" i="1" s="1"/>
  <c r="BD134" i="1"/>
  <c r="BF135" i="1" s="1"/>
  <c r="BH135" i="1" s="1"/>
  <c r="BG134" i="1"/>
  <c r="BI134" i="1" s="1"/>
  <c r="BG153" i="1"/>
  <c r="BH131" i="1"/>
  <c r="BI131" i="1" s="1"/>
  <c r="BG161" i="1"/>
  <c r="BI161" i="1" s="1"/>
  <c r="BD166" i="1"/>
  <c r="BF167" i="1" s="1"/>
  <c r="BD167" i="1" s="1"/>
  <c r="BG166" i="1"/>
  <c r="BI166" i="1" s="1"/>
  <c r="BH160" i="1"/>
  <c r="BI160" i="1" s="1"/>
  <c r="BH101" i="1"/>
  <c r="BI101" i="1" s="1"/>
  <c r="BD101" i="1"/>
  <c r="BF102" i="1" s="1"/>
  <c r="BH102" i="1" s="1"/>
  <c r="BD160" i="1"/>
  <c r="BH149" i="1"/>
  <c r="BD161" i="1"/>
  <c r="BD154" i="1"/>
  <c r="BF155" i="1" s="1"/>
  <c r="BD155" i="1" s="1"/>
  <c r="BF156" i="1" s="1"/>
  <c r="BH154" i="1"/>
  <c r="BI154" i="1" s="1"/>
  <c r="BH73" i="1"/>
  <c r="BI73" i="1" s="1"/>
  <c r="BG149" i="1"/>
  <c r="BD73" i="1"/>
  <c r="BF74" i="1" s="1"/>
  <c r="BG74" i="1" s="1"/>
  <c r="BG105" i="1"/>
  <c r="BH106" i="1"/>
  <c r="BI106" i="1" s="1"/>
  <c r="BH105" i="1"/>
  <c r="BD106" i="1"/>
  <c r="BD131" i="1"/>
  <c r="BF132" i="1" s="1"/>
  <c r="BG132" i="1" s="1"/>
  <c r="BH153" i="1"/>
  <c r="BH116" i="1"/>
  <c r="BD112" i="1"/>
  <c r="BF113" i="1" s="1"/>
  <c r="BG113" i="1" s="1"/>
  <c r="BH112" i="1"/>
  <c r="BI112" i="1" s="1"/>
  <c r="BG116" i="1"/>
  <c r="BH39" i="1"/>
  <c r="BD39" i="1"/>
  <c r="BG39" i="1"/>
  <c r="BI39" i="1" s="1"/>
  <c r="BH25" i="1"/>
  <c r="BG25" i="1"/>
  <c r="BD25" i="1"/>
  <c r="BF26" i="1" s="1"/>
  <c r="BH26" i="1" s="1"/>
  <c r="BD138" i="1"/>
  <c r="BF139" i="1" s="1"/>
  <c r="BG138" i="1"/>
  <c r="BI138" i="1" s="1"/>
  <c r="BS131" i="1"/>
  <c r="BT131" i="1"/>
  <c r="BD108" i="1"/>
  <c r="BF109" i="1" s="1"/>
  <c r="BG108" i="1"/>
  <c r="BP131" i="1"/>
  <c r="BH108" i="1"/>
  <c r="BD36" i="1"/>
  <c r="BF37" i="1" s="1"/>
  <c r="BG37" i="1" s="1"/>
  <c r="BH36" i="1"/>
  <c r="BH127" i="1"/>
  <c r="BI127" i="1" s="1"/>
  <c r="BD127" i="1"/>
  <c r="BF128" i="1" s="1"/>
  <c r="BG144" i="1"/>
  <c r="BI144" i="1" s="1"/>
  <c r="BD144" i="1"/>
  <c r="BF145" i="1" s="1"/>
  <c r="BD145" i="1" s="1"/>
  <c r="BP40" i="1"/>
  <c r="BR41" i="1" s="1"/>
  <c r="BI163" i="1"/>
  <c r="BG107" i="1"/>
  <c r="BD165" i="1"/>
  <c r="BH165" i="1"/>
  <c r="BI165" i="1" s="1"/>
  <c r="BS112" i="1"/>
  <c r="BH107" i="1"/>
  <c r="BH164" i="1"/>
  <c r="BP156" i="1"/>
  <c r="BR157" i="1" s="1"/>
  <c r="BH125" i="1"/>
  <c r="BI125" i="1" s="1"/>
  <c r="BT156" i="1"/>
  <c r="BU156" i="1" s="1"/>
  <c r="BD125" i="1"/>
  <c r="BF126" i="1" s="1"/>
  <c r="BH126" i="1" s="1"/>
  <c r="BS39" i="1"/>
  <c r="BT39" i="1"/>
  <c r="BG164" i="1"/>
  <c r="BS24" i="1"/>
  <c r="BG36" i="1"/>
  <c r="BG35" i="1"/>
  <c r="BT112" i="1"/>
  <c r="BP78" i="1"/>
  <c r="BR79" i="1" s="1"/>
  <c r="BS78" i="1"/>
  <c r="BU78" i="1" s="1"/>
  <c r="BH35" i="1"/>
  <c r="BU55" i="1"/>
  <c r="BT133" i="1"/>
  <c r="BU133" i="1" s="1"/>
  <c r="BP133" i="1"/>
  <c r="BR134" i="1" s="1"/>
  <c r="BU22" i="1"/>
  <c r="BX22" i="1" s="1"/>
  <c r="BT158" i="1"/>
  <c r="BU158" i="1" s="1"/>
  <c r="BD71" i="1"/>
  <c r="BF72" i="1" s="1"/>
  <c r="BD72" i="1" s="1"/>
  <c r="BH71" i="1"/>
  <c r="BI71" i="1" s="1"/>
  <c r="BU132" i="1"/>
  <c r="BP36" i="1"/>
  <c r="BR37" i="1" s="1"/>
  <c r="BD150" i="1"/>
  <c r="BF151" i="1" s="1"/>
  <c r="BG24" i="1"/>
  <c r="BH24" i="1"/>
  <c r="BG38" i="1"/>
  <c r="BH38" i="1"/>
  <c r="BG150" i="1"/>
  <c r="BI150" i="1" s="1"/>
  <c r="BU130" i="1"/>
  <c r="BP158" i="1"/>
  <c r="BR159" i="1" s="1"/>
  <c r="BT159" i="1" s="1"/>
  <c r="BT40" i="1"/>
  <c r="BU40" i="1" s="1"/>
  <c r="BP94" i="1"/>
  <c r="BT24" i="1"/>
  <c r="BS36" i="1"/>
  <c r="BU36" i="1" s="1"/>
  <c r="BU111" i="1"/>
  <c r="BS94" i="1"/>
  <c r="BU94" i="1" s="1"/>
  <c r="BS113" i="1"/>
  <c r="BP113" i="1"/>
  <c r="BR114" i="1" s="1"/>
  <c r="BT113" i="1"/>
  <c r="BP25" i="1"/>
  <c r="BR26" i="1" s="1"/>
  <c r="BT25" i="1"/>
  <c r="BS25" i="1"/>
  <c r="BH98" i="1"/>
  <c r="BG98" i="1"/>
  <c r="BD98" i="1"/>
  <c r="BF99" i="1" s="1"/>
  <c r="BG99" i="1" s="1"/>
  <c r="BS61" i="1"/>
  <c r="BT61" i="1"/>
  <c r="BP61" i="1"/>
  <c r="BR62" i="1" s="1"/>
  <c r="BJ22" i="1"/>
  <c r="BH100" i="1"/>
  <c r="BG100" i="1"/>
  <c r="BD100" i="1"/>
  <c r="BT67" i="1"/>
  <c r="BS67" i="1"/>
  <c r="BU67" i="1" s="1"/>
  <c r="BP67" i="1"/>
  <c r="BR68" i="1" s="1"/>
  <c r="BS56" i="1"/>
  <c r="BP56" i="1"/>
  <c r="BR57" i="1" s="1"/>
  <c r="BT56" i="1"/>
  <c r="BH117" i="1"/>
  <c r="BD117" i="1"/>
  <c r="BG117" i="1"/>
  <c r="BT95" i="1"/>
  <c r="BP95" i="1"/>
  <c r="BR96" i="1" s="1"/>
  <c r="BS95" i="1"/>
  <c r="BU95" i="1" s="1"/>
  <c r="BH119" i="1"/>
  <c r="BG119" i="1"/>
  <c r="BD119" i="1"/>
  <c r="BF120" i="1" s="1"/>
  <c r="BD120" i="1" s="1"/>
  <c r="BF121" i="1" s="1"/>
  <c r="BH121" i="1" s="1"/>
  <c r="BD43" i="1"/>
  <c r="BF44" i="1" s="1"/>
  <c r="BG43" i="1"/>
  <c r="BH43" i="1"/>
  <c r="BP52" i="1"/>
  <c r="BR53" i="1" s="1"/>
  <c r="BT52" i="1"/>
  <c r="BS52" i="1"/>
  <c r="BG118" i="1"/>
  <c r="BH118" i="1"/>
  <c r="BD118" i="1"/>
  <c r="BS58" i="1"/>
  <c r="BT58" i="1"/>
  <c r="BP58" i="1"/>
  <c r="BR59" i="1" s="1"/>
  <c r="BT59" i="1" s="1"/>
  <c r="BS92" i="1"/>
  <c r="BP92" i="1"/>
  <c r="BR93" i="1" s="1"/>
  <c r="BT92" i="1"/>
  <c r="BD62" i="1"/>
  <c r="BF63" i="1" s="1"/>
  <c r="BD63" i="1" s="1"/>
  <c r="BF64" i="1" s="1"/>
  <c r="BH62" i="1"/>
  <c r="BG62" i="1"/>
  <c r="BG146" i="1"/>
  <c r="BD146" i="1"/>
  <c r="BF147" i="1" s="1"/>
  <c r="BG147" i="1" s="1"/>
  <c r="BH146" i="1"/>
  <c r="BD40" i="1"/>
  <c r="BF41" i="1" s="1"/>
  <c r="BH40" i="1"/>
  <c r="BG40" i="1"/>
  <c r="BS110" i="1" l="1"/>
  <c r="BT110" i="1"/>
  <c r="BI153" i="1"/>
  <c r="BX23" i="1"/>
  <c r="BP59" i="1"/>
  <c r="BR60" i="1" s="1"/>
  <c r="BS60" i="1" s="1"/>
  <c r="BH167" i="1"/>
  <c r="BG167" i="1"/>
  <c r="BI167" i="1" s="1"/>
  <c r="BG102" i="1"/>
  <c r="BG135" i="1"/>
  <c r="BI135" i="1" s="1"/>
  <c r="BI102" i="1"/>
  <c r="BD135" i="1"/>
  <c r="BF136" i="1" s="1"/>
  <c r="BH136" i="1" s="1"/>
  <c r="BG155" i="1"/>
  <c r="BD102" i="1"/>
  <c r="BF103" i="1" s="1"/>
  <c r="BH103" i="1" s="1"/>
  <c r="BG103" i="1"/>
  <c r="BI103" i="1" s="1"/>
  <c r="BI116" i="1"/>
  <c r="BI105" i="1"/>
  <c r="BH113" i="1"/>
  <c r="BI149" i="1"/>
  <c r="BD113" i="1"/>
  <c r="BF114" i="1" s="1"/>
  <c r="BG114" i="1" s="1"/>
  <c r="BH155" i="1"/>
  <c r="BH72" i="1"/>
  <c r="BD74" i="1"/>
  <c r="BF75" i="1" s="1"/>
  <c r="BG75" i="1" s="1"/>
  <c r="BH74" i="1"/>
  <c r="BI74" i="1" s="1"/>
  <c r="BD132" i="1"/>
  <c r="BF133" i="1" s="1"/>
  <c r="BH133" i="1" s="1"/>
  <c r="BH132" i="1"/>
  <c r="BI132" i="1" s="1"/>
  <c r="BX132" i="1" s="1"/>
  <c r="BG72" i="1"/>
  <c r="BI25" i="1"/>
  <c r="BI107" i="1"/>
  <c r="BG63" i="1"/>
  <c r="BI164" i="1"/>
  <c r="BI113" i="1"/>
  <c r="BP57" i="1"/>
  <c r="BT57" i="1"/>
  <c r="BS57" i="1"/>
  <c r="BD139" i="1"/>
  <c r="BF140" i="1" s="1"/>
  <c r="BG139" i="1"/>
  <c r="BH139" i="1"/>
  <c r="BS26" i="1"/>
  <c r="BP26" i="1"/>
  <c r="BR27" i="1" s="1"/>
  <c r="BT27" i="1" s="1"/>
  <c r="BD147" i="1"/>
  <c r="BF148" i="1" s="1"/>
  <c r="BH147" i="1"/>
  <c r="BI147" i="1" s="1"/>
  <c r="BG120" i="1"/>
  <c r="BD121" i="1"/>
  <c r="BF122" i="1" s="1"/>
  <c r="BH122" i="1" s="1"/>
  <c r="BG121" i="1"/>
  <c r="BI121" i="1" s="1"/>
  <c r="BH120" i="1"/>
  <c r="BH156" i="1"/>
  <c r="BD156" i="1"/>
  <c r="BF157" i="1" s="1"/>
  <c r="BG157" i="1" s="1"/>
  <c r="BG156" i="1"/>
  <c r="BT26" i="1"/>
  <c r="BD26" i="1"/>
  <c r="BF27" i="1" s="1"/>
  <c r="BD27" i="1" s="1"/>
  <c r="BF28" i="1" s="1"/>
  <c r="BI108" i="1"/>
  <c r="BD41" i="1"/>
  <c r="BF42" i="1" s="1"/>
  <c r="BH41" i="1"/>
  <c r="BG41" i="1"/>
  <c r="BG26" i="1"/>
  <c r="BI26" i="1" s="1"/>
  <c r="BP37" i="1"/>
  <c r="BR38" i="1" s="1"/>
  <c r="BT37" i="1"/>
  <c r="BS37" i="1"/>
  <c r="BG126" i="1"/>
  <c r="BI126" i="1" s="1"/>
  <c r="BU24" i="1"/>
  <c r="BD126" i="1"/>
  <c r="BG145" i="1"/>
  <c r="BS157" i="1"/>
  <c r="BP157" i="1"/>
  <c r="BT157" i="1"/>
  <c r="BI36" i="1"/>
  <c r="BX36" i="1" s="1"/>
  <c r="BD64" i="1"/>
  <c r="BF65" i="1" s="1"/>
  <c r="BH64" i="1"/>
  <c r="BG64" i="1"/>
  <c r="BI64" i="1" s="1"/>
  <c r="BG128" i="1"/>
  <c r="BD128" i="1"/>
  <c r="BF129" i="1" s="1"/>
  <c r="BH128" i="1"/>
  <c r="BH63" i="1"/>
  <c r="BH37" i="1"/>
  <c r="BI37" i="1" s="1"/>
  <c r="BU131" i="1"/>
  <c r="BX131" i="1" s="1"/>
  <c r="BH44" i="1"/>
  <c r="BD44" i="1"/>
  <c r="BF45" i="1" s="1"/>
  <c r="BG44" i="1"/>
  <c r="BH145" i="1"/>
  <c r="BD109" i="1"/>
  <c r="BF110" i="1" s="1"/>
  <c r="BG109" i="1"/>
  <c r="BH109" i="1"/>
  <c r="BT96" i="1"/>
  <c r="BP96" i="1"/>
  <c r="BR97" i="1" s="1"/>
  <c r="BS96" i="1"/>
  <c r="BD151" i="1"/>
  <c r="BF152" i="1" s="1"/>
  <c r="BH151" i="1"/>
  <c r="BG151" i="1"/>
  <c r="BP79" i="1"/>
  <c r="BR80" i="1" s="1"/>
  <c r="BT79" i="1"/>
  <c r="BS79" i="1"/>
  <c r="BU79" i="1" s="1"/>
  <c r="BD37" i="1"/>
  <c r="BD99" i="1"/>
  <c r="BS134" i="1"/>
  <c r="BP134" i="1"/>
  <c r="BR135" i="1" s="1"/>
  <c r="BT134" i="1"/>
  <c r="BU134" i="1" s="1"/>
  <c r="BX134" i="1" s="1"/>
  <c r="BP27" i="1"/>
  <c r="BR28" i="1" s="1"/>
  <c r="BS41" i="1"/>
  <c r="BT41" i="1"/>
  <c r="BP41" i="1"/>
  <c r="BR42" i="1" s="1"/>
  <c r="BS59" i="1"/>
  <c r="BU59" i="1" s="1"/>
  <c r="BH99" i="1"/>
  <c r="BI99" i="1" s="1"/>
  <c r="BU112" i="1"/>
  <c r="BX112" i="1" s="1"/>
  <c r="BP159" i="1"/>
  <c r="BR160" i="1" s="1"/>
  <c r="BI35" i="1"/>
  <c r="BV22" i="1"/>
  <c r="BV23" i="1" s="1"/>
  <c r="BU39" i="1"/>
  <c r="BX39" i="1" s="1"/>
  <c r="BI38" i="1"/>
  <c r="BI117" i="1"/>
  <c r="BS159" i="1"/>
  <c r="BU159" i="1" s="1"/>
  <c r="BU25" i="1"/>
  <c r="BI62" i="1"/>
  <c r="BI24" i="1"/>
  <c r="BJ23" i="1"/>
  <c r="BU58" i="1"/>
  <c r="BI43" i="1"/>
  <c r="BU61" i="1"/>
  <c r="BU56" i="1"/>
  <c r="BI146" i="1"/>
  <c r="BS68" i="1"/>
  <c r="BP68" i="1"/>
  <c r="BR69" i="1" s="1"/>
  <c r="BT68" i="1"/>
  <c r="BT62" i="1"/>
  <c r="BS62" i="1"/>
  <c r="BP62" i="1"/>
  <c r="BR63" i="1" s="1"/>
  <c r="BI40" i="1"/>
  <c r="BX40" i="1" s="1"/>
  <c r="BU52" i="1"/>
  <c r="BI100" i="1"/>
  <c r="BI118" i="1"/>
  <c r="BT53" i="1"/>
  <c r="BS53" i="1"/>
  <c r="BP53" i="1"/>
  <c r="BR54" i="1" s="1"/>
  <c r="BS93" i="1"/>
  <c r="BP93" i="1"/>
  <c r="BT93" i="1"/>
  <c r="BU92" i="1"/>
  <c r="BI119" i="1"/>
  <c r="BY22" i="1"/>
  <c r="BT114" i="1"/>
  <c r="BS114" i="1"/>
  <c r="BP114" i="1"/>
  <c r="BR115" i="1" s="1"/>
  <c r="BU113" i="1"/>
  <c r="BI98" i="1"/>
  <c r="BU110" i="1" l="1"/>
  <c r="BU41" i="1"/>
  <c r="BG136" i="1"/>
  <c r="BD136" i="1"/>
  <c r="BF137" i="1" s="1"/>
  <c r="BY23" i="1"/>
  <c r="BV24" i="1"/>
  <c r="BV25" i="1" s="1"/>
  <c r="BP60" i="1"/>
  <c r="BT60" i="1"/>
  <c r="BU57" i="1"/>
  <c r="BD103" i="1"/>
  <c r="BD114" i="1"/>
  <c r="BF115" i="1" s="1"/>
  <c r="BG115" i="1" s="1"/>
  <c r="BI156" i="1"/>
  <c r="BX156" i="1" s="1"/>
  <c r="BI155" i="1"/>
  <c r="BH75" i="1"/>
  <c r="BI75" i="1" s="1"/>
  <c r="BH114" i="1"/>
  <c r="BI114" i="1" s="1"/>
  <c r="BD75" i="1"/>
  <c r="BF76" i="1" s="1"/>
  <c r="BG76" i="1" s="1"/>
  <c r="BI72" i="1"/>
  <c r="BG133" i="1"/>
  <c r="BI133" i="1" s="1"/>
  <c r="BX133" i="1" s="1"/>
  <c r="BD133" i="1"/>
  <c r="BX25" i="1"/>
  <c r="BH27" i="1"/>
  <c r="BJ24" i="1"/>
  <c r="BJ25" i="1" s="1"/>
  <c r="BJ26" i="1" s="1"/>
  <c r="BI63" i="1"/>
  <c r="BX113" i="1"/>
  <c r="BH157" i="1"/>
  <c r="BI157" i="1" s="1"/>
  <c r="BX157" i="1" s="1"/>
  <c r="BD157" i="1"/>
  <c r="BF158" i="1" s="1"/>
  <c r="BH158" i="1" s="1"/>
  <c r="BI41" i="1"/>
  <c r="BI44" i="1"/>
  <c r="BG27" i="1"/>
  <c r="BI136" i="1"/>
  <c r="BI120" i="1"/>
  <c r="BD129" i="1"/>
  <c r="BF130" i="1" s="1"/>
  <c r="BH129" i="1"/>
  <c r="BG129" i="1"/>
  <c r="BU26" i="1"/>
  <c r="BX26" i="1" s="1"/>
  <c r="BI139" i="1"/>
  <c r="BH140" i="1"/>
  <c r="BD140" i="1"/>
  <c r="BF141" i="1" s="1"/>
  <c r="BG140" i="1"/>
  <c r="BX24" i="1"/>
  <c r="BY24" i="1" s="1"/>
  <c r="BS27" i="1"/>
  <c r="BU27" i="1" s="1"/>
  <c r="BI151" i="1"/>
  <c r="BT28" i="1"/>
  <c r="BS28" i="1"/>
  <c r="BP28" i="1"/>
  <c r="BR29" i="1" s="1"/>
  <c r="BG122" i="1"/>
  <c r="BI122" i="1" s="1"/>
  <c r="BD122" i="1"/>
  <c r="BF123" i="1" s="1"/>
  <c r="BP38" i="1"/>
  <c r="BT38" i="1"/>
  <c r="BS38" i="1"/>
  <c r="BD137" i="1"/>
  <c r="BH137" i="1"/>
  <c r="BG137" i="1"/>
  <c r="BG148" i="1"/>
  <c r="BD148" i="1"/>
  <c r="BH148" i="1"/>
  <c r="BG42" i="1"/>
  <c r="BD42" i="1"/>
  <c r="BH42" i="1"/>
  <c r="BU157" i="1"/>
  <c r="BI145" i="1"/>
  <c r="BU96" i="1"/>
  <c r="BG65" i="1"/>
  <c r="BD65" i="1"/>
  <c r="BF66" i="1" s="1"/>
  <c r="BH65" i="1"/>
  <c r="BU37" i="1"/>
  <c r="BX37" i="1" s="1"/>
  <c r="BP135" i="1"/>
  <c r="BR136" i="1" s="1"/>
  <c r="BS135" i="1"/>
  <c r="BT135" i="1"/>
  <c r="BS97" i="1"/>
  <c r="BT97" i="1"/>
  <c r="BP97" i="1"/>
  <c r="BR98" i="1" s="1"/>
  <c r="BI109" i="1"/>
  <c r="BX109" i="1" s="1"/>
  <c r="BD45" i="1"/>
  <c r="BF46" i="1" s="1"/>
  <c r="BH45" i="1"/>
  <c r="BG45" i="1"/>
  <c r="BP80" i="1"/>
  <c r="BR81" i="1" s="1"/>
  <c r="BT80" i="1"/>
  <c r="BS80" i="1"/>
  <c r="BG110" i="1"/>
  <c r="BH110" i="1"/>
  <c r="BD110" i="1"/>
  <c r="BF111" i="1" s="1"/>
  <c r="BI128" i="1"/>
  <c r="BP160" i="1"/>
  <c r="BR161" i="1" s="1"/>
  <c r="BS160" i="1"/>
  <c r="BT160" i="1"/>
  <c r="BT42" i="1"/>
  <c r="BS42" i="1"/>
  <c r="BP42" i="1"/>
  <c r="BR43" i="1" s="1"/>
  <c r="BH28" i="1"/>
  <c r="BG28" i="1"/>
  <c r="BD28" i="1"/>
  <c r="BF29" i="1" s="1"/>
  <c r="BH152" i="1"/>
  <c r="BG152" i="1"/>
  <c r="BD152" i="1"/>
  <c r="BU60" i="1"/>
  <c r="BU53" i="1"/>
  <c r="BU114" i="1"/>
  <c r="BU62" i="1"/>
  <c r="BX62" i="1" s="1"/>
  <c r="BU93" i="1"/>
  <c r="BS63" i="1"/>
  <c r="BP63" i="1"/>
  <c r="BR64" i="1" s="1"/>
  <c r="BT63" i="1"/>
  <c r="BT69" i="1"/>
  <c r="BP69" i="1"/>
  <c r="BR70" i="1" s="1"/>
  <c r="BS69" i="1"/>
  <c r="BU68" i="1"/>
  <c r="BS115" i="1"/>
  <c r="BT115" i="1"/>
  <c r="BP115" i="1"/>
  <c r="BR116" i="1" s="1"/>
  <c r="BT54" i="1"/>
  <c r="BP54" i="1"/>
  <c r="BS54" i="1"/>
  <c r="BU38" i="1" l="1"/>
  <c r="BX38" i="1" s="1"/>
  <c r="BU28" i="1"/>
  <c r="BX41" i="1"/>
  <c r="BU80" i="1"/>
  <c r="BH115" i="1"/>
  <c r="BI115" i="1" s="1"/>
  <c r="BD115" i="1"/>
  <c r="BV26" i="1"/>
  <c r="BV27" i="1" s="1"/>
  <c r="BV28" i="1" s="1"/>
  <c r="BU42" i="1"/>
  <c r="BH76" i="1"/>
  <c r="BI76" i="1" s="1"/>
  <c r="BD76" i="1"/>
  <c r="BF77" i="1" s="1"/>
  <c r="BG77" i="1" s="1"/>
  <c r="BX114" i="1"/>
  <c r="BI27" i="1"/>
  <c r="BJ27" i="1" s="1"/>
  <c r="BY25" i="1"/>
  <c r="BY26" i="1" s="1"/>
  <c r="BD158" i="1"/>
  <c r="BF159" i="1" s="1"/>
  <c r="BD159" i="1" s="1"/>
  <c r="BG158" i="1"/>
  <c r="BI158" i="1" s="1"/>
  <c r="BX158" i="1" s="1"/>
  <c r="BI110" i="1"/>
  <c r="BX110" i="1" s="1"/>
  <c r="BI137" i="1"/>
  <c r="BI42" i="1"/>
  <c r="BI129" i="1"/>
  <c r="BI28" i="1"/>
  <c r="BX28" i="1" s="1"/>
  <c r="BI45" i="1"/>
  <c r="BI65" i="1"/>
  <c r="BI152" i="1"/>
  <c r="BG123" i="1"/>
  <c r="BD123" i="1"/>
  <c r="BF124" i="1" s="1"/>
  <c r="BH123" i="1"/>
  <c r="BS29" i="1"/>
  <c r="BP29" i="1"/>
  <c r="BR30" i="1" s="1"/>
  <c r="BT29" i="1"/>
  <c r="BI148" i="1"/>
  <c r="BI140" i="1"/>
  <c r="BH130" i="1"/>
  <c r="BG130" i="1"/>
  <c r="BD130" i="1"/>
  <c r="BG141" i="1"/>
  <c r="BD141" i="1"/>
  <c r="BF142" i="1" s="1"/>
  <c r="BH141" i="1"/>
  <c r="BH66" i="1"/>
  <c r="BG66" i="1"/>
  <c r="BD66" i="1"/>
  <c r="BF67" i="1" s="1"/>
  <c r="BU69" i="1"/>
  <c r="BS70" i="1"/>
  <c r="BT70" i="1"/>
  <c r="BP70" i="1"/>
  <c r="BR71" i="1" s="1"/>
  <c r="BT81" i="1"/>
  <c r="BS81" i="1"/>
  <c r="BP81" i="1"/>
  <c r="BR82" i="1" s="1"/>
  <c r="BU135" i="1"/>
  <c r="BX135" i="1" s="1"/>
  <c r="BD29" i="1"/>
  <c r="BF30" i="1" s="1"/>
  <c r="BH29" i="1"/>
  <c r="BG29" i="1"/>
  <c r="BI29" i="1" s="1"/>
  <c r="BS43" i="1"/>
  <c r="BT43" i="1"/>
  <c r="BP43" i="1"/>
  <c r="BR44" i="1" s="1"/>
  <c r="BT98" i="1"/>
  <c r="BS98" i="1"/>
  <c r="BP98" i="1"/>
  <c r="BR99" i="1" s="1"/>
  <c r="BU97" i="1"/>
  <c r="BX97" i="1" s="1"/>
  <c r="BD46" i="1"/>
  <c r="BF47" i="1" s="1"/>
  <c r="BH46" i="1"/>
  <c r="BG46" i="1"/>
  <c r="BU160" i="1"/>
  <c r="BX160" i="1" s="1"/>
  <c r="BP161" i="1"/>
  <c r="BR162" i="1" s="1"/>
  <c r="BT161" i="1"/>
  <c r="BS161" i="1"/>
  <c r="BP136" i="1"/>
  <c r="BR137" i="1" s="1"/>
  <c r="BS136" i="1"/>
  <c r="BT136" i="1"/>
  <c r="BG111" i="1"/>
  <c r="BD111" i="1"/>
  <c r="BH111" i="1"/>
  <c r="BU54" i="1"/>
  <c r="BU63" i="1"/>
  <c r="BX63" i="1" s="1"/>
  <c r="BT116" i="1"/>
  <c r="BP116" i="1"/>
  <c r="BR117" i="1" s="1"/>
  <c r="BS116" i="1"/>
  <c r="BU115" i="1"/>
  <c r="BX115" i="1" s="1"/>
  <c r="BT64" i="1"/>
  <c r="BS64" i="1"/>
  <c r="BP64" i="1"/>
  <c r="BR65" i="1" s="1"/>
  <c r="BU81" i="1" l="1"/>
  <c r="BX42" i="1"/>
  <c r="BH77" i="1"/>
  <c r="BI77" i="1" s="1"/>
  <c r="BD77" i="1"/>
  <c r="BF78" i="1" s="1"/>
  <c r="BG78" i="1" s="1"/>
  <c r="BJ28" i="1"/>
  <c r="BJ29" i="1" s="1"/>
  <c r="BI141" i="1"/>
  <c r="BI46" i="1"/>
  <c r="BX27" i="1"/>
  <c r="BY27" i="1" s="1"/>
  <c r="BY28" i="1" s="1"/>
  <c r="BH159" i="1"/>
  <c r="BG159" i="1"/>
  <c r="BI130" i="1"/>
  <c r="BX130" i="1" s="1"/>
  <c r="BI66" i="1"/>
  <c r="BD67" i="1"/>
  <c r="BF68" i="1" s="1"/>
  <c r="BG67" i="1"/>
  <c r="BH67" i="1"/>
  <c r="BH142" i="1"/>
  <c r="BG142" i="1"/>
  <c r="BD142" i="1"/>
  <c r="BF143" i="1" s="1"/>
  <c r="BS30" i="1"/>
  <c r="BP30" i="1"/>
  <c r="BR31" i="1" s="1"/>
  <c r="BT30" i="1"/>
  <c r="BU29" i="1"/>
  <c r="BV29" i="1" s="1"/>
  <c r="BG124" i="1"/>
  <c r="BD124" i="1"/>
  <c r="BH124" i="1"/>
  <c r="BU161" i="1"/>
  <c r="BX161" i="1" s="1"/>
  <c r="BU43" i="1"/>
  <c r="BX43" i="1" s="1"/>
  <c r="BT71" i="1"/>
  <c r="BP71" i="1"/>
  <c r="BR72" i="1" s="1"/>
  <c r="BS71" i="1"/>
  <c r="BI123" i="1"/>
  <c r="BH78" i="1"/>
  <c r="BU70" i="1"/>
  <c r="BS137" i="1"/>
  <c r="BT137" i="1"/>
  <c r="BU137" i="1" s="1"/>
  <c r="BX137" i="1" s="1"/>
  <c r="BP137" i="1"/>
  <c r="BR138" i="1" s="1"/>
  <c r="BT44" i="1"/>
  <c r="BS44" i="1"/>
  <c r="BU44" i="1" s="1"/>
  <c r="BX44" i="1" s="1"/>
  <c r="BP44" i="1"/>
  <c r="BR45" i="1" s="1"/>
  <c r="BS117" i="1"/>
  <c r="BP117" i="1"/>
  <c r="BR118" i="1" s="1"/>
  <c r="BT117" i="1"/>
  <c r="BP162" i="1"/>
  <c r="BR163" i="1" s="1"/>
  <c r="BS162" i="1"/>
  <c r="BT162" i="1"/>
  <c r="BS65" i="1"/>
  <c r="BT65" i="1"/>
  <c r="BU65" i="1" s="1"/>
  <c r="BX65" i="1" s="1"/>
  <c r="BP65" i="1"/>
  <c r="BR66" i="1" s="1"/>
  <c r="BI111" i="1"/>
  <c r="BX111" i="1" s="1"/>
  <c r="BG47" i="1"/>
  <c r="BD47" i="1"/>
  <c r="BF48" i="1" s="1"/>
  <c r="BH47" i="1"/>
  <c r="BD30" i="1"/>
  <c r="BF31" i="1" s="1"/>
  <c r="BH30" i="1"/>
  <c r="BG30" i="1"/>
  <c r="BS82" i="1"/>
  <c r="BP82" i="1"/>
  <c r="BR83" i="1" s="1"/>
  <c r="BT82" i="1"/>
  <c r="BS99" i="1"/>
  <c r="BP99" i="1"/>
  <c r="BR100" i="1" s="1"/>
  <c r="BT99" i="1"/>
  <c r="BU136" i="1"/>
  <c r="BX136" i="1" s="1"/>
  <c r="BU98" i="1"/>
  <c r="BX98" i="1" s="1"/>
  <c r="BU64" i="1"/>
  <c r="BX64" i="1" s="1"/>
  <c r="BU116" i="1"/>
  <c r="BX116" i="1" s="1"/>
  <c r="BU71" i="1" l="1"/>
  <c r="BX71" i="1" s="1"/>
  <c r="BI159" i="1"/>
  <c r="BX159" i="1" s="1"/>
  <c r="BD78" i="1"/>
  <c r="BF79" i="1" s="1"/>
  <c r="BI142" i="1"/>
  <c r="BI78" i="1"/>
  <c r="BX78" i="1" s="1"/>
  <c r="BI30" i="1"/>
  <c r="BT66" i="1"/>
  <c r="BS66" i="1"/>
  <c r="BP66" i="1"/>
  <c r="BT31" i="1"/>
  <c r="BP31" i="1"/>
  <c r="BR32" i="1" s="1"/>
  <c r="BS31" i="1"/>
  <c r="BU31" i="1" s="1"/>
  <c r="BU30" i="1"/>
  <c r="BV30" i="1" s="1"/>
  <c r="BV31" i="1" s="1"/>
  <c r="BH143" i="1"/>
  <c r="BG143" i="1"/>
  <c r="BI143" i="1" s="1"/>
  <c r="BD143" i="1"/>
  <c r="BH48" i="1"/>
  <c r="BG48" i="1"/>
  <c r="BD48" i="1"/>
  <c r="BF49" i="1" s="1"/>
  <c r="BU162" i="1"/>
  <c r="BX162" i="1" s="1"/>
  <c r="BP138" i="1"/>
  <c r="BR139" i="1" s="1"/>
  <c r="BS138" i="1"/>
  <c r="BT138" i="1"/>
  <c r="BP72" i="1"/>
  <c r="BR73" i="1" s="1"/>
  <c r="BT72" i="1"/>
  <c r="BS72" i="1"/>
  <c r="BU72" i="1" s="1"/>
  <c r="BX72" i="1" s="1"/>
  <c r="BX29" i="1"/>
  <c r="BY29" i="1" s="1"/>
  <c r="BU117" i="1"/>
  <c r="BX117" i="1" s="1"/>
  <c r="BI124" i="1"/>
  <c r="BI67" i="1"/>
  <c r="BX67" i="1" s="1"/>
  <c r="BD79" i="1"/>
  <c r="BF80" i="1" s="1"/>
  <c r="BH79" i="1"/>
  <c r="BG79" i="1"/>
  <c r="BH68" i="1"/>
  <c r="BG68" i="1"/>
  <c r="BD68" i="1"/>
  <c r="BF69" i="1" s="1"/>
  <c r="BP163" i="1"/>
  <c r="BR164" i="1" s="1"/>
  <c r="BS163" i="1"/>
  <c r="BT163" i="1"/>
  <c r="BP100" i="1"/>
  <c r="BR101" i="1" s="1"/>
  <c r="BS100" i="1"/>
  <c r="BT100" i="1"/>
  <c r="BU99" i="1"/>
  <c r="BX99" i="1" s="1"/>
  <c r="BS83" i="1"/>
  <c r="BT83" i="1"/>
  <c r="BP83" i="1"/>
  <c r="BR84" i="1" s="1"/>
  <c r="BS118" i="1"/>
  <c r="BP118" i="1"/>
  <c r="BR119" i="1" s="1"/>
  <c r="BT118" i="1"/>
  <c r="BU82" i="1"/>
  <c r="BD31" i="1"/>
  <c r="BF32" i="1" s="1"/>
  <c r="BG31" i="1"/>
  <c r="BH31" i="1"/>
  <c r="BT45" i="1"/>
  <c r="BS45" i="1"/>
  <c r="BU45" i="1" s="1"/>
  <c r="BX45" i="1" s="1"/>
  <c r="BP45" i="1"/>
  <c r="BR46" i="1" s="1"/>
  <c r="BI47" i="1"/>
  <c r="BX30" i="1" l="1"/>
  <c r="BY30" i="1" s="1"/>
  <c r="BJ30" i="1"/>
  <c r="BI79" i="1"/>
  <c r="BX79" i="1" s="1"/>
  <c r="BI48" i="1"/>
  <c r="BD49" i="1"/>
  <c r="BF50" i="1" s="1"/>
  <c r="BH49" i="1"/>
  <c r="BG49" i="1"/>
  <c r="BD80" i="1"/>
  <c r="BF81" i="1" s="1"/>
  <c r="BH80" i="1"/>
  <c r="BG80" i="1"/>
  <c r="BP73" i="1"/>
  <c r="BR74" i="1" s="1"/>
  <c r="BT73" i="1"/>
  <c r="BS73" i="1"/>
  <c r="BU73" i="1" s="1"/>
  <c r="BX73" i="1" s="1"/>
  <c r="BP32" i="1"/>
  <c r="BR33" i="1" s="1"/>
  <c r="BS32" i="1"/>
  <c r="BT32" i="1"/>
  <c r="BD69" i="1"/>
  <c r="BF70" i="1" s="1"/>
  <c r="BG69" i="1"/>
  <c r="BH69" i="1"/>
  <c r="BU138" i="1"/>
  <c r="BX138" i="1" s="1"/>
  <c r="BI68" i="1"/>
  <c r="BX68" i="1" s="1"/>
  <c r="BS139" i="1"/>
  <c r="BP139" i="1"/>
  <c r="BR140" i="1" s="1"/>
  <c r="BT139" i="1"/>
  <c r="BU66" i="1"/>
  <c r="BX66" i="1" s="1"/>
  <c r="BS119" i="1"/>
  <c r="BP119" i="1"/>
  <c r="BR120" i="1" s="1"/>
  <c r="BT119" i="1"/>
  <c r="BU118" i="1"/>
  <c r="BX118" i="1" s="1"/>
  <c r="BU100" i="1"/>
  <c r="BX100" i="1" s="1"/>
  <c r="BS101" i="1"/>
  <c r="BT101" i="1"/>
  <c r="BP101" i="1"/>
  <c r="BR102" i="1" s="1"/>
  <c r="BT46" i="1"/>
  <c r="BS46" i="1"/>
  <c r="BU46" i="1" s="1"/>
  <c r="BX46" i="1" s="1"/>
  <c r="BP46" i="1"/>
  <c r="BR47" i="1" s="1"/>
  <c r="BT84" i="1"/>
  <c r="BS84" i="1"/>
  <c r="BU84" i="1" s="1"/>
  <c r="BP84" i="1"/>
  <c r="BR85" i="1" s="1"/>
  <c r="BU163" i="1"/>
  <c r="BX163" i="1" s="1"/>
  <c r="BS164" i="1"/>
  <c r="BP164" i="1"/>
  <c r="BR165" i="1" s="1"/>
  <c r="BT164" i="1"/>
  <c r="BU83" i="1"/>
  <c r="BI31" i="1"/>
  <c r="BD32" i="1"/>
  <c r="BF33" i="1" s="1"/>
  <c r="BG32" i="1"/>
  <c r="BH32" i="1"/>
  <c r="BI69" i="1" l="1"/>
  <c r="BX69" i="1" s="1"/>
  <c r="BI80" i="1"/>
  <c r="BX80" i="1" s="1"/>
  <c r="BG50" i="1"/>
  <c r="BH50" i="1"/>
  <c r="BD50" i="1"/>
  <c r="BF51" i="1" s="1"/>
  <c r="BD70" i="1"/>
  <c r="BH70" i="1"/>
  <c r="BG70" i="1"/>
  <c r="BI70" i="1" s="1"/>
  <c r="BX70" i="1" s="1"/>
  <c r="BU32" i="1"/>
  <c r="BV32" i="1" s="1"/>
  <c r="BS33" i="1"/>
  <c r="BT33" i="1"/>
  <c r="BU33" i="1" s="1"/>
  <c r="BP33" i="1"/>
  <c r="BR34" i="1" s="1"/>
  <c r="BS74" i="1"/>
  <c r="BT74" i="1"/>
  <c r="BP74" i="1"/>
  <c r="BR75" i="1" s="1"/>
  <c r="BT140" i="1"/>
  <c r="BS140" i="1"/>
  <c r="BU140" i="1" s="1"/>
  <c r="BX140" i="1" s="1"/>
  <c r="BP140" i="1"/>
  <c r="BR141" i="1" s="1"/>
  <c r="BU139" i="1"/>
  <c r="BX139" i="1" s="1"/>
  <c r="BD81" i="1"/>
  <c r="BF82" i="1" s="1"/>
  <c r="BG81" i="1"/>
  <c r="BH81" i="1"/>
  <c r="BU164" i="1"/>
  <c r="BX164" i="1" s="1"/>
  <c r="BI49" i="1"/>
  <c r="BP165" i="1"/>
  <c r="BR166" i="1" s="1"/>
  <c r="BS165" i="1"/>
  <c r="BT165" i="1"/>
  <c r="BS85" i="1"/>
  <c r="BT85" i="1"/>
  <c r="BP85" i="1"/>
  <c r="BR86" i="1" s="1"/>
  <c r="BS47" i="1"/>
  <c r="BT47" i="1"/>
  <c r="BP47" i="1"/>
  <c r="BR48" i="1" s="1"/>
  <c r="BI32" i="1"/>
  <c r="BP102" i="1"/>
  <c r="BR103" i="1" s="1"/>
  <c r="BS102" i="1"/>
  <c r="BT102" i="1"/>
  <c r="BS120" i="1"/>
  <c r="BT120" i="1"/>
  <c r="BP120" i="1"/>
  <c r="BR121" i="1" s="1"/>
  <c r="BH33" i="1"/>
  <c r="BG33" i="1"/>
  <c r="BD33" i="1"/>
  <c r="BF34" i="1" s="1"/>
  <c r="BU119" i="1"/>
  <c r="BX119" i="1" s="1"/>
  <c r="BX31" i="1"/>
  <c r="BY31" i="1" s="1"/>
  <c r="BJ31" i="1"/>
  <c r="BU101" i="1"/>
  <c r="BX101" i="1" s="1"/>
  <c r="BU47" i="1" l="1"/>
  <c r="BX47" i="1" s="1"/>
  <c r="BX32" i="1"/>
  <c r="BI33" i="1"/>
  <c r="BX33" i="1" s="1"/>
  <c r="BP141" i="1"/>
  <c r="BR142" i="1" s="1"/>
  <c r="BS141" i="1"/>
  <c r="BT141" i="1"/>
  <c r="BU141" i="1" s="1"/>
  <c r="BX141" i="1" s="1"/>
  <c r="BD51" i="1"/>
  <c r="BF52" i="1" s="1"/>
  <c r="BH51" i="1"/>
  <c r="BG51" i="1"/>
  <c r="BJ32" i="1"/>
  <c r="BI50" i="1"/>
  <c r="BP75" i="1"/>
  <c r="BR76" i="1" s="1"/>
  <c r="BT75" i="1"/>
  <c r="BS75" i="1"/>
  <c r="BU75" i="1" s="1"/>
  <c r="BX75" i="1" s="1"/>
  <c r="BH34" i="1"/>
  <c r="BD34" i="1"/>
  <c r="BG34" i="1"/>
  <c r="BU74" i="1"/>
  <c r="BX74" i="1" s="1"/>
  <c r="BS34" i="1"/>
  <c r="BT34" i="1"/>
  <c r="BP34" i="1"/>
  <c r="BR35" i="1" s="1"/>
  <c r="BS121" i="1"/>
  <c r="BT121" i="1"/>
  <c r="BU121" i="1" s="1"/>
  <c r="BX121" i="1" s="1"/>
  <c r="BP121" i="1"/>
  <c r="BR122" i="1" s="1"/>
  <c r="BV33" i="1"/>
  <c r="BI81" i="1"/>
  <c r="BX81" i="1" s="1"/>
  <c r="BH82" i="1"/>
  <c r="BG82" i="1"/>
  <c r="BD82" i="1"/>
  <c r="BF83" i="1" s="1"/>
  <c r="BY32" i="1"/>
  <c r="BP166" i="1"/>
  <c r="BR167" i="1" s="1"/>
  <c r="BS166" i="1"/>
  <c r="BT166" i="1"/>
  <c r="BS48" i="1"/>
  <c r="BT48" i="1"/>
  <c r="BU48" i="1" s="1"/>
  <c r="BX48" i="1" s="1"/>
  <c r="BP48" i="1"/>
  <c r="BR49" i="1" s="1"/>
  <c r="BU120" i="1"/>
  <c r="BX120" i="1" s="1"/>
  <c r="BP86" i="1"/>
  <c r="BR87" i="1" s="1"/>
  <c r="BT86" i="1"/>
  <c r="BS86" i="1"/>
  <c r="BU86" i="1" s="1"/>
  <c r="BU102" i="1"/>
  <c r="BX102" i="1" s="1"/>
  <c r="BS103" i="1"/>
  <c r="BT103" i="1"/>
  <c r="BP103" i="1"/>
  <c r="BR104" i="1" s="1"/>
  <c r="BU85" i="1"/>
  <c r="BU165" i="1"/>
  <c r="BX165" i="1" s="1"/>
  <c r="BJ33" i="1" l="1"/>
  <c r="BI51" i="1"/>
  <c r="BI82" i="1"/>
  <c r="BX82" i="1" s="1"/>
  <c r="BY33" i="1"/>
  <c r="BI34" i="1"/>
  <c r="BS142" i="1"/>
  <c r="BT142" i="1"/>
  <c r="BP142" i="1"/>
  <c r="BR143" i="1" s="1"/>
  <c r="BU34" i="1"/>
  <c r="BV34" i="1" s="1"/>
  <c r="BH83" i="1"/>
  <c r="BD83" i="1"/>
  <c r="BF84" i="1" s="1"/>
  <c r="BG83" i="1"/>
  <c r="BI83" i="1" s="1"/>
  <c r="BX83" i="1" s="1"/>
  <c r="BS76" i="1"/>
  <c r="BP76" i="1"/>
  <c r="BR77" i="1" s="1"/>
  <c r="BT76" i="1"/>
  <c r="BS122" i="1"/>
  <c r="BT122" i="1"/>
  <c r="BP122" i="1"/>
  <c r="BR123" i="1" s="1"/>
  <c r="BT167" i="1"/>
  <c r="BP167" i="1"/>
  <c r="BS167" i="1"/>
  <c r="BU167" i="1" s="1"/>
  <c r="BX167" i="1" s="1"/>
  <c r="BT35" i="1"/>
  <c r="BS35" i="1"/>
  <c r="BU35" i="1" s="1"/>
  <c r="BX35" i="1" s="1"/>
  <c r="BP35" i="1"/>
  <c r="BG52" i="1"/>
  <c r="BD52" i="1"/>
  <c r="BF53" i="1" s="1"/>
  <c r="BH52" i="1"/>
  <c r="BS104" i="1"/>
  <c r="BT104" i="1"/>
  <c r="BP104" i="1"/>
  <c r="BR105" i="1" s="1"/>
  <c r="BT49" i="1"/>
  <c r="BS49" i="1"/>
  <c r="BU49" i="1" s="1"/>
  <c r="BP49" i="1"/>
  <c r="BR50" i="1" s="1"/>
  <c r="BU103" i="1"/>
  <c r="BX103" i="1" s="1"/>
  <c r="BU166" i="1"/>
  <c r="BX166" i="1" s="1"/>
  <c r="BT87" i="1"/>
  <c r="BP87" i="1"/>
  <c r="BR88" i="1" s="1"/>
  <c r="BS87" i="1"/>
  <c r="BV35" i="1" l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X34" i="1"/>
  <c r="BY34" i="1" s="1"/>
  <c r="BJ34" i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P143" i="1"/>
  <c r="BR144" i="1" s="1"/>
  <c r="BS143" i="1"/>
  <c r="BT143" i="1"/>
  <c r="BU122" i="1"/>
  <c r="BX122" i="1" s="1"/>
  <c r="BU142" i="1"/>
  <c r="BX142" i="1" s="1"/>
  <c r="BH53" i="1"/>
  <c r="BG53" i="1"/>
  <c r="BI53" i="1" s="1"/>
  <c r="BX53" i="1" s="1"/>
  <c r="BD53" i="1"/>
  <c r="BF54" i="1" s="1"/>
  <c r="BI52" i="1"/>
  <c r="BS77" i="1"/>
  <c r="BP77" i="1"/>
  <c r="BT77" i="1"/>
  <c r="BU76" i="1"/>
  <c r="BX76" i="1" s="1"/>
  <c r="BY35" i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H84" i="1"/>
  <c r="BD84" i="1"/>
  <c r="BF85" i="1" s="1"/>
  <c r="BG84" i="1"/>
  <c r="BI84" i="1" s="1"/>
  <c r="BX84" i="1" s="1"/>
  <c r="BT105" i="1"/>
  <c r="BP105" i="1"/>
  <c r="BR106" i="1" s="1"/>
  <c r="BS105" i="1"/>
  <c r="BU104" i="1"/>
  <c r="BX104" i="1" s="1"/>
  <c r="BT123" i="1"/>
  <c r="BS123" i="1"/>
  <c r="BU123" i="1" s="1"/>
  <c r="BX123" i="1" s="1"/>
  <c r="BP123" i="1"/>
  <c r="BR124" i="1" s="1"/>
  <c r="BT50" i="1"/>
  <c r="BS50" i="1"/>
  <c r="BP50" i="1"/>
  <c r="BR51" i="1" s="1"/>
  <c r="BX49" i="1"/>
  <c r="BU87" i="1"/>
  <c r="BS88" i="1"/>
  <c r="BP88" i="1"/>
  <c r="BR89" i="1" s="1"/>
  <c r="BT88" i="1"/>
  <c r="BU50" i="1" l="1"/>
  <c r="BX50" i="1" s="1"/>
  <c r="BU105" i="1"/>
  <c r="BX105" i="1" s="1"/>
  <c r="BG85" i="1"/>
  <c r="BD85" i="1"/>
  <c r="BF86" i="1" s="1"/>
  <c r="BH85" i="1"/>
  <c r="BU143" i="1"/>
  <c r="BX143" i="1" s="1"/>
  <c r="BS144" i="1"/>
  <c r="BT144" i="1"/>
  <c r="BP144" i="1"/>
  <c r="BR145" i="1" s="1"/>
  <c r="BP124" i="1"/>
  <c r="BR125" i="1" s="1"/>
  <c r="BT124" i="1"/>
  <c r="BS124" i="1"/>
  <c r="BU124" i="1" s="1"/>
  <c r="BX124" i="1" s="1"/>
  <c r="BU77" i="1"/>
  <c r="BX77" i="1" s="1"/>
  <c r="BX52" i="1"/>
  <c r="BJ52" i="1"/>
  <c r="BJ53" i="1" s="1"/>
  <c r="BG54" i="1"/>
  <c r="BH54" i="1"/>
  <c r="BD54" i="1"/>
  <c r="BF55" i="1" s="1"/>
  <c r="BP106" i="1"/>
  <c r="BR107" i="1" s="1"/>
  <c r="BS106" i="1"/>
  <c r="BT106" i="1"/>
  <c r="BT89" i="1"/>
  <c r="BS89" i="1"/>
  <c r="BU89" i="1" s="1"/>
  <c r="BP89" i="1"/>
  <c r="BR90" i="1" s="1"/>
  <c r="BU88" i="1"/>
  <c r="BY49" i="1"/>
  <c r="BY50" i="1" s="1"/>
  <c r="BS51" i="1"/>
  <c r="BT51" i="1"/>
  <c r="BP51" i="1"/>
  <c r="BV50" i="1"/>
  <c r="BI54" i="1" l="1"/>
  <c r="BX54" i="1" s="1"/>
  <c r="BG86" i="1"/>
  <c r="BD86" i="1"/>
  <c r="BF87" i="1" s="1"/>
  <c r="BH86" i="1"/>
  <c r="BS125" i="1"/>
  <c r="BT125" i="1"/>
  <c r="BP125" i="1"/>
  <c r="BR126" i="1" s="1"/>
  <c r="BP145" i="1"/>
  <c r="BR146" i="1" s="1"/>
  <c r="BT145" i="1"/>
  <c r="BS145" i="1"/>
  <c r="BU106" i="1"/>
  <c r="BX106" i="1" s="1"/>
  <c r="BS107" i="1"/>
  <c r="BT107" i="1"/>
  <c r="BU107" i="1" s="1"/>
  <c r="BX107" i="1" s="1"/>
  <c r="BP107" i="1"/>
  <c r="BR108" i="1" s="1"/>
  <c r="BU144" i="1"/>
  <c r="BX144" i="1" s="1"/>
  <c r="BD55" i="1"/>
  <c r="BF56" i="1" s="1"/>
  <c r="BG55" i="1"/>
  <c r="BH55" i="1"/>
  <c r="BI85" i="1"/>
  <c r="BX85" i="1" s="1"/>
  <c r="BU51" i="1"/>
  <c r="BS90" i="1"/>
  <c r="BT90" i="1"/>
  <c r="BP90" i="1"/>
  <c r="BR91" i="1" s="1"/>
  <c r="BU145" i="1" l="1"/>
  <c r="BX145" i="1" s="1"/>
  <c r="BJ54" i="1"/>
  <c r="BI86" i="1"/>
  <c r="BX86" i="1" s="1"/>
  <c r="BH87" i="1"/>
  <c r="BG87" i="1"/>
  <c r="BD87" i="1"/>
  <c r="BF88" i="1" s="1"/>
  <c r="BT146" i="1"/>
  <c r="BS146" i="1"/>
  <c r="BU146" i="1" s="1"/>
  <c r="BX146" i="1" s="1"/>
  <c r="BP146" i="1"/>
  <c r="BR147" i="1" s="1"/>
  <c r="BS126" i="1"/>
  <c r="BT126" i="1"/>
  <c r="BU126" i="1" s="1"/>
  <c r="BX126" i="1" s="1"/>
  <c r="BP126" i="1"/>
  <c r="BR127" i="1" s="1"/>
  <c r="BU125" i="1"/>
  <c r="BX125" i="1" s="1"/>
  <c r="BI55" i="1"/>
  <c r="BG56" i="1"/>
  <c r="BH56" i="1"/>
  <c r="BD56" i="1"/>
  <c r="BF57" i="1" s="1"/>
  <c r="BS108" i="1"/>
  <c r="BT108" i="1"/>
  <c r="BP108" i="1"/>
  <c r="BP91" i="1"/>
  <c r="BS91" i="1"/>
  <c r="BT91" i="1"/>
  <c r="BU90" i="1"/>
  <c r="BX51" i="1"/>
  <c r="BV51" i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I87" i="1" l="1"/>
  <c r="BX87" i="1" s="1"/>
  <c r="BH88" i="1"/>
  <c r="BG88" i="1"/>
  <c r="BD88" i="1"/>
  <c r="BF89" i="1" s="1"/>
  <c r="BU108" i="1"/>
  <c r="BX108" i="1" s="1"/>
  <c r="BG57" i="1"/>
  <c r="BH57" i="1"/>
  <c r="BI57" i="1" s="1"/>
  <c r="BX57" i="1" s="1"/>
  <c r="BD57" i="1"/>
  <c r="BF58" i="1" s="1"/>
  <c r="BI56" i="1"/>
  <c r="BX56" i="1" s="1"/>
  <c r="BX55" i="1"/>
  <c r="BT127" i="1"/>
  <c r="BP127" i="1"/>
  <c r="BR128" i="1" s="1"/>
  <c r="BS127" i="1"/>
  <c r="BU127" i="1" s="1"/>
  <c r="BX127" i="1" s="1"/>
  <c r="BP147" i="1"/>
  <c r="BR148" i="1" s="1"/>
  <c r="BS147" i="1"/>
  <c r="BT147" i="1"/>
  <c r="BJ55" i="1"/>
  <c r="BY51" i="1"/>
  <c r="BY52" i="1" s="1"/>
  <c r="BY53" i="1" s="1"/>
  <c r="BY54" i="1" s="1"/>
  <c r="BU91" i="1"/>
  <c r="BU147" i="1" l="1"/>
  <c r="BX147" i="1" s="1"/>
  <c r="BI88" i="1"/>
  <c r="BX88" i="1" s="1"/>
  <c r="BH89" i="1"/>
  <c r="BD89" i="1"/>
  <c r="BF90" i="1" s="1"/>
  <c r="BG89" i="1"/>
  <c r="BT148" i="1"/>
  <c r="BS148" i="1"/>
  <c r="BU148" i="1" s="1"/>
  <c r="BX148" i="1" s="1"/>
  <c r="BP148" i="1"/>
  <c r="BR149" i="1" s="1"/>
  <c r="BS128" i="1"/>
  <c r="BT128" i="1"/>
  <c r="BP128" i="1"/>
  <c r="BR129" i="1" s="1"/>
  <c r="BG58" i="1"/>
  <c r="BH58" i="1"/>
  <c r="BD58" i="1"/>
  <c r="BF59" i="1" s="1"/>
  <c r="BY55" i="1"/>
  <c r="BY56" i="1" s="1"/>
  <c r="BY57" i="1" s="1"/>
  <c r="BJ56" i="1"/>
  <c r="BJ57" i="1" s="1"/>
  <c r="BV91" i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I89" i="1" l="1"/>
  <c r="BX89" i="1" s="1"/>
  <c r="BG90" i="1"/>
  <c r="BD90" i="1"/>
  <c r="BF91" i="1" s="1"/>
  <c r="BH90" i="1"/>
  <c r="BH59" i="1"/>
  <c r="BD59" i="1"/>
  <c r="BF60" i="1" s="1"/>
  <c r="BG59" i="1"/>
  <c r="BI58" i="1"/>
  <c r="BT129" i="1"/>
  <c r="BS129" i="1"/>
  <c r="BU129" i="1" s="1"/>
  <c r="BX129" i="1" s="1"/>
  <c r="BP129" i="1"/>
  <c r="BU128" i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T149" i="1"/>
  <c r="BP149" i="1"/>
  <c r="BR150" i="1" s="1"/>
  <c r="BS149" i="1"/>
  <c r="BI59" i="1" l="1"/>
  <c r="BX59" i="1" s="1"/>
  <c r="BU149" i="1"/>
  <c r="BX149" i="1" s="1"/>
  <c r="BH91" i="1"/>
  <c r="BG91" i="1"/>
  <c r="BD91" i="1"/>
  <c r="BF92" i="1" s="1"/>
  <c r="BP150" i="1"/>
  <c r="BR151" i="1" s="1"/>
  <c r="BS150" i="1"/>
  <c r="BT150" i="1"/>
  <c r="BI90" i="1"/>
  <c r="BX90" i="1" s="1"/>
  <c r="BX128" i="1"/>
  <c r="BX58" i="1"/>
  <c r="BH60" i="1"/>
  <c r="BD60" i="1"/>
  <c r="BF61" i="1" s="1"/>
  <c r="BG60" i="1"/>
  <c r="BI60" i="1" s="1"/>
  <c r="BX60" i="1" s="1"/>
  <c r="BJ58" i="1"/>
  <c r="BJ59" i="1" s="1"/>
  <c r="BV149" i="1" l="1"/>
  <c r="BI91" i="1"/>
  <c r="BX91" i="1" s="1"/>
  <c r="BD61" i="1"/>
  <c r="BH61" i="1"/>
  <c r="BG61" i="1"/>
  <c r="BY58" i="1"/>
  <c r="BY59" i="1" s="1"/>
  <c r="BY60" i="1" s="1"/>
  <c r="BU150" i="1"/>
  <c r="BT151" i="1"/>
  <c r="BP151" i="1"/>
  <c r="BR152" i="1" s="1"/>
  <c r="BS151" i="1"/>
  <c r="BU151" i="1" s="1"/>
  <c r="BX151" i="1" s="1"/>
  <c r="BJ60" i="1"/>
  <c r="BD92" i="1"/>
  <c r="BF93" i="1" s="1"/>
  <c r="BG92" i="1"/>
  <c r="BH92" i="1"/>
  <c r="BI61" i="1" l="1"/>
  <c r="BX61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I92" i="1"/>
  <c r="BX92" i="1" s="1"/>
  <c r="BH93" i="1"/>
  <c r="BD93" i="1"/>
  <c r="BF94" i="1" s="1"/>
  <c r="BG93" i="1"/>
  <c r="BT152" i="1"/>
  <c r="BS152" i="1"/>
  <c r="BU152" i="1" s="1"/>
  <c r="BX152" i="1" s="1"/>
  <c r="BP152" i="1"/>
  <c r="BR153" i="1" s="1"/>
  <c r="BX150" i="1"/>
  <c r="BV150" i="1"/>
  <c r="BV151" i="1" s="1"/>
  <c r="BV152" i="1" s="1"/>
  <c r="BJ61" i="1" l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Y92" i="1"/>
  <c r="BP153" i="1"/>
  <c r="BR154" i="1" s="1"/>
  <c r="BS153" i="1"/>
  <c r="BT153" i="1"/>
  <c r="BI93" i="1"/>
  <c r="BX93" i="1" s="1"/>
  <c r="BG94" i="1"/>
  <c r="BH94" i="1"/>
  <c r="BD94" i="1"/>
  <c r="BF95" i="1" s="1"/>
  <c r="BY93" i="1" l="1"/>
  <c r="BG95" i="1"/>
  <c r="BH95" i="1"/>
  <c r="BD95" i="1"/>
  <c r="BF96" i="1" s="1"/>
  <c r="BI94" i="1"/>
  <c r="BX94" i="1" s="1"/>
  <c r="BJ93" i="1"/>
  <c r="BJ94" i="1" s="1"/>
  <c r="BU153" i="1"/>
  <c r="BT154" i="1"/>
  <c r="BS154" i="1"/>
  <c r="BU154" i="1" s="1"/>
  <c r="BX154" i="1" s="1"/>
  <c r="BP154" i="1"/>
  <c r="BR155" i="1" s="1"/>
  <c r="BY94" i="1" l="1"/>
  <c r="BI95" i="1"/>
  <c r="BX95" i="1" s="1"/>
  <c r="BP155" i="1"/>
  <c r="BT155" i="1"/>
  <c r="BS155" i="1"/>
  <c r="BU155" i="1" s="1"/>
  <c r="BX155" i="1" s="1"/>
  <c r="BX153" i="1"/>
  <c r="BV9" i="1"/>
  <c r="BV10" i="1"/>
  <c r="BV153" i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H96" i="1"/>
  <c r="BD96" i="1"/>
  <c r="BG96" i="1"/>
  <c r="BJ95" i="1" l="1"/>
  <c r="BY95" i="1"/>
  <c r="BV11" i="1"/>
  <c r="CL14" i="1" s="1"/>
  <c r="BI96" i="1"/>
  <c r="BX96" i="1" l="1"/>
  <c r="BJ10" i="1"/>
  <c r="BJ9" i="1"/>
  <c r="BJ96" i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J11" i="1" l="1"/>
  <c r="CL3" i="1" s="1"/>
  <c r="BY9" i="1"/>
  <c r="BY10" i="1"/>
  <c r="BY96" i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11" i="1" l="1"/>
</calcChain>
</file>

<file path=xl/sharedStrings.xml><?xml version="1.0" encoding="utf-8"?>
<sst xmlns="http://schemas.openxmlformats.org/spreadsheetml/2006/main" count="65" uniqueCount="50">
  <si>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</si>
  <si>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</si>
  <si>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</si>
  <si>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</si>
  <si>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</si>
  <si>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</si>
  <si>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</si>
  <si>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</si>
  <si>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</si>
  <si>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</si>
  <si>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FSTA</t>
  </si>
  <si>
    <t>VDC</t>
  </si>
  <si>
    <t>FSTA log rtn</t>
  </si>
  <si>
    <t>VDC log rtn</t>
  </si>
  <si>
    <t>FSTA div</t>
  </si>
  <si>
    <t>FSTA div cumsum</t>
  </si>
  <si>
    <t>VDC div</t>
  </si>
  <si>
    <t>VDC div cumsum</t>
  </si>
  <si>
    <t>FSTA div adjustment</t>
  </si>
  <si>
    <t>VDC div adjustment</t>
  </si>
  <si>
    <t>FSTA*</t>
  </si>
  <si>
    <t>VDC*</t>
  </si>
  <si>
    <t>VDC/FSTA</t>
  </si>
  <si>
    <t>VDC/FSTA avg</t>
  </si>
  <si>
    <t>VDC/FSTA 10 dma</t>
  </si>
  <si>
    <t>VDC/FSTA 20 dma</t>
  </si>
  <si>
    <t>FSTA x avg</t>
  </si>
  <si>
    <t>FSTA x 10 dma</t>
  </si>
  <si>
    <t>FSTA x 20 dma</t>
  </si>
  <si>
    <t>log diff FSTA x avg / VDC</t>
  </si>
  <si>
    <t>log diff FSTA x 10 dma / VDC</t>
  </si>
  <si>
    <t>log diff FSTA x 20 dma / VDC</t>
  </si>
  <si>
    <t>VDC*/FSTA*</t>
  </si>
  <si>
    <t>VDC*/FSTA* avg</t>
  </si>
  <si>
    <t>VDC*/FSTA* 10 dma</t>
  </si>
  <si>
    <t>VDC*/FSTA* 20 dma</t>
  </si>
  <si>
    <t>FSTA* x avg</t>
  </si>
  <si>
    <t>FSTA* x 10 dma</t>
  </si>
  <si>
    <t>FSTA* x 20 dma</t>
  </si>
  <si>
    <t>log diff FSTA* x avg / VDC*</t>
  </si>
  <si>
    <t>log diff FSTA* x 10 dma / VDC*</t>
  </si>
  <si>
    <t>log diff FSTA* x 20 dma / VDC*</t>
  </si>
  <si>
    <t>enter</t>
  </si>
  <si>
    <t>row</t>
  </si>
  <si>
    <t>ba20</t>
  </si>
  <si>
    <t>col</t>
  </si>
  <si>
    <t>ba21</t>
  </si>
  <si>
    <t>exit</t>
  </si>
  <si>
    <t>bm20</t>
  </si>
  <si>
    <t>bm21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</si>
</sst>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0" xfId="1" applyFont="1" applyBorder="1"/>
    <xf numFmtId="43" fontId="0" fillId="0" borderId="10" xfId="1" applyFont="1" applyBorder="1"/>
    <xf numFmtId="10" fontId="16" fillId="0" borderId="0" xfId="3" applyNumberFormat="1" applyFont="1" applyBorder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VDC/FSTA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4.2929927753205499</c:v>
                </c:pt>
                <c:pt idx="1">
                  <c:v>4.2929927753205499</c:v>
                </c:pt>
                <c:pt idx="2">
                  <c:v>4.2929927753205499</c:v>
                </c:pt>
                <c:pt idx="3">
                  <c:v>4.2929927753205499</c:v>
                </c:pt>
                <c:pt idx="4">
                  <c:v>4.2929927753205499</c:v>
                </c:pt>
                <c:pt idx="5">
                  <c:v>4.2929927753205499</c:v>
                </c:pt>
                <c:pt idx="6">
                  <c:v>4.2929927753205499</c:v>
                </c:pt>
                <c:pt idx="7">
                  <c:v>4.2929927753205499</c:v>
                </c:pt>
                <c:pt idx="8">
                  <c:v>4.2929927753205499</c:v>
                </c:pt>
                <c:pt idx="9">
                  <c:v>4.2929927753205499</c:v>
                </c:pt>
                <c:pt idx="10">
                  <c:v>4.2929927753205499</c:v>
                </c:pt>
                <c:pt idx="11">
                  <c:v>4.2929927753205499</c:v>
                </c:pt>
                <c:pt idx="12">
                  <c:v>4.2929927753205499</c:v>
                </c:pt>
                <c:pt idx="13">
                  <c:v>4.2929927753205499</c:v>
                </c:pt>
                <c:pt idx="14">
                  <c:v>4.2929927753205499</c:v>
                </c:pt>
                <c:pt idx="15">
                  <c:v>4.2929927753205499</c:v>
                </c:pt>
                <c:pt idx="16">
                  <c:v>4.2929927753205499</c:v>
                </c:pt>
                <c:pt idx="17">
                  <c:v>4.2929927753205499</c:v>
                </c:pt>
                <c:pt idx="18">
                  <c:v>4.2929927753205499</c:v>
                </c:pt>
                <c:pt idx="19">
                  <c:v>4.2929927753205499</c:v>
                </c:pt>
                <c:pt idx="20">
                  <c:v>4.2929927753205499</c:v>
                </c:pt>
                <c:pt idx="21">
                  <c:v>4.2929927753205499</c:v>
                </c:pt>
                <c:pt idx="22">
                  <c:v>4.2929927753205499</c:v>
                </c:pt>
                <c:pt idx="23">
                  <c:v>4.2929927753205499</c:v>
                </c:pt>
                <c:pt idx="24">
                  <c:v>4.2929927753205499</c:v>
                </c:pt>
                <c:pt idx="25">
                  <c:v>4.2929927753205499</c:v>
                </c:pt>
                <c:pt idx="26">
                  <c:v>4.2929927753205499</c:v>
                </c:pt>
                <c:pt idx="27">
                  <c:v>4.2929927753205499</c:v>
                </c:pt>
                <c:pt idx="28">
                  <c:v>4.2929927753205499</c:v>
                </c:pt>
                <c:pt idx="29">
                  <c:v>4.2929927753205499</c:v>
                </c:pt>
                <c:pt idx="30">
                  <c:v>4.2929927753205499</c:v>
                </c:pt>
                <c:pt idx="31">
                  <c:v>4.2929927753205499</c:v>
                </c:pt>
                <c:pt idx="32">
                  <c:v>4.2929927753205499</c:v>
                </c:pt>
                <c:pt idx="33">
                  <c:v>4.2929927753205499</c:v>
                </c:pt>
                <c:pt idx="34">
                  <c:v>4.2929927753205499</c:v>
                </c:pt>
                <c:pt idx="35">
                  <c:v>4.2929927753205499</c:v>
                </c:pt>
                <c:pt idx="36">
                  <c:v>4.2929927753205499</c:v>
                </c:pt>
                <c:pt idx="37">
                  <c:v>4.2929927753205499</c:v>
                </c:pt>
                <c:pt idx="38">
                  <c:v>4.2929927753205499</c:v>
                </c:pt>
                <c:pt idx="39">
                  <c:v>4.2929927753205499</c:v>
                </c:pt>
                <c:pt idx="40">
                  <c:v>4.2929927753205499</c:v>
                </c:pt>
                <c:pt idx="41">
                  <c:v>4.2929927753205499</c:v>
                </c:pt>
                <c:pt idx="42">
                  <c:v>4.2929927753205499</c:v>
                </c:pt>
                <c:pt idx="43">
                  <c:v>4.2929927753205499</c:v>
                </c:pt>
                <c:pt idx="44">
                  <c:v>4.2929927753205499</c:v>
                </c:pt>
                <c:pt idx="45">
                  <c:v>4.2929927753205499</c:v>
                </c:pt>
                <c:pt idx="46">
                  <c:v>4.2929927753205499</c:v>
                </c:pt>
                <c:pt idx="47">
                  <c:v>4.2929927753205499</c:v>
                </c:pt>
                <c:pt idx="48">
                  <c:v>4.2929927753205499</c:v>
                </c:pt>
                <c:pt idx="49">
                  <c:v>4.2929927753205499</c:v>
                </c:pt>
                <c:pt idx="50">
                  <c:v>4.2929927753205499</c:v>
                </c:pt>
                <c:pt idx="51">
                  <c:v>4.2929927753205499</c:v>
                </c:pt>
                <c:pt idx="52">
                  <c:v>4.2929927753205499</c:v>
                </c:pt>
                <c:pt idx="53">
                  <c:v>4.2929927753205499</c:v>
                </c:pt>
                <c:pt idx="54">
                  <c:v>4.2929927753205499</c:v>
                </c:pt>
                <c:pt idx="55">
                  <c:v>4.2929927753205499</c:v>
                </c:pt>
                <c:pt idx="56">
                  <c:v>4.2929927753205499</c:v>
                </c:pt>
                <c:pt idx="57">
                  <c:v>4.2929927753205499</c:v>
                </c:pt>
                <c:pt idx="58">
                  <c:v>4.2929927753205499</c:v>
                </c:pt>
                <c:pt idx="59">
                  <c:v>4.2929927753205499</c:v>
                </c:pt>
                <c:pt idx="60">
                  <c:v>4.2929927753205499</c:v>
                </c:pt>
                <c:pt idx="61">
                  <c:v>4.2929927753205499</c:v>
                </c:pt>
                <c:pt idx="62">
                  <c:v>4.2929927753205499</c:v>
                </c:pt>
                <c:pt idx="63">
                  <c:v>4.2929927753205499</c:v>
                </c:pt>
                <c:pt idx="64">
                  <c:v>4.2929927753205499</c:v>
                </c:pt>
                <c:pt idx="65">
                  <c:v>4.2929927753205499</c:v>
                </c:pt>
                <c:pt idx="66">
                  <c:v>4.2929927753205499</c:v>
                </c:pt>
                <c:pt idx="67">
                  <c:v>4.2929927753205499</c:v>
                </c:pt>
                <c:pt idx="68">
                  <c:v>4.2929927753205499</c:v>
                </c:pt>
                <c:pt idx="69">
                  <c:v>4.2929927753205499</c:v>
                </c:pt>
                <c:pt idx="70">
                  <c:v>4.2929927753205499</c:v>
                </c:pt>
                <c:pt idx="71">
                  <c:v>4.2929927753205499</c:v>
                </c:pt>
                <c:pt idx="72">
                  <c:v>4.2929927753205499</c:v>
                </c:pt>
                <c:pt idx="73">
                  <c:v>4.2929927753205499</c:v>
                </c:pt>
                <c:pt idx="74">
                  <c:v>4.2929927753205499</c:v>
                </c:pt>
                <c:pt idx="75">
                  <c:v>4.2929927753205499</c:v>
                </c:pt>
                <c:pt idx="76">
                  <c:v>4.2929927753205499</c:v>
                </c:pt>
                <c:pt idx="77">
                  <c:v>4.2929927753205499</c:v>
                </c:pt>
                <c:pt idx="78">
                  <c:v>4.2929927753205499</c:v>
                </c:pt>
                <c:pt idx="79">
                  <c:v>4.2929927753205499</c:v>
                </c:pt>
                <c:pt idx="80">
                  <c:v>4.2929927753205499</c:v>
                </c:pt>
                <c:pt idx="81">
                  <c:v>4.2929927753205499</c:v>
                </c:pt>
                <c:pt idx="82">
                  <c:v>4.2929927753205499</c:v>
                </c:pt>
                <c:pt idx="83">
                  <c:v>4.2929927753205499</c:v>
                </c:pt>
                <c:pt idx="84">
                  <c:v>4.2929927753205499</c:v>
                </c:pt>
                <c:pt idx="85">
                  <c:v>4.2929927753205499</c:v>
                </c:pt>
                <c:pt idx="86">
                  <c:v>4.2929927753205499</c:v>
                </c:pt>
                <c:pt idx="87">
                  <c:v>4.2929927753205499</c:v>
                </c:pt>
                <c:pt idx="88">
                  <c:v>4.2929927753205499</c:v>
                </c:pt>
                <c:pt idx="89">
                  <c:v>4.2929927753205499</c:v>
                </c:pt>
                <c:pt idx="90">
                  <c:v>4.2929927753205499</c:v>
                </c:pt>
                <c:pt idx="91">
                  <c:v>4.2929927753205499</c:v>
                </c:pt>
                <c:pt idx="92">
                  <c:v>4.2929927753205499</c:v>
                </c:pt>
                <c:pt idx="93">
                  <c:v>4.2929927753205499</c:v>
                </c:pt>
                <c:pt idx="94">
                  <c:v>4.2929927753205499</c:v>
                </c:pt>
                <c:pt idx="95">
                  <c:v>4.2929927753205499</c:v>
                </c:pt>
                <c:pt idx="96">
                  <c:v>4.2929927753205499</c:v>
                </c:pt>
                <c:pt idx="97">
                  <c:v>4.2929927753205499</c:v>
                </c:pt>
                <c:pt idx="98">
                  <c:v>4.2929927753205499</c:v>
                </c:pt>
                <c:pt idx="99">
                  <c:v>4.2929927753205499</c:v>
                </c:pt>
                <c:pt idx="100">
                  <c:v>4.2929927753205499</c:v>
                </c:pt>
                <c:pt idx="101">
                  <c:v>4.2929927753205499</c:v>
                </c:pt>
                <c:pt idx="102">
                  <c:v>4.2929927753205499</c:v>
                </c:pt>
                <c:pt idx="103">
                  <c:v>4.2929927753205499</c:v>
                </c:pt>
                <c:pt idx="104">
                  <c:v>4.2929927753205499</c:v>
                </c:pt>
                <c:pt idx="105">
                  <c:v>4.2929927753205499</c:v>
                </c:pt>
                <c:pt idx="106">
                  <c:v>4.2929927753205499</c:v>
                </c:pt>
                <c:pt idx="107">
                  <c:v>4.2929927753205499</c:v>
                </c:pt>
                <c:pt idx="108">
                  <c:v>4.2929927753205499</c:v>
                </c:pt>
                <c:pt idx="109">
                  <c:v>4.2929927753205499</c:v>
                </c:pt>
                <c:pt idx="110">
                  <c:v>4.2929927753205499</c:v>
                </c:pt>
                <c:pt idx="111">
                  <c:v>4.2929927753205499</c:v>
                </c:pt>
                <c:pt idx="112">
                  <c:v>4.2929927753205499</c:v>
                </c:pt>
                <c:pt idx="113">
                  <c:v>4.2929927753205499</c:v>
                </c:pt>
                <c:pt idx="114">
                  <c:v>4.2929927753205499</c:v>
                </c:pt>
                <c:pt idx="115">
                  <c:v>4.2929927753205499</c:v>
                </c:pt>
                <c:pt idx="116">
                  <c:v>4.2929927753205499</c:v>
                </c:pt>
                <c:pt idx="117">
                  <c:v>4.2929927753205499</c:v>
                </c:pt>
                <c:pt idx="118">
                  <c:v>4.2929927753205499</c:v>
                </c:pt>
                <c:pt idx="119">
                  <c:v>4.2929927753205499</c:v>
                </c:pt>
                <c:pt idx="120">
                  <c:v>4.2929927753205499</c:v>
                </c:pt>
                <c:pt idx="121">
                  <c:v>4.2929927753205499</c:v>
                </c:pt>
                <c:pt idx="122">
                  <c:v>4.2929927753205499</c:v>
                </c:pt>
                <c:pt idx="123">
                  <c:v>4.2929927753205499</c:v>
                </c:pt>
                <c:pt idx="124">
                  <c:v>4.2929927753205499</c:v>
                </c:pt>
                <c:pt idx="125">
                  <c:v>4.2929927753205499</c:v>
                </c:pt>
                <c:pt idx="126">
                  <c:v>4.2929927753205499</c:v>
                </c:pt>
                <c:pt idx="127">
                  <c:v>4.2929927753205499</c:v>
                </c:pt>
                <c:pt idx="128">
                  <c:v>4.2929927753205499</c:v>
                </c:pt>
                <c:pt idx="129">
                  <c:v>4.2929927753205499</c:v>
                </c:pt>
                <c:pt idx="130">
                  <c:v>4.2929927753205499</c:v>
                </c:pt>
                <c:pt idx="131">
                  <c:v>4.2929927753205499</c:v>
                </c:pt>
                <c:pt idx="132">
                  <c:v>4.2929927753205499</c:v>
                </c:pt>
                <c:pt idx="133">
                  <c:v>4.2929927753205499</c:v>
                </c:pt>
                <c:pt idx="134">
                  <c:v>4.2929927753205499</c:v>
                </c:pt>
                <c:pt idx="135">
                  <c:v>4.2929927753205499</c:v>
                </c:pt>
                <c:pt idx="136">
                  <c:v>4.2929927753205499</c:v>
                </c:pt>
                <c:pt idx="137">
                  <c:v>4.2929927753205499</c:v>
                </c:pt>
                <c:pt idx="138">
                  <c:v>4.2929927753205499</c:v>
                </c:pt>
                <c:pt idx="139">
                  <c:v>4.2929927753205499</c:v>
                </c:pt>
                <c:pt idx="140">
                  <c:v>4.2929927753205499</c:v>
                </c:pt>
                <c:pt idx="141">
                  <c:v>4.2929927753205499</c:v>
                </c:pt>
                <c:pt idx="142">
                  <c:v>4.2929927753205499</c:v>
                </c:pt>
                <c:pt idx="143">
                  <c:v>4.2929927753205499</c:v>
                </c:pt>
                <c:pt idx="144">
                  <c:v>4.2929927753205499</c:v>
                </c:pt>
                <c:pt idx="145">
                  <c:v>4.2929927753205499</c:v>
                </c:pt>
                <c:pt idx="146">
                  <c:v>4.2929927753205499</c:v>
                </c:pt>
                <c:pt idx="147">
                  <c:v>4.2929927753205499</c:v>
                </c:pt>
                <c:pt idx="148">
                  <c:v>4.2929927753205499</c:v>
                </c:pt>
                <c:pt idx="149">
                  <c:v>4.2929927753205499</c:v>
                </c:pt>
                <c:pt idx="150">
                  <c:v>4.2929927753205499</c:v>
                </c:pt>
                <c:pt idx="151">
                  <c:v>4.2929927753205499</c:v>
                </c:pt>
                <c:pt idx="152">
                  <c:v>4.2929927753205499</c:v>
                </c:pt>
                <c:pt idx="153">
                  <c:v>4.2929927753205499</c:v>
                </c:pt>
                <c:pt idx="154">
                  <c:v>4.2929927753205499</c:v>
                </c:pt>
                <c:pt idx="155">
                  <c:v>4.2929927753205499</c:v>
                </c:pt>
                <c:pt idx="156">
                  <c:v>4.2929927753205499</c:v>
                </c:pt>
                <c:pt idx="157">
                  <c:v>4.2929927753205499</c:v>
                </c:pt>
                <c:pt idx="158">
                  <c:v>4.2929927753205499</c:v>
                </c:pt>
                <c:pt idx="159">
                  <c:v>4.2929927753205499</c:v>
                </c:pt>
                <c:pt idx="160">
                  <c:v>4.2929927753205499</c:v>
                </c:pt>
                <c:pt idx="161">
                  <c:v>4.2929927753205499</c:v>
                </c:pt>
                <c:pt idx="162">
                  <c:v>4.2929927753205499</c:v>
                </c:pt>
                <c:pt idx="163">
                  <c:v>4.2929927753205499</c:v>
                </c:pt>
                <c:pt idx="164">
                  <c:v>4.2929927753205499</c:v>
                </c:pt>
                <c:pt idx="165">
                  <c:v>4.2929927753205499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VDC/FSTA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4.2921684164413101</c:v>
                </c:pt>
                <c:pt idx="10">
                  <c:v>4.2922772810321996</c:v>
                </c:pt>
                <c:pt idx="11">
                  <c:v>4.2920112480142398</c:v>
                </c:pt>
                <c:pt idx="12">
                  <c:v>4.2922496858229398</c:v>
                </c:pt>
                <c:pt idx="13">
                  <c:v>4.2922903319803503</c:v>
                </c:pt>
                <c:pt idx="14">
                  <c:v>4.2923668026873898</c:v>
                </c:pt>
                <c:pt idx="15">
                  <c:v>4.2922822303120798</c:v>
                </c:pt>
                <c:pt idx="16">
                  <c:v>4.2921625665500098</c:v>
                </c:pt>
                <c:pt idx="17">
                  <c:v>4.2921900763183203</c:v>
                </c:pt>
                <c:pt idx="18">
                  <c:v>4.2918068319191001</c:v>
                </c:pt>
                <c:pt idx="19">
                  <c:v>4.29193038840807</c:v>
                </c:pt>
                <c:pt idx="20">
                  <c:v>4.29175729655653</c:v>
                </c:pt>
                <c:pt idx="21">
                  <c:v>4.2918165661460002</c:v>
                </c:pt>
                <c:pt idx="22">
                  <c:v>4.2917787569363197</c:v>
                </c:pt>
                <c:pt idx="23">
                  <c:v>4.2914651355437599</c:v>
                </c:pt>
                <c:pt idx="24">
                  <c:v>4.2913601623750903</c:v>
                </c:pt>
                <c:pt idx="25">
                  <c:v>4.2913756245070003</c:v>
                </c:pt>
                <c:pt idx="26">
                  <c:v>4.2910918699665803</c:v>
                </c:pt>
                <c:pt idx="27">
                  <c:v>4.2909054989139301</c:v>
                </c:pt>
                <c:pt idx="28">
                  <c:v>4.2907963850256898</c:v>
                </c:pt>
                <c:pt idx="29">
                  <c:v>4.2903948086168198</c:v>
                </c:pt>
                <c:pt idx="30">
                  <c:v>4.2903145686062798</c:v>
                </c:pt>
                <c:pt idx="31">
                  <c:v>4.2905051289913203</c:v>
                </c:pt>
                <c:pt idx="32">
                  <c:v>4.2903122760571799</c:v>
                </c:pt>
                <c:pt idx="33">
                  <c:v>4.2906420391657303</c:v>
                </c:pt>
                <c:pt idx="34">
                  <c:v>4.2906718301507203</c:v>
                </c:pt>
                <c:pt idx="35">
                  <c:v>4.2905774865725101</c:v>
                </c:pt>
                <c:pt idx="36">
                  <c:v>4.2907106165991999</c:v>
                </c:pt>
                <c:pt idx="37">
                  <c:v>4.2905757417013</c:v>
                </c:pt>
                <c:pt idx="38">
                  <c:v>4.29075091242927</c:v>
                </c:pt>
                <c:pt idx="39">
                  <c:v>4.2909722869457099</c:v>
                </c:pt>
                <c:pt idx="40">
                  <c:v>4.2909711429062396</c:v>
                </c:pt>
                <c:pt idx="41">
                  <c:v>4.2907289352359603</c:v>
                </c:pt>
                <c:pt idx="42">
                  <c:v>4.2908346145530096</c:v>
                </c:pt>
                <c:pt idx="43">
                  <c:v>4.2906723328463103</c:v>
                </c:pt>
                <c:pt idx="44">
                  <c:v>4.2906018959257004</c:v>
                </c:pt>
                <c:pt idx="45">
                  <c:v>4.2907065822924801</c:v>
                </c:pt>
                <c:pt idx="46">
                  <c:v>4.2908064460956004</c:v>
                </c:pt>
                <c:pt idx="47">
                  <c:v>4.2912220018878502</c:v>
                </c:pt>
                <c:pt idx="48">
                  <c:v>4.29117863817907</c:v>
                </c:pt>
                <c:pt idx="49">
                  <c:v>4.2913730319996599</c:v>
                </c:pt>
                <c:pt idx="50">
                  <c:v>4.2916707915093504</c:v>
                </c:pt>
                <c:pt idx="51">
                  <c:v>4.2918124820846204</c:v>
                </c:pt>
                <c:pt idx="52">
                  <c:v>4.2918578145632296</c:v>
                </c:pt>
                <c:pt idx="53">
                  <c:v>4.29443036159077</c:v>
                </c:pt>
                <c:pt idx="54">
                  <c:v>4.2967643879935604</c:v>
                </c:pt>
                <c:pt idx="55">
                  <c:v>4.2969205733057496</c:v>
                </c:pt>
                <c:pt idx="56">
                  <c:v>4.2967888838788104</c:v>
                </c:pt>
                <c:pt idx="57">
                  <c:v>4.2961818680053696</c:v>
                </c:pt>
                <c:pt idx="58">
                  <c:v>4.2963365343106901</c:v>
                </c:pt>
                <c:pt idx="59">
                  <c:v>4.2960248391754003</c:v>
                </c:pt>
                <c:pt idx="60">
                  <c:v>4.2958709643551201</c:v>
                </c:pt>
                <c:pt idx="61">
                  <c:v>4.2961141962352096</c:v>
                </c:pt>
                <c:pt idx="62">
                  <c:v>4.2962827883860299</c:v>
                </c:pt>
                <c:pt idx="63">
                  <c:v>4.2938413281995498</c:v>
                </c:pt>
                <c:pt idx="64">
                  <c:v>4.2917416717233499</c:v>
                </c:pt>
                <c:pt idx="65">
                  <c:v>4.2917722054713296</c:v>
                </c:pt>
                <c:pt idx="66">
                  <c:v>4.29174601677909</c:v>
                </c:pt>
                <c:pt idx="67">
                  <c:v>4.2920223205013999</c:v>
                </c:pt>
                <c:pt idx="68">
                  <c:v>4.2919209219000001</c:v>
                </c:pt>
                <c:pt idx="69">
                  <c:v>4.2922665975571102</c:v>
                </c:pt>
                <c:pt idx="70">
                  <c:v>4.29222419330282</c:v>
                </c:pt>
                <c:pt idx="71">
                  <c:v>4.2920210374377996</c:v>
                </c:pt>
                <c:pt idx="72">
                  <c:v>4.29204173942738</c:v>
                </c:pt>
                <c:pt idx="73">
                  <c:v>4.2923456624967802</c:v>
                </c:pt>
                <c:pt idx="74">
                  <c:v>4.2924885549652601</c:v>
                </c:pt>
                <c:pt idx="75">
                  <c:v>4.2925204870533999</c:v>
                </c:pt>
                <c:pt idx="76">
                  <c:v>4.2928578831082698</c:v>
                </c:pt>
                <c:pt idx="77">
                  <c:v>4.2929538935360299</c:v>
                </c:pt>
                <c:pt idx="78">
                  <c:v>4.2931132684284599</c:v>
                </c:pt>
                <c:pt idx="79">
                  <c:v>4.2930336941911804</c:v>
                </c:pt>
                <c:pt idx="80">
                  <c:v>4.2934871560091104</c:v>
                </c:pt>
                <c:pt idx="81">
                  <c:v>4.2934397271693996</c:v>
                </c:pt>
                <c:pt idx="82">
                  <c:v>4.2933733403854299</c:v>
                </c:pt>
                <c:pt idx="83">
                  <c:v>4.2933451736932904</c:v>
                </c:pt>
                <c:pt idx="84">
                  <c:v>4.29329996699198</c:v>
                </c:pt>
                <c:pt idx="85">
                  <c:v>4.2932503011535497</c:v>
                </c:pt>
                <c:pt idx="86">
                  <c:v>4.2932514366248897</c:v>
                </c:pt>
                <c:pt idx="87">
                  <c:v>4.2936112452266304</c:v>
                </c:pt>
                <c:pt idx="88">
                  <c:v>4.2937571876583798</c:v>
                </c:pt>
                <c:pt idx="89">
                  <c:v>4.2939688432774199</c:v>
                </c:pt>
                <c:pt idx="90">
                  <c:v>4.2937740548337002</c:v>
                </c:pt>
                <c:pt idx="91">
                  <c:v>4.2941560108329604</c:v>
                </c:pt>
                <c:pt idx="92">
                  <c:v>4.29438300751554</c:v>
                </c:pt>
                <c:pt idx="93">
                  <c:v>4.2944505402764097</c:v>
                </c:pt>
                <c:pt idx="94">
                  <c:v>4.2943722683443504</c:v>
                </c:pt>
                <c:pt idx="95">
                  <c:v>4.2944826384685397</c:v>
                </c:pt>
                <c:pt idx="96">
                  <c:v>4.2945848750017799</c:v>
                </c:pt>
                <c:pt idx="97">
                  <c:v>4.2943597389995496</c:v>
                </c:pt>
                <c:pt idx="98">
                  <c:v>4.2941388680346897</c:v>
                </c:pt>
                <c:pt idx="99">
                  <c:v>4.29406545344857</c:v>
                </c:pt>
                <c:pt idx="100">
                  <c:v>4.2938881727369296</c:v>
                </c:pt>
                <c:pt idx="101">
                  <c:v>4.2937127745407997</c:v>
                </c:pt>
                <c:pt idx="102">
                  <c:v>4.2935712511379904</c:v>
                </c:pt>
                <c:pt idx="103">
                  <c:v>4.2933467950480004</c:v>
                </c:pt>
                <c:pt idx="104">
                  <c:v>4.2934049992609404</c:v>
                </c:pt>
                <c:pt idx="105">
                  <c:v>4.2931967865427296</c:v>
                </c:pt>
                <c:pt idx="106">
                  <c:v>4.2931288895331301</c:v>
                </c:pt>
                <c:pt idx="107">
                  <c:v>4.2928985855098798</c:v>
                </c:pt>
                <c:pt idx="108">
                  <c:v>4.2931683036723296</c:v>
                </c:pt>
                <c:pt idx="109">
                  <c:v>4.2928617053377698</c:v>
                </c:pt>
                <c:pt idx="110">
                  <c:v>4.2930061168995204</c:v>
                </c:pt>
                <c:pt idx="111">
                  <c:v>4.2928442186419096</c:v>
                </c:pt>
                <c:pt idx="112">
                  <c:v>4.2926954360264498</c:v>
                </c:pt>
                <c:pt idx="113">
                  <c:v>4.2923021487399202</c:v>
                </c:pt>
                <c:pt idx="114">
                  <c:v>4.2921185738606997</c:v>
                </c:pt>
                <c:pt idx="115">
                  <c:v>4.29431756876658</c:v>
                </c:pt>
                <c:pt idx="116">
                  <c:v>4.2962061809404197</c:v>
                </c:pt>
                <c:pt idx="117">
                  <c:v>4.2990262848983702</c:v>
                </c:pt>
                <c:pt idx="118">
                  <c:v>4.2987892247663</c:v>
                </c:pt>
                <c:pt idx="119">
                  <c:v>4.2986638296102999</c:v>
                </c:pt>
                <c:pt idx="120">
                  <c:v>4.2986328126095996</c:v>
                </c:pt>
                <c:pt idx="121">
                  <c:v>4.2987446341983304</c:v>
                </c:pt>
                <c:pt idx="122">
                  <c:v>4.2986993365783199</c:v>
                </c:pt>
                <c:pt idx="123">
                  <c:v>4.2995419281021299</c:v>
                </c:pt>
                <c:pt idx="124">
                  <c:v>4.2995548825187804</c:v>
                </c:pt>
                <c:pt idx="125">
                  <c:v>4.2972382694800997</c:v>
                </c:pt>
                <c:pt idx="126">
                  <c:v>4.2952933785472602</c:v>
                </c:pt>
                <c:pt idx="127">
                  <c:v>4.2926635302178298</c:v>
                </c:pt>
                <c:pt idx="128">
                  <c:v>4.2925976129898196</c:v>
                </c:pt>
                <c:pt idx="129">
                  <c:v>4.2932611303771697</c:v>
                </c:pt>
                <c:pt idx="130">
                  <c:v>4.29327311413555</c:v>
                </c:pt>
                <c:pt idx="131">
                  <c:v>4.2930101551742297</c:v>
                </c:pt>
                <c:pt idx="132">
                  <c:v>4.2934831071919799</c:v>
                </c:pt>
                <c:pt idx="133">
                  <c:v>4.2930622231809403</c:v>
                </c:pt>
                <c:pt idx="134">
                  <c:v>4.2932998928929402</c:v>
                </c:pt>
                <c:pt idx="135">
                  <c:v>4.2934334879234601</c:v>
                </c:pt>
                <c:pt idx="136">
                  <c:v>4.29332648753266</c:v>
                </c:pt>
                <c:pt idx="137">
                  <c:v>4.2931512133268903</c:v>
                </c:pt>
                <c:pt idx="138">
                  <c:v>4.2932592601767299</c:v>
                </c:pt>
                <c:pt idx="139">
                  <c:v>4.2929277460631097</c:v>
                </c:pt>
                <c:pt idx="140">
                  <c:v>4.2929435337847597</c:v>
                </c:pt>
                <c:pt idx="141">
                  <c:v>4.2927887822504598</c:v>
                </c:pt>
                <c:pt idx="142">
                  <c:v>4.2926086812524504</c:v>
                </c:pt>
                <c:pt idx="143">
                  <c:v>4.2924816937175896</c:v>
                </c:pt>
                <c:pt idx="144">
                  <c:v>4.2925266504604496</c:v>
                </c:pt>
                <c:pt idx="145">
                  <c:v>4.2928960184388698</c:v>
                </c:pt>
                <c:pt idx="146">
                  <c:v>4.2929083053433397</c:v>
                </c:pt>
                <c:pt idx="147">
                  <c:v>4.2931929968207001</c:v>
                </c:pt>
                <c:pt idx="148">
                  <c:v>4.2931598892398997</c:v>
                </c:pt>
                <c:pt idx="149">
                  <c:v>4.2930677077509802</c:v>
                </c:pt>
                <c:pt idx="150">
                  <c:v>4.2926591288083404</c:v>
                </c:pt>
                <c:pt idx="151">
                  <c:v>4.2925979335481301</c:v>
                </c:pt>
                <c:pt idx="152">
                  <c:v>4.2925215904301304</c:v>
                </c:pt>
                <c:pt idx="153">
                  <c:v>4.2926066821165998</c:v>
                </c:pt>
                <c:pt idx="154">
                  <c:v>4.2923986977412296</c:v>
                </c:pt>
                <c:pt idx="155">
                  <c:v>4.29214176564445</c:v>
                </c:pt>
                <c:pt idx="156">
                  <c:v>4.2922400965720202</c:v>
                </c:pt>
                <c:pt idx="157">
                  <c:v>4.2919904575534504</c:v>
                </c:pt>
                <c:pt idx="158">
                  <c:v>4.2919307672965203</c:v>
                </c:pt>
                <c:pt idx="159">
                  <c:v>4.2915612790818196</c:v>
                </c:pt>
                <c:pt idx="160">
                  <c:v>4.2917609940952604</c:v>
                </c:pt>
                <c:pt idx="161">
                  <c:v>4.2919563008801802</c:v>
                </c:pt>
                <c:pt idx="162">
                  <c:v>4.29206931282756</c:v>
                </c:pt>
                <c:pt idx="163">
                  <c:v>4.2917971645217703</c:v>
                </c:pt>
                <c:pt idx="164">
                  <c:v>4.2916961228108397</c:v>
                </c:pt>
                <c:pt idx="165">
                  <c:v>4.2916662594810902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VDC/FSTA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4.2920494024246896</c:v>
                </c:pt>
                <c:pt idx="20">
                  <c:v>4.2920172887943604</c:v>
                </c:pt>
                <c:pt idx="21">
                  <c:v>4.2919139070801204</c:v>
                </c:pt>
                <c:pt idx="22">
                  <c:v>4.2920142213796302</c:v>
                </c:pt>
                <c:pt idx="23">
                  <c:v>4.2918777337620497</c:v>
                </c:pt>
                <c:pt idx="24">
                  <c:v>4.2918634825312401</c:v>
                </c:pt>
                <c:pt idx="25">
                  <c:v>4.29182892740954</c:v>
                </c:pt>
                <c:pt idx="26">
                  <c:v>4.2916272182582897</c:v>
                </c:pt>
                <c:pt idx="27">
                  <c:v>4.2915477876161301</c:v>
                </c:pt>
                <c:pt idx="28">
                  <c:v>4.2913016084724003</c:v>
                </c:pt>
                <c:pt idx="29">
                  <c:v>4.2911625985124502</c:v>
                </c:pt>
                <c:pt idx="30">
                  <c:v>4.2910359325813996</c:v>
                </c:pt>
                <c:pt idx="31">
                  <c:v>4.2911608475686602</c:v>
                </c:pt>
                <c:pt idx="32">
                  <c:v>4.2910455164967498</c:v>
                </c:pt>
                <c:pt idx="33">
                  <c:v>4.2910535873547397</c:v>
                </c:pt>
                <c:pt idx="34">
                  <c:v>4.2910159962629004</c:v>
                </c:pt>
                <c:pt idx="35">
                  <c:v>4.2909765555397499</c:v>
                </c:pt>
                <c:pt idx="36">
                  <c:v>4.2909012432828897</c:v>
                </c:pt>
                <c:pt idx="37">
                  <c:v>4.2907406203076199</c:v>
                </c:pt>
                <c:pt idx="38">
                  <c:v>4.2907736487274803</c:v>
                </c:pt>
                <c:pt idx="39">
                  <c:v>4.2906835477812599</c:v>
                </c:pt>
                <c:pt idx="40">
                  <c:v>4.2906428557562597</c:v>
                </c:pt>
                <c:pt idx="41">
                  <c:v>4.2906170321136399</c:v>
                </c:pt>
                <c:pt idx="42">
                  <c:v>4.2905734453050899</c:v>
                </c:pt>
                <c:pt idx="43">
                  <c:v>4.2906571860060199</c:v>
                </c:pt>
                <c:pt idx="44">
                  <c:v>4.2906368630382099</c:v>
                </c:pt>
                <c:pt idx="45">
                  <c:v>4.2906420344324898</c:v>
                </c:pt>
                <c:pt idx="46">
                  <c:v>4.2907585313474002</c:v>
                </c:pt>
                <c:pt idx="47">
                  <c:v>4.29089887179458</c:v>
                </c:pt>
                <c:pt idx="48">
                  <c:v>4.29096477530417</c:v>
                </c:pt>
                <c:pt idx="49">
                  <c:v>4.2911726594726902</c:v>
                </c:pt>
                <c:pt idx="50">
                  <c:v>4.2913209672077901</c:v>
                </c:pt>
                <c:pt idx="51">
                  <c:v>4.2912707086602904</c:v>
                </c:pt>
                <c:pt idx="52">
                  <c:v>4.2913462145581196</c:v>
                </c:pt>
                <c:pt idx="53">
                  <c:v>4.2925513472185397</c:v>
                </c:pt>
                <c:pt idx="54">
                  <c:v>4.2936831419596304</c:v>
                </c:pt>
                <c:pt idx="55">
                  <c:v>4.2938135777991198</c:v>
                </c:pt>
                <c:pt idx="56">
                  <c:v>4.2937976649872098</c:v>
                </c:pt>
                <c:pt idx="57">
                  <c:v>4.2937019349466103</c:v>
                </c:pt>
                <c:pt idx="58">
                  <c:v>4.2937575862448796</c:v>
                </c:pt>
                <c:pt idx="59">
                  <c:v>4.2936989355875301</c:v>
                </c:pt>
                <c:pt idx="60">
                  <c:v>4.2937708779322303</c:v>
                </c:pt>
                <c:pt idx="61">
                  <c:v>4.2939633391599097</c:v>
                </c:pt>
                <c:pt idx="62">
                  <c:v>4.2940703014746298</c:v>
                </c:pt>
                <c:pt idx="63">
                  <c:v>4.2941358448951599</c:v>
                </c:pt>
                <c:pt idx="64">
                  <c:v>4.2942530298584503</c:v>
                </c:pt>
                <c:pt idx="65">
                  <c:v>4.2943463893885401</c:v>
                </c:pt>
                <c:pt idx="66">
                  <c:v>4.2942674503289497</c:v>
                </c:pt>
                <c:pt idx="67">
                  <c:v>4.2941020942533896</c:v>
                </c:pt>
                <c:pt idx="68">
                  <c:v>4.29412872810535</c:v>
                </c:pt>
                <c:pt idx="69">
                  <c:v>4.2941457183662601</c:v>
                </c:pt>
                <c:pt idx="70">
                  <c:v>4.2940475788289696</c:v>
                </c:pt>
                <c:pt idx="71">
                  <c:v>4.2940676168365002</c:v>
                </c:pt>
                <c:pt idx="72">
                  <c:v>4.2941622639067099</c:v>
                </c:pt>
                <c:pt idx="73">
                  <c:v>4.2930934953481703</c:v>
                </c:pt>
                <c:pt idx="74">
                  <c:v>4.2921151133443098</c:v>
                </c:pt>
                <c:pt idx="75">
                  <c:v>4.2921463462623697</c:v>
                </c:pt>
                <c:pt idx="76">
                  <c:v>4.2923019499436803</c:v>
                </c:pt>
                <c:pt idx="77">
                  <c:v>4.2924881070187197</c:v>
                </c:pt>
                <c:pt idx="78">
                  <c:v>4.2925170951642304</c:v>
                </c:pt>
                <c:pt idx="79">
                  <c:v>4.2926501458741404</c:v>
                </c:pt>
                <c:pt idx="80">
                  <c:v>4.2928556746559696</c:v>
                </c:pt>
                <c:pt idx="81">
                  <c:v>4.2927303823036</c:v>
                </c:pt>
                <c:pt idx="82">
                  <c:v>4.2927075399064103</c:v>
                </c:pt>
                <c:pt idx="83">
                  <c:v>4.2928454180950304</c:v>
                </c:pt>
                <c:pt idx="84">
                  <c:v>4.2928942609786196</c:v>
                </c:pt>
                <c:pt idx="85">
                  <c:v>4.2928853941034699</c:v>
                </c:pt>
                <c:pt idx="86">
                  <c:v>4.2930546598665797</c:v>
                </c:pt>
                <c:pt idx="87">
                  <c:v>4.2932825693813301</c:v>
                </c:pt>
                <c:pt idx="88">
                  <c:v>4.2934352280434203</c:v>
                </c:pt>
                <c:pt idx="89">
                  <c:v>4.2935012687342997</c:v>
                </c:pt>
                <c:pt idx="90">
                  <c:v>4.2936306054214004</c:v>
                </c:pt>
                <c:pt idx="91">
                  <c:v>4.29379786900118</c:v>
                </c:pt>
                <c:pt idx="92">
                  <c:v>4.2938781739504899</c:v>
                </c:pt>
                <c:pt idx="93">
                  <c:v>4.2938978569848496</c:v>
                </c:pt>
                <c:pt idx="94">
                  <c:v>4.2938361176681701</c:v>
                </c:pt>
                <c:pt idx="95">
                  <c:v>4.29386646981105</c:v>
                </c:pt>
                <c:pt idx="96">
                  <c:v>4.2939181558133397</c:v>
                </c:pt>
                <c:pt idx="97">
                  <c:v>4.29398549211309</c:v>
                </c:pt>
                <c:pt idx="98">
                  <c:v>4.2939480278465396</c:v>
                </c:pt>
                <c:pt idx="99">
                  <c:v>4.2940171483629896</c:v>
                </c:pt>
                <c:pt idx="100">
                  <c:v>4.29383111378531</c:v>
                </c:pt>
                <c:pt idx="101">
                  <c:v>4.2939343926868796</c:v>
                </c:pt>
                <c:pt idx="102">
                  <c:v>4.2939771293267599</c:v>
                </c:pt>
                <c:pt idx="103">
                  <c:v>4.2938986676622104</c:v>
                </c:pt>
                <c:pt idx="104">
                  <c:v>4.2938886338026503</c:v>
                </c:pt>
                <c:pt idx="105">
                  <c:v>4.2938397125056396</c:v>
                </c:pt>
                <c:pt idx="106">
                  <c:v>4.2938568822674599</c:v>
                </c:pt>
                <c:pt idx="107">
                  <c:v>4.29362916225472</c:v>
                </c:pt>
                <c:pt idx="108">
                  <c:v>4.2936535858535096</c:v>
                </c:pt>
                <c:pt idx="109">
                  <c:v>4.2934635793931699</c:v>
                </c:pt>
                <c:pt idx="110">
                  <c:v>4.2934471448182201</c:v>
                </c:pt>
                <c:pt idx="111">
                  <c:v>4.29327849659136</c:v>
                </c:pt>
                <c:pt idx="112">
                  <c:v>4.2931333435822197</c:v>
                </c:pt>
                <c:pt idx="113">
                  <c:v>4.2928244718939599</c:v>
                </c:pt>
                <c:pt idx="114">
                  <c:v>4.2927617865608196</c:v>
                </c:pt>
                <c:pt idx="115">
                  <c:v>4.2937571776546504</c:v>
                </c:pt>
                <c:pt idx="116">
                  <c:v>4.2946675352367798</c:v>
                </c:pt>
                <c:pt idx="117">
                  <c:v>4.2959624352041299</c:v>
                </c:pt>
                <c:pt idx="118">
                  <c:v>4.2959787642193197</c:v>
                </c:pt>
                <c:pt idx="119">
                  <c:v>4.2957627674740397</c:v>
                </c:pt>
                <c:pt idx="120">
                  <c:v>4.29581946475456</c:v>
                </c:pt>
                <c:pt idx="121">
                  <c:v>4.2957944264201204</c:v>
                </c:pt>
                <c:pt idx="122">
                  <c:v>4.2956973863023897</c:v>
                </c:pt>
                <c:pt idx="123">
                  <c:v>4.2959220384210299</c:v>
                </c:pt>
                <c:pt idx="124">
                  <c:v>4.2958367281897401</c:v>
                </c:pt>
                <c:pt idx="125">
                  <c:v>4.2957779191233403</c:v>
                </c:pt>
                <c:pt idx="126">
                  <c:v>4.29574977974384</c:v>
                </c:pt>
                <c:pt idx="127">
                  <c:v>4.2958449075580996</c:v>
                </c:pt>
                <c:pt idx="128">
                  <c:v>4.2956934188780602</c:v>
                </c:pt>
                <c:pt idx="129">
                  <c:v>4.2959624799937304</c:v>
                </c:pt>
                <c:pt idx="130">
                  <c:v>4.2959529633725797</c:v>
                </c:pt>
                <c:pt idx="131">
                  <c:v>4.29587739468628</c:v>
                </c:pt>
                <c:pt idx="132">
                  <c:v>4.2960912218851499</c:v>
                </c:pt>
                <c:pt idx="133">
                  <c:v>4.29630207564154</c:v>
                </c:pt>
                <c:pt idx="134">
                  <c:v>4.2964273877058599</c:v>
                </c:pt>
                <c:pt idx="135">
                  <c:v>4.2953358787017804</c:v>
                </c:pt>
                <c:pt idx="136">
                  <c:v>4.2943099330399601</c:v>
                </c:pt>
                <c:pt idx="137">
                  <c:v>4.29290737177236</c:v>
                </c:pt>
                <c:pt idx="138">
                  <c:v>4.2929284365832796</c:v>
                </c:pt>
                <c:pt idx="139">
                  <c:v>4.2930944382201401</c:v>
                </c:pt>
                <c:pt idx="140">
                  <c:v>4.2931083239601602</c:v>
                </c:pt>
                <c:pt idx="141">
                  <c:v>4.2928994687123403</c:v>
                </c:pt>
                <c:pt idx="142">
                  <c:v>4.29304589422222</c:v>
                </c:pt>
                <c:pt idx="143">
                  <c:v>4.2927719584492596</c:v>
                </c:pt>
                <c:pt idx="144">
                  <c:v>4.2929132716767002</c:v>
                </c:pt>
                <c:pt idx="145">
                  <c:v>4.2931647531811699</c:v>
                </c:pt>
                <c:pt idx="146">
                  <c:v>4.2931173964380003</c:v>
                </c:pt>
                <c:pt idx="147">
                  <c:v>4.2931721050737899</c:v>
                </c:pt>
                <c:pt idx="148">
                  <c:v>4.2932095747083201</c:v>
                </c:pt>
                <c:pt idx="149">
                  <c:v>4.2929977269070401</c:v>
                </c:pt>
                <c:pt idx="150">
                  <c:v>4.2928013312965501</c:v>
                </c:pt>
                <c:pt idx="151">
                  <c:v>4.2926933578992896</c:v>
                </c:pt>
                <c:pt idx="152">
                  <c:v>4.29256513584129</c:v>
                </c:pt>
                <c:pt idx="153">
                  <c:v>4.2925441879170902</c:v>
                </c:pt>
                <c:pt idx="154">
                  <c:v>4.2924626741008396</c:v>
                </c:pt>
                <c:pt idx="155">
                  <c:v>4.2925188920416604</c:v>
                </c:pt>
                <c:pt idx="156">
                  <c:v>4.2925742009576799</c:v>
                </c:pt>
                <c:pt idx="157">
                  <c:v>4.2925917271870802</c:v>
                </c:pt>
                <c:pt idx="158">
                  <c:v>4.2925453282682096</c:v>
                </c:pt>
                <c:pt idx="159">
                  <c:v>4.2923144934164004</c:v>
                </c:pt>
                <c:pt idx="160">
                  <c:v>4.2922100614518</c:v>
                </c:pt>
                <c:pt idx="161">
                  <c:v>4.2922771172141498</c:v>
                </c:pt>
                <c:pt idx="162">
                  <c:v>4.2922954516288403</c:v>
                </c:pt>
                <c:pt idx="163">
                  <c:v>4.2922019233191904</c:v>
                </c:pt>
                <c:pt idx="164">
                  <c:v>4.2920474102760302</c:v>
                </c:pt>
                <c:pt idx="165">
                  <c:v>4.2919040125627701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FSTA* x avg / VDC*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-3.0536499419075899E-4</c:v>
                </c:pt>
                <c:pt idx="2">
                  <c:v>3.7735729373194901E-4</c:v>
                </c:pt>
                <c:pt idx="3">
                  <c:v>7.9689562227329595E-5</c:v>
                </c:pt>
                <c:pt idx="4">
                  <c:v>2.2238584897062299E-4</c:v>
                </c:pt>
                <c:pt idx="5">
                  <c:v>-1.10278122626347E-4</c:v>
                </c:pt>
                <c:pt idx="6">
                  <c:v>-5.0378364400391795E-4</c:v>
                </c:pt>
                <c:pt idx="7">
                  <c:v>-3.2316087496668002E-4</c:v>
                </c:pt>
                <c:pt idx="8">
                  <c:v>-5.3948778527156799E-4</c:v>
                </c:pt>
                <c:pt idx="9">
                  <c:v>-3.18399822664026E-5</c:v>
                </c:pt>
                <c:pt idx="10">
                  <c:v>-2.8934160966478202E-4</c:v>
                </c:pt>
                <c:pt idx="11">
                  <c:v>3.1452069012756701E-4</c:v>
                </c:pt>
                <c:pt idx="12">
                  <c:v>-1.7828133331868799E-4</c:v>
                </c:pt>
                <c:pt idx="13">
                  <c:v>-1.50230077531056E-5</c:v>
                </c:pt>
                <c:pt idx="14">
                  <c:v>4.4177899504460202E-5</c:v>
                </c:pt>
                <c:pt idx="15">
                  <c:v>8.6781437891889098E-5</c:v>
                </c:pt>
                <c:pt idx="16">
                  <c:v>-2.25057010320203E-4</c:v>
                </c:pt>
                <c:pt idx="17">
                  <c:v>-3.87238551522722E-4</c:v>
                </c:pt>
                <c:pt idx="18">
                  <c:v>3.5342590959159002E-4</c:v>
                </c:pt>
                <c:pt idx="19">
                  <c:v>-3.1968804325725498E-4</c:v>
                </c:pt>
                <c:pt idx="20">
                  <c:v>1.13943900099526E-4</c:v>
                </c:pt>
                <c:pt idx="21">
                  <c:v>1.7638286899180499E-4</c:v>
                </c:pt>
                <c:pt idx="22">
                  <c:v>-9.0194015748560195E-5</c:v>
                </c:pt>
                <c:pt idx="23">
                  <c:v>7.16001554123593E-4</c:v>
                </c:pt>
                <c:pt idx="24">
                  <c:v>2.8881633964277599E-4</c:v>
                </c:pt>
                <c:pt idx="25">
                  <c:v>5.0750686150879997E-5</c:v>
                </c:pt>
                <c:pt idx="26">
                  <c:v>4.36188509622953E-4</c:v>
                </c:pt>
                <c:pt idx="27">
                  <c:v>4.6950278446030003E-5</c:v>
                </c:pt>
                <c:pt idx="28">
                  <c:v>6.0779412409192504E-4</c:v>
                </c:pt>
                <c:pt idx="29">
                  <c:v>6.1616280630683495E-4</c:v>
                </c:pt>
                <c:pt idx="30">
                  <c:v>3.0094973345519399E-4</c:v>
                </c:pt>
                <c:pt idx="31">
                  <c:v>-2.6762113891599698E-4</c:v>
                </c:pt>
                <c:pt idx="32">
                  <c:v>3.5923256284541998E-4</c:v>
                </c:pt>
                <c:pt idx="33">
                  <c:v>-5.26335066800803E-5</c:v>
                </c:pt>
                <c:pt idx="34">
                  <c:v>2.1938280072631599E-4</c:v>
                </c:pt>
                <c:pt idx="35">
                  <c:v>2.7061574242348102E-4</c:v>
                </c:pt>
                <c:pt idx="36">
                  <c:v>1.2589538215379301E-4</c:v>
                </c:pt>
                <c:pt idx="37">
                  <c:v>3.6128608777773901E-4</c:v>
                </c:pt>
                <c:pt idx="38">
                  <c:v>1.9946447998480901E-4</c:v>
                </c:pt>
                <c:pt idx="39">
                  <c:v>1.0015383618418599E-4</c:v>
                </c:pt>
                <c:pt idx="40">
                  <c:v>3.0361626282441597E-4</c:v>
                </c:pt>
                <c:pt idx="41">
                  <c:v>2.9675454928420502E-4</c:v>
                </c:pt>
                <c:pt idx="42">
                  <c:v>1.1293131599337299E-4</c:v>
                </c:pt>
                <c:pt idx="43">
                  <c:v>3.2555028470055097E-4</c:v>
                </c:pt>
                <c:pt idx="44">
                  <c:v>3.8355717575711099E-4</c:v>
                </c:pt>
                <c:pt idx="45">
                  <c:v>2.66500482133642E-5</c:v>
                </c:pt>
                <c:pt idx="46">
                  <c:v>-1.06799232005824E-4</c:v>
                </c:pt>
                <c:pt idx="47">
                  <c:v>-6.0688047042501705E-4</c:v>
                </c:pt>
                <c:pt idx="48">
                  <c:v>3.0053141052359199E-4</c:v>
                </c:pt>
                <c:pt idx="49">
                  <c:v>-3.5274550251403598E-4</c:v>
                </c:pt>
                <c:pt idx="50">
                  <c:v>-3.90162374634037E-4</c:v>
                </c:pt>
                <c:pt idx="51">
                  <c:v>-3.3441766804471401E-5</c:v>
                </c:pt>
                <c:pt idx="52">
                  <c:v>7.2958733294664899E-6</c:v>
                </c:pt>
                <c:pt idx="53">
                  <c:v>-1.8963136188276301E-5</c:v>
                </c:pt>
                <c:pt idx="54">
                  <c:v>5.6538045328583604E-4</c:v>
                </c:pt>
                <c:pt idx="55">
                  <c:v>-2.1093846886931301E-4</c:v>
                </c:pt>
                <c:pt idx="56">
                  <c:v>3.22603548904565E-4</c:v>
                </c:pt>
                <c:pt idx="57">
                  <c:v>9.2733878722441E-4</c:v>
                </c:pt>
                <c:pt idx="58">
                  <c:v>6.3791925807059406E-5</c:v>
                </c:pt>
                <c:pt idx="59">
                  <c:v>4.9435104495644999E-4</c:v>
                </c:pt>
                <c:pt idx="60">
                  <c:v>9.1069009658945496E-5</c:v>
                </c:pt>
                <c:pt idx="61">
                  <c:v>-4.7363826977884902E-4</c:v>
                </c:pt>
                <c:pt idx="62">
                  <c:v>-2.6096177063538698E-4</c:v>
                </c:pt>
                <c:pt idx="63">
                  <c:v>1.4133854259953401E-4</c:v>
                </c:pt>
                <c:pt idx="64">
                  <c:v>-3.83357551121493E-5</c:v>
                </c:pt>
                <c:pt idx="65">
                  <c:v>-2.8518586228303201E-4</c:v>
                </c:pt>
                <c:pt idx="66">
                  <c:v>3.7960593393768802E-4</c:v>
                </c:pt>
                <c:pt idx="67">
                  <c:v>2.8419685002266197E-4</c:v>
                </c:pt>
                <c:pt idx="68">
                  <c:v>2.9821030733076699E-4</c:v>
                </c:pt>
                <c:pt idx="69">
                  <c:v>-3.0656749660020399E-4</c:v>
                </c:pt>
                <c:pt idx="70">
                  <c:v>1.9020990481647201E-4</c:v>
                </c:pt>
                <c:pt idx="71">
                  <c:v>-3.0450514969369401E-6</c:v>
                </c:pt>
                <c:pt idx="72">
                  <c:v>-3.0995356480238701E-4</c:v>
                </c:pt>
                <c:pt idx="73">
                  <c:v>-5.6265374611802704E-4</c:v>
                </c:pt>
                <c:pt idx="74">
                  <c:v>-3.7064011381836298E-4</c:v>
                </c:pt>
                <c:pt idx="75">
                  <c:v>-3.5839275773743299E-4</c:v>
                </c:pt>
                <c:pt idx="76">
                  <c:v>-4.0215417994925499E-4</c:v>
                </c:pt>
                <c:pt idx="77">
                  <c:v>6.0349815114712802E-5</c:v>
                </c:pt>
                <c:pt idx="78">
                  <c:v>-7.2469996969482407E-5</c:v>
                </c:pt>
                <c:pt idx="79">
                  <c:v>-1.2461102509343601E-4</c:v>
                </c:pt>
                <c:pt idx="80">
                  <c:v>-8.6291119648662401E-4</c:v>
                </c:pt>
                <c:pt idx="81">
                  <c:v>1.0240059131703099E-4</c:v>
                </c:pt>
                <c:pt idx="82">
                  <c:v>-1.58661429876792E-4</c:v>
                </c:pt>
                <c:pt idx="83">
                  <c:v>-4.9911037569090003E-4</c:v>
                </c:pt>
                <c:pt idx="84">
                  <c:v>-2.68766473342388E-4</c:v>
                </c:pt>
                <c:pt idx="85">
                  <c:v>-2.45648276768858E-4</c:v>
                </c:pt>
                <c:pt idx="86">
                  <c:v>-4.0501273637545698E-4</c:v>
                </c:pt>
                <c:pt idx="87">
                  <c:v>-7.7374447981249099E-4</c:v>
                </c:pt>
                <c:pt idx="88">
                  <c:v>-4.11011491984522E-4</c:v>
                </c:pt>
                <c:pt idx="89">
                  <c:v>-6.1608725118479505E-4</c:v>
                </c:pt>
                <c:pt idx="90">
                  <c:v>-4.1352499804636497E-4</c:v>
                </c:pt>
                <c:pt idx="91">
                  <c:v>-7.8234238664398701E-4</c:v>
                </c:pt>
                <c:pt idx="92">
                  <c:v>-6.8428583005320496E-4</c:v>
                </c:pt>
                <c:pt idx="93">
                  <c:v>-6.5785948303918201E-4</c:v>
                </c:pt>
                <c:pt idx="94">
                  <c:v>-8.9433479755108899E-5</c:v>
                </c:pt>
                <c:pt idx="95">
                  <c:v>-5.0264913355291805E-4</c:v>
                </c:pt>
                <c:pt idx="96">
                  <c:v>-6.4171157104400299E-4</c:v>
                </c:pt>
                <c:pt idx="97">
                  <c:v>-2.5202003294029902E-4</c:v>
                </c:pt>
                <c:pt idx="98">
                  <c:v>1.01330402628982E-4</c:v>
                </c:pt>
                <c:pt idx="99">
                  <c:v>-4.4509591820463901E-4</c:v>
                </c:pt>
                <c:pt idx="100">
                  <c:v>-1.1726017522999299E-6</c:v>
                </c:pt>
                <c:pt idx="101">
                  <c:v>-3.7168628228106401E-4</c:v>
                </c:pt>
                <c:pt idx="102">
                  <c:v>-3.5115797829915799E-4</c:v>
                </c:pt>
                <c:pt idx="103">
                  <c:v>-1.30697598556566E-4</c:v>
                </c:pt>
                <c:pt idx="104">
                  <c:v>-2.17589397143728E-4</c:v>
                </c:pt>
                <c:pt idx="105">
                  <c:v>-1.42728460549896E-5</c:v>
                </c:pt>
                <c:pt idx="106">
                  <c:v>-4.8228003311788801E-4</c:v>
                </c:pt>
                <c:pt idx="107">
                  <c:v>2.8402718329243397E-4</c:v>
                </c:pt>
                <c:pt idx="108">
                  <c:v>-5.2411116516878095E-4</c:v>
                </c:pt>
                <c:pt idx="109">
                  <c:v>2.6398599304283801E-4</c:v>
                </c:pt>
                <c:pt idx="110">
                  <c:v>-3.3712802766302499E-4</c:v>
                </c:pt>
                <c:pt idx="111">
                  <c:v>-1.15464795782952E-6</c:v>
                </c:pt>
                <c:pt idx="112">
                  <c:v>-1.1901613201874099E-5</c:v>
                </c:pt>
                <c:pt idx="113">
                  <c:v>7.7512780185494705E-4</c:v>
                </c:pt>
                <c:pt idx="114">
                  <c:v>2.0510188210932299E-4</c:v>
                </c:pt>
                <c:pt idx="115">
                  <c:v>5.0237201331708296E-4</c:v>
                </c:pt>
                <c:pt idx="116">
                  <c:v>7.9373977291855502E-4</c:v>
                </c:pt>
                <c:pt idx="117">
                  <c:v>-6.8861182268325995E-4</c:v>
                </c:pt>
                <c:pt idx="118">
                  <c:v>2.2441017864741899E-4</c:v>
                </c:pt>
                <c:pt idx="119">
                  <c:v>7.5585881641844705E-4</c:v>
                </c:pt>
                <c:pt idx="120">
                  <c:v>-6.3207243460462097E-5</c:v>
                </c:pt>
                <c:pt idx="121">
                  <c:v>-5.6233519873964802E-5</c:v>
                </c:pt>
                <c:pt idx="122">
                  <c:v>2.9937914456089403E-4</c:v>
                </c:pt>
                <c:pt idx="123">
                  <c:v>-9.6409980507707797E-4</c:v>
                </c:pt>
                <c:pt idx="124">
                  <c:v>3.7169529337958903E-4</c:v>
                </c:pt>
                <c:pt idx="125">
                  <c:v>4.5477785904925199E-4</c:v>
                </c:pt>
                <c:pt idx="126">
                  <c:v>-1.5268489002973401E-4</c:v>
                </c:pt>
                <c:pt idx="127">
                  <c:v>4.2870732988153898E-5</c:v>
                </c:pt>
                <c:pt idx="128">
                  <c:v>3.8142881770062098E-4</c:v>
                </c:pt>
                <c:pt idx="129">
                  <c:v>-7.7408075865778797E-4</c:v>
                </c:pt>
                <c:pt idx="130">
                  <c:v>-9.0285996644526003E-5</c:v>
                </c:pt>
                <c:pt idx="131">
                  <c:v>5.5325356714628E-4</c:v>
                </c:pt>
                <c:pt idx="132">
                  <c:v>-7.9110829725699105E-4</c:v>
                </c:pt>
                <c:pt idx="133">
                  <c:v>-3.9176013004022098E-6</c:v>
                </c:pt>
                <c:pt idx="134">
                  <c:v>-1.7581591601625301E-4</c:v>
                </c:pt>
                <c:pt idx="135">
                  <c:v>1.4517377945943801E-4</c:v>
                </c:pt>
                <c:pt idx="136">
                  <c:v>9.7469594876063202E-5</c:v>
                </c:pt>
                <c:pt idx="137">
                  <c:v>4.4788504200622101E-4</c:v>
                </c:pt>
                <c:pt idx="138">
                  <c:v>1.3336807565386699E-4</c:v>
                </c:pt>
                <c:pt idx="139">
                  <c:v>-9.4402814037764298E-6</c:v>
                </c:pt>
                <c:pt idx="140">
                  <c:v>-1.28939586386661E-4</c:v>
                </c:pt>
                <c:pt idx="141">
                  <c:v>8.97828327887937E-4</c:v>
                </c:pt>
                <c:pt idx="142">
                  <c:v>-3.8999454961197502E-4</c:v>
                </c:pt>
                <c:pt idx="143">
                  <c:v>2.9006584368884101E-4</c:v>
                </c:pt>
                <c:pt idx="144">
                  <c:v>-2.7953368696626799E-4</c:v>
                </c:pt>
                <c:pt idx="145">
                  <c:v>-7.0658900492844001E-4</c:v>
                </c:pt>
                <c:pt idx="146">
                  <c:v>6.3780589765083899E-5</c:v>
                </c:pt>
                <c:pt idx="147">
                  <c:v>-2.1258486552152301E-4</c:v>
                </c:pt>
                <c:pt idx="148">
                  <c:v>2.01484493543709E-4</c:v>
                </c:pt>
                <c:pt idx="149">
                  <c:v>1.9754774650056599E-4</c:v>
                </c:pt>
                <c:pt idx="150">
                  <c:v>8.1355255199844201E-4</c:v>
                </c:pt>
                <c:pt idx="151">
                  <c:v>1.0461688127583601E-3</c:v>
                </c:pt>
                <c:pt idx="152">
                  <c:v>-2.0734961935705101E-4</c:v>
                </c:pt>
                <c:pt idx="153">
                  <c:v>9.1619082377074798E-5</c:v>
                </c:pt>
                <c:pt idx="154">
                  <c:v>1.95820159433954E-4</c:v>
                </c:pt>
                <c:pt idx="155">
                  <c:v>-1.14992788821557E-4</c:v>
                </c:pt>
                <c:pt idx="156">
                  <c:v>-1.63807774395048E-4</c:v>
                </c:pt>
                <c:pt idx="157">
                  <c:v>3.5846022473661301E-4</c:v>
                </c:pt>
                <c:pt idx="158">
                  <c:v>3.3986775442797099E-4</c:v>
                </c:pt>
                <c:pt idx="159">
                  <c:v>1.04879481883271E-3</c:v>
                </c:pt>
                <c:pt idx="160">
                  <c:v>3.4602313964725902E-4</c:v>
                </c:pt>
                <c:pt idx="161">
                  <c:v>5.9098612265596399E-4</c:v>
                </c:pt>
                <c:pt idx="162">
                  <c:v>-4.6995513228402302E-4</c:v>
                </c:pt>
                <c:pt idx="163">
                  <c:v>7.2423629306631195E-4</c:v>
                </c:pt>
                <c:pt idx="164">
                  <c:v>4.3268629866791402E-4</c:v>
                </c:pt>
                <c:pt idx="165">
                  <c:v>-4.5271024222624402E-5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FSTA* x 10 dma / VDC*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-1.72280654998155E-4</c:v>
                </c:pt>
                <c:pt idx="11">
                  <c:v>4.5694486444432502E-4</c:v>
                </c:pt>
                <c:pt idx="12">
                  <c:v>-9.7838537456978005E-5</c:v>
                </c:pt>
                <c:pt idx="13">
                  <c:v>1.20972108942385E-4</c:v>
                </c:pt>
                <c:pt idx="14">
                  <c:v>1.8964263421732201E-4</c:v>
                </c:pt>
                <c:pt idx="15">
                  <c:v>2.5006184208075603E-4</c:v>
                </c:pt>
                <c:pt idx="16">
                  <c:v>-8.1479770462932098E-5</c:v>
                </c:pt>
                <c:pt idx="17">
                  <c:v>-2.7154051991006099E-4</c:v>
                </c:pt>
                <c:pt idx="18">
                  <c:v>4.7553322317617599E-4</c:v>
                </c:pt>
                <c:pt idx="19">
                  <c:v>-2.8687349237359799E-4</c:v>
                </c:pt>
                <c:pt idx="20">
                  <c:v>1.7554695785513901E-4</c:v>
                </c:pt>
                <c:pt idx="21">
                  <c:v>1.97655509817712E-4</c:v>
                </c:pt>
                <c:pt idx="22">
                  <c:v>-5.5111372137957197E-5</c:v>
                </c:pt>
                <c:pt idx="23">
                  <c:v>7.4227455369604302E-4</c:v>
                </c:pt>
                <c:pt idx="24">
                  <c:v>2.42011748357949E-4</c:v>
                </c:pt>
                <c:pt idx="25">
                  <c:v>-2.0515120417425799E-5</c:v>
                </c:pt>
                <c:pt idx="26">
                  <c:v>3.6852578074446298E-4</c:v>
                </c:pt>
                <c:pt idx="27">
                  <c:v>-8.6836683517681196E-5</c:v>
                </c:pt>
                <c:pt idx="28">
                  <c:v>4.3057413723572601E-4</c:v>
                </c:pt>
                <c:pt idx="29">
                  <c:v>4.1351339071421902E-4</c:v>
                </c:pt>
                <c:pt idx="30">
                  <c:v>4.7057573632710797E-6</c:v>
                </c:pt>
                <c:pt idx="31">
                  <c:v>-5.8256753389210499E-4</c:v>
                </c:pt>
                <c:pt idx="32">
                  <c:v>8.8701594785510398E-5</c:v>
                </c:pt>
                <c:pt idx="33">
                  <c:v>-3.6811425634650599E-4</c:v>
                </c:pt>
                <c:pt idx="34">
                  <c:v>-1.92386401501165E-5</c:v>
                </c:pt>
                <c:pt idx="35">
                  <c:v>3.8937523866236899E-5</c:v>
                </c:pt>
                <c:pt idx="36">
                  <c:v>-1.2777114480353499E-4</c:v>
                </c:pt>
                <c:pt idx="37">
                  <c:v>1.3864754289033299E-4</c:v>
                </c:pt>
                <c:pt idx="38">
                  <c:v>-5.4608722195809899E-5</c:v>
                </c:pt>
                <c:pt idx="39">
                  <c:v>-1.1309334105794399E-4</c:v>
                </c:pt>
                <c:pt idx="40">
                  <c:v>1.4196117526921401E-4</c:v>
                </c:pt>
                <c:pt idx="41">
                  <c:v>1.3483284625262799E-4</c:v>
                </c:pt>
                <c:pt idx="42">
                  <c:v>-1.0543786670666699E-4</c:v>
                </c:pt>
                <c:pt idx="43">
                  <c:v>1.31810487178551E-4</c:v>
                </c:pt>
                <c:pt idx="44">
                  <c:v>1.5199611730467501E-4</c:v>
                </c:pt>
                <c:pt idx="45">
                  <c:v>-2.2132743482407001E-4</c:v>
                </c:pt>
                <c:pt idx="46">
                  <c:v>-3.3037801942481401E-4</c:v>
                </c:pt>
                <c:pt idx="47">
                  <c:v>-8.0718508630861204E-4</c:v>
                </c:pt>
                <c:pt idx="48">
                  <c:v>1.97070051473657E-4</c:v>
                </c:pt>
                <c:pt idx="49">
                  <c:v>-4.6631212478850898E-4</c:v>
                </c:pt>
                <c:pt idx="50">
                  <c:v>-4.5842922404396399E-4</c:v>
                </c:pt>
                <c:pt idx="51">
                  <c:v>-3.23254193145232E-5</c:v>
                </c:pt>
                <c:pt idx="52">
                  <c:v>4.1426923771022397E-5</c:v>
                </c:pt>
                <c:pt idx="53">
                  <c:v>2.57304072305205E-5</c:v>
                </c:pt>
                <c:pt idx="54">
                  <c:v>6.44517925518218E-4</c:v>
                </c:pt>
                <c:pt idx="55">
                  <c:v>-1.4997342646718201E-4</c:v>
                </c:pt>
                <c:pt idx="56">
                  <c:v>4.07327901608796E-4</c:v>
                </c:pt>
                <c:pt idx="57">
                  <c:v>9.6913021054235505E-4</c:v>
                </c:pt>
                <c:pt idx="58">
                  <c:v>-4.7819366022720797E-5</c:v>
                </c:pt>
                <c:pt idx="59">
                  <c:v>4.0641175132269999E-4</c:v>
                </c:pt>
                <c:pt idx="60">
                  <c:v>-8.1584981084730597E-5</c:v>
                </c:pt>
                <c:pt idx="61">
                  <c:v>-6.9443206592386601E-4</c:v>
                </c:pt>
                <c:pt idx="62">
                  <c:v>-4.3771600092200802E-4</c:v>
                </c:pt>
                <c:pt idx="63">
                  <c:v>-8.5821380384592694E-6</c:v>
                </c:pt>
                <c:pt idx="64">
                  <c:v>-2.0428815462092501E-4</c:v>
                </c:pt>
                <c:pt idx="65">
                  <c:v>-3.9077435214146902E-4</c:v>
                </c:pt>
                <c:pt idx="66">
                  <c:v>2.81444782068015E-4</c:v>
                </c:pt>
                <c:pt idx="67">
                  <c:v>1.80336885067016E-4</c:v>
                </c:pt>
                <c:pt idx="68">
                  <c:v>2.5863019950934203E-4</c:v>
                </c:pt>
                <c:pt idx="69">
                  <c:v>-3.6958640238016601E-4</c:v>
                </c:pt>
                <c:pt idx="70">
                  <c:v>2.0727717572229001E-4</c:v>
                </c:pt>
                <c:pt idx="71">
                  <c:v>4.1096441547387096E-6</c:v>
                </c:pt>
                <c:pt idx="72">
                  <c:v>-3.4987018000925301E-4</c:v>
                </c:pt>
                <c:pt idx="73">
                  <c:v>-5.9766959959002997E-4</c:v>
                </c:pt>
                <c:pt idx="74">
                  <c:v>-3.3524191874539097E-4</c:v>
                </c:pt>
                <c:pt idx="75">
                  <c:v>-2.8975905954559599E-4</c:v>
                </c:pt>
                <c:pt idx="76">
                  <c:v>-3.2619796551156802E-4</c:v>
                </c:pt>
                <c:pt idx="77">
                  <c:v>2.1447393131712701E-4</c:v>
                </c:pt>
                <c:pt idx="78">
                  <c:v>1.04031267282226E-4</c:v>
                </c:pt>
                <c:pt idx="79">
                  <c:v>8.8946858318588294E-5</c:v>
                </c:pt>
                <c:pt idx="80">
                  <c:v>-6.6754916275587304E-4</c:v>
                </c:pt>
                <c:pt idx="81">
                  <c:v>4.0308404240502199E-4</c:v>
                </c:pt>
                <c:pt idx="82">
                  <c:v>1.31481095128869E-4</c:v>
                </c:pt>
                <c:pt idx="83">
                  <c:v>-2.24096333910712E-4</c:v>
                </c:pt>
                <c:pt idx="84">
                  <c:v>-1.08414884729052E-7</c:v>
                </c:pt>
                <c:pt idx="85">
                  <c:v>1.28218457100853E-5</c:v>
                </c:pt>
                <c:pt idx="86">
                  <c:v>-1.57817616579262E-4</c:v>
                </c:pt>
                <c:pt idx="87">
                  <c:v>-5.2626345970645195E-4</c:v>
                </c:pt>
                <c:pt idx="88">
                  <c:v>-8.0115408932998007E-5</c:v>
                </c:pt>
                <c:pt idx="89">
                  <c:v>-2.5134060955022601E-4</c:v>
                </c:pt>
                <c:pt idx="90">
                  <c:v>3.6833432359670599E-7</c:v>
                </c:pt>
                <c:pt idx="91">
                  <c:v>-4.1339876669541098E-4</c:v>
                </c:pt>
                <c:pt idx="92">
                  <c:v>-2.2687438612059999E-4</c:v>
                </c:pt>
                <c:pt idx="93">
                  <c:v>-1.47888868686451E-4</c:v>
                </c:pt>
                <c:pt idx="94">
                  <c:v>4.3641300702261098E-4</c:v>
                </c:pt>
                <c:pt idx="95">
                  <c:v>5.2701103810413598E-6</c:v>
                </c:pt>
                <c:pt idx="96">
                  <c:v>-1.0809600919826399E-4</c:v>
                </c:pt>
                <c:pt idx="97">
                  <c:v>3.0526488960999398E-4</c:v>
                </c:pt>
                <c:pt idx="98">
                  <c:v>6.0644383553629805E-4</c:v>
                </c:pt>
                <c:pt idx="99">
                  <c:v>8.7999558890625906E-6</c:v>
                </c:pt>
                <c:pt idx="100">
                  <c:v>4.3562268132778302E-4</c:v>
                </c:pt>
                <c:pt idx="101">
                  <c:v>2.3882371267267702E-5</c:v>
                </c:pt>
                <c:pt idx="102">
                  <c:v>3.3367691490691299E-6</c:v>
                </c:pt>
                <c:pt idx="103">
                  <c:v>1.9047837050287301E-4</c:v>
                </c:pt>
                <c:pt idx="104">
                  <c:v>5.08651392765996E-5</c:v>
                </c:pt>
                <c:pt idx="105">
                  <c:v>2.6699572703399297E-4</c:v>
                </c:pt>
                <c:pt idx="106">
                  <c:v>-2.4984916794992601E-4</c:v>
                </c:pt>
                <c:pt idx="107">
                  <c:v>5.0050951230327099E-4</c:v>
                </c:pt>
                <c:pt idx="108">
                  <c:v>-3.6122253364552801E-4</c:v>
                </c:pt>
                <c:pt idx="109">
                  <c:v>4.8941985994569001E-4</c:v>
                </c:pt>
                <c:pt idx="110">
                  <c:v>-1.82595303422496E-4</c:v>
                </c:pt>
                <c:pt idx="111">
                  <c:v>1.8697354578696001E-4</c:v>
                </c:pt>
                <c:pt idx="112">
                  <c:v>1.39172793692406E-4</c:v>
                </c:pt>
                <c:pt idx="113">
                  <c:v>8.9227496332009099E-4</c:v>
                </c:pt>
                <c:pt idx="114">
                  <c:v>2.3170219100366899E-4</c:v>
                </c:pt>
                <c:pt idx="115">
                  <c:v>4.8670316108757498E-4</c:v>
                </c:pt>
                <c:pt idx="116">
                  <c:v>7.26416897957296E-4</c:v>
                </c:pt>
                <c:pt idx="117">
                  <c:v>-8.8353354688226304E-4</c:v>
                </c:pt>
                <c:pt idx="118">
                  <c:v>1.2678626755667101E-4</c:v>
                </c:pt>
                <c:pt idx="119">
                  <c:v>5.8336143997101797E-4</c:v>
                </c:pt>
                <c:pt idx="120">
                  <c:v>-2.8487651743874001E-4</c:v>
                </c:pt>
                <c:pt idx="121">
                  <c:v>-3.0530680527185601E-4</c:v>
                </c:pt>
                <c:pt idx="122">
                  <c:v>5.5815261302340198E-5</c:v>
                </c:pt>
                <c:pt idx="123">
                  <c:v>-1.2387953563418499E-3</c:v>
                </c:pt>
                <c:pt idx="124">
                  <c:v>2.70971611682252E-4</c:v>
                </c:pt>
                <c:pt idx="125">
                  <c:v>3.3739782373653598E-4</c:v>
                </c:pt>
                <c:pt idx="126">
                  <c:v>-2.6530723999932499E-4</c:v>
                </c:pt>
                <c:pt idx="127">
                  <c:v>2.4866701785166399E-5</c:v>
                </c:pt>
                <c:pt idx="128">
                  <c:v>2.9024891337946701E-4</c:v>
                </c:pt>
                <c:pt idx="129">
                  <c:v>-8.8095932576957305E-4</c:v>
                </c:pt>
                <c:pt idx="130">
                  <c:v>-4.4164549696946401E-5</c:v>
                </c:pt>
                <c:pt idx="131">
                  <c:v>6.0208296867641196E-4</c:v>
                </c:pt>
                <c:pt idx="132">
                  <c:v>-8.0321134195570504E-4</c:v>
                </c:pt>
                <c:pt idx="133">
                  <c:v>9.3050289809959707E-5</c:v>
                </c:pt>
                <c:pt idx="134">
                  <c:v>-1.7490803275076801E-4</c:v>
                </c:pt>
                <c:pt idx="135">
                  <c:v>2.00825874108524E-4</c:v>
                </c:pt>
                <c:pt idx="136">
                  <c:v>1.84070610257326E-4</c:v>
                </c:pt>
                <c:pt idx="137">
                  <c:v>5.0947177167924996E-4</c:v>
                </c:pt>
                <c:pt idx="138">
                  <c:v>1.5446498504488899E-4</c:v>
                </c:pt>
                <c:pt idx="139">
                  <c:v>3.6455487346858401E-5</c:v>
                </c:pt>
                <c:pt idx="140">
                  <c:v>-1.59537243565443E-4</c:v>
                </c:pt>
                <c:pt idx="141">
                  <c:v>8.7109656421283804E-4</c:v>
                </c:pt>
                <c:pt idx="142">
                  <c:v>-4.5116031158538302E-4</c:v>
                </c:pt>
                <c:pt idx="143">
                  <c:v>1.8876175135740101E-4</c:v>
                </c:pt>
                <c:pt idx="144">
                  <c:v>-4.1023532806229202E-4</c:v>
                </c:pt>
                <c:pt idx="145">
                  <c:v>-8.2691520508321496E-4</c:v>
                </c:pt>
                <c:pt idx="146">
                  <c:v>2.86612058391586E-5</c:v>
                </c:pt>
                <c:pt idx="147">
                  <c:v>-2.44335507911113E-4</c:v>
                </c:pt>
                <c:pt idx="148">
                  <c:v>2.3577298931887401E-4</c:v>
                </c:pt>
                <c:pt idx="149">
                  <c:v>2.2502595116560199E-4</c:v>
                </c:pt>
                <c:pt idx="150">
                  <c:v>8.2033425507804802E-4</c:v>
                </c:pt>
                <c:pt idx="151">
                  <c:v>9.5872975542093204E-4</c:v>
                </c:pt>
                <c:pt idx="152">
                  <c:v>-3.0960971922940999E-4</c:v>
                </c:pt>
                <c:pt idx="153">
                  <c:v>-2.8913001769036099E-5</c:v>
                </c:pt>
                <c:pt idx="154">
                  <c:v>9.5131159338511794E-5</c:v>
                </c:pt>
                <c:pt idx="155">
                  <c:v>-2.6322508061953401E-4</c:v>
                </c:pt>
                <c:pt idx="156">
                  <c:v>-3.7123452146978301E-4</c:v>
                </c:pt>
                <c:pt idx="157">
                  <c:v>1.73797914811661E-4</c:v>
                </c:pt>
                <c:pt idx="158">
                  <c:v>9.8092923475651196E-5</c:v>
                </c:pt>
                <c:pt idx="159">
                  <c:v>7.9318196597572205E-4</c:v>
                </c:pt>
                <c:pt idx="160">
                  <c:v>5.3132388911771501E-6</c:v>
                </c:pt>
                <c:pt idx="161">
                  <c:v>2.9701689493729798E-4</c:v>
                </c:pt>
                <c:pt idx="162">
                  <c:v>-7.1843099843481198E-4</c:v>
                </c:pt>
                <c:pt idx="163">
                  <c:v>5.0203605591482797E-4</c:v>
                </c:pt>
                <c:pt idx="164">
                  <c:v>1.4723408737604099E-4</c:v>
                </c:pt>
                <c:pt idx="165">
                  <c:v>-3.5440944782024901E-4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FSTA* x 20 dma / VDC*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2.0327629075778101E-4</c:v>
                </c:pt>
                <c:pt idx="21">
                  <c:v>2.5823311127502101E-4</c:v>
                </c:pt>
                <c:pt idx="22">
                  <c:v>-3.2431038819562299E-5</c:v>
                </c:pt>
                <c:pt idx="23">
                  <c:v>7.9713711712537196E-4</c:v>
                </c:pt>
                <c:pt idx="24">
                  <c:v>3.3815103229339801E-4</c:v>
                </c:pt>
                <c:pt idx="25">
                  <c:v>9.6764861451832296E-5</c:v>
                </c:pt>
                <c:pt idx="26">
                  <c:v>4.74151342902864E-4</c:v>
                </c:pt>
                <c:pt idx="27">
                  <c:v>3.7913593615637298E-5</c:v>
                </c:pt>
                <c:pt idx="28">
                  <c:v>5.8024898706032703E-4</c:v>
                </c:pt>
                <c:pt idx="29">
                  <c:v>5.3125230436209495E-4</c:v>
                </c:pt>
                <c:pt idx="30">
                  <c:v>1.8364528109932599E-4</c:v>
                </c:pt>
                <c:pt idx="31">
                  <c:v>-4.14443885586179E-4</c:v>
                </c:pt>
                <c:pt idx="32">
                  <c:v>2.4152007558064201E-4</c:v>
                </c:pt>
                <c:pt idx="33">
                  <c:v>-1.9722278227415801E-4</c:v>
                </c:pt>
                <c:pt idx="34">
                  <c:v>7.6674383858510195E-5</c:v>
                </c:pt>
                <c:pt idx="35">
                  <c:v>1.19146946378351E-4</c:v>
                </c:pt>
                <c:pt idx="36">
                  <c:v>-3.4764921087477301E-5</c:v>
                </c:pt>
                <c:pt idx="37">
                  <c:v>1.8307432117754401E-4</c:v>
                </c:pt>
                <c:pt idx="38">
                  <c:v>-1.61813762314245E-5</c:v>
                </c:pt>
                <c:pt idx="39">
                  <c:v>-1.07794446194017E-4</c:v>
                </c:pt>
                <c:pt idx="40">
                  <c:v>7.4668995271819994E-5</c:v>
                </c:pt>
                <c:pt idx="41">
                  <c:v>5.8323427349881499E-5</c:v>
                </c:pt>
                <c:pt idx="42">
                  <c:v>-1.3151841927981799E-4</c:v>
                </c:pt>
                <c:pt idx="43">
                  <c:v>7.0941863713688594E-5</c:v>
                </c:pt>
                <c:pt idx="44">
                  <c:v>1.48465932323304E-4</c:v>
                </c:pt>
                <c:pt idx="45">
                  <c:v>-2.13177769375765E-4</c:v>
                </c:pt>
                <c:pt idx="46">
                  <c:v>-3.45421776035165E-4</c:v>
                </c:pt>
                <c:pt idx="47">
                  <c:v>-8.1835198846005105E-4</c:v>
                </c:pt>
                <c:pt idx="48">
                  <c:v>1.2176696539931701E-4</c:v>
                </c:pt>
                <c:pt idx="49">
                  <c:v>-5.1615116024565102E-4</c:v>
                </c:pt>
                <c:pt idx="50">
                  <c:v>-5.0512225294623296E-4</c:v>
                </c:pt>
                <c:pt idx="51">
                  <c:v>-1.13841121899312E-4</c:v>
                </c:pt>
                <c:pt idx="52">
                  <c:v>-8.48152232539738E-5</c:v>
                </c:pt>
                <c:pt idx="53">
                  <c:v>-9.3479156932707E-5</c:v>
                </c:pt>
                <c:pt idx="54">
                  <c:v>4.89180726872701E-4</c:v>
                </c:pt>
                <c:pt idx="55">
                  <c:v>-3.04432758501607E-4</c:v>
                </c:pt>
                <c:pt idx="56">
                  <c:v>2.5318821290039502E-4</c:v>
                </c:pt>
                <c:pt idx="57">
                  <c:v>8.4808951725303598E-4</c:v>
                </c:pt>
                <c:pt idx="58">
                  <c:v>-4.3744391329976399E-5</c:v>
                </c:pt>
                <c:pt idx="59">
                  <c:v>3.9359816909756402E-4</c:v>
                </c:pt>
                <c:pt idx="60">
                  <c:v>-2.93900483333989E-5</c:v>
                </c:pt>
                <c:pt idx="61">
                  <c:v>-5.8347083859232795E-4</c:v>
                </c:pt>
                <c:pt idx="62">
                  <c:v>-3.3226780148279899E-4</c:v>
                </c:pt>
                <c:pt idx="63">
                  <c:v>8.87297083270105E-5</c:v>
                </c:pt>
                <c:pt idx="64">
                  <c:v>-8.1735710119689697E-5</c:v>
                </c:pt>
                <c:pt idx="65">
                  <c:v>-3.0749411850142298E-4</c:v>
                </c:pt>
                <c:pt idx="66">
                  <c:v>3.7289171524356899E-4</c:v>
                </c:pt>
                <c:pt idx="67">
                  <c:v>2.5316523099455797E-4</c:v>
                </c:pt>
                <c:pt idx="68">
                  <c:v>2.2261525606666799E-4</c:v>
                </c:pt>
                <c:pt idx="69">
                  <c:v>-3.8204651867868001E-4</c:v>
                </c:pt>
                <c:pt idx="70">
                  <c:v>1.12421044167072E-4</c:v>
                </c:pt>
                <c:pt idx="71">
                  <c:v>-1.09858106679304E-4</c:v>
                </c:pt>
                <c:pt idx="72">
                  <c:v>-4.1828664698241098E-4</c:v>
                </c:pt>
                <c:pt idx="73">
                  <c:v>-6.5512036278323805E-4</c:v>
                </c:pt>
                <c:pt idx="74">
                  <c:v>-4.3591214827855198E-4</c:v>
                </c:pt>
                <c:pt idx="75">
                  <c:v>-3.7686635939931202E-4</c:v>
                </c:pt>
                <c:pt idx="76">
                  <c:v>-4.1325285905838798E-4</c:v>
                </c:pt>
                <c:pt idx="77">
                  <c:v>8.5490210211388901E-5</c:v>
                </c:pt>
                <c:pt idx="78">
                  <c:v>-4.0035823594823498E-6</c:v>
                </c:pt>
                <c:pt idx="79">
                  <c:v>-4.9331974437310199E-5</c:v>
                </c:pt>
                <c:pt idx="80">
                  <c:v>-7.5669257054041005E-4</c:v>
                </c:pt>
                <c:pt idx="81">
                  <c:v>2.56330434578355E-4</c:v>
                </c:pt>
                <c:pt idx="82">
                  <c:v>-3.3534857597995698E-5</c:v>
                </c:pt>
                <c:pt idx="83">
                  <c:v>-3.7909926671979201E-4</c:v>
                </c:pt>
                <c:pt idx="84">
                  <c:v>-1.1673154530646799E-4</c:v>
                </c:pt>
                <c:pt idx="85">
                  <c:v>-8.2091861699782394E-5</c:v>
                </c:pt>
                <c:pt idx="86">
                  <c:v>-2.43433403913438E-4</c:v>
                </c:pt>
                <c:pt idx="87">
                  <c:v>-5.7294082221940397E-4</c:v>
                </c:pt>
                <c:pt idx="88">
                  <c:v>-1.57309838612619E-4</c:v>
                </c:pt>
                <c:pt idx="89">
                  <c:v>-3.2693213140639699E-4</c:v>
                </c:pt>
                <c:pt idx="90">
                  <c:v>-1.08891345504822E-4</c:v>
                </c:pt>
                <c:pt idx="91">
                  <c:v>-4.4752826869429E-4</c:v>
                </c:pt>
                <c:pt idx="92">
                  <c:v>-3.1050534822250501E-4</c:v>
                </c:pt>
                <c:pt idx="93">
                  <c:v>-2.6536025439875599E-4</c:v>
                </c:pt>
                <c:pt idx="94">
                  <c:v>3.0782706109839798E-4</c:v>
                </c:pt>
                <c:pt idx="95">
                  <c:v>-1.19446672238534E-4</c:v>
                </c:pt>
                <c:pt idx="96">
                  <c:v>-2.5129597563933301E-4</c:v>
                </c:pt>
                <c:pt idx="97">
                  <c:v>1.5037493569507101E-4</c:v>
                </c:pt>
                <c:pt idx="98">
                  <c:v>5.1933895456924195E-4</c:v>
                </c:pt>
                <c:pt idx="99">
                  <c:v>-3.5773666892503302E-5</c:v>
                </c:pt>
                <c:pt idx="100">
                  <c:v>4.2417177153516701E-4</c:v>
                </c:pt>
                <c:pt idx="101">
                  <c:v>1.0569943078734001E-5</c:v>
                </c:pt>
                <c:pt idx="102">
                  <c:v>5.4796441372144001E-5</c:v>
                </c:pt>
                <c:pt idx="103">
                  <c:v>2.84880148576668E-4</c:v>
                </c:pt>
                <c:pt idx="104">
                  <c:v>1.7956939578213599E-4</c:v>
                </c:pt>
                <c:pt idx="105">
                  <c:v>3.80327483772321E-4</c:v>
                </c:pt>
                <c:pt idx="106">
                  <c:v>-9.9245480583383001E-5</c:v>
                </c:pt>
                <c:pt idx="107">
                  <c:v>6.7092532737389997E-4</c:v>
                </c:pt>
                <c:pt idx="108">
                  <c:v>-1.9009549322689101E-4</c:v>
                </c:pt>
                <c:pt idx="109">
                  <c:v>6.03657387902236E-4</c:v>
                </c:pt>
                <c:pt idx="110">
                  <c:v>-4.1454064983744602E-5</c:v>
                </c:pt>
                <c:pt idx="111">
                  <c:v>2.9069915463161698E-4</c:v>
                </c:pt>
                <c:pt idx="112">
                  <c:v>2.4088813644870401E-4</c:v>
                </c:pt>
                <c:pt idx="113">
                  <c:v>9.9429457058644501E-4</c:v>
                </c:pt>
                <c:pt idx="114">
                  <c:v>3.5263661645024402E-4</c:v>
                </c:pt>
                <c:pt idx="115">
                  <c:v>6.3518289522611696E-4</c:v>
                </c:pt>
                <c:pt idx="116">
                  <c:v>8.7630499956003398E-4</c:v>
                </c:pt>
                <c:pt idx="117">
                  <c:v>-6.7781036361572796E-4</c:v>
                </c:pt>
                <c:pt idx="118">
                  <c:v>2.5705102221158902E-4</c:v>
                </c:pt>
                <c:pt idx="119">
                  <c:v>7.8234685530515196E-4</c:v>
                </c:pt>
                <c:pt idx="120">
                  <c:v>-9.6757827336683397E-5</c:v>
                </c:pt>
                <c:pt idx="121">
                  <c:v>-8.6682172559229893E-5</c:v>
                </c:pt>
                <c:pt idx="122">
                  <c:v>2.5315387380121801E-4</c:v>
                </c:pt>
                <c:pt idx="123">
                  <c:v>-1.04285480738814E-3</c:v>
                </c:pt>
                <c:pt idx="124">
                  <c:v>3.3463563340275002E-4</c:v>
                </c:pt>
                <c:pt idx="125">
                  <c:v>3.8825470842376202E-4</c:v>
                </c:pt>
                <c:pt idx="126">
                  <c:v>-2.42657245989884E-4</c:v>
                </c:pt>
                <c:pt idx="127">
                  <c:v>-6.3588232229154203E-5</c:v>
                </c:pt>
                <c:pt idx="128">
                  <c:v>2.8702691518564402E-4</c:v>
                </c:pt>
                <c:pt idx="129">
                  <c:v>-9.1376819220895396E-4</c:v>
                </c:pt>
                <c:pt idx="130">
                  <c:v>-1.78050946176073E-4</c:v>
                </c:pt>
                <c:pt idx="131">
                  <c:v>4.5314271846362699E-4</c:v>
                </c:pt>
                <c:pt idx="132">
                  <c:v>-9.1893506447076202E-4</c:v>
                </c:pt>
                <c:pt idx="133">
                  <c:v>-9.2764164663447396E-5</c:v>
                </c:pt>
                <c:pt idx="134">
                  <c:v>-2.2572252411034901E-4</c:v>
                </c:pt>
                <c:pt idx="135">
                  <c:v>1.14313551642441E-4</c:v>
                </c:pt>
                <c:pt idx="136">
                  <c:v>8.4463888825635997E-5</c:v>
                </c:pt>
                <c:pt idx="137">
                  <c:v>4.6967718307727301E-4</c:v>
                </c:pt>
                <c:pt idx="138">
                  <c:v>9.8328153949024398E-5</c:v>
                </c:pt>
                <c:pt idx="139">
                  <c:v>-3.9928763084550302E-5</c:v>
                </c:pt>
                <c:pt idx="140">
                  <c:v>-1.21176955774524E-4</c:v>
                </c:pt>
                <c:pt idx="141">
                  <c:v>9.0887786050182105E-4</c:v>
                </c:pt>
                <c:pt idx="142">
                  <c:v>-4.2662865205431101E-4</c:v>
                </c:pt>
                <c:pt idx="143">
                  <c:v>2.8790265705057398E-4</c:v>
                </c:pt>
                <c:pt idx="144">
                  <c:v>-3.44428400748017E-4</c:v>
                </c:pt>
                <c:pt idx="145">
                  <c:v>-7.3892218663602004E-4</c:v>
                </c:pt>
                <c:pt idx="146">
                  <c:v>8.9523257474762597E-5</c:v>
                </c:pt>
                <c:pt idx="147">
                  <c:v>-1.9766573289682599E-4</c:v>
                </c:pt>
                <c:pt idx="148">
                  <c:v>2.29177217878792E-4</c:v>
                </c:pt>
                <c:pt idx="149">
                  <c:v>2.34234775609222E-4</c:v>
                </c:pt>
                <c:pt idx="150">
                  <c:v>8.01644749600834E-4</c:v>
                </c:pt>
                <c:pt idx="151">
                  <c:v>9.8908386292409891E-4</c:v>
                </c:pt>
                <c:pt idx="152">
                  <c:v>-2.8906233918676898E-4</c:v>
                </c:pt>
                <c:pt idx="153">
                  <c:v>-1.9298959647272099E-5</c:v>
                </c:pt>
                <c:pt idx="154">
                  <c:v>8.0124951432929099E-5</c:v>
                </c:pt>
                <c:pt idx="155">
                  <c:v>-2.4927193745409701E-4</c:v>
                </c:pt>
                <c:pt idx="156">
                  <c:v>-2.8507712866727698E-4</c:v>
                </c:pt>
                <c:pt idx="157">
                  <c:v>2.5025667132650998E-4</c:v>
                </c:pt>
                <c:pt idx="158">
                  <c:v>2.36134113209424E-4</c:v>
                </c:pt>
                <c:pt idx="159">
                  <c:v>9.3473751230516795E-4</c:v>
                </c:pt>
                <c:pt idx="160">
                  <c:v>1.7907413461062499E-4</c:v>
                </c:pt>
                <c:pt idx="161">
                  <c:v>4.0028731196703899E-4</c:v>
                </c:pt>
                <c:pt idx="162">
                  <c:v>-6.4532044291440503E-4</c:v>
                </c:pt>
                <c:pt idx="163">
                  <c:v>5.5287142446912405E-4</c:v>
                </c:pt>
                <c:pt idx="164">
                  <c:v>2.39619960154682E-4</c:v>
                </c:pt>
                <c:pt idx="165">
                  <c:v>-2.73953145572781E-4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VDC*/FSTA*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4.2916660005161003</c:v>
                </c:pt>
                <c:pt idx="1">
                  <c:v>4.2916660005161003</c:v>
                </c:pt>
                <c:pt idx="2">
                  <c:v>4.2916660005161003</c:v>
                </c:pt>
                <c:pt idx="3">
                  <c:v>4.2916660005161003</c:v>
                </c:pt>
                <c:pt idx="4">
                  <c:v>4.2916660005161003</c:v>
                </c:pt>
                <c:pt idx="5">
                  <c:v>4.2916660005161003</c:v>
                </c:pt>
                <c:pt idx="6">
                  <c:v>4.2916660005161003</c:v>
                </c:pt>
                <c:pt idx="7">
                  <c:v>4.2916660005161003</c:v>
                </c:pt>
                <c:pt idx="8">
                  <c:v>4.2916660005161003</c:v>
                </c:pt>
                <c:pt idx="9">
                  <c:v>4.2916660005161003</c:v>
                </c:pt>
                <c:pt idx="10">
                  <c:v>4.2916660005161003</c:v>
                </c:pt>
                <c:pt idx="11">
                  <c:v>4.2916660005161003</c:v>
                </c:pt>
                <c:pt idx="12">
                  <c:v>4.2916660005161003</c:v>
                </c:pt>
                <c:pt idx="13">
                  <c:v>4.2916660005161003</c:v>
                </c:pt>
                <c:pt idx="14">
                  <c:v>4.2916660005161003</c:v>
                </c:pt>
                <c:pt idx="15">
                  <c:v>4.2916660005161003</c:v>
                </c:pt>
                <c:pt idx="16">
                  <c:v>4.2916660005161003</c:v>
                </c:pt>
                <c:pt idx="17">
                  <c:v>4.2916660005161003</c:v>
                </c:pt>
                <c:pt idx="18">
                  <c:v>4.2916660005161003</c:v>
                </c:pt>
                <c:pt idx="19">
                  <c:v>4.2916660005161003</c:v>
                </c:pt>
                <c:pt idx="20">
                  <c:v>4.2916660005161003</c:v>
                </c:pt>
                <c:pt idx="21">
                  <c:v>4.2916660005161003</c:v>
                </c:pt>
                <c:pt idx="22">
                  <c:v>4.2916660005161003</c:v>
                </c:pt>
                <c:pt idx="23">
                  <c:v>4.2916660005161003</c:v>
                </c:pt>
                <c:pt idx="24">
                  <c:v>4.2916660005161003</c:v>
                </c:pt>
                <c:pt idx="25">
                  <c:v>4.2916660005161003</c:v>
                </c:pt>
                <c:pt idx="26">
                  <c:v>4.2916660005161003</c:v>
                </c:pt>
                <c:pt idx="27">
                  <c:v>4.2916660005161003</c:v>
                </c:pt>
                <c:pt idx="28">
                  <c:v>4.2916660005161003</c:v>
                </c:pt>
                <c:pt idx="29">
                  <c:v>4.2916660005161003</c:v>
                </c:pt>
                <c:pt idx="30">
                  <c:v>4.2916660005161003</c:v>
                </c:pt>
                <c:pt idx="31">
                  <c:v>4.2916660005161003</c:v>
                </c:pt>
                <c:pt idx="32">
                  <c:v>4.2916660005161003</c:v>
                </c:pt>
                <c:pt idx="33">
                  <c:v>4.2916660005161003</c:v>
                </c:pt>
                <c:pt idx="34">
                  <c:v>4.2916660005161003</c:v>
                </c:pt>
                <c:pt idx="35">
                  <c:v>4.2916660005161003</c:v>
                </c:pt>
                <c:pt idx="36">
                  <c:v>4.2916660005161003</c:v>
                </c:pt>
                <c:pt idx="37">
                  <c:v>4.2916660005161003</c:v>
                </c:pt>
                <c:pt idx="38">
                  <c:v>4.2916660005161003</c:v>
                </c:pt>
                <c:pt idx="39">
                  <c:v>4.2916660005161003</c:v>
                </c:pt>
                <c:pt idx="40">
                  <c:v>4.2916660005161003</c:v>
                </c:pt>
                <c:pt idx="41">
                  <c:v>4.2916660005161003</c:v>
                </c:pt>
                <c:pt idx="42">
                  <c:v>4.2916660005161003</c:v>
                </c:pt>
                <c:pt idx="43">
                  <c:v>4.2916660005161003</c:v>
                </c:pt>
                <c:pt idx="44">
                  <c:v>4.2916660005161003</c:v>
                </c:pt>
                <c:pt idx="45">
                  <c:v>4.2916660005161003</c:v>
                </c:pt>
                <c:pt idx="46">
                  <c:v>4.2916660005161003</c:v>
                </c:pt>
                <c:pt idx="47">
                  <c:v>4.2916660005161003</c:v>
                </c:pt>
                <c:pt idx="48">
                  <c:v>4.2916660005161003</c:v>
                </c:pt>
                <c:pt idx="49">
                  <c:v>4.2916660005161003</c:v>
                </c:pt>
                <c:pt idx="50">
                  <c:v>4.2916660005161003</c:v>
                </c:pt>
                <c:pt idx="51">
                  <c:v>4.2916660005161003</c:v>
                </c:pt>
                <c:pt idx="52">
                  <c:v>4.2916660005161003</c:v>
                </c:pt>
                <c:pt idx="53">
                  <c:v>4.2916660005161003</c:v>
                </c:pt>
                <c:pt idx="54">
                  <c:v>4.2916660005161003</c:v>
                </c:pt>
                <c:pt idx="55">
                  <c:v>4.2916660005161003</c:v>
                </c:pt>
                <c:pt idx="56">
                  <c:v>4.2916660005161003</c:v>
                </c:pt>
                <c:pt idx="57">
                  <c:v>4.2916660005161003</c:v>
                </c:pt>
                <c:pt idx="58">
                  <c:v>4.2916660005161003</c:v>
                </c:pt>
                <c:pt idx="59">
                  <c:v>4.2916660005161003</c:v>
                </c:pt>
                <c:pt idx="60">
                  <c:v>4.2916660005161003</c:v>
                </c:pt>
                <c:pt idx="61">
                  <c:v>4.2916660005161003</c:v>
                </c:pt>
                <c:pt idx="62">
                  <c:v>4.2916660005161003</c:v>
                </c:pt>
                <c:pt idx="63">
                  <c:v>4.2916660005161003</c:v>
                </c:pt>
                <c:pt idx="64">
                  <c:v>4.2916660005161003</c:v>
                </c:pt>
                <c:pt idx="65">
                  <c:v>4.2916660005161003</c:v>
                </c:pt>
                <c:pt idx="66">
                  <c:v>4.2916660005161003</c:v>
                </c:pt>
                <c:pt idx="67">
                  <c:v>4.2916660005161003</c:v>
                </c:pt>
                <c:pt idx="68">
                  <c:v>4.2916660005161003</c:v>
                </c:pt>
                <c:pt idx="69">
                  <c:v>4.2916660005161003</c:v>
                </c:pt>
                <c:pt idx="70">
                  <c:v>4.2916660005161003</c:v>
                </c:pt>
                <c:pt idx="71">
                  <c:v>4.2916660005161003</c:v>
                </c:pt>
                <c:pt idx="72">
                  <c:v>4.2916660005161003</c:v>
                </c:pt>
                <c:pt idx="73">
                  <c:v>4.2916660005161003</c:v>
                </c:pt>
                <c:pt idx="74">
                  <c:v>4.2916660005161003</c:v>
                </c:pt>
                <c:pt idx="75">
                  <c:v>4.2916660005161003</c:v>
                </c:pt>
                <c:pt idx="76">
                  <c:v>4.2916660005161003</c:v>
                </c:pt>
                <c:pt idx="77">
                  <c:v>4.2916660005161003</c:v>
                </c:pt>
                <c:pt idx="78">
                  <c:v>4.2916660005161003</c:v>
                </c:pt>
                <c:pt idx="79">
                  <c:v>4.2916660005161003</c:v>
                </c:pt>
                <c:pt idx="80">
                  <c:v>4.2916660005161003</c:v>
                </c:pt>
                <c:pt idx="81">
                  <c:v>4.2916660005161003</c:v>
                </c:pt>
                <c:pt idx="82">
                  <c:v>4.2916660005161003</c:v>
                </c:pt>
                <c:pt idx="83">
                  <c:v>4.2916660005161003</c:v>
                </c:pt>
                <c:pt idx="84">
                  <c:v>4.2916660005161003</c:v>
                </c:pt>
                <c:pt idx="85">
                  <c:v>4.2916660005161003</c:v>
                </c:pt>
                <c:pt idx="86">
                  <c:v>4.2916660005161003</c:v>
                </c:pt>
                <c:pt idx="87">
                  <c:v>4.2916660005161003</c:v>
                </c:pt>
                <c:pt idx="88">
                  <c:v>4.2916660005161003</c:v>
                </c:pt>
                <c:pt idx="89">
                  <c:v>4.2916660005161003</c:v>
                </c:pt>
                <c:pt idx="90">
                  <c:v>4.2916660005161003</c:v>
                </c:pt>
                <c:pt idx="91">
                  <c:v>4.2916660005161003</c:v>
                </c:pt>
                <c:pt idx="92">
                  <c:v>4.2916660005161003</c:v>
                </c:pt>
                <c:pt idx="93">
                  <c:v>4.2916660005161003</c:v>
                </c:pt>
                <c:pt idx="94">
                  <c:v>4.2916660005161003</c:v>
                </c:pt>
                <c:pt idx="95">
                  <c:v>4.2916660005161003</c:v>
                </c:pt>
                <c:pt idx="96">
                  <c:v>4.2916660005161003</c:v>
                </c:pt>
                <c:pt idx="97">
                  <c:v>4.2916660005161003</c:v>
                </c:pt>
                <c:pt idx="98">
                  <c:v>4.2916660005161003</c:v>
                </c:pt>
                <c:pt idx="99">
                  <c:v>4.2916660005161003</c:v>
                </c:pt>
                <c:pt idx="100">
                  <c:v>4.2916660005161003</c:v>
                </c:pt>
                <c:pt idx="101">
                  <c:v>4.2916660005161003</c:v>
                </c:pt>
                <c:pt idx="102">
                  <c:v>4.2916660005161003</c:v>
                </c:pt>
                <c:pt idx="103">
                  <c:v>4.2916660005161003</c:v>
                </c:pt>
                <c:pt idx="104">
                  <c:v>4.2916660005161003</c:v>
                </c:pt>
                <c:pt idx="105">
                  <c:v>4.2916660005161003</c:v>
                </c:pt>
                <c:pt idx="106">
                  <c:v>4.2916660005161003</c:v>
                </c:pt>
                <c:pt idx="107">
                  <c:v>4.2916660005161003</c:v>
                </c:pt>
                <c:pt idx="108">
                  <c:v>4.2916660005161003</c:v>
                </c:pt>
                <c:pt idx="109">
                  <c:v>4.2916660005161003</c:v>
                </c:pt>
                <c:pt idx="110">
                  <c:v>4.2916660005161003</c:v>
                </c:pt>
                <c:pt idx="111">
                  <c:v>4.2916660005161003</c:v>
                </c:pt>
                <c:pt idx="112">
                  <c:v>4.2916660005161003</c:v>
                </c:pt>
                <c:pt idx="113">
                  <c:v>4.2916660005161003</c:v>
                </c:pt>
                <c:pt idx="114">
                  <c:v>4.2916660005161003</c:v>
                </c:pt>
                <c:pt idx="115">
                  <c:v>4.2916660005161003</c:v>
                </c:pt>
                <c:pt idx="116">
                  <c:v>4.2916660005161003</c:v>
                </c:pt>
                <c:pt idx="117">
                  <c:v>4.2916660005161003</c:v>
                </c:pt>
                <c:pt idx="118">
                  <c:v>4.2916660005161003</c:v>
                </c:pt>
                <c:pt idx="119">
                  <c:v>4.2916660005161003</c:v>
                </c:pt>
                <c:pt idx="120">
                  <c:v>4.2916660005161003</c:v>
                </c:pt>
                <c:pt idx="121">
                  <c:v>4.2916660005161003</c:v>
                </c:pt>
                <c:pt idx="122">
                  <c:v>4.2916660005161003</c:v>
                </c:pt>
                <c:pt idx="123">
                  <c:v>4.2916660005161003</c:v>
                </c:pt>
                <c:pt idx="124">
                  <c:v>4.2916660005161003</c:v>
                </c:pt>
                <c:pt idx="125">
                  <c:v>4.2916660005161003</c:v>
                </c:pt>
                <c:pt idx="126">
                  <c:v>4.2916660005161003</c:v>
                </c:pt>
                <c:pt idx="127">
                  <c:v>4.2916660005161003</c:v>
                </c:pt>
                <c:pt idx="128">
                  <c:v>4.2916660005161003</c:v>
                </c:pt>
                <c:pt idx="129">
                  <c:v>4.2916660005161003</c:v>
                </c:pt>
                <c:pt idx="130">
                  <c:v>4.2916660005161003</c:v>
                </c:pt>
                <c:pt idx="131">
                  <c:v>4.2916660005161003</c:v>
                </c:pt>
                <c:pt idx="132">
                  <c:v>4.2916660005161003</c:v>
                </c:pt>
                <c:pt idx="133">
                  <c:v>4.2916660005161003</c:v>
                </c:pt>
                <c:pt idx="134">
                  <c:v>4.2916660005161003</c:v>
                </c:pt>
                <c:pt idx="135">
                  <c:v>4.2916660005161003</c:v>
                </c:pt>
                <c:pt idx="136">
                  <c:v>4.2916660005161003</c:v>
                </c:pt>
                <c:pt idx="137">
                  <c:v>4.2916660005161003</c:v>
                </c:pt>
                <c:pt idx="138">
                  <c:v>4.2916660005161003</c:v>
                </c:pt>
                <c:pt idx="139">
                  <c:v>4.2916660005161003</c:v>
                </c:pt>
                <c:pt idx="140">
                  <c:v>4.2916660005161003</c:v>
                </c:pt>
                <c:pt idx="141">
                  <c:v>4.2916660005161003</c:v>
                </c:pt>
                <c:pt idx="142">
                  <c:v>4.2916660005161003</c:v>
                </c:pt>
                <c:pt idx="143">
                  <c:v>4.2916660005161003</c:v>
                </c:pt>
                <c:pt idx="144">
                  <c:v>4.2916660005161003</c:v>
                </c:pt>
                <c:pt idx="145">
                  <c:v>4.2916660005161003</c:v>
                </c:pt>
                <c:pt idx="146">
                  <c:v>4.2916660005161003</c:v>
                </c:pt>
                <c:pt idx="147">
                  <c:v>4.2916660005161003</c:v>
                </c:pt>
                <c:pt idx="148">
                  <c:v>4.2916660005161003</c:v>
                </c:pt>
                <c:pt idx="149">
                  <c:v>4.2916660005161003</c:v>
                </c:pt>
                <c:pt idx="150">
                  <c:v>4.2916660005161003</c:v>
                </c:pt>
                <c:pt idx="151">
                  <c:v>4.2916660005161003</c:v>
                </c:pt>
                <c:pt idx="152">
                  <c:v>4.2916660005161003</c:v>
                </c:pt>
                <c:pt idx="153">
                  <c:v>4.2916660005161003</c:v>
                </c:pt>
                <c:pt idx="154">
                  <c:v>4.2916660005161003</c:v>
                </c:pt>
                <c:pt idx="155">
                  <c:v>4.2916660005161003</c:v>
                </c:pt>
                <c:pt idx="156">
                  <c:v>4.2916660005161003</c:v>
                </c:pt>
                <c:pt idx="157">
                  <c:v>4.2916660005161003</c:v>
                </c:pt>
                <c:pt idx="158">
                  <c:v>4.2916660005161003</c:v>
                </c:pt>
                <c:pt idx="159">
                  <c:v>4.2916660005161003</c:v>
                </c:pt>
                <c:pt idx="160">
                  <c:v>4.2916660005161003</c:v>
                </c:pt>
                <c:pt idx="161">
                  <c:v>4.2916660005161003</c:v>
                </c:pt>
                <c:pt idx="162">
                  <c:v>4.2916660005161003</c:v>
                </c:pt>
                <c:pt idx="163">
                  <c:v>4.2916660005161003</c:v>
                </c:pt>
                <c:pt idx="164">
                  <c:v>4.2916660005161003</c:v>
                </c:pt>
                <c:pt idx="165">
                  <c:v>4.2916660005161003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VDC*/FSTA*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4.2921684164413101</c:v>
                </c:pt>
                <c:pt idx="10">
                  <c:v>4.2922772810321996</c:v>
                </c:pt>
                <c:pt idx="11">
                  <c:v>4.2920112480142398</c:v>
                </c:pt>
                <c:pt idx="12">
                  <c:v>4.2922496858229398</c:v>
                </c:pt>
                <c:pt idx="13">
                  <c:v>4.2922903319803503</c:v>
                </c:pt>
                <c:pt idx="14">
                  <c:v>4.2923668026873898</c:v>
                </c:pt>
                <c:pt idx="15">
                  <c:v>4.2922822303120798</c:v>
                </c:pt>
                <c:pt idx="16">
                  <c:v>4.2921625665500098</c:v>
                </c:pt>
                <c:pt idx="17">
                  <c:v>4.2921900763183203</c:v>
                </c:pt>
                <c:pt idx="18">
                  <c:v>4.2918068319191001</c:v>
                </c:pt>
                <c:pt idx="19">
                  <c:v>4.29193038840807</c:v>
                </c:pt>
                <c:pt idx="20">
                  <c:v>4.29175729655653</c:v>
                </c:pt>
                <c:pt idx="21">
                  <c:v>4.2918165661460002</c:v>
                </c:pt>
                <c:pt idx="22">
                  <c:v>4.2917787569363197</c:v>
                </c:pt>
                <c:pt idx="23">
                  <c:v>4.2914651355437599</c:v>
                </c:pt>
                <c:pt idx="24">
                  <c:v>4.2913601623750903</c:v>
                </c:pt>
                <c:pt idx="25">
                  <c:v>4.2913756245070003</c:v>
                </c:pt>
                <c:pt idx="26">
                  <c:v>4.2910918699665803</c:v>
                </c:pt>
                <c:pt idx="27">
                  <c:v>4.2909054989139301</c:v>
                </c:pt>
                <c:pt idx="28">
                  <c:v>4.2907963850256898</c:v>
                </c:pt>
                <c:pt idx="29">
                  <c:v>4.2903948086168198</c:v>
                </c:pt>
                <c:pt idx="30">
                  <c:v>4.2903145686062798</c:v>
                </c:pt>
                <c:pt idx="31">
                  <c:v>4.2905051289913203</c:v>
                </c:pt>
                <c:pt idx="32">
                  <c:v>4.2903122760571799</c:v>
                </c:pt>
                <c:pt idx="33">
                  <c:v>4.2906420391657303</c:v>
                </c:pt>
                <c:pt idx="34">
                  <c:v>4.2906718301507203</c:v>
                </c:pt>
                <c:pt idx="35">
                  <c:v>4.2905774865725101</c:v>
                </c:pt>
                <c:pt idx="36">
                  <c:v>4.2907106165991999</c:v>
                </c:pt>
                <c:pt idx="37">
                  <c:v>4.2905757417013</c:v>
                </c:pt>
                <c:pt idx="38">
                  <c:v>4.29075091242927</c:v>
                </c:pt>
                <c:pt idx="39">
                  <c:v>4.2909722869457099</c:v>
                </c:pt>
                <c:pt idx="40">
                  <c:v>4.2909711429062396</c:v>
                </c:pt>
                <c:pt idx="41">
                  <c:v>4.2907289352359603</c:v>
                </c:pt>
                <c:pt idx="42">
                  <c:v>4.2908346145530096</c:v>
                </c:pt>
                <c:pt idx="43">
                  <c:v>4.2906723328463103</c:v>
                </c:pt>
                <c:pt idx="44">
                  <c:v>4.2906018959257004</c:v>
                </c:pt>
                <c:pt idx="45">
                  <c:v>4.2907065822924801</c:v>
                </c:pt>
                <c:pt idx="46">
                  <c:v>4.2908064460956004</c:v>
                </c:pt>
                <c:pt idx="47">
                  <c:v>4.2912220018878502</c:v>
                </c:pt>
                <c:pt idx="48">
                  <c:v>4.29117863817907</c:v>
                </c:pt>
                <c:pt idx="49">
                  <c:v>4.2913730319996599</c:v>
                </c:pt>
                <c:pt idx="50">
                  <c:v>4.2916707915093504</c:v>
                </c:pt>
                <c:pt idx="51">
                  <c:v>4.2918124820846204</c:v>
                </c:pt>
                <c:pt idx="52">
                  <c:v>4.2918578145632296</c:v>
                </c:pt>
                <c:pt idx="53">
                  <c:v>4.2920056455541999</c:v>
                </c:pt>
                <c:pt idx="54">
                  <c:v>4.29192765009146</c:v>
                </c:pt>
                <c:pt idx="55">
                  <c:v>4.2920296245437104</c:v>
                </c:pt>
                <c:pt idx="56">
                  <c:v>4.2918453590944701</c:v>
                </c:pt>
                <c:pt idx="57">
                  <c:v>4.2911870288595004</c:v>
                </c:pt>
                <c:pt idx="58">
                  <c:v>4.2912886110334298</c:v>
                </c:pt>
                <c:pt idx="59">
                  <c:v>4.29092509121649</c:v>
                </c:pt>
                <c:pt idx="60">
                  <c:v>4.2907185318895102</c:v>
                </c:pt>
                <c:pt idx="61">
                  <c:v>4.2909074974318298</c:v>
                </c:pt>
                <c:pt idx="62">
                  <c:v>4.2910226392560196</c:v>
                </c:pt>
                <c:pt idx="63">
                  <c:v>4.2909538473388302</c:v>
                </c:pt>
                <c:pt idx="64">
                  <c:v>4.2912128739070301</c:v>
                </c:pt>
                <c:pt idx="65">
                  <c:v>4.2912447463137902</c:v>
                </c:pt>
                <c:pt idx="66">
                  <c:v>4.2912202913817596</c:v>
                </c:pt>
                <c:pt idx="67">
                  <c:v>4.2914961392746598</c:v>
                </c:pt>
                <c:pt idx="68">
                  <c:v>4.2913955529425198</c:v>
                </c:pt>
                <c:pt idx="69">
                  <c:v>4.2917392481674401</c:v>
                </c:pt>
                <c:pt idx="70">
                  <c:v>4.2916967061900202</c:v>
                </c:pt>
                <c:pt idx="71">
                  <c:v>4.2914946951547499</c:v>
                </c:pt>
                <c:pt idx="72">
                  <c:v>4.2915157267992798</c:v>
                </c:pt>
                <c:pt idx="73">
                  <c:v>4.2918179204352098</c:v>
                </c:pt>
                <c:pt idx="74">
                  <c:v>4.2919605635334799</c:v>
                </c:pt>
                <c:pt idx="75">
                  <c:v>4.2919919915994997</c:v>
                </c:pt>
                <c:pt idx="76">
                  <c:v>4.29232750072073</c:v>
                </c:pt>
                <c:pt idx="77">
                  <c:v>4.2924235518433598</c:v>
                </c:pt>
                <c:pt idx="78">
                  <c:v>4.2925826174953903</c:v>
                </c:pt>
                <c:pt idx="79">
                  <c:v>4.2925045110179498</c:v>
                </c:pt>
                <c:pt idx="80">
                  <c:v>4.2929566274854203</c:v>
                </c:pt>
                <c:pt idx="81">
                  <c:v>4.2929113759854296</c:v>
                </c:pt>
                <c:pt idx="82">
                  <c:v>4.2928464312389503</c:v>
                </c:pt>
                <c:pt idx="83">
                  <c:v>4.29281914606534</c:v>
                </c:pt>
                <c:pt idx="84">
                  <c:v>4.2927754113214904</c:v>
                </c:pt>
                <c:pt idx="85">
                  <c:v>4.2927270105400703</c:v>
                </c:pt>
                <c:pt idx="86">
                  <c:v>4.2927282378322298</c:v>
                </c:pt>
                <c:pt idx="87">
                  <c:v>4.2930863309633702</c:v>
                </c:pt>
                <c:pt idx="88">
                  <c:v>4.2932316567933899</c:v>
                </c:pt>
                <c:pt idx="89">
                  <c:v>4.2934426601068898</c:v>
                </c:pt>
                <c:pt idx="90">
                  <c:v>4.29324967543136</c:v>
                </c:pt>
                <c:pt idx="91">
                  <c:v>4.2936295066891397</c:v>
                </c:pt>
                <c:pt idx="92">
                  <c:v>4.2938551822247097</c:v>
                </c:pt>
                <c:pt idx="93">
                  <c:v>4.2939233514629196</c:v>
                </c:pt>
                <c:pt idx="94">
                  <c:v>4.2938463739462396</c:v>
                </c:pt>
                <c:pt idx="95">
                  <c:v>4.2939567114053601</c:v>
                </c:pt>
                <c:pt idx="96">
                  <c:v>4.2940583478184404</c:v>
                </c:pt>
                <c:pt idx="97">
                  <c:v>4.2938343262416403</c:v>
                </c:pt>
                <c:pt idx="98">
                  <c:v>4.29361441216128</c:v>
                </c:pt>
                <c:pt idx="99">
                  <c:v>4.29354098944503</c:v>
                </c:pt>
                <c:pt idx="100">
                  <c:v>4.2933639848699601</c:v>
                </c:pt>
                <c:pt idx="101">
                  <c:v>4.2931876432623399</c:v>
                </c:pt>
                <c:pt idx="102">
                  <c:v>4.2930446018776598</c:v>
                </c:pt>
                <c:pt idx="103">
                  <c:v>4.2928182723821298</c:v>
                </c:pt>
                <c:pt idx="104">
                  <c:v>4.2928732810653196</c:v>
                </c:pt>
                <c:pt idx="105">
                  <c:v>4.2926636320933103</c:v>
                </c:pt>
                <c:pt idx="106">
                  <c:v>4.2925951709380898</c:v>
                </c:pt>
                <c:pt idx="107">
                  <c:v>4.2923651210557301</c:v>
                </c:pt>
                <c:pt idx="108">
                  <c:v>4.2926335964384004</c:v>
                </c:pt>
                <c:pt idx="109">
                  <c:v>4.2923292546005998</c:v>
                </c:pt>
                <c:pt idx="110">
                  <c:v>4.2924734598394902</c:v>
                </c:pt>
                <c:pt idx="111">
                  <c:v>4.2923144103895599</c:v>
                </c:pt>
                <c:pt idx="112">
                  <c:v>4.2921687864554201</c:v>
                </c:pt>
                <c:pt idx="113">
                  <c:v>4.2917801616757396</c:v>
                </c:pt>
                <c:pt idx="114">
                  <c:v>4.2915987555625499</c:v>
                </c:pt>
                <c:pt idx="115">
                  <c:v>4.2913770829480704</c:v>
                </c:pt>
                <c:pt idx="116">
                  <c:v>4.2908295431041097</c:v>
                </c:pt>
                <c:pt idx="117">
                  <c:v>4.2912470517460797</c:v>
                </c:pt>
                <c:pt idx="118">
                  <c:v>4.2909257632367597</c:v>
                </c:pt>
                <c:pt idx="119">
                  <c:v>4.2907147754621899</c:v>
                </c:pt>
                <c:pt idx="120">
                  <c:v>4.2905971942765904</c:v>
                </c:pt>
                <c:pt idx="121">
                  <c:v>4.2906208329670701</c:v>
                </c:pt>
                <c:pt idx="122">
                  <c:v>4.2904872608629301</c:v>
                </c:pt>
                <c:pt idx="123">
                  <c:v>4.2912337498852198</c:v>
                </c:pt>
                <c:pt idx="124">
                  <c:v>4.2911622741736997</c:v>
                </c:pt>
                <c:pt idx="125">
                  <c:v>4.2911826902221204</c:v>
                </c:pt>
                <c:pt idx="126">
                  <c:v>4.2915887339230796</c:v>
                </c:pt>
                <c:pt idx="127">
                  <c:v>4.2912747046602302</c:v>
                </c:pt>
                <c:pt idx="128">
                  <c:v>4.2912073379144804</c:v>
                </c:pt>
                <c:pt idx="129">
                  <c:v>4.2918639429265202</c:v>
                </c:pt>
                <c:pt idx="130">
                  <c:v>4.2918755651148901</c:v>
                </c:pt>
                <c:pt idx="131">
                  <c:v>4.291614058605</c:v>
                </c:pt>
                <c:pt idx="132">
                  <c:v>4.2920821744949604</c:v>
                </c:pt>
                <c:pt idx="133">
                  <c:v>4.2916698968496201</c:v>
                </c:pt>
                <c:pt idx="134">
                  <c:v>4.2919048473646697</c:v>
                </c:pt>
                <c:pt idx="135">
                  <c:v>4.2920376792430703</c:v>
                </c:pt>
                <c:pt idx="136">
                  <c:v>4.2919303183290802</c:v>
                </c:pt>
                <c:pt idx="137">
                  <c:v>4.2917565423599298</c:v>
                </c:pt>
                <c:pt idx="138">
                  <c:v>4.29186297434652</c:v>
                </c:pt>
                <c:pt idx="139">
                  <c:v>4.2915346876000404</c:v>
                </c:pt>
                <c:pt idx="140">
                  <c:v>4.2915512782481802</c:v>
                </c:pt>
                <c:pt idx="141">
                  <c:v>4.2914035055229798</c:v>
                </c:pt>
                <c:pt idx="142">
                  <c:v>4.2912312592082396</c:v>
                </c:pt>
                <c:pt idx="143">
                  <c:v>4.2911051093822996</c:v>
                </c:pt>
                <c:pt idx="144">
                  <c:v>4.2911496317209004</c:v>
                </c:pt>
                <c:pt idx="145">
                  <c:v>4.2915152824967304</c:v>
                </c:pt>
                <c:pt idx="146">
                  <c:v>4.2915297395268697</c:v>
                </c:pt>
                <c:pt idx="147">
                  <c:v>4.2918131578105196</c:v>
                </c:pt>
                <c:pt idx="148">
                  <c:v>4.2917839294130502</c:v>
                </c:pt>
                <c:pt idx="149">
                  <c:v>4.29169510541933</c:v>
                </c:pt>
                <c:pt idx="150">
                  <c:v>4.2912907576922903</c:v>
                </c:pt>
                <c:pt idx="151">
                  <c:v>4.2912271567607601</c:v>
                </c:pt>
                <c:pt idx="152">
                  <c:v>4.2911487482419801</c:v>
                </c:pt>
                <c:pt idx="153">
                  <c:v>4.2912338987120799</c:v>
                </c:pt>
                <c:pt idx="154">
                  <c:v>4.2910298841768704</c:v>
                </c:pt>
                <c:pt idx="155">
                  <c:v>4.2907758865180003</c:v>
                </c:pt>
                <c:pt idx="156">
                  <c:v>4.2908735647277902</c:v>
                </c:pt>
                <c:pt idx="157">
                  <c:v>4.2906285091190304</c:v>
                </c:pt>
                <c:pt idx="158">
                  <c:v>4.2905691357185498</c:v>
                </c:pt>
                <c:pt idx="159">
                  <c:v>4.2902040364859397</c:v>
                </c:pt>
                <c:pt idx="160">
                  <c:v>4.2904045681965304</c:v>
                </c:pt>
                <c:pt idx="161">
                  <c:v>4.2905997575627</c:v>
                </c:pt>
                <c:pt idx="162">
                  <c:v>4.2907124972512598</c:v>
                </c:pt>
                <c:pt idx="163">
                  <c:v>4.2904411097983299</c:v>
                </c:pt>
                <c:pt idx="164">
                  <c:v>4.2903394867028597</c:v>
                </c:pt>
                <c:pt idx="165">
                  <c:v>4.2903095620523599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VDC*/FSTA*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4.2920494024246896</c:v>
                </c:pt>
                <c:pt idx="20">
                  <c:v>4.2920172887943604</c:v>
                </c:pt>
                <c:pt idx="21">
                  <c:v>4.2919139070801204</c:v>
                </c:pt>
                <c:pt idx="22">
                  <c:v>4.2920142213796302</c:v>
                </c:pt>
                <c:pt idx="23">
                  <c:v>4.2918777337620497</c:v>
                </c:pt>
                <c:pt idx="24">
                  <c:v>4.2918634825312401</c:v>
                </c:pt>
                <c:pt idx="25">
                  <c:v>4.29182892740954</c:v>
                </c:pt>
                <c:pt idx="26">
                  <c:v>4.2916272182582897</c:v>
                </c:pt>
                <c:pt idx="27">
                  <c:v>4.2915477876161301</c:v>
                </c:pt>
                <c:pt idx="28">
                  <c:v>4.2913016084724003</c:v>
                </c:pt>
                <c:pt idx="29">
                  <c:v>4.2911625985124502</c:v>
                </c:pt>
                <c:pt idx="30">
                  <c:v>4.2910359325813996</c:v>
                </c:pt>
                <c:pt idx="31">
                  <c:v>4.2911608475686602</c:v>
                </c:pt>
                <c:pt idx="32">
                  <c:v>4.2910455164967498</c:v>
                </c:pt>
                <c:pt idx="33">
                  <c:v>4.2910535873547397</c:v>
                </c:pt>
                <c:pt idx="34">
                  <c:v>4.2910159962629004</c:v>
                </c:pt>
                <c:pt idx="35">
                  <c:v>4.2909765555397499</c:v>
                </c:pt>
                <c:pt idx="36">
                  <c:v>4.2909012432828897</c:v>
                </c:pt>
                <c:pt idx="37">
                  <c:v>4.2907406203076199</c:v>
                </c:pt>
                <c:pt idx="38">
                  <c:v>4.2907736487274803</c:v>
                </c:pt>
                <c:pt idx="39">
                  <c:v>4.2906835477812599</c:v>
                </c:pt>
                <c:pt idx="40">
                  <c:v>4.2906428557562597</c:v>
                </c:pt>
                <c:pt idx="41">
                  <c:v>4.2906170321136399</c:v>
                </c:pt>
                <c:pt idx="42">
                  <c:v>4.2905734453050899</c:v>
                </c:pt>
                <c:pt idx="43">
                  <c:v>4.2906571860060199</c:v>
                </c:pt>
                <c:pt idx="44">
                  <c:v>4.2906368630382099</c:v>
                </c:pt>
                <c:pt idx="45">
                  <c:v>4.2906420344324898</c:v>
                </c:pt>
                <c:pt idx="46">
                  <c:v>4.2907585313474002</c:v>
                </c:pt>
                <c:pt idx="47">
                  <c:v>4.29089887179458</c:v>
                </c:pt>
                <c:pt idx="48">
                  <c:v>4.29096477530417</c:v>
                </c:pt>
                <c:pt idx="49">
                  <c:v>4.2911726594726902</c:v>
                </c:pt>
                <c:pt idx="50">
                  <c:v>4.2913209672077901</c:v>
                </c:pt>
                <c:pt idx="51">
                  <c:v>4.2912707086602904</c:v>
                </c:pt>
                <c:pt idx="52">
                  <c:v>4.2913462145581196</c:v>
                </c:pt>
                <c:pt idx="53">
                  <c:v>4.2913389892002503</c:v>
                </c:pt>
                <c:pt idx="54">
                  <c:v>4.2912647730085798</c:v>
                </c:pt>
                <c:pt idx="55">
                  <c:v>4.2913681034180904</c:v>
                </c:pt>
                <c:pt idx="56">
                  <c:v>4.2913259025950401</c:v>
                </c:pt>
                <c:pt idx="57">
                  <c:v>4.2912045153736802</c:v>
                </c:pt>
                <c:pt idx="58">
                  <c:v>4.2912336246062504</c:v>
                </c:pt>
                <c:pt idx="59">
                  <c:v>4.2911490616080803</c:v>
                </c:pt>
                <c:pt idx="60">
                  <c:v>4.2911946616994303</c:v>
                </c:pt>
                <c:pt idx="61">
                  <c:v>4.2913599897582202</c:v>
                </c:pt>
                <c:pt idx="62">
                  <c:v>4.2914402269096303</c:v>
                </c:pt>
                <c:pt idx="63">
                  <c:v>4.2914797464465098</c:v>
                </c:pt>
                <c:pt idx="64">
                  <c:v>4.29157026199925</c:v>
                </c:pt>
                <c:pt idx="65">
                  <c:v>4.2916371854287503</c:v>
                </c:pt>
                <c:pt idx="66">
                  <c:v>4.29153282523811</c:v>
                </c:pt>
                <c:pt idx="67">
                  <c:v>4.2913415840670801</c:v>
                </c:pt>
                <c:pt idx="68">
                  <c:v>4.2913420819879802</c:v>
                </c:pt>
                <c:pt idx="69">
                  <c:v>4.2913321696919597</c:v>
                </c:pt>
                <c:pt idx="70">
                  <c:v>4.2912076190397697</c:v>
                </c:pt>
                <c:pt idx="71">
                  <c:v>4.2912010962932898</c:v>
                </c:pt>
                <c:pt idx="72">
                  <c:v>4.2912691830276497</c:v>
                </c:pt>
                <c:pt idx="73">
                  <c:v>4.2913858838870196</c:v>
                </c:pt>
                <c:pt idx="74">
                  <c:v>4.2915867187202599</c:v>
                </c:pt>
                <c:pt idx="75">
                  <c:v>4.2916183689566498</c:v>
                </c:pt>
                <c:pt idx="76">
                  <c:v>4.2917738960512404</c:v>
                </c:pt>
                <c:pt idx="77">
                  <c:v>4.2919598455590098</c:v>
                </c:pt>
                <c:pt idx="78">
                  <c:v>4.2919890852189599</c:v>
                </c:pt>
                <c:pt idx="79">
                  <c:v>4.2921218795926999</c:v>
                </c:pt>
                <c:pt idx="80">
                  <c:v>4.2923266668377202</c:v>
                </c:pt>
                <c:pt idx="81">
                  <c:v>4.2922030355700898</c:v>
                </c:pt>
                <c:pt idx="82">
                  <c:v>4.2921810790191097</c:v>
                </c:pt>
                <c:pt idx="83">
                  <c:v>4.2923185332502696</c:v>
                </c:pt>
                <c:pt idx="84">
                  <c:v>4.2923679874274896</c:v>
                </c:pt>
                <c:pt idx="85">
                  <c:v>4.2923595010697904</c:v>
                </c:pt>
                <c:pt idx="86">
                  <c:v>4.2925278692764799</c:v>
                </c:pt>
                <c:pt idx="87">
                  <c:v>4.2927549414033699</c:v>
                </c:pt>
                <c:pt idx="88">
                  <c:v>4.2929071371443897</c:v>
                </c:pt>
                <c:pt idx="89">
                  <c:v>4.2929735855624198</c:v>
                </c:pt>
                <c:pt idx="90">
                  <c:v>4.2931031514583902</c:v>
                </c:pt>
                <c:pt idx="91">
                  <c:v>4.29327044133729</c:v>
                </c:pt>
                <c:pt idx="92">
                  <c:v>4.29335080673183</c:v>
                </c:pt>
                <c:pt idx="93">
                  <c:v>4.2933712487641298</c:v>
                </c:pt>
                <c:pt idx="94">
                  <c:v>4.2933108926338699</c:v>
                </c:pt>
                <c:pt idx="95">
                  <c:v>4.2933418609727196</c:v>
                </c:pt>
                <c:pt idx="96">
                  <c:v>4.29339329282534</c:v>
                </c:pt>
                <c:pt idx="97">
                  <c:v>4.2934603286025101</c:v>
                </c:pt>
                <c:pt idx="98">
                  <c:v>4.2934230344773301</c:v>
                </c:pt>
                <c:pt idx="99">
                  <c:v>4.2934918247759599</c:v>
                </c:pt>
                <c:pt idx="100">
                  <c:v>4.2933068301506596</c:v>
                </c:pt>
                <c:pt idx="101">
                  <c:v>4.2934085749757402</c:v>
                </c:pt>
                <c:pt idx="102">
                  <c:v>4.2934498920511901</c:v>
                </c:pt>
                <c:pt idx="103">
                  <c:v>4.2933708119225198</c:v>
                </c:pt>
                <c:pt idx="104">
                  <c:v>4.29335982750578</c:v>
                </c:pt>
                <c:pt idx="105">
                  <c:v>4.2933101717493303</c:v>
                </c:pt>
                <c:pt idx="106">
                  <c:v>4.29332675937827</c:v>
                </c:pt>
                <c:pt idx="107">
                  <c:v>4.2930997236486901</c:v>
                </c:pt>
                <c:pt idx="108">
                  <c:v>4.2931240042998402</c:v>
                </c:pt>
                <c:pt idx="109">
                  <c:v>4.2929351220228202</c:v>
                </c:pt>
                <c:pt idx="110">
                  <c:v>4.2929187223547203</c:v>
                </c:pt>
                <c:pt idx="111">
                  <c:v>4.2927510268259503</c:v>
                </c:pt>
                <c:pt idx="112">
                  <c:v>4.2926066941665404</c:v>
                </c:pt>
                <c:pt idx="113">
                  <c:v>4.2922992170289396</c:v>
                </c:pt>
                <c:pt idx="114">
                  <c:v>4.2922360183139396</c:v>
                </c:pt>
                <c:pt idx="115">
                  <c:v>4.2920203575206903</c:v>
                </c:pt>
                <c:pt idx="116">
                  <c:v>4.2917123570211002</c:v>
                </c:pt>
                <c:pt idx="117">
                  <c:v>4.2918060864009098</c:v>
                </c:pt>
                <c:pt idx="118">
                  <c:v>4.29177967983758</c:v>
                </c:pt>
                <c:pt idx="119">
                  <c:v>4.2915220150313997</c:v>
                </c:pt>
                <c:pt idx="120">
                  <c:v>4.2915353270580399</c:v>
                </c:pt>
                <c:pt idx="121">
                  <c:v>4.2914676216783096</c:v>
                </c:pt>
                <c:pt idx="122">
                  <c:v>4.2913280236591698</c:v>
                </c:pt>
                <c:pt idx="123">
                  <c:v>4.2915069557804797</c:v>
                </c:pt>
                <c:pt idx="124">
                  <c:v>4.2913805148681297</c:v>
                </c:pt>
                <c:pt idx="125">
                  <c:v>4.2912798865850901</c:v>
                </c:pt>
                <c:pt idx="126">
                  <c:v>4.2912091385135902</c:v>
                </c:pt>
                <c:pt idx="127">
                  <c:v>4.2912608782031603</c:v>
                </c:pt>
                <c:pt idx="128">
                  <c:v>4.2910665505756196</c:v>
                </c:pt>
                <c:pt idx="129">
                  <c:v>4.2912893591943604</c:v>
                </c:pt>
                <c:pt idx="130">
                  <c:v>4.2912363796957402</c:v>
                </c:pt>
                <c:pt idx="131">
                  <c:v>4.2911174457860302</c:v>
                </c:pt>
                <c:pt idx="132">
                  <c:v>4.2912847176789404</c:v>
                </c:pt>
                <c:pt idx="133">
                  <c:v>4.2914518233674199</c:v>
                </c:pt>
                <c:pt idx="134">
                  <c:v>4.2915335607691896</c:v>
                </c:pt>
                <c:pt idx="135">
                  <c:v>4.2916101847326003</c:v>
                </c:pt>
                <c:pt idx="136">
                  <c:v>4.2917595261260804</c:v>
                </c:pt>
                <c:pt idx="137">
                  <c:v>4.2915156235100804</c:v>
                </c:pt>
                <c:pt idx="138">
                  <c:v>4.2915351561305002</c:v>
                </c:pt>
                <c:pt idx="139">
                  <c:v>4.2916993152632799</c:v>
                </c:pt>
                <c:pt idx="140">
                  <c:v>4.29171342168154</c:v>
                </c:pt>
                <c:pt idx="141">
                  <c:v>4.2915087820639899</c:v>
                </c:pt>
                <c:pt idx="142">
                  <c:v>4.2916567168516</c:v>
                </c:pt>
                <c:pt idx="143">
                  <c:v>4.2913875031159598</c:v>
                </c:pt>
                <c:pt idx="144">
                  <c:v>4.2915272395427797</c:v>
                </c:pt>
                <c:pt idx="145">
                  <c:v>4.2917764808698999</c:v>
                </c:pt>
                <c:pt idx="146">
                  <c:v>4.2917300289279696</c:v>
                </c:pt>
                <c:pt idx="147">
                  <c:v>4.2917848500852198</c:v>
                </c:pt>
                <c:pt idx="148">
                  <c:v>4.2918234518797798</c:v>
                </c:pt>
                <c:pt idx="149">
                  <c:v>4.2916148965096799</c:v>
                </c:pt>
                <c:pt idx="150">
                  <c:v>4.2914210179702303</c:v>
                </c:pt>
                <c:pt idx="151">
                  <c:v>4.2913153311418704</c:v>
                </c:pt>
                <c:pt idx="152">
                  <c:v>4.2911900037251103</c:v>
                </c:pt>
                <c:pt idx="153">
                  <c:v>4.2911695040471898</c:v>
                </c:pt>
                <c:pt idx="154">
                  <c:v>4.2910897579488898</c:v>
                </c:pt>
                <c:pt idx="155">
                  <c:v>4.2911455845073601</c:v>
                </c:pt>
                <c:pt idx="156">
                  <c:v>4.29120165212733</c:v>
                </c:pt>
                <c:pt idx="157">
                  <c:v>4.2912208334647799</c:v>
                </c:pt>
                <c:pt idx="158">
                  <c:v>4.2911765325657996</c:v>
                </c:pt>
                <c:pt idx="159">
                  <c:v>4.2909495709526304</c:v>
                </c:pt>
                <c:pt idx="160">
                  <c:v>4.2908476629444099</c:v>
                </c:pt>
                <c:pt idx="161">
                  <c:v>4.2909134571617296</c:v>
                </c:pt>
                <c:pt idx="162">
                  <c:v>4.29093062274662</c:v>
                </c:pt>
                <c:pt idx="163">
                  <c:v>4.2908375042552098</c:v>
                </c:pt>
                <c:pt idx="164">
                  <c:v>4.2906846854398601</c:v>
                </c:pt>
                <c:pt idx="165">
                  <c:v>4.2905427242851797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FSTA x avg / VDC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3.7386870738833701E-6</c:v>
                </c:pt>
                <c:pt idx="2">
                  <c:v>6.86460974996681E-4</c:v>
                </c:pt>
                <c:pt idx="3">
                  <c:v>3.8879324349201801E-4</c:v>
                </c:pt>
                <c:pt idx="4">
                  <c:v>5.3148953023530901E-4</c:v>
                </c:pt>
                <c:pt idx="5">
                  <c:v>1.9882555863833201E-4</c:v>
                </c:pt>
                <c:pt idx="6">
                  <c:v>-1.9467996273908299E-4</c:v>
                </c:pt>
                <c:pt idx="7">
                  <c:v>-1.4057193701983901E-5</c:v>
                </c:pt>
                <c:pt idx="8">
                  <c:v>-2.3038410400681199E-4</c:v>
                </c:pt>
                <c:pt idx="9">
                  <c:v>2.77263698998467E-4</c:v>
                </c:pt>
                <c:pt idx="10">
                  <c:v>1.9762071599925199E-5</c:v>
                </c:pt>
                <c:pt idx="11">
                  <c:v>6.2362437139238595E-4</c:v>
                </c:pt>
                <c:pt idx="12">
                  <c:v>1.3082234794622899E-4</c:v>
                </c:pt>
                <c:pt idx="13">
                  <c:v>2.9408067351160299E-4</c:v>
                </c:pt>
                <c:pt idx="14">
                  <c:v>3.5328158076919499E-4</c:v>
                </c:pt>
                <c:pt idx="15">
                  <c:v>3.9588511915665899E-4</c:v>
                </c:pt>
                <c:pt idx="16">
                  <c:v>8.4046670944692005E-5</c:v>
                </c:pt>
                <c:pt idx="17">
                  <c:v>-7.8134870257942499E-5</c:v>
                </c:pt>
                <c:pt idx="18">
                  <c:v>6.6252959085629697E-4</c:v>
                </c:pt>
                <c:pt idx="19">
                  <c:v>-1.0584361992495601E-5</c:v>
                </c:pt>
                <c:pt idx="20">
                  <c:v>4.23047581364165E-4</c:v>
                </c:pt>
                <c:pt idx="21">
                  <c:v>4.85486550256476E-4</c:v>
                </c:pt>
                <c:pt idx="22">
                  <c:v>2.1890966551608301E-4</c:v>
                </c:pt>
                <c:pt idx="23">
                  <c:v>1.0251052353884599E-3</c:v>
                </c:pt>
                <c:pt idx="24">
                  <c:v>5.9792002090733602E-4</c:v>
                </c:pt>
                <c:pt idx="25">
                  <c:v>3.5985436741575499E-4</c:v>
                </c:pt>
                <c:pt idx="26">
                  <c:v>7.4529219088772798E-4</c:v>
                </c:pt>
                <c:pt idx="27">
                  <c:v>3.5605395971064499E-4</c:v>
                </c:pt>
                <c:pt idx="28">
                  <c:v>9.1689780535670696E-4</c:v>
                </c:pt>
                <c:pt idx="29">
                  <c:v>9.2526648757137596E-4</c:v>
                </c:pt>
                <c:pt idx="30">
                  <c:v>6.10053414719876E-4</c:v>
                </c:pt>
                <c:pt idx="31">
                  <c:v>4.1482542348775902E-5</c:v>
                </c:pt>
                <c:pt idx="32">
                  <c:v>6.6833624410989295E-4</c:v>
                </c:pt>
                <c:pt idx="33">
                  <c:v>2.5647017458461599E-4</c:v>
                </c:pt>
                <c:pt idx="34">
                  <c:v>5.2848648199119901E-4</c:v>
                </c:pt>
                <c:pt idx="35">
                  <c:v>5.7971942368818395E-4</c:v>
                </c:pt>
                <c:pt idx="36">
                  <c:v>4.34999063418421E-4</c:v>
                </c:pt>
                <c:pt idx="37">
                  <c:v>6.7038976904255302E-4</c:v>
                </c:pt>
                <c:pt idx="38">
                  <c:v>5.0856816124940103E-4</c:v>
                </c:pt>
                <c:pt idx="39">
                  <c:v>4.0925751744885102E-4</c:v>
                </c:pt>
                <c:pt idx="40">
                  <c:v>6.1271994408924901E-4</c:v>
                </c:pt>
                <c:pt idx="41">
                  <c:v>6.0585823054893999E-4</c:v>
                </c:pt>
                <c:pt idx="42">
                  <c:v>4.22034997258259E-4</c:v>
                </c:pt>
                <c:pt idx="43">
                  <c:v>6.3465396596535002E-4</c:v>
                </c:pt>
                <c:pt idx="44">
                  <c:v>6.9266085702189898E-4</c:v>
                </c:pt>
                <c:pt idx="45">
                  <c:v>3.35753729478178E-4</c:v>
                </c:pt>
                <c:pt idx="46">
                  <c:v>2.0230444925891701E-4</c:v>
                </c:pt>
                <c:pt idx="47">
                  <c:v>-2.9777678916024901E-4</c:v>
                </c:pt>
                <c:pt idx="48">
                  <c:v>6.0963509178824104E-4</c:v>
                </c:pt>
                <c:pt idx="49">
                  <c:v>-4.3641821249343898E-5</c:v>
                </c:pt>
                <c:pt idx="50">
                  <c:v>-8.1058693369367302E-5</c:v>
                </c:pt>
                <c:pt idx="51">
                  <c:v>2.75661914460362E-4</c:v>
                </c:pt>
                <c:pt idx="52">
                  <c:v>3.1639955459440602E-4</c:v>
                </c:pt>
                <c:pt idx="53">
                  <c:v>-5.3436771731795096E-3</c:v>
                </c:pt>
                <c:pt idx="54">
                  <c:v>-4.7331879131001899E-3</c:v>
                </c:pt>
                <c:pt idx="55">
                  <c:v>-2.8116757956184199E-5</c:v>
                </c:pt>
                <c:pt idx="56">
                  <c:v>5.0916795533231503E-4</c:v>
                </c:pt>
                <c:pt idx="57">
                  <c:v>1.1167712355133401E-3</c:v>
                </c:pt>
                <c:pt idx="58">
                  <c:v>2.49204167267761E-4</c:v>
                </c:pt>
                <c:pt idx="59">
                  <c:v>6.8264575451783597E-4</c:v>
                </c:pt>
                <c:pt idx="60">
                  <c:v>2.7740901188048499E-4</c:v>
                </c:pt>
                <c:pt idx="61">
                  <c:v>-2.9091258226792902E-4</c:v>
                </c:pt>
                <c:pt idx="62">
                  <c:v>-7.6362311015726802E-5</c:v>
                </c:pt>
                <c:pt idx="63">
                  <c:v>3.29156067297546E-4</c:v>
                </c:pt>
                <c:pt idx="64">
                  <c:v>1.4649576169230299E-4</c:v>
                </c:pt>
                <c:pt idx="65">
                  <c:v>-9.9236849108163701E-5</c:v>
                </c:pt>
                <c:pt idx="66">
                  <c:v>5.7020423258964496E-4</c:v>
                </c:pt>
                <c:pt idx="67">
                  <c:v>4.7264393331596598E-4</c:v>
                </c:pt>
                <c:pt idx="68">
                  <c:v>4.8548655025625401E-4</c:v>
                </c:pt>
                <c:pt idx="69">
                  <c:v>-1.2278869151607E-4</c:v>
                </c:pt>
                <c:pt idx="70">
                  <c:v>3.7621680636881999E-4</c:v>
                </c:pt>
                <c:pt idx="71">
                  <c:v>1.8228837622654901E-4</c:v>
                </c:pt>
                <c:pt idx="72">
                  <c:v>-1.24580211249192E-4</c:v>
                </c:pt>
                <c:pt idx="73">
                  <c:v>-3.7877785769156898E-4</c:v>
                </c:pt>
                <c:pt idx="74">
                  <c:v>-1.8634807949620701E-4</c:v>
                </c:pt>
                <c:pt idx="75">
                  <c:v>-1.73608584242883E-4</c:v>
                </c:pt>
                <c:pt idx="76">
                  <c:v>-2.1585772162458199E-4</c:v>
                </c:pt>
                <c:pt idx="77">
                  <c:v>2.4891871967858099E-4</c:v>
                </c:pt>
                <c:pt idx="78">
                  <c:v>1.14130973830563E-4</c:v>
                </c:pt>
                <c:pt idx="79">
                  <c:v>6.2564150211710698E-5</c:v>
                </c:pt>
                <c:pt idx="80">
                  <c:v>-6.7990643908288895E-4</c:v>
                </c:pt>
                <c:pt idx="81">
                  <c:v>2.9279428625450299E-4</c:v>
                </c:pt>
                <c:pt idx="82">
                  <c:v>3.0052348699104801E-5</c:v>
                </c:pt>
                <c:pt idx="83">
                  <c:v>-3.13189700236262E-4</c:v>
                </c:pt>
                <c:pt idx="84">
                  <c:v>-8.1058693369367302E-5</c:v>
                </c:pt>
                <c:pt idx="85">
                  <c:v>-5.7931499468703801E-5</c:v>
                </c:pt>
                <c:pt idx="86">
                  <c:v>-2.1850208844086401E-4</c:v>
                </c:pt>
                <c:pt idx="87">
                  <c:v>-5.8906871890594204E-4</c:v>
                </c:pt>
                <c:pt idx="88">
                  <c:v>-2.25805033345298E-4</c:v>
                </c:pt>
                <c:pt idx="89">
                  <c:v>-4.30370982358527E-4</c:v>
                </c:pt>
                <c:pt idx="90">
                  <c:v>-2.2637622008308701E-4</c:v>
                </c:pt>
                <c:pt idx="91">
                  <c:v>-5.9679010057001698E-4</c:v>
                </c:pt>
                <c:pt idx="92">
                  <c:v>-4.9858471266665903E-4</c:v>
                </c:pt>
                <c:pt idx="93">
                  <c:v>-4.7043735769368103E-4</c:v>
                </c:pt>
                <c:pt idx="94">
                  <c:v>1.012680119432E-4</c:v>
                </c:pt>
                <c:pt idx="95">
                  <c:v>-3.1497723093098698E-4</c:v>
                </c:pt>
                <c:pt idx="96">
                  <c:v>-4.5656917986241499E-4</c:v>
                </c:pt>
                <c:pt idx="97">
                  <c:v>-6.4813456306719194E-5</c:v>
                </c:pt>
                <c:pt idx="98">
                  <c:v>2.8870295735703198E-4</c:v>
                </c:pt>
                <c:pt idx="99">
                  <c:v>-2.5941968125934E-4</c:v>
                </c:pt>
                <c:pt idx="100">
                  <c:v>1.86569226568912E-4</c:v>
                </c:pt>
                <c:pt idx="101">
                  <c:v>-1.8838189044602301E-4</c:v>
                </c:pt>
                <c:pt idx="102">
                  <c:v>-1.69033335159752E-4</c:v>
                </c:pt>
                <c:pt idx="103">
                  <c:v>5.22962617685244E-5</c:v>
                </c:pt>
                <c:pt idx="104">
                  <c:v>-3.4316100162304301E-5</c:v>
                </c:pt>
                <c:pt idx="105">
                  <c:v>1.69993589893004E-4</c:v>
                </c:pt>
                <c:pt idx="106">
                  <c:v>-2.9847112234270099E-4</c:v>
                </c:pt>
                <c:pt idx="107">
                  <c:v>4.7176067298063102E-4</c:v>
                </c:pt>
                <c:pt idx="108">
                  <c:v>-3.3955642755712602E-4</c:v>
                </c:pt>
                <c:pt idx="109">
                  <c:v>4.5483329399385799E-4</c:v>
                </c:pt>
                <c:pt idx="110">
                  <c:v>-1.4982596840292501E-4</c:v>
                </c:pt>
                <c:pt idx="111">
                  <c:v>1.8874030409147399E-4</c:v>
                </c:pt>
                <c:pt idx="112">
                  <c:v>1.77538986893084E-4</c:v>
                </c:pt>
                <c:pt idx="113">
                  <c:v>9.68878590606261E-4</c:v>
                </c:pt>
                <c:pt idx="114">
                  <c:v>3.9337583310925298E-4</c:v>
                </c:pt>
                <c:pt idx="115">
                  <c:v>-4.94008736601794E-3</c:v>
                </c:pt>
                <c:pt idx="116">
                  <c:v>-4.6868057779356799E-3</c:v>
                </c:pt>
                <c:pt idx="117">
                  <c:v>-6.07892263792439E-3</c:v>
                </c:pt>
                <c:pt idx="118">
                  <c:v>2.1261101153768899E-4</c:v>
                </c:pt>
                <c:pt idx="119">
                  <c:v>7.4710151612433198E-4</c:v>
                </c:pt>
                <c:pt idx="120">
                  <c:v>-7.7583885248330497E-5</c:v>
                </c:pt>
                <c:pt idx="121">
                  <c:v>-7.1749604702287504E-5</c:v>
                </c:pt>
                <c:pt idx="122">
                  <c:v>2.8307853936905802E-4</c:v>
                </c:pt>
                <c:pt idx="123">
                  <c:v>-9.9381021215802501E-4</c:v>
                </c:pt>
                <c:pt idx="124">
                  <c:v>3.6318869169719E-4</c:v>
                </c:pt>
                <c:pt idx="125">
                  <c:v>4.44054730294005E-4</c:v>
                </c:pt>
                <c:pt idx="126">
                  <c:v>-1.6740719116579601E-4</c:v>
                </c:pt>
                <c:pt idx="127">
                  <c:v>2.84726709372739E-5</c:v>
                </c:pt>
                <c:pt idx="128">
                  <c:v>3.6620155084840099E-4</c:v>
                </c:pt>
                <c:pt idx="129">
                  <c:v>-7.98441008463078E-4</c:v>
                </c:pt>
                <c:pt idx="130">
                  <c:v>-1.0549602502619E-4</c:v>
                </c:pt>
                <c:pt idx="131">
                  <c:v>5.4092473488702301E-4</c:v>
                </c:pt>
                <c:pt idx="132">
                  <c:v>-8.1831031931977303E-4</c:v>
                </c:pt>
                <c:pt idx="133">
                  <c:v>-1.3906439346049699E-5</c:v>
                </c:pt>
                <c:pt idx="134">
                  <c:v>-1.9048154704718199E-4</c:v>
                </c:pt>
                <c:pt idx="135">
                  <c:v>1.3277173237920999E-4</c:v>
                </c:pt>
                <c:pt idx="136">
                  <c:v>8.1826426594886097E-5</c:v>
                </c:pt>
                <c:pt idx="137">
                  <c:v>4.3684742900405502E-4</c:v>
                </c:pt>
                <c:pt idx="138">
                  <c:v>1.1445917606257E-4</c:v>
                </c:pt>
                <c:pt idx="139">
                  <c:v>-2.6538038109662801E-5</c:v>
                </c:pt>
                <c:pt idx="140">
                  <c:v>-1.42267030221589E-4</c:v>
                </c:pt>
                <c:pt idx="141">
                  <c:v>9.0165954833446797E-4</c:v>
                </c:pt>
                <c:pt idx="142">
                  <c:v>-3.99042418719567E-4</c:v>
                </c:pt>
                <c:pt idx="143">
                  <c:v>2.81935087381899E-4</c:v>
                </c:pt>
                <c:pt idx="144">
                  <c:v>-2.9517733782687898E-4</c:v>
                </c:pt>
                <c:pt idx="145">
                  <c:v>-7.2736987495286901E-4</c:v>
                </c:pt>
                <c:pt idx="146">
                  <c:v>5.3203657604126703E-5</c:v>
                </c:pt>
                <c:pt idx="147">
                  <c:v>-2.2637622008308701E-4</c:v>
                </c:pt>
                <c:pt idx="148">
                  <c:v>1.9159102602931601E-4</c:v>
                </c:pt>
                <c:pt idx="149">
                  <c:v>1.8820478866212899E-4</c:v>
                </c:pt>
                <c:pt idx="150">
                  <c:v>8.0978515873279496E-4</c:v>
                </c:pt>
                <c:pt idx="151">
                  <c:v>1.0443451652759901E-3</c:v>
                </c:pt>
                <c:pt idx="152">
                  <c:v>-2.21265638179793E-4</c:v>
                </c:pt>
                <c:pt idx="153">
                  <c:v>8.3688204706953905E-5</c:v>
                </c:pt>
                <c:pt idx="154">
                  <c:v>1.8927109032063999E-4</c:v>
                </c:pt>
                <c:pt idx="155">
                  <c:v>-1.29134335707337E-4</c:v>
                </c:pt>
                <c:pt idx="156">
                  <c:v>-1.7583213071046901E-4</c:v>
                </c:pt>
                <c:pt idx="157">
                  <c:v>3.5516468609690497E-4</c:v>
                </c:pt>
                <c:pt idx="158">
                  <c:v>3.3066846909104498E-4</c:v>
                </c:pt>
                <c:pt idx="159">
                  <c:v>1.0494149894289999E-3</c:v>
                </c:pt>
                <c:pt idx="160">
                  <c:v>3.4430501486947202E-4</c:v>
                </c:pt>
                <c:pt idx="161">
                  <c:v>5.8903027596877999E-4</c:v>
                </c:pt>
                <c:pt idx="162">
                  <c:v>-4.8442023575822203E-4</c:v>
                </c:pt>
                <c:pt idx="163">
                  <c:v>7.1787840680048504E-4</c:v>
                </c:pt>
                <c:pt idx="164">
                  <c:v>4.2470762489583503E-4</c:v>
                </c:pt>
                <c:pt idx="165">
                  <c:v>-5.9577936126171198E-5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FSTA x 10 dma / VDC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-1.72280654998155E-4</c:v>
                </c:pt>
                <c:pt idx="11">
                  <c:v>4.5694486444432502E-4</c:v>
                </c:pt>
                <c:pt idx="12">
                  <c:v>-9.7838537456978005E-5</c:v>
                </c:pt>
                <c:pt idx="13">
                  <c:v>1.20972108942385E-4</c:v>
                </c:pt>
                <c:pt idx="14">
                  <c:v>1.8964263421732201E-4</c:v>
                </c:pt>
                <c:pt idx="15">
                  <c:v>2.5006184208075603E-4</c:v>
                </c:pt>
                <c:pt idx="16">
                  <c:v>-8.1479770462932098E-5</c:v>
                </c:pt>
                <c:pt idx="17">
                  <c:v>-2.7154051991006099E-4</c:v>
                </c:pt>
                <c:pt idx="18">
                  <c:v>4.7553322317617599E-4</c:v>
                </c:pt>
                <c:pt idx="19">
                  <c:v>-2.8687349237359799E-4</c:v>
                </c:pt>
                <c:pt idx="20">
                  <c:v>1.7554695785513901E-4</c:v>
                </c:pt>
                <c:pt idx="21">
                  <c:v>1.97655509817712E-4</c:v>
                </c:pt>
                <c:pt idx="22">
                  <c:v>-5.5111372137957197E-5</c:v>
                </c:pt>
                <c:pt idx="23">
                  <c:v>7.4227455369604302E-4</c:v>
                </c:pt>
                <c:pt idx="24">
                  <c:v>2.42011748357949E-4</c:v>
                </c:pt>
                <c:pt idx="25">
                  <c:v>-2.0515120417425799E-5</c:v>
                </c:pt>
                <c:pt idx="26">
                  <c:v>3.6852578074446298E-4</c:v>
                </c:pt>
                <c:pt idx="27">
                  <c:v>-8.6836683517681196E-5</c:v>
                </c:pt>
                <c:pt idx="28">
                  <c:v>4.3057413723572601E-4</c:v>
                </c:pt>
                <c:pt idx="29">
                  <c:v>4.1351339071421902E-4</c:v>
                </c:pt>
                <c:pt idx="30">
                  <c:v>4.7057573632710797E-6</c:v>
                </c:pt>
                <c:pt idx="31">
                  <c:v>-5.8256753389210499E-4</c:v>
                </c:pt>
                <c:pt idx="32">
                  <c:v>8.8701594785510398E-5</c:v>
                </c:pt>
                <c:pt idx="33">
                  <c:v>-3.6811425634650599E-4</c:v>
                </c:pt>
                <c:pt idx="34">
                  <c:v>-1.92386401501165E-5</c:v>
                </c:pt>
                <c:pt idx="35">
                  <c:v>3.8937523866236899E-5</c:v>
                </c:pt>
                <c:pt idx="36">
                  <c:v>-1.2777114480353499E-4</c:v>
                </c:pt>
                <c:pt idx="37">
                  <c:v>1.3864754289033299E-4</c:v>
                </c:pt>
                <c:pt idx="38">
                  <c:v>-5.4608722195809899E-5</c:v>
                </c:pt>
                <c:pt idx="39">
                  <c:v>-1.1309334105794399E-4</c:v>
                </c:pt>
                <c:pt idx="40">
                  <c:v>1.4196117526921401E-4</c:v>
                </c:pt>
                <c:pt idx="41">
                  <c:v>1.3483284625262799E-4</c:v>
                </c:pt>
                <c:pt idx="42">
                  <c:v>-1.0543786670666699E-4</c:v>
                </c:pt>
                <c:pt idx="43">
                  <c:v>1.31810487178551E-4</c:v>
                </c:pt>
                <c:pt idx="44">
                  <c:v>1.5199611730467501E-4</c:v>
                </c:pt>
                <c:pt idx="45">
                  <c:v>-2.2132743482407001E-4</c:v>
                </c:pt>
                <c:pt idx="46">
                  <c:v>-3.3037801942481401E-4</c:v>
                </c:pt>
                <c:pt idx="47">
                  <c:v>-8.0718508630861204E-4</c:v>
                </c:pt>
                <c:pt idx="48">
                  <c:v>1.97070051473657E-4</c:v>
                </c:pt>
                <c:pt idx="49">
                  <c:v>-4.6631212478850898E-4</c:v>
                </c:pt>
                <c:pt idx="50">
                  <c:v>-4.5842922404396399E-4</c:v>
                </c:pt>
                <c:pt idx="51">
                  <c:v>-3.23254193145232E-5</c:v>
                </c:pt>
                <c:pt idx="52">
                  <c:v>4.1426923771022397E-5</c:v>
                </c:pt>
                <c:pt idx="53">
                  <c:v>-5.60808731102548E-3</c:v>
                </c:pt>
                <c:pt idx="54">
                  <c:v>-4.3983758837557998E-3</c:v>
                </c:pt>
                <c:pt idx="55">
                  <c:v>8.5004844361652899E-4</c:v>
                </c:pt>
                <c:pt idx="56">
                  <c:v>1.4236820137497701E-3</c:v>
                </c:pt>
                <c:pt idx="57">
                  <c:v>2.0006374281606198E-3</c:v>
                </c:pt>
                <c:pt idx="58">
                  <c:v>9.917884000489889E-4</c:v>
                </c:pt>
                <c:pt idx="59">
                  <c:v>1.46123021403108E-3</c:v>
                </c:pt>
                <c:pt idx="60">
                  <c:v>9.8344178929409194E-4</c:v>
                </c:pt>
                <c:pt idx="61">
                  <c:v>3.79301599618829E-4</c:v>
                </c:pt>
                <c:pt idx="62">
                  <c:v>6.5047019029393599E-4</c:v>
                </c:pt>
                <c:pt idx="63">
                  <c:v>1.09523073843381E-3</c:v>
                </c:pt>
                <c:pt idx="64">
                  <c:v>3.4413621253553701E-4</c:v>
                </c:pt>
                <c:pt idx="65">
                  <c:v>-3.9070855712054601E-4</c:v>
                </c:pt>
                <c:pt idx="66">
                  <c:v>2.8584703465389801E-4</c:v>
                </c:pt>
                <c:pt idx="67">
                  <c:v>1.8218464726961801E-4</c:v>
                </c:pt>
                <c:pt idx="68">
                  <c:v>2.5940545140064298E-4</c:v>
                </c:pt>
                <c:pt idx="69">
                  <c:v>-3.7249497020823001E-4</c:v>
                </c:pt>
                <c:pt idx="70">
                  <c:v>2.0704829703626501E-4</c:v>
                </c:pt>
                <c:pt idx="71">
                  <c:v>3.24059616824819E-6</c:v>
                </c:pt>
                <c:pt idx="72">
                  <c:v>-3.5096025165302799E-4</c:v>
                </c:pt>
                <c:pt idx="73">
                  <c:v>-6.0033454343837503E-4</c:v>
                </c:pt>
                <c:pt idx="74">
                  <c:v>-3.37096434888484E-4</c:v>
                </c:pt>
                <c:pt idx="75">
                  <c:v>-2.9106742818356E-4</c:v>
                </c:pt>
                <c:pt idx="76">
                  <c:v>-3.2587753131910701E-4</c:v>
                </c:pt>
                <c:pt idx="77">
                  <c:v>2.1749674003928001E-4</c:v>
                </c:pt>
                <c:pt idx="78">
                  <c:v>1.0507389811946601E-4</c:v>
                </c:pt>
                <c:pt idx="79">
                  <c:v>9.0631147593327906E-5</c:v>
                </c:pt>
                <c:pt idx="80">
                  <c:v>-6.7037493559151502E-4</c:v>
                </c:pt>
                <c:pt idx="81">
                  <c:v>4.0794757213256298E-4</c:v>
                </c:pt>
                <c:pt idx="82">
                  <c:v>1.3415887935004501E-4</c:v>
                </c:pt>
                <c:pt idx="83">
                  <c:v>-2.24545666192409E-4</c:v>
                </c:pt>
                <c:pt idx="84">
                  <c:v>1.02481534659622E-6</c:v>
                </c:pt>
                <c:pt idx="85">
                  <c:v>1.3622471677289199E-5</c:v>
                </c:pt>
                <c:pt idx="86">
                  <c:v>-1.58516404180966E-4</c:v>
                </c:pt>
                <c:pt idx="87">
                  <c:v>-5.2881855642819098E-4</c:v>
                </c:pt>
                <c:pt idx="88">
                  <c:v>-8.1750432558328696E-5</c:v>
                </c:pt>
                <c:pt idx="89">
                  <c:v>-2.5232635705836799E-4</c:v>
                </c:pt>
                <c:pt idx="90">
                  <c:v>9.6099287493117802E-7</c:v>
                </c:pt>
                <c:pt idx="91">
                  <c:v>-4.1481718089995398E-4</c:v>
                </c:pt>
                <c:pt idx="92">
                  <c:v>-2.2765997420153301E-4</c:v>
                </c:pt>
                <c:pt idx="93">
                  <c:v>-1.4665224748230501E-4</c:v>
                </c:pt>
                <c:pt idx="94">
                  <c:v>4.4077883403413002E-4</c:v>
                </c:pt>
                <c:pt idx="95">
                  <c:v>6.3071278121390496E-6</c:v>
                </c:pt>
                <c:pt idx="96">
                  <c:v>-1.09584043683673E-4</c:v>
                </c:pt>
                <c:pt idx="97">
                  <c:v>3.0597788073982599E-4</c:v>
                </c:pt>
                <c:pt idx="98">
                  <c:v>6.0706969221980503E-4</c:v>
                </c:pt>
                <c:pt idx="99">
                  <c:v>7.5129264032082903E-6</c:v>
                </c:pt>
                <c:pt idx="100">
                  <c:v>4.36405225119929E-4</c:v>
                </c:pt>
                <c:pt idx="101">
                  <c:v>2.0168204761732202E-5</c:v>
                </c:pt>
                <c:pt idx="102">
                  <c:v>-1.3324124334235199E-6</c:v>
                </c:pt>
                <c:pt idx="103">
                  <c:v>1.87036028812204E-4</c:v>
                </c:pt>
                <c:pt idx="104">
                  <c:v>4.8145052172932702E-5</c:v>
                </c:pt>
                <c:pt idx="105">
                  <c:v>2.6601148972393802E-4</c:v>
                </c:pt>
                <c:pt idx="106">
                  <c:v>-2.5095034010275201E-4</c:v>
                </c:pt>
                <c:pt idx="107">
                  <c:v>5.0346630630653498E-4</c:v>
                </c:pt>
                <c:pt idx="108">
                  <c:v>-3.6149702911102897E-4</c:v>
                </c:pt>
                <c:pt idx="109">
                  <c:v>4.9571963427866403E-4</c:v>
                </c:pt>
                <c:pt idx="110">
                  <c:v>-1.8035757899184399E-4</c:v>
                </c:pt>
                <c:pt idx="111">
                  <c:v>1.9184805640707199E-4</c:v>
                </c:pt>
                <c:pt idx="112">
                  <c:v>1.4293393237093901E-4</c:v>
                </c:pt>
                <c:pt idx="113">
                  <c:v>8.99614651152856E-4</c:v>
                </c:pt>
                <c:pt idx="114">
                  <c:v>2.32489902404705E-4</c:v>
                </c:pt>
                <c:pt idx="115">
                  <c:v>-5.1437426075908602E-3</c:v>
                </c:pt>
                <c:pt idx="116">
                  <c:v>-4.3782590028781801E-3</c:v>
                </c:pt>
                <c:pt idx="117">
                  <c:v>-5.3306792252006303E-3</c:v>
                </c:pt>
                <c:pt idx="118">
                  <c:v>1.6170563525622599E-3</c:v>
                </c:pt>
                <c:pt idx="119">
                  <c:v>2.09640258664096E-3</c:v>
                </c:pt>
                <c:pt idx="120">
                  <c:v>1.24254688210557E-3</c:v>
                </c:pt>
                <c:pt idx="121">
                  <c:v>1.2411656385192E-3</c:v>
                </c:pt>
                <c:pt idx="122">
                  <c:v>1.62200673582636E-3</c:v>
                </c:pt>
                <c:pt idx="123">
                  <c:v>3.3458052219653402E-4</c:v>
                </c:pt>
                <c:pt idx="124">
                  <c:v>1.8875710249308E-3</c:v>
                </c:pt>
                <c:pt idx="125">
                  <c:v>1.9714500349899398E-3</c:v>
                </c:pt>
                <c:pt idx="126">
                  <c:v>8.2103991417519298E-4</c:v>
                </c:pt>
                <c:pt idx="127">
                  <c:v>5.6422642681409798E-4</c:v>
                </c:pt>
                <c:pt idx="128">
                  <c:v>2.8950500228853602E-4</c:v>
                </c:pt>
                <c:pt idx="129">
                  <c:v>-8.9049346219768801E-4</c:v>
                </c:pt>
                <c:pt idx="130">
                  <c:v>-4.2987960471983502E-5</c:v>
                </c:pt>
                <c:pt idx="131">
                  <c:v>6.0622409055882903E-4</c:v>
                </c:pt>
                <c:pt idx="132">
                  <c:v>-8.1426190381817898E-4</c:v>
                </c:pt>
                <c:pt idx="133">
                  <c:v>1.00303832406458E-4</c:v>
                </c:pt>
                <c:pt idx="134">
                  <c:v>-1.74304650811527E-4</c:v>
                </c:pt>
                <c:pt idx="135">
                  <c:v>2.04308444297916E-4</c:v>
                </c:pt>
                <c:pt idx="136">
                  <c:v>1.8447975168996299E-4</c:v>
                </c:pt>
                <c:pt idx="137">
                  <c:v>5.1457857364501703E-4</c:v>
                </c:pt>
                <c:pt idx="138">
                  <c:v>1.5136468488413001E-4</c:v>
                </c:pt>
                <c:pt idx="139">
                  <c:v>3.5534413332485598E-5</c:v>
                </c:pt>
                <c:pt idx="140">
                  <c:v>-1.5741491268291501E-4</c:v>
                </c:pt>
                <c:pt idx="141">
                  <c:v>8.9018927089133302E-4</c:v>
                </c:pt>
                <c:pt idx="142">
                  <c:v>-4.4656123078320298E-4</c:v>
                </c:pt>
                <c:pt idx="143">
                  <c:v>1.92461083657825E-4</c:v>
                </c:pt>
                <c:pt idx="144">
                  <c:v>-4.1423461425409299E-4</c:v>
                </c:pt>
                <c:pt idx="145">
                  <c:v>-8.35953837655484E-4</c:v>
                </c:pt>
                <c:pt idx="146">
                  <c:v>3.0665075052237102E-5</c:v>
                </c:pt>
                <c:pt idx="147">
                  <c:v>-2.4605265856398998E-4</c:v>
                </c:pt>
                <c:pt idx="148">
                  <c:v>2.3822908057418999E-4</c:v>
                </c:pt>
                <c:pt idx="149">
                  <c:v>2.2713116835891599E-4</c:v>
                </c:pt>
                <c:pt idx="150">
                  <c:v>8.2723959679164097E-4</c:v>
                </c:pt>
                <c:pt idx="151">
                  <c:v>9.6662328320976402E-4</c:v>
                </c:pt>
                <c:pt idx="152">
                  <c:v>-3.1324341491877902E-4</c:v>
                </c:pt>
                <c:pt idx="153">
                  <c:v>-2.6074558668815499E-5</c:v>
                </c:pt>
                <c:pt idx="154">
                  <c:v>9.9331370648412002E-5</c:v>
                </c:pt>
                <c:pt idx="155">
                  <c:v>-2.67526995408758E-4</c:v>
                </c:pt>
                <c:pt idx="156">
                  <c:v>-3.7408404506805297E-4</c:v>
                </c:pt>
                <c:pt idx="157">
                  <c:v>1.7982203396677899E-4</c:v>
                </c:pt>
                <c:pt idx="158">
                  <c:v>9.7163581671164703E-5</c:v>
                </c:pt>
                <c:pt idx="159">
                  <c:v>8.0200264517790699E-4</c:v>
                </c:pt>
                <c:pt idx="160">
                  <c:v>1.07999212031099E-5</c:v>
                </c:pt>
                <c:pt idx="161">
                  <c:v>3.0206077938864303E-4</c:v>
                </c:pt>
                <c:pt idx="162">
                  <c:v>-7.2588339091630798E-4</c:v>
                </c:pt>
                <c:pt idx="163">
                  <c:v>5.0274600890488398E-4</c:v>
                </c:pt>
                <c:pt idx="164">
                  <c:v>1.4616596810964401E-4</c:v>
                </c:pt>
                <c:pt idx="165">
                  <c:v>-3.61662853811445E-4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FSTA x 20 dma / VDC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2.0327629075778101E-4</c:v>
                </c:pt>
                <c:pt idx="21">
                  <c:v>2.5823311127502101E-4</c:v>
                </c:pt>
                <c:pt idx="22">
                  <c:v>-3.2431038819562299E-5</c:v>
                </c:pt>
                <c:pt idx="23">
                  <c:v>7.9713711712537196E-4</c:v>
                </c:pt>
                <c:pt idx="24">
                  <c:v>3.3815103229339801E-4</c:v>
                </c:pt>
                <c:pt idx="25">
                  <c:v>9.6764861451832296E-5</c:v>
                </c:pt>
                <c:pt idx="26">
                  <c:v>4.74151342902864E-4</c:v>
                </c:pt>
                <c:pt idx="27">
                  <c:v>3.7913593615637298E-5</c:v>
                </c:pt>
                <c:pt idx="28">
                  <c:v>5.8024898706032703E-4</c:v>
                </c:pt>
                <c:pt idx="29">
                  <c:v>5.3125230436209495E-4</c:v>
                </c:pt>
                <c:pt idx="30">
                  <c:v>1.8364528109932599E-4</c:v>
                </c:pt>
                <c:pt idx="31">
                  <c:v>-4.14443885586179E-4</c:v>
                </c:pt>
                <c:pt idx="32">
                  <c:v>2.4152007558064201E-4</c:v>
                </c:pt>
                <c:pt idx="33">
                  <c:v>-1.9722278227415801E-4</c:v>
                </c:pt>
                <c:pt idx="34">
                  <c:v>7.6674383858510195E-5</c:v>
                </c:pt>
                <c:pt idx="35">
                  <c:v>1.19146946378351E-4</c:v>
                </c:pt>
                <c:pt idx="36">
                  <c:v>-3.4764921087477301E-5</c:v>
                </c:pt>
                <c:pt idx="37">
                  <c:v>1.8307432117754401E-4</c:v>
                </c:pt>
                <c:pt idx="38">
                  <c:v>-1.61813762314245E-5</c:v>
                </c:pt>
                <c:pt idx="39">
                  <c:v>-1.07794446194017E-4</c:v>
                </c:pt>
                <c:pt idx="40">
                  <c:v>7.4668995271819994E-5</c:v>
                </c:pt>
                <c:pt idx="41">
                  <c:v>5.8323427349881499E-5</c:v>
                </c:pt>
                <c:pt idx="42">
                  <c:v>-1.3151841927981799E-4</c:v>
                </c:pt>
                <c:pt idx="43">
                  <c:v>7.0941863713688594E-5</c:v>
                </c:pt>
                <c:pt idx="44">
                  <c:v>1.48465932323304E-4</c:v>
                </c:pt>
                <c:pt idx="45">
                  <c:v>-2.13177769375765E-4</c:v>
                </c:pt>
                <c:pt idx="46">
                  <c:v>-3.45421776035165E-4</c:v>
                </c:pt>
                <c:pt idx="47">
                  <c:v>-8.1835198846005105E-4</c:v>
                </c:pt>
                <c:pt idx="48">
                  <c:v>1.2176696539931701E-4</c:v>
                </c:pt>
                <c:pt idx="49">
                  <c:v>-5.1615116024565102E-4</c:v>
                </c:pt>
                <c:pt idx="50">
                  <c:v>-5.0512225294623296E-4</c:v>
                </c:pt>
                <c:pt idx="51">
                  <c:v>-1.13841121899312E-4</c:v>
                </c:pt>
                <c:pt idx="52">
                  <c:v>-8.48152232539738E-5</c:v>
                </c:pt>
                <c:pt idx="53">
                  <c:v>-5.7272968751886904E-3</c:v>
                </c:pt>
                <c:pt idx="54">
                  <c:v>-4.8360184608430296E-3</c:v>
                </c:pt>
                <c:pt idx="55">
                  <c:v>1.32682752173224E-4</c:v>
                </c:pt>
                <c:pt idx="56">
                  <c:v>7.0034554739995696E-4</c:v>
                </c:pt>
                <c:pt idx="57">
                  <c:v>1.3042428349686701E-3</c:v>
                </c:pt>
                <c:pt idx="58">
                  <c:v>4.1438055972177202E-4</c:v>
                </c:pt>
                <c:pt idx="59">
                  <c:v>8.60783209119741E-4</c:v>
                </c:pt>
                <c:pt idx="60">
                  <c:v>4.4188685558383198E-4</c:v>
                </c:pt>
                <c:pt idx="61">
                  <c:v>-1.09679548441045E-4</c:v>
                </c:pt>
                <c:pt idx="62">
                  <c:v>1.4969307591277E-4</c:v>
                </c:pt>
                <c:pt idx="63">
                  <c:v>5.8012107130450696E-4</c:v>
                </c:pt>
                <c:pt idx="64">
                  <c:v>4.1272435379149301E-4</c:v>
                </c:pt>
                <c:pt idx="65">
                  <c:v>1.9428090397470099E-4</c:v>
                </c:pt>
                <c:pt idx="66">
                  <c:v>8.8546232435602896E-4</c:v>
                </c:pt>
                <c:pt idx="67">
                  <c:v>7.6951976664776001E-4</c:v>
                </c:pt>
                <c:pt idx="68">
                  <c:v>7.4385540627993404E-4</c:v>
                </c:pt>
                <c:pt idx="69">
                  <c:v>1.4178257161891401E-4</c:v>
                </c:pt>
                <c:pt idx="70">
                  <c:v>6.4474468756801299E-4</c:v>
                </c:pt>
                <c:pt idx="71">
                  <c:v>4.2796173287317402E-4</c:v>
                </c:pt>
                <c:pt idx="72">
                  <c:v>1.25759595968097E-4</c:v>
                </c:pt>
                <c:pt idx="73">
                  <c:v>-1.0639693803968001E-4</c:v>
                </c:pt>
                <c:pt idx="74">
                  <c:v>-1.6288685992575501E-4</c:v>
                </c:pt>
                <c:pt idx="75">
                  <c:v>-3.7807007515968597E-4</c:v>
                </c:pt>
                <c:pt idx="76">
                  <c:v>-4.1304242624903999E-4</c:v>
                </c:pt>
                <c:pt idx="77">
                  <c:v>8.7986474376350099E-5</c:v>
                </c:pt>
                <c:pt idx="78">
                  <c:v>-3.4322260247391598E-6</c:v>
                </c:pt>
                <c:pt idx="79">
                  <c:v>-4.8245845694566903E-5</c:v>
                </c:pt>
                <c:pt idx="80">
                  <c:v>-7.59720950291593E-4</c:v>
                </c:pt>
                <c:pt idx="81">
                  <c:v>2.6085785844770699E-4</c:v>
                </c:pt>
                <c:pt idx="82">
                  <c:v>-3.1070753505699397E-5</c:v>
                </c:pt>
                <c:pt idx="83">
                  <c:v>-3.7963399802678501E-4</c:v>
                </c:pt>
                <c:pt idx="84">
                  <c:v>-1.15384340373145E-4</c:v>
                </c:pt>
                <c:pt idx="85">
                  <c:v>-8.0879470135330605E-5</c:v>
                </c:pt>
                <c:pt idx="86">
                  <c:v>-2.4351553842462501E-4</c:v>
                </c:pt>
                <c:pt idx="87">
                  <c:v>-5.7465357701397702E-4</c:v>
                </c:pt>
                <c:pt idx="88">
                  <c:v>-1.5830334040883501E-4</c:v>
                </c:pt>
                <c:pt idx="89">
                  <c:v>-3.2731235935656898E-4</c:v>
                </c:pt>
                <c:pt idx="90">
                  <c:v>-1.0793593194246E-4</c:v>
                </c:pt>
                <c:pt idx="91">
                  <c:v>-4.4822643968801199E-4</c:v>
                </c:pt>
                <c:pt idx="92">
                  <c:v>-3.1106559956933799E-4</c:v>
                </c:pt>
                <c:pt idx="93">
                  <c:v>-2.64215874150275E-4</c:v>
                </c:pt>
                <c:pt idx="94">
                  <c:v>3.1207346094908099E-4</c:v>
                </c:pt>
                <c:pt idx="95">
                  <c:v>-1.1855027032818E-4</c:v>
                </c:pt>
                <c:pt idx="96">
                  <c:v>-2.5307347355735E-4</c:v>
                </c:pt>
                <c:pt idx="97">
                  <c:v>1.5071934793325101E-4</c:v>
                </c:pt>
                <c:pt idx="98">
                  <c:v>5.1991742327202903E-4</c:v>
                </c:pt>
                <c:pt idx="99">
                  <c:v>-3.6930077143600102E-5</c:v>
                </c:pt>
                <c:pt idx="100">
                  <c:v>4.2515589559794198E-4</c:v>
                </c:pt>
                <c:pt idx="101">
                  <c:v>6.8797052861877299E-6</c:v>
                </c:pt>
                <c:pt idx="102">
                  <c:v>5.0280827330555599E-5</c:v>
                </c:pt>
                <c:pt idx="103">
                  <c:v>2.8156316766397301E-4</c:v>
                </c:pt>
                <c:pt idx="104">
                  <c:v>1.76678146367478E-4</c:v>
                </c:pt>
                <c:pt idx="105">
                  <c:v>3.7865106230213999E-4</c:v>
                </c:pt>
                <c:pt idx="106">
                  <c:v>-1.0120695327092799E-4</c:v>
                </c:pt>
                <c:pt idx="107">
                  <c:v>6.7302353055639398E-4</c:v>
                </c:pt>
                <c:pt idx="108">
                  <c:v>-1.9132888476719399E-4</c:v>
                </c:pt>
                <c:pt idx="109">
                  <c:v>6.0874915508196301E-4</c:v>
                </c:pt>
                <c:pt idx="110">
                  <c:v>-4.0163948672225901E-5</c:v>
                </c:pt>
                <c:pt idx="111">
                  <c:v>2.9457450367285101E-4</c:v>
                </c:pt>
                <c:pt idx="112">
                  <c:v>2.4409203695862901E-4</c:v>
                </c:pt>
                <c:pt idx="113">
                  <c:v>1.00162170659012E-3</c:v>
                </c:pt>
                <c:pt idx="114">
                  <c:v>3.5417084614985901E-4</c:v>
                </c:pt>
                <c:pt idx="115">
                  <c:v>-4.9938948113898499E-3</c:v>
                </c:pt>
                <c:pt idx="116">
                  <c:v>-4.5087634824658197E-3</c:v>
                </c:pt>
                <c:pt idx="117">
                  <c:v>-5.6888839366023396E-3</c:v>
                </c:pt>
                <c:pt idx="118">
                  <c:v>9.0411770335869503E-4</c:v>
                </c:pt>
                <c:pt idx="119">
                  <c:v>1.4424092151481E-3</c:v>
                </c:pt>
                <c:pt idx="120">
                  <c:v>5.6744372922425297E-4</c:v>
                </c:pt>
                <c:pt idx="121">
                  <c:v>5.8647634250877899E-4</c:v>
                </c:pt>
                <c:pt idx="122">
                  <c:v>9.3547593451697396E-4</c:v>
                </c:pt>
                <c:pt idx="123">
                  <c:v>-3.6400263490381902E-4</c:v>
                </c:pt>
                <c:pt idx="124">
                  <c:v>1.04529190905996E-3</c:v>
                </c:pt>
                <c:pt idx="125">
                  <c:v>1.1062993288080999E-3</c:v>
                </c:pt>
                <c:pt idx="126">
                  <c:v>4.8114753208971102E-4</c:v>
                </c:pt>
                <c:pt idx="127">
                  <c:v>6.7047689921943398E-4</c:v>
                </c:pt>
                <c:pt idx="128">
                  <c:v>1.03035016971785E-3</c:v>
                </c:pt>
                <c:pt idx="129">
                  <c:v>-1.69557012596748E-4</c:v>
                </c:pt>
                <c:pt idx="130">
                  <c:v>5.8602109277246597E-4</c:v>
                </c:pt>
                <c:pt idx="131">
                  <c:v>1.23022660249626E-3</c:v>
                </c:pt>
                <c:pt idx="132">
                  <c:v>-1.4659927535301101E-4</c:v>
                </c:pt>
                <c:pt idx="133">
                  <c:v>7.0757834297091701E-4</c:v>
                </c:pt>
                <c:pt idx="134">
                  <c:v>5.8008240311557303E-4</c:v>
                </c:pt>
                <c:pt idx="135">
                  <c:v>9.3250268119321499E-4</c:v>
                </c:pt>
                <c:pt idx="136">
                  <c:v>6.2747472063749395E-4</c:v>
                </c:pt>
                <c:pt idx="137">
                  <c:v>7.4361610235165905E-4</c:v>
                </c:pt>
                <c:pt idx="138">
                  <c:v>9.4565269371871705E-5</c:v>
                </c:pt>
                <c:pt idx="139">
                  <c:v>-4.1525069945137897E-5</c:v>
                </c:pt>
                <c:pt idx="140">
                  <c:v>-1.18586185369435E-4</c:v>
                </c:pt>
                <c:pt idx="141">
                  <c:v>9.2857482414586401E-4</c:v>
                </c:pt>
                <c:pt idx="142">
                  <c:v>-4.2077728460326798E-4</c:v>
                </c:pt>
                <c:pt idx="143">
                  <c:v>2.9430840730681801E-4</c:v>
                </c:pt>
                <c:pt idx="144">
                  <c:v>-3.4661524188731399E-4</c:v>
                </c:pt>
                <c:pt idx="145">
                  <c:v>-7.4588944491263995E-4</c:v>
                </c:pt>
                <c:pt idx="146">
                  <c:v>9.3262988002440795E-5</c:v>
                </c:pt>
                <c:pt idx="147">
                  <c:v>-1.97347680973488E-4</c:v>
                </c:pt>
                <c:pt idx="148">
                  <c:v>2.3336281955306599E-4</c:v>
                </c:pt>
                <c:pt idx="149">
                  <c:v>2.38704271199298E-4</c:v>
                </c:pt>
                <c:pt idx="150">
                  <c:v>8.1093856939563999E-4</c:v>
                </c:pt>
                <c:pt idx="151">
                  <c:v>9.9974963418042895E-4</c:v>
                </c:pt>
                <c:pt idx="152">
                  <c:v>-2.9101368550638501E-4</c:v>
                </c:pt>
                <c:pt idx="153">
                  <c:v>-1.5930127388621199E-5</c:v>
                </c:pt>
                <c:pt idx="154">
                  <c:v>8.47726982498436E-5</c:v>
                </c:pt>
                <c:pt idx="155">
                  <c:v>-2.5262253583925701E-4</c:v>
                </c:pt>
                <c:pt idx="156">
                  <c:v>-2.8622351976856798E-4</c:v>
                </c:pt>
                <c:pt idx="157">
                  <c:v>2.5765816978758299E-4</c:v>
                </c:pt>
                <c:pt idx="158">
                  <c:v>2.37244862662123E-4</c:v>
                </c:pt>
                <c:pt idx="159">
                  <c:v>9.4518225588509895E-4</c:v>
                </c:pt>
                <c:pt idx="160">
                  <c:v>1.8629508363970801E-4</c:v>
                </c:pt>
                <c:pt idx="161">
                  <c:v>4.0669005971608301E-4</c:v>
                </c:pt>
                <c:pt idx="162">
                  <c:v>-6.5113790847191801E-4</c:v>
                </c:pt>
                <c:pt idx="163">
                  <c:v>5.5543221400975796E-4</c:v>
                </c:pt>
                <c:pt idx="164">
                  <c:v>2.4047138300316401E-4</c:v>
                </c:pt>
                <c:pt idx="165">
                  <c:v>-2.79813375425189E-4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9.074118809485306E-4</c:v>
                </c:pt>
                <c:pt idx="29">
                  <c:v>9.074118809485306E-4</c:v>
                </c:pt>
                <c:pt idx="30">
                  <c:v>9.074118809485306E-4</c:v>
                </c:pt>
                <c:pt idx="31">
                  <c:v>9.074118809485306E-4</c:v>
                </c:pt>
                <c:pt idx="32">
                  <c:v>9.074118809485306E-4</c:v>
                </c:pt>
                <c:pt idx="33">
                  <c:v>9.074118809485306E-4</c:v>
                </c:pt>
                <c:pt idx="34">
                  <c:v>9.074118809485306E-4</c:v>
                </c:pt>
                <c:pt idx="35">
                  <c:v>9.074118809485306E-4</c:v>
                </c:pt>
                <c:pt idx="36">
                  <c:v>9.074118809485306E-4</c:v>
                </c:pt>
                <c:pt idx="37">
                  <c:v>9.074118809485306E-4</c:v>
                </c:pt>
                <c:pt idx="38">
                  <c:v>1.7749789491941607E-3</c:v>
                </c:pt>
                <c:pt idx="39">
                  <c:v>1.7749789491941607E-3</c:v>
                </c:pt>
                <c:pt idx="40">
                  <c:v>1.7749789491941607E-3</c:v>
                </c:pt>
                <c:pt idx="41">
                  <c:v>1.7749789491941607E-3</c:v>
                </c:pt>
                <c:pt idx="42">
                  <c:v>1.7749789491941607E-3</c:v>
                </c:pt>
                <c:pt idx="43">
                  <c:v>1.7749789491941607E-3</c:v>
                </c:pt>
                <c:pt idx="44">
                  <c:v>1.7749789491941607E-3</c:v>
                </c:pt>
                <c:pt idx="45">
                  <c:v>1.7749789491941607E-3</c:v>
                </c:pt>
                <c:pt idx="46">
                  <c:v>1.7749789491941607E-3</c:v>
                </c:pt>
                <c:pt idx="47">
                  <c:v>1.7749789491941607E-3</c:v>
                </c:pt>
                <c:pt idx="48">
                  <c:v>1.7749789491941607E-3</c:v>
                </c:pt>
                <c:pt idx="49">
                  <c:v>1.7749789491941607E-3</c:v>
                </c:pt>
                <c:pt idx="50">
                  <c:v>1.7749789491941607E-3</c:v>
                </c:pt>
                <c:pt idx="51">
                  <c:v>1.7749789491941607E-3</c:v>
                </c:pt>
                <c:pt idx="52">
                  <c:v>1.7749789491941607E-3</c:v>
                </c:pt>
                <c:pt idx="53">
                  <c:v>1.7749789491941607E-3</c:v>
                </c:pt>
                <c:pt idx="54">
                  <c:v>1.7749789491941607E-3</c:v>
                </c:pt>
                <c:pt idx="55">
                  <c:v>1.7749789491941607E-3</c:v>
                </c:pt>
                <c:pt idx="56">
                  <c:v>1.7749789491941607E-3</c:v>
                </c:pt>
                <c:pt idx="57">
                  <c:v>1.7749789491941607E-3</c:v>
                </c:pt>
                <c:pt idx="58">
                  <c:v>1.7749789491941607E-3</c:v>
                </c:pt>
                <c:pt idx="59">
                  <c:v>1.7749789491941607E-3</c:v>
                </c:pt>
                <c:pt idx="60">
                  <c:v>1.7749789491941607E-3</c:v>
                </c:pt>
                <c:pt idx="61">
                  <c:v>1.7749789491941607E-3</c:v>
                </c:pt>
                <c:pt idx="62">
                  <c:v>1.7749789491941607E-3</c:v>
                </c:pt>
                <c:pt idx="63">
                  <c:v>1.7749789491941607E-3</c:v>
                </c:pt>
                <c:pt idx="64">
                  <c:v>1.7749789491941607E-3</c:v>
                </c:pt>
                <c:pt idx="65">
                  <c:v>1.7749789491941607E-3</c:v>
                </c:pt>
                <c:pt idx="66">
                  <c:v>1.7749789491941607E-3</c:v>
                </c:pt>
                <c:pt idx="67">
                  <c:v>1.7749789491941607E-3</c:v>
                </c:pt>
                <c:pt idx="68">
                  <c:v>1.7749789491941607E-3</c:v>
                </c:pt>
                <c:pt idx="69">
                  <c:v>1.7749789491941607E-3</c:v>
                </c:pt>
                <c:pt idx="70">
                  <c:v>1.7749789491941607E-3</c:v>
                </c:pt>
                <c:pt idx="71">
                  <c:v>1.7749789491941607E-3</c:v>
                </c:pt>
                <c:pt idx="72">
                  <c:v>1.7749789491941607E-3</c:v>
                </c:pt>
                <c:pt idx="73">
                  <c:v>1.7749789491941607E-3</c:v>
                </c:pt>
                <c:pt idx="74">
                  <c:v>1.7749789491941607E-3</c:v>
                </c:pt>
                <c:pt idx="75">
                  <c:v>1.7749789491941607E-3</c:v>
                </c:pt>
                <c:pt idx="76">
                  <c:v>1.7749789491941607E-3</c:v>
                </c:pt>
                <c:pt idx="77">
                  <c:v>1.7749789491941607E-3</c:v>
                </c:pt>
                <c:pt idx="78">
                  <c:v>1.7749789491941607E-3</c:v>
                </c:pt>
                <c:pt idx="79">
                  <c:v>1.7749789491941607E-3</c:v>
                </c:pt>
                <c:pt idx="80">
                  <c:v>1.7749789491941607E-3</c:v>
                </c:pt>
                <c:pt idx="81">
                  <c:v>1.7749789491941607E-3</c:v>
                </c:pt>
                <c:pt idx="82">
                  <c:v>1.7749789491941607E-3</c:v>
                </c:pt>
                <c:pt idx="83">
                  <c:v>1.7749789491941607E-3</c:v>
                </c:pt>
                <c:pt idx="84">
                  <c:v>1.7749789491941607E-3</c:v>
                </c:pt>
                <c:pt idx="85">
                  <c:v>1.7749789491941607E-3</c:v>
                </c:pt>
                <c:pt idx="86">
                  <c:v>1.7749789491941607E-3</c:v>
                </c:pt>
                <c:pt idx="87">
                  <c:v>1.7749789491941607E-3</c:v>
                </c:pt>
                <c:pt idx="88">
                  <c:v>1.7749789491941607E-3</c:v>
                </c:pt>
                <c:pt idx="89">
                  <c:v>1.7749789491941607E-3</c:v>
                </c:pt>
                <c:pt idx="90">
                  <c:v>1.7749789491941607E-3</c:v>
                </c:pt>
                <c:pt idx="91">
                  <c:v>1.7749789491941607E-3</c:v>
                </c:pt>
                <c:pt idx="92">
                  <c:v>1.7749789491941607E-3</c:v>
                </c:pt>
                <c:pt idx="93">
                  <c:v>1.7749789491941607E-3</c:v>
                </c:pt>
                <c:pt idx="94">
                  <c:v>2.3504817066910613E-3</c:v>
                </c:pt>
                <c:pt idx="95">
                  <c:v>2.3504817066910613E-3</c:v>
                </c:pt>
                <c:pt idx="96">
                  <c:v>2.3504817066910613E-3</c:v>
                </c:pt>
                <c:pt idx="97">
                  <c:v>3.742598566679859E-3</c:v>
                </c:pt>
                <c:pt idx="98">
                  <c:v>3.742598566679859E-3</c:v>
                </c:pt>
                <c:pt idx="99">
                  <c:v>3.742598566679859E-3</c:v>
                </c:pt>
                <c:pt idx="100">
                  <c:v>3.742598566679859E-3</c:v>
                </c:pt>
                <c:pt idx="101">
                  <c:v>3.742598566679859E-3</c:v>
                </c:pt>
                <c:pt idx="102">
                  <c:v>3.742598566679859E-3</c:v>
                </c:pt>
                <c:pt idx="103">
                  <c:v>3.742598566679859E-3</c:v>
                </c:pt>
                <c:pt idx="104">
                  <c:v>5.0995974705350597E-3</c:v>
                </c:pt>
                <c:pt idx="105">
                  <c:v>5.0995974705350597E-3</c:v>
                </c:pt>
                <c:pt idx="106">
                  <c:v>5.0995974705350597E-3</c:v>
                </c:pt>
                <c:pt idx="107">
                  <c:v>5.0995974705350597E-3</c:v>
                </c:pt>
                <c:pt idx="108">
                  <c:v>5.0995974705350597E-3</c:v>
                </c:pt>
                <c:pt idx="109">
                  <c:v>5.0995974705350597E-3</c:v>
                </c:pt>
                <c:pt idx="110">
                  <c:v>5.7925424539719203E-3</c:v>
                </c:pt>
                <c:pt idx="111">
                  <c:v>6.4389632138851204E-3</c:v>
                </c:pt>
                <c:pt idx="112">
                  <c:v>6.4389632138851204E-3</c:v>
                </c:pt>
                <c:pt idx="113">
                  <c:v>7.2433670938589212E-3</c:v>
                </c:pt>
                <c:pt idx="114">
                  <c:v>7.0667919861578405E-3</c:v>
                </c:pt>
                <c:pt idx="115">
                  <c:v>7.3900452655843302E-3</c:v>
                </c:pt>
                <c:pt idx="116">
                  <c:v>7.3900452655843302E-3</c:v>
                </c:pt>
                <c:pt idx="117">
                  <c:v>7.3900452655843302E-3</c:v>
                </c:pt>
                <c:pt idx="118">
                  <c:v>7.3900452655843302E-3</c:v>
                </c:pt>
                <c:pt idx="119">
                  <c:v>7.3900452655843302E-3</c:v>
                </c:pt>
                <c:pt idx="120">
                  <c:v>7.3900452655843302E-3</c:v>
                </c:pt>
                <c:pt idx="121">
                  <c:v>7.3900452655843302E-3</c:v>
                </c:pt>
                <c:pt idx="122">
                  <c:v>8.6907472326385009E-3</c:v>
                </c:pt>
                <c:pt idx="123">
                  <c:v>8.6907472326385009E-3</c:v>
                </c:pt>
                <c:pt idx="124">
                  <c:v>8.6907472326385009E-3</c:v>
                </c:pt>
                <c:pt idx="125">
                  <c:v>8.6907472326385009E-3</c:v>
                </c:pt>
                <c:pt idx="126">
                  <c:v>8.6907472326385009E-3</c:v>
                </c:pt>
                <c:pt idx="127">
                  <c:v>8.6907472326385009E-3</c:v>
                </c:pt>
                <c:pt idx="128">
                  <c:v>8.6907472326385009E-3</c:v>
                </c:pt>
                <c:pt idx="129">
                  <c:v>8.6907472326385009E-3</c:v>
                </c:pt>
                <c:pt idx="130">
                  <c:v>8.6907472326385009E-3</c:v>
                </c:pt>
                <c:pt idx="131">
                  <c:v>8.4561872260955611E-3</c:v>
                </c:pt>
                <c:pt idx="132">
                  <c:v>9.7217980295513009E-3</c:v>
                </c:pt>
                <c:pt idx="133">
                  <c:v>9.7217980295513009E-3</c:v>
                </c:pt>
                <c:pt idx="134">
                  <c:v>9.7217980295513009E-3</c:v>
                </c:pt>
                <c:pt idx="135">
                  <c:v>9.7217980295513009E-3</c:v>
                </c:pt>
                <c:pt idx="136">
                  <c:v>9.7217980295513009E-3</c:v>
                </c:pt>
                <c:pt idx="137">
                  <c:v>9.7217980295513009E-3</c:v>
                </c:pt>
                <c:pt idx="138">
                  <c:v>9.7217980295513009E-3</c:v>
                </c:pt>
                <c:pt idx="139">
                  <c:v>9.7217980295513009E-3</c:v>
                </c:pt>
                <c:pt idx="140">
                  <c:v>1.0426908004111E-2</c:v>
                </c:pt>
                <c:pt idx="141">
                  <c:v>1.018218274301152E-2</c:v>
                </c:pt>
                <c:pt idx="142">
                  <c:v>1.125563325473861E-2</c:v>
                </c:pt>
                <c:pt idx="143">
                  <c:v>1.125563325473861E-2</c:v>
                </c:pt>
                <c:pt idx="144">
                  <c:v>1.125563325473861E-2</c:v>
                </c:pt>
                <c:pt idx="145">
                  <c:v>1.125563325473861E-2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9.074118809485306E-4</c:v>
                </c:pt>
                <c:pt idx="29">
                  <c:v>9.074118809485306E-4</c:v>
                </c:pt>
                <c:pt idx="30">
                  <c:v>9.074118809485306E-4</c:v>
                </c:pt>
                <c:pt idx="31">
                  <c:v>9.074118809485306E-4</c:v>
                </c:pt>
                <c:pt idx="32">
                  <c:v>9.074118809485306E-4</c:v>
                </c:pt>
                <c:pt idx="33">
                  <c:v>9.074118809485306E-4</c:v>
                </c:pt>
                <c:pt idx="34">
                  <c:v>9.074118809485306E-4</c:v>
                </c:pt>
                <c:pt idx="35">
                  <c:v>9.074118809485306E-4</c:v>
                </c:pt>
                <c:pt idx="36">
                  <c:v>9.074118809485306E-4</c:v>
                </c:pt>
                <c:pt idx="37">
                  <c:v>9.074118809485306E-4</c:v>
                </c:pt>
                <c:pt idx="38">
                  <c:v>9.074118809485306E-4</c:v>
                </c:pt>
                <c:pt idx="39">
                  <c:v>9.074118809485306E-4</c:v>
                </c:pt>
                <c:pt idx="40">
                  <c:v>9.074118809485306E-4</c:v>
                </c:pt>
                <c:pt idx="41">
                  <c:v>9.074118809485306E-4</c:v>
                </c:pt>
                <c:pt idx="42">
                  <c:v>9.074118809485306E-4</c:v>
                </c:pt>
                <c:pt idx="43">
                  <c:v>9.074118809485306E-4</c:v>
                </c:pt>
                <c:pt idx="44">
                  <c:v>9.074118809485306E-4</c:v>
                </c:pt>
                <c:pt idx="45">
                  <c:v>9.074118809485306E-4</c:v>
                </c:pt>
                <c:pt idx="46">
                  <c:v>9.074118809485306E-4</c:v>
                </c:pt>
                <c:pt idx="47">
                  <c:v>9.074118809485306E-4</c:v>
                </c:pt>
                <c:pt idx="48">
                  <c:v>9.074118809485306E-4</c:v>
                </c:pt>
                <c:pt idx="49">
                  <c:v>9.074118809485306E-4</c:v>
                </c:pt>
                <c:pt idx="50">
                  <c:v>9.074118809485306E-4</c:v>
                </c:pt>
                <c:pt idx="51">
                  <c:v>9.074118809485306E-4</c:v>
                </c:pt>
                <c:pt idx="52">
                  <c:v>9.074118809485306E-4</c:v>
                </c:pt>
                <c:pt idx="53">
                  <c:v>9.074118809485306E-4</c:v>
                </c:pt>
                <c:pt idx="54">
                  <c:v>9.074118809485306E-4</c:v>
                </c:pt>
                <c:pt idx="55">
                  <c:v>9.074118809485306E-4</c:v>
                </c:pt>
                <c:pt idx="56">
                  <c:v>9.074118809485306E-4</c:v>
                </c:pt>
                <c:pt idx="57">
                  <c:v>9.074118809485306E-4</c:v>
                </c:pt>
                <c:pt idx="58">
                  <c:v>9.074118809485306E-4</c:v>
                </c:pt>
                <c:pt idx="59">
                  <c:v>9.074118809485306E-4</c:v>
                </c:pt>
                <c:pt idx="60">
                  <c:v>9.074118809485306E-4</c:v>
                </c:pt>
                <c:pt idx="61">
                  <c:v>9.074118809485306E-4</c:v>
                </c:pt>
                <c:pt idx="62">
                  <c:v>9.074118809485306E-4</c:v>
                </c:pt>
                <c:pt idx="63">
                  <c:v>9.074118809485306E-4</c:v>
                </c:pt>
                <c:pt idx="64">
                  <c:v>9.074118809485306E-4</c:v>
                </c:pt>
                <c:pt idx="65">
                  <c:v>9.074118809485306E-4</c:v>
                </c:pt>
                <c:pt idx="66">
                  <c:v>9.074118809485306E-4</c:v>
                </c:pt>
                <c:pt idx="67">
                  <c:v>9.074118809485306E-4</c:v>
                </c:pt>
                <c:pt idx="68">
                  <c:v>9.074118809485306E-4</c:v>
                </c:pt>
                <c:pt idx="69">
                  <c:v>9.074118809485306E-4</c:v>
                </c:pt>
                <c:pt idx="70">
                  <c:v>9.074118809485306E-4</c:v>
                </c:pt>
                <c:pt idx="71">
                  <c:v>9.074118809485306E-4</c:v>
                </c:pt>
                <c:pt idx="72">
                  <c:v>9.074118809485306E-4</c:v>
                </c:pt>
                <c:pt idx="73">
                  <c:v>9.074118809485306E-4</c:v>
                </c:pt>
                <c:pt idx="74">
                  <c:v>9.074118809485306E-4</c:v>
                </c:pt>
                <c:pt idx="75">
                  <c:v>9.074118809485306E-4</c:v>
                </c:pt>
                <c:pt idx="76">
                  <c:v>9.074118809485306E-4</c:v>
                </c:pt>
                <c:pt idx="77">
                  <c:v>9.074118809485306E-4</c:v>
                </c:pt>
                <c:pt idx="78">
                  <c:v>9.074118809485306E-4</c:v>
                </c:pt>
                <c:pt idx="79">
                  <c:v>9.074118809485306E-4</c:v>
                </c:pt>
                <c:pt idx="80">
                  <c:v>9.074118809485306E-4</c:v>
                </c:pt>
                <c:pt idx="81">
                  <c:v>9.074118809485306E-4</c:v>
                </c:pt>
                <c:pt idx="82">
                  <c:v>9.074118809485306E-4</c:v>
                </c:pt>
                <c:pt idx="83">
                  <c:v>9.074118809485306E-4</c:v>
                </c:pt>
                <c:pt idx="84">
                  <c:v>9.074118809485306E-4</c:v>
                </c:pt>
                <c:pt idx="85">
                  <c:v>9.074118809485306E-4</c:v>
                </c:pt>
                <c:pt idx="86">
                  <c:v>9.074118809485306E-4</c:v>
                </c:pt>
                <c:pt idx="87">
                  <c:v>9.074118809485306E-4</c:v>
                </c:pt>
                <c:pt idx="88">
                  <c:v>9.074118809485306E-4</c:v>
                </c:pt>
                <c:pt idx="89">
                  <c:v>9.074118809485306E-4</c:v>
                </c:pt>
                <c:pt idx="90">
                  <c:v>9.074118809485306E-4</c:v>
                </c:pt>
                <c:pt idx="91">
                  <c:v>9.074118809485306E-4</c:v>
                </c:pt>
                <c:pt idx="92">
                  <c:v>9.074118809485306E-4</c:v>
                </c:pt>
                <c:pt idx="93">
                  <c:v>9.074118809485306E-4</c:v>
                </c:pt>
                <c:pt idx="94">
                  <c:v>9.074118809485306E-4</c:v>
                </c:pt>
                <c:pt idx="95">
                  <c:v>9.074118809485306E-4</c:v>
                </c:pt>
                <c:pt idx="96">
                  <c:v>9.074118809485306E-4</c:v>
                </c:pt>
                <c:pt idx="97">
                  <c:v>9.074118809485306E-4</c:v>
                </c:pt>
                <c:pt idx="98">
                  <c:v>9.074118809485306E-4</c:v>
                </c:pt>
                <c:pt idx="99">
                  <c:v>9.074118809485306E-4</c:v>
                </c:pt>
                <c:pt idx="100">
                  <c:v>9.074118809485306E-4</c:v>
                </c:pt>
                <c:pt idx="101">
                  <c:v>9.074118809485306E-4</c:v>
                </c:pt>
                <c:pt idx="102">
                  <c:v>9.074118809485306E-4</c:v>
                </c:pt>
                <c:pt idx="103">
                  <c:v>9.074118809485306E-4</c:v>
                </c:pt>
                <c:pt idx="104">
                  <c:v>2.2644107848037312E-3</c:v>
                </c:pt>
                <c:pt idx="105">
                  <c:v>2.2644107848037312E-3</c:v>
                </c:pt>
                <c:pt idx="106">
                  <c:v>2.2644107848037312E-3</c:v>
                </c:pt>
                <c:pt idx="107">
                  <c:v>2.2644107848037312E-3</c:v>
                </c:pt>
                <c:pt idx="108">
                  <c:v>2.2644107848037312E-3</c:v>
                </c:pt>
                <c:pt idx="109">
                  <c:v>2.2644107848037312E-3</c:v>
                </c:pt>
                <c:pt idx="110">
                  <c:v>2.9573557682405919E-3</c:v>
                </c:pt>
                <c:pt idx="111">
                  <c:v>3.6037765281537919E-3</c:v>
                </c:pt>
                <c:pt idx="112">
                  <c:v>3.6037765281537919E-3</c:v>
                </c:pt>
                <c:pt idx="113">
                  <c:v>4.4081804081275927E-3</c:v>
                </c:pt>
                <c:pt idx="114">
                  <c:v>4.2316053004265121E-3</c:v>
                </c:pt>
                <c:pt idx="115">
                  <c:v>4.5548585798530026E-3</c:v>
                </c:pt>
                <c:pt idx="116">
                  <c:v>4.5548585798530026E-3</c:v>
                </c:pt>
                <c:pt idx="117">
                  <c:v>4.5548585798530026E-3</c:v>
                </c:pt>
                <c:pt idx="118">
                  <c:v>4.5548585798530026E-3</c:v>
                </c:pt>
                <c:pt idx="119">
                  <c:v>4.5548585798530026E-3</c:v>
                </c:pt>
                <c:pt idx="120">
                  <c:v>4.5548585798530026E-3</c:v>
                </c:pt>
                <c:pt idx="121">
                  <c:v>4.5548585798530026E-3</c:v>
                </c:pt>
                <c:pt idx="122">
                  <c:v>4.5548585798530026E-3</c:v>
                </c:pt>
                <c:pt idx="123">
                  <c:v>4.5548585798530026E-3</c:v>
                </c:pt>
                <c:pt idx="124">
                  <c:v>4.5548585798530026E-3</c:v>
                </c:pt>
                <c:pt idx="125">
                  <c:v>4.5548585798530026E-3</c:v>
                </c:pt>
                <c:pt idx="126">
                  <c:v>4.5548585798530026E-3</c:v>
                </c:pt>
                <c:pt idx="127">
                  <c:v>4.5548585798530026E-3</c:v>
                </c:pt>
                <c:pt idx="128">
                  <c:v>4.5548585798530026E-3</c:v>
                </c:pt>
                <c:pt idx="129">
                  <c:v>4.5548585798530026E-3</c:v>
                </c:pt>
                <c:pt idx="130">
                  <c:v>4.5548585798530026E-3</c:v>
                </c:pt>
                <c:pt idx="131">
                  <c:v>4.5548585798530026E-3</c:v>
                </c:pt>
                <c:pt idx="132">
                  <c:v>4.5548585798530026E-3</c:v>
                </c:pt>
                <c:pt idx="133">
                  <c:v>4.5548585798530026E-3</c:v>
                </c:pt>
                <c:pt idx="134">
                  <c:v>4.5548585798530026E-3</c:v>
                </c:pt>
                <c:pt idx="135">
                  <c:v>4.5548585798530026E-3</c:v>
                </c:pt>
                <c:pt idx="136">
                  <c:v>4.5548585798530026E-3</c:v>
                </c:pt>
                <c:pt idx="137">
                  <c:v>4.5548585798530026E-3</c:v>
                </c:pt>
                <c:pt idx="138">
                  <c:v>4.5548585798530026E-3</c:v>
                </c:pt>
                <c:pt idx="139">
                  <c:v>4.5548585798530026E-3</c:v>
                </c:pt>
                <c:pt idx="140">
                  <c:v>4.5548585798530026E-3</c:v>
                </c:pt>
                <c:pt idx="141">
                  <c:v>4.5548585798530026E-3</c:v>
                </c:pt>
                <c:pt idx="142">
                  <c:v>4.5548585798530026E-3</c:v>
                </c:pt>
                <c:pt idx="143">
                  <c:v>4.5548585798530026E-3</c:v>
                </c:pt>
                <c:pt idx="144">
                  <c:v>4.5548585798530026E-3</c:v>
                </c:pt>
                <c:pt idx="145">
                  <c:v>4.5548585798530026E-3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8.6756706824563014E-4</c:v>
                </c:pt>
                <c:pt idx="39">
                  <c:v>8.6756706824563014E-4</c:v>
                </c:pt>
                <c:pt idx="40">
                  <c:v>8.6756706824563014E-4</c:v>
                </c:pt>
                <c:pt idx="41">
                  <c:v>8.6756706824563014E-4</c:v>
                </c:pt>
                <c:pt idx="42">
                  <c:v>8.6756706824563014E-4</c:v>
                </c:pt>
                <c:pt idx="43">
                  <c:v>8.6756706824563014E-4</c:v>
                </c:pt>
                <c:pt idx="44">
                  <c:v>8.6756706824563014E-4</c:v>
                </c:pt>
                <c:pt idx="45">
                  <c:v>8.6756706824563014E-4</c:v>
                </c:pt>
                <c:pt idx="46">
                  <c:v>8.6756706824563014E-4</c:v>
                </c:pt>
                <c:pt idx="47">
                  <c:v>8.6756706824563014E-4</c:v>
                </c:pt>
                <c:pt idx="48">
                  <c:v>8.6756706824563014E-4</c:v>
                </c:pt>
                <c:pt idx="49">
                  <c:v>8.6756706824563014E-4</c:v>
                </c:pt>
                <c:pt idx="50">
                  <c:v>8.6756706824563014E-4</c:v>
                </c:pt>
                <c:pt idx="51">
                  <c:v>8.6756706824563014E-4</c:v>
                </c:pt>
                <c:pt idx="52">
                  <c:v>8.6756706824563014E-4</c:v>
                </c:pt>
                <c:pt idx="53">
                  <c:v>8.6756706824563014E-4</c:v>
                </c:pt>
                <c:pt idx="54">
                  <c:v>8.6756706824563014E-4</c:v>
                </c:pt>
                <c:pt idx="55">
                  <c:v>8.6756706824563014E-4</c:v>
                </c:pt>
                <c:pt idx="56">
                  <c:v>8.6756706824563014E-4</c:v>
                </c:pt>
                <c:pt idx="57">
                  <c:v>8.6756706824563014E-4</c:v>
                </c:pt>
                <c:pt idx="58">
                  <c:v>8.6756706824563014E-4</c:v>
                </c:pt>
                <c:pt idx="59">
                  <c:v>8.6756706824563014E-4</c:v>
                </c:pt>
                <c:pt idx="60">
                  <c:v>8.6756706824563014E-4</c:v>
                </c:pt>
                <c:pt idx="61">
                  <c:v>8.6756706824563014E-4</c:v>
                </c:pt>
                <c:pt idx="62">
                  <c:v>8.6756706824563014E-4</c:v>
                </c:pt>
                <c:pt idx="63">
                  <c:v>8.6756706824563014E-4</c:v>
                </c:pt>
                <c:pt idx="64">
                  <c:v>8.6756706824563014E-4</c:v>
                </c:pt>
                <c:pt idx="65">
                  <c:v>8.6756706824563014E-4</c:v>
                </c:pt>
                <c:pt idx="66">
                  <c:v>8.6756706824563014E-4</c:v>
                </c:pt>
                <c:pt idx="67">
                  <c:v>8.6756706824563014E-4</c:v>
                </c:pt>
                <c:pt idx="68">
                  <c:v>8.6756706824563014E-4</c:v>
                </c:pt>
                <c:pt idx="69">
                  <c:v>8.6756706824563014E-4</c:v>
                </c:pt>
                <c:pt idx="70">
                  <c:v>8.6756706824563014E-4</c:v>
                </c:pt>
                <c:pt idx="71">
                  <c:v>8.6756706824563014E-4</c:v>
                </c:pt>
                <c:pt idx="72">
                  <c:v>8.6756706824563014E-4</c:v>
                </c:pt>
                <c:pt idx="73">
                  <c:v>8.6756706824563014E-4</c:v>
                </c:pt>
                <c:pt idx="74">
                  <c:v>8.6756706824563014E-4</c:v>
                </c:pt>
                <c:pt idx="75">
                  <c:v>8.6756706824563014E-4</c:v>
                </c:pt>
                <c:pt idx="76">
                  <c:v>8.6756706824563014E-4</c:v>
                </c:pt>
                <c:pt idx="77">
                  <c:v>8.6756706824563014E-4</c:v>
                </c:pt>
                <c:pt idx="78">
                  <c:v>8.6756706824563014E-4</c:v>
                </c:pt>
                <c:pt idx="79">
                  <c:v>8.6756706824563014E-4</c:v>
                </c:pt>
                <c:pt idx="80">
                  <c:v>8.6756706824563014E-4</c:v>
                </c:pt>
                <c:pt idx="81">
                  <c:v>8.6756706824563014E-4</c:v>
                </c:pt>
                <c:pt idx="82">
                  <c:v>8.6756706824563014E-4</c:v>
                </c:pt>
                <c:pt idx="83">
                  <c:v>8.6756706824563014E-4</c:v>
                </c:pt>
                <c:pt idx="84">
                  <c:v>8.6756706824563014E-4</c:v>
                </c:pt>
                <c:pt idx="85">
                  <c:v>8.6756706824563014E-4</c:v>
                </c:pt>
                <c:pt idx="86">
                  <c:v>8.6756706824563014E-4</c:v>
                </c:pt>
                <c:pt idx="87">
                  <c:v>8.6756706824563014E-4</c:v>
                </c:pt>
                <c:pt idx="88">
                  <c:v>8.6756706824563014E-4</c:v>
                </c:pt>
                <c:pt idx="89">
                  <c:v>8.6756706824563014E-4</c:v>
                </c:pt>
                <c:pt idx="90">
                  <c:v>8.6756706824563014E-4</c:v>
                </c:pt>
                <c:pt idx="91">
                  <c:v>8.6756706824563014E-4</c:v>
                </c:pt>
                <c:pt idx="92">
                  <c:v>8.6756706824563014E-4</c:v>
                </c:pt>
                <c:pt idx="93">
                  <c:v>8.6756706824563014E-4</c:v>
                </c:pt>
                <c:pt idx="94">
                  <c:v>1.4430698257425307E-3</c:v>
                </c:pt>
                <c:pt idx="95">
                  <c:v>1.4430698257425307E-3</c:v>
                </c:pt>
                <c:pt idx="96">
                  <c:v>1.4430698257425307E-3</c:v>
                </c:pt>
                <c:pt idx="97">
                  <c:v>2.8351866857313284E-3</c:v>
                </c:pt>
                <c:pt idx="98">
                  <c:v>2.8351866857313284E-3</c:v>
                </c:pt>
                <c:pt idx="99">
                  <c:v>2.8351866857313284E-3</c:v>
                </c:pt>
                <c:pt idx="100">
                  <c:v>2.8351866857313284E-3</c:v>
                </c:pt>
                <c:pt idx="101">
                  <c:v>2.8351866857313284E-3</c:v>
                </c:pt>
                <c:pt idx="102">
                  <c:v>2.8351866857313284E-3</c:v>
                </c:pt>
                <c:pt idx="103">
                  <c:v>2.8351866857313284E-3</c:v>
                </c:pt>
                <c:pt idx="104">
                  <c:v>2.8351866857313284E-3</c:v>
                </c:pt>
                <c:pt idx="105">
                  <c:v>2.8351866857313284E-3</c:v>
                </c:pt>
                <c:pt idx="106">
                  <c:v>2.8351866857313284E-3</c:v>
                </c:pt>
                <c:pt idx="107">
                  <c:v>2.8351866857313284E-3</c:v>
                </c:pt>
                <c:pt idx="108">
                  <c:v>2.8351866857313284E-3</c:v>
                </c:pt>
                <c:pt idx="109">
                  <c:v>2.8351866857313284E-3</c:v>
                </c:pt>
                <c:pt idx="110">
                  <c:v>2.8351866857313284E-3</c:v>
                </c:pt>
                <c:pt idx="111">
                  <c:v>2.8351866857313284E-3</c:v>
                </c:pt>
                <c:pt idx="112">
                  <c:v>2.8351866857313284E-3</c:v>
                </c:pt>
                <c:pt idx="113">
                  <c:v>2.8351866857313284E-3</c:v>
                </c:pt>
                <c:pt idx="114">
                  <c:v>2.8351866857313284E-3</c:v>
                </c:pt>
                <c:pt idx="115">
                  <c:v>2.8351866857313284E-3</c:v>
                </c:pt>
                <c:pt idx="116">
                  <c:v>2.8351866857313284E-3</c:v>
                </c:pt>
                <c:pt idx="117">
                  <c:v>2.8351866857313284E-3</c:v>
                </c:pt>
                <c:pt idx="118">
                  <c:v>2.8351866857313284E-3</c:v>
                </c:pt>
                <c:pt idx="119">
                  <c:v>2.8351866857313284E-3</c:v>
                </c:pt>
                <c:pt idx="120">
                  <c:v>2.8351866857313284E-3</c:v>
                </c:pt>
                <c:pt idx="121">
                  <c:v>2.8351866857313284E-3</c:v>
                </c:pt>
                <c:pt idx="122">
                  <c:v>4.1358886527854983E-3</c:v>
                </c:pt>
                <c:pt idx="123">
                  <c:v>4.1358886527854983E-3</c:v>
                </c:pt>
                <c:pt idx="124">
                  <c:v>4.1358886527854983E-3</c:v>
                </c:pt>
                <c:pt idx="125">
                  <c:v>4.1358886527854983E-3</c:v>
                </c:pt>
                <c:pt idx="126">
                  <c:v>4.1358886527854983E-3</c:v>
                </c:pt>
                <c:pt idx="127">
                  <c:v>4.1358886527854983E-3</c:v>
                </c:pt>
                <c:pt idx="128">
                  <c:v>4.1358886527854983E-3</c:v>
                </c:pt>
                <c:pt idx="129">
                  <c:v>4.1358886527854983E-3</c:v>
                </c:pt>
                <c:pt idx="130">
                  <c:v>4.1358886527854983E-3</c:v>
                </c:pt>
                <c:pt idx="131">
                  <c:v>3.9013286462425585E-3</c:v>
                </c:pt>
                <c:pt idx="132">
                  <c:v>5.1669394496982983E-3</c:v>
                </c:pt>
                <c:pt idx="133">
                  <c:v>5.1669394496982983E-3</c:v>
                </c:pt>
                <c:pt idx="134">
                  <c:v>5.1669394496982983E-3</c:v>
                </c:pt>
                <c:pt idx="135">
                  <c:v>5.1669394496982983E-3</c:v>
                </c:pt>
                <c:pt idx="136">
                  <c:v>5.1669394496982983E-3</c:v>
                </c:pt>
                <c:pt idx="137">
                  <c:v>5.1669394496982983E-3</c:v>
                </c:pt>
                <c:pt idx="138">
                  <c:v>5.1669394496982983E-3</c:v>
                </c:pt>
                <c:pt idx="139">
                  <c:v>5.1669394496982983E-3</c:v>
                </c:pt>
                <c:pt idx="140">
                  <c:v>5.8720494242579975E-3</c:v>
                </c:pt>
                <c:pt idx="141">
                  <c:v>5.6273241631585175E-3</c:v>
                </c:pt>
                <c:pt idx="142">
                  <c:v>6.7007746748856071E-3</c:v>
                </c:pt>
                <c:pt idx="143">
                  <c:v>6.7007746748856071E-3</c:v>
                </c:pt>
                <c:pt idx="144">
                  <c:v>6.7007746748856071E-3</c:v>
                </c:pt>
                <c:pt idx="145">
                  <c:v>6.7007746748856071E-3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CW167"/>
  <sheetViews>
    <sheetView tabSelected="1" topLeftCell="BH1" workbookViewId="0">
      <selection activeCell="BK16" sqref="BK1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101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4.5548585798530026E-3</v>
      </c>
      <c r="BS1" s="6"/>
      <c r="BT1" s="6"/>
      <c r="BU1" s="6"/>
      <c r="BV1" s="7">
        <f>BV167</f>
        <v>6.7007746748856071E-3</v>
      </c>
      <c r="BY1" s="7">
        <f>BY167</f>
        <v>1.125563325473861E-2</v>
      </c>
    </row>
    <row r="2" spans="1:101" x14ac:dyDescent="0.3">
      <c r="A2" s="1">
        <v>46024</v>
      </c>
      <c r="B2" s="8">
        <v>49.14</v>
      </c>
      <c r="C2" s="8">
        <v>210.9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49.14</v>
      </c>
      <c r="M2" s="8">
        <v>210.9</v>
      </c>
      <c r="N2" s="10">
        <v>4.2918192918192899</v>
      </c>
      <c r="O2" s="10">
        <v>4.2929927753205499</v>
      </c>
      <c r="X2" s="10">
        <v>4.2918192918192899</v>
      </c>
      <c r="Y2" s="10">
        <v>4.2916660005161003</v>
      </c>
    </row>
    <row r="3" spans="1:101" x14ac:dyDescent="0.3">
      <c r="A3" s="1">
        <v>46027</v>
      </c>
      <c r="B3" s="8">
        <v>48.98</v>
      </c>
      <c r="C3" s="8">
        <v>210.27</v>
      </c>
      <c r="D3" s="9">
        <v>-3.2613155690113999E-3</v>
      </c>
      <c r="E3" s="9">
        <v>-2.9916683043857699E-3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48.98</v>
      </c>
      <c r="M3" s="8">
        <v>210.27</v>
      </c>
      <c r="N3" s="10">
        <v>4.2929767251939497</v>
      </c>
      <c r="O3" s="10">
        <v>4.2929927753205499</v>
      </c>
      <c r="R3" s="8">
        <v>210.27078613520001</v>
      </c>
      <c r="U3" s="9">
        <v>3.7386870738833701E-6</v>
      </c>
      <c r="X3" s="10">
        <v>4.2929767251939497</v>
      </c>
      <c r="Y3" s="10">
        <v>4.2916660005161003</v>
      </c>
      <c r="AB3" s="8">
        <v>210.20580070527899</v>
      </c>
      <c r="AE3" s="9">
        <v>-3.0536499419075899E-4</v>
      </c>
      <c r="CL3" s="17">
        <f>BJ11</f>
        <v>2.9087086229025214</v>
      </c>
      <c r="CM3" s="18">
        <v>0</v>
      </c>
      <c r="CN3" s="18">
        <f>CM3-0.0002</f>
        <v>-2.0000000000000001E-4</v>
      </c>
      <c r="CO3" s="18">
        <f t="shared" ref="CO3:CU3" si="0">CN3-0.0002</f>
        <v>-4.0000000000000002E-4</v>
      </c>
      <c r="CP3" s="18">
        <f t="shared" si="0"/>
        <v>-6.0000000000000006E-4</v>
      </c>
      <c r="CQ3" s="18">
        <f t="shared" si="0"/>
        <v>-8.0000000000000004E-4</v>
      </c>
      <c r="CR3" s="18">
        <f t="shared" si="0"/>
        <v>-1E-3</v>
      </c>
      <c r="CS3" s="18">
        <f t="shared" si="0"/>
        <v>-1.2000000000000001E-3</v>
      </c>
      <c r="CT3" s="18">
        <f t="shared" si="0"/>
        <v>-1.4000000000000002E-3</v>
      </c>
      <c r="CU3" t="s">
        <v>42</v>
      </c>
    </row>
    <row r="4" spans="1:101" x14ac:dyDescent="0.3">
      <c r="A4" s="1">
        <v>46028</v>
      </c>
      <c r="B4" s="8">
        <v>49.13</v>
      </c>
      <c r="C4" s="8">
        <v>210.77</v>
      </c>
      <c r="D4" s="9">
        <v>3.05779465653531E-3</v>
      </c>
      <c r="E4" s="9">
        <v>2.3750723686127499E-3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49.13</v>
      </c>
      <c r="M4" s="8">
        <v>210.77</v>
      </c>
      <c r="N4" s="10">
        <v>4.2900468145735804</v>
      </c>
      <c r="O4" s="10">
        <v>4.2929927753205499</v>
      </c>
      <c r="R4" s="8">
        <v>210.91473505149801</v>
      </c>
      <c r="U4" s="9">
        <v>6.86460974996681E-4</v>
      </c>
      <c r="X4" s="10">
        <v>4.2900468145735804</v>
      </c>
      <c r="Y4" s="10">
        <v>4.2916660005161003</v>
      </c>
      <c r="AB4" s="8">
        <v>210.849550605356</v>
      </c>
      <c r="AE4" s="9">
        <v>3.7735729373194901E-4</v>
      </c>
      <c r="CL4" s="18">
        <v>0</v>
      </c>
      <c r="CM4" s="19">
        <f t="dataTable" ref="CM4:CT11" dt2D="1" dtr="1" r1="BA20" r2="BA21"/>
        <v>5.800426377590437</v>
      </c>
      <c r="CN4" s="19">
        <v>5.2122555266476693</v>
      </c>
      <c r="CO4" s="19">
        <v>4.8090475817689562</v>
      </c>
      <c r="CP4" s="19">
        <v>3.985339541572019</v>
      </c>
      <c r="CQ4" s="19">
        <v>2.9087086229025214</v>
      </c>
      <c r="CR4" s="19">
        <v>1.3137836188886944</v>
      </c>
      <c r="CS4" s="19" t="e">
        <v>#DIV/0!</v>
      </c>
      <c r="CT4" s="19" t="e">
        <v>#DIV/0!</v>
      </c>
      <c r="CV4" t="s">
        <v>43</v>
      </c>
      <c r="CW4" t="s">
        <v>44</v>
      </c>
    </row>
    <row r="5" spans="1:101" x14ac:dyDescent="0.3">
      <c r="A5" s="1">
        <v>46029</v>
      </c>
      <c r="B5" s="8">
        <v>48.64</v>
      </c>
      <c r="C5" s="8">
        <v>208.73</v>
      </c>
      <c r="D5" s="9">
        <v>-1.00236085226453E-2</v>
      </c>
      <c r="E5" s="9">
        <v>-9.7259407911408705E-3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48.64</v>
      </c>
      <c r="M5" s="8">
        <v>208.73</v>
      </c>
      <c r="N5" s="10">
        <v>4.2913240131578902</v>
      </c>
      <c r="O5" s="10">
        <v>4.2929927753205499</v>
      </c>
      <c r="R5" s="8">
        <v>208.81116859159101</v>
      </c>
      <c r="U5" s="9">
        <v>3.8879324349201801E-4</v>
      </c>
      <c r="X5" s="10">
        <v>4.2913240131578902</v>
      </c>
      <c r="Y5" s="10">
        <v>4.2916660005161003</v>
      </c>
      <c r="AB5" s="8">
        <v>208.74663426510301</v>
      </c>
      <c r="AE5" s="9">
        <v>7.9689562227329595E-5</v>
      </c>
      <c r="CL5" s="18">
        <f>CL4-0.0002</f>
        <v>-2.0000000000000001E-4</v>
      </c>
      <c r="CM5" s="19">
        <v>5.800426377590437</v>
      </c>
      <c r="CN5" s="19">
        <v>5.3012998455286553</v>
      </c>
      <c r="CO5" s="19">
        <v>4.8027690174569351</v>
      </c>
      <c r="CP5" s="19">
        <v>3.7212151464036927</v>
      </c>
      <c r="CQ5" s="19">
        <v>2.5621585542114831</v>
      </c>
      <c r="CR5" s="19">
        <v>1.3137836188886944</v>
      </c>
      <c r="CS5" s="19" t="e">
        <v>#DIV/0!</v>
      </c>
      <c r="CT5" s="19" t="e">
        <v>#DIV/0!</v>
      </c>
      <c r="CV5" t="s">
        <v>45</v>
      </c>
      <c r="CW5" t="s">
        <v>46</v>
      </c>
    </row>
    <row r="6" spans="1:101" ht="15" thickBot="1" x14ac:dyDescent="0.35">
      <c r="A6" s="1">
        <v>46030</v>
      </c>
      <c r="B6" s="8">
        <v>49.74</v>
      </c>
      <c r="C6" s="8">
        <v>213.42</v>
      </c>
      <c r="D6" s="9">
        <v>2.2363200717347001E-2</v>
      </c>
      <c r="E6" s="9">
        <v>2.2220504430603801E-2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49.74</v>
      </c>
      <c r="M6" s="8">
        <v>213.42</v>
      </c>
      <c r="N6" s="10">
        <v>4.2907117008443896</v>
      </c>
      <c r="O6" s="10">
        <v>4.2929927753205499</v>
      </c>
      <c r="R6" s="8">
        <v>213.53346064444401</v>
      </c>
      <c r="U6" s="9">
        <v>5.3148953023530901E-4</v>
      </c>
      <c r="X6" s="10">
        <v>4.2907117008443896</v>
      </c>
      <c r="Y6" s="10">
        <v>4.2916660005161003</v>
      </c>
      <c r="AB6" s="8">
        <v>213.46746686567101</v>
      </c>
      <c r="AE6" s="9">
        <v>2.2238584897062299E-4</v>
      </c>
      <c r="CL6" s="18">
        <f t="shared" ref="CL6:CL11" si="1">CL5-0.0002</f>
        <v>-4.0000000000000002E-4</v>
      </c>
      <c r="CM6" s="19">
        <v>5.800426377590437</v>
      </c>
      <c r="CN6" s="20">
        <v>5.3012998455286553</v>
      </c>
      <c r="CO6" s="20">
        <v>4.4598539564569748</v>
      </c>
      <c r="CP6" s="20">
        <v>3.5544359003108092</v>
      </c>
      <c r="CQ6" s="20">
        <v>2.5621585542114831</v>
      </c>
      <c r="CR6" s="20">
        <v>1.3137836188886944</v>
      </c>
      <c r="CS6" s="20" t="e">
        <v>#DIV/0!</v>
      </c>
      <c r="CT6" s="20" t="e">
        <v>#DIV/0!</v>
      </c>
    </row>
    <row r="7" spans="1:101" ht="15" thickBot="1" x14ac:dyDescent="0.35">
      <c r="A7" s="1">
        <v>46031</v>
      </c>
      <c r="B7" s="8">
        <v>50.25</v>
      </c>
      <c r="C7" s="8">
        <v>215.68</v>
      </c>
      <c r="D7" s="9">
        <v>1.0201108563926401E-2</v>
      </c>
      <c r="E7" s="9">
        <v>1.0533772535523501E-2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50.25</v>
      </c>
      <c r="M7" s="8">
        <v>215.68</v>
      </c>
      <c r="N7" s="10">
        <v>4.2921393034825801</v>
      </c>
      <c r="O7" s="10">
        <v>4.2929927753205499</v>
      </c>
      <c r="R7" s="8">
        <v>215.72288695985699</v>
      </c>
      <c r="U7" s="9">
        <v>1.9882555863833201E-4</v>
      </c>
      <c r="X7" s="10">
        <v>4.2921393034825801</v>
      </c>
      <c r="Y7" s="10">
        <v>4.2916660005161003</v>
      </c>
      <c r="AB7" s="8">
        <v>215.65621652593401</v>
      </c>
      <c r="AE7" s="9">
        <v>-1.10278122626347E-4</v>
      </c>
      <c r="CL7" s="18">
        <f t="shared" si="1"/>
        <v>-6.0000000000000006E-4</v>
      </c>
      <c r="CM7" s="19">
        <v>5.800426377590437</v>
      </c>
      <c r="CN7" s="20">
        <v>5.3012998455286553</v>
      </c>
      <c r="CO7" s="20">
        <v>4.4598539564569748</v>
      </c>
      <c r="CP7" s="20">
        <v>3.5476096819966925</v>
      </c>
      <c r="CQ7" s="21">
        <v>2.5621585542114831</v>
      </c>
      <c r="CR7" s="20">
        <v>1.3137836188886944</v>
      </c>
      <c r="CS7" s="20" t="e">
        <v>#DIV/0!</v>
      </c>
      <c r="CT7" s="20" t="e">
        <v>#DIV/0!</v>
      </c>
    </row>
    <row r="8" spans="1:101" x14ac:dyDescent="0.3">
      <c r="A8" s="1">
        <v>46034</v>
      </c>
      <c r="B8" s="8">
        <v>50.88</v>
      </c>
      <c r="C8" s="8">
        <v>218.47</v>
      </c>
      <c r="D8" s="9">
        <v>1.24593720926816E-2</v>
      </c>
      <c r="E8" s="9">
        <v>1.2852877614059E-2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50.88</v>
      </c>
      <c r="M8" s="8">
        <v>218.47</v>
      </c>
      <c r="N8" s="10">
        <v>4.2938286163521999</v>
      </c>
      <c r="O8" s="10">
        <v>4.2929927753205499</v>
      </c>
      <c r="R8" s="8">
        <v>218.427472408309</v>
      </c>
      <c r="U8" s="9">
        <v>-1.9467996273908299E-4</v>
      </c>
      <c r="X8" s="10">
        <v>4.2938286163521999</v>
      </c>
      <c r="Y8" s="10">
        <v>4.2916660005161003</v>
      </c>
      <c r="AB8" s="8">
        <v>218.35996610625901</v>
      </c>
      <c r="AE8" s="9">
        <v>-5.0378364400391795E-4</v>
      </c>
      <c r="CL8" s="18">
        <f t="shared" si="1"/>
        <v>-8.0000000000000004E-4</v>
      </c>
      <c r="CM8" s="19">
        <v>5.800426377590437</v>
      </c>
      <c r="CN8" s="20">
        <v>5.3012998455286553</v>
      </c>
      <c r="CO8" s="20">
        <v>4.4598539564569748</v>
      </c>
      <c r="CP8" s="20">
        <v>3.5476096819966925</v>
      </c>
      <c r="CQ8" s="20">
        <v>2.5621585542114831</v>
      </c>
      <c r="CR8" s="20">
        <v>1.3137836188886944</v>
      </c>
      <c r="CS8" s="20" t="e">
        <v>#DIV/0!</v>
      </c>
      <c r="CT8" s="20" t="e">
        <v>#DIV/0!</v>
      </c>
    </row>
    <row r="9" spans="1:101" x14ac:dyDescent="0.3">
      <c r="A9" s="1">
        <v>46035</v>
      </c>
      <c r="B9" s="8">
        <v>51.39</v>
      </c>
      <c r="C9" s="8">
        <v>220.62</v>
      </c>
      <c r="D9" s="9">
        <v>9.97368197227139E-3</v>
      </c>
      <c r="E9" s="9">
        <v>9.7930592032342001E-3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51.39</v>
      </c>
      <c r="M9" s="8">
        <v>220.62</v>
      </c>
      <c r="N9" s="10">
        <v>4.2930531231757101</v>
      </c>
      <c r="O9" s="10">
        <v>4.2929927753205499</v>
      </c>
      <c r="R9" s="8">
        <v>220.61689872372301</v>
      </c>
      <c r="U9" s="9">
        <v>-1.4057193701983901E-5</v>
      </c>
      <c r="X9" s="10">
        <v>4.2930531231757101</v>
      </c>
      <c r="Y9" s="10">
        <v>4.2916660005161003</v>
      </c>
      <c r="AB9" s="8">
        <v>220.54871576652201</v>
      </c>
      <c r="AE9" s="9">
        <v>-3.2316087496668002E-4</v>
      </c>
      <c r="BJ9" s="12">
        <f>AVERAGE(BI22:BI200)</f>
        <v>3.1197661505842487E-5</v>
      </c>
      <c r="BV9" s="12">
        <f>AVERAGE(BU22:BU200)</f>
        <v>4.589571695127128E-5</v>
      </c>
      <c r="BY9" s="12">
        <f>AVERAGE(BX22:BX200)</f>
        <v>7.7093378457113767E-5</v>
      </c>
      <c r="CL9" s="18">
        <f t="shared" si="1"/>
        <v>-1E-3</v>
      </c>
      <c r="CM9" s="19">
        <v>5.800426377590437</v>
      </c>
      <c r="CN9" s="20">
        <v>5.3012998455286553</v>
      </c>
      <c r="CO9" s="20">
        <v>4.4598539564569748</v>
      </c>
      <c r="CP9" s="20">
        <v>3.5476096819966925</v>
      </c>
      <c r="CQ9" s="20">
        <v>2.5621585542114831</v>
      </c>
      <c r="CR9" s="20">
        <v>1.3137836188886944</v>
      </c>
      <c r="CS9" s="20" t="e">
        <v>#DIV/0!</v>
      </c>
      <c r="CT9" s="20" t="e">
        <v>#DIV/0!</v>
      </c>
    </row>
    <row r="10" spans="1:101" x14ac:dyDescent="0.3">
      <c r="A10" s="1">
        <v>46036</v>
      </c>
      <c r="B10" s="8">
        <v>52.01</v>
      </c>
      <c r="C10" s="8">
        <v>223.33</v>
      </c>
      <c r="D10" s="9">
        <v>1.1992406780842801E-2</v>
      </c>
      <c r="E10" s="9">
        <v>1.22087336911476E-2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52.01</v>
      </c>
      <c r="M10" s="8">
        <v>223.33</v>
      </c>
      <c r="N10" s="10">
        <v>4.29398192655258</v>
      </c>
      <c r="O10" s="10">
        <v>4.2929927753205499</v>
      </c>
      <c r="R10" s="8">
        <v>223.278554244421</v>
      </c>
      <c r="U10" s="9">
        <v>-2.3038410400681199E-4</v>
      </c>
      <c r="X10" s="10">
        <v>4.29398192655258</v>
      </c>
      <c r="Y10" s="10">
        <v>4.2916660005161003</v>
      </c>
      <c r="AB10" s="8">
        <v>223.209548686842</v>
      </c>
      <c r="AE10" s="9">
        <v>-5.3948778527156799E-4</v>
      </c>
      <c r="AZ10" s="13"/>
      <c r="BJ10" s="12">
        <f>STDEV(BI22:BI200)</f>
        <v>1.7026371053048219E-4</v>
      </c>
      <c r="BL10" s="13"/>
      <c r="BV10" s="12">
        <f>STDEV(BU22:BU200)</f>
        <v>2.3152135190407255E-4</v>
      </c>
      <c r="BY10" s="12">
        <f>STDEV(BX22:BX200)</f>
        <v>2.8232683174477414E-4</v>
      </c>
      <c r="CL10" s="18">
        <f t="shared" si="1"/>
        <v>-1.2000000000000001E-3</v>
      </c>
      <c r="CM10" s="19">
        <v>5.800426377590437</v>
      </c>
      <c r="CN10" s="20">
        <v>5.3012998455286553</v>
      </c>
      <c r="CO10" s="20">
        <v>4.4598539564569748</v>
      </c>
      <c r="CP10" s="20">
        <v>3.5476096819966925</v>
      </c>
      <c r="CQ10" s="20">
        <v>2.5621585542114831</v>
      </c>
      <c r="CR10" s="20">
        <v>1.3137836188886944</v>
      </c>
      <c r="CS10" s="20" t="e">
        <v>#DIV/0!</v>
      </c>
      <c r="CT10" s="20" t="e">
        <v>#DIV/0!</v>
      </c>
    </row>
    <row r="11" spans="1:101" x14ac:dyDescent="0.3">
      <c r="A11" s="1">
        <v>46037</v>
      </c>
      <c r="B11" s="8">
        <v>52.09</v>
      </c>
      <c r="C11" s="8">
        <v>223.56</v>
      </c>
      <c r="D11" s="9">
        <v>1.5369839721191901E-3</v>
      </c>
      <c r="E11" s="9">
        <v>1.0293361691140501E-3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52.09</v>
      </c>
      <c r="M11" s="8">
        <v>223.56</v>
      </c>
      <c r="N11" s="10">
        <v>4.2918026492608901</v>
      </c>
      <c r="O11" s="10">
        <v>4.2929927753205499</v>
      </c>
      <c r="P11" s="10">
        <v>4.2921684164413101</v>
      </c>
      <c r="R11" s="8">
        <v>223.621993666447</v>
      </c>
      <c r="U11" s="9">
        <v>2.77263698998467E-4</v>
      </c>
      <c r="X11" s="10">
        <v>4.2918026492608901</v>
      </c>
      <c r="Y11" s="10">
        <v>4.2916660005161003</v>
      </c>
      <c r="Z11" s="10">
        <v>4.2921684164413101</v>
      </c>
      <c r="AB11" s="8">
        <v>223.552881966884</v>
      </c>
      <c r="AE11" s="9">
        <v>-3.18399822664026E-5</v>
      </c>
      <c r="BJ11">
        <f>SQRT(252)*BJ9/BJ10</f>
        <v>2.9087086229025214</v>
      </c>
      <c r="BV11">
        <f>SQRT(252)*BV9/BV10</f>
        <v>3.1468886726193834</v>
      </c>
      <c r="BY11">
        <f>SQRT(252)*BY9/BY10</f>
        <v>4.3347613657570729</v>
      </c>
      <c r="CL11" s="18">
        <f t="shared" si="1"/>
        <v>-1.4000000000000002E-3</v>
      </c>
      <c r="CM11" s="19">
        <v>5.800426377590437</v>
      </c>
      <c r="CN11" s="20">
        <v>5.3012998455286553</v>
      </c>
      <c r="CO11" s="20">
        <v>4.4598539564569748</v>
      </c>
      <c r="CP11" s="20">
        <v>3.5476096819966925</v>
      </c>
      <c r="CQ11" s="20">
        <v>2.5621585542114831</v>
      </c>
      <c r="CR11" s="20">
        <v>1.3137836188886944</v>
      </c>
      <c r="CS11" s="20" t="e">
        <v>#DIV/0!</v>
      </c>
      <c r="CT11" s="20" t="e">
        <v>#DIV/0!</v>
      </c>
    </row>
    <row r="12" spans="1:101" x14ac:dyDescent="0.3">
      <c r="A12" s="1">
        <v>46038</v>
      </c>
      <c r="B12" s="8">
        <v>52.03</v>
      </c>
      <c r="C12" s="8">
        <v>223.36</v>
      </c>
      <c r="D12" s="9">
        <v>-1.1525164548880501E-3</v>
      </c>
      <c r="E12" s="9">
        <v>-8.95014827489713E-4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52.03</v>
      </c>
      <c r="M12" s="8">
        <v>223.36</v>
      </c>
      <c r="N12" s="10">
        <v>4.2929079377282298</v>
      </c>
      <c r="O12" s="10">
        <v>4.2929927753205499</v>
      </c>
      <c r="P12" s="10">
        <v>4.2922772810321996</v>
      </c>
      <c r="R12" s="8">
        <v>223.36441409992801</v>
      </c>
      <c r="S12" s="8">
        <v>223.32152270744101</v>
      </c>
      <c r="U12" s="9">
        <v>1.9762071599925199E-5</v>
      </c>
      <c r="V12" s="9">
        <v>-1.72280654998155E-4</v>
      </c>
      <c r="X12" s="10">
        <v>4.2929079377282298</v>
      </c>
      <c r="Y12" s="10">
        <v>4.2916660005161003</v>
      </c>
      <c r="Z12" s="10">
        <v>4.2922772810321996</v>
      </c>
      <c r="AB12" s="8">
        <v>223.295382006853</v>
      </c>
      <c r="AC12" s="8">
        <v>223.32152270744101</v>
      </c>
      <c r="AE12" s="9">
        <v>-2.8934160966478202E-4</v>
      </c>
      <c r="AF12" s="9">
        <v>-1.72280654998155E-4</v>
      </c>
      <c r="CL12" t="s">
        <v>47</v>
      </c>
    </row>
    <row r="13" spans="1:101" x14ac:dyDescent="0.3">
      <c r="A13" s="1">
        <v>46042</v>
      </c>
      <c r="B13" s="8">
        <v>52.15</v>
      </c>
      <c r="C13" s="8">
        <v>223.74</v>
      </c>
      <c r="D13" s="9">
        <v>2.3037061445692298E-3</v>
      </c>
      <c r="E13" s="9">
        <v>1.69984384477683E-3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52.15</v>
      </c>
      <c r="M13" s="8">
        <v>223.74</v>
      </c>
      <c r="N13" s="10">
        <v>4.2903163950143801</v>
      </c>
      <c r="O13" s="10">
        <v>4.2929927753205499</v>
      </c>
      <c r="P13" s="10">
        <v>4.2920112480142398</v>
      </c>
      <c r="R13" s="8">
        <v>223.87957323296601</v>
      </c>
      <c r="S13" s="8">
        <v>223.84226020582901</v>
      </c>
      <c r="U13" s="9">
        <v>6.2362437139238595E-4</v>
      </c>
      <c r="V13" s="9">
        <v>4.5694486444432502E-4</v>
      </c>
      <c r="X13" s="10">
        <v>4.2903163950143801</v>
      </c>
      <c r="Y13" s="10">
        <v>4.2916660005161003</v>
      </c>
      <c r="Z13" s="10">
        <v>4.2920112480142398</v>
      </c>
      <c r="AB13" s="8">
        <v>223.810381926915</v>
      </c>
      <c r="AC13" s="8">
        <v>223.84226020582901</v>
      </c>
      <c r="AE13" s="9">
        <v>3.1452069012756701E-4</v>
      </c>
      <c r="AF13" s="9">
        <v>4.5694486444432502E-4</v>
      </c>
    </row>
    <row r="14" spans="1:101" x14ac:dyDescent="0.3">
      <c r="A14" s="1">
        <v>46043</v>
      </c>
      <c r="B14" s="8">
        <v>52.32</v>
      </c>
      <c r="C14" s="8">
        <v>224.58</v>
      </c>
      <c r="D14" s="9">
        <v>3.2545257021618099E-3</v>
      </c>
      <c r="E14" s="9">
        <v>3.7473277256080901E-3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52.32</v>
      </c>
      <c r="M14" s="8">
        <v>224.58</v>
      </c>
      <c r="N14" s="10">
        <v>4.2924311926605503</v>
      </c>
      <c r="O14" s="10">
        <v>4.2929927753205499</v>
      </c>
      <c r="P14" s="10">
        <v>4.2922496858229398</v>
      </c>
      <c r="R14" s="8">
        <v>224.60938200477099</v>
      </c>
      <c r="S14" s="8">
        <v>224.55802849610501</v>
      </c>
      <c r="U14" s="9">
        <v>1.3082234794622899E-4</v>
      </c>
      <c r="V14" s="9">
        <v>-9.7838537456978005E-5</v>
      </c>
      <c r="X14" s="10">
        <v>4.2924311926605503</v>
      </c>
      <c r="Y14" s="10">
        <v>4.2916660005161003</v>
      </c>
      <c r="Z14" s="10">
        <v>4.2922496858229398</v>
      </c>
      <c r="AB14" s="8">
        <v>224.53996514700199</v>
      </c>
      <c r="AC14" s="8">
        <v>224.55802849610501</v>
      </c>
      <c r="AE14" s="9">
        <v>-1.7828133331868799E-4</v>
      </c>
      <c r="AF14" s="9">
        <v>-9.7838537456978005E-5</v>
      </c>
      <c r="CL14" s="17">
        <f>BV11</f>
        <v>3.1468886726193834</v>
      </c>
      <c r="CM14" s="18">
        <v>0</v>
      </c>
      <c r="CN14" s="22">
        <f>CM14+0.0002</f>
        <v>2.0000000000000001E-4</v>
      </c>
      <c r="CO14" s="22">
        <f t="shared" ref="CO14:CT14" si="2">CN14+0.0002</f>
        <v>4.0000000000000002E-4</v>
      </c>
      <c r="CP14" s="22">
        <f t="shared" si="2"/>
        <v>6.0000000000000006E-4</v>
      </c>
      <c r="CQ14" s="22">
        <f t="shared" si="2"/>
        <v>8.0000000000000004E-4</v>
      </c>
      <c r="CR14" s="22">
        <f t="shared" si="2"/>
        <v>1E-3</v>
      </c>
      <c r="CS14" s="22">
        <f t="shared" si="2"/>
        <v>1.2000000000000001E-3</v>
      </c>
      <c r="CT14" s="22">
        <f t="shared" si="2"/>
        <v>1.4000000000000002E-3</v>
      </c>
      <c r="CU14" t="s">
        <v>42</v>
      </c>
    </row>
    <row r="15" spans="1:101" x14ac:dyDescent="0.3">
      <c r="A15" s="1">
        <v>46044</v>
      </c>
      <c r="B15" s="8">
        <v>52.24</v>
      </c>
      <c r="C15" s="8">
        <v>224.2</v>
      </c>
      <c r="D15" s="9">
        <v>-1.5302221807675901E-3</v>
      </c>
      <c r="E15" s="9">
        <v>-1.6934805063331399E-3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52.24</v>
      </c>
      <c r="M15" s="8">
        <v>224.2</v>
      </c>
      <c r="N15" s="10">
        <v>4.2917304747319998</v>
      </c>
      <c r="O15" s="10">
        <v>4.2929927753205499</v>
      </c>
      <c r="P15" s="10">
        <v>4.2922903319803503</v>
      </c>
      <c r="R15" s="8">
        <v>224.265942582745</v>
      </c>
      <c r="S15" s="8">
        <v>224.22712358739</v>
      </c>
      <c r="U15" s="9">
        <v>2.9408067351160299E-4</v>
      </c>
      <c r="V15" s="9">
        <v>1.20972108942385E-4</v>
      </c>
      <c r="X15" s="10">
        <v>4.2917304747319998</v>
      </c>
      <c r="Y15" s="10">
        <v>4.2916660005161003</v>
      </c>
      <c r="Z15" s="10">
        <v>4.2922903319803503</v>
      </c>
      <c r="AB15" s="8">
        <v>224.19663186696101</v>
      </c>
      <c r="AC15" s="8">
        <v>224.22712358739</v>
      </c>
      <c r="AE15" s="9">
        <v>-1.50230077531056E-5</v>
      </c>
      <c r="AF15" s="9">
        <v>1.20972108942385E-4</v>
      </c>
      <c r="CL15" s="18">
        <v>0</v>
      </c>
      <c r="CM15" s="19">
        <f t="dataTable" ref="CM15:CT22" dt2D="1" dtr="1" r1="BM20" r2="BM21"/>
        <v>5.2205330979698132</v>
      </c>
      <c r="CN15" s="20">
        <v>4.7678956012928699</v>
      </c>
      <c r="CO15" s="20">
        <v>4.8383427233824099</v>
      </c>
      <c r="CP15" s="20">
        <v>3.9109289007229373</v>
      </c>
      <c r="CQ15" s="20">
        <v>3.1468886726193834</v>
      </c>
      <c r="CR15" s="20" t="e">
        <v>#DIV/0!</v>
      </c>
      <c r="CS15" s="20" t="e">
        <v>#DIV/0!</v>
      </c>
      <c r="CT15" s="20" t="e">
        <v>#DIV/0!</v>
      </c>
      <c r="CV15" t="s">
        <v>43</v>
      </c>
      <c r="CW15" t="s">
        <v>48</v>
      </c>
    </row>
    <row r="16" spans="1:101" x14ac:dyDescent="0.3">
      <c r="A16" s="1">
        <v>46045</v>
      </c>
      <c r="B16" s="8">
        <v>52.56</v>
      </c>
      <c r="C16" s="8">
        <v>225.56</v>
      </c>
      <c r="D16" s="9">
        <v>6.1068892081794796E-3</v>
      </c>
      <c r="E16" s="9">
        <v>6.0476883009217804E-3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52.56</v>
      </c>
      <c r="M16" s="8">
        <v>225.56</v>
      </c>
      <c r="N16" s="10">
        <v>4.29147640791476</v>
      </c>
      <c r="O16" s="10">
        <v>4.2929927753205499</v>
      </c>
      <c r="P16" s="10">
        <v>4.2923668026873898</v>
      </c>
      <c r="R16" s="8">
        <v>225.63970027084801</v>
      </c>
      <c r="S16" s="8">
        <v>225.602779848887</v>
      </c>
      <c r="U16" s="9">
        <v>3.5328158076919499E-4</v>
      </c>
      <c r="V16" s="9">
        <v>1.8964263421732201E-4</v>
      </c>
      <c r="X16" s="10">
        <v>4.29147640791476</v>
      </c>
      <c r="Y16" s="10">
        <v>4.2916660005161003</v>
      </c>
      <c r="Z16" s="10">
        <v>4.2923668026873898</v>
      </c>
      <c r="AB16" s="8">
        <v>225.56996498712601</v>
      </c>
      <c r="AC16" s="8">
        <v>225.602779848887</v>
      </c>
      <c r="AE16" s="9">
        <v>4.4177899504460202E-5</v>
      </c>
      <c r="AF16" s="9">
        <v>1.8964263421732201E-4</v>
      </c>
      <c r="CL16" s="18">
        <f>CL15+0.0002</f>
        <v>2.0000000000000001E-4</v>
      </c>
      <c r="CM16" s="19">
        <v>5.2205330979698132</v>
      </c>
      <c r="CN16" s="20">
        <v>5.2031193145463019</v>
      </c>
      <c r="CO16" s="20">
        <v>5.2326730605755944</v>
      </c>
      <c r="CP16" s="20">
        <v>3.8562075977603283</v>
      </c>
      <c r="CQ16" s="20">
        <v>2.9854897538706151</v>
      </c>
      <c r="CR16" s="20" t="e">
        <v>#DIV/0!</v>
      </c>
      <c r="CS16" s="20" t="e">
        <v>#DIV/0!</v>
      </c>
      <c r="CT16" s="20" t="e">
        <v>#DIV/0!</v>
      </c>
      <c r="CV16" t="s">
        <v>45</v>
      </c>
      <c r="CW16" t="s">
        <v>49</v>
      </c>
    </row>
    <row r="17" spans="1:98" x14ac:dyDescent="0.3">
      <c r="A17" s="1">
        <v>46048</v>
      </c>
      <c r="B17" s="8">
        <v>52.49</v>
      </c>
      <c r="C17" s="8">
        <v>225.25</v>
      </c>
      <c r="D17" s="9">
        <v>-1.3326989121467099E-3</v>
      </c>
      <c r="E17" s="9">
        <v>-1.37530245053407E-3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52.49</v>
      </c>
      <c r="M17" s="8">
        <v>225.25</v>
      </c>
      <c r="N17" s="10">
        <v>4.2912935797294702</v>
      </c>
      <c r="O17" s="10">
        <v>4.2929927753205499</v>
      </c>
      <c r="P17" s="10">
        <v>4.2922822303120798</v>
      </c>
      <c r="R17" s="8">
        <v>225.33919077657501</v>
      </c>
      <c r="S17" s="8">
        <v>225.30633347306099</v>
      </c>
      <c r="U17" s="9">
        <v>3.9588511915665899E-4</v>
      </c>
      <c r="V17" s="9">
        <v>2.5006184208075603E-4</v>
      </c>
      <c r="X17" s="10">
        <v>4.2912935797294702</v>
      </c>
      <c r="Y17" s="10">
        <v>4.2916660005161003</v>
      </c>
      <c r="Z17" s="10">
        <v>4.2922822303120798</v>
      </c>
      <c r="AB17" s="8">
        <v>225.26954836709001</v>
      </c>
      <c r="AC17" s="8">
        <v>225.30633347306099</v>
      </c>
      <c r="AE17" s="9">
        <v>8.6781437891889098E-5</v>
      </c>
      <c r="AF17" s="9">
        <v>2.5006184208075603E-4</v>
      </c>
      <c r="CL17" s="18">
        <f t="shared" ref="CL17:CL22" si="3">CL16+0.0002</f>
        <v>4.0000000000000002E-4</v>
      </c>
      <c r="CM17" s="19">
        <v>5.2205330979698132</v>
      </c>
      <c r="CN17" s="20">
        <v>5.2031193145463019</v>
      </c>
      <c r="CO17" s="20">
        <v>4.9903890960909916</v>
      </c>
      <c r="CP17" s="20">
        <v>3.7550810045457674</v>
      </c>
      <c r="CQ17" s="20">
        <v>2.9854897538706151</v>
      </c>
      <c r="CR17" s="20" t="e">
        <v>#DIV/0!</v>
      </c>
      <c r="CS17" s="20" t="e">
        <v>#DIV/0!</v>
      </c>
      <c r="CT17" s="20" t="e">
        <v>#DIV/0!</v>
      </c>
    </row>
    <row r="18" spans="1:98" x14ac:dyDescent="0.3">
      <c r="A18" s="1">
        <v>46049</v>
      </c>
      <c r="B18" s="8">
        <v>52.66</v>
      </c>
      <c r="C18" s="8">
        <v>226.05</v>
      </c>
      <c r="D18" s="9">
        <v>3.2334788039548E-3</v>
      </c>
      <c r="E18" s="9">
        <v>3.5453172521669901E-3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52.66</v>
      </c>
      <c r="M18" s="8">
        <v>226.05</v>
      </c>
      <c r="N18" s="10">
        <v>4.2926319787314799</v>
      </c>
      <c r="O18" s="10">
        <v>4.2929927753205499</v>
      </c>
      <c r="P18" s="10">
        <v>4.2921625665500098</v>
      </c>
      <c r="R18" s="8">
        <v>226.06899954837999</v>
      </c>
      <c r="S18" s="8">
        <v>226.031582248234</v>
      </c>
      <c r="U18" s="9">
        <v>8.4046670944692005E-5</v>
      </c>
      <c r="V18" s="9">
        <v>-8.1479770462932098E-5</v>
      </c>
      <c r="X18" s="10">
        <v>4.2926319787314799</v>
      </c>
      <c r="Y18" s="10">
        <v>4.2916660005161003</v>
      </c>
      <c r="Z18" s="10">
        <v>4.2921625665500098</v>
      </c>
      <c r="AB18" s="8">
        <v>225.999131587178</v>
      </c>
      <c r="AC18" s="8">
        <v>226.031582248234</v>
      </c>
      <c r="AE18" s="9">
        <v>-2.25057010320203E-4</v>
      </c>
      <c r="AF18" s="9">
        <v>-8.1479770462932098E-5</v>
      </c>
      <c r="CL18" s="18">
        <f t="shared" si="3"/>
        <v>6.0000000000000006E-4</v>
      </c>
      <c r="CM18" s="19">
        <v>5.2205330979698132</v>
      </c>
      <c r="CN18" s="20">
        <v>5.2031193145463019</v>
      </c>
      <c r="CO18" s="20">
        <v>4.9903890960909916</v>
      </c>
      <c r="CP18" s="20">
        <v>3.7550810045457674</v>
      </c>
      <c r="CQ18" s="20">
        <v>2.9854897538706151</v>
      </c>
      <c r="CR18" s="20" t="e">
        <v>#DIV/0!</v>
      </c>
      <c r="CS18" s="20" t="e">
        <v>#DIV/0!</v>
      </c>
      <c r="CT18" s="20" t="e">
        <v>#DIV/0!</v>
      </c>
    </row>
    <row r="19" spans="1:98" x14ac:dyDescent="0.3">
      <c r="A19" s="1">
        <v>46050</v>
      </c>
      <c r="B19" s="8">
        <v>52.16</v>
      </c>
      <c r="C19" s="8">
        <v>223.94</v>
      </c>
      <c r="D19" s="9">
        <v>-9.5402364497657894E-3</v>
      </c>
      <c r="E19" s="9">
        <v>-9.3780549085632908E-3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52.16</v>
      </c>
      <c r="M19" s="8">
        <v>223.94</v>
      </c>
      <c r="N19" s="10">
        <v>4.2933282208588901</v>
      </c>
      <c r="O19" s="10">
        <v>4.2929927753205499</v>
      </c>
      <c r="P19" s="10">
        <v>4.2921900763183203</v>
      </c>
      <c r="R19" s="8">
        <v>223.922503160719</v>
      </c>
      <c r="S19" s="8">
        <v>223.879199471248</v>
      </c>
      <c r="U19" s="9">
        <v>-7.8134870257942499E-5</v>
      </c>
      <c r="V19" s="9">
        <v>-2.7154051991006099E-4</v>
      </c>
      <c r="X19" s="10">
        <v>4.2933282208588901</v>
      </c>
      <c r="Y19" s="10">
        <v>4.2916660005161003</v>
      </c>
      <c r="Z19" s="10">
        <v>4.2921900763183203</v>
      </c>
      <c r="AB19" s="8">
        <v>223.85329858692</v>
      </c>
      <c r="AC19" s="8">
        <v>223.879199471248</v>
      </c>
      <c r="AE19" s="9">
        <v>-3.87238551522722E-4</v>
      </c>
      <c r="AF19" s="9">
        <v>-2.7154051991006099E-4</v>
      </c>
      <c r="BX19" s="6" t="s">
        <v>1</v>
      </c>
      <c r="BY19" s="6" t="s">
        <v>1</v>
      </c>
      <c r="CL19" s="18">
        <f t="shared" si="3"/>
        <v>8.0000000000000004E-4</v>
      </c>
      <c r="CM19" s="19">
        <v>5.2205330979698132</v>
      </c>
      <c r="CN19" s="20">
        <v>5.2031193145463019</v>
      </c>
      <c r="CO19" s="20">
        <v>4.9903890960909916</v>
      </c>
      <c r="CP19" s="20">
        <v>3.7550810045457674</v>
      </c>
      <c r="CQ19" s="20">
        <v>2.9854897538706151</v>
      </c>
      <c r="CR19" s="20" t="e">
        <v>#DIV/0!</v>
      </c>
      <c r="CS19" s="20" t="e">
        <v>#DIV/0!</v>
      </c>
      <c r="CT19" s="20" t="e">
        <v>#DIV/0!</v>
      </c>
    </row>
    <row r="20" spans="1:98" x14ac:dyDescent="0.3">
      <c r="A20" s="1">
        <v>46051</v>
      </c>
      <c r="B20" s="8">
        <v>52.18</v>
      </c>
      <c r="C20" s="8">
        <v>223.86</v>
      </c>
      <c r="D20" s="9">
        <v>3.8336209018482997E-4</v>
      </c>
      <c r="E20" s="9">
        <v>-3.57302370929399E-4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52.18</v>
      </c>
      <c r="M20" s="8">
        <v>223.86</v>
      </c>
      <c r="N20" s="10">
        <v>4.2901494825603601</v>
      </c>
      <c r="O20" s="10">
        <v>4.2929927753205499</v>
      </c>
      <c r="P20" s="10">
        <v>4.2918068319191001</v>
      </c>
      <c r="R20" s="8">
        <v>224.00836301622601</v>
      </c>
      <c r="S20" s="8">
        <v>223.96647818228999</v>
      </c>
      <c r="U20" s="9">
        <v>6.6252959085629697E-4</v>
      </c>
      <c r="V20" s="9">
        <v>4.7553322317617599E-4</v>
      </c>
      <c r="X20" s="10">
        <v>4.2901494825603601</v>
      </c>
      <c r="Y20" s="10">
        <v>4.2916660005161003</v>
      </c>
      <c r="Z20" s="10">
        <v>4.2918068319191001</v>
      </c>
      <c r="AB20" s="8">
        <v>223.93913190692999</v>
      </c>
      <c r="AC20" s="8">
        <v>223.96647818228999</v>
      </c>
      <c r="AE20" s="9">
        <v>3.5342590959159002E-4</v>
      </c>
      <c r="AF20" s="9">
        <v>4.7553322317617599E-4</v>
      </c>
      <c r="AZ20" s="14" t="s">
        <v>2</v>
      </c>
      <c r="BA20" s="15">
        <v>-8.0000000000000004E-4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FSTA log rtn</v>
      </c>
      <c r="BH20" s="6" t="str">
        <f>E1</f>
        <v>VDC log rtn</v>
      </c>
      <c r="BI20" s="6" t="s">
        <v>8</v>
      </c>
      <c r="BJ20" s="6" t="s">
        <v>9</v>
      </c>
      <c r="BL20" s="14" t="s">
        <v>2</v>
      </c>
      <c r="BM20" s="15">
        <v>8.0000000000000004E-4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FSTA log rtn</v>
      </c>
      <c r="BT20" s="7" t="str">
        <f>E1</f>
        <v>VDC log rtn</v>
      </c>
      <c r="BU20" s="6" t="s">
        <v>8</v>
      </c>
      <c r="BV20" s="6" t="s">
        <v>9</v>
      </c>
      <c r="BX20" s="6" t="s">
        <v>8</v>
      </c>
      <c r="BY20" s="6" t="s">
        <v>9</v>
      </c>
      <c r="CL20" s="18">
        <f t="shared" si="3"/>
        <v>1E-3</v>
      </c>
      <c r="CM20" s="19">
        <v>5.2205330979698132</v>
      </c>
      <c r="CN20" s="20">
        <v>5.2031193145463019</v>
      </c>
      <c r="CO20" s="20">
        <v>4.9903890960909916</v>
      </c>
      <c r="CP20" s="20">
        <v>3.7550810045457674</v>
      </c>
      <c r="CQ20" s="20">
        <v>2.9854897538706151</v>
      </c>
      <c r="CR20" s="20" t="e">
        <v>#DIV/0!</v>
      </c>
      <c r="CS20" s="20" t="e">
        <v>#DIV/0!</v>
      </c>
      <c r="CT20" s="20" t="e">
        <v>#DIV/0!</v>
      </c>
    </row>
    <row r="21" spans="1:98" x14ac:dyDescent="0.3">
      <c r="A21" s="1">
        <v>46052</v>
      </c>
      <c r="B21" s="8">
        <v>52.86</v>
      </c>
      <c r="C21" s="8">
        <v>226.93</v>
      </c>
      <c r="D21" s="9">
        <v>1.2947629467560701E-2</v>
      </c>
      <c r="E21" s="9">
        <v>1.36207434204095E-2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52.86</v>
      </c>
      <c r="M21" s="8">
        <v>226.93</v>
      </c>
      <c r="N21" s="10">
        <v>4.2930382141505801</v>
      </c>
      <c r="O21" s="10">
        <v>4.2929927753205499</v>
      </c>
      <c r="P21" s="10">
        <v>4.29193038840807</v>
      </c>
      <c r="Q21" s="10">
        <v>4.2920494024246896</v>
      </c>
      <c r="R21" s="8">
        <v>226.92759810344401</v>
      </c>
      <c r="S21" s="8">
        <v>226.86490913524301</v>
      </c>
      <c r="U21" s="9">
        <v>-1.0584361992495601E-5</v>
      </c>
      <c r="V21" s="9">
        <v>-2.8687349237359799E-4</v>
      </c>
      <c r="X21" s="10">
        <v>4.2930382141505801</v>
      </c>
      <c r="Y21" s="10">
        <v>4.2916660005161003</v>
      </c>
      <c r="Z21" s="10">
        <v>4.29193038840807</v>
      </c>
      <c r="AA21" s="10">
        <v>4.2920494024246896</v>
      </c>
      <c r="AB21" s="8">
        <v>226.857464787281</v>
      </c>
      <c r="AC21" s="8">
        <v>226.86490913524301</v>
      </c>
      <c r="AE21" s="9">
        <v>-3.1968804325725498E-4</v>
      </c>
      <c r="AF21" s="9">
        <v>-2.8687349237359799E-4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  <c r="CL21" s="18">
        <f t="shared" si="3"/>
        <v>1.2000000000000001E-3</v>
      </c>
      <c r="CM21" s="19">
        <v>5.2205330979698132</v>
      </c>
      <c r="CN21" s="20">
        <v>5.2031193145463019</v>
      </c>
      <c r="CO21" s="20">
        <v>4.9903890960909916</v>
      </c>
      <c r="CP21" s="20">
        <v>3.7550810045457674</v>
      </c>
      <c r="CQ21" s="20">
        <v>2.9854897538706151</v>
      </c>
      <c r="CR21" s="20" t="e">
        <v>#DIV/0!</v>
      </c>
      <c r="CS21" s="20" t="e">
        <v>#DIV/0!</v>
      </c>
      <c r="CT21" s="20" t="e">
        <v>#DIV/0!</v>
      </c>
    </row>
    <row r="22" spans="1:98" x14ac:dyDescent="0.3">
      <c r="A22" s="1">
        <v>46055</v>
      </c>
      <c r="B22" s="8">
        <v>53.61</v>
      </c>
      <c r="C22" s="8">
        <v>230.05</v>
      </c>
      <c r="D22" s="9">
        <v>1.40887086633031E-2</v>
      </c>
      <c r="E22" s="9">
        <v>1.3655076719946599E-2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53.61</v>
      </c>
      <c r="M22" s="8">
        <v>230.05</v>
      </c>
      <c r="N22" s="10">
        <v>4.2911770192128298</v>
      </c>
      <c r="O22" s="10">
        <v>4.2929927753205499</v>
      </c>
      <c r="P22" s="10">
        <v>4.29175729655653</v>
      </c>
      <c r="Q22" s="10">
        <v>4.2920172887943604</v>
      </c>
      <c r="R22" s="8">
        <v>230.14734268493399</v>
      </c>
      <c r="S22" s="8">
        <v>230.09038812255599</v>
      </c>
      <c r="T22" s="8">
        <v>230.09676846398699</v>
      </c>
      <c r="U22" s="9">
        <v>4.23047581364165E-4</v>
      </c>
      <c r="V22" s="9">
        <v>1.7554695785513901E-4</v>
      </c>
      <c r="W22" s="9">
        <v>2.0327629075778101E-4</v>
      </c>
      <c r="X22" s="10">
        <v>4.2911770192128298</v>
      </c>
      <c r="Y22" s="10">
        <v>4.2916660005161003</v>
      </c>
      <c r="Z22" s="10">
        <v>4.29175729655653</v>
      </c>
      <c r="AA22" s="10">
        <v>4.2920172887943604</v>
      </c>
      <c r="AB22" s="8">
        <v>230.07621428766799</v>
      </c>
      <c r="AC22" s="8">
        <v>230.09038812255599</v>
      </c>
      <c r="AD22" s="8">
        <v>230.09676846398699</v>
      </c>
      <c r="AE22" s="9">
        <v>1.13943900099526E-4</v>
      </c>
      <c r="AF22" s="9">
        <v>1.7554695785513901E-4</v>
      </c>
      <c r="AG22" s="9">
        <v>2.0327629075778101E-4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0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  <c r="CL22" s="18">
        <f t="shared" si="3"/>
        <v>1.4000000000000002E-3</v>
      </c>
      <c r="CM22" s="19">
        <v>5.2205330979698132</v>
      </c>
      <c r="CN22" s="19">
        <v>5.2031193145463019</v>
      </c>
      <c r="CO22" s="19">
        <v>4.9903890960909916</v>
      </c>
      <c r="CP22" s="19">
        <v>3.7550810045457674</v>
      </c>
      <c r="CQ22" s="19">
        <v>2.9854897538706151</v>
      </c>
      <c r="CR22" s="19" t="e">
        <v>#DIV/0!</v>
      </c>
      <c r="CS22" s="19" t="e">
        <v>#DIV/0!</v>
      </c>
      <c r="CT22" s="19" t="e">
        <v>#DIV/0!</v>
      </c>
    </row>
    <row r="23" spans="1:98" x14ac:dyDescent="0.3">
      <c r="A23" s="1">
        <v>46056</v>
      </c>
      <c r="B23" s="8">
        <v>54.45</v>
      </c>
      <c r="C23" s="8">
        <v>233.64</v>
      </c>
      <c r="D23" s="9">
        <v>1.55472315395232E-2</v>
      </c>
      <c r="E23" s="9">
        <v>1.54847925706308E-2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54.45</v>
      </c>
      <c r="M23" s="8">
        <v>233.64</v>
      </c>
      <c r="N23" s="10">
        <v>4.2909090909090901</v>
      </c>
      <c r="O23" s="10">
        <v>4.2929927753205499</v>
      </c>
      <c r="P23" s="10">
        <v>4.2918165661460002</v>
      </c>
      <c r="Q23" s="10">
        <v>4.2919139070801204</v>
      </c>
      <c r="R23" s="8">
        <v>233.75345661620401</v>
      </c>
      <c r="S23" s="8">
        <v>233.68618479750299</v>
      </c>
      <c r="T23" s="8">
        <v>233.700341374853</v>
      </c>
      <c r="U23" s="9">
        <v>4.85486550256476E-4</v>
      </c>
      <c r="V23" s="9">
        <v>1.97655509817712E-4</v>
      </c>
      <c r="W23" s="9">
        <v>2.5823311127502101E-4</v>
      </c>
      <c r="X23" s="10">
        <v>4.2909090909090901</v>
      </c>
      <c r="Y23" s="10">
        <v>4.2916660005161003</v>
      </c>
      <c r="Z23" s="10">
        <v>4.2918165661460002</v>
      </c>
      <c r="AA23" s="10">
        <v>4.2919139070801204</v>
      </c>
      <c r="AB23" s="8">
        <v>233.68121372810199</v>
      </c>
      <c r="AC23" s="8">
        <v>233.68618479750299</v>
      </c>
      <c r="AD23" s="8">
        <v>233.700341374853</v>
      </c>
      <c r="AE23" s="9">
        <v>1.7638286899180499E-4</v>
      </c>
      <c r="AF23" s="9">
        <v>1.97655509817712E-4</v>
      </c>
      <c r="AG23" s="9">
        <v>2.5823311127502101E-4</v>
      </c>
      <c r="AZ23" s="9"/>
      <c r="BB23">
        <f t="shared" ref="BB23:BB86" si="6">IF($AG23&lt;BA$20,1,0)</f>
        <v>0</v>
      </c>
      <c r="BC23">
        <f t="shared" ref="BC23:BC86" si="7">IF($AG23&gt;BA$21,1,0)</f>
        <v>1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9">
        <f t="shared" ref="BG23:BG86" si="10">BF23*D23</f>
        <v>0</v>
      </c>
      <c r="BH23" s="9">
        <f t="shared" ref="BH23:BH86" si="11">-BF23*$E23</f>
        <v>0</v>
      </c>
      <c r="BI23" s="9">
        <f t="shared" ref="BI23:BI86" si="12">BG23+BH23</f>
        <v>0</v>
      </c>
      <c r="BJ23" s="12">
        <f t="shared" ref="BJ23:BJ86" si="13">BJ22+BI23</f>
        <v>0</v>
      </c>
      <c r="BL23" s="9"/>
      <c r="BN23">
        <f t="shared" ref="BN23:BN86" si="14">IF($AG23&gt;BM$20,1,0)</f>
        <v>0</v>
      </c>
      <c r="BO23">
        <f t="shared" ref="BO23:BO86" si="15">IF($AG23&lt;BM$21,1,0)</f>
        <v>0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9">
        <f t="shared" ref="BS23:BS86" si="18">-BR23*D23</f>
        <v>0</v>
      </c>
      <c r="BT23" s="9">
        <f t="shared" ref="BT23:BT86" si="19">BR23*$E23</f>
        <v>0</v>
      </c>
      <c r="BU23" s="9">
        <f t="shared" ref="BU23:BU86" si="20">BS23+BT23</f>
        <v>0</v>
      </c>
      <c r="BV23" s="12">
        <f t="shared" ref="BV23:BV86" si="21">BV22+BU23</f>
        <v>0</v>
      </c>
      <c r="BX23" s="12">
        <f t="shared" ref="BX23:BX86" si="22">BI23+BU23</f>
        <v>0</v>
      </c>
      <c r="BY23" s="12">
        <f t="shared" ref="BY23:BY86" si="23">BY22+BX23</f>
        <v>0</v>
      </c>
      <c r="CL23" t="s">
        <v>47</v>
      </c>
    </row>
    <row r="24" spans="1:98" x14ac:dyDescent="0.3">
      <c r="A24" s="1">
        <v>46057</v>
      </c>
      <c r="B24" s="8">
        <v>54.99</v>
      </c>
      <c r="C24" s="8">
        <v>236.02</v>
      </c>
      <c r="D24" s="9">
        <v>9.8685011407537802E-3</v>
      </c>
      <c r="E24" s="9">
        <v>1.01350780254941E-2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54.99</v>
      </c>
      <c r="M24" s="8">
        <v>236.02</v>
      </c>
      <c r="N24" s="10">
        <v>4.2920531005637299</v>
      </c>
      <c r="O24" s="10">
        <v>4.2929927753205499</v>
      </c>
      <c r="P24" s="10">
        <v>4.2917787569363197</v>
      </c>
      <c r="Q24" s="10">
        <v>4.2920142213796302</v>
      </c>
      <c r="R24" s="8">
        <v>236.071672714877</v>
      </c>
      <c r="S24" s="8">
        <v>236.00699297236801</v>
      </c>
      <c r="T24" s="8">
        <v>236.01234575033601</v>
      </c>
      <c r="U24" s="9">
        <v>2.1890966551608301E-4</v>
      </c>
      <c r="V24" s="9">
        <v>-5.5111372137957197E-5</v>
      </c>
      <c r="W24" s="9">
        <v>-3.2431038819562299E-5</v>
      </c>
      <c r="X24" s="10">
        <v>4.2920531005637299</v>
      </c>
      <c r="Y24" s="10">
        <v>4.2916660005161003</v>
      </c>
      <c r="Z24" s="10">
        <v>4.2917787569363197</v>
      </c>
      <c r="AA24" s="10">
        <v>4.2920142213796302</v>
      </c>
      <c r="AB24" s="8">
        <v>235.99871336838001</v>
      </c>
      <c r="AC24" s="8">
        <v>236.00699297236801</v>
      </c>
      <c r="AD24" s="8">
        <v>236.01234575033601</v>
      </c>
      <c r="AE24" s="9">
        <v>-9.0194015748560195E-5</v>
      </c>
      <c r="AF24" s="9">
        <v>-5.5111372137957197E-5</v>
      </c>
      <c r="AG24" s="9">
        <v>-3.2431038819562299E-5</v>
      </c>
      <c r="AZ24" s="9"/>
      <c r="BB24">
        <f t="shared" si="6"/>
        <v>0</v>
      </c>
      <c r="BC24">
        <f t="shared" si="7"/>
        <v>0</v>
      </c>
      <c r="BD24">
        <f t="shared" si="8"/>
        <v>0</v>
      </c>
      <c r="BE24">
        <f t="shared" si="4"/>
        <v>1</v>
      </c>
      <c r="BF24">
        <f t="shared" si="9"/>
        <v>0</v>
      </c>
      <c r="BG24" s="9">
        <f t="shared" si="10"/>
        <v>0</v>
      </c>
      <c r="BH24" s="9">
        <f t="shared" si="11"/>
        <v>0</v>
      </c>
      <c r="BI24" s="9">
        <f t="shared" si="12"/>
        <v>0</v>
      </c>
      <c r="BJ24" s="12">
        <f t="shared" si="13"/>
        <v>0</v>
      </c>
      <c r="BL24" s="9"/>
      <c r="BN24">
        <f t="shared" si="14"/>
        <v>0</v>
      </c>
      <c r="BO24">
        <f t="shared" si="15"/>
        <v>1</v>
      </c>
      <c r="BP24">
        <f t="shared" si="16"/>
        <v>0</v>
      </c>
      <c r="BQ24">
        <f t="shared" si="5"/>
        <v>1</v>
      </c>
      <c r="BR24">
        <f t="shared" si="17"/>
        <v>0</v>
      </c>
      <c r="BS24" s="9">
        <f t="shared" si="18"/>
        <v>0</v>
      </c>
      <c r="BT24" s="9">
        <f t="shared" si="19"/>
        <v>0</v>
      </c>
      <c r="BU24" s="9">
        <f t="shared" si="20"/>
        <v>0</v>
      </c>
      <c r="BV24" s="12">
        <f t="shared" si="21"/>
        <v>0</v>
      </c>
      <c r="BX24" s="12">
        <f t="shared" si="22"/>
        <v>0</v>
      </c>
      <c r="BY24" s="12">
        <f t="shared" si="23"/>
        <v>0</v>
      </c>
    </row>
    <row r="25" spans="1:98" x14ac:dyDescent="0.3">
      <c r="A25" s="1">
        <v>46058</v>
      </c>
      <c r="B25" s="8">
        <v>55.06</v>
      </c>
      <c r="C25" s="8">
        <v>236.13</v>
      </c>
      <c r="D25" s="9">
        <v>1.2721491947379701E-3</v>
      </c>
      <c r="E25" s="9">
        <v>4.65953624865758E-4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55.06</v>
      </c>
      <c r="M25" s="8">
        <v>236.13</v>
      </c>
      <c r="N25" s="10">
        <v>4.2885942608063896</v>
      </c>
      <c r="O25" s="10">
        <v>4.2929927753205499</v>
      </c>
      <c r="P25" s="10">
        <v>4.2914651355437599</v>
      </c>
      <c r="Q25" s="10">
        <v>4.2918777337620497</v>
      </c>
      <c r="R25" s="8">
        <v>236.372182209149</v>
      </c>
      <c r="S25" s="8">
        <v>236.30533835691401</v>
      </c>
      <c r="T25" s="8">
        <v>236.318303029162</v>
      </c>
      <c r="U25" s="9">
        <v>1.0251052353884599E-3</v>
      </c>
      <c r="V25" s="9">
        <v>7.4227455369604302E-4</v>
      </c>
      <c r="W25" s="9">
        <v>7.9713711712537196E-4</v>
      </c>
      <c r="X25" s="10">
        <v>4.2885942608063896</v>
      </c>
      <c r="Y25" s="10">
        <v>4.2916660005161003</v>
      </c>
      <c r="Z25" s="10">
        <v>4.2914651355437599</v>
      </c>
      <c r="AA25" s="10">
        <v>4.2918777337620497</v>
      </c>
      <c r="AB25" s="8">
        <v>236.29912998841601</v>
      </c>
      <c r="AC25" s="8">
        <v>236.30533835691401</v>
      </c>
      <c r="AD25" s="8">
        <v>236.318303029162</v>
      </c>
      <c r="AE25" s="9">
        <v>7.16001554123593E-4</v>
      </c>
      <c r="AF25" s="9">
        <v>7.4227455369604302E-4</v>
      </c>
      <c r="AG25" s="9">
        <v>7.9713711712537196E-4</v>
      </c>
      <c r="AZ25" s="9"/>
      <c r="BB25">
        <f t="shared" si="6"/>
        <v>0</v>
      </c>
      <c r="BC25">
        <f t="shared" si="7"/>
        <v>1</v>
      </c>
      <c r="BD25">
        <f t="shared" si="8"/>
        <v>0</v>
      </c>
      <c r="BE25">
        <f t="shared" si="4"/>
        <v>1</v>
      </c>
      <c r="BF25">
        <f t="shared" si="9"/>
        <v>0</v>
      </c>
      <c r="BG25" s="9">
        <f t="shared" si="10"/>
        <v>0</v>
      </c>
      <c r="BH25" s="9">
        <f t="shared" si="11"/>
        <v>0</v>
      </c>
      <c r="BI25" s="9">
        <f t="shared" si="12"/>
        <v>0</v>
      </c>
      <c r="BJ25" s="12">
        <f t="shared" si="13"/>
        <v>0</v>
      </c>
      <c r="BL25" s="9"/>
      <c r="BN25">
        <f t="shared" si="14"/>
        <v>0</v>
      </c>
      <c r="BO25">
        <f t="shared" si="15"/>
        <v>0</v>
      </c>
      <c r="BP25">
        <f t="shared" si="16"/>
        <v>0</v>
      </c>
      <c r="BQ25">
        <f t="shared" si="5"/>
        <v>1</v>
      </c>
      <c r="BR25">
        <f t="shared" si="17"/>
        <v>0</v>
      </c>
      <c r="BS25" s="9">
        <f t="shared" si="18"/>
        <v>0</v>
      </c>
      <c r="BT25" s="9">
        <f t="shared" si="19"/>
        <v>0</v>
      </c>
      <c r="BU25" s="9">
        <f t="shared" si="20"/>
        <v>0</v>
      </c>
      <c r="BV25" s="12">
        <f t="shared" si="21"/>
        <v>0</v>
      </c>
      <c r="BX25" s="12">
        <f t="shared" si="22"/>
        <v>0</v>
      </c>
      <c r="BY25" s="12">
        <f t="shared" si="23"/>
        <v>0</v>
      </c>
      <c r="CL25" s="18"/>
      <c r="CM25" s="18"/>
      <c r="CN25" s="18"/>
      <c r="CO25" s="18"/>
      <c r="CP25" s="18"/>
      <c r="CQ25" s="18"/>
      <c r="CR25" s="18"/>
      <c r="CS25" s="18"/>
      <c r="CT25" s="18"/>
    </row>
    <row r="26" spans="1:98" x14ac:dyDescent="0.3">
      <c r="A26" s="1">
        <v>46059</v>
      </c>
      <c r="B26" s="8">
        <v>55.78</v>
      </c>
      <c r="C26" s="8">
        <v>239.32</v>
      </c>
      <c r="D26" s="9">
        <v>1.29918824848816E-2</v>
      </c>
      <c r="E26" s="9">
        <v>1.3419067699362399E-2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55.78</v>
      </c>
      <c r="M26" s="8">
        <v>239.32</v>
      </c>
      <c r="N26" s="10">
        <v>4.2904266762280301</v>
      </c>
      <c r="O26" s="10">
        <v>4.2929927753205499</v>
      </c>
      <c r="P26" s="10">
        <v>4.2913601623750903</v>
      </c>
      <c r="Q26" s="10">
        <v>4.2918634825312401</v>
      </c>
      <c r="R26" s="8">
        <v>239.46313700738</v>
      </c>
      <c r="S26" s="8">
        <v>239.377925260631</v>
      </c>
      <c r="T26" s="8">
        <v>239.40093998924701</v>
      </c>
      <c r="U26" s="9">
        <v>5.9792002090733602E-4</v>
      </c>
      <c r="V26" s="9">
        <v>2.42011748357949E-4</v>
      </c>
      <c r="W26" s="9">
        <v>3.3815103229339801E-4</v>
      </c>
      <c r="X26" s="10">
        <v>4.2904266762280301</v>
      </c>
      <c r="Y26" s="10">
        <v>4.2916660005161003</v>
      </c>
      <c r="Z26" s="10">
        <v>4.2913601623750903</v>
      </c>
      <c r="AA26" s="10">
        <v>4.2918634825312401</v>
      </c>
      <c r="AB26" s="8">
        <v>239.38912950878799</v>
      </c>
      <c r="AC26" s="8">
        <v>239.377925260631</v>
      </c>
      <c r="AD26" s="8">
        <v>239.40093998924701</v>
      </c>
      <c r="AE26" s="9">
        <v>2.8881633964277599E-4</v>
      </c>
      <c r="AF26" s="9">
        <v>2.42011748357949E-4</v>
      </c>
      <c r="AG26" s="9">
        <v>3.3815103229339801E-4</v>
      </c>
      <c r="AZ26" s="9"/>
      <c r="BB26">
        <f t="shared" si="6"/>
        <v>0</v>
      </c>
      <c r="BC26">
        <f t="shared" si="7"/>
        <v>1</v>
      </c>
      <c r="BD26">
        <f t="shared" si="8"/>
        <v>0</v>
      </c>
      <c r="BE26">
        <f t="shared" si="4"/>
        <v>1</v>
      </c>
      <c r="BF26">
        <f t="shared" si="9"/>
        <v>0</v>
      </c>
      <c r="BG26" s="9">
        <f t="shared" si="10"/>
        <v>0</v>
      </c>
      <c r="BH26" s="9">
        <f t="shared" si="11"/>
        <v>0</v>
      </c>
      <c r="BI26" s="9">
        <f t="shared" si="12"/>
        <v>0</v>
      </c>
      <c r="BJ26" s="12">
        <f t="shared" si="13"/>
        <v>0</v>
      </c>
      <c r="BL26" s="9"/>
      <c r="BN26">
        <f t="shared" si="14"/>
        <v>0</v>
      </c>
      <c r="BO26">
        <f t="shared" si="15"/>
        <v>0</v>
      </c>
      <c r="BP26">
        <f t="shared" si="16"/>
        <v>0</v>
      </c>
      <c r="BQ26">
        <f t="shared" si="5"/>
        <v>1</v>
      </c>
      <c r="BR26">
        <f t="shared" si="17"/>
        <v>0</v>
      </c>
      <c r="BS26" s="9">
        <f t="shared" si="18"/>
        <v>0</v>
      </c>
      <c r="BT26" s="9">
        <f t="shared" si="19"/>
        <v>0</v>
      </c>
      <c r="BU26" s="9">
        <f t="shared" si="20"/>
        <v>0</v>
      </c>
      <c r="BV26" s="12">
        <f t="shared" si="21"/>
        <v>0</v>
      </c>
      <c r="BX26" s="12">
        <f t="shared" si="22"/>
        <v>0</v>
      </c>
      <c r="BY26" s="12">
        <f t="shared" si="23"/>
        <v>0</v>
      </c>
      <c r="CL26" s="18"/>
      <c r="CM26" s="19"/>
      <c r="CN26" s="19"/>
      <c r="CO26" s="19"/>
      <c r="CP26" s="19"/>
      <c r="CQ26" s="19"/>
      <c r="CR26" s="19"/>
      <c r="CS26" s="19"/>
      <c r="CT26" s="19"/>
    </row>
    <row r="27" spans="1:98" x14ac:dyDescent="0.3">
      <c r="A27" s="1">
        <v>46062</v>
      </c>
      <c r="B27" s="8">
        <v>55.31</v>
      </c>
      <c r="C27" s="8">
        <v>237.36</v>
      </c>
      <c r="D27" s="9">
        <v>-8.4616581927562193E-3</v>
      </c>
      <c r="E27" s="9">
        <v>-8.2235925392645896E-3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55.31</v>
      </c>
      <c r="M27" s="8">
        <v>237.36</v>
      </c>
      <c r="N27" s="10">
        <v>4.2914482010486301</v>
      </c>
      <c r="O27" s="10">
        <v>4.2929927753205499</v>
      </c>
      <c r="P27" s="10">
        <v>4.2913756245070003</v>
      </c>
      <c r="Q27" s="10">
        <v>4.29182892740954</v>
      </c>
      <c r="R27" s="8">
        <v>237.44543040297901</v>
      </c>
      <c r="S27" s="8">
        <v>237.35513058096601</v>
      </c>
      <c r="T27" s="8">
        <v>237.382969218802</v>
      </c>
      <c r="U27" s="9">
        <v>3.5985436741575499E-4</v>
      </c>
      <c r="V27" s="9">
        <v>-2.0515120417425799E-5</v>
      </c>
      <c r="W27" s="9">
        <v>9.6764861451832296E-5</v>
      </c>
      <c r="X27" s="10">
        <v>4.2914482010486301</v>
      </c>
      <c r="Y27" s="10">
        <v>4.2916660005161003</v>
      </c>
      <c r="Z27" s="10">
        <v>4.2913756245070003</v>
      </c>
      <c r="AA27" s="10">
        <v>4.29182892740954</v>
      </c>
      <c r="AB27" s="8">
        <v>237.372046488546</v>
      </c>
      <c r="AC27" s="8">
        <v>237.35513058096601</v>
      </c>
      <c r="AD27" s="8">
        <v>237.382969218802</v>
      </c>
      <c r="AE27" s="9">
        <v>5.0750686150879997E-5</v>
      </c>
      <c r="AF27" s="9">
        <v>-2.0515120417425799E-5</v>
      </c>
      <c r="AG27" s="9">
        <v>9.6764861451832296E-5</v>
      </c>
      <c r="AZ27" s="9"/>
      <c r="BB27">
        <f t="shared" si="6"/>
        <v>0</v>
      </c>
      <c r="BC27">
        <f t="shared" si="7"/>
        <v>1</v>
      </c>
      <c r="BD27">
        <f t="shared" si="8"/>
        <v>0</v>
      </c>
      <c r="BE27">
        <f t="shared" si="4"/>
        <v>1</v>
      </c>
      <c r="BF27">
        <f t="shared" si="9"/>
        <v>0</v>
      </c>
      <c r="BG27" s="9">
        <f t="shared" si="10"/>
        <v>0</v>
      </c>
      <c r="BH27" s="9">
        <f t="shared" si="11"/>
        <v>0</v>
      </c>
      <c r="BI27" s="9">
        <f t="shared" si="12"/>
        <v>0</v>
      </c>
      <c r="BJ27" s="12">
        <f t="shared" si="13"/>
        <v>0</v>
      </c>
      <c r="BL27" s="9"/>
      <c r="BN27">
        <f t="shared" si="14"/>
        <v>0</v>
      </c>
      <c r="BO27">
        <f t="shared" si="15"/>
        <v>0</v>
      </c>
      <c r="BP27">
        <f t="shared" si="16"/>
        <v>0</v>
      </c>
      <c r="BQ27">
        <f t="shared" si="5"/>
        <v>1</v>
      </c>
      <c r="BR27">
        <f t="shared" si="17"/>
        <v>0</v>
      </c>
      <c r="BS27" s="9">
        <f t="shared" si="18"/>
        <v>0</v>
      </c>
      <c r="BT27" s="9">
        <f t="shared" si="19"/>
        <v>0</v>
      </c>
      <c r="BU27" s="9">
        <f t="shared" si="20"/>
        <v>0</v>
      </c>
      <c r="BV27" s="12">
        <f t="shared" si="21"/>
        <v>0</v>
      </c>
      <c r="BX27" s="12">
        <f t="shared" si="22"/>
        <v>0</v>
      </c>
      <c r="BY27" s="12">
        <f t="shared" si="23"/>
        <v>0</v>
      </c>
      <c r="CL27" s="18"/>
      <c r="CM27" s="19"/>
      <c r="CN27" s="19"/>
      <c r="CO27" s="19"/>
      <c r="CP27" s="19"/>
      <c r="CQ27" s="19"/>
      <c r="CR27" s="19"/>
      <c r="CS27" s="19"/>
      <c r="CT27" s="19"/>
    </row>
    <row r="28" spans="1:98" ht="15" thickBot="1" x14ac:dyDescent="0.35">
      <c r="A28" s="1">
        <v>46063</v>
      </c>
      <c r="B28" s="8">
        <v>54.97</v>
      </c>
      <c r="C28" s="8">
        <v>235.81</v>
      </c>
      <c r="D28" s="9">
        <v>-6.1661421340177399E-3</v>
      </c>
      <c r="E28" s="9">
        <v>-6.5515799574896796E-3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54.97</v>
      </c>
      <c r="M28" s="8">
        <v>235.81</v>
      </c>
      <c r="N28" s="10">
        <v>4.2897944333272697</v>
      </c>
      <c r="O28" s="10">
        <v>4.2929927753205499</v>
      </c>
      <c r="P28" s="10">
        <v>4.2910918699665803</v>
      </c>
      <c r="Q28" s="10">
        <v>4.2916272182582897</v>
      </c>
      <c r="R28" s="8">
        <v>235.98581285936999</v>
      </c>
      <c r="S28" s="8">
        <v>235.89691807915</v>
      </c>
      <c r="T28" s="8">
        <v>235.92183613970201</v>
      </c>
      <c r="U28" s="9">
        <v>7.4529219088772798E-4</v>
      </c>
      <c r="V28" s="9">
        <v>3.6852578074446298E-4</v>
      </c>
      <c r="W28" s="9">
        <v>4.74151342902864E-4</v>
      </c>
      <c r="X28" s="10">
        <v>4.2897944333272697</v>
      </c>
      <c r="Y28" s="10">
        <v>4.2916660005161003</v>
      </c>
      <c r="Z28" s="10">
        <v>4.2910918699665803</v>
      </c>
      <c r="AA28" s="10">
        <v>4.2916272182582897</v>
      </c>
      <c r="AB28" s="8">
        <v>235.91288004837</v>
      </c>
      <c r="AC28" s="8">
        <v>235.89691807915</v>
      </c>
      <c r="AD28" s="8">
        <v>235.92183613970201</v>
      </c>
      <c r="AE28" s="9">
        <v>4.36188509622953E-4</v>
      </c>
      <c r="AF28" s="9">
        <v>3.6852578074446298E-4</v>
      </c>
      <c r="AG28" s="9">
        <v>4.74151342902864E-4</v>
      </c>
      <c r="AZ28" s="9"/>
      <c r="BB28">
        <f t="shared" si="6"/>
        <v>0</v>
      </c>
      <c r="BC28">
        <f t="shared" si="7"/>
        <v>1</v>
      </c>
      <c r="BD28">
        <f t="shared" si="8"/>
        <v>0</v>
      </c>
      <c r="BE28">
        <f t="shared" si="4"/>
        <v>1</v>
      </c>
      <c r="BF28">
        <f t="shared" si="9"/>
        <v>0</v>
      </c>
      <c r="BG28" s="9">
        <f t="shared" si="10"/>
        <v>0</v>
      </c>
      <c r="BH28" s="9">
        <f t="shared" si="11"/>
        <v>0</v>
      </c>
      <c r="BI28" s="9">
        <f t="shared" si="12"/>
        <v>0</v>
      </c>
      <c r="BJ28" s="12">
        <f t="shared" si="13"/>
        <v>0</v>
      </c>
      <c r="BL28" s="9"/>
      <c r="BN28">
        <f t="shared" si="14"/>
        <v>0</v>
      </c>
      <c r="BO28">
        <f t="shared" si="15"/>
        <v>0</v>
      </c>
      <c r="BP28">
        <f t="shared" si="16"/>
        <v>0</v>
      </c>
      <c r="BQ28">
        <f t="shared" si="5"/>
        <v>1</v>
      </c>
      <c r="BR28">
        <f t="shared" si="17"/>
        <v>0</v>
      </c>
      <c r="BS28" s="9">
        <f t="shared" si="18"/>
        <v>0</v>
      </c>
      <c r="BT28" s="9">
        <f t="shared" si="19"/>
        <v>0</v>
      </c>
      <c r="BU28" s="9">
        <f t="shared" si="20"/>
        <v>0</v>
      </c>
      <c r="BV28" s="12">
        <f t="shared" si="21"/>
        <v>0</v>
      </c>
      <c r="BX28" s="12">
        <f t="shared" si="22"/>
        <v>0</v>
      </c>
      <c r="BY28" s="12">
        <f t="shared" si="23"/>
        <v>0</v>
      </c>
      <c r="CL28" s="18"/>
      <c r="CM28" s="19"/>
      <c r="CN28" s="19"/>
      <c r="CO28" s="19"/>
      <c r="CP28" s="20"/>
      <c r="CQ28" s="19"/>
      <c r="CR28" s="19"/>
      <c r="CS28" s="19"/>
      <c r="CT28" s="19"/>
    </row>
    <row r="29" spans="1:98" ht="15" thickBot="1" x14ac:dyDescent="0.35">
      <c r="A29" s="1">
        <v>46064</v>
      </c>
      <c r="B29" s="8">
        <v>55.65</v>
      </c>
      <c r="C29" s="8">
        <v>238.82</v>
      </c>
      <c r="D29" s="9">
        <v>1.22944958489848E-2</v>
      </c>
      <c r="E29" s="9">
        <v>1.2683734080161701E-2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55.65</v>
      </c>
      <c r="M29" s="8">
        <v>238.82</v>
      </c>
      <c r="N29" s="10">
        <v>4.29146451033243</v>
      </c>
      <c r="O29" s="10">
        <v>4.2929927753205499</v>
      </c>
      <c r="P29" s="10">
        <v>4.2909054989139301</v>
      </c>
      <c r="Q29" s="10">
        <v>4.2915477876161301</v>
      </c>
      <c r="R29" s="8">
        <v>238.90504794658801</v>
      </c>
      <c r="S29" s="8">
        <v>238.79926256364001</v>
      </c>
      <c r="T29" s="8">
        <v>238.829054696074</v>
      </c>
      <c r="U29" s="9">
        <v>3.5605395971064499E-4</v>
      </c>
      <c r="V29" s="9">
        <v>-8.6836683517681196E-5</v>
      </c>
      <c r="W29" s="9">
        <v>3.7913593615637298E-5</v>
      </c>
      <c r="X29" s="10">
        <v>4.29146451033243</v>
      </c>
      <c r="Y29" s="10">
        <v>4.2916660005161003</v>
      </c>
      <c r="Z29" s="10">
        <v>4.2909054989139301</v>
      </c>
      <c r="AA29" s="10">
        <v>4.2915477876161301</v>
      </c>
      <c r="AB29" s="8">
        <v>238.83121292872099</v>
      </c>
      <c r="AC29" s="8">
        <v>238.79926256364001</v>
      </c>
      <c r="AD29" s="8">
        <v>238.829054696074</v>
      </c>
      <c r="AE29" s="9">
        <v>4.6950278446030003E-5</v>
      </c>
      <c r="AF29" s="9">
        <v>-8.6836683517681196E-5</v>
      </c>
      <c r="AG29" s="9">
        <v>3.7913593615637298E-5</v>
      </c>
      <c r="AZ29" s="9"/>
      <c r="BB29">
        <f t="shared" si="6"/>
        <v>0</v>
      </c>
      <c r="BC29">
        <f t="shared" si="7"/>
        <v>1</v>
      </c>
      <c r="BD29">
        <f t="shared" si="8"/>
        <v>0</v>
      </c>
      <c r="BE29">
        <f t="shared" si="4"/>
        <v>1</v>
      </c>
      <c r="BF29">
        <f t="shared" si="9"/>
        <v>0</v>
      </c>
      <c r="BG29" s="9">
        <f t="shared" si="10"/>
        <v>0</v>
      </c>
      <c r="BH29" s="9">
        <f t="shared" si="11"/>
        <v>0</v>
      </c>
      <c r="BI29" s="9">
        <f t="shared" si="12"/>
        <v>0</v>
      </c>
      <c r="BJ29" s="12">
        <f t="shared" si="13"/>
        <v>0</v>
      </c>
      <c r="BL29" s="9"/>
      <c r="BN29">
        <f t="shared" si="14"/>
        <v>0</v>
      </c>
      <c r="BO29">
        <f t="shared" si="15"/>
        <v>0</v>
      </c>
      <c r="BP29">
        <f t="shared" si="16"/>
        <v>0</v>
      </c>
      <c r="BQ29">
        <f t="shared" si="5"/>
        <v>1</v>
      </c>
      <c r="BR29">
        <f t="shared" si="17"/>
        <v>0</v>
      </c>
      <c r="BS29" s="9">
        <f t="shared" si="18"/>
        <v>0</v>
      </c>
      <c r="BT29" s="9">
        <f t="shared" si="19"/>
        <v>0</v>
      </c>
      <c r="BU29" s="9">
        <f t="shared" si="20"/>
        <v>0</v>
      </c>
      <c r="BV29" s="12">
        <f t="shared" si="21"/>
        <v>0</v>
      </c>
      <c r="BX29" s="12">
        <f t="shared" si="22"/>
        <v>0</v>
      </c>
      <c r="BY29" s="12">
        <f t="shared" si="23"/>
        <v>0</v>
      </c>
      <c r="CL29" s="18"/>
      <c r="CM29" s="19"/>
      <c r="CN29" s="19"/>
      <c r="CO29" s="19"/>
      <c r="CP29" s="19"/>
      <c r="CQ29" s="21"/>
      <c r="CR29" s="19"/>
      <c r="CS29" s="19"/>
      <c r="CT29" s="19"/>
    </row>
    <row r="30" spans="1:98" x14ac:dyDescent="0.3">
      <c r="A30" s="1">
        <v>46065</v>
      </c>
      <c r="B30" s="8">
        <v>56.39</v>
      </c>
      <c r="C30" s="8">
        <v>241.86</v>
      </c>
      <c r="D30" s="9">
        <v>1.3209760097536801E-2</v>
      </c>
      <c r="E30" s="9">
        <v>1.26489162518909E-2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56.39</v>
      </c>
      <c r="M30" s="8">
        <v>241.86</v>
      </c>
      <c r="N30" s="10">
        <v>4.2890583436779499</v>
      </c>
      <c r="O30" s="10">
        <v>4.2929927753205499</v>
      </c>
      <c r="P30" s="10">
        <v>4.2907963850256898</v>
      </c>
      <c r="Q30" s="10">
        <v>4.2913016084724003</v>
      </c>
      <c r="R30" s="8">
        <v>242.081862600325</v>
      </c>
      <c r="S30" s="8">
        <v>241.96416108375601</v>
      </c>
      <c r="T30" s="8">
        <v>242.00037974367299</v>
      </c>
      <c r="U30" s="9">
        <v>9.1689780535670696E-4</v>
      </c>
      <c r="V30" s="9">
        <v>4.3057413723572601E-4</v>
      </c>
      <c r="W30" s="9">
        <v>5.8024898706032703E-4</v>
      </c>
      <c r="X30" s="10">
        <v>4.2890583436779499</v>
      </c>
      <c r="Y30" s="10">
        <v>4.2916660005161003</v>
      </c>
      <c r="Z30" s="10">
        <v>4.2907963850256898</v>
      </c>
      <c r="AA30" s="10">
        <v>4.2913016084724003</v>
      </c>
      <c r="AB30" s="8">
        <v>242.007045769103</v>
      </c>
      <c r="AC30" s="8">
        <v>241.96416108375601</v>
      </c>
      <c r="AD30" s="8">
        <v>242.00037974367299</v>
      </c>
      <c r="AE30" s="9">
        <v>6.0779412409192504E-4</v>
      </c>
      <c r="AF30" s="9">
        <v>4.3057413723572601E-4</v>
      </c>
      <c r="AG30" s="9">
        <v>5.8024898706032703E-4</v>
      </c>
      <c r="AZ30" s="9"/>
      <c r="BB30">
        <f t="shared" si="6"/>
        <v>0</v>
      </c>
      <c r="BC30">
        <f t="shared" si="7"/>
        <v>1</v>
      </c>
      <c r="BD30">
        <f t="shared" si="8"/>
        <v>0</v>
      </c>
      <c r="BE30">
        <f t="shared" si="4"/>
        <v>1</v>
      </c>
      <c r="BF30">
        <f t="shared" si="9"/>
        <v>0</v>
      </c>
      <c r="BG30" s="9">
        <f t="shared" si="10"/>
        <v>0</v>
      </c>
      <c r="BH30" s="9">
        <f t="shared" si="11"/>
        <v>0</v>
      </c>
      <c r="BI30" s="9">
        <f t="shared" si="12"/>
        <v>0</v>
      </c>
      <c r="BJ30" s="12">
        <f t="shared" si="13"/>
        <v>0</v>
      </c>
      <c r="BL30" s="9"/>
      <c r="BN30">
        <f t="shared" si="14"/>
        <v>0</v>
      </c>
      <c r="BO30">
        <f t="shared" si="15"/>
        <v>0</v>
      </c>
      <c r="BP30">
        <f t="shared" si="16"/>
        <v>0</v>
      </c>
      <c r="BQ30">
        <f t="shared" si="5"/>
        <v>1</v>
      </c>
      <c r="BR30">
        <f t="shared" si="17"/>
        <v>0</v>
      </c>
      <c r="BS30" s="9">
        <f t="shared" si="18"/>
        <v>0</v>
      </c>
      <c r="BT30" s="9">
        <f t="shared" si="19"/>
        <v>0</v>
      </c>
      <c r="BU30" s="9">
        <f t="shared" si="20"/>
        <v>0</v>
      </c>
      <c r="BV30" s="12">
        <f t="shared" si="21"/>
        <v>0</v>
      </c>
      <c r="BX30" s="12">
        <f t="shared" si="22"/>
        <v>0</v>
      </c>
      <c r="BY30" s="12">
        <f t="shared" si="23"/>
        <v>0</v>
      </c>
      <c r="CL30" s="18"/>
      <c r="CM30" s="19"/>
      <c r="CN30" s="19"/>
      <c r="CO30" s="19"/>
      <c r="CP30" s="19"/>
      <c r="CQ30" s="19"/>
      <c r="CR30" s="19"/>
      <c r="CS30" s="19"/>
      <c r="CT30" s="19"/>
    </row>
    <row r="31" spans="1:98" x14ac:dyDescent="0.3">
      <c r="A31" s="1">
        <v>46066</v>
      </c>
      <c r="B31" s="8">
        <v>56.57</v>
      </c>
      <c r="C31" s="8">
        <v>242.63</v>
      </c>
      <c r="D31" s="9">
        <v>3.18697153597359E-3</v>
      </c>
      <c r="E31" s="9">
        <v>3.1786028537589299E-3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56.57</v>
      </c>
      <c r="M31" s="8">
        <v>242.63</v>
      </c>
      <c r="N31" s="10">
        <v>4.2890224500618697</v>
      </c>
      <c r="O31" s="10">
        <v>4.2929927753205499</v>
      </c>
      <c r="P31" s="10">
        <v>4.2903948086168198</v>
      </c>
      <c r="Q31" s="10">
        <v>4.2911625985124502</v>
      </c>
      <c r="R31" s="8">
        <v>242.854601299883</v>
      </c>
      <c r="S31" s="8">
        <v>242.730351500903</v>
      </c>
      <c r="T31" s="8">
        <v>242.75893199128299</v>
      </c>
      <c r="U31" s="9">
        <v>9.2526648757137596E-4</v>
      </c>
      <c r="V31" s="9">
        <v>4.1351339071421902E-4</v>
      </c>
      <c r="W31" s="9">
        <v>5.3125230436209495E-4</v>
      </c>
      <c r="X31" s="10">
        <v>4.2890224500618697</v>
      </c>
      <c r="Y31" s="10">
        <v>4.2916660005161003</v>
      </c>
      <c r="Z31" s="10">
        <v>4.2903948086168198</v>
      </c>
      <c r="AA31" s="10">
        <v>4.2911625985124502</v>
      </c>
      <c r="AB31" s="8">
        <v>242.779545649196</v>
      </c>
      <c r="AC31" s="8">
        <v>242.730351500903</v>
      </c>
      <c r="AD31" s="8">
        <v>242.75893199128299</v>
      </c>
      <c r="AE31" s="9">
        <v>6.1616280630683495E-4</v>
      </c>
      <c r="AF31" s="9">
        <v>4.1351339071421902E-4</v>
      </c>
      <c r="AG31" s="9">
        <v>5.3125230436209495E-4</v>
      </c>
      <c r="AZ31" s="9"/>
      <c r="BB31">
        <f t="shared" si="6"/>
        <v>0</v>
      </c>
      <c r="BC31">
        <f t="shared" si="7"/>
        <v>1</v>
      </c>
      <c r="BD31">
        <f t="shared" si="8"/>
        <v>0</v>
      </c>
      <c r="BE31">
        <f t="shared" si="4"/>
        <v>1</v>
      </c>
      <c r="BF31">
        <f t="shared" si="9"/>
        <v>0</v>
      </c>
      <c r="BG31" s="9">
        <f t="shared" si="10"/>
        <v>0</v>
      </c>
      <c r="BH31" s="9">
        <f t="shared" si="11"/>
        <v>0</v>
      </c>
      <c r="BI31" s="9">
        <f t="shared" si="12"/>
        <v>0</v>
      </c>
      <c r="BJ31" s="12">
        <f t="shared" si="13"/>
        <v>0</v>
      </c>
      <c r="BL31" s="9"/>
      <c r="BN31">
        <f t="shared" si="14"/>
        <v>0</v>
      </c>
      <c r="BO31">
        <f t="shared" si="15"/>
        <v>0</v>
      </c>
      <c r="BP31">
        <f t="shared" si="16"/>
        <v>0</v>
      </c>
      <c r="BQ31">
        <f t="shared" si="5"/>
        <v>1</v>
      </c>
      <c r="BR31">
        <f t="shared" si="17"/>
        <v>0</v>
      </c>
      <c r="BS31" s="9">
        <f t="shared" si="18"/>
        <v>0</v>
      </c>
      <c r="BT31" s="9">
        <f t="shared" si="19"/>
        <v>0</v>
      </c>
      <c r="BU31" s="9">
        <f t="shared" si="20"/>
        <v>0</v>
      </c>
      <c r="BV31" s="12">
        <f t="shared" si="21"/>
        <v>0</v>
      </c>
      <c r="BX31" s="12">
        <f t="shared" si="22"/>
        <v>0</v>
      </c>
      <c r="BY31" s="12">
        <f t="shared" si="23"/>
        <v>0</v>
      </c>
      <c r="CL31" s="18"/>
      <c r="CM31" s="19"/>
      <c r="CN31" s="19"/>
      <c r="CO31" s="19"/>
      <c r="CP31" s="19"/>
      <c r="CQ31" s="19"/>
      <c r="CR31" s="19"/>
      <c r="CS31" s="19"/>
      <c r="CT31" s="19"/>
    </row>
    <row r="32" spans="1:98" x14ac:dyDescent="0.3">
      <c r="A32" s="1">
        <v>46070</v>
      </c>
      <c r="B32" s="8">
        <v>55.79</v>
      </c>
      <c r="C32" s="8">
        <v>239.36</v>
      </c>
      <c r="D32" s="9">
        <v>-1.38841674976273E-2</v>
      </c>
      <c r="E32" s="9">
        <v>-1.35689544247759E-2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55.79</v>
      </c>
      <c r="M32" s="8">
        <v>239.36</v>
      </c>
      <c r="N32" s="10">
        <v>4.29037461910736</v>
      </c>
      <c r="O32" s="10">
        <v>4.2929927753205499</v>
      </c>
      <c r="P32" s="10">
        <v>4.2903145686062798</v>
      </c>
      <c r="Q32" s="10">
        <v>4.2910359325813996</v>
      </c>
      <c r="R32" s="8">
        <v>239.50606693513299</v>
      </c>
      <c r="S32" s="8">
        <v>239.361126372732</v>
      </c>
      <c r="T32" s="8">
        <v>239.40396137100899</v>
      </c>
      <c r="U32" s="9">
        <v>6.10053414719876E-4</v>
      </c>
      <c r="V32" s="9">
        <v>4.7057573632710797E-6</v>
      </c>
      <c r="W32" s="9">
        <v>1.8364528109932599E-4</v>
      </c>
      <c r="X32" s="10">
        <v>4.29037461910736</v>
      </c>
      <c r="Y32" s="10">
        <v>4.2916660005161003</v>
      </c>
      <c r="Z32" s="10">
        <v>4.2903145686062798</v>
      </c>
      <c r="AA32" s="10">
        <v>4.2910359325813996</v>
      </c>
      <c r="AB32" s="8">
        <v>239.43204616879299</v>
      </c>
      <c r="AC32" s="8">
        <v>239.361126372732</v>
      </c>
      <c r="AD32" s="8">
        <v>239.40396137100899</v>
      </c>
      <c r="AE32" s="9">
        <v>3.0094973345519399E-4</v>
      </c>
      <c r="AF32" s="9">
        <v>4.7057573632710797E-6</v>
      </c>
      <c r="AG32" s="9">
        <v>1.8364528109932599E-4</v>
      </c>
      <c r="AZ32" s="9"/>
      <c r="BB32">
        <f t="shared" si="6"/>
        <v>0</v>
      </c>
      <c r="BC32">
        <f t="shared" si="7"/>
        <v>1</v>
      </c>
      <c r="BD32">
        <f t="shared" si="8"/>
        <v>0</v>
      </c>
      <c r="BE32">
        <f t="shared" si="4"/>
        <v>1</v>
      </c>
      <c r="BF32">
        <f t="shared" si="9"/>
        <v>0</v>
      </c>
      <c r="BG32" s="9">
        <f t="shared" si="10"/>
        <v>0</v>
      </c>
      <c r="BH32" s="9">
        <f t="shared" si="11"/>
        <v>0</v>
      </c>
      <c r="BI32" s="9">
        <f t="shared" si="12"/>
        <v>0</v>
      </c>
      <c r="BJ32" s="12">
        <f t="shared" si="13"/>
        <v>0</v>
      </c>
      <c r="BL32" s="9"/>
      <c r="BN32">
        <f t="shared" si="14"/>
        <v>0</v>
      </c>
      <c r="BO32">
        <f t="shared" si="15"/>
        <v>0</v>
      </c>
      <c r="BP32">
        <f t="shared" si="16"/>
        <v>0</v>
      </c>
      <c r="BQ32">
        <f t="shared" si="5"/>
        <v>1</v>
      </c>
      <c r="BR32">
        <f t="shared" si="17"/>
        <v>0</v>
      </c>
      <c r="BS32" s="9">
        <f t="shared" si="18"/>
        <v>0</v>
      </c>
      <c r="BT32" s="9">
        <f t="shared" si="19"/>
        <v>0</v>
      </c>
      <c r="BU32" s="9">
        <f t="shared" si="20"/>
        <v>0</v>
      </c>
      <c r="BV32" s="12">
        <f t="shared" si="21"/>
        <v>0</v>
      </c>
      <c r="BX32" s="12">
        <f t="shared" si="22"/>
        <v>0</v>
      </c>
      <c r="BY32" s="12">
        <f t="shared" si="23"/>
        <v>0</v>
      </c>
      <c r="CL32" s="18"/>
      <c r="CM32" s="19"/>
      <c r="CN32" s="19"/>
      <c r="CO32" s="19"/>
      <c r="CP32" s="19"/>
      <c r="CQ32" s="19"/>
      <c r="CR32" s="19"/>
      <c r="CS32" s="19"/>
      <c r="CT32" s="19"/>
    </row>
    <row r="33" spans="1:98" x14ac:dyDescent="0.3">
      <c r="A33" s="1">
        <v>46071</v>
      </c>
      <c r="B33" s="8">
        <v>55.53</v>
      </c>
      <c r="C33" s="8">
        <v>238.38</v>
      </c>
      <c r="D33" s="9">
        <v>-4.6712266039210899E-3</v>
      </c>
      <c r="E33" s="9">
        <v>-4.1026557315498903E-3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55.53</v>
      </c>
      <c r="M33" s="8">
        <v>238.38</v>
      </c>
      <c r="N33" s="10">
        <v>4.2928146947595804</v>
      </c>
      <c r="O33" s="10">
        <v>4.2929927753205499</v>
      </c>
      <c r="P33" s="10">
        <v>4.2905051289913203</v>
      </c>
      <c r="Q33" s="10">
        <v>4.2911608475686602</v>
      </c>
      <c r="R33" s="8">
        <v>238.38988881354999</v>
      </c>
      <c r="S33" s="8">
        <v>238.24116799470599</v>
      </c>
      <c r="T33" s="8">
        <v>238.281225336245</v>
      </c>
      <c r="U33" s="9">
        <v>4.1482542348775902E-5</v>
      </c>
      <c r="V33" s="9">
        <v>-5.8256753389210499E-4</v>
      </c>
      <c r="W33" s="9">
        <v>-4.14443885586179E-4</v>
      </c>
      <c r="X33" s="10">
        <v>4.2928146947595804</v>
      </c>
      <c r="Y33" s="10">
        <v>4.2916660005161003</v>
      </c>
      <c r="Z33" s="10">
        <v>4.2905051289913203</v>
      </c>
      <c r="AA33" s="10">
        <v>4.2911608475686602</v>
      </c>
      <c r="AB33" s="8">
        <v>238.31621300865899</v>
      </c>
      <c r="AC33" s="8">
        <v>238.24116799470599</v>
      </c>
      <c r="AD33" s="8">
        <v>238.281225336245</v>
      </c>
      <c r="AE33" s="9">
        <v>-2.6762113891599698E-4</v>
      </c>
      <c r="AF33" s="9">
        <v>-5.8256753389210499E-4</v>
      </c>
      <c r="AG33" s="9">
        <v>-4.14443885586179E-4</v>
      </c>
      <c r="AZ33" s="9"/>
      <c r="BB33">
        <f t="shared" si="6"/>
        <v>0</v>
      </c>
      <c r="BC33">
        <f t="shared" si="7"/>
        <v>0</v>
      </c>
      <c r="BD33">
        <f t="shared" si="8"/>
        <v>0</v>
      </c>
      <c r="BE33">
        <f t="shared" si="4"/>
        <v>1</v>
      </c>
      <c r="BF33">
        <f t="shared" si="9"/>
        <v>0</v>
      </c>
      <c r="BG33" s="9">
        <f t="shared" si="10"/>
        <v>0</v>
      </c>
      <c r="BH33" s="9">
        <f t="shared" si="11"/>
        <v>0</v>
      </c>
      <c r="BI33" s="9">
        <f t="shared" si="12"/>
        <v>0</v>
      </c>
      <c r="BJ33" s="12">
        <f t="shared" si="13"/>
        <v>0</v>
      </c>
      <c r="BL33" s="9"/>
      <c r="BN33">
        <f t="shared" si="14"/>
        <v>0</v>
      </c>
      <c r="BO33">
        <f t="shared" si="15"/>
        <v>1</v>
      </c>
      <c r="BP33">
        <f t="shared" si="16"/>
        <v>0</v>
      </c>
      <c r="BQ33">
        <f t="shared" si="5"/>
        <v>1</v>
      </c>
      <c r="BR33">
        <f t="shared" si="17"/>
        <v>0</v>
      </c>
      <c r="BS33" s="9">
        <f t="shared" si="18"/>
        <v>0</v>
      </c>
      <c r="BT33" s="9">
        <f t="shared" si="19"/>
        <v>0</v>
      </c>
      <c r="BU33" s="9">
        <f t="shared" si="20"/>
        <v>0</v>
      </c>
      <c r="BV33" s="12">
        <f t="shared" si="21"/>
        <v>0</v>
      </c>
      <c r="BX33" s="12">
        <f t="shared" si="22"/>
        <v>0</v>
      </c>
      <c r="BY33" s="12">
        <f t="shared" si="23"/>
        <v>0</v>
      </c>
      <c r="CL33" s="18"/>
      <c r="CM33" s="19"/>
      <c r="CN33" s="19"/>
      <c r="CO33" s="19"/>
      <c r="CP33" s="19"/>
      <c r="CQ33" s="19"/>
      <c r="CR33" s="19"/>
      <c r="CS33" s="19"/>
      <c r="CT33" s="19"/>
    </row>
    <row r="34" spans="1:98" x14ac:dyDescent="0.3">
      <c r="A34" s="1">
        <v>46072</v>
      </c>
      <c r="B34" s="8">
        <v>55.39</v>
      </c>
      <c r="C34" s="8">
        <v>237.63</v>
      </c>
      <c r="D34" s="9">
        <v>-2.5243432085033301E-3</v>
      </c>
      <c r="E34" s="9">
        <v>-3.15119691026462E-3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55.39</v>
      </c>
      <c r="M34" s="8">
        <v>237.63</v>
      </c>
      <c r="N34" s="10">
        <v>4.2901245712222398</v>
      </c>
      <c r="O34" s="10">
        <v>4.2929927753205499</v>
      </c>
      <c r="P34" s="10">
        <v>4.2903122760571799</v>
      </c>
      <c r="Q34" s="10">
        <v>4.2910455164967498</v>
      </c>
      <c r="R34" s="8">
        <v>237.78886982500501</v>
      </c>
      <c r="S34" s="8">
        <v>237.65107909482899</v>
      </c>
      <c r="T34" s="8">
        <v>237.68739934682799</v>
      </c>
      <c r="U34" s="9">
        <v>6.6833624410989295E-4</v>
      </c>
      <c r="V34" s="9">
        <v>8.8701594785510398E-5</v>
      </c>
      <c r="W34" s="9">
        <v>2.4152007558064201E-4</v>
      </c>
      <c r="X34" s="10">
        <v>4.2901245712222398</v>
      </c>
      <c r="Y34" s="10">
        <v>4.2916660005161003</v>
      </c>
      <c r="Z34" s="10">
        <v>4.2903122760571799</v>
      </c>
      <c r="AA34" s="10">
        <v>4.2910455164967498</v>
      </c>
      <c r="AB34" s="8">
        <v>237.71537976858701</v>
      </c>
      <c r="AC34" s="8">
        <v>237.65107909482899</v>
      </c>
      <c r="AD34" s="8">
        <v>237.68739934682799</v>
      </c>
      <c r="AE34" s="9">
        <v>3.5923256284541998E-4</v>
      </c>
      <c r="AF34" s="9">
        <v>8.8701594785510398E-5</v>
      </c>
      <c r="AG34" s="9">
        <v>2.4152007558064201E-4</v>
      </c>
      <c r="AZ34" s="9"/>
      <c r="BB34">
        <f t="shared" si="6"/>
        <v>0</v>
      </c>
      <c r="BC34">
        <f t="shared" si="7"/>
        <v>1</v>
      </c>
      <c r="BD34">
        <f t="shared" si="8"/>
        <v>0</v>
      </c>
      <c r="BE34">
        <f t="shared" si="4"/>
        <v>1</v>
      </c>
      <c r="BF34">
        <f t="shared" si="9"/>
        <v>0</v>
      </c>
      <c r="BG34" s="9">
        <f t="shared" si="10"/>
        <v>0</v>
      </c>
      <c r="BH34" s="9">
        <f t="shared" si="11"/>
        <v>0</v>
      </c>
      <c r="BI34" s="9">
        <f t="shared" si="12"/>
        <v>0</v>
      </c>
      <c r="BJ34" s="12">
        <f t="shared" si="13"/>
        <v>0</v>
      </c>
      <c r="BL34" s="9"/>
      <c r="BN34">
        <f t="shared" si="14"/>
        <v>0</v>
      </c>
      <c r="BO34">
        <f t="shared" si="15"/>
        <v>0</v>
      </c>
      <c r="BP34">
        <f t="shared" si="16"/>
        <v>0</v>
      </c>
      <c r="BQ34">
        <f t="shared" si="5"/>
        <v>1</v>
      </c>
      <c r="BR34">
        <f t="shared" si="17"/>
        <v>0</v>
      </c>
      <c r="BS34" s="9">
        <f t="shared" si="18"/>
        <v>0</v>
      </c>
      <c r="BT34" s="9">
        <f t="shared" si="19"/>
        <v>0</v>
      </c>
      <c r="BU34" s="9">
        <f t="shared" si="20"/>
        <v>0</v>
      </c>
      <c r="BV34" s="12">
        <f t="shared" si="21"/>
        <v>0</v>
      </c>
      <c r="BX34" s="12">
        <f t="shared" si="22"/>
        <v>0</v>
      </c>
      <c r="BY34" s="12">
        <f t="shared" si="23"/>
        <v>0</v>
      </c>
    </row>
    <row r="35" spans="1:98" x14ac:dyDescent="0.3">
      <c r="A35" s="1">
        <v>46073</v>
      </c>
      <c r="B35" s="8">
        <v>55.5</v>
      </c>
      <c r="C35" s="8">
        <v>238.2</v>
      </c>
      <c r="D35" s="9">
        <v>1.9839487073761999E-3</v>
      </c>
      <c r="E35" s="9">
        <v>2.3958147769015999E-3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55.5</v>
      </c>
      <c r="M35" s="8">
        <v>238.2</v>
      </c>
      <c r="N35" s="10">
        <v>4.2918918918918898</v>
      </c>
      <c r="O35" s="10">
        <v>4.2929927753205499</v>
      </c>
      <c r="P35" s="10">
        <v>4.2906420391657303</v>
      </c>
      <c r="Q35" s="10">
        <v>4.2910535873547397</v>
      </c>
      <c r="R35" s="8">
        <v>238.26109903029001</v>
      </c>
      <c r="S35" s="8">
        <v>238.112331321173</v>
      </c>
      <c r="T35" s="8">
        <v>238.153026165569</v>
      </c>
      <c r="U35" s="9">
        <v>2.5647017458461599E-4</v>
      </c>
      <c r="V35" s="9">
        <v>-3.6811425634650599E-4</v>
      </c>
      <c r="W35" s="9">
        <v>-1.9722278227415801E-4</v>
      </c>
      <c r="X35" s="10">
        <v>4.2918918918918898</v>
      </c>
      <c r="Y35" s="10">
        <v>4.2916660005161003</v>
      </c>
      <c r="Z35" s="10">
        <v>4.2906420391657303</v>
      </c>
      <c r="AA35" s="10">
        <v>4.2910535873547397</v>
      </c>
      <c r="AB35" s="8">
        <v>238.187463028644</v>
      </c>
      <c r="AC35" s="8">
        <v>238.112331321173</v>
      </c>
      <c r="AD35" s="8">
        <v>238.153026165569</v>
      </c>
      <c r="AE35" s="9">
        <v>-5.26335066800803E-5</v>
      </c>
      <c r="AF35" s="9">
        <v>-3.6811425634650599E-4</v>
      </c>
      <c r="AG35" s="9">
        <v>-1.9722278227415801E-4</v>
      </c>
      <c r="AZ35" s="9"/>
      <c r="BB35">
        <f t="shared" si="6"/>
        <v>0</v>
      </c>
      <c r="BC35">
        <f t="shared" si="7"/>
        <v>0</v>
      </c>
      <c r="BD35">
        <f t="shared" si="8"/>
        <v>0</v>
      </c>
      <c r="BE35">
        <f t="shared" si="4"/>
        <v>1</v>
      </c>
      <c r="BF35">
        <f t="shared" si="9"/>
        <v>0</v>
      </c>
      <c r="BG35" s="9">
        <f t="shared" si="10"/>
        <v>0</v>
      </c>
      <c r="BH35" s="9">
        <f t="shared" si="11"/>
        <v>0</v>
      </c>
      <c r="BI35" s="9">
        <f t="shared" si="12"/>
        <v>0</v>
      </c>
      <c r="BJ35" s="12">
        <f t="shared" si="13"/>
        <v>0</v>
      </c>
      <c r="BL35" s="9"/>
      <c r="BN35">
        <f t="shared" si="14"/>
        <v>0</v>
      </c>
      <c r="BO35">
        <f t="shared" si="15"/>
        <v>1</v>
      </c>
      <c r="BP35">
        <f t="shared" si="16"/>
        <v>0</v>
      </c>
      <c r="BQ35">
        <f t="shared" si="5"/>
        <v>1</v>
      </c>
      <c r="BR35">
        <f t="shared" si="17"/>
        <v>0</v>
      </c>
      <c r="BS35" s="9">
        <f t="shared" si="18"/>
        <v>0</v>
      </c>
      <c r="BT35" s="9">
        <f t="shared" si="19"/>
        <v>0</v>
      </c>
      <c r="BU35" s="9">
        <f t="shared" si="20"/>
        <v>0</v>
      </c>
      <c r="BV35" s="12">
        <f t="shared" si="21"/>
        <v>0</v>
      </c>
      <c r="BX35" s="12">
        <f t="shared" si="22"/>
        <v>0</v>
      </c>
      <c r="BY35" s="12">
        <f t="shared" si="23"/>
        <v>0</v>
      </c>
    </row>
    <row r="36" spans="1:98" x14ac:dyDescent="0.3">
      <c r="A36" s="1">
        <v>46076</v>
      </c>
      <c r="B36" s="8">
        <v>56.17</v>
      </c>
      <c r="C36" s="8">
        <v>241.01</v>
      </c>
      <c r="D36" s="9">
        <v>1.19997857919526E-2</v>
      </c>
      <c r="E36" s="9">
        <v>1.1727769484545901E-2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56.17</v>
      </c>
      <c r="M36" s="8">
        <v>241.01</v>
      </c>
      <c r="N36" s="10">
        <v>4.2907245860779701</v>
      </c>
      <c r="O36" s="10">
        <v>4.2929927753205499</v>
      </c>
      <c r="P36" s="10">
        <v>4.2906718301507203</v>
      </c>
      <c r="Q36" s="10">
        <v>4.2910159962629004</v>
      </c>
      <c r="R36" s="8">
        <v>241.13740418975499</v>
      </c>
      <c r="S36" s="8">
        <v>241.00536333993901</v>
      </c>
      <c r="T36" s="8">
        <v>241.02848000171599</v>
      </c>
      <c r="U36" s="9">
        <v>5.2848648199119901E-4</v>
      </c>
      <c r="V36" s="9">
        <v>-1.92386401501165E-5</v>
      </c>
      <c r="W36" s="9">
        <v>7.6674383858510195E-5</v>
      </c>
      <c r="X36" s="10">
        <v>4.2907245860779701</v>
      </c>
      <c r="Y36" s="10">
        <v>4.2916660005161003</v>
      </c>
      <c r="Z36" s="10">
        <v>4.2906718301507203</v>
      </c>
      <c r="AA36" s="10">
        <v>4.2910159962629004</v>
      </c>
      <c r="AB36" s="8">
        <v>241.06287924898899</v>
      </c>
      <c r="AC36" s="8">
        <v>241.00536333993901</v>
      </c>
      <c r="AD36" s="8">
        <v>241.02848000171599</v>
      </c>
      <c r="AE36" s="9">
        <v>2.1938280072631599E-4</v>
      </c>
      <c r="AF36" s="9">
        <v>-1.92386401501165E-5</v>
      </c>
      <c r="AG36" s="9">
        <v>7.6674383858510195E-5</v>
      </c>
      <c r="AZ36" s="9"/>
      <c r="BB36">
        <f t="shared" si="6"/>
        <v>0</v>
      </c>
      <c r="BC36">
        <f t="shared" si="7"/>
        <v>1</v>
      </c>
      <c r="BD36">
        <f t="shared" si="8"/>
        <v>0</v>
      </c>
      <c r="BE36">
        <f t="shared" si="4"/>
        <v>1</v>
      </c>
      <c r="BF36">
        <f t="shared" si="9"/>
        <v>0</v>
      </c>
      <c r="BG36" s="9">
        <f t="shared" si="10"/>
        <v>0</v>
      </c>
      <c r="BH36" s="9">
        <f t="shared" si="11"/>
        <v>0</v>
      </c>
      <c r="BI36" s="9">
        <f t="shared" si="12"/>
        <v>0</v>
      </c>
      <c r="BJ36" s="12">
        <f t="shared" si="13"/>
        <v>0</v>
      </c>
      <c r="BL36" s="9"/>
      <c r="BN36">
        <f t="shared" si="14"/>
        <v>0</v>
      </c>
      <c r="BO36">
        <f t="shared" si="15"/>
        <v>0</v>
      </c>
      <c r="BP36">
        <f t="shared" si="16"/>
        <v>0</v>
      </c>
      <c r="BQ36">
        <f t="shared" si="5"/>
        <v>1</v>
      </c>
      <c r="BR36">
        <f t="shared" si="17"/>
        <v>0</v>
      </c>
      <c r="BS36" s="9">
        <f t="shared" si="18"/>
        <v>0</v>
      </c>
      <c r="BT36" s="9">
        <f t="shared" si="19"/>
        <v>0</v>
      </c>
      <c r="BU36" s="9">
        <f t="shared" si="20"/>
        <v>0</v>
      </c>
      <c r="BV36" s="12">
        <f t="shared" si="21"/>
        <v>0</v>
      </c>
      <c r="BX36" s="12">
        <f t="shared" si="22"/>
        <v>0</v>
      </c>
      <c r="BY36" s="12">
        <f t="shared" si="23"/>
        <v>0</v>
      </c>
    </row>
    <row r="37" spans="1:98" x14ac:dyDescent="0.3">
      <c r="A37" s="1">
        <v>46077</v>
      </c>
      <c r="B37" s="8">
        <v>56.66</v>
      </c>
      <c r="C37" s="8">
        <v>243.1</v>
      </c>
      <c r="D37" s="9">
        <v>8.68568785802914E-3</v>
      </c>
      <c r="E37" s="9">
        <v>8.6344549163319493E-3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56.66</v>
      </c>
      <c r="M37" s="8">
        <v>243.1</v>
      </c>
      <c r="N37" s="10">
        <v>4.2905047652665003</v>
      </c>
      <c r="O37" s="10">
        <v>4.2929927753205499</v>
      </c>
      <c r="P37" s="10">
        <v>4.2905774865725101</v>
      </c>
      <c r="Q37" s="10">
        <v>4.2909765555397499</v>
      </c>
      <c r="R37" s="8">
        <v>243.24097064966199</v>
      </c>
      <c r="S37" s="8">
        <v>243.109465896339</v>
      </c>
      <c r="T37" s="8">
        <v>243.128966348256</v>
      </c>
      <c r="U37" s="9">
        <v>5.7971942368818395E-4</v>
      </c>
      <c r="V37" s="9">
        <v>3.8937523866236899E-5</v>
      </c>
      <c r="W37" s="9">
        <v>1.19146946378351E-4</v>
      </c>
      <c r="X37" s="10">
        <v>4.2905047652665003</v>
      </c>
      <c r="Y37" s="10">
        <v>4.2916660005161003</v>
      </c>
      <c r="Z37" s="10">
        <v>4.2905774865725101</v>
      </c>
      <c r="AA37" s="10">
        <v>4.2909765555397499</v>
      </c>
      <c r="AB37" s="8">
        <v>243.16579558924201</v>
      </c>
      <c r="AC37" s="8">
        <v>243.109465896339</v>
      </c>
      <c r="AD37" s="8">
        <v>243.128966348256</v>
      </c>
      <c r="AE37" s="9">
        <v>2.7061574242348102E-4</v>
      </c>
      <c r="AF37" s="9">
        <v>3.8937523866236899E-5</v>
      </c>
      <c r="AG37" s="9">
        <v>1.19146946378351E-4</v>
      </c>
      <c r="AZ37" s="9"/>
      <c r="BB37">
        <f t="shared" si="6"/>
        <v>0</v>
      </c>
      <c r="BC37">
        <f t="shared" si="7"/>
        <v>1</v>
      </c>
      <c r="BD37">
        <f t="shared" si="8"/>
        <v>0</v>
      </c>
      <c r="BE37">
        <f t="shared" si="4"/>
        <v>1</v>
      </c>
      <c r="BF37">
        <f t="shared" si="9"/>
        <v>0</v>
      </c>
      <c r="BG37" s="9">
        <f t="shared" si="10"/>
        <v>0</v>
      </c>
      <c r="BH37" s="9">
        <f t="shared" si="11"/>
        <v>0</v>
      </c>
      <c r="BI37" s="9">
        <f t="shared" si="12"/>
        <v>0</v>
      </c>
      <c r="BJ37" s="12">
        <f t="shared" si="13"/>
        <v>0</v>
      </c>
      <c r="BL37" s="9"/>
      <c r="BN37">
        <f t="shared" si="14"/>
        <v>0</v>
      </c>
      <c r="BO37">
        <f t="shared" si="15"/>
        <v>0</v>
      </c>
      <c r="BP37">
        <f t="shared" si="16"/>
        <v>0</v>
      </c>
      <c r="BQ37">
        <f t="shared" si="5"/>
        <v>1</v>
      </c>
      <c r="BR37">
        <f t="shared" si="17"/>
        <v>0</v>
      </c>
      <c r="BS37" s="9">
        <f t="shared" si="18"/>
        <v>0</v>
      </c>
      <c r="BT37" s="9">
        <f t="shared" si="19"/>
        <v>0</v>
      </c>
      <c r="BU37" s="9">
        <f t="shared" si="20"/>
        <v>0</v>
      </c>
      <c r="BV37" s="12">
        <f t="shared" si="21"/>
        <v>0</v>
      </c>
      <c r="BX37" s="12">
        <f t="shared" si="22"/>
        <v>0</v>
      </c>
      <c r="BY37" s="12">
        <f t="shared" si="23"/>
        <v>0</v>
      </c>
    </row>
    <row r="38" spans="1:98" x14ac:dyDescent="0.3">
      <c r="A38" s="1">
        <v>46078</v>
      </c>
      <c r="B38" s="8">
        <v>56.23</v>
      </c>
      <c r="C38" s="8">
        <v>241.29</v>
      </c>
      <c r="D38" s="9">
        <v>-7.6180720982601596E-3</v>
      </c>
      <c r="E38" s="9">
        <v>-7.4733517379903499E-3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56.23</v>
      </c>
      <c r="M38" s="8">
        <v>241.29</v>
      </c>
      <c r="N38" s="10">
        <v>4.2911257335941597</v>
      </c>
      <c r="O38" s="10">
        <v>4.2929927753205499</v>
      </c>
      <c r="P38" s="10">
        <v>4.2907106165991999</v>
      </c>
      <c r="Q38" s="10">
        <v>4.2909012432828897</v>
      </c>
      <c r="R38" s="8">
        <v>241.394983756274</v>
      </c>
      <c r="S38" s="8">
        <v>241.25917206997201</v>
      </c>
      <c r="T38" s="8">
        <v>241.28161171799999</v>
      </c>
      <c r="U38" s="9">
        <v>4.34999063418421E-4</v>
      </c>
      <c r="V38" s="9">
        <v>-1.2777114480353499E-4</v>
      </c>
      <c r="W38" s="9">
        <v>-3.4764921087477301E-5</v>
      </c>
      <c r="X38" s="10">
        <v>4.2911257335941597</v>
      </c>
      <c r="Y38" s="10">
        <v>4.2916660005161003</v>
      </c>
      <c r="Z38" s="10">
        <v>4.2907106165991999</v>
      </c>
      <c r="AA38" s="10">
        <v>4.2909012432828897</v>
      </c>
      <c r="AB38" s="8">
        <v>241.32037920901999</v>
      </c>
      <c r="AC38" s="8">
        <v>241.25917206997201</v>
      </c>
      <c r="AD38" s="8">
        <v>241.28161171799999</v>
      </c>
      <c r="AE38" s="9">
        <v>1.2589538215379301E-4</v>
      </c>
      <c r="AF38" s="9">
        <v>-1.2777114480353499E-4</v>
      </c>
      <c r="AG38" s="9">
        <v>-3.4764921087477301E-5</v>
      </c>
      <c r="AZ38" s="9"/>
      <c r="BB38">
        <f t="shared" si="6"/>
        <v>0</v>
      </c>
      <c r="BC38">
        <f t="shared" si="7"/>
        <v>0</v>
      </c>
      <c r="BD38">
        <f t="shared" si="8"/>
        <v>0</v>
      </c>
      <c r="BE38">
        <f t="shared" si="4"/>
        <v>1</v>
      </c>
      <c r="BF38">
        <f t="shared" si="9"/>
        <v>0</v>
      </c>
      <c r="BG38" s="9">
        <f t="shared" si="10"/>
        <v>0</v>
      </c>
      <c r="BH38" s="9">
        <f t="shared" si="11"/>
        <v>0</v>
      </c>
      <c r="BI38" s="9">
        <f t="shared" si="12"/>
        <v>0</v>
      </c>
      <c r="BJ38" s="12">
        <f t="shared" si="13"/>
        <v>0</v>
      </c>
      <c r="BL38" s="9"/>
      <c r="BN38">
        <f t="shared" si="14"/>
        <v>0</v>
      </c>
      <c r="BO38">
        <f t="shared" si="15"/>
        <v>1</v>
      </c>
      <c r="BP38">
        <f t="shared" si="16"/>
        <v>0</v>
      </c>
      <c r="BQ38">
        <f t="shared" si="5"/>
        <v>1</v>
      </c>
      <c r="BR38">
        <f t="shared" si="17"/>
        <v>0</v>
      </c>
      <c r="BS38" s="9">
        <f t="shared" si="18"/>
        <v>0</v>
      </c>
      <c r="BT38" s="9">
        <f t="shared" si="19"/>
        <v>0</v>
      </c>
      <c r="BU38" s="9">
        <f t="shared" si="20"/>
        <v>0</v>
      </c>
      <c r="BV38" s="12">
        <f t="shared" si="21"/>
        <v>0</v>
      </c>
      <c r="BX38" s="12">
        <f t="shared" si="22"/>
        <v>0</v>
      </c>
      <c r="BY38" s="12">
        <f t="shared" si="23"/>
        <v>0</v>
      </c>
    </row>
    <row r="39" spans="1:98" x14ac:dyDescent="0.3">
      <c r="A39" s="1">
        <v>46079</v>
      </c>
      <c r="B39" s="8">
        <v>56.15</v>
      </c>
      <c r="C39" s="8">
        <v>240.89</v>
      </c>
      <c r="D39" s="9">
        <v>-1.4237411196580899E-3</v>
      </c>
      <c r="E39" s="9">
        <v>-1.6591318252821899E-3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56.15</v>
      </c>
      <c r="M39" s="8">
        <v>240.89</v>
      </c>
      <c r="N39" s="10">
        <v>4.2901157613535101</v>
      </c>
      <c r="O39" s="10">
        <v>4.2929927753205499</v>
      </c>
      <c r="P39" s="10">
        <v>4.2905757417013</v>
      </c>
      <c r="Q39" s="10">
        <v>4.2907406203076199</v>
      </c>
      <c r="R39" s="8">
        <v>241.05154433424801</v>
      </c>
      <c r="S39" s="8">
        <v>240.92340112204499</v>
      </c>
      <c r="T39" s="8">
        <v>240.93410481033399</v>
      </c>
      <c r="U39" s="9">
        <v>6.7038976904255302E-4</v>
      </c>
      <c r="V39" s="9">
        <v>1.3864754289033299E-4</v>
      </c>
      <c r="W39" s="9">
        <v>1.8307432117754401E-4</v>
      </c>
      <c r="X39" s="10">
        <v>4.2901157613535101</v>
      </c>
      <c r="Y39" s="10">
        <v>4.2916660005161003</v>
      </c>
      <c r="Z39" s="10">
        <v>4.2905757417013</v>
      </c>
      <c r="AA39" s="10">
        <v>4.2907406203076199</v>
      </c>
      <c r="AB39" s="8">
        <v>240.97704592897901</v>
      </c>
      <c r="AC39" s="8">
        <v>240.92340112204499</v>
      </c>
      <c r="AD39" s="8">
        <v>240.93410481033399</v>
      </c>
      <c r="AE39" s="9">
        <v>3.6128608777773901E-4</v>
      </c>
      <c r="AF39" s="9">
        <v>1.3864754289033299E-4</v>
      </c>
      <c r="AG39" s="9">
        <v>1.8307432117754401E-4</v>
      </c>
      <c r="AZ39" s="9"/>
      <c r="BB39">
        <f t="shared" si="6"/>
        <v>0</v>
      </c>
      <c r="BC39">
        <f t="shared" si="7"/>
        <v>1</v>
      </c>
      <c r="BD39">
        <f t="shared" si="8"/>
        <v>0</v>
      </c>
      <c r="BE39">
        <f t="shared" si="4"/>
        <v>1</v>
      </c>
      <c r="BF39">
        <f t="shared" si="9"/>
        <v>0</v>
      </c>
      <c r="BG39" s="9">
        <f t="shared" si="10"/>
        <v>0</v>
      </c>
      <c r="BH39" s="9">
        <f t="shared" si="11"/>
        <v>0</v>
      </c>
      <c r="BI39" s="9">
        <f t="shared" si="12"/>
        <v>0</v>
      </c>
      <c r="BJ39" s="12">
        <f t="shared" si="13"/>
        <v>0</v>
      </c>
      <c r="BL39" s="9"/>
      <c r="BN39">
        <f t="shared" si="14"/>
        <v>0</v>
      </c>
      <c r="BO39">
        <f t="shared" si="15"/>
        <v>0</v>
      </c>
      <c r="BP39">
        <f t="shared" si="16"/>
        <v>0</v>
      </c>
      <c r="BQ39">
        <f t="shared" si="5"/>
        <v>1</v>
      </c>
      <c r="BR39">
        <f t="shared" si="17"/>
        <v>0</v>
      </c>
      <c r="BS39" s="9">
        <f t="shared" si="18"/>
        <v>0</v>
      </c>
      <c r="BT39" s="9">
        <f t="shared" si="19"/>
        <v>0</v>
      </c>
      <c r="BU39" s="9">
        <f t="shared" si="20"/>
        <v>0</v>
      </c>
      <c r="BV39" s="12">
        <f t="shared" si="21"/>
        <v>0</v>
      </c>
      <c r="BX39" s="12">
        <f t="shared" si="22"/>
        <v>0</v>
      </c>
      <c r="BY39" s="12">
        <f t="shared" si="23"/>
        <v>0</v>
      </c>
    </row>
    <row r="40" spans="1:98" x14ac:dyDescent="0.3">
      <c r="A40" s="1">
        <v>46080</v>
      </c>
      <c r="B40" s="8">
        <v>56.91</v>
      </c>
      <c r="C40" s="8">
        <v>244.19</v>
      </c>
      <c r="D40" s="9">
        <v>1.34443914305802E-2</v>
      </c>
      <c r="E40" s="9">
        <v>1.3606213038373401E-2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56.91</v>
      </c>
      <c r="M40" s="8">
        <v>244.19</v>
      </c>
      <c r="N40" s="10">
        <v>4.2908100509576501</v>
      </c>
      <c r="O40" s="10">
        <v>4.2929927753205499</v>
      </c>
      <c r="P40" s="10">
        <v>4.29075091242927</v>
      </c>
      <c r="Q40" s="10">
        <v>4.2907736487274803</v>
      </c>
      <c r="R40" s="8">
        <v>244.314218843492</v>
      </c>
      <c r="S40" s="8">
        <v>244.17666546022099</v>
      </c>
      <c r="T40" s="8">
        <v>244.186048701706</v>
      </c>
      <c r="U40" s="9">
        <v>5.0856816124940103E-4</v>
      </c>
      <c r="V40" s="9">
        <v>-5.4608722195809899E-5</v>
      </c>
      <c r="W40" s="9">
        <v>-1.61813762314245E-5</v>
      </c>
      <c r="X40" s="10">
        <v>4.2908100509576501</v>
      </c>
      <c r="Y40" s="10">
        <v>4.2916660005161003</v>
      </c>
      <c r="Z40" s="10">
        <v>4.29075091242927</v>
      </c>
      <c r="AA40" s="10">
        <v>4.2907736487274803</v>
      </c>
      <c r="AB40" s="8">
        <v>244.23871208937101</v>
      </c>
      <c r="AC40" s="8">
        <v>244.17666546022099</v>
      </c>
      <c r="AD40" s="8">
        <v>244.186048701706</v>
      </c>
      <c r="AE40" s="9">
        <v>1.9946447998480901E-4</v>
      </c>
      <c r="AF40" s="9">
        <v>-5.4608722195809899E-5</v>
      </c>
      <c r="AG40" s="9">
        <v>-1.61813762314245E-5</v>
      </c>
      <c r="AZ40" s="9"/>
      <c r="BB40">
        <f t="shared" si="6"/>
        <v>0</v>
      </c>
      <c r="BC40">
        <f t="shared" si="7"/>
        <v>0</v>
      </c>
      <c r="BD40">
        <f t="shared" si="8"/>
        <v>0</v>
      </c>
      <c r="BE40">
        <f t="shared" si="4"/>
        <v>1</v>
      </c>
      <c r="BF40">
        <f t="shared" si="9"/>
        <v>0</v>
      </c>
      <c r="BG40" s="9">
        <f t="shared" si="10"/>
        <v>0</v>
      </c>
      <c r="BH40" s="9">
        <f t="shared" si="11"/>
        <v>0</v>
      </c>
      <c r="BI40" s="9">
        <f t="shared" si="12"/>
        <v>0</v>
      </c>
      <c r="BJ40" s="12">
        <f t="shared" si="13"/>
        <v>0</v>
      </c>
      <c r="BL40" s="9"/>
      <c r="BN40">
        <f t="shared" si="14"/>
        <v>0</v>
      </c>
      <c r="BO40">
        <f t="shared" si="15"/>
        <v>1</v>
      </c>
      <c r="BP40">
        <f t="shared" si="16"/>
        <v>0</v>
      </c>
      <c r="BQ40">
        <f t="shared" si="5"/>
        <v>1</v>
      </c>
      <c r="BR40">
        <f t="shared" si="17"/>
        <v>0</v>
      </c>
      <c r="BS40" s="9">
        <f t="shared" si="18"/>
        <v>0</v>
      </c>
      <c r="BT40" s="9">
        <f t="shared" si="19"/>
        <v>0</v>
      </c>
      <c r="BU40" s="9">
        <f t="shared" si="20"/>
        <v>0</v>
      </c>
      <c r="BV40" s="12">
        <f t="shared" si="21"/>
        <v>0</v>
      </c>
      <c r="BX40" s="12">
        <f t="shared" si="22"/>
        <v>0</v>
      </c>
      <c r="BY40" s="12">
        <f t="shared" si="23"/>
        <v>0</v>
      </c>
    </row>
    <row r="41" spans="1:98" x14ac:dyDescent="0.3">
      <c r="A41" s="1">
        <v>46083</v>
      </c>
      <c r="B41" s="8">
        <v>56.14</v>
      </c>
      <c r="C41" s="8">
        <v>240.91</v>
      </c>
      <c r="D41" s="9">
        <v>-1.3622501681295999E-2</v>
      </c>
      <c r="E41" s="9">
        <v>-1.3523191037495301E-2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56.14</v>
      </c>
      <c r="M41" s="8">
        <v>240.91</v>
      </c>
      <c r="N41" s="10">
        <v>4.2912361952262197</v>
      </c>
      <c r="O41" s="10">
        <v>4.2929927753205499</v>
      </c>
      <c r="P41" s="10">
        <v>4.2909722869457099</v>
      </c>
      <c r="Q41" s="10">
        <v>4.2906835477812599</v>
      </c>
      <c r="R41" s="8">
        <v>241.00861440649501</v>
      </c>
      <c r="S41" s="8">
        <v>240.88275622377901</v>
      </c>
      <c r="T41" s="8">
        <v>240.88403263956101</v>
      </c>
      <c r="U41" s="9">
        <v>4.0925751744885102E-4</v>
      </c>
      <c r="V41" s="9">
        <v>-1.1309334105794399E-4</v>
      </c>
      <c r="W41" s="9">
        <v>-1.07794446194017E-4</v>
      </c>
      <c r="X41" s="10">
        <v>4.2912361952262197</v>
      </c>
      <c r="Y41" s="10">
        <v>4.2916660005161003</v>
      </c>
      <c r="Z41" s="10">
        <v>4.2909722869457099</v>
      </c>
      <c r="AA41" s="10">
        <v>4.2906835477812599</v>
      </c>
      <c r="AB41" s="8">
        <v>240.934129268974</v>
      </c>
      <c r="AC41" s="8">
        <v>240.88275622377901</v>
      </c>
      <c r="AD41" s="8">
        <v>240.88403263956101</v>
      </c>
      <c r="AE41" s="9">
        <v>1.0015383618418599E-4</v>
      </c>
      <c r="AF41" s="9">
        <v>-1.1309334105794399E-4</v>
      </c>
      <c r="AG41" s="9">
        <v>-1.07794446194017E-4</v>
      </c>
      <c r="AZ41" s="9"/>
      <c r="BB41">
        <f t="shared" si="6"/>
        <v>0</v>
      </c>
      <c r="BC41">
        <f t="shared" si="7"/>
        <v>0</v>
      </c>
      <c r="BD41">
        <f t="shared" si="8"/>
        <v>0</v>
      </c>
      <c r="BE41">
        <f t="shared" si="4"/>
        <v>1</v>
      </c>
      <c r="BF41">
        <f t="shared" si="9"/>
        <v>0</v>
      </c>
      <c r="BG41" s="9">
        <f t="shared" si="10"/>
        <v>0</v>
      </c>
      <c r="BH41" s="9">
        <f t="shared" si="11"/>
        <v>0</v>
      </c>
      <c r="BI41" s="9">
        <f t="shared" si="12"/>
        <v>0</v>
      </c>
      <c r="BJ41" s="12">
        <f t="shared" si="13"/>
        <v>0</v>
      </c>
      <c r="BL41" s="9"/>
      <c r="BN41">
        <f t="shared" si="14"/>
        <v>0</v>
      </c>
      <c r="BO41">
        <f t="shared" si="15"/>
        <v>1</v>
      </c>
      <c r="BP41">
        <f t="shared" si="16"/>
        <v>0</v>
      </c>
      <c r="BQ41">
        <f t="shared" si="5"/>
        <v>1</v>
      </c>
      <c r="BR41">
        <f t="shared" si="17"/>
        <v>0</v>
      </c>
      <c r="BS41" s="9">
        <f t="shared" si="18"/>
        <v>0</v>
      </c>
      <c r="BT41" s="9">
        <f t="shared" si="19"/>
        <v>0</v>
      </c>
      <c r="BU41" s="9">
        <f t="shared" si="20"/>
        <v>0</v>
      </c>
      <c r="BV41" s="12">
        <f t="shared" si="21"/>
        <v>0</v>
      </c>
      <c r="BX41" s="12">
        <f t="shared" si="22"/>
        <v>0</v>
      </c>
      <c r="BY41" s="12">
        <f t="shared" si="23"/>
        <v>0</v>
      </c>
    </row>
    <row r="42" spans="1:98" x14ac:dyDescent="0.3">
      <c r="A42" s="1">
        <v>46084</v>
      </c>
      <c r="B42" s="8">
        <v>55.62</v>
      </c>
      <c r="C42" s="8">
        <v>238.63</v>
      </c>
      <c r="D42" s="9">
        <v>-9.3057221279176702E-3</v>
      </c>
      <c r="E42" s="9">
        <v>-9.5091845545580492E-3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55.62</v>
      </c>
      <c r="M42" s="8">
        <v>238.63</v>
      </c>
      <c r="N42" s="10">
        <v>4.2903631787126901</v>
      </c>
      <c r="O42" s="10">
        <v>4.2929927753205499</v>
      </c>
      <c r="P42" s="10">
        <v>4.2909711429062396</v>
      </c>
      <c r="Q42" s="10">
        <v>4.2906428557562597</v>
      </c>
      <c r="R42" s="8">
        <v>238.776258163329</v>
      </c>
      <c r="S42" s="8">
        <v>238.66387859992</v>
      </c>
      <c r="T42" s="8">
        <v>238.64781892759399</v>
      </c>
      <c r="U42" s="9">
        <v>6.1271994408924901E-4</v>
      </c>
      <c r="V42" s="9">
        <v>1.4196117526921401E-4</v>
      </c>
      <c r="W42" s="9">
        <v>7.4668995271819994E-5</v>
      </c>
      <c r="X42" s="10">
        <v>4.2903631787126901</v>
      </c>
      <c r="Y42" s="10">
        <v>4.2916660005161003</v>
      </c>
      <c r="Z42" s="10">
        <v>4.2909711429062396</v>
      </c>
      <c r="AA42" s="10">
        <v>4.2906428557562597</v>
      </c>
      <c r="AB42" s="8">
        <v>238.702462948705</v>
      </c>
      <c r="AC42" s="8">
        <v>238.66387859992</v>
      </c>
      <c r="AD42" s="8">
        <v>238.64781892759399</v>
      </c>
      <c r="AE42" s="9">
        <v>3.0361626282441597E-4</v>
      </c>
      <c r="AF42" s="9">
        <v>1.4196117526921401E-4</v>
      </c>
      <c r="AG42" s="9">
        <v>7.4668995271819994E-5</v>
      </c>
      <c r="AZ42" s="9"/>
      <c r="BB42">
        <f t="shared" si="6"/>
        <v>0</v>
      </c>
      <c r="BC42">
        <f t="shared" si="7"/>
        <v>1</v>
      </c>
      <c r="BD42">
        <f t="shared" si="8"/>
        <v>0</v>
      </c>
      <c r="BE42">
        <f t="shared" si="4"/>
        <v>1</v>
      </c>
      <c r="BF42">
        <f t="shared" si="9"/>
        <v>0</v>
      </c>
      <c r="BG42" s="9">
        <f t="shared" si="10"/>
        <v>0</v>
      </c>
      <c r="BH42" s="9">
        <f t="shared" si="11"/>
        <v>0</v>
      </c>
      <c r="BI42" s="9">
        <f t="shared" si="12"/>
        <v>0</v>
      </c>
      <c r="BJ42" s="12">
        <f t="shared" si="13"/>
        <v>0</v>
      </c>
      <c r="BL42" s="9"/>
      <c r="BN42">
        <f t="shared" si="14"/>
        <v>0</v>
      </c>
      <c r="BO42">
        <f t="shared" si="15"/>
        <v>0</v>
      </c>
      <c r="BP42">
        <f t="shared" si="16"/>
        <v>0</v>
      </c>
      <c r="BQ42">
        <f t="shared" si="5"/>
        <v>1</v>
      </c>
      <c r="BR42">
        <f t="shared" si="17"/>
        <v>0</v>
      </c>
      <c r="BS42" s="9">
        <f t="shared" si="18"/>
        <v>0</v>
      </c>
      <c r="BT42" s="9">
        <f t="shared" si="19"/>
        <v>0</v>
      </c>
      <c r="BU42" s="9">
        <f t="shared" si="20"/>
        <v>0</v>
      </c>
      <c r="BV42" s="12">
        <f t="shared" si="21"/>
        <v>0</v>
      </c>
      <c r="BX42" s="12">
        <f t="shared" si="22"/>
        <v>0</v>
      </c>
      <c r="BY42" s="12">
        <f t="shared" si="23"/>
        <v>0</v>
      </c>
    </row>
    <row r="43" spans="1:98" x14ac:dyDescent="0.3">
      <c r="A43" s="1">
        <v>46085</v>
      </c>
      <c r="B43" s="8">
        <v>55.27</v>
      </c>
      <c r="C43" s="8">
        <v>237.13</v>
      </c>
      <c r="D43" s="9">
        <v>-6.3125829606471198E-3</v>
      </c>
      <c r="E43" s="9">
        <v>-6.3057212471067598E-3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55.27</v>
      </c>
      <c r="M43" s="8">
        <v>237.13</v>
      </c>
      <c r="N43" s="10">
        <v>4.2903926180568099</v>
      </c>
      <c r="O43" s="10">
        <v>4.2929927753205499</v>
      </c>
      <c r="P43" s="10">
        <v>4.2907289352359603</v>
      </c>
      <c r="Q43" s="10">
        <v>4.2906170321136399</v>
      </c>
      <c r="R43" s="8">
        <v>237.27371069196599</v>
      </c>
      <c r="S43" s="8">
        <v>237.16197506842801</v>
      </c>
      <c r="T43" s="8">
        <v>237.14383063764799</v>
      </c>
      <c r="U43" s="9">
        <v>6.0585823054893999E-4</v>
      </c>
      <c r="V43" s="9">
        <v>1.3483284625262799E-4</v>
      </c>
      <c r="W43" s="9">
        <v>5.8323427349881499E-5</v>
      </c>
      <c r="X43" s="10">
        <v>4.2903926180568099</v>
      </c>
      <c r="Y43" s="10">
        <v>4.2916660005161003</v>
      </c>
      <c r="Z43" s="10">
        <v>4.2907289352359603</v>
      </c>
      <c r="AA43" s="10">
        <v>4.2906170321136399</v>
      </c>
      <c r="AB43" s="8">
        <v>237.20037984852499</v>
      </c>
      <c r="AC43" s="8">
        <v>237.16197506842801</v>
      </c>
      <c r="AD43" s="8">
        <v>237.14383063764799</v>
      </c>
      <c r="AE43" s="9">
        <v>2.9675454928420502E-4</v>
      </c>
      <c r="AF43" s="9">
        <v>1.3483284625262799E-4</v>
      </c>
      <c r="AG43" s="9">
        <v>5.8323427349881499E-5</v>
      </c>
      <c r="AZ43" s="9"/>
      <c r="BB43">
        <f t="shared" si="6"/>
        <v>0</v>
      </c>
      <c r="BC43">
        <f t="shared" si="7"/>
        <v>1</v>
      </c>
      <c r="BD43">
        <f t="shared" si="8"/>
        <v>0</v>
      </c>
      <c r="BE43">
        <f t="shared" si="4"/>
        <v>1</v>
      </c>
      <c r="BF43">
        <f t="shared" si="9"/>
        <v>0</v>
      </c>
      <c r="BG43" s="9">
        <f t="shared" si="10"/>
        <v>0</v>
      </c>
      <c r="BH43" s="9">
        <f t="shared" si="11"/>
        <v>0</v>
      </c>
      <c r="BI43" s="9">
        <f t="shared" si="12"/>
        <v>0</v>
      </c>
      <c r="BJ43" s="12">
        <f t="shared" si="13"/>
        <v>0</v>
      </c>
      <c r="BL43" s="9"/>
      <c r="BN43">
        <f t="shared" si="14"/>
        <v>0</v>
      </c>
      <c r="BO43">
        <f t="shared" si="15"/>
        <v>0</v>
      </c>
      <c r="BP43">
        <f t="shared" si="16"/>
        <v>0</v>
      </c>
      <c r="BQ43">
        <f t="shared" si="5"/>
        <v>1</v>
      </c>
      <c r="BR43">
        <f t="shared" si="17"/>
        <v>0</v>
      </c>
      <c r="BS43" s="9">
        <f t="shared" si="18"/>
        <v>0</v>
      </c>
      <c r="BT43" s="9">
        <f t="shared" si="19"/>
        <v>0</v>
      </c>
      <c r="BU43" s="9">
        <f t="shared" si="20"/>
        <v>0</v>
      </c>
      <c r="BV43" s="12">
        <f t="shared" si="21"/>
        <v>0</v>
      </c>
      <c r="BX43" s="12">
        <f t="shared" si="22"/>
        <v>0</v>
      </c>
      <c r="BY43" s="12">
        <f t="shared" si="23"/>
        <v>0</v>
      </c>
    </row>
    <row r="44" spans="1:98" x14ac:dyDescent="0.3">
      <c r="A44" s="1">
        <v>46086</v>
      </c>
      <c r="B44" s="8">
        <v>54.09</v>
      </c>
      <c r="C44" s="8">
        <v>232.11</v>
      </c>
      <c r="D44" s="9">
        <v>-2.1580939961835899E-2</v>
      </c>
      <c r="E44" s="9">
        <v>-2.1397116728545301E-2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54.09</v>
      </c>
      <c r="M44" s="8">
        <v>232.11</v>
      </c>
      <c r="N44" s="10">
        <v>4.2911813643926697</v>
      </c>
      <c r="O44" s="10">
        <v>4.2929927753205499</v>
      </c>
      <c r="P44" s="10">
        <v>4.2908346145530096</v>
      </c>
      <c r="Q44" s="10">
        <v>4.2905734453050899</v>
      </c>
      <c r="R44" s="8">
        <v>232.207979217088</v>
      </c>
      <c r="S44" s="8">
        <v>232.08552810691299</v>
      </c>
      <c r="T44" s="8">
        <v>232.07947526702699</v>
      </c>
      <c r="U44" s="9">
        <v>4.22034997258259E-4</v>
      </c>
      <c r="V44" s="9">
        <v>-1.0543786670666699E-4</v>
      </c>
      <c r="W44" s="9">
        <v>-1.3151841927981799E-4</v>
      </c>
      <c r="X44" s="10">
        <v>4.2911813643926697</v>
      </c>
      <c r="Y44" s="10">
        <v>4.2916660005161003</v>
      </c>
      <c r="Z44" s="10">
        <v>4.2908346145530096</v>
      </c>
      <c r="AA44" s="10">
        <v>4.2905734453050899</v>
      </c>
      <c r="AB44" s="8">
        <v>232.13621396791601</v>
      </c>
      <c r="AC44" s="8">
        <v>232.08552810691299</v>
      </c>
      <c r="AD44" s="8">
        <v>232.07947526702699</v>
      </c>
      <c r="AE44" s="9">
        <v>1.1293131599337299E-4</v>
      </c>
      <c r="AF44" s="9">
        <v>-1.0543786670666699E-4</v>
      </c>
      <c r="AG44" s="9">
        <v>-1.3151841927981799E-4</v>
      </c>
      <c r="AZ44" s="9"/>
      <c r="BB44">
        <f t="shared" si="6"/>
        <v>0</v>
      </c>
      <c r="BC44">
        <f t="shared" si="7"/>
        <v>0</v>
      </c>
      <c r="BD44">
        <f t="shared" si="8"/>
        <v>0</v>
      </c>
      <c r="BE44">
        <f t="shared" si="4"/>
        <v>1</v>
      </c>
      <c r="BF44">
        <f t="shared" si="9"/>
        <v>0</v>
      </c>
      <c r="BG44" s="9">
        <f t="shared" si="10"/>
        <v>0</v>
      </c>
      <c r="BH44" s="9">
        <f t="shared" si="11"/>
        <v>0</v>
      </c>
      <c r="BI44" s="9">
        <f t="shared" si="12"/>
        <v>0</v>
      </c>
      <c r="BJ44" s="12">
        <f t="shared" si="13"/>
        <v>0</v>
      </c>
      <c r="BL44" s="9"/>
      <c r="BN44">
        <f t="shared" si="14"/>
        <v>0</v>
      </c>
      <c r="BO44">
        <f t="shared" si="15"/>
        <v>1</v>
      </c>
      <c r="BP44">
        <f t="shared" si="16"/>
        <v>0</v>
      </c>
      <c r="BQ44">
        <f t="shared" si="5"/>
        <v>1</v>
      </c>
      <c r="BR44">
        <f t="shared" si="17"/>
        <v>0</v>
      </c>
      <c r="BS44" s="9">
        <f t="shared" si="18"/>
        <v>0</v>
      </c>
      <c r="BT44" s="9">
        <f t="shared" si="19"/>
        <v>0</v>
      </c>
      <c r="BU44" s="9">
        <f t="shared" si="20"/>
        <v>0</v>
      </c>
      <c r="BV44" s="12">
        <f t="shared" si="21"/>
        <v>0</v>
      </c>
      <c r="BX44" s="12">
        <f t="shared" si="22"/>
        <v>0</v>
      </c>
      <c r="BY44" s="12">
        <f t="shared" si="23"/>
        <v>0</v>
      </c>
    </row>
    <row r="45" spans="1:98" x14ac:dyDescent="0.3">
      <c r="A45" s="1">
        <v>46087</v>
      </c>
      <c r="B45" s="8">
        <v>54.26</v>
      </c>
      <c r="C45" s="8">
        <v>232.79</v>
      </c>
      <c r="D45" s="9">
        <v>3.1379813474499401E-3</v>
      </c>
      <c r="E45" s="9">
        <v>2.92536237874283E-3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54.26</v>
      </c>
      <c r="M45" s="8">
        <v>232.79</v>
      </c>
      <c r="N45" s="10">
        <v>4.2902690748249102</v>
      </c>
      <c r="O45" s="10">
        <v>4.2929927753205499</v>
      </c>
      <c r="P45" s="10">
        <v>4.2906723328463103</v>
      </c>
      <c r="Q45" s="10">
        <v>4.2906571860060199</v>
      </c>
      <c r="R45" s="8">
        <v>232.93778798889301</v>
      </c>
      <c r="S45" s="8">
        <v>232.820686185646</v>
      </c>
      <c r="T45" s="8">
        <v>232.806515142254</v>
      </c>
      <c r="U45" s="9">
        <v>6.3465396596535002E-4</v>
      </c>
      <c r="V45" s="9">
        <v>1.31810487178551E-4</v>
      </c>
      <c r="W45" s="9">
        <v>7.0941863713688594E-5</v>
      </c>
      <c r="X45" s="10">
        <v>4.2902690748249102</v>
      </c>
      <c r="Y45" s="10">
        <v>4.2916660005161003</v>
      </c>
      <c r="Z45" s="10">
        <v>4.2906723328463103</v>
      </c>
      <c r="AA45" s="10">
        <v>4.2906571860060199</v>
      </c>
      <c r="AB45" s="8">
        <v>232.865797188004</v>
      </c>
      <c r="AC45" s="8">
        <v>232.820686185646</v>
      </c>
      <c r="AD45" s="8">
        <v>232.806515142254</v>
      </c>
      <c r="AE45" s="9">
        <v>3.2555028470055097E-4</v>
      </c>
      <c r="AF45" s="9">
        <v>1.31810487178551E-4</v>
      </c>
      <c r="AG45" s="9">
        <v>7.0941863713688594E-5</v>
      </c>
      <c r="AZ45" s="9"/>
      <c r="BB45">
        <f t="shared" si="6"/>
        <v>0</v>
      </c>
      <c r="BC45">
        <f t="shared" si="7"/>
        <v>1</v>
      </c>
      <c r="BD45">
        <f t="shared" si="8"/>
        <v>0</v>
      </c>
      <c r="BE45">
        <f t="shared" si="4"/>
        <v>1</v>
      </c>
      <c r="BF45">
        <f t="shared" si="9"/>
        <v>0</v>
      </c>
      <c r="BG45" s="9">
        <f t="shared" si="10"/>
        <v>0</v>
      </c>
      <c r="BH45" s="9">
        <f t="shared" si="11"/>
        <v>0</v>
      </c>
      <c r="BI45" s="9">
        <f t="shared" si="12"/>
        <v>0</v>
      </c>
      <c r="BJ45" s="12">
        <f t="shared" si="13"/>
        <v>0</v>
      </c>
      <c r="BL45" s="9"/>
      <c r="BN45">
        <f t="shared" si="14"/>
        <v>0</v>
      </c>
      <c r="BO45">
        <f t="shared" si="15"/>
        <v>0</v>
      </c>
      <c r="BP45">
        <f t="shared" si="16"/>
        <v>0</v>
      </c>
      <c r="BQ45">
        <f t="shared" si="5"/>
        <v>1</v>
      </c>
      <c r="BR45">
        <f t="shared" si="17"/>
        <v>0</v>
      </c>
      <c r="BS45" s="9">
        <f t="shared" si="18"/>
        <v>0</v>
      </c>
      <c r="BT45" s="9">
        <f t="shared" si="19"/>
        <v>0</v>
      </c>
      <c r="BU45" s="9">
        <f t="shared" si="20"/>
        <v>0</v>
      </c>
      <c r="BV45" s="12">
        <f t="shared" si="21"/>
        <v>0</v>
      </c>
      <c r="BX45" s="12">
        <f t="shared" si="22"/>
        <v>0</v>
      </c>
      <c r="BY45" s="12">
        <f t="shared" si="23"/>
        <v>0</v>
      </c>
    </row>
    <row r="46" spans="1:98" x14ac:dyDescent="0.3">
      <c r="A46" s="1">
        <v>46090</v>
      </c>
      <c r="B46" s="8">
        <v>54.41</v>
      </c>
      <c r="C46" s="8">
        <v>233.42</v>
      </c>
      <c r="D46" s="9">
        <v>2.7606532670481801E-3</v>
      </c>
      <c r="E46" s="9">
        <v>2.7026463759917399E-3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54.41</v>
      </c>
      <c r="M46" s="8">
        <v>233.42</v>
      </c>
      <c r="N46" s="10">
        <v>4.2900202168718904</v>
      </c>
      <c r="O46" s="10">
        <v>4.2929927753205499</v>
      </c>
      <c r="P46" s="10">
        <v>4.2906018959257004</v>
      </c>
      <c r="Q46" s="10">
        <v>4.2906368630382099</v>
      </c>
      <c r="R46" s="8">
        <v>233.58173690519101</v>
      </c>
      <c r="S46" s="8">
        <v>233.45548163016699</v>
      </c>
      <c r="T46" s="8">
        <v>233.45465749058701</v>
      </c>
      <c r="U46" s="9">
        <v>6.9266085702189898E-4</v>
      </c>
      <c r="V46" s="9">
        <v>1.5199611730467501E-4</v>
      </c>
      <c r="W46" s="9">
        <v>1.48465932323304E-4</v>
      </c>
      <c r="X46" s="10">
        <v>4.2900202168718904</v>
      </c>
      <c r="Y46" s="10">
        <v>4.2916660005161003</v>
      </c>
      <c r="Z46" s="10">
        <v>4.2906018959257004</v>
      </c>
      <c r="AA46" s="10">
        <v>4.2906368630382099</v>
      </c>
      <c r="AB46" s="8">
        <v>233.50954708808101</v>
      </c>
      <c r="AC46" s="8">
        <v>233.45548163016699</v>
      </c>
      <c r="AD46" s="8">
        <v>233.45465749058701</v>
      </c>
      <c r="AE46" s="9">
        <v>3.8355717575711099E-4</v>
      </c>
      <c r="AF46" s="9">
        <v>1.5199611730467501E-4</v>
      </c>
      <c r="AG46" s="9">
        <v>1.48465932323304E-4</v>
      </c>
      <c r="AZ46" s="9"/>
      <c r="BB46">
        <f t="shared" si="6"/>
        <v>0</v>
      </c>
      <c r="BC46">
        <f t="shared" si="7"/>
        <v>1</v>
      </c>
      <c r="BD46">
        <f t="shared" si="8"/>
        <v>0</v>
      </c>
      <c r="BE46">
        <f t="shared" si="4"/>
        <v>1</v>
      </c>
      <c r="BF46">
        <f t="shared" si="9"/>
        <v>0</v>
      </c>
      <c r="BG46" s="9">
        <f t="shared" si="10"/>
        <v>0</v>
      </c>
      <c r="BH46" s="9">
        <f t="shared" si="11"/>
        <v>0</v>
      </c>
      <c r="BI46" s="9">
        <f t="shared" si="12"/>
        <v>0</v>
      </c>
      <c r="BJ46" s="12">
        <f t="shared" si="13"/>
        <v>0</v>
      </c>
      <c r="BL46" s="9"/>
      <c r="BN46">
        <f t="shared" si="14"/>
        <v>0</v>
      </c>
      <c r="BO46">
        <f t="shared" si="15"/>
        <v>0</v>
      </c>
      <c r="BP46">
        <f t="shared" si="16"/>
        <v>0</v>
      </c>
      <c r="BQ46">
        <f t="shared" si="5"/>
        <v>1</v>
      </c>
      <c r="BR46">
        <f t="shared" si="17"/>
        <v>0</v>
      </c>
      <c r="BS46" s="9">
        <f t="shared" si="18"/>
        <v>0</v>
      </c>
      <c r="BT46" s="9">
        <f t="shared" si="19"/>
        <v>0</v>
      </c>
      <c r="BU46" s="9">
        <f t="shared" si="20"/>
        <v>0</v>
      </c>
      <c r="BV46" s="12">
        <f t="shared" si="21"/>
        <v>0</v>
      </c>
      <c r="BX46" s="12">
        <f t="shared" si="22"/>
        <v>0</v>
      </c>
      <c r="BY46" s="12">
        <f t="shared" si="23"/>
        <v>0</v>
      </c>
    </row>
    <row r="47" spans="1:98" x14ac:dyDescent="0.3">
      <c r="A47" s="1">
        <v>46091</v>
      </c>
      <c r="B47" s="8">
        <v>54.33</v>
      </c>
      <c r="C47" s="8">
        <v>233.16</v>
      </c>
      <c r="D47" s="9">
        <v>-1.47139993440218E-3</v>
      </c>
      <c r="E47" s="9">
        <v>-1.1144928068586E-3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54.33</v>
      </c>
      <c r="M47" s="8">
        <v>233.16</v>
      </c>
      <c r="N47" s="10">
        <v>4.2915516289342897</v>
      </c>
      <c r="O47" s="10">
        <v>4.2929927753205499</v>
      </c>
      <c r="P47" s="10">
        <v>4.2907065822924801</v>
      </c>
      <c r="Q47" s="10">
        <v>4.2906420344324898</v>
      </c>
      <c r="R47" s="8">
        <v>233.23829748316501</v>
      </c>
      <c r="S47" s="8">
        <v>233.108401005643</v>
      </c>
      <c r="T47" s="8">
        <v>233.11030076886601</v>
      </c>
      <c r="U47" s="9">
        <v>3.35753729478178E-4</v>
      </c>
      <c r="V47" s="9">
        <v>-2.2132743482407001E-4</v>
      </c>
      <c r="W47" s="9">
        <v>-2.13177769375765E-4</v>
      </c>
      <c r="X47" s="10">
        <v>4.2915516289342897</v>
      </c>
      <c r="Y47" s="10">
        <v>4.2916660005161003</v>
      </c>
      <c r="Z47" s="10">
        <v>4.2907065822924801</v>
      </c>
      <c r="AA47" s="10">
        <v>4.2906420344324898</v>
      </c>
      <c r="AB47" s="8">
        <v>233.16621380804</v>
      </c>
      <c r="AC47" s="8">
        <v>233.108401005643</v>
      </c>
      <c r="AD47" s="8">
        <v>233.11030076886601</v>
      </c>
      <c r="AE47" s="9">
        <v>2.66500482133642E-5</v>
      </c>
      <c r="AF47" s="9">
        <v>-2.2132743482407001E-4</v>
      </c>
      <c r="AG47" s="9">
        <v>-2.13177769375765E-4</v>
      </c>
      <c r="AZ47" s="9"/>
      <c r="BB47">
        <f t="shared" si="6"/>
        <v>0</v>
      </c>
      <c r="BC47">
        <f t="shared" si="7"/>
        <v>0</v>
      </c>
      <c r="BD47">
        <f t="shared" si="8"/>
        <v>0</v>
      </c>
      <c r="BE47">
        <f t="shared" si="4"/>
        <v>1</v>
      </c>
      <c r="BF47">
        <f t="shared" si="9"/>
        <v>0</v>
      </c>
      <c r="BG47" s="9">
        <f t="shared" si="10"/>
        <v>0</v>
      </c>
      <c r="BH47" s="9">
        <f t="shared" si="11"/>
        <v>0</v>
      </c>
      <c r="BI47" s="9">
        <f t="shared" si="12"/>
        <v>0</v>
      </c>
      <c r="BJ47" s="12">
        <f t="shared" si="13"/>
        <v>0</v>
      </c>
      <c r="BL47" s="9"/>
      <c r="BN47">
        <f t="shared" si="14"/>
        <v>0</v>
      </c>
      <c r="BO47">
        <f t="shared" si="15"/>
        <v>1</v>
      </c>
      <c r="BP47">
        <f t="shared" si="16"/>
        <v>0</v>
      </c>
      <c r="BQ47">
        <f t="shared" si="5"/>
        <v>1</v>
      </c>
      <c r="BR47">
        <f t="shared" si="17"/>
        <v>0</v>
      </c>
      <c r="BS47" s="9">
        <f t="shared" si="18"/>
        <v>0</v>
      </c>
      <c r="BT47" s="9">
        <f t="shared" si="19"/>
        <v>0</v>
      </c>
      <c r="BU47" s="9">
        <f t="shared" si="20"/>
        <v>0</v>
      </c>
      <c r="BV47" s="12">
        <f t="shared" si="21"/>
        <v>0</v>
      </c>
      <c r="BX47" s="12">
        <f t="shared" si="22"/>
        <v>0</v>
      </c>
      <c r="BY47" s="12">
        <f t="shared" si="23"/>
        <v>0</v>
      </c>
    </row>
    <row r="48" spans="1:98" x14ac:dyDescent="0.3">
      <c r="A48" s="1">
        <v>46092</v>
      </c>
      <c r="B48" s="8">
        <v>53.71</v>
      </c>
      <c r="C48" s="8">
        <v>230.53</v>
      </c>
      <c r="D48" s="9">
        <v>-1.14773566460636E-2</v>
      </c>
      <c r="E48" s="9">
        <v>-1.13439073658443E-2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53.71</v>
      </c>
      <c r="M48" s="8">
        <v>230.53</v>
      </c>
      <c r="N48" s="10">
        <v>4.2921243716253903</v>
      </c>
      <c r="O48" s="10">
        <v>4.2929927753205499</v>
      </c>
      <c r="P48" s="10">
        <v>4.2908064460956004</v>
      </c>
      <c r="Q48" s="10">
        <v>4.2907585313474002</v>
      </c>
      <c r="R48" s="8">
        <v>230.576641962466</v>
      </c>
      <c r="S48" s="8">
        <v>230.45385053492899</v>
      </c>
      <c r="T48" s="8">
        <v>230.45038366936899</v>
      </c>
      <c r="U48" s="9">
        <v>2.0230444925891701E-4</v>
      </c>
      <c r="V48" s="9">
        <v>-3.3037801942481401E-4</v>
      </c>
      <c r="W48" s="9">
        <v>-3.45421776035165E-4</v>
      </c>
      <c r="X48" s="10">
        <v>4.2921243716253903</v>
      </c>
      <c r="Y48" s="10">
        <v>4.2916660005161003</v>
      </c>
      <c r="Z48" s="10">
        <v>4.2908064460956004</v>
      </c>
      <c r="AA48" s="10">
        <v>4.2907585313474002</v>
      </c>
      <c r="AB48" s="8">
        <v>230.50538088772001</v>
      </c>
      <c r="AC48" s="8">
        <v>230.45385053492899</v>
      </c>
      <c r="AD48" s="8">
        <v>230.45038366936899</v>
      </c>
      <c r="AE48" s="9">
        <v>-1.06799232005824E-4</v>
      </c>
      <c r="AF48" s="9">
        <v>-3.3037801942481401E-4</v>
      </c>
      <c r="AG48" s="9">
        <v>-3.45421776035165E-4</v>
      </c>
      <c r="AZ48" s="9"/>
      <c r="BB48">
        <f t="shared" si="6"/>
        <v>0</v>
      </c>
      <c r="BC48">
        <f t="shared" si="7"/>
        <v>0</v>
      </c>
      <c r="BD48">
        <f t="shared" si="8"/>
        <v>0</v>
      </c>
      <c r="BE48">
        <f t="shared" si="4"/>
        <v>1</v>
      </c>
      <c r="BF48">
        <f t="shared" si="9"/>
        <v>0</v>
      </c>
      <c r="BG48" s="9">
        <f t="shared" si="10"/>
        <v>0</v>
      </c>
      <c r="BH48" s="9">
        <f t="shared" si="11"/>
        <v>0</v>
      </c>
      <c r="BI48" s="9">
        <f t="shared" si="12"/>
        <v>0</v>
      </c>
      <c r="BJ48" s="12">
        <f t="shared" si="13"/>
        <v>0</v>
      </c>
      <c r="BL48" s="9"/>
      <c r="BN48">
        <f t="shared" si="14"/>
        <v>0</v>
      </c>
      <c r="BO48">
        <f t="shared" si="15"/>
        <v>1</v>
      </c>
      <c r="BP48">
        <f t="shared" si="16"/>
        <v>0</v>
      </c>
      <c r="BQ48">
        <f t="shared" si="5"/>
        <v>1</v>
      </c>
      <c r="BR48">
        <f t="shared" si="17"/>
        <v>0</v>
      </c>
      <c r="BS48" s="9">
        <f t="shared" si="18"/>
        <v>0</v>
      </c>
      <c r="BT48" s="9">
        <f t="shared" si="19"/>
        <v>0</v>
      </c>
      <c r="BU48" s="9">
        <f t="shared" si="20"/>
        <v>0</v>
      </c>
      <c r="BV48" s="12">
        <f t="shared" si="21"/>
        <v>0</v>
      </c>
      <c r="BX48" s="12">
        <f t="shared" si="22"/>
        <v>0</v>
      </c>
      <c r="BY48" s="12">
        <f t="shared" si="23"/>
        <v>0</v>
      </c>
    </row>
    <row r="49" spans="1:77" x14ac:dyDescent="0.3">
      <c r="A49" s="1">
        <v>46093</v>
      </c>
      <c r="B49" s="8">
        <v>53.59</v>
      </c>
      <c r="C49" s="8">
        <v>230.13</v>
      </c>
      <c r="D49" s="9">
        <v>-2.2367204106090101E-3</v>
      </c>
      <c r="E49" s="9">
        <v>-1.7366391721899499E-3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53.59</v>
      </c>
      <c r="M49" s="8">
        <v>230.13</v>
      </c>
      <c r="N49" s="10">
        <v>4.29427131927598</v>
      </c>
      <c r="O49" s="10">
        <v>4.2929927753205499</v>
      </c>
      <c r="P49" s="10">
        <v>4.2912220018878502</v>
      </c>
      <c r="Q49" s="10">
        <v>4.29089887179458</v>
      </c>
      <c r="R49" s="8">
        <v>230.061482829428</v>
      </c>
      <c r="S49" s="8">
        <v>229.944317446263</v>
      </c>
      <c r="T49" s="8">
        <v>229.941749694907</v>
      </c>
      <c r="U49" s="9">
        <v>-2.9777678916024901E-4</v>
      </c>
      <c r="V49" s="9">
        <v>-8.0718508630861204E-4</v>
      </c>
      <c r="W49" s="9">
        <v>-8.1835198846005105E-4</v>
      </c>
      <c r="X49" s="10">
        <v>4.29427131927598</v>
      </c>
      <c r="Y49" s="10">
        <v>4.2916660005161003</v>
      </c>
      <c r="Z49" s="10">
        <v>4.2912220018878502</v>
      </c>
      <c r="AA49" s="10">
        <v>4.29089887179458</v>
      </c>
      <c r="AB49" s="8">
        <v>229.99038096765801</v>
      </c>
      <c r="AC49" s="8">
        <v>229.944317446263</v>
      </c>
      <c r="AD49" s="8">
        <v>229.941749694907</v>
      </c>
      <c r="AE49" s="9">
        <v>-6.0688047042501705E-4</v>
      </c>
      <c r="AF49" s="9">
        <v>-8.0718508630861204E-4</v>
      </c>
      <c r="AG49" s="9">
        <v>-8.1835198846005105E-4</v>
      </c>
      <c r="AZ49" s="9"/>
      <c r="BB49">
        <f t="shared" si="6"/>
        <v>1</v>
      </c>
      <c r="BC49">
        <f t="shared" si="7"/>
        <v>0</v>
      </c>
      <c r="BD49">
        <f t="shared" si="8"/>
        <v>0</v>
      </c>
      <c r="BE49">
        <f t="shared" si="4"/>
        <v>1</v>
      </c>
      <c r="BF49">
        <f t="shared" si="9"/>
        <v>0</v>
      </c>
      <c r="BG49" s="9">
        <f t="shared" si="10"/>
        <v>0</v>
      </c>
      <c r="BH49" s="9">
        <f t="shared" si="11"/>
        <v>0</v>
      </c>
      <c r="BI49" s="9">
        <f t="shared" si="12"/>
        <v>0</v>
      </c>
      <c r="BJ49" s="12">
        <f t="shared" si="13"/>
        <v>0</v>
      </c>
      <c r="BL49" s="9"/>
      <c r="BN49">
        <f t="shared" si="14"/>
        <v>0</v>
      </c>
      <c r="BO49">
        <f t="shared" si="15"/>
        <v>1</v>
      </c>
      <c r="BP49">
        <f t="shared" si="16"/>
        <v>0</v>
      </c>
      <c r="BQ49">
        <f t="shared" si="5"/>
        <v>1</v>
      </c>
      <c r="BR49">
        <f t="shared" si="17"/>
        <v>0</v>
      </c>
      <c r="BS49" s="9">
        <f t="shared" si="18"/>
        <v>0</v>
      </c>
      <c r="BT49" s="9">
        <f t="shared" si="19"/>
        <v>0</v>
      </c>
      <c r="BU49" s="9">
        <f t="shared" si="20"/>
        <v>0</v>
      </c>
      <c r="BV49" s="12">
        <f t="shared" si="21"/>
        <v>0</v>
      </c>
      <c r="BX49" s="12">
        <f t="shared" si="22"/>
        <v>0</v>
      </c>
      <c r="BY49" s="12">
        <f t="shared" si="23"/>
        <v>0</v>
      </c>
    </row>
    <row r="50" spans="1:77" x14ac:dyDescent="0.3">
      <c r="A50" s="1">
        <v>46094</v>
      </c>
      <c r="B50" s="8">
        <v>53.93</v>
      </c>
      <c r="C50" s="8">
        <v>231.38</v>
      </c>
      <c r="D50" s="9">
        <v>6.3244258423767402E-3</v>
      </c>
      <c r="E50" s="9">
        <v>5.4170139614282097E-3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53.93</v>
      </c>
      <c r="M50" s="8">
        <v>231.38</v>
      </c>
      <c r="N50" s="10">
        <v>4.2903764138698302</v>
      </c>
      <c r="O50" s="10">
        <v>4.2929927753205499</v>
      </c>
      <c r="P50" s="10">
        <v>4.29117863817907</v>
      </c>
      <c r="Q50" s="10">
        <v>4.29096477530417</v>
      </c>
      <c r="R50" s="8">
        <v>231.521100373037</v>
      </c>
      <c r="S50" s="8">
        <v>231.42560256181099</v>
      </c>
      <c r="T50" s="8">
        <v>231.40817615588099</v>
      </c>
      <c r="U50" s="9">
        <v>6.0963509178824104E-4</v>
      </c>
      <c r="V50" s="9">
        <v>1.97070051473657E-4</v>
      </c>
      <c r="W50" s="9">
        <v>1.2176696539931701E-4</v>
      </c>
      <c r="X50" s="10">
        <v>4.2903764138698302</v>
      </c>
      <c r="Y50" s="10">
        <v>4.2916660005161003</v>
      </c>
      <c r="Z50" s="10">
        <v>4.29117863817907</v>
      </c>
      <c r="AA50" s="10">
        <v>4.29096477530417</v>
      </c>
      <c r="AB50" s="8">
        <v>231.44954740783299</v>
      </c>
      <c r="AC50" s="8">
        <v>231.42560256181099</v>
      </c>
      <c r="AD50" s="8">
        <v>231.40817615588099</v>
      </c>
      <c r="AE50" s="9">
        <v>3.0053141052359199E-4</v>
      </c>
      <c r="AF50" s="9">
        <v>1.97070051473657E-4</v>
      </c>
      <c r="AG50" s="9">
        <v>1.2176696539931701E-4</v>
      </c>
      <c r="AZ50" s="9"/>
      <c r="BB50">
        <f t="shared" si="6"/>
        <v>0</v>
      </c>
      <c r="BC50">
        <f t="shared" si="7"/>
        <v>1</v>
      </c>
      <c r="BD50">
        <f t="shared" si="8"/>
        <v>1</v>
      </c>
      <c r="BE50">
        <f t="shared" si="4"/>
        <v>1</v>
      </c>
      <c r="BF50">
        <f t="shared" si="9"/>
        <v>1</v>
      </c>
      <c r="BG50" s="9">
        <f t="shared" si="10"/>
        <v>6.3244258423767402E-3</v>
      </c>
      <c r="BH50" s="9">
        <f t="shared" si="11"/>
        <v>-5.4170139614282097E-3</v>
      </c>
      <c r="BI50" s="9">
        <f t="shared" si="12"/>
        <v>9.074118809485306E-4</v>
      </c>
      <c r="BJ50" s="12">
        <f t="shared" si="13"/>
        <v>9.074118809485306E-4</v>
      </c>
      <c r="BL50" s="9"/>
      <c r="BN50">
        <f t="shared" si="14"/>
        <v>0</v>
      </c>
      <c r="BO50">
        <f t="shared" si="15"/>
        <v>0</v>
      </c>
      <c r="BP50">
        <f t="shared" si="16"/>
        <v>0</v>
      </c>
      <c r="BQ50">
        <f t="shared" si="5"/>
        <v>1</v>
      </c>
      <c r="BR50">
        <f t="shared" si="17"/>
        <v>0</v>
      </c>
      <c r="BS50" s="9">
        <f t="shared" si="18"/>
        <v>0</v>
      </c>
      <c r="BT50" s="9">
        <f t="shared" si="19"/>
        <v>0</v>
      </c>
      <c r="BU50" s="9">
        <f t="shared" si="20"/>
        <v>0</v>
      </c>
      <c r="BV50" s="12">
        <f t="shared" si="21"/>
        <v>0</v>
      </c>
      <c r="BX50" s="12">
        <f t="shared" si="22"/>
        <v>9.074118809485306E-4</v>
      </c>
      <c r="BY50" s="12">
        <f t="shared" si="23"/>
        <v>9.074118809485306E-4</v>
      </c>
    </row>
    <row r="51" spans="1:77" x14ac:dyDescent="0.3">
      <c r="A51" s="1">
        <v>46097</v>
      </c>
      <c r="B51" s="8">
        <v>53.96</v>
      </c>
      <c r="C51" s="8">
        <v>231.66</v>
      </c>
      <c r="D51" s="9">
        <v>5.5612199041940797E-4</v>
      </c>
      <c r="E51" s="9">
        <v>1.20939890345707E-3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53.96</v>
      </c>
      <c r="M51" s="8">
        <v>231.66</v>
      </c>
      <c r="N51" s="10">
        <v>4.2931801334321698</v>
      </c>
      <c r="O51" s="10">
        <v>4.2929927753205499</v>
      </c>
      <c r="P51" s="10">
        <v>4.2913730319996599</v>
      </c>
      <c r="Q51" s="10">
        <v>4.2911726594726902</v>
      </c>
      <c r="R51" s="8">
        <v>231.64989015629601</v>
      </c>
      <c r="S51" s="8">
        <v>231.551999316142</v>
      </c>
      <c r="T51" s="8">
        <v>231.54045927541301</v>
      </c>
      <c r="U51" s="9">
        <v>-4.3641821249343898E-5</v>
      </c>
      <c r="V51" s="9">
        <v>-4.6631212478850898E-4</v>
      </c>
      <c r="W51" s="9">
        <v>-5.1615116024565102E-4</v>
      </c>
      <c r="X51" s="10">
        <v>4.2931801334321698</v>
      </c>
      <c r="Y51" s="10">
        <v>4.2916660005161003</v>
      </c>
      <c r="Z51" s="10">
        <v>4.2913730319996599</v>
      </c>
      <c r="AA51" s="10">
        <v>4.2911726594726902</v>
      </c>
      <c r="AB51" s="8">
        <v>231.57829738784901</v>
      </c>
      <c r="AC51" s="8">
        <v>231.551999316142</v>
      </c>
      <c r="AD51" s="8">
        <v>231.54045927541301</v>
      </c>
      <c r="AE51" s="9">
        <v>-3.5274550251403598E-4</v>
      </c>
      <c r="AF51" s="9">
        <v>-4.6631212478850898E-4</v>
      </c>
      <c r="AG51" s="9">
        <v>-5.1615116024565102E-4</v>
      </c>
      <c r="AZ51" s="9"/>
      <c r="BB51">
        <f t="shared" si="6"/>
        <v>0</v>
      </c>
      <c r="BC51">
        <f t="shared" si="7"/>
        <v>0</v>
      </c>
      <c r="BD51">
        <f t="shared" si="8"/>
        <v>0</v>
      </c>
      <c r="BE51">
        <f t="shared" si="4"/>
        <v>1</v>
      </c>
      <c r="BF51">
        <f t="shared" si="9"/>
        <v>0</v>
      </c>
      <c r="BG51" s="9">
        <f t="shared" si="10"/>
        <v>0</v>
      </c>
      <c r="BH51" s="9">
        <f t="shared" si="11"/>
        <v>0</v>
      </c>
      <c r="BI51" s="9">
        <f t="shared" si="12"/>
        <v>0</v>
      </c>
      <c r="BJ51" s="12">
        <f t="shared" si="13"/>
        <v>9.074118809485306E-4</v>
      </c>
      <c r="BL51" s="9"/>
      <c r="BN51">
        <f t="shared" si="14"/>
        <v>0</v>
      </c>
      <c r="BO51">
        <f t="shared" si="15"/>
        <v>1</v>
      </c>
      <c r="BP51">
        <f t="shared" si="16"/>
        <v>0</v>
      </c>
      <c r="BQ51">
        <f t="shared" si="5"/>
        <v>1</v>
      </c>
      <c r="BR51">
        <f t="shared" si="17"/>
        <v>0</v>
      </c>
      <c r="BS51" s="9">
        <f t="shared" si="18"/>
        <v>0</v>
      </c>
      <c r="BT51" s="9">
        <f t="shared" si="19"/>
        <v>0</v>
      </c>
      <c r="BU51" s="9">
        <f t="shared" si="20"/>
        <v>0</v>
      </c>
      <c r="BV51" s="12">
        <f t="shared" si="21"/>
        <v>0</v>
      </c>
      <c r="BX51" s="12">
        <f t="shared" si="22"/>
        <v>0</v>
      </c>
      <c r="BY51" s="12">
        <f t="shared" si="23"/>
        <v>9.074118809485306E-4</v>
      </c>
    </row>
    <row r="52" spans="1:77" x14ac:dyDescent="0.3">
      <c r="A52" s="1">
        <v>46098</v>
      </c>
      <c r="B52" s="8">
        <v>53.76</v>
      </c>
      <c r="C52" s="8">
        <v>230.81</v>
      </c>
      <c r="D52" s="9">
        <v>-3.7133351246611199E-3</v>
      </c>
      <c r="E52" s="9">
        <v>-3.6759182525411402E-3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53.76</v>
      </c>
      <c r="M52" s="8">
        <v>230.81</v>
      </c>
      <c r="N52" s="10">
        <v>4.2933407738095202</v>
      </c>
      <c r="O52" s="10">
        <v>4.2929927753205499</v>
      </c>
      <c r="P52" s="10">
        <v>4.2916707915093504</v>
      </c>
      <c r="Q52" s="10">
        <v>4.2913209672077901</v>
      </c>
      <c r="R52" s="8">
        <v>230.79129160123199</v>
      </c>
      <c r="S52" s="8">
        <v>230.704214200302</v>
      </c>
      <c r="T52" s="8">
        <v>230.69344217325099</v>
      </c>
      <c r="U52" s="9">
        <v>-8.1058693369367302E-5</v>
      </c>
      <c r="V52" s="9">
        <v>-4.5842922404396399E-4</v>
      </c>
      <c r="W52" s="9">
        <v>-5.0512225294623296E-4</v>
      </c>
      <c r="X52" s="10">
        <v>4.2933407738095202</v>
      </c>
      <c r="Y52" s="10">
        <v>4.2916660005161003</v>
      </c>
      <c r="Z52" s="10">
        <v>4.2916707915093504</v>
      </c>
      <c r="AA52" s="10">
        <v>4.2913209672077901</v>
      </c>
      <c r="AB52" s="8">
        <v>230.719964187746</v>
      </c>
      <c r="AC52" s="8">
        <v>230.704214200302</v>
      </c>
      <c r="AD52" s="8">
        <v>230.69344217325099</v>
      </c>
      <c r="AE52" s="9">
        <v>-3.90162374634037E-4</v>
      </c>
      <c r="AF52" s="9">
        <v>-4.5842922404396399E-4</v>
      </c>
      <c r="AG52" s="9">
        <v>-5.0512225294623296E-4</v>
      </c>
      <c r="AZ52" s="9"/>
      <c r="BB52">
        <f t="shared" si="6"/>
        <v>0</v>
      </c>
      <c r="BC52">
        <f t="shared" si="7"/>
        <v>0</v>
      </c>
      <c r="BD52">
        <f t="shared" si="8"/>
        <v>0</v>
      </c>
      <c r="BE52">
        <f t="shared" si="4"/>
        <v>1</v>
      </c>
      <c r="BF52">
        <f t="shared" si="9"/>
        <v>0</v>
      </c>
      <c r="BG52" s="9">
        <f t="shared" si="10"/>
        <v>0</v>
      </c>
      <c r="BH52" s="9">
        <f t="shared" si="11"/>
        <v>0</v>
      </c>
      <c r="BI52" s="9">
        <f t="shared" si="12"/>
        <v>0</v>
      </c>
      <c r="BJ52" s="12">
        <f t="shared" si="13"/>
        <v>9.074118809485306E-4</v>
      </c>
      <c r="BL52" s="9"/>
      <c r="BN52">
        <f t="shared" si="14"/>
        <v>0</v>
      </c>
      <c r="BO52">
        <f t="shared" si="15"/>
        <v>1</v>
      </c>
      <c r="BP52">
        <f t="shared" si="16"/>
        <v>0</v>
      </c>
      <c r="BQ52">
        <f t="shared" si="5"/>
        <v>1</v>
      </c>
      <c r="BR52">
        <f t="shared" si="17"/>
        <v>0</v>
      </c>
      <c r="BS52" s="9">
        <f t="shared" si="18"/>
        <v>0</v>
      </c>
      <c r="BT52" s="9">
        <f t="shared" si="19"/>
        <v>0</v>
      </c>
      <c r="BU52" s="9">
        <f t="shared" si="20"/>
        <v>0</v>
      </c>
      <c r="BV52" s="12">
        <f t="shared" si="21"/>
        <v>0</v>
      </c>
      <c r="BX52" s="12">
        <f t="shared" si="22"/>
        <v>0</v>
      </c>
      <c r="BY52" s="12">
        <f t="shared" si="23"/>
        <v>9.074118809485306E-4</v>
      </c>
    </row>
    <row r="53" spans="1:77" x14ac:dyDescent="0.3">
      <c r="A53" s="1">
        <v>46099</v>
      </c>
      <c r="B53" s="8">
        <v>52.5</v>
      </c>
      <c r="C53" s="8">
        <v>225.32</v>
      </c>
      <c r="D53" s="9">
        <v>-2.3716526617315999E-2</v>
      </c>
      <c r="E53" s="9">
        <v>-2.4073247225145599E-2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52.5</v>
      </c>
      <c r="M53" s="8">
        <v>225.32</v>
      </c>
      <c r="N53" s="10">
        <v>4.29180952380952</v>
      </c>
      <c r="O53" s="10">
        <v>4.2929927753205499</v>
      </c>
      <c r="P53" s="10">
        <v>4.2918124820846204</v>
      </c>
      <c r="Q53" s="10">
        <v>4.2912707086602904</v>
      </c>
      <c r="R53" s="8">
        <v>225.382120704328</v>
      </c>
      <c r="S53" s="8">
        <v>225.31271655424001</v>
      </c>
      <c r="T53" s="8">
        <v>225.29435077840901</v>
      </c>
      <c r="U53" s="9">
        <v>2.75661914460362E-4</v>
      </c>
      <c r="V53" s="9">
        <v>-3.23254193145232E-5</v>
      </c>
      <c r="W53" s="9">
        <v>-1.13841121899312E-4</v>
      </c>
      <c r="X53" s="10">
        <v>4.29180952380952</v>
      </c>
      <c r="Y53" s="10">
        <v>4.2916660005161003</v>
      </c>
      <c r="Z53" s="10">
        <v>4.2918124820846204</v>
      </c>
      <c r="AA53" s="10">
        <v>4.2912707086602904</v>
      </c>
      <c r="AB53" s="8">
        <v>225.31246502709499</v>
      </c>
      <c r="AC53" s="8">
        <v>225.31271655424001</v>
      </c>
      <c r="AD53" s="8">
        <v>225.29435077840901</v>
      </c>
      <c r="AE53" s="9">
        <v>-3.3441766804471401E-5</v>
      </c>
      <c r="AF53" s="9">
        <v>-3.23254193145232E-5</v>
      </c>
      <c r="AG53" s="9">
        <v>-1.13841121899312E-4</v>
      </c>
      <c r="AZ53" s="9"/>
      <c r="BB53">
        <f t="shared" si="6"/>
        <v>0</v>
      </c>
      <c r="BC53">
        <f t="shared" si="7"/>
        <v>0</v>
      </c>
      <c r="BD53">
        <f t="shared" si="8"/>
        <v>0</v>
      </c>
      <c r="BE53">
        <f t="shared" si="4"/>
        <v>1</v>
      </c>
      <c r="BF53">
        <f t="shared" si="9"/>
        <v>0</v>
      </c>
      <c r="BG53" s="9">
        <f t="shared" si="10"/>
        <v>0</v>
      </c>
      <c r="BH53" s="9">
        <f t="shared" si="11"/>
        <v>0</v>
      </c>
      <c r="BI53" s="9">
        <f t="shared" si="12"/>
        <v>0</v>
      </c>
      <c r="BJ53" s="12">
        <f t="shared" si="13"/>
        <v>9.074118809485306E-4</v>
      </c>
      <c r="BL53" s="9"/>
      <c r="BN53">
        <f t="shared" si="14"/>
        <v>0</v>
      </c>
      <c r="BO53">
        <f t="shared" si="15"/>
        <v>1</v>
      </c>
      <c r="BP53">
        <f t="shared" si="16"/>
        <v>0</v>
      </c>
      <c r="BQ53">
        <f t="shared" si="5"/>
        <v>1</v>
      </c>
      <c r="BR53">
        <f t="shared" si="17"/>
        <v>0</v>
      </c>
      <c r="BS53" s="9">
        <f t="shared" si="18"/>
        <v>0</v>
      </c>
      <c r="BT53" s="9">
        <f t="shared" si="19"/>
        <v>0</v>
      </c>
      <c r="BU53" s="9">
        <f t="shared" si="20"/>
        <v>0</v>
      </c>
      <c r="BV53" s="12">
        <f t="shared" si="21"/>
        <v>0</v>
      </c>
      <c r="BX53" s="12">
        <f t="shared" si="22"/>
        <v>0</v>
      </c>
      <c r="BY53" s="12">
        <f t="shared" si="23"/>
        <v>9.074118809485306E-4</v>
      </c>
    </row>
    <row r="54" spans="1:77" x14ac:dyDescent="0.3">
      <c r="A54" s="1">
        <v>46100</v>
      </c>
      <c r="B54" s="8">
        <v>52.12</v>
      </c>
      <c r="C54" s="8">
        <v>223.68</v>
      </c>
      <c r="D54" s="9">
        <v>-7.2644173409337201E-3</v>
      </c>
      <c r="E54" s="9">
        <v>-7.3051549810676797E-3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52.12</v>
      </c>
      <c r="M54" s="8">
        <v>223.68</v>
      </c>
      <c r="N54" s="10">
        <v>4.2916346891788102</v>
      </c>
      <c r="O54" s="10">
        <v>4.2929927753205499</v>
      </c>
      <c r="P54" s="10">
        <v>4.2918578145632296</v>
      </c>
      <c r="Q54" s="10">
        <v>4.2913462145581196</v>
      </c>
      <c r="R54" s="8">
        <v>223.750783449707</v>
      </c>
      <c r="S54" s="8">
        <v>223.68926656625001</v>
      </c>
      <c r="T54" s="8">
        <v>223.661029335374</v>
      </c>
      <c r="U54" s="9">
        <v>3.1639955459440602E-4</v>
      </c>
      <c r="V54" s="9">
        <v>4.1426923771022397E-5</v>
      </c>
      <c r="W54" s="9">
        <v>-8.48152232539738E-5</v>
      </c>
      <c r="X54" s="10">
        <v>4.2916346891788102</v>
      </c>
      <c r="Y54" s="10">
        <v>4.2916660005161003</v>
      </c>
      <c r="Z54" s="10">
        <v>4.2918578145632296</v>
      </c>
      <c r="AA54" s="10">
        <v>4.2913462145581196</v>
      </c>
      <c r="AB54" s="8">
        <v>223.68163194689899</v>
      </c>
      <c r="AC54" s="8">
        <v>223.68926656625001</v>
      </c>
      <c r="AD54" s="8">
        <v>223.661029335374</v>
      </c>
      <c r="AE54" s="9">
        <v>7.2958733294664899E-6</v>
      </c>
      <c r="AF54" s="9">
        <v>4.1426923771022397E-5</v>
      </c>
      <c r="AG54" s="9">
        <v>-8.48152232539738E-5</v>
      </c>
      <c r="AZ54" s="9"/>
      <c r="BB54">
        <f t="shared" si="6"/>
        <v>0</v>
      </c>
      <c r="BC54">
        <f t="shared" si="7"/>
        <v>0</v>
      </c>
      <c r="BD54">
        <f t="shared" si="8"/>
        <v>0</v>
      </c>
      <c r="BE54">
        <f t="shared" si="4"/>
        <v>0</v>
      </c>
      <c r="BF54">
        <f t="shared" si="9"/>
        <v>0</v>
      </c>
      <c r="BG54" s="9">
        <f t="shared" si="10"/>
        <v>0</v>
      </c>
      <c r="BH54" s="9">
        <f t="shared" si="11"/>
        <v>0</v>
      </c>
      <c r="BI54" s="9">
        <f t="shared" si="12"/>
        <v>0</v>
      </c>
      <c r="BJ54" s="12">
        <f t="shared" si="13"/>
        <v>9.074118809485306E-4</v>
      </c>
      <c r="BL54" s="9"/>
      <c r="BN54">
        <f t="shared" si="14"/>
        <v>0</v>
      </c>
      <c r="BO54">
        <f t="shared" si="15"/>
        <v>1</v>
      </c>
      <c r="BP54">
        <f t="shared" si="16"/>
        <v>0</v>
      </c>
      <c r="BQ54">
        <f t="shared" si="5"/>
        <v>0</v>
      </c>
      <c r="BR54">
        <f t="shared" si="17"/>
        <v>0</v>
      </c>
      <c r="BS54" s="9">
        <f t="shared" si="18"/>
        <v>0</v>
      </c>
      <c r="BT54" s="9">
        <f t="shared" si="19"/>
        <v>0</v>
      </c>
      <c r="BU54" s="9">
        <f t="shared" si="20"/>
        <v>0</v>
      </c>
      <c r="BV54" s="12">
        <f t="shared" si="21"/>
        <v>0</v>
      </c>
      <c r="BX54" s="12">
        <f t="shared" si="22"/>
        <v>0</v>
      </c>
      <c r="BY54" s="12">
        <f t="shared" si="23"/>
        <v>9.074118809485306E-4</v>
      </c>
    </row>
    <row r="55" spans="1:77" x14ac:dyDescent="0.3">
      <c r="A55" s="1">
        <v>46101</v>
      </c>
      <c r="B55" s="8">
        <v>51.33</v>
      </c>
      <c r="C55" s="8">
        <v>221.54</v>
      </c>
      <c r="D55" s="9">
        <v>-1.5273375684432501E-2</v>
      </c>
      <c r="E55" s="9">
        <v>-9.6132989566587706E-3</v>
      </c>
      <c r="F55" s="8">
        <v>0.28999999999999998</v>
      </c>
      <c r="G55" s="8">
        <v>0.28999999999999998</v>
      </c>
      <c r="H55" s="8">
        <v>0</v>
      </c>
      <c r="I55" s="8">
        <v>0</v>
      </c>
      <c r="J55" s="8">
        <v>0.28999999999999998</v>
      </c>
      <c r="K55" s="8">
        <v>0</v>
      </c>
      <c r="L55" s="8">
        <v>51.62</v>
      </c>
      <c r="M55" s="8">
        <v>221.54</v>
      </c>
      <c r="N55" s="10">
        <v>4.3159945451003301</v>
      </c>
      <c r="O55" s="10">
        <v>4.2929927753205499</v>
      </c>
      <c r="P55" s="10">
        <v>4.29443036159077</v>
      </c>
      <c r="Q55" s="10">
        <v>4.2925513472185397</v>
      </c>
      <c r="R55" s="8">
        <v>220.359319157203</v>
      </c>
      <c r="S55" s="8">
        <v>220.30106162153001</v>
      </c>
      <c r="T55" s="8">
        <v>220.27480119326799</v>
      </c>
      <c r="U55" s="9">
        <v>-5.3436771731795096E-3</v>
      </c>
      <c r="V55" s="9">
        <v>-5.60808731102548E-3</v>
      </c>
      <c r="W55" s="9">
        <v>-5.7272968751886904E-3</v>
      </c>
      <c r="X55" s="10">
        <v>4.2917473847345899</v>
      </c>
      <c r="Y55" s="10">
        <v>4.2916660005161003</v>
      </c>
      <c r="Z55" s="10">
        <v>4.2920056455541999</v>
      </c>
      <c r="AA55" s="10">
        <v>4.2913389892002503</v>
      </c>
      <c r="AB55" s="8">
        <v>221.53579894664099</v>
      </c>
      <c r="AC55" s="8">
        <v>221.54570038775401</v>
      </c>
      <c r="AD55" s="8">
        <v>221.51929159548999</v>
      </c>
      <c r="AE55" s="9">
        <v>-1.8963136188276301E-5</v>
      </c>
      <c r="AF55" s="9">
        <v>2.57304072305205E-5</v>
      </c>
      <c r="AG55" s="9">
        <v>-9.3479156932707E-5</v>
      </c>
      <c r="AZ55" s="9"/>
      <c r="BB55">
        <f t="shared" si="6"/>
        <v>0</v>
      </c>
      <c r="BC55">
        <f t="shared" si="7"/>
        <v>0</v>
      </c>
      <c r="BD55">
        <f t="shared" si="8"/>
        <v>0</v>
      </c>
      <c r="BE55">
        <f t="shared" si="4"/>
        <v>1</v>
      </c>
      <c r="BF55">
        <f t="shared" si="9"/>
        <v>0</v>
      </c>
      <c r="BG55" s="9">
        <f t="shared" si="10"/>
        <v>0</v>
      </c>
      <c r="BH55" s="9">
        <f t="shared" si="11"/>
        <v>0</v>
      </c>
      <c r="BI55" s="9">
        <f t="shared" si="12"/>
        <v>0</v>
      </c>
      <c r="BJ55" s="12">
        <f t="shared" si="13"/>
        <v>9.074118809485306E-4</v>
      </c>
      <c r="BL55" s="9"/>
      <c r="BN55">
        <f t="shared" si="14"/>
        <v>0</v>
      </c>
      <c r="BO55">
        <f t="shared" si="15"/>
        <v>1</v>
      </c>
      <c r="BP55">
        <f t="shared" si="16"/>
        <v>0</v>
      </c>
      <c r="BQ55">
        <f t="shared" si="5"/>
        <v>1</v>
      </c>
      <c r="BR55">
        <f t="shared" si="17"/>
        <v>0</v>
      </c>
      <c r="BS55" s="9">
        <f t="shared" si="18"/>
        <v>0</v>
      </c>
      <c r="BT55" s="9">
        <f t="shared" si="19"/>
        <v>0</v>
      </c>
      <c r="BU55" s="9">
        <f t="shared" si="20"/>
        <v>0</v>
      </c>
      <c r="BV55" s="12">
        <f t="shared" si="21"/>
        <v>0</v>
      </c>
      <c r="BX55" s="12">
        <f t="shared" si="22"/>
        <v>0</v>
      </c>
      <c r="BY55" s="12">
        <f t="shared" si="23"/>
        <v>9.074118809485306E-4</v>
      </c>
    </row>
    <row r="56" spans="1:77" x14ac:dyDescent="0.3">
      <c r="A56" s="1">
        <v>46104</v>
      </c>
      <c r="B56" s="8">
        <v>51.57</v>
      </c>
      <c r="C56" s="8">
        <v>222.44</v>
      </c>
      <c r="D56" s="9">
        <v>4.6647314906557201E-3</v>
      </c>
      <c r="E56" s="9">
        <v>4.0542422305764603E-3</v>
      </c>
      <c r="F56" s="8">
        <v>0</v>
      </c>
      <c r="G56" s="8">
        <v>0.28999999999999998</v>
      </c>
      <c r="H56" s="8">
        <v>0</v>
      </c>
      <c r="I56" s="8">
        <v>0</v>
      </c>
      <c r="J56" s="8">
        <v>0.28999999999999998</v>
      </c>
      <c r="K56" s="8">
        <v>0</v>
      </c>
      <c r="L56" s="8">
        <v>51.86</v>
      </c>
      <c r="M56" s="8">
        <v>222.44</v>
      </c>
      <c r="N56" s="10">
        <v>4.3133604808997399</v>
      </c>
      <c r="O56" s="10">
        <v>4.2929927753205499</v>
      </c>
      <c r="P56" s="10">
        <v>4.2967643879935604</v>
      </c>
      <c r="Q56" s="10">
        <v>4.2936831419596304</v>
      </c>
      <c r="R56" s="8">
        <v>221.38963742327999</v>
      </c>
      <c r="S56" s="8">
        <v>221.46377374723599</v>
      </c>
      <c r="T56" s="8">
        <v>221.36687297605999</v>
      </c>
      <c r="U56" s="9">
        <v>-4.7331879131001899E-3</v>
      </c>
      <c r="V56" s="9">
        <v>-4.3983758837557998E-3</v>
      </c>
      <c r="W56" s="9">
        <v>-4.8360184608430296E-3</v>
      </c>
      <c r="X56" s="10">
        <v>4.2892402622445003</v>
      </c>
      <c r="Y56" s="10">
        <v>4.2916660005161003</v>
      </c>
      <c r="Z56" s="10">
        <v>4.29192765009146</v>
      </c>
      <c r="AA56" s="10">
        <v>4.2912647730085798</v>
      </c>
      <c r="AB56" s="8">
        <v>222.56579878676499</v>
      </c>
      <c r="AC56" s="8">
        <v>222.58341277844099</v>
      </c>
      <c r="AD56" s="8">
        <v>222.54883997992499</v>
      </c>
      <c r="AE56" s="9">
        <v>5.6538045328583604E-4</v>
      </c>
      <c r="AF56" s="9">
        <v>6.44517925518218E-4</v>
      </c>
      <c r="AG56" s="9">
        <v>4.89180726872701E-4</v>
      </c>
      <c r="AZ56" s="9"/>
      <c r="BB56">
        <f t="shared" si="6"/>
        <v>0</v>
      </c>
      <c r="BC56">
        <f t="shared" si="7"/>
        <v>1</v>
      </c>
      <c r="BD56">
        <f t="shared" si="8"/>
        <v>0</v>
      </c>
      <c r="BE56">
        <f t="shared" si="4"/>
        <v>0</v>
      </c>
      <c r="BF56">
        <f t="shared" si="9"/>
        <v>0</v>
      </c>
      <c r="BG56" s="9">
        <f t="shared" si="10"/>
        <v>0</v>
      </c>
      <c r="BH56" s="9">
        <f t="shared" si="11"/>
        <v>0</v>
      </c>
      <c r="BI56" s="9">
        <f t="shared" si="12"/>
        <v>0</v>
      </c>
      <c r="BJ56" s="12">
        <f t="shared" si="13"/>
        <v>9.074118809485306E-4</v>
      </c>
      <c r="BL56" s="9"/>
      <c r="BN56">
        <f t="shared" si="14"/>
        <v>0</v>
      </c>
      <c r="BO56">
        <f t="shared" si="15"/>
        <v>0</v>
      </c>
      <c r="BP56">
        <f t="shared" si="16"/>
        <v>0</v>
      </c>
      <c r="BQ56">
        <f t="shared" si="5"/>
        <v>0</v>
      </c>
      <c r="BR56">
        <f t="shared" si="17"/>
        <v>0</v>
      </c>
      <c r="BS56" s="9">
        <f t="shared" si="18"/>
        <v>0</v>
      </c>
      <c r="BT56" s="9">
        <f t="shared" si="19"/>
        <v>0</v>
      </c>
      <c r="BU56" s="9">
        <f t="shared" si="20"/>
        <v>0</v>
      </c>
      <c r="BV56" s="12">
        <f t="shared" si="21"/>
        <v>0</v>
      </c>
      <c r="BX56" s="12">
        <f t="shared" si="22"/>
        <v>0</v>
      </c>
      <c r="BY56" s="12">
        <f t="shared" si="23"/>
        <v>9.074118809485306E-4</v>
      </c>
    </row>
    <row r="57" spans="1:77" x14ac:dyDescent="0.3">
      <c r="A57" s="1">
        <v>46105</v>
      </c>
      <c r="B57" s="8">
        <v>51.55</v>
      </c>
      <c r="C57" s="8">
        <v>221.31</v>
      </c>
      <c r="D57" s="9">
        <v>-3.8789759989871702E-4</v>
      </c>
      <c r="E57" s="9">
        <v>-5.0929687550426003E-3</v>
      </c>
      <c r="F57" s="8">
        <v>0</v>
      </c>
      <c r="G57" s="8">
        <v>0.28999999999999998</v>
      </c>
      <c r="H57" s="8">
        <v>1.2169000000000001</v>
      </c>
      <c r="I57" s="8">
        <v>1.2169000000000001</v>
      </c>
      <c r="J57" s="8">
        <v>0.28999999999999998</v>
      </c>
      <c r="K57" s="8">
        <v>1.2169000000000001</v>
      </c>
      <c r="L57" s="8">
        <v>51.839999999999897</v>
      </c>
      <c r="M57" s="8">
        <v>222.52690000000001</v>
      </c>
      <c r="N57" s="10">
        <v>4.29311348205625</v>
      </c>
      <c r="O57" s="10">
        <v>4.2929927753205499</v>
      </c>
      <c r="P57" s="10">
        <v>4.2969205733057496</v>
      </c>
      <c r="Q57" s="10">
        <v>4.2938135777991198</v>
      </c>
      <c r="R57" s="8">
        <v>221.30377756777401</v>
      </c>
      <c r="S57" s="8">
        <v>221.49820420106801</v>
      </c>
      <c r="T57" s="8">
        <v>221.339365968019</v>
      </c>
      <c r="U57" s="9">
        <v>-2.8116757956184199E-5</v>
      </c>
      <c r="V57" s="9">
        <v>8.5004844361652899E-4</v>
      </c>
      <c r="W57" s="9">
        <v>1.32682752173224E-4</v>
      </c>
      <c r="X57" s="10">
        <v>4.2925713734567896</v>
      </c>
      <c r="Y57" s="10">
        <v>4.2916660005161003</v>
      </c>
      <c r="Z57" s="10">
        <v>4.2920296245437104</v>
      </c>
      <c r="AA57" s="10">
        <v>4.2913681034180904</v>
      </c>
      <c r="AB57" s="8">
        <v>222.479965466755</v>
      </c>
      <c r="AC57" s="8">
        <v>222.49352938074099</v>
      </c>
      <c r="AD57" s="8">
        <v>222.459165832765</v>
      </c>
      <c r="AE57" s="9">
        <v>-2.1093846886931301E-4</v>
      </c>
      <c r="AF57" s="9">
        <v>-1.4997342646718201E-4</v>
      </c>
      <c r="AG57" s="9">
        <v>-3.04432758501607E-4</v>
      </c>
      <c r="AZ57" s="9"/>
      <c r="BB57">
        <f t="shared" si="6"/>
        <v>0</v>
      </c>
      <c r="BC57">
        <f t="shared" si="7"/>
        <v>0</v>
      </c>
      <c r="BD57">
        <f t="shared" si="8"/>
        <v>0</v>
      </c>
      <c r="BE57">
        <f t="shared" si="4"/>
        <v>1</v>
      </c>
      <c r="BF57">
        <f t="shared" si="9"/>
        <v>0</v>
      </c>
      <c r="BG57" s="9">
        <f t="shared" si="10"/>
        <v>0</v>
      </c>
      <c r="BH57" s="9">
        <f t="shared" si="11"/>
        <v>0</v>
      </c>
      <c r="BI57" s="9">
        <f t="shared" si="12"/>
        <v>0</v>
      </c>
      <c r="BJ57" s="12">
        <f t="shared" si="13"/>
        <v>9.074118809485306E-4</v>
      </c>
      <c r="BL57" s="9"/>
      <c r="BN57">
        <f t="shared" si="14"/>
        <v>0</v>
      </c>
      <c r="BO57">
        <f t="shared" si="15"/>
        <v>1</v>
      </c>
      <c r="BP57">
        <f t="shared" si="16"/>
        <v>0</v>
      </c>
      <c r="BQ57">
        <f t="shared" si="5"/>
        <v>1</v>
      </c>
      <c r="BR57">
        <f t="shared" si="17"/>
        <v>0</v>
      </c>
      <c r="BS57" s="9">
        <f t="shared" si="18"/>
        <v>0</v>
      </c>
      <c r="BT57" s="9">
        <f t="shared" si="19"/>
        <v>0</v>
      </c>
      <c r="BU57" s="9">
        <f t="shared" si="20"/>
        <v>0</v>
      </c>
      <c r="BV57" s="12">
        <f t="shared" si="21"/>
        <v>0</v>
      </c>
      <c r="BX57" s="12">
        <f t="shared" si="22"/>
        <v>0</v>
      </c>
      <c r="BY57" s="12">
        <f t="shared" si="23"/>
        <v>9.074118809485306E-4</v>
      </c>
    </row>
    <row r="58" spans="1:77" x14ac:dyDescent="0.3">
      <c r="A58" s="1">
        <v>46106</v>
      </c>
      <c r="B58" s="8">
        <v>51.89</v>
      </c>
      <c r="C58" s="8">
        <v>222.65</v>
      </c>
      <c r="D58" s="9">
        <v>6.5738829166793701E-3</v>
      </c>
      <c r="E58" s="9">
        <v>6.0365982033907398E-3</v>
      </c>
      <c r="F58" s="8">
        <v>0</v>
      </c>
      <c r="G58" s="8">
        <v>0.28999999999999998</v>
      </c>
      <c r="H58" s="8">
        <v>0</v>
      </c>
      <c r="I58" s="8">
        <v>1.2169000000000001</v>
      </c>
      <c r="J58" s="8">
        <v>0.28999999999999998</v>
      </c>
      <c r="K58" s="8">
        <v>1.2169000000000001</v>
      </c>
      <c r="L58" s="8">
        <v>52.18</v>
      </c>
      <c r="M58" s="8">
        <v>223.86689999999999</v>
      </c>
      <c r="N58" s="10">
        <v>4.2908074773559397</v>
      </c>
      <c r="O58" s="10">
        <v>4.2929927753205499</v>
      </c>
      <c r="P58" s="10">
        <v>4.2967888838788104</v>
      </c>
      <c r="Q58" s="10">
        <v>4.2937976649872098</v>
      </c>
      <c r="R58" s="8">
        <v>222.76339511138301</v>
      </c>
      <c r="S58" s="8">
        <v>222.967208548835</v>
      </c>
      <c r="T58" s="8">
        <v>222.805986551996</v>
      </c>
      <c r="U58" s="9">
        <v>5.0916795533231503E-4</v>
      </c>
      <c r="V58" s="9">
        <v>1.4236820137497701E-3</v>
      </c>
      <c r="W58" s="9">
        <v>7.0034554739995696E-4</v>
      </c>
      <c r="X58" s="10">
        <v>4.2902817171330003</v>
      </c>
      <c r="Y58" s="10">
        <v>4.2916660005161003</v>
      </c>
      <c r="Z58" s="10">
        <v>4.2918453590944701</v>
      </c>
      <c r="AA58" s="10">
        <v>4.2913259025950401</v>
      </c>
      <c r="AB58" s="8">
        <v>223.93913190692999</v>
      </c>
      <c r="AC58" s="8">
        <v>223.95810580869099</v>
      </c>
      <c r="AD58" s="8">
        <v>223.92358763635599</v>
      </c>
      <c r="AE58" s="9">
        <v>3.22603548904565E-4</v>
      </c>
      <c r="AF58" s="9">
        <v>4.07327901608796E-4</v>
      </c>
      <c r="AG58" s="9">
        <v>2.5318821290039502E-4</v>
      </c>
      <c r="AZ58" s="9"/>
      <c r="BB58">
        <f t="shared" si="6"/>
        <v>0</v>
      </c>
      <c r="BC58">
        <f t="shared" si="7"/>
        <v>1</v>
      </c>
      <c r="BD58">
        <f t="shared" si="8"/>
        <v>0</v>
      </c>
      <c r="BE58">
        <f t="shared" si="4"/>
        <v>1</v>
      </c>
      <c r="BF58">
        <f t="shared" si="9"/>
        <v>0</v>
      </c>
      <c r="BG58" s="9">
        <f t="shared" si="10"/>
        <v>0</v>
      </c>
      <c r="BH58" s="9">
        <f t="shared" si="11"/>
        <v>0</v>
      </c>
      <c r="BI58" s="9">
        <f t="shared" si="12"/>
        <v>0</v>
      </c>
      <c r="BJ58" s="12">
        <f t="shared" si="13"/>
        <v>9.074118809485306E-4</v>
      </c>
      <c r="BL58" s="9"/>
      <c r="BN58">
        <f t="shared" si="14"/>
        <v>0</v>
      </c>
      <c r="BO58">
        <f t="shared" si="15"/>
        <v>0</v>
      </c>
      <c r="BP58">
        <f t="shared" si="16"/>
        <v>0</v>
      </c>
      <c r="BQ58">
        <f t="shared" si="5"/>
        <v>1</v>
      </c>
      <c r="BR58">
        <f t="shared" si="17"/>
        <v>0</v>
      </c>
      <c r="BS58" s="9">
        <f t="shared" si="18"/>
        <v>0</v>
      </c>
      <c r="BT58" s="9">
        <f t="shared" si="19"/>
        <v>0</v>
      </c>
      <c r="BU58" s="9">
        <f t="shared" si="20"/>
        <v>0</v>
      </c>
      <c r="BV58" s="12">
        <f t="shared" si="21"/>
        <v>0</v>
      </c>
      <c r="BX58" s="12">
        <f t="shared" si="22"/>
        <v>0</v>
      </c>
      <c r="BY58" s="12">
        <f t="shared" si="23"/>
        <v>9.074118809485306E-4</v>
      </c>
    </row>
    <row r="59" spans="1:77" x14ac:dyDescent="0.3">
      <c r="A59" s="1">
        <v>46107</v>
      </c>
      <c r="B59" s="8">
        <v>51.7</v>
      </c>
      <c r="C59" s="8">
        <v>221.7</v>
      </c>
      <c r="D59" s="9">
        <v>-3.66831186526477E-3</v>
      </c>
      <c r="E59" s="9">
        <v>-4.2759151454456702E-3</v>
      </c>
      <c r="F59" s="8">
        <v>0</v>
      </c>
      <c r="G59" s="8">
        <v>0.28999999999999998</v>
      </c>
      <c r="H59" s="8">
        <v>0</v>
      </c>
      <c r="I59" s="8">
        <v>1.2169000000000001</v>
      </c>
      <c r="J59" s="8">
        <v>0.28999999999999998</v>
      </c>
      <c r="K59" s="8">
        <v>1.2169000000000001</v>
      </c>
      <c r="L59" s="8">
        <v>51.99</v>
      </c>
      <c r="M59" s="8">
        <v>222.9169</v>
      </c>
      <c r="N59" s="10">
        <v>4.28820116054158</v>
      </c>
      <c r="O59" s="10">
        <v>4.2929927753205499</v>
      </c>
      <c r="P59" s="10">
        <v>4.2961818680053696</v>
      </c>
      <c r="Q59" s="10">
        <v>4.2937019349466103</v>
      </c>
      <c r="R59" s="8">
        <v>221.94772648407201</v>
      </c>
      <c r="S59" s="8">
        <v>222.143985296534</v>
      </c>
      <c r="T59" s="8">
        <v>221.98933927983799</v>
      </c>
      <c r="U59" s="9">
        <v>1.1167712355133401E-3</v>
      </c>
      <c r="V59" s="9">
        <v>2.0006374281606198E-3</v>
      </c>
      <c r="W59" s="9">
        <v>1.3042428349686701E-3</v>
      </c>
      <c r="X59" s="10">
        <v>4.2876880169263298</v>
      </c>
      <c r="Y59" s="10">
        <v>4.2916660005161003</v>
      </c>
      <c r="Z59" s="10">
        <v>4.2911870288595004</v>
      </c>
      <c r="AA59" s="10">
        <v>4.2912045153736802</v>
      </c>
      <c r="AB59" s="8">
        <v>223.12371536683199</v>
      </c>
      <c r="AC59" s="8">
        <v>223.133040219321</v>
      </c>
      <c r="AD59" s="8">
        <v>223.106033675916</v>
      </c>
      <c r="AE59" s="9">
        <v>9.2733878722441E-4</v>
      </c>
      <c r="AF59" s="9">
        <v>9.6913021054235505E-4</v>
      </c>
      <c r="AG59" s="9">
        <v>8.4808951725303598E-4</v>
      </c>
      <c r="AZ59" s="9"/>
      <c r="BB59">
        <f t="shared" si="6"/>
        <v>0</v>
      </c>
      <c r="BC59">
        <f t="shared" si="7"/>
        <v>1</v>
      </c>
      <c r="BD59">
        <f t="shared" si="8"/>
        <v>0</v>
      </c>
      <c r="BE59">
        <f t="shared" si="4"/>
        <v>1</v>
      </c>
      <c r="BF59">
        <f t="shared" si="9"/>
        <v>0</v>
      </c>
      <c r="BG59" s="9">
        <f t="shared" si="10"/>
        <v>0</v>
      </c>
      <c r="BH59" s="9">
        <f t="shared" si="11"/>
        <v>0</v>
      </c>
      <c r="BI59" s="9">
        <f t="shared" si="12"/>
        <v>0</v>
      </c>
      <c r="BJ59" s="12">
        <f t="shared" si="13"/>
        <v>9.074118809485306E-4</v>
      </c>
      <c r="BL59" s="9"/>
      <c r="BN59">
        <f t="shared" si="14"/>
        <v>1</v>
      </c>
      <c r="BO59">
        <f t="shared" si="15"/>
        <v>0</v>
      </c>
      <c r="BP59">
        <f t="shared" si="16"/>
        <v>0</v>
      </c>
      <c r="BQ59">
        <f t="shared" si="5"/>
        <v>1</v>
      </c>
      <c r="BR59">
        <f t="shared" si="17"/>
        <v>0</v>
      </c>
      <c r="BS59" s="9">
        <f t="shared" si="18"/>
        <v>0</v>
      </c>
      <c r="BT59" s="9">
        <f t="shared" si="19"/>
        <v>0</v>
      </c>
      <c r="BU59" s="9">
        <f t="shared" si="20"/>
        <v>0</v>
      </c>
      <c r="BV59" s="12">
        <f t="shared" si="21"/>
        <v>0</v>
      </c>
      <c r="BX59" s="12">
        <f t="shared" si="22"/>
        <v>0</v>
      </c>
      <c r="BY59" s="12">
        <f t="shared" si="23"/>
        <v>9.074118809485306E-4</v>
      </c>
    </row>
    <row r="60" spans="1:77" x14ac:dyDescent="0.3">
      <c r="A60" s="1">
        <v>46108</v>
      </c>
      <c r="B60" s="8">
        <v>52</v>
      </c>
      <c r="C60" s="8">
        <v>223.18</v>
      </c>
      <c r="D60" s="9">
        <v>5.7859370670439196E-3</v>
      </c>
      <c r="E60" s="9">
        <v>6.6535041352895497E-3</v>
      </c>
      <c r="F60" s="8">
        <v>0</v>
      </c>
      <c r="G60" s="8">
        <v>0.28999999999999998</v>
      </c>
      <c r="H60" s="8">
        <v>0</v>
      </c>
      <c r="I60" s="8">
        <v>1.2169000000000001</v>
      </c>
      <c r="J60" s="8">
        <v>0.28999999999999998</v>
      </c>
      <c r="K60" s="8">
        <v>1.2169000000000001</v>
      </c>
      <c r="L60" s="8">
        <v>52.29</v>
      </c>
      <c r="M60" s="8">
        <v>224.39689999999999</v>
      </c>
      <c r="N60" s="10">
        <v>4.2919230769230703</v>
      </c>
      <c r="O60" s="10">
        <v>4.2929927753205499</v>
      </c>
      <c r="P60" s="10">
        <v>4.2963365343106901</v>
      </c>
      <c r="Q60" s="10">
        <v>4.2937575862448796</v>
      </c>
      <c r="R60" s="8">
        <v>223.23562431666801</v>
      </c>
      <c r="S60" s="8">
        <v>223.40145713627899</v>
      </c>
      <c r="T60" s="8">
        <v>223.27250061722299</v>
      </c>
      <c r="U60" s="9">
        <v>2.49204167267761E-4</v>
      </c>
      <c r="V60" s="9">
        <v>9.917884000489889E-4</v>
      </c>
      <c r="W60" s="9">
        <v>4.1438055972177202E-4</v>
      </c>
      <c r="X60" s="10">
        <v>4.2913922356091003</v>
      </c>
      <c r="Y60" s="10">
        <v>4.2916660005161003</v>
      </c>
      <c r="Z60" s="10">
        <v>4.2912886110334298</v>
      </c>
      <c r="AA60" s="10">
        <v>4.2912336246062504</v>
      </c>
      <c r="AB60" s="8">
        <v>224.41121516698701</v>
      </c>
      <c r="AC60" s="8">
        <v>224.38616973906301</v>
      </c>
      <c r="AD60" s="8">
        <v>224.38708410888901</v>
      </c>
      <c r="AE60" s="9">
        <v>6.3791925807059406E-5</v>
      </c>
      <c r="AF60" s="9">
        <v>-4.7819366022720797E-5</v>
      </c>
      <c r="AG60" s="9">
        <v>-4.3744391329976399E-5</v>
      </c>
      <c r="AZ60" s="9"/>
      <c r="BB60">
        <f t="shared" si="6"/>
        <v>0</v>
      </c>
      <c r="BC60">
        <f t="shared" si="7"/>
        <v>0</v>
      </c>
      <c r="BD60">
        <f t="shared" si="8"/>
        <v>0</v>
      </c>
      <c r="BE60">
        <f t="shared" si="4"/>
        <v>1</v>
      </c>
      <c r="BF60">
        <f t="shared" si="9"/>
        <v>0</v>
      </c>
      <c r="BG60" s="9">
        <f t="shared" si="10"/>
        <v>0</v>
      </c>
      <c r="BH60" s="9">
        <f t="shared" si="11"/>
        <v>0</v>
      </c>
      <c r="BI60" s="9">
        <f t="shared" si="12"/>
        <v>0</v>
      </c>
      <c r="BJ60" s="12">
        <f t="shared" si="13"/>
        <v>9.074118809485306E-4</v>
      </c>
      <c r="BL60" s="9"/>
      <c r="BN60">
        <f t="shared" si="14"/>
        <v>0</v>
      </c>
      <c r="BO60">
        <f t="shared" si="15"/>
        <v>1</v>
      </c>
      <c r="BP60">
        <f t="shared" si="16"/>
        <v>1</v>
      </c>
      <c r="BQ60">
        <f t="shared" si="5"/>
        <v>1</v>
      </c>
      <c r="BR60">
        <f t="shared" si="17"/>
        <v>1</v>
      </c>
      <c r="BS60" s="9">
        <f t="shared" si="18"/>
        <v>-5.7859370670439196E-3</v>
      </c>
      <c r="BT60" s="9">
        <f t="shared" si="19"/>
        <v>6.6535041352895497E-3</v>
      </c>
      <c r="BU60" s="9">
        <f t="shared" si="20"/>
        <v>8.6756706824563014E-4</v>
      </c>
      <c r="BV60" s="12">
        <f t="shared" si="21"/>
        <v>8.6756706824563014E-4</v>
      </c>
      <c r="BX60" s="12">
        <f t="shared" si="22"/>
        <v>8.6756706824563014E-4</v>
      </c>
      <c r="BY60" s="12">
        <f t="shared" si="23"/>
        <v>1.7749789491941607E-3</v>
      </c>
    </row>
    <row r="61" spans="1:77" x14ac:dyDescent="0.3">
      <c r="A61" s="1">
        <v>46111</v>
      </c>
      <c r="B61" s="8">
        <v>52.23</v>
      </c>
      <c r="C61" s="8">
        <v>224.07</v>
      </c>
      <c r="D61" s="9">
        <v>4.4133238667799501E-3</v>
      </c>
      <c r="E61" s="9">
        <v>3.9798822795297003E-3</v>
      </c>
      <c r="F61" s="8">
        <v>0</v>
      </c>
      <c r="G61" s="8">
        <v>0.28999999999999998</v>
      </c>
      <c r="H61" s="8">
        <v>0</v>
      </c>
      <c r="I61" s="8">
        <v>1.2169000000000001</v>
      </c>
      <c r="J61" s="8">
        <v>0.28999999999999998</v>
      </c>
      <c r="K61" s="8">
        <v>1.2169000000000001</v>
      </c>
      <c r="L61" s="8">
        <v>52.519999999999897</v>
      </c>
      <c r="M61" s="8">
        <v>225.2869</v>
      </c>
      <c r="N61" s="10">
        <v>4.2900631820792601</v>
      </c>
      <c r="O61" s="10">
        <v>4.2929927753205499</v>
      </c>
      <c r="P61" s="10">
        <v>4.2960248391754003</v>
      </c>
      <c r="Q61" s="10">
        <v>4.2936989355875301</v>
      </c>
      <c r="R61" s="8">
        <v>224.223012654992</v>
      </c>
      <c r="S61" s="8">
        <v>224.397657187047</v>
      </c>
      <c r="T61" s="8">
        <v>224.26295872956999</v>
      </c>
      <c r="U61" s="9">
        <v>6.8264575451783597E-4</v>
      </c>
      <c r="V61" s="9">
        <v>1.46123021403108E-3</v>
      </c>
      <c r="W61" s="9">
        <v>8.60783209119741E-4</v>
      </c>
      <c r="X61" s="10">
        <v>4.2895449352627502</v>
      </c>
      <c r="Y61" s="10">
        <v>4.2916660005161003</v>
      </c>
      <c r="Z61" s="10">
        <v>4.29092509121649</v>
      </c>
      <c r="AA61" s="10">
        <v>4.2911490616080803</v>
      </c>
      <c r="AB61" s="8">
        <v>225.39829834710599</v>
      </c>
      <c r="AC61" s="8">
        <v>225.37847785147599</v>
      </c>
      <c r="AD61" s="8">
        <v>225.37558996432</v>
      </c>
      <c r="AE61" s="9">
        <v>4.9435104495644999E-4</v>
      </c>
      <c r="AF61" s="9">
        <v>4.0641175132269999E-4</v>
      </c>
      <c r="AG61" s="9">
        <v>3.9359816909756402E-4</v>
      </c>
      <c r="AZ61" s="9"/>
      <c r="BB61">
        <f t="shared" si="6"/>
        <v>0</v>
      </c>
      <c r="BC61">
        <f t="shared" si="7"/>
        <v>1</v>
      </c>
      <c r="BD61">
        <f t="shared" si="8"/>
        <v>0</v>
      </c>
      <c r="BE61">
        <f t="shared" si="4"/>
        <v>1</v>
      </c>
      <c r="BF61">
        <f t="shared" si="9"/>
        <v>0</v>
      </c>
      <c r="BG61" s="9">
        <f t="shared" si="10"/>
        <v>0</v>
      </c>
      <c r="BH61" s="9">
        <f t="shared" si="11"/>
        <v>0</v>
      </c>
      <c r="BI61" s="9">
        <f t="shared" si="12"/>
        <v>0</v>
      </c>
      <c r="BJ61" s="12">
        <f t="shared" si="13"/>
        <v>9.074118809485306E-4</v>
      </c>
      <c r="BL61" s="9"/>
      <c r="BN61">
        <f t="shared" si="14"/>
        <v>0</v>
      </c>
      <c r="BO61">
        <f t="shared" si="15"/>
        <v>0</v>
      </c>
      <c r="BP61">
        <f t="shared" si="16"/>
        <v>0</v>
      </c>
      <c r="BQ61">
        <f t="shared" si="5"/>
        <v>1</v>
      </c>
      <c r="BR61">
        <f t="shared" si="17"/>
        <v>0</v>
      </c>
      <c r="BS61" s="9">
        <f t="shared" si="18"/>
        <v>0</v>
      </c>
      <c r="BT61" s="9">
        <f t="shared" si="19"/>
        <v>0</v>
      </c>
      <c r="BU61" s="9">
        <f t="shared" si="20"/>
        <v>0</v>
      </c>
      <c r="BV61" s="12">
        <f t="shared" si="21"/>
        <v>8.6756706824563014E-4</v>
      </c>
      <c r="BX61" s="12">
        <f t="shared" si="22"/>
        <v>0</v>
      </c>
      <c r="BY61" s="12">
        <f t="shared" si="23"/>
        <v>1.7749789491941607E-3</v>
      </c>
    </row>
    <row r="62" spans="1:77" x14ac:dyDescent="0.3">
      <c r="A62" s="1">
        <v>46112</v>
      </c>
      <c r="B62" s="8">
        <v>52.33</v>
      </c>
      <c r="C62" s="8">
        <v>224.59</v>
      </c>
      <c r="D62" s="9">
        <v>1.9127779359090801E-3</v>
      </c>
      <c r="E62" s="9">
        <v>2.3180146785464098E-3</v>
      </c>
      <c r="F62" s="8">
        <v>0</v>
      </c>
      <c r="G62" s="8">
        <v>0.28999999999999998</v>
      </c>
      <c r="H62" s="8">
        <v>0</v>
      </c>
      <c r="I62" s="8">
        <v>1.2169000000000001</v>
      </c>
      <c r="J62" s="8">
        <v>0.28999999999999998</v>
      </c>
      <c r="K62" s="8">
        <v>1.2169000000000001</v>
      </c>
      <c r="L62" s="8">
        <v>52.62</v>
      </c>
      <c r="M62" s="8">
        <v>225.80690000000001</v>
      </c>
      <c r="N62" s="10">
        <v>4.29180202560672</v>
      </c>
      <c r="O62" s="10">
        <v>4.2929927753205499</v>
      </c>
      <c r="P62" s="10">
        <v>4.2958709643551201</v>
      </c>
      <c r="Q62" s="10">
        <v>4.2937708779322303</v>
      </c>
      <c r="R62" s="8">
        <v>224.65231193252399</v>
      </c>
      <c r="S62" s="8">
        <v>224.81097983404899</v>
      </c>
      <c r="T62" s="8">
        <v>224.68926529929499</v>
      </c>
      <c r="U62" s="9">
        <v>2.7740901188048499E-4</v>
      </c>
      <c r="V62" s="9">
        <v>9.8344178929409194E-4</v>
      </c>
      <c r="W62" s="9">
        <v>4.4188685558383198E-4</v>
      </c>
      <c r="X62" s="10">
        <v>4.29127518053971</v>
      </c>
      <c r="Y62" s="10">
        <v>4.2916660005161003</v>
      </c>
      <c r="Z62" s="10">
        <v>4.2907185318895102</v>
      </c>
      <c r="AA62" s="10">
        <v>4.2911946616994303</v>
      </c>
      <c r="AB62" s="8">
        <v>225.82746494715701</v>
      </c>
      <c r="AC62" s="8">
        <v>225.788478299811</v>
      </c>
      <c r="AD62" s="8">
        <v>225.80026362181701</v>
      </c>
      <c r="AE62" s="9">
        <v>9.1069009658945496E-5</v>
      </c>
      <c r="AF62" s="9">
        <v>-8.1584981084730597E-5</v>
      </c>
      <c r="AG62" s="9">
        <v>-2.93900483333989E-5</v>
      </c>
      <c r="AZ62" s="9"/>
      <c r="BB62">
        <f t="shared" si="6"/>
        <v>0</v>
      </c>
      <c r="BC62">
        <f t="shared" si="7"/>
        <v>0</v>
      </c>
      <c r="BD62">
        <f t="shared" si="8"/>
        <v>0</v>
      </c>
      <c r="BE62">
        <f t="shared" si="4"/>
        <v>1</v>
      </c>
      <c r="BF62">
        <f t="shared" si="9"/>
        <v>0</v>
      </c>
      <c r="BG62" s="9">
        <f t="shared" si="10"/>
        <v>0</v>
      </c>
      <c r="BH62" s="9">
        <f t="shared" si="11"/>
        <v>0</v>
      </c>
      <c r="BI62" s="9">
        <f t="shared" si="12"/>
        <v>0</v>
      </c>
      <c r="BJ62" s="12">
        <f t="shared" si="13"/>
        <v>9.074118809485306E-4</v>
      </c>
      <c r="BL62" s="9"/>
      <c r="BN62">
        <f t="shared" si="14"/>
        <v>0</v>
      </c>
      <c r="BO62">
        <f t="shared" si="15"/>
        <v>1</v>
      </c>
      <c r="BP62">
        <f t="shared" si="16"/>
        <v>0</v>
      </c>
      <c r="BQ62">
        <f t="shared" si="5"/>
        <v>1</v>
      </c>
      <c r="BR62">
        <f t="shared" si="17"/>
        <v>0</v>
      </c>
      <c r="BS62" s="9">
        <f t="shared" si="18"/>
        <v>0</v>
      </c>
      <c r="BT62" s="9">
        <f t="shared" si="19"/>
        <v>0</v>
      </c>
      <c r="BU62" s="9">
        <f t="shared" si="20"/>
        <v>0</v>
      </c>
      <c r="BV62" s="12">
        <f t="shared" si="21"/>
        <v>8.6756706824563014E-4</v>
      </c>
      <c r="BX62" s="12">
        <f t="shared" si="22"/>
        <v>0</v>
      </c>
      <c r="BY62" s="12">
        <f t="shared" si="23"/>
        <v>1.7749789491941607E-3</v>
      </c>
    </row>
    <row r="63" spans="1:77" x14ac:dyDescent="0.3">
      <c r="A63" s="1">
        <v>46113</v>
      </c>
      <c r="B63" s="8">
        <v>52.1</v>
      </c>
      <c r="C63" s="8">
        <v>223.73</v>
      </c>
      <c r="D63" s="9">
        <v>-4.4048716247952003E-3</v>
      </c>
      <c r="E63" s="9">
        <v>-3.8365500306466499E-3</v>
      </c>
      <c r="F63" s="8">
        <v>0</v>
      </c>
      <c r="G63" s="8">
        <v>0.28999999999999998</v>
      </c>
      <c r="H63" s="8">
        <v>0</v>
      </c>
      <c r="I63" s="8">
        <v>1.2169000000000001</v>
      </c>
      <c r="J63" s="8">
        <v>0.28999999999999998</v>
      </c>
      <c r="K63" s="8">
        <v>1.2169000000000001</v>
      </c>
      <c r="L63" s="8">
        <v>52.39</v>
      </c>
      <c r="M63" s="8">
        <v>224.9469</v>
      </c>
      <c r="N63" s="10">
        <v>4.2942418426103597</v>
      </c>
      <c r="O63" s="10">
        <v>4.2929927753205499</v>
      </c>
      <c r="P63" s="10">
        <v>4.2961141962352096</v>
      </c>
      <c r="Q63" s="10">
        <v>4.2939633391599097</v>
      </c>
      <c r="R63" s="8">
        <v>223.66492359419999</v>
      </c>
      <c r="S63" s="8">
        <v>223.81487724290201</v>
      </c>
      <c r="T63" s="8">
        <v>223.70546274026901</v>
      </c>
      <c r="U63" s="9">
        <v>-2.9091258226792902E-4</v>
      </c>
      <c r="V63" s="9">
        <v>3.79301599618829E-4</v>
      </c>
      <c r="W63" s="9">
        <v>-1.09679548441045E-4</v>
      </c>
      <c r="X63" s="10">
        <v>4.2936991792326697</v>
      </c>
      <c r="Y63" s="10">
        <v>4.2916660005161003</v>
      </c>
      <c r="Z63" s="10">
        <v>4.2909074974318298</v>
      </c>
      <c r="AA63" s="10">
        <v>4.2913599897582202</v>
      </c>
      <c r="AB63" s="8">
        <v>224.840381767038</v>
      </c>
      <c r="AC63" s="8">
        <v>224.790743885691</v>
      </c>
      <c r="AD63" s="8">
        <v>224.81568832643299</v>
      </c>
      <c r="AE63" s="9">
        <v>-4.7363826977884902E-4</v>
      </c>
      <c r="AF63" s="9">
        <v>-6.9443206592386601E-4</v>
      </c>
      <c r="AG63" s="9">
        <v>-5.8347083859232795E-4</v>
      </c>
      <c r="AZ63" s="9"/>
      <c r="BB63">
        <f t="shared" si="6"/>
        <v>0</v>
      </c>
      <c r="BC63">
        <f t="shared" si="7"/>
        <v>0</v>
      </c>
      <c r="BD63">
        <f t="shared" si="8"/>
        <v>0</v>
      </c>
      <c r="BE63">
        <f t="shared" si="4"/>
        <v>1</v>
      </c>
      <c r="BF63">
        <f t="shared" si="9"/>
        <v>0</v>
      </c>
      <c r="BG63" s="9">
        <f t="shared" si="10"/>
        <v>0</v>
      </c>
      <c r="BH63" s="9">
        <f t="shared" si="11"/>
        <v>0</v>
      </c>
      <c r="BI63" s="9">
        <f t="shared" si="12"/>
        <v>0</v>
      </c>
      <c r="BJ63" s="12">
        <f t="shared" si="13"/>
        <v>9.074118809485306E-4</v>
      </c>
      <c r="BL63" s="9"/>
      <c r="BN63">
        <f t="shared" si="14"/>
        <v>0</v>
      </c>
      <c r="BO63">
        <f t="shared" si="15"/>
        <v>1</v>
      </c>
      <c r="BP63">
        <f t="shared" si="16"/>
        <v>0</v>
      </c>
      <c r="BQ63">
        <f t="shared" si="5"/>
        <v>1</v>
      </c>
      <c r="BR63">
        <f t="shared" si="17"/>
        <v>0</v>
      </c>
      <c r="BS63" s="9">
        <f t="shared" si="18"/>
        <v>0</v>
      </c>
      <c r="BT63" s="9">
        <f t="shared" si="19"/>
        <v>0</v>
      </c>
      <c r="BU63" s="9">
        <f t="shared" si="20"/>
        <v>0</v>
      </c>
      <c r="BV63" s="12">
        <f t="shared" si="21"/>
        <v>8.6756706824563014E-4</v>
      </c>
      <c r="BX63" s="12">
        <f t="shared" si="22"/>
        <v>0</v>
      </c>
      <c r="BY63" s="12">
        <f t="shared" si="23"/>
        <v>1.7749789491941607E-3</v>
      </c>
    </row>
    <row r="64" spans="1:77" x14ac:dyDescent="0.3">
      <c r="A64" s="1">
        <v>46114</v>
      </c>
      <c r="B64" s="8">
        <v>52.4</v>
      </c>
      <c r="C64" s="8">
        <v>224.97</v>
      </c>
      <c r="D64" s="9">
        <v>5.7416425676751802E-3</v>
      </c>
      <c r="E64" s="9">
        <v>5.5270922964228498E-3</v>
      </c>
      <c r="F64" s="8">
        <v>0</v>
      </c>
      <c r="G64" s="8">
        <v>0.28999999999999998</v>
      </c>
      <c r="H64" s="8">
        <v>0</v>
      </c>
      <c r="I64" s="8">
        <v>1.2169000000000001</v>
      </c>
      <c r="J64" s="8">
        <v>0.28999999999999998</v>
      </c>
      <c r="K64" s="8">
        <v>1.2169000000000001</v>
      </c>
      <c r="L64" s="8">
        <v>52.69</v>
      </c>
      <c r="M64" s="8">
        <v>226.18690000000001</v>
      </c>
      <c r="N64" s="10">
        <v>4.2933206106870196</v>
      </c>
      <c r="O64" s="10">
        <v>4.2929927753205499</v>
      </c>
      <c r="P64" s="10">
        <v>4.2962827883860299</v>
      </c>
      <c r="Q64" s="10">
        <v>4.2940703014746298</v>
      </c>
      <c r="R64" s="8">
        <v>224.95282142679599</v>
      </c>
      <c r="S64" s="8">
        <v>225.11638388272499</v>
      </c>
      <c r="T64" s="8">
        <v>225.00367897197901</v>
      </c>
      <c r="U64" s="9">
        <v>-7.6362311015726802E-5</v>
      </c>
      <c r="V64" s="9">
        <v>6.5047019029393599E-4</v>
      </c>
      <c r="W64" s="9">
        <v>1.4969307591277E-4</v>
      </c>
      <c r="X64" s="10">
        <v>4.2927861074207598</v>
      </c>
      <c r="Y64" s="10">
        <v>4.2916660005161003</v>
      </c>
      <c r="Z64" s="10">
        <v>4.2910226392560196</v>
      </c>
      <c r="AA64" s="10">
        <v>4.2914402269096303</v>
      </c>
      <c r="AB64" s="8">
        <v>226.12788156719299</v>
      </c>
      <c r="AC64" s="8">
        <v>226.08791603968299</v>
      </c>
      <c r="AD64" s="8">
        <v>226.11175786036</v>
      </c>
      <c r="AE64" s="9">
        <v>-2.6096177063538698E-4</v>
      </c>
      <c r="AF64" s="9">
        <v>-4.3771600092200802E-4</v>
      </c>
      <c r="AG64" s="9">
        <v>-3.3226780148279899E-4</v>
      </c>
      <c r="AZ64" s="9"/>
      <c r="BB64">
        <f t="shared" si="6"/>
        <v>0</v>
      </c>
      <c r="BC64">
        <f t="shared" si="7"/>
        <v>0</v>
      </c>
      <c r="BD64">
        <f t="shared" si="8"/>
        <v>0</v>
      </c>
      <c r="BE64">
        <f t="shared" si="4"/>
        <v>1</v>
      </c>
      <c r="BF64">
        <f t="shared" si="9"/>
        <v>0</v>
      </c>
      <c r="BG64" s="9">
        <f t="shared" si="10"/>
        <v>0</v>
      </c>
      <c r="BH64" s="9">
        <f t="shared" si="11"/>
        <v>0</v>
      </c>
      <c r="BI64" s="9">
        <f t="shared" si="12"/>
        <v>0</v>
      </c>
      <c r="BJ64" s="12">
        <f t="shared" si="13"/>
        <v>9.074118809485306E-4</v>
      </c>
      <c r="BL64" s="9"/>
      <c r="BN64">
        <f t="shared" si="14"/>
        <v>0</v>
      </c>
      <c r="BO64">
        <f t="shared" si="15"/>
        <v>1</v>
      </c>
      <c r="BP64">
        <f t="shared" si="16"/>
        <v>0</v>
      </c>
      <c r="BQ64">
        <f t="shared" si="5"/>
        <v>1</v>
      </c>
      <c r="BR64">
        <f t="shared" si="17"/>
        <v>0</v>
      </c>
      <c r="BS64" s="9">
        <f t="shared" si="18"/>
        <v>0</v>
      </c>
      <c r="BT64" s="9">
        <f t="shared" si="19"/>
        <v>0</v>
      </c>
      <c r="BU64" s="9">
        <f t="shared" si="20"/>
        <v>0</v>
      </c>
      <c r="BV64" s="12">
        <f t="shared" si="21"/>
        <v>8.6756706824563014E-4</v>
      </c>
      <c r="BX64" s="12">
        <f t="shared" si="22"/>
        <v>0</v>
      </c>
      <c r="BY64" s="12">
        <f t="shared" si="23"/>
        <v>1.7749789491941607E-3</v>
      </c>
    </row>
    <row r="65" spans="1:77" x14ac:dyDescent="0.3">
      <c r="A65" s="1">
        <v>46118</v>
      </c>
      <c r="B65" s="8">
        <v>52.85</v>
      </c>
      <c r="C65" s="8">
        <v>226.81</v>
      </c>
      <c r="D65" s="9">
        <v>8.5511209892502101E-3</v>
      </c>
      <c r="E65" s="9">
        <v>8.1456026109367006E-3</v>
      </c>
      <c r="F65" s="8">
        <v>0</v>
      </c>
      <c r="G65" s="8">
        <v>0.28999999999999998</v>
      </c>
      <c r="H65" s="8">
        <v>0</v>
      </c>
      <c r="I65" s="8">
        <v>1.2169000000000001</v>
      </c>
      <c r="J65" s="8">
        <v>0.28999999999999998</v>
      </c>
      <c r="K65" s="8">
        <v>1.2169000000000001</v>
      </c>
      <c r="L65" s="8">
        <v>53.14</v>
      </c>
      <c r="M65" s="8">
        <v>228.02690000000001</v>
      </c>
      <c r="N65" s="10">
        <v>4.2915799432355701</v>
      </c>
      <c r="O65" s="10">
        <v>4.2929927753205499</v>
      </c>
      <c r="P65" s="10">
        <v>4.2938413281995498</v>
      </c>
      <c r="Q65" s="10">
        <v>4.2941358448951599</v>
      </c>
      <c r="R65" s="8">
        <v>226.88466817569099</v>
      </c>
      <c r="S65" s="8">
        <v>227.058545366201</v>
      </c>
      <c r="T65" s="8">
        <v>226.94161543293399</v>
      </c>
      <c r="U65" s="9">
        <v>3.29156067297546E-4</v>
      </c>
      <c r="V65" s="9">
        <v>1.09523073843381E-3</v>
      </c>
      <c r="W65" s="9">
        <v>5.8012107130450696E-4</v>
      </c>
      <c r="X65" s="10">
        <v>4.2910594655626602</v>
      </c>
      <c r="Y65" s="10">
        <v>4.2916660005161003</v>
      </c>
      <c r="Z65" s="10">
        <v>4.2909538473388302</v>
      </c>
      <c r="AA65" s="10">
        <v>4.2914797464465098</v>
      </c>
      <c r="AB65" s="8">
        <v>228.05913126742601</v>
      </c>
      <c r="AC65" s="8">
        <v>228.02494305006499</v>
      </c>
      <c r="AD65" s="8">
        <v>228.04713365797701</v>
      </c>
      <c r="AE65" s="9">
        <v>1.4133854259953401E-4</v>
      </c>
      <c r="AF65" s="9">
        <v>-8.5821380384592694E-6</v>
      </c>
      <c r="AG65" s="9">
        <v>8.87297083270105E-5</v>
      </c>
      <c r="AZ65" s="9"/>
      <c r="BB65">
        <f t="shared" si="6"/>
        <v>0</v>
      </c>
      <c r="BC65">
        <f t="shared" si="7"/>
        <v>1</v>
      </c>
      <c r="BD65">
        <f t="shared" si="8"/>
        <v>0</v>
      </c>
      <c r="BE65">
        <f t="shared" si="4"/>
        <v>1</v>
      </c>
      <c r="BF65">
        <f t="shared" si="9"/>
        <v>0</v>
      </c>
      <c r="BG65" s="9">
        <f t="shared" si="10"/>
        <v>0</v>
      </c>
      <c r="BH65" s="9">
        <f t="shared" si="11"/>
        <v>0</v>
      </c>
      <c r="BI65" s="9">
        <f t="shared" si="12"/>
        <v>0</v>
      </c>
      <c r="BJ65" s="12">
        <f t="shared" si="13"/>
        <v>9.074118809485306E-4</v>
      </c>
      <c r="BL65" s="9"/>
      <c r="BN65">
        <f t="shared" si="14"/>
        <v>0</v>
      </c>
      <c r="BO65">
        <f t="shared" si="15"/>
        <v>0</v>
      </c>
      <c r="BP65">
        <f t="shared" si="16"/>
        <v>0</v>
      </c>
      <c r="BQ65">
        <f t="shared" si="5"/>
        <v>1</v>
      </c>
      <c r="BR65">
        <f t="shared" si="17"/>
        <v>0</v>
      </c>
      <c r="BS65" s="9">
        <f t="shared" si="18"/>
        <v>0</v>
      </c>
      <c r="BT65" s="9">
        <f t="shared" si="19"/>
        <v>0</v>
      </c>
      <c r="BU65" s="9">
        <f t="shared" si="20"/>
        <v>0</v>
      </c>
      <c r="BV65" s="12">
        <f t="shared" si="21"/>
        <v>8.6756706824563014E-4</v>
      </c>
      <c r="BX65" s="12">
        <f t="shared" si="22"/>
        <v>0</v>
      </c>
      <c r="BY65" s="12">
        <f t="shared" si="23"/>
        <v>1.7749789491941607E-3</v>
      </c>
    </row>
    <row r="66" spans="1:77" x14ac:dyDescent="0.3">
      <c r="A66" s="1">
        <v>46119</v>
      </c>
      <c r="B66" s="8">
        <v>51.99</v>
      </c>
      <c r="C66" s="8">
        <v>223.16</v>
      </c>
      <c r="D66" s="9">
        <v>-1.6406319920622199E-2</v>
      </c>
      <c r="E66" s="9">
        <v>-1.62236596150169E-2</v>
      </c>
      <c r="F66" s="8">
        <v>0</v>
      </c>
      <c r="G66" s="8">
        <v>0.28999999999999998</v>
      </c>
      <c r="H66" s="8">
        <v>0</v>
      </c>
      <c r="I66" s="8">
        <v>1.2169000000000001</v>
      </c>
      <c r="J66" s="8">
        <v>0.28999999999999998</v>
      </c>
      <c r="K66" s="8">
        <v>1.2169000000000001</v>
      </c>
      <c r="L66" s="8">
        <v>52.28</v>
      </c>
      <c r="M66" s="8">
        <v>224.37690000000001</v>
      </c>
      <c r="N66" s="10">
        <v>4.2923639161377096</v>
      </c>
      <c r="O66" s="10">
        <v>4.2929927753205499</v>
      </c>
      <c r="P66" s="10">
        <v>4.2917416717233499</v>
      </c>
      <c r="Q66" s="10">
        <v>4.2942530298584503</v>
      </c>
      <c r="R66" s="8">
        <v>223.19269438891499</v>
      </c>
      <c r="S66" s="8">
        <v>223.23681065309401</v>
      </c>
      <c r="T66" s="8">
        <v>223.252122576099</v>
      </c>
      <c r="U66" s="9">
        <v>1.4649576169230299E-4</v>
      </c>
      <c r="V66" s="9">
        <v>3.4413621253553701E-4</v>
      </c>
      <c r="W66" s="9">
        <v>4.1272435379149301E-4</v>
      </c>
      <c r="X66" s="10">
        <v>4.2918305279265496</v>
      </c>
      <c r="Y66" s="10">
        <v>4.2916660005161003</v>
      </c>
      <c r="Z66" s="10">
        <v>4.2912128739070301</v>
      </c>
      <c r="AA66" s="10">
        <v>4.29157026199925</v>
      </c>
      <c r="AB66" s="8">
        <v>224.368298506982</v>
      </c>
      <c r="AC66" s="8">
        <v>224.331067138874</v>
      </c>
      <c r="AD66" s="8">
        <v>224.35856114422299</v>
      </c>
      <c r="AE66" s="9">
        <v>-3.83357551121493E-5</v>
      </c>
      <c r="AF66" s="9">
        <v>-2.0428815462092501E-4</v>
      </c>
      <c r="AG66" s="9">
        <v>-8.1735710119689697E-5</v>
      </c>
      <c r="AZ66" s="9"/>
      <c r="BB66">
        <f t="shared" si="6"/>
        <v>0</v>
      </c>
      <c r="BC66">
        <f t="shared" si="7"/>
        <v>0</v>
      </c>
      <c r="BD66">
        <f t="shared" si="8"/>
        <v>0</v>
      </c>
      <c r="BE66">
        <f t="shared" si="4"/>
        <v>1</v>
      </c>
      <c r="BF66">
        <f t="shared" si="9"/>
        <v>0</v>
      </c>
      <c r="BG66" s="9">
        <f t="shared" si="10"/>
        <v>0</v>
      </c>
      <c r="BH66" s="9">
        <f t="shared" si="11"/>
        <v>0</v>
      </c>
      <c r="BI66" s="9">
        <f t="shared" si="12"/>
        <v>0</v>
      </c>
      <c r="BJ66" s="12">
        <f t="shared" si="13"/>
        <v>9.074118809485306E-4</v>
      </c>
      <c r="BL66" s="9"/>
      <c r="BN66">
        <f t="shared" si="14"/>
        <v>0</v>
      </c>
      <c r="BO66">
        <f t="shared" si="15"/>
        <v>1</v>
      </c>
      <c r="BP66">
        <f t="shared" si="16"/>
        <v>0</v>
      </c>
      <c r="BQ66">
        <f t="shared" si="5"/>
        <v>1</v>
      </c>
      <c r="BR66">
        <f t="shared" si="17"/>
        <v>0</v>
      </c>
      <c r="BS66" s="9">
        <f t="shared" si="18"/>
        <v>0</v>
      </c>
      <c r="BT66" s="9">
        <f t="shared" si="19"/>
        <v>0</v>
      </c>
      <c r="BU66" s="9">
        <f t="shared" si="20"/>
        <v>0</v>
      </c>
      <c r="BV66" s="12">
        <f t="shared" si="21"/>
        <v>8.6756706824563014E-4</v>
      </c>
      <c r="BX66" s="12">
        <f t="shared" si="22"/>
        <v>0</v>
      </c>
      <c r="BY66" s="12">
        <f t="shared" si="23"/>
        <v>1.7749789491941607E-3</v>
      </c>
    </row>
    <row r="67" spans="1:77" x14ac:dyDescent="0.3">
      <c r="A67" s="1">
        <v>46120</v>
      </c>
      <c r="B67" s="8">
        <v>53.03</v>
      </c>
      <c r="C67" s="8">
        <v>227.68</v>
      </c>
      <c r="D67" s="9">
        <v>1.9806398753414198E-2</v>
      </c>
      <c r="E67" s="9">
        <v>2.0052131364214701E-2</v>
      </c>
      <c r="F67" s="8">
        <v>0</v>
      </c>
      <c r="G67" s="8">
        <v>0.28999999999999998</v>
      </c>
      <c r="H67" s="8">
        <v>0</v>
      </c>
      <c r="I67" s="8">
        <v>1.2169000000000001</v>
      </c>
      <c r="J67" s="8">
        <v>0.28999999999999998</v>
      </c>
      <c r="K67" s="8">
        <v>1.2169000000000001</v>
      </c>
      <c r="L67" s="8">
        <v>53.32</v>
      </c>
      <c r="M67" s="8">
        <v>228.89689999999999</v>
      </c>
      <c r="N67" s="10">
        <v>4.29341881953611</v>
      </c>
      <c r="O67" s="10">
        <v>4.2929927753205499</v>
      </c>
      <c r="P67" s="10">
        <v>4.2917722054713296</v>
      </c>
      <c r="Q67" s="10">
        <v>4.2943463893885401</v>
      </c>
      <c r="R67" s="8">
        <v>227.657406875248</v>
      </c>
      <c r="S67" s="8">
        <v>227.591060851489</v>
      </c>
      <c r="T67" s="8">
        <v>227.72423817339299</v>
      </c>
      <c r="U67" s="9">
        <v>-9.9236849108163701E-5</v>
      </c>
      <c r="V67" s="9">
        <v>-3.9070855712054601E-4</v>
      </c>
      <c r="W67" s="9">
        <v>1.9428090397470099E-4</v>
      </c>
      <c r="X67" s="10">
        <v>4.2928900975243796</v>
      </c>
      <c r="Y67" s="10">
        <v>4.2916660005161003</v>
      </c>
      <c r="Z67" s="10">
        <v>4.2912447463137902</v>
      </c>
      <c r="AA67" s="10">
        <v>4.2916371854287503</v>
      </c>
      <c r="AB67" s="8">
        <v>228.83163114751801</v>
      </c>
      <c r="AC67" s="8">
        <v>228.80747043672301</v>
      </c>
      <c r="AD67" s="8">
        <v>228.82652636980001</v>
      </c>
      <c r="AE67" s="9">
        <v>-2.8518586228303201E-4</v>
      </c>
      <c r="AF67" s="9">
        <v>-3.9077435214146902E-4</v>
      </c>
      <c r="AG67" s="9">
        <v>-3.0749411850142298E-4</v>
      </c>
      <c r="AZ67" s="9"/>
      <c r="BB67">
        <f t="shared" si="6"/>
        <v>0</v>
      </c>
      <c r="BC67">
        <f t="shared" si="7"/>
        <v>0</v>
      </c>
      <c r="BD67">
        <f t="shared" si="8"/>
        <v>0</v>
      </c>
      <c r="BE67">
        <f t="shared" si="4"/>
        <v>1</v>
      </c>
      <c r="BF67">
        <f t="shared" si="9"/>
        <v>0</v>
      </c>
      <c r="BG67" s="9">
        <f t="shared" si="10"/>
        <v>0</v>
      </c>
      <c r="BH67" s="9">
        <f t="shared" si="11"/>
        <v>0</v>
      </c>
      <c r="BI67" s="9">
        <f t="shared" si="12"/>
        <v>0</v>
      </c>
      <c r="BJ67" s="12">
        <f t="shared" si="13"/>
        <v>9.074118809485306E-4</v>
      </c>
      <c r="BL67" s="9"/>
      <c r="BN67">
        <f t="shared" si="14"/>
        <v>0</v>
      </c>
      <c r="BO67">
        <f t="shared" si="15"/>
        <v>1</v>
      </c>
      <c r="BP67">
        <f t="shared" si="16"/>
        <v>0</v>
      </c>
      <c r="BQ67">
        <f t="shared" si="5"/>
        <v>1</v>
      </c>
      <c r="BR67">
        <f t="shared" si="17"/>
        <v>0</v>
      </c>
      <c r="BS67" s="9">
        <f t="shared" si="18"/>
        <v>0</v>
      </c>
      <c r="BT67" s="9">
        <f t="shared" si="19"/>
        <v>0</v>
      </c>
      <c r="BU67" s="9">
        <f t="shared" si="20"/>
        <v>0</v>
      </c>
      <c r="BV67" s="12">
        <f t="shared" si="21"/>
        <v>8.6756706824563014E-4</v>
      </c>
      <c r="BX67" s="12">
        <f t="shared" si="22"/>
        <v>0</v>
      </c>
      <c r="BY67" s="12">
        <f t="shared" si="23"/>
        <v>1.7749789491941607E-3</v>
      </c>
    </row>
    <row r="68" spans="1:77" x14ac:dyDescent="0.3">
      <c r="A68" s="1">
        <v>46121</v>
      </c>
      <c r="B68" s="8">
        <v>53.52</v>
      </c>
      <c r="C68" s="8">
        <v>229.63</v>
      </c>
      <c r="D68" s="9">
        <v>9.19762467093449E-3</v>
      </c>
      <c r="E68" s="9">
        <v>8.5281835892366906E-3</v>
      </c>
      <c r="F68" s="8">
        <v>0</v>
      </c>
      <c r="G68" s="8">
        <v>0.28999999999999998</v>
      </c>
      <c r="H68" s="8">
        <v>0</v>
      </c>
      <c r="I68" s="8">
        <v>1.2169000000000001</v>
      </c>
      <c r="J68" s="8">
        <v>0.28999999999999998</v>
      </c>
      <c r="K68" s="8">
        <v>1.2169000000000001</v>
      </c>
      <c r="L68" s="8">
        <v>53.81</v>
      </c>
      <c r="M68" s="8">
        <v>230.84690000000001</v>
      </c>
      <c r="N68" s="10">
        <v>4.2905455904334797</v>
      </c>
      <c r="O68" s="10">
        <v>4.2929927753205499</v>
      </c>
      <c r="P68" s="10">
        <v>4.29174601677909</v>
      </c>
      <c r="Q68" s="10">
        <v>4.2942674503289497</v>
      </c>
      <c r="R68" s="8">
        <v>229.760973335155</v>
      </c>
      <c r="S68" s="8">
        <v>229.69564843682599</v>
      </c>
      <c r="T68" s="8">
        <v>229.83341876007501</v>
      </c>
      <c r="U68" s="9">
        <v>5.7020423258964496E-4</v>
      </c>
      <c r="V68" s="9">
        <v>2.8584703465389801E-4</v>
      </c>
      <c r="W68" s="9">
        <v>8.8546232435602896E-4</v>
      </c>
      <c r="X68" s="10">
        <v>4.2900371678126703</v>
      </c>
      <c r="Y68" s="10">
        <v>4.2916660005161003</v>
      </c>
      <c r="Z68" s="10">
        <v>4.2912202913817596</v>
      </c>
      <c r="AA68" s="10">
        <v>4.29153282523811</v>
      </c>
      <c r="AB68" s="8">
        <v>230.934547487771</v>
      </c>
      <c r="AC68" s="8">
        <v>230.911879799145</v>
      </c>
      <c r="AD68" s="8">
        <v>230.932996947921</v>
      </c>
      <c r="AE68" s="9">
        <v>3.7960593393768802E-4</v>
      </c>
      <c r="AF68" s="9">
        <v>2.81444782068015E-4</v>
      </c>
      <c r="AG68" s="9">
        <v>3.7289171524356899E-4</v>
      </c>
      <c r="AZ68" s="9"/>
      <c r="BB68">
        <f t="shared" si="6"/>
        <v>0</v>
      </c>
      <c r="BC68">
        <f t="shared" si="7"/>
        <v>1</v>
      </c>
      <c r="BD68">
        <f t="shared" si="8"/>
        <v>0</v>
      </c>
      <c r="BE68">
        <f t="shared" si="4"/>
        <v>1</v>
      </c>
      <c r="BF68">
        <f t="shared" si="9"/>
        <v>0</v>
      </c>
      <c r="BG68" s="9">
        <f t="shared" si="10"/>
        <v>0</v>
      </c>
      <c r="BH68" s="9">
        <f t="shared" si="11"/>
        <v>0</v>
      </c>
      <c r="BI68" s="9">
        <f t="shared" si="12"/>
        <v>0</v>
      </c>
      <c r="BJ68" s="12">
        <f t="shared" si="13"/>
        <v>9.074118809485306E-4</v>
      </c>
      <c r="BL68" s="9"/>
      <c r="BN68">
        <f t="shared" si="14"/>
        <v>0</v>
      </c>
      <c r="BO68">
        <f t="shared" si="15"/>
        <v>0</v>
      </c>
      <c r="BP68">
        <f t="shared" si="16"/>
        <v>0</v>
      </c>
      <c r="BQ68">
        <f t="shared" si="5"/>
        <v>1</v>
      </c>
      <c r="BR68">
        <f t="shared" si="17"/>
        <v>0</v>
      </c>
      <c r="BS68" s="9">
        <f t="shared" si="18"/>
        <v>0</v>
      </c>
      <c r="BT68" s="9">
        <f t="shared" si="19"/>
        <v>0</v>
      </c>
      <c r="BU68" s="9">
        <f t="shared" si="20"/>
        <v>0</v>
      </c>
      <c r="BV68" s="12">
        <f t="shared" si="21"/>
        <v>8.6756706824563014E-4</v>
      </c>
      <c r="BX68" s="12">
        <f t="shared" si="22"/>
        <v>0</v>
      </c>
      <c r="BY68" s="12">
        <f t="shared" si="23"/>
        <v>1.7749789491941607E-3</v>
      </c>
    </row>
    <row r="69" spans="1:77" x14ac:dyDescent="0.3">
      <c r="A69" s="1">
        <v>46122</v>
      </c>
      <c r="B69" s="8">
        <v>52.79</v>
      </c>
      <c r="C69" s="8">
        <v>226.52</v>
      </c>
      <c r="D69" s="9">
        <v>-1.37336369844481E-2</v>
      </c>
      <c r="E69" s="9">
        <v>-1.36360766851746E-2</v>
      </c>
      <c r="F69" s="8">
        <v>0</v>
      </c>
      <c r="G69" s="8">
        <v>0.28999999999999998</v>
      </c>
      <c r="H69" s="8">
        <v>0</v>
      </c>
      <c r="I69" s="8">
        <v>1.2169000000000001</v>
      </c>
      <c r="J69" s="8">
        <v>0.28999999999999998</v>
      </c>
      <c r="K69" s="8">
        <v>1.2169000000000001</v>
      </c>
      <c r="L69" s="8">
        <v>53.08</v>
      </c>
      <c r="M69" s="8">
        <v>227.73689999999999</v>
      </c>
      <c r="N69" s="10">
        <v>4.2909641977647199</v>
      </c>
      <c r="O69" s="10">
        <v>4.2929927753205499</v>
      </c>
      <c r="P69" s="10">
        <v>4.2920223205013999</v>
      </c>
      <c r="Q69" s="10">
        <v>4.2941020942533896</v>
      </c>
      <c r="R69" s="8">
        <v>226.62708860917101</v>
      </c>
      <c r="S69" s="8">
        <v>226.56127222576799</v>
      </c>
      <c r="T69" s="8">
        <v>226.69437870286501</v>
      </c>
      <c r="U69" s="9">
        <v>4.7264393331596598E-4</v>
      </c>
      <c r="V69" s="9">
        <v>1.8218464726961801E-4</v>
      </c>
      <c r="W69" s="9">
        <v>7.6951976664776001E-4</v>
      </c>
      <c r="X69" s="10">
        <v>4.2904464958553099</v>
      </c>
      <c r="Y69" s="10">
        <v>4.2916660005161003</v>
      </c>
      <c r="Z69" s="10">
        <v>4.2914961392746598</v>
      </c>
      <c r="AA69" s="10">
        <v>4.2913415840670801</v>
      </c>
      <c r="AB69" s="8">
        <v>227.80163130739501</v>
      </c>
      <c r="AC69" s="8">
        <v>227.77797306654301</v>
      </c>
      <c r="AD69" s="8">
        <v>227.79456236363899</v>
      </c>
      <c r="AE69" s="9">
        <v>2.8419685002266197E-4</v>
      </c>
      <c r="AF69" s="9">
        <v>1.80336885067016E-4</v>
      </c>
      <c r="AG69" s="9">
        <v>2.5316523099455797E-4</v>
      </c>
      <c r="AZ69" s="9"/>
      <c r="BB69">
        <f t="shared" si="6"/>
        <v>0</v>
      </c>
      <c r="BC69">
        <f t="shared" si="7"/>
        <v>1</v>
      </c>
      <c r="BD69">
        <f t="shared" si="8"/>
        <v>0</v>
      </c>
      <c r="BE69">
        <f t="shared" si="4"/>
        <v>1</v>
      </c>
      <c r="BF69">
        <f t="shared" si="9"/>
        <v>0</v>
      </c>
      <c r="BG69" s="9">
        <f t="shared" si="10"/>
        <v>0</v>
      </c>
      <c r="BH69" s="9">
        <f t="shared" si="11"/>
        <v>0</v>
      </c>
      <c r="BI69" s="9">
        <f t="shared" si="12"/>
        <v>0</v>
      </c>
      <c r="BJ69" s="12">
        <f t="shared" si="13"/>
        <v>9.074118809485306E-4</v>
      </c>
      <c r="BL69" s="9"/>
      <c r="BN69">
        <f t="shared" si="14"/>
        <v>0</v>
      </c>
      <c r="BO69">
        <f t="shared" si="15"/>
        <v>0</v>
      </c>
      <c r="BP69">
        <f t="shared" si="16"/>
        <v>0</v>
      </c>
      <c r="BQ69">
        <f t="shared" si="5"/>
        <v>1</v>
      </c>
      <c r="BR69">
        <f t="shared" si="17"/>
        <v>0</v>
      </c>
      <c r="BS69" s="9">
        <f t="shared" si="18"/>
        <v>0</v>
      </c>
      <c r="BT69" s="9">
        <f t="shared" si="19"/>
        <v>0</v>
      </c>
      <c r="BU69" s="9">
        <f t="shared" si="20"/>
        <v>0</v>
      </c>
      <c r="BV69" s="12">
        <f t="shared" si="21"/>
        <v>8.6756706824563014E-4</v>
      </c>
      <c r="BX69" s="12">
        <f t="shared" si="22"/>
        <v>0</v>
      </c>
      <c r="BY69" s="12">
        <f t="shared" si="23"/>
        <v>1.7749789491941607E-3</v>
      </c>
    </row>
    <row r="70" spans="1:77" x14ac:dyDescent="0.3">
      <c r="A70" s="1">
        <v>46125</v>
      </c>
      <c r="B70" s="8">
        <v>52.25</v>
      </c>
      <c r="C70" s="8">
        <v>224.2</v>
      </c>
      <c r="D70" s="9">
        <v>-1.0281887990604401E-2</v>
      </c>
      <c r="E70" s="9">
        <v>-1.0294730607544799E-2</v>
      </c>
      <c r="F70" s="8">
        <v>0</v>
      </c>
      <c r="G70" s="8">
        <v>0.28999999999999998</v>
      </c>
      <c r="H70" s="8">
        <v>0</v>
      </c>
      <c r="I70" s="8">
        <v>1.2169000000000001</v>
      </c>
      <c r="J70" s="8">
        <v>0.28999999999999998</v>
      </c>
      <c r="K70" s="8">
        <v>1.2169000000000001</v>
      </c>
      <c r="L70" s="8">
        <v>52.54</v>
      </c>
      <c r="M70" s="8">
        <v>225.4169</v>
      </c>
      <c r="N70" s="10">
        <v>4.2909090909090901</v>
      </c>
      <c r="O70" s="10">
        <v>4.2929927753205499</v>
      </c>
      <c r="P70" s="10">
        <v>4.2919209219000001</v>
      </c>
      <c r="Q70" s="10">
        <v>4.29412872810535</v>
      </c>
      <c r="R70" s="8">
        <v>224.30887251049799</v>
      </c>
      <c r="S70" s="8">
        <v>224.25816624619799</v>
      </c>
      <c r="T70" s="8">
        <v>224.36683442473901</v>
      </c>
      <c r="U70" s="9">
        <v>4.8548655025625401E-4</v>
      </c>
      <c r="V70" s="9">
        <v>2.5940545140064298E-4</v>
      </c>
      <c r="W70" s="9">
        <v>7.4385540627993404E-4</v>
      </c>
      <c r="X70" s="10">
        <v>4.29038637228778</v>
      </c>
      <c r="Y70" s="10">
        <v>4.2916660005161003</v>
      </c>
      <c r="Z70" s="10">
        <v>4.2913955529425198</v>
      </c>
      <c r="AA70" s="10">
        <v>4.2913420819879802</v>
      </c>
      <c r="AB70" s="8">
        <v>225.484131667116</v>
      </c>
      <c r="AC70" s="8">
        <v>225.47520715748999</v>
      </c>
      <c r="AD70" s="8">
        <v>225.46708682688401</v>
      </c>
      <c r="AE70" s="9">
        <v>2.9821030733076699E-4</v>
      </c>
      <c r="AF70" s="9">
        <v>2.5863019950934203E-4</v>
      </c>
      <c r="AG70" s="9">
        <v>2.2261525606666799E-4</v>
      </c>
      <c r="AZ70" s="9"/>
      <c r="BB70">
        <f t="shared" si="6"/>
        <v>0</v>
      </c>
      <c r="BC70">
        <f t="shared" si="7"/>
        <v>1</v>
      </c>
      <c r="BD70">
        <f t="shared" si="8"/>
        <v>0</v>
      </c>
      <c r="BE70">
        <f t="shared" si="4"/>
        <v>1</v>
      </c>
      <c r="BF70">
        <f t="shared" si="9"/>
        <v>0</v>
      </c>
      <c r="BG70" s="9">
        <f t="shared" si="10"/>
        <v>0</v>
      </c>
      <c r="BH70" s="9">
        <f t="shared" si="11"/>
        <v>0</v>
      </c>
      <c r="BI70" s="9">
        <f t="shared" si="12"/>
        <v>0</v>
      </c>
      <c r="BJ70" s="12">
        <f t="shared" si="13"/>
        <v>9.074118809485306E-4</v>
      </c>
      <c r="BL70" s="9"/>
      <c r="BN70">
        <f t="shared" si="14"/>
        <v>0</v>
      </c>
      <c r="BO70">
        <f t="shared" si="15"/>
        <v>0</v>
      </c>
      <c r="BP70">
        <f t="shared" si="16"/>
        <v>0</v>
      </c>
      <c r="BQ70">
        <f t="shared" si="5"/>
        <v>1</v>
      </c>
      <c r="BR70">
        <f t="shared" si="17"/>
        <v>0</v>
      </c>
      <c r="BS70" s="9">
        <f t="shared" si="18"/>
        <v>0</v>
      </c>
      <c r="BT70" s="9">
        <f t="shared" si="19"/>
        <v>0</v>
      </c>
      <c r="BU70" s="9">
        <f t="shared" si="20"/>
        <v>0</v>
      </c>
      <c r="BV70" s="12">
        <f t="shared" si="21"/>
        <v>8.6756706824563014E-4</v>
      </c>
      <c r="BX70" s="12">
        <f t="shared" si="22"/>
        <v>0</v>
      </c>
      <c r="BY70" s="12">
        <f t="shared" si="23"/>
        <v>1.7749789491941607E-3</v>
      </c>
    </row>
    <row r="71" spans="1:77" x14ac:dyDescent="0.3">
      <c r="A71" s="1">
        <v>46126</v>
      </c>
      <c r="B71" s="8">
        <v>52.16</v>
      </c>
      <c r="C71" s="8">
        <v>223.95</v>
      </c>
      <c r="D71" s="9">
        <v>-1.7239732265229299E-3</v>
      </c>
      <c r="E71" s="9">
        <v>-1.1156979847504701E-3</v>
      </c>
      <c r="F71" s="8">
        <v>0</v>
      </c>
      <c r="G71" s="8">
        <v>0.28999999999999998</v>
      </c>
      <c r="H71" s="8">
        <v>0</v>
      </c>
      <c r="I71" s="8">
        <v>1.2169000000000001</v>
      </c>
      <c r="J71" s="8">
        <v>0.28999999999999998</v>
      </c>
      <c r="K71" s="8">
        <v>1.2169000000000001</v>
      </c>
      <c r="L71" s="8">
        <v>52.449999999999903</v>
      </c>
      <c r="M71" s="8">
        <v>225.1669</v>
      </c>
      <c r="N71" s="10">
        <v>4.2935199386502996</v>
      </c>
      <c r="O71" s="10">
        <v>4.2929927753205499</v>
      </c>
      <c r="P71" s="10">
        <v>4.2922665975571102</v>
      </c>
      <c r="Q71" s="10">
        <v>4.2941457183662601</v>
      </c>
      <c r="R71" s="8">
        <v>223.922503160719</v>
      </c>
      <c r="S71" s="8">
        <v>223.866595286304</v>
      </c>
      <c r="T71" s="8">
        <v>223.981754457975</v>
      </c>
      <c r="U71" s="9">
        <v>-1.2278869151607E-4</v>
      </c>
      <c r="V71" s="9">
        <v>-3.7249497020823001E-4</v>
      </c>
      <c r="W71" s="9">
        <v>1.4178257161891401E-4</v>
      </c>
      <c r="X71" s="10">
        <v>4.2929818875119103</v>
      </c>
      <c r="Y71" s="10">
        <v>4.2916660005161003</v>
      </c>
      <c r="Z71" s="10">
        <v>4.2917392481674401</v>
      </c>
      <c r="AA71" s="10">
        <v>4.2913321696919597</v>
      </c>
      <c r="AB71" s="8">
        <v>225.09788172706899</v>
      </c>
      <c r="AC71" s="8">
        <v>225.08369675183499</v>
      </c>
      <c r="AD71" s="8">
        <v>225.08089220026901</v>
      </c>
      <c r="AE71" s="9">
        <v>-3.0656749660020399E-4</v>
      </c>
      <c r="AF71" s="9">
        <v>-3.6958640238016601E-4</v>
      </c>
      <c r="AG71" s="9">
        <v>-3.8204651867868001E-4</v>
      </c>
      <c r="AZ71" s="9"/>
      <c r="BB71">
        <f t="shared" si="6"/>
        <v>0</v>
      </c>
      <c r="BC71">
        <f t="shared" si="7"/>
        <v>0</v>
      </c>
      <c r="BD71">
        <f t="shared" si="8"/>
        <v>0</v>
      </c>
      <c r="BE71">
        <f t="shared" si="4"/>
        <v>1</v>
      </c>
      <c r="BF71">
        <f t="shared" si="9"/>
        <v>0</v>
      </c>
      <c r="BG71" s="9">
        <f t="shared" si="10"/>
        <v>0</v>
      </c>
      <c r="BH71" s="9">
        <f t="shared" si="11"/>
        <v>0</v>
      </c>
      <c r="BI71" s="9">
        <f t="shared" si="12"/>
        <v>0</v>
      </c>
      <c r="BJ71" s="12">
        <f t="shared" si="13"/>
        <v>9.074118809485306E-4</v>
      </c>
      <c r="BL71" s="9"/>
      <c r="BN71">
        <f t="shared" si="14"/>
        <v>0</v>
      </c>
      <c r="BO71">
        <f t="shared" si="15"/>
        <v>1</v>
      </c>
      <c r="BP71">
        <f t="shared" si="16"/>
        <v>0</v>
      </c>
      <c r="BQ71">
        <f t="shared" si="5"/>
        <v>1</v>
      </c>
      <c r="BR71">
        <f t="shared" si="17"/>
        <v>0</v>
      </c>
      <c r="BS71" s="9">
        <f t="shared" si="18"/>
        <v>0</v>
      </c>
      <c r="BT71" s="9">
        <f t="shared" si="19"/>
        <v>0</v>
      </c>
      <c r="BU71" s="9">
        <f t="shared" si="20"/>
        <v>0</v>
      </c>
      <c r="BV71" s="12">
        <f t="shared" si="21"/>
        <v>8.6756706824563014E-4</v>
      </c>
      <c r="BX71" s="12">
        <f t="shared" si="22"/>
        <v>0</v>
      </c>
      <c r="BY71" s="12">
        <f t="shared" si="23"/>
        <v>1.7749789491941607E-3</v>
      </c>
    </row>
    <row r="72" spans="1:77" x14ac:dyDescent="0.3">
      <c r="A72" s="1">
        <v>46127</v>
      </c>
      <c r="B72" s="8">
        <v>51.96</v>
      </c>
      <c r="C72" s="8">
        <v>222.98</v>
      </c>
      <c r="D72" s="9">
        <v>-3.84172581599864E-3</v>
      </c>
      <c r="E72" s="9">
        <v>-4.3407313138836799E-3</v>
      </c>
      <c r="F72" s="8">
        <v>0</v>
      </c>
      <c r="G72" s="8">
        <v>0.28999999999999998</v>
      </c>
      <c r="H72" s="8">
        <v>0</v>
      </c>
      <c r="I72" s="8">
        <v>1.2169000000000001</v>
      </c>
      <c r="J72" s="8">
        <v>0.28999999999999998</v>
      </c>
      <c r="K72" s="8">
        <v>1.2169000000000001</v>
      </c>
      <c r="L72" s="8">
        <v>52.25</v>
      </c>
      <c r="M72" s="8">
        <v>224.1969</v>
      </c>
      <c r="N72" s="10">
        <v>4.2913779830638896</v>
      </c>
      <c r="O72" s="10">
        <v>4.2929927753205499</v>
      </c>
      <c r="P72" s="10">
        <v>4.29222419330282</v>
      </c>
      <c r="Q72" s="10">
        <v>4.2940475788289696</v>
      </c>
      <c r="R72" s="8">
        <v>223.06390460565501</v>
      </c>
      <c r="S72" s="8">
        <v>223.02617240906699</v>
      </c>
      <c r="T72" s="8">
        <v>223.12381152630999</v>
      </c>
      <c r="U72" s="9">
        <v>3.7621680636881999E-4</v>
      </c>
      <c r="V72" s="9">
        <v>2.0704829703626501E-4</v>
      </c>
      <c r="W72" s="9">
        <v>6.4474468756801299E-4</v>
      </c>
      <c r="X72" s="10">
        <v>4.2908497607655498</v>
      </c>
      <c r="Y72" s="10">
        <v>4.2916660005161003</v>
      </c>
      <c r="Z72" s="10">
        <v>4.2916967061900202</v>
      </c>
      <c r="AA72" s="10">
        <v>4.2912076190397697</v>
      </c>
      <c r="AB72" s="8">
        <v>224.23954852696599</v>
      </c>
      <c r="AC72" s="8">
        <v>224.24337571674801</v>
      </c>
      <c r="AD72" s="8">
        <v>224.222105866405</v>
      </c>
      <c r="AE72" s="9">
        <v>1.9020990481647201E-4</v>
      </c>
      <c r="AF72" s="9">
        <v>2.0727717572229001E-4</v>
      </c>
      <c r="AG72" s="9">
        <v>1.12421044167072E-4</v>
      </c>
      <c r="AZ72" s="9"/>
      <c r="BB72">
        <f t="shared" si="6"/>
        <v>0</v>
      </c>
      <c r="BC72">
        <f t="shared" si="7"/>
        <v>1</v>
      </c>
      <c r="BD72">
        <f t="shared" si="8"/>
        <v>0</v>
      </c>
      <c r="BE72">
        <f t="shared" si="4"/>
        <v>1</v>
      </c>
      <c r="BF72">
        <f t="shared" si="9"/>
        <v>0</v>
      </c>
      <c r="BG72" s="9">
        <f t="shared" si="10"/>
        <v>0</v>
      </c>
      <c r="BH72" s="9">
        <f t="shared" si="11"/>
        <v>0</v>
      </c>
      <c r="BI72" s="9">
        <f t="shared" si="12"/>
        <v>0</v>
      </c>
      <c r="BJ72" s="12">
        <f t="shared" si="13"/>
        <v>9.074118809485306E-4</v>
      </c>
      <c r="BL72" s="9"/>
      <c r="BN72">
        <f t="shared" si="14"/>
        <v>0</v>
      </c>
      <c r="BO72">
        <f t="shared" si="15"/>
        <v>0</v>
      </c>
      <c r="BP72">
        <f t="shared" si="16"/>
        <v>0</v>
      </c>
      <c r="BQ72">
        <f t="shared" si="5"/>
        <v>1</v>
      </c>
      <c r="BR72">
        <f t="shared" si="17"/>
        <v>0</v>
      </c>
      <c r="BS72" s="9">
        <f t="shared" si="18"/>
        <v>0</v>
      </c>
      <c r="BT72" s="9">
        <f t="shared" si="19"/>
        <v>0</v>
      </c>
      <c r="BU72" s="9">
        <f t="shared" si="20"/>
        <v>0</v>
      </c>
      <c r="BV72" s="12">
        <f t="shared" si="21"/>
        <v>8.6756706824563014E-4</v>
      </c>
      <c r="BX72" s="12">
        <f t="shared" si="22"/>
        <v>0</v>
      </c>
      <c r="BY72" s="12">
        <f t="shared" si="23"/>
        <v>1.7749789491941607E-3</v>
      </c>
    </row>
    <row r="73" spans="1:77" x14ac:dyDescent="0.3">
      <c r="A73" s="1">
        <v>46128</v>
      </c>
      <c r="B73" s="8">
        <v>52.12</v>
      </c>
      <c r="C73" s="8">
        <v>223.71</v>
      </c>
      <c r="D73" s="9">
        <v>3.0745604542456099E-3</v>
      </c>
      <c r="E73" s="9">
        <v>3.26848888438776E-3</v>
      </c>
      <c r="F73" s="8">
        <v>0</v>
      </c>
      <c r="G73" s="8">
        <v>0.28999999999999998</v>
      </c>
      <c r="H73" s="8">
        <v>0</v>
      </c>
      <c r="I73" s="8">
        <v>1.2169000000000001</v>
      </c>
      <c r="J73" s="8">
        <v>0.28999999999999998</v>
      </c>
      <c r="K73" s="8">
        <v>1.2169000000000001</v>
      </c>
      <c r="L73" s="8">
        <v>52.41</v>
      </c>
      <c r="M73" s="8">
        <v>224.92689999999999</v>
      </c>
      <c r="N73" s="10">
        <v>4.29221028396009</v>
      </c>
      <c r="O73" s="10">
        <v>4.2929927753205499</v>
      </c>
      <c r="P73" s="10">
        <v>4.2920210374377996</v>
      </c>
      <c r="Q73" s="10">
        <v>4.2940676168365002</v>
      </c>
      <c r="R73" s="8">
        <v>223.750783449707</v>
      </c>
      <c r="S73" s="8">
        <v>223.710724954943</v>
      </c>
      <c r="T73" s="8">
        <v>223.80575980856599</v>
      </c>
      <c r="U73" s="9">
        <v>1.8228837622654901E-4</v>
      </c>
      <c r="V73" s="9">
        <v>3.24059616824819E-6</v>
      </c>
      <c r="W73" s="9">
        <v>4.2796173287317402E-4</v>
      </c>
      <c r="X73" s="10">
        <v>4.2916790688799802</v>
      </c>
      <c r="Y73" s="10">
        <v>4.2916660005161003</v>
      </c>
      <c r="Z73" s="10">
        <v>4.2914946951547499</v>
      </c>
      <c r="AA73" s="10">
        <v>4.2912010962932898</v>
      </c>
      <c r="AB73" s="8">
        <v>224.926215087049</v>
      </c>
      <c r="AC73" s="8">
        <v>224.92782437141901</v>
      </c>
      <c r="AD73" s="8">
        <v>224.902191313874</v>
      </c>
      <c r="AE73" s="9">
        <v>-3.0450514969369401E-6</v>
      </c>
      <c r="AF73" s="9">
        <v>4.1096441547387096E-6</v>
      </c>
      <c r="AG73" s="9">
        <v>-1.09858106679304E-4</v>
      </c>
      <c r="AZ73" s="9"/>
      <c r="BB73">
        <f t="shared" si="6"/>
        <v>0</v>
      </c>
      <c r="BC73">
        <f t="shared" si="7"/>
        <v>0</v>
      </c>
      <c r="BD73">
        <f t="shared" si="8"/>
        <v>0</v>
      </c>
      <c r="BE73">
        <f t="shared" si="4"/>
        <v>1</v>
      </c>
      <c r="BF73">
        <f t="shared" si="9"/>
        <v>0</v>
      </c>
      <c r="BG73" s="9">
        <f t="shared" si="10"/>
        <v>0</v>
      </c>
      <c r="BH73" s="9">
        <f t="shared" si="11"/>
        <v>0</v>
      </c>
      <c r="BI73" s="9">
        <f t="shared" si="12"/>
        <v>0</v>
      </c>
      <c r="BJ73" s="12">
        <f t="shared" si="13"/>
        <v>9.074118809485306E-4</v>
      </c>
      <c r="BL73" s="9"/>
      <c r="BN73">
        <f t="shared" si="14"/>
        <v>0</v>
      </c>
      <c r="BO73">
        <f t="shared" si="15"/>
        <v>1</v>
      </c>
      <c r="BP73">
        <f t="shared" si="16"/>
        <v>0</v>
      </c>
      <c r="BQ73">
        <f t="shared" si="5"/>
        <v>1</v>
      </c>
      <c r="BR73">
        <f t="shared" si="17"/>
        <v>0</v>
      </c>
      <c r="BS73" s="9">
        <f t="shared" si="18"/>
        <v>0</v>
      </c>
      <c r="BT73" s="9">
        <f t="shared" si="19"/>
        <v>0</v>
      </c>
      <c r="BU73" s="9">
        <f t="shared" si="20"/>
        <v>0</v>
      </c>
      <c r="BV73" s="12">
        <f t="shared" si="21"/>
        <v>8.6756706824563014E-4</v>
      </c>
      <c r="BX73" s="12">
        <f t="shared" si="22"/>
        <v>0</v>
      </c>
      <c r="BY73" s="12">
        <f t="shared" si="23"/>
        <v>1.7749789491941607E-3</v>
      </c>
    </row>
    <row r="74" spans="1:77" x14ac:dyDescent="0.3">
      <c r="A74" s="1">
        <v>46129</v>
      </c>
      <c r="B74" s="8">
        <v>52.84</v>
      </c>
      <c r="C74" s="8">
        <v>226.87</v>
      </c>
      <c r="D74" s="9">
        <v>1.3719727397480201E-2</v>
      </c>
      <c r="E74" s="9">
        <v>1.4026595984956199E-2</v>
      </c>
      <c r="F74" s="8">
        <v>0</v>
      </c>
      <c r="G74" s="8">
        <v>0.28999999999999998</v>
      </c>
      <c r="H74" s="8">
        <v>0</v>
      </c>
      <c r="I74" s="8">
        <v>1.2169000000000001</v>
      </c>
      <c r="J74" s="8">
        <v>0.28999999999999998</v>
      </c>
      <c r="K74" s="8">
        <v>1.2169000000000001</v>
      </c>
      <c r="L74" s="8">
        <v>53.13</v>
      </c>
      <c r="M74" s="8">
        <v>228.08690000000001</v>
      </c>
      <c r="N74" s="10">
        <v>4.29352763058289</v>
      </c>
      <c r="O74" s="10">
        <v>4.2929927753205499</v>
      </c>
      <c r="P74" s="10">
        <v>4.29204173942738</v>
      </c>
      <c r="Q74" s="10">
        <v>4.2941622639067099</v>
      </c>
      <c r="R74" s="8">
        <v>226.841738247937</v>
      </c>
      <c r="S74" s="8">
        <v>226.79039161821299</v>
      </c>
      <c r="T74" s="8">
        <v>226.89853287364099</v>
      </c>
      <c r="U74" s="9">
        <v>-1.24580211249192E-4</v>
      </c>
      <c r="V74" s="9">
        <v>-3.5096025165302799E-4</v>
      </c>
      <c r="W74" s="9">
        <v>1.25759595968097E-4</v>
      </c>
      <c r="X74" s="10">
        <v>4.2929964238659801</v>
      </c>
      <c r="Y74" s="10">
        <v>4.2916660005161003</v>
      </c>
      <c r="Z74" s="10">
        <v>4.2915157267992798</v>
      </c>
      <c r="AA74" s="10">
        <v>4.2912691830276497</v>
      </c>
      <c r="AB74" s="8">
        <v>228.01621460742001</v>
      </c>
      <c r="AC74" s="8">
        <v>228.00711315357199</v>
      </c>
      <c r="AD74" s="8">
        <v>227.991514246062</v>
      </c>
      <c r="AE74" s="9">
        <v>-3.0995356480238701E-4</v>
      </c>
      <c r="AF74" s="9">
        <v>-3.4987018000925301E-4</v>
      </c>
      <c r="AG74" s="9">
        <v>-4.1828664698241098E-4</v>
      </c>
      <c r="AZ74" s="9"/>
      <c r="BB74">
        <f t="shared" si="6"/>
        <v>0</v>
      </c>
      <c r="BC74">
        <f t="shared" si="7"/>
        <v>0</v>
      </c>
      <c r="BD74">
        <f t="shared" si="8"/>
        <v>0</v>
      </c>
      <c r="BE74">
        <f t="shared" si="4"/>
        <v>1</v>
      </c>
      <c r="BF74">
        <f t="shared" si="9"/>
        <v>0</v>
      </c>
      <c r="BG74" s="9">
        <f t="shared" si="10"/>
        <v>0</v>
      </c>
      <c r="BH74" s="9">
        <f t="shared" si="11"/>
        <v>0</v>
      </c>
      <c r="BI74" s="9">
        <f t="shared" si="12"/>
        <v>0</v>
      </c>
      <c r="BJ74" s="12">
        <f t="shared" si="13"/>
        <v>9.074118809485306E-4</v>
      </c>
      <c r="BL74" s="9"/>
      <c r="BN74">
        <f t="shared" si="14"/>
        <v>0</v>
      </c>
      <c r="BO74">
        <f t="shared" si="15"/>
        <v>1</v>
      </c>
      <c r="BP74">
        <f t="shared" si="16"/>
        <v>0</v>
      </c>
      <c r="BQ74">
        <f t="shared" si="5"/>
        <v>1</v>
      </c>
      <c r="BR74">
        <f t="shared" si="17"/>
        <v>0</v>
      </c>
      <c r="BS74" s="9">
        <f t="shared" si="18"/>
        <v>0</v>
      </c>
      <c r="BT74" s="9">
        <f t="shared" si="19"/>
        <v>0</v>
      </c>
      <c r="BU74" s="9">
        <f t="shared" si="20"/>
        <v>0</v>
      </c>
      <c r="BV74" s="12">
        <f t="shared" si="21"/>
        <v>8.6756706824563014E-4</v>
      </c>
      <c r="BX74" s="12">
        <f t="shared" si="22"/>
        <v>0</v>
      </c>
      <c r="BY74" s="12">
        <f t="shared" si="23"/>
        <v>1.7749789491941607E-3</v>
      </c>
    </row>
    <row r="75" spans="1:77" x14ac:dyDescent="0.3">
      <c r="A75" s="1">
        <v>46132</v>
      </c>
      <c r="B75" s="8">
        <v>52.78</v>
      </c>
      <c r="C75" s="8">
        <v>226.67</v>
      </c>
      <c r="D75" s="9">
        <v>-1.1361485789465899E-3</v>
      </c>
      <c r="E75" s="9">
        <v>-8.8195093250422905E-4</v>
      </c>
      <c r="F75" s="8">
        <v>0</v>
      </c>
      <c r="G75" s="8">
        <v>0.28999999999999998</v>
      </c>
      <c r="H75" s="8">
        <v>0</v>
      </c>
      <c r="I75" s="8">
        <v>1.2169000000000001</v>
      </c>
      <c r="J75" s="8">
        <v>0.28999999999999998</v>
      </c>
      <c r="K75" s="8">
        <v>1.2169000000000001</v>
      </c>
      <c r="L75" s="8">
        <v>53.07</v>
      </c>
      <c r="M75" s="8">
        <v>227.8869</v>
      </c>
      <c r="N75" s="10">
        <v>4.2946191739295099</v>
      </c>
      <c r="O75" s="10">
        <v>4.2929927753205499</v>
      </c>
      <c r="P75" s="10">
        <v>4.2923456624967802</v>
      </c>
      <c r="Q75" s="10">
        <v>4.2930934953481703</v>
      </c>
      <c r="R75" s="8">
        <v>226.58415868141799</v>
      </c>
      <c r="S75" s="8">
        <v>226.53396300697699</v>
      </c>
      <c r="T75" s="8">
        <v>226.645884288996</v>
      </c>
      <c r="U75" s="9">
        <v>-3.7877785769156898E-4</v>
      </c>
      <c r="V75" s="9">
        <v>-6.0033454343837503E-4</v>
      </c>
      <c r="W75" s="9">
        <v>-1.0639693803968001E-4</v>
      </c>
      <c r="X75" s="10">
        <v>4.2940814019219902</v>
      </c>
      <c r="Y75" s="10">
        <v>4.2916660005161003</v>
      </c>
      <c r="Z75" s="10">
        <v>4.2918179204352098</v>
      </c>
      <c r="AA75" s="10">
        <v>4.2913858838870196</v>
      </c>
      <c r="AB75" s="8">
        <v>227.75871464738901</v>
      </c>
      <c r="AC75" s="8">
        <v>227.75073962123699</v>
      </c>
      <c r="AD75" s="8">
        <v>227.73765554327699</v>
      </c>
      <c r="AE75" s="9">
        <v>-5.6265374611802704E-4</v>
      </c>
      <c r="AF75" s="9">
        <v>-5.9766959959002997E-4</v>
      </c>
      <c r="AG75" s="9">
        <v>-6.5512036278323805E-4</v>
      </c>
      <c r="AZ75" s="9"/>
      <c r="BB75">
        <f t="shared" si="6"/>
        <v>0</v>
      </c>
      <c r="BC75">
        <f t="shared" si="7"/>
        <v>0</v>
      </c>
      <c r="BD75">
        <f t="shared" si="8"/>
        <v>0</v>
      </c>
      <c r="BE75">
        <f t="shared" si="4"/>
        <v>1</v>
      </c>
      <c r="BF75">
        <f t="shared" si="9"/>
        <v>0</v>
      </c>
      <c r="BG75" s="9">
        <f t="shared" si="10"/>
        <v>0</v>
      </c>
      <c r="BH75" s="9">
        <f t="shared" si="11"/>
        <v>0</v>
      </c>
      <c r="BI75" s="9">
        <f t="shared" si="12"/>
        <v>0</v>
      </c>
      <c r="BJ75" s="12">
        <f t="shared" si="13"/>
        <v>9.074118809485306E-4</v>
      </c>
      <c r="BL75" s="9"/>
      <c r="BN75">
        <f t="shared" si="14"/>
        <v>0</v>
      </c>
      <c r="BO75">
        <f t="shared" si="15"/>
        <v>1</v>
      </c>
      <c r="BP75">
        <f t="shared" si="16"/>
        <v>0</v>
      </c>
      <c r="BQ75">
        <f t="shared" si="5"/>
        <v>1</v>
      </c>
      <c r="BR75">
        <f t="shared" si="17"/>
        <v>0</v>
      </c>
      <c r="BS75" s="9">
        <f t="shared" si="18"/>
        <v>0</v>
      </c>
      <c r="BT75" s="9">
        <f t="shared" si="19"/>
        <v>0</v>
      </c>
      <c r="BU75" s="9">
        <f t="shared" si="20"/>
        <v>0</v>
      </c>
      <c r="BV75" s="12">
        <f t="shared" si="21"/>
        <v>8.6756706824563014E-4</v>
      </c>
      <c r="BX75" s="12">
        <f t="shared" si="22"/>
        <v>0</v>
      </c>
      <c r="BY75" s="12">
        <f t="shared" si="23"/>
        <v>1.7749789491941607E-3</v>
      </c>
    </row>
    <row r="76" spans="1:77" x14ac:dyDescent="0.3">
      <c r="A76" s="1">
        <v>46133</v>
      </c>
      <c r="B76" s="8">
        <v>52.52</v>
      </c>
      <c r="C76" s="8">
        <v>225.51</v>
      </c>
      <c r="D76" s="9">
        <v>-4.9382816405825602E-3</v>
      </c>
      <c r="E76" s="9">
        <v>-5.1307114187780197E-3</v>
      </c>
      <c r="F76" s="8">
        <v>0</v>
      </c>
      <c r="G76" s="8">
        <v>0.28999999999999998</v>
      </c>
      <c r="H76" s="8">
        <v>0</v>
      </c>
      <c r="I76" s="8">
        <v>1.2169000000000001</v>
      </c>
      <c r="J76" s="8">
        <v>0.28999999999999998</v>
      </c>
      <c r="K76" s="8">
        <v>1.2169000000000001</v>
      </c>
      <c r="L76" s="8">
        <v>52.81</v>
      </c>
      <c r="M76" s="8">
        <v>226.7269</v>
      </c>
      <c r="N76" s="10">
        <v>4.2937928408225403</v>
      </c>
      <c r="O76" s="10">
        <v>4.2929927753205499</v>
      </c>
      <c r="P76" s="10">
        <v>4.2924885549652601</v>
      </c>
      <c r="Q76" s="10">
        <v>4.2921151133443098</v>
      </c>
      <c r="R76" s="8">
        <v>225.46798055983501</v>
      </c>
      <c r="S76" s="8">
        <v>225.43399419433101</v>
      </c>
      <c r="T76" s="8">
        <v>225.47327037568499</v>
      </c>
      <c r="U76" s="9">
        <v>-1.8634807949620701E-4</v>
      </c>
      <c r="V76" s="9">
        <v>-3.37096434888484E-4</v>
      </c>
      <c r="W76" s="9">
        <v>-1.6288685992575501E-4</v>
      </c>
      <c r="X76" s="10">
        <v>4.2932569589092902</v>
      </c>
      <c r="Y76" s="10">
        <v>4.2916660005161003</v>
      </c>
      <c r="Z76" s="10">
        <v>4.2919605635334799</v>
      </c>
      <c r="AA76" s="10">
        <v>4.2915867187202599</v>
      </c>
      <c r="AB76" s="8">
        <v>226.64288148725501</v>
      </c>
      <c r="AC76" s="8">
        <v>226.65090437818299</v>
      </c>
      <c r="AD76" s="8">
        <v>226.62808852807299</v>
      </c>
      <c r="AE76" s="9">
        <v>-3.7064011381836298E-4</v>
      </c>
      <c r="AF76" s="9">
        <v>-3.3524191874539097E-4</v>
      </c>
      <c r="AG76" s="9">
        <v>-4.3591214827855198E-4</v>
      </c>
      <c r="AZ76" s="9"/>
      <c r="BB76">
        <f t="shared" si="6"/>
        <v>0</v>
      </c>
      <c r="BC76">
        <f t="shared" si="7"/>
        <v>0</v>
      </c>
      <c r="BD76">
        <f t="shared" si="8"/>
        <v>0</v>
      </c>
      <c r="BE76">
        <f t="shared" si="4"/>
        <v>1</v>
      </c>
      <c r="BF76">
        <f t="shared" si="9"/>
        <v>0</v>
      </c>
      <c r="BG76" s="9">
        <f t="shared" si="10"/>
        <v>0</v>
      </c>
      <c r="BH76" s="9">
        <f t="shared" si="11"/>
        <v>0</v>
      </c>
      <c r="BI76" s="9">
        <f t="shared" si="12"/>
        <v>0</v>
      </c>
      <c r="BJ76" s="12">
        <f t="shared" si="13"/>
        <v>9.074118809485306E-4</v>
      </c>
      <c r="BL76" s="9"/>
      <c r="BN76">
        <f t="shared" si="14"/>
        <v>0</v>
      </c>
      <c r="BO76">
        <f t="shared" si="15"/>
        <v>1</v>
      </c>
      <c r="BP76">
        <f t="shared" si="16"/>
        <v>0</v>
      </c>
      <c r="BQ76">
        <f t="shared" si="5"/>
        <v>1</v>
      </c>
      <c r="BR76">
        <f t="shared" si="17"/>
        <v>0</v>
      </c>
      <c r="BS76" s="9">
        <f t="shared" si="18"/>
        <v>0</v>
      </c>
      <c r="BT76" s="9">
        <f t="shared" si="19"/>
        <v>0</v>
      </c>
      <c r="BU76" s="9">
        <f t="shared" si="20"/>
        <v>0</v>
      </c>
      <c r="BV76" s="12">
        <f t="shared" si="21"/>
        <v>8.6756706824563014E-4</v>
      </c>
      <c r="BX76" s="12">
        <f t="shared" si="22"/>
        <v>0</v>
      </c>
      <c r="BY76" s="12">
        <f t="shared" si="23"/>
        <v>1.7749789491941607E-3</v>
      </c>
    </row>
    <row r="77" spans="1:77" x14ac:dyDescent="0.3">
      <c r="A77" s="1">
        <v>46134</v>
      </c>
      <c r="B77" s="8">
        <v>52.7</v>
      </c>
      <c r="C77" s="8">
        <v>226.28</v>
      </c>
      <c r="D77" s="9">
        <v>3.4214061127212699E-3</v>
      </c>
      <c r="E77" s="9">
        <v>3.40866661746775E-3</v>
      </c>
      <c r="F77" s="8">
        <v>0</v>
      </c>
      <c r="G77" s="8">
        <v>0.28999999999999998</v>
      </c>
      <c r="H77" s="8">
        <v>0</v>
      </c>
      <c r="I77" s="8">
        <v>1.2169000000000001</v>
      </c>
      <c r="J77" s="8">
        <v>0.28999999999999998</v>
      </c>
      <c r="K77" s="8">
        <v>1.2169000000000001</v>
      </c>
      <c r="L77" s="8">
        <v>52.99</v>
      </c>
      <c r="M77" s="8">
        <v>227.49690000000001</v>
      </c>
      <c r="N77" s="10">
        <v>4.2937381404174504</v>
      </c>
      <c r="O77" s="10">
        <v>4.2929927753205499</v>
      </c>
      <c r="P77" s="10">
        <v>4.2925204870533999</v>
      </c>
      <c r="Q77" s="10">
        <v>4.2921463462623697</v>
      </c>
      <c r="R77" s="8">
        <v>226.24071925939299</v>
      </c>
      <c r="S77" s="8">
        <v>226.214146846669</v>
      </c>
      <c r="T77" s="8">
        <v>226.194466473245</v>
      </c>
      <c r="U77" s="9">
        <v>-1.73608584242883E-4</v>
      </c>
      <c r="V77" s="9">
        <v>-2.9106742818356E-4</v>
      </c>
      <c r="W77" s="9">
        <v>-3.7807007515968597E-4</v>
      </c>
      <c r="X77" s="10">
        <v>4.2932043781845604</v>
      </c>
      <c r="Y77" s="10">
        <v>4.2916660005161003</v>
      </c>
      <c r="Z77" s="10">
        <v>4.2919919915994997</v>
      </c>
      <c r="AA77" s="10">
        <v>4.2916183689566498</v>
      </c>
      <c r="AB77" s="8">
        <v>227.415381367348</v>
      </c>
      <c r="AC77" s="8">
        <v>227.43099026163901</v>
      </c>
      <c r="AD77" s="8">
        <v>227.411180224986</v>
      </c>
      <c r="AE77" s="9">
        <v>-3.5839275773743299E-4</v>
      </c>
      <c r="AF77" s="9">
        <v>-2.8975905954559599E-4</v>
      </c>
      <c r="AG77" s="9">
        <v>-3.7686635939931202E-4</v>
      </c>
      <c r="AZ77" s="9"/>
      <c r="BB77">
        <f t="shared" si="6"/>
        <v>0</v>
      </c>
      <c r="BC77">
        <f t="shared" si="7"/>
        <v>0</v>
      </c>
      <c r="BD77">
        <f t="shared" si="8"/>
        <v>0</v>
      </c>
      <c r="BE77">
        <f t="shared" si="4"/>
        <v>1</v>
      </c>
      <c r="BF77">
        <f t="shared" si="9"/>
        <v>0</v>
      </c>
      <c r="BG77" s="9">
        <f t="shared" si="10"/>
        <v>0</v>
      </c>
      <c r="BH77" s="9">
        <f t="shared" si="11"/>
        <v>0</v>
      </c>
      <c r="BI77" s="9">
        <f t="shared" si="12"/>
        <v>0</v>
      </c>
      <c r="BJ77" s="12">
        <f t="shared" si="13"/>
        <v>9.074118809485306E-4</v>
      </c>
      <c r="BL77" s="9"/>
      <c r="BN77">
        <f t="shared" si="14"/>
        <v>0</v>
      </c>
      <c r="BO77">
        <f t="shared" si="15"/>
        <v>1</v>
      </c>
      <c r="BP77">
        <f t="shared" si="16"/>
        <v>0</v>
      </c>
      <c r="BQ77">
        <f t="shared" si="5"/>
        <v>1</v>
      </c>
      <c r="BR77">
        <f t="shared" si="17"/>
        <v>0</v>
      </c>
      <c r="BS77" s="9">
        <f t="shared" si="18"/>
        <v>0</v>
      </c>
      <c r="BT77" s="9">
        <f t="shared" si="19"/>
        <v>0</v>
      </c>
      <c r="BU77" s="9">
        <f t="shared" si="20"/>
        <v>0</v>
      </c>
      <c r="BV77" s="12">
        <f t="shared" si="21"/>
        <v>8.6756706824563014E-4</v>
      </c>
      <c r="BX77" s="12">
        <f t="shared" si="22"/>
        <v>0</v>
      </c>
      <c r="BY77" s="12">
        <f t="shared" si="23"/>
        <v>1.7749789491941607E-3</v>
      </c>
    </row>
    <row r="78" spans="1:77" x14ac:dyDescent="0.3">
      <c r="A78" s="1">
        <v>46135</v>
      </c>
      <c r="B78" s="8">
        <v>53.45</v>
      </c>
      <c r="C78" s="8">
        <v>229.51</v>
      </c>
      <c r="D78" s="9">
        <v>1.4131181923737499E-2</v>
      </c>
      <c r="E78" s="9">
        <v>1.4173431061119301E-2</v>
      </c>
      <c r="F78" s="8">
        <v>0</v>
      </c>
      <c r="G78" s="8">
        <v>0.28999999999999998</v>
      </c>
      <c r="H78" s="8">
        <v>0</v>
      </c>
      <c r="I78" s="8">
        <v>1.2169000000000001</v>
      </c>
      <c r="J78" s="8">
        <v>0.28999999999999998</v>
      </c>
      <c r="K78" s="8">
        <v>1.2169000000000001</v>
      </c>
      <c r="L78" s="8">
        <v>53.74</v>
      </c>
      <c r="M78" s="8">
        <v>230.7269</v>
      </c>
      <c r="N78" s="10">
        <v>4.2939195509822197</v>
      </c>
      <c r="O78" s="10">
        <v>4.2929927753205499</v>
      </c>
      <c r="P78" s="10">
        <v>4.2928578831082698</v>
      </c>
      <c r="Q78" s="10">
        <v>4.2923019499436803</v>
      </c>
      <c r="R78" s="8">
        <v>229.46046384088299</v>
      </c>
      <c r="S78" s="8">
        <v>229.43522003300399</v>
      </c>
      <c r="T78" s="8">
        <v>229.41522220772299</v>
      </c>
      <c r="U78" s="9">
        <v>-2.1585772162458199E-4</v>
      </c>
      <c r="V78" s="9">
        <v>-3.2587753131910701E-4</v>
      </c>
      <c r="W78" s="9">
        <v>-4.1304242624903999E-4</v>
      </c>
      <c r="X78" s="10">
        <v>4.2933922590249303</v>
      </c>
      <c r="Y78" s="10">
        <v>4.2916660005161003</v>
      </c>
      <c r="Z78" s="10">
        <v>4.29232750072073</v>
      </c>
      <c r="AA78" s="10">
        <v>4.2917738960512404</v>
      </c>
      <c r="AB78" s="8">
        <v>230.634130867735</v>
      </c>
      <c r="AC78" s="8">
        <v>230.65164962855701</v>
      </c>
      <c r="AD78" s="8">
        <v>230.63157114773</v>
      </c>
      <c r="AE78" s="9">
        <v>-4.0215417994925499E-4</v>
      </c>
      <c r="AF78" s="9">
        <v>-3.2619796551156802E-4</v>
      </c>
      <c r="AG78" s="9">
        <v>-4.1325285905838798E-4</v>
      </c>
      <c r="AZ78" s="9"/>
      <c r="BB78">
        <f t="shared" si="6"/>
        <v>0</v>
      </c>
      <c r="BC78">
        <f t="shared" si="7"/>
        <v>0</v>
      </c>
      <c r="BD78">
        <f t="shared" si="8"/>
        <v>0</v>
      </c>
      <c r="BE78">
        <f t="shared" si="4"/>
        <v>1</v>
      </c>
      <c r="BF78">
        <f t="shared" si="9"/>
        <v>0</v>
      </c>
      <c r="BG78" s="9">
        <f t="shared" si="10"/>
        <v>0</v>
      </c>
      <c r="BH78" s="9">
        <f t="shared" si="11"/>
        <v>0</v>
      </c>
      <c r="BI78" s="9">
        <f t="shared" si="12"/>
        <v>0</v>
      </c>
      <c r="BJ78" s="12">
        <f t="shared" si="13"/>
        <v>9.074118809485306E-4</v>
      </c>
      <c r="BL78" s="9"/>
      <c r="BN78">
        <f t="shared" si="14"/>
        <v>0</v>
      </c>
      <c r="BO78">
        <f t="shared" si="15"/>
        <v>1</v>
      </c>
      <c r="BP78">
        <f t="shared" si="16"/>
        <v>0</v>
      </c>
      <c r="BQ78">
        <f t="shared" si="5"/>
        <v>1</v>
      </c>
      <c r="BR78">
        <f t="shared" si="17"/>
        <v>0</v>
      </c>
      <c r="BS78" s="9">
        <f t="shared" si="18"/>
        <v>0</v>
      </c>
      <c r="BT78" s="9">
        <f t="shared" si="19"/>
        <v>0</v>
      </c>
      <c r="BU78" s="9">
        <f t="shared" si="20"/>
        <v>0</v>
      </c>
      <c r="BV78" s="12">
        <f t="shared" si="21"/>
        <v>8.6756706824563014E-4</v>
      </c>
      <c r="BX78" s="12">
        <f t="shared" si="22"/>
        <v>0</v>
      </c>
      <c r="BY78" s="12">
        <f t="shared" si="23"/>
        <v>1.7749789491941607E-3</v>
      </c>
    </row>
    <row r="79" spans="1:77" x14ac:dyDescent="0.3">
      <c r="A79" s="1">
        <v>46136</v>
      </c>
      <c r="B79" s="8">
        <v>53.37</v>
      </c>
      <c r="C79" s="8">
        <v>229.06</v>
      </c>
      <c r="D79" s="9">
        <v>-1.4978471252008101E-3</v>
      </c>
      <c r="E79" s="9">
        <v>-1.9626235665040899E-3</v>
      </c>
      <c r="F79" s="8">
        <v>0</v>
      </c>
      <c r="G79" s="8">
        <v>0.28999999999999998</v>
      </c>
      <c r="H79" s="8">
        <v>0</v>
      </c>
      <c r="I79" s="8">
        <v>1.2169000000000001</v>
      </c>
      <c r="J79" s="8">
        <v>0.28999999999999998</v>
      </c>
      <c r="K79" s="8">
        <v>1.2169000000000001</v>
      </c>
      <c r="L79" s="8">
        <v>53.66</v>
      </c>
      <c r="M79" s="8">
        <v>230.27690000000001</v>
      </c>
      <c r="N79" s="10">
        <v>4.2919243020423403</v>
      </c>
      <c r="O79" s="10">
        <v>4.2929927753205499</v>
      </c>
      <c r="P79" s="10">
        <v>4.2929538935360299</v>
      </c>
      <c r="Q79" s="10">
        <v>4.2924881070187197</v>
      </c>
      <c r="R79" s="8">
        <v>229.117024418857</v>
      </c>
      <c r="S79" s="8">
        <v>229.10982522148799</v>
      </c>
      <c r="T79" s="8">
        <v>229.08015506849401</v>
      </c>
      <c r="U79" s="9">
        <v>2.4891871967858099E-4</v>
      </c>
      <c r="V79" s="9">
        <v>2.1749674003928001E-4</v>
      </c>
      <c r="W79" s="9">
        <v>8.7986474376350099E-5</v>
      </c>
      <c r="X79" s="10">
        <v>4.2914070070816202</v>
      </c>
      <c r="Y79" s="10">
        <v>4.2916660005161003</v>
      </c>
      <c r="Z79" s="10">
        <v>4.2924235518433598</v>
      </c>
      <c r="AA79" s="10">
        <v>4.2919598455590098</v>
      </c>
      <c r="AB79" s="8">
        <v>230.29079758769399</v>
      </c>
      <c r="AC79" s="8">
        <v>230.32629368867401</v>
      </c>
      <c r="AD79" s="8">
        <v>230.296587262109</v>
      </c>
      <c r="AE79" s="9">
        <v>6.0349815114712802E-5</v>
      </c>
      <c r="AF79" s="9">
        <v>2.1447393131712701E-4</v>
      </c>
      <c r="AG79" s="9">
        <v>8.5490210211388901E-5</v>
      </c>
      <c r="AZ79" s="9"/>
      <c r="BB79">
        <f t="shared" si="6"/>
        <v>0</v>
      </c>
      <c r="BC79">
        <f t="shared" si="7"/>
        <v>1</v>
      </c>
      <c r="BD79">
        <f t="shared" si="8"/>
        <v>0</v>
      </c>
      <c r="BE79">
        <f t="shared" si="4"/>
        <v>1</v>
      </c>
      <c r="BF79">
        <f t="shared" si="9"/>
        <v>0</v>
      </c>
      <c r="BG79" s="9">
        <f t="shared" si="10"/>
        <v>0</v>
      </c>
      <c r="BH79" s="9">
        <f t="shared" si="11"/>
        <v>0</v>
      </c>
      <c r="BI79" s="9">
        <f t="shared" si="12"/>
        <v>0</v>
      </c>
      <c r="BJ79" s="12">
        <f t="shared" si="13"/>
        <v>9.074118809485306E-4</v>
      </c>
      <c r="BL79" s="9"/>
      <c r="BN79">
        <f t="shared" si="14"/>
        <v>0</v>
      </c>
      <c r="BO79">
        <f t="shared" si="15"/>
        <v>0</v>
      </c>
      <c r="BP79">
        <f t="shared" si="16"/>
        <v>0</v>
      </c>
      <c r="BQ79">
        <f t="shared" si="5"/>
        <v>1</v>
      </c>
      <c r="BR79">
        <f t="shared" si="17"/>
        <v>0</v>
      </c>
      <c r="BS79" s="9">
        <f t="shared" si="18"/>
        <v>0</v>
      </c>
      <c r="BT79" s="9">
        <f t="shared" si="19"/>
        <v>0</v>
      </c>
      <c r="BU79" s="9">
        <f t="shared" si="20"/>
        <v>0</v>
      </c>
      <c r="BV79" s="12">
        <f t="shared" si="21"/>
        <v>8.6756706824563014E-4</v>
      </c>
      <c r="BX79" s="12">
        <f t="shared" si="22"/>
        <v>0</v>
      </c>
      <c r="BY79" s="12">
        <f t="shared" si="23"/>
        <v>1.7749789491941607E-3</v>
      </c>
    </row>
    <row r="80" spans="1:77" x14ac:dyDescent="0.3">
      <c r="A80" s="1">
        <v>46139</v>
      </c>
      <c r="B80" s="8">
        <v>52.82</v>
      </c>
      <c r="C80" s="8">
        <v>226.73</v>
      </c>
      <c r="D80" s="9">
        <v>-1.03588834768672E-2</v>
      </c>
      <c r="E80" s="9">
        <v>-1.0224095731018901E-2</v>
      </c>
      <c r="F80" s="8">
        <v>0</v>
      </c>
      <c r="G80" s="8">
        <v>0.28999999999999998</v>
      </c>
      <c r="H80" s="8">
        <v>0</v>
      </c>
      <c r="I80" s="8">
        <v>1.2169000000000001</v>
      </c>
      <c r="J80" s="8">
        <v>0.28999999999999998</v>
      </c>
      <c r="K80" s="8">
        <v>1.2169000000000001</v>
      </c>
      <c r="L80" s="8">
        <v>53.11</v>
      </c>
      <c r="M80" s="8">
        <v>227.9469</v>
      </c>
      <c r="N80" s="10">
        <v>4.2925028398333902</v>
      </c>
      <c r="O80" s="10">
        <v>4.2929927753205499</v>
      </c>
      <c r="P80" s="10">
        <v>4.2931132684284599</v>
      </c>
      <c r="Q80" s="10">
        <v>4.2925170951642304</v>
      </c>
      <c r="R80" s="8">
        <v>226.75587839243099</v>
      </c>
      <c r="S80" s="8">
        <v>226.75382465657299</v>
      </c>
      <c r="T80" s="8">
        <v>226.72922181272801</v>
      </c>
      <c r="U80" s="9">
        <v>1.14130973830563E-4</v>
      </c>
      <c r="V80" s="9">
        <v>1.0507389811946601E-4</v>
      </c>
      <c r="W80" s="9">
        <v>-3.4322260247391598E-6</v>
      </c>
      <c r="X80" s="10">
        <v>4.2919770288081303</v>
      </c>
      <c r="Y80" s="10">
        <v>4.2916660005161003</v>
      </c>
      <c r="Z80" s="10">
        <v>4.2925826174953903</v>
      </c>
      <c r="AA80" s="10">
        <v>4.2919890852189599</v>
      </c>
      <c r="AB80" s="8">
        <v>227.93038128741</v>
      </c>
      <c r="AC80" s="8">
        <v>227.97061483840099</v>
      </c>
      <c r="AD80" s="8">
        <v>227.94598739763899</v>
      </c>
      <c r="AE80" s="9">
        <v>-7.2469996969482407E-5</v>
      </c>
      <c r="AF80" s="9">
        <v>1.04031267282226E-4</v>
      </c>
      <c r="AG80" s="9">
        <v>-4.0035823594823498E-6</v>
      </c>
      <c r="AZ80" s="9"/>
      <c r="BB80">
        <f t="shared" si="6"/>
        <v>0</v>
      </c>
      <c r="BC80">
        <f t="shared" si="7"/>
        <v>0</v>
      </c>
      <c r="BD80">
        <f t="shared" si="8"/>
        <v>0</v>
      </c>
      <c r="BE80">
        <f t="shared" si="4"/>
        <v>1</v>
      </c>
      <c r="BF80">
        <f t="shared" si="9"/>
        <v>0</v>
      </c>
      <c r="BG80" s="9">
        <f t="shared" si="10"/>
        <v>0</v>
      </c>
      <c r="BH80" s="9">
        <f t="shared" si="11"/>
        <v>0</v>
      </c>
      <c r="BI80" s="9">
        <f t="shared" si="12"/>
        <v>0</v>
      </c>
      <c r="BJ80" s="12">
        <f t="shared" si="13"/>
        <v>9.074118809485306E-4</v>
      </c>
      <c r="BL80" s="9"/>
      <c r="BN80">
        <f t="shared" si="14"/>
        <v>0</v>
      </c>
      <c r="BO80">
        <f t="shared" si="15"/>
        <v>1</v>
      </c>
      <c r="BP80">
        <f t="shared" si="16"/>
        <v>0</v>
      </c>
      <c r="BQ80">
        <f t="shared" si="5"/>
        <v>1</v>
      </c>
      <c r="BR80">
        <f t="shared" si="17"/>
        <v>0</v>
      </c>
      <c r="BS80" s="9">
        <f t="shared" si="18"/>
        <v>0</v>
      </c>
      <c r="BT80" s="9">
        <f t="shared" si="19"/>
        <v>0</v>
      </c>
      <c r="BU80" s="9">
        <f t="shared" si="20"/>
        <v>0</v>
      </c>
      <c r="BV80" s="12">
        <f t="shared" si="21"/>
        <v>8.6756706824563014E-4</v>
      </c>
      <c r="BX80" s="12">
        <f t="shared" si="22"/>
        <v>0</v>
      </c>
      <c r="BY80" s="12">
        <f t="shared" si="23"/>
        <v>1.7749789491941607E-3</v>
      </c>
    </row>
    <row r="81" spans="1:77" x14ac:dyDescent="0.3">
      <c r="A81" s="1">
        <v>46140</v>
      </c>
      <c r="B81" s="8">
        <v>53.19</v>
      </c>
      <c r="C81" s="8">
        <v>228.33</v>
      </c>
      <c r="D81" s="9">
        <v>6.9805018852400801E-3</v>
      </c>
      <c r="E81" s="9">
        <v>7.0320687088587398E-3</v>
      </c>
      <c r="F81" s="8">
        <v>0</v>
      </c>
      <c r="G81" s="8">
        <v>0.28999999999999998</v>
      </c>
      <c r="H81" s="8">
        <v>0</v>
      </c>
      <c r="I81" s="8">
        <v>1.2169000000000001</v>
      </c>
      <c r="J81" s="8">
        <v>0.28999999999999998</v>
      </c>
      <c r="K81" s="8">
        <v>1.2169000000000001</v>
      </c>
      <c r="L81" s="8">
        <v>53.48</v>
      </c>
      <c r="M81" s="8">
        <v>229.54689999999999</v>
      </c>
      <c r="N81" s="10">
        <v>4.29272419627749</v>
      </c>
      <c r="O81" s="10">
        <v>4.2929927753205499</v>
      </c>
      <c r="P81" s="10">
        <v>4.2930336941911804</v>
      </c>
      <c r="Q81" s="10">
        <v>4.2926501458741404</v>
      </c>
      <c r="R81" s="8">
        <v>228.34428571929999</v>
      </c>
      <c r="S81" s="8">
        <v>228.35069474771001</v>
      </c>
      <c r="T81" s="8">
        <v>228.318984291785</v>
      </c>
      <c r="U81" s="9">
        <v>6.2564150211710698E-5</v>
      </c>
      <c r="V81" s="9">
        <v>9.0631147593327906E-5</v>
      </c>
      <c r="W81" s="9">
        <v>-4.8245845694566903E-5</v>
      </c>
      <c r="X81" s="10">
        <v>4.2922008227374704</v>
      </c>
      <c r="Y81" s="10">
        <v>4.2916660005161003</v>
      </c>
      <c r="Z81" s="10">
        <v>4.2925045110179498</v>
      </c>
      <c r="AA81" s="10">
        <v>4.2921218795926999</v>
      </c>
      <c r="AB81" s="8">
        <v>229.51829770760099</v>
      </c>
      <c r="AC81" s="8">
        <v>229.567318383653</v>
      </c>
      <c r="AD81" s="8">
        <v>229.53557627750999</v>
      </c>
      <c r="AE81" s="9">
        <v>-1.2461102509343601E-4</v>
      </c>
      <c r="AF81" s="9">
        <v>8.8946858318588294E-5</v>
      </c>
      <c r="AG81" s="9">
        <v>-4.9331974437310199E-5</v>
      </c>
      <c r="AZ81" s="9"/>
      <c r="BB81">
        <f t="shared" si="6"/>
        <v>0</v>
      </c>
      <c r="BC81">
        <f t="shared" si="7"/>
        <v>0</v>
      </c>
      <c r="BD81">
        <f t="shared" si="8"/>
        <v>0</v>
      </c>
      <c r="BE81">
        <f t="shared" si="4"/>
        <v>1</v>
      </c>
      <c r="BF81">
        <f t="shared" si="9"/>
        <v>0</v>
      </c>
      <c r="BG81" s="9">
        <f t="shared" si="10"/>
        <v>0</v>
      </c>
      <c r="BH81" s="9">
        <f t="shared" si="11"/>
        <v>0</v>
      </c>
      <c r="BI81" s="9">
        <f t="shared" si="12"/>
        <v>0</v>
      </c>
      <c r="BJ81" s="12">
        <f t="shared" si="13"/>
        <v>9.074118809485306E-4</v>
      </c>
      <c r="BL81" s="9"/>
      <c r="BN81">
        <f t="shared" si="14"/>
        <v>0</v>
      </c>
      <c r="BO81">
        <f t="shared" si="15"/>
        <v>1</v>
      </c>
      <c r="BP81">
        <f t="shared" si="16"/>
        <v>0</v>
      </c>
      <c r="BQ81">
        <f t="shared" si="5"/>
        <v>1</v>
      </c>
      <c r="BR81">
        <f t="shared" si="17"/>
        <v>0</v>
      </c>
      <c r="BS81" s="9">
        <f t="shared" si="18"/>
        <v>0</v>
      </c>
      <c r="BT81" s="9">
        <f t="shared" si="19"/>
        <v>0</v>
      </c>
      <c r="BU81" s="9">
        <f t="shared" si="20"/>
        <v>0</v>
      </c>
      <c r="BV81" s="12">
        <f t="shared" si="21"/>
        <v>8.6756706824563014E-4</v>
      </c>
      <c r="BX81" s="12">
        <f t="shared" si="22"/>
        <v>0</v>
      </c>
      <c r="BY81" s="12">
        <f t="shared" si="23"/>
        <v>1.7749789491941607E-3</v>
      </c>
    </row>
    <row r="82" spans="1:77" x14ac:dyDescent="0.3">
      <c r="A82" s="1">
        <v>46141</v>
      </c>
      <c r="B82" s="8">
        <v>53.09</v>
      </c>
      <c r="C82" s="8">
        <v>228.07</v>
      </c>
      <c r="D82" s="9">
        <v>-1.8818221586459701E-3</v>
      </c>
      <c r="E82" s="9">
        <v>-1.1393515693513801E-3</v>
      </c>
      <c r="F82" s="8">
        <v>0</v>
      </c>
      <c r="G82" s="8">
        <v>0.28999999999999998</v>
      </c>
      <c r="H82" s="8">
        <v>0</v>
      </c>
      <c r="I82" s="8">
        <v>1.2169000000000001</v>
      </c>
      <c r="J82" s="8">
        <v>0.28999999999999998</v>
      </c>
      <c r="K82" s="8">
        <v>1.2169000000000001</v>
      </c>
      <c r="L82" s="8">
        <v>53.38</v>
      </c>
      <c r="M82" s="8">
        <v>229.2869</v>
      </c>
      <c r="N82" s="10">
        <v>4.2959126012431703</v>
      </c>
      <c r="O82" s="10">
        <v>4.2929927753205499</v>
      </c>
      <c r="P82" s="10">
        <v>4.2934871560091104</v>
      </c>
      <c r="Q82" s="10">
        <v>4.2928556746559696</v>
      </c>
      <c r="R82" s="8">
        <v>227.91498644176801</v>
      </c>
      <c r="S82" s="8">
        <v>227.91715882461</v>
      </c>
      <c r="T82" s="8">
        <v>227.89679624445799</v>
      </c>
      <c r="U82" s="9">
        <v>-6.7990643908288895E-4</v>
      </c>
      <c r="V82" s="9">
        <v>-6.7037493559151502E-4</v>
      </c>
      <c r="W82" s="9">
        <v>-7.59720950291593E-4</v>
      </c>
      <c r="X82" s="10">
        <v>4.2953709254402304</v>
      </c>
      <c r="Y82" s="10">
        <v>4.2916660005161003</v>
      </c>
      <c r="Z82" s="10">
        <v>4.2929566274854203</v>
      </c>
      <c r="AA82" s="10">
        <v>4.2923266668377202</v>
      </c>
      <c r="AB82" s="8">
        <v>229.08913110754901</v>
      </c>
      <c r="AC82" s="8">
        <v>229.133890798138</v>
      </c>
      <c r="AD82" s="8">
        <v>229.11346593265799</v>
      </c>
      <c r="AE82" s="9">
        <v>-8.6291119648662401E-4</v>
      </c>
      <c r="AF82" s="9">
        <v>-6.6754916275587304E-4</v>
      </c>
      <c r="AG82" s="9">
        <v>-7.5669257054041005E-4</v>
      </c>
      <c r="AZ82" s="9"/>
      <c r="BB82">
        <f t="shared" si="6"/>
        <v>0</v>
      </c>
      <c r="BC82">
        <f t="shared" si="7"/>
        <v>0</v>
      </c>
      <c r="BD82">
        <f t="shared" si="8"/>
        <v>0</v>
      </c>
      <c r="BE82">
        <f t="shared" si="4"/>
        <v>1</v>
      </c>
      <c r="BF82">
        <f t="shared" si="9"/>
        <v>0</v>
      </c>
      <c r="BG82" s="9">
        <f t="shared" si="10"/>
        <v>0</v>
      </c>
      <c r="BH82" s="9">
        <f t="shared" si="11"/>
        <v>0</v>
      </c>
      <c r="BI82" s="9">
        <f t="shared" si="12"/>
        <v>0</v>
      </c>
      <c r="BJ82" s="12">
        <f t="shared" si="13"/>
        <v>9.074118809485306E-4</v>
      </c>
      <c r="BL82" s="9"/>
      <c r="BN82">
        <f t="shared" si="14"/>
        <v>0</v>
      </c>
      <c r="BO82">
        <f t="shared" si="15"/>
        <v>1</v>
      </c>
      <c r="BP82">
        <f t="shared" si="16"/>
        <v>0</v>
      </c>
      <c r="BQ82">
        <f t="shared" si="5"/>
        <v>1</v>
      </c>
      <c r="BR82">
        <f t="shared" si="17"/>
        <v>0</v>
      </c>
      <c r="BS82" s="9">
        <f t="shared" si="18"/>
        <v>0</v>
      </c>
      <c r="BT82" s="9">
        <f t="shared" si="19"/>
        <v>0</v>
      </c>
      <c r="BU82" s="9">
        <f t="shared" si="20"/>
        <v>0</v>
      </c>
      <c r="BV82" s="12">
        <f t="shared" si="21"/>
        <v>8.6756706824563014E-4</v>
      </c>
      <c r="BX82" s="12">
        <f t="shared" si="22"/>
        <v>0</v>
      </c>
      <c r="BY82" s="12">
        <f t="shared" si="23"/>
        <v>1.7749789491941607E-3</v>
      </c>
    </row>
    <row r="83" spans="1:77" x14ac:dyDescent="0.3">
      <c r="A83" s="1">
        <v>46142</v>
      </c>
      <c r="B83" s="8">
        <v>54.09</v>
      </c>
      <c r="C83" s="8">
        <v>232.14</v>
      </c>
      <c r="D83" s="9">
        <v>1.8660739287755499E-2</v>
      </c>
      <c r="E83" s="9">
        <v>1.7688038562418001E-2</v>
      </c>
      <c r="F83" s="8">
        <v>0</v>
      </c>
      <c r="G83" s="8">
        <v>0.28999999999999998</v>
      </c>
      <c r="H83" s="8">
        <v>0</v>
      </c>
      <c r="I83" s="8">
        <v>1.2169000000000001</v>
      </c>
      <c r="J83" s="8">
        <v>0.28999999999999998</v>
      </c>
      <c r="K83" s="8">
        <v>1.2169000000000001</v>
      </c>
      <c r="L83" s="8">
        <v>54.38</v>
      </c>
      <c r="M83" s="8">
        <v>233.3569</v>
      </c>
      <c r="N83" s="10">
        <v>4.2917359955629504</v>
      </c>
      <c r="O83" s="10">
        <v>4.2929927753205499</v>
      </c>
      <c r="P83" s="10">
        <v>4.2934397271693996</v>
      </c>
      <c r="Q83" s="10">
        <v>4.2927303823036</v>
      </c>
      <c r="R83" s="8">
        <v>232.207979217088</v>
      </c>
      <c r="S83" s="8">
        <v>232.23472026853199</v>
      </c>
      <c r="T83" s="8">
        <v>232.200563442141</v>
      </c>
      <c r="U83" s="9">
        <v>2.9279428625450299E-4</v>
      </c>
      <c r="V83" s="9">
        <v>4.0794757213256298E-4</v>
      </c>
      <c r="W83" s="9">
        <v>2.6085785844770699E-4</v>
      </c>
      <c r="X83" s="10">
        <v>4.2912265538801</v>
      </c>
      <c r="Y83" s="10">
        <v>4.2916660005161003</v>
      </c>
      <c r="Z83" s="10">
        <v>4.2929113759854296</v>
      </c>
      <c r="AA83" s="10">
        <v>4.2922030355700898</v>
      </c>
      <c r="AB83" s="8">
        <v>233.38079710806599</v>
      </c>
      <c r="AC83" s="8">
        <v>233.45098140265699</v>
      </c>
      <c r="AD83" s="8">
        <v>233.41672414263499</v>
      </c>
      <c r="AE83" s="9">
        <v>1.0240059131703099E-4</v>
      </c>
      <c r="AF83" s="9">
        <v>4.0308404240502199E-4</v>
      </c>
      <c r="AG83" s="9">
        <v>2.56330434578355E-4</v>
      </c>
      <c r="AZ83" s="9"/>
      <c r="BB83">
        <f t="shared" si="6"/>
        <v>0</v>
      </c>
      <c r="BC83">
        <f t="shared" si="7"/>
        <v>1</v>
      </c>
      <c r="BD83">
        <f t="shared" si="8"/>
        <v>0</v>
      </c>
      <c r="BE83">
        <f t="shared" si="4"/>
        <v>1</v>
      </c>
      <c r="BF83">
        <f t="shared" si="9"/>
        <v>0</v>
      </c>
      <c r="BG83" s="9">
        <f t="shared" si="10"/>
        <v>0</v>
      </c>
      <c r="BH83" s="9">
        <f t="shared" si="11"/>
        <v>0</v>
      </c>
      <c r="BI83" s="9">
        <f t="shared" si="12"/>
        <v>0</v>
      </c>
      <c r="BJ83" s="12">
        <f t="shared" si="13"/>
        <v>9.074118809485306E-4</v>
      </c>
      <c r="BL83" s="9"/>
      <c r="BN83">
        <f t="shared" si="14"/>
        <v>0</v>
      </c>
      <c r="BO83">
        <f t="shared" si="15"/>
        <v>0</v>
      </c>
      <c r="BP83">
        <f t="shared" si="16"/>
        <v>0</v>
      </c>
      <c r="BQ83">
        <f t="shared" si="5"/>
        <v>1</v>
      </c>
      <c r="BR83">
        <f t="shared" si="17"/>
        <v>0</v>
      </c>
      <c r="BS83" s="9">
        <f t="shared" si="18"/>
        <v>0</v>
      </c>
      <c r="BT83" s="9">
        <f t="shared" si="19"/>
        <v>0</v>
      </c>
      <c r="BU83" s="9">
        <f t="shared" si="20"/>
        <v>0</v>
      </c>
      <c r="BV83" s="12">
        <f t="shared" si="21"/>
        <v>8.6756706824563014E-4</v>
      </c>
      <c r="BX83" s="12">
        <f t="shared" si="22"/>
        <v>0</v>
      </c>
      <c r="BY83" s="12">
        <f t="shared" si="23"/>
        <v>1.7749789491941607E-3</v>
      </c>
    </row>
    <row r="84" spans="1:77" x14ac:dyDescent="0.3">
      <c r="A84" s="1">
        <v>46143</v>
      </c>
      <c r="B84" s="8">
        <v>53.95</v>
      </c>
      <c r="C84" s="8">
        <v>231.6</v>
      </c>
      <c r="D84" s="9">
        <v>-2.5916341791918799E-3</v>
      </c>
      <c r="E84" s="9">
        <v>-2.3288922416363502E-3</v>
      </c>
      <c r="F84" s="8">
        <v>0</v>
      </c>
      <c r="G84" s="8">
        <v>0.28999999999999998</v>
      </c>
      <c r="H84" s="8">
        <v>0</v>
      </c>
      <c r="I84" s="8">
        <v>1.2169000000000001</v>
      </c>
      <c r="J84" s="8">
        <v>0.28999999999999998</v>
      </c>
      <c r="K84" s="8">
        <v>1.2169000000000001</v>
      </c>
      <c r="L84" s="8">
        <v>54.24</v>
      </c>
      <c r="M84" s="8">
        <v>232.8169</v>
      </c>
      <c r="N84" s="10">
        <v>4.2928637627432797</v>
      </c>
      <c r="O84" s="10">
        <v>4.2929927753205499</v>
      </c>
      <c r="P84" s="10">
        <v>4.2933733403854299</v>
      </c>
      <c r="Q84" s="10">
        <v>4.2927075399064103</v>
      </c>
      <c r="R84" s="8">
        <v>231.60696022854299</v>
      </c>
      <c r="S84" s="8">
        <v>231.631073280789</v>
      </c>
      <c r="T84" s="8">
        <v>231.592804125279</v>
      </c>
      <c r="U84" s="9">
        <v>3.0052348699104801E-5</v>
      </c>
      <c r="V84" s="9">
        <v>1.3415887935004501E-4</v>
      </c>
      <c r="W84" s="9">
        <v>-3.1070753505699397E-5</v>
      </c>
      <c r="X84" s="10">
        <v>4.2923469764011797</v>
      </c>
      <c r="Y84" s="10">
        <v>4.2916660005161003</v>
      </c>
      <c r="Z84" s="10">
        <v>4.2928464312389503</v>
      </c>
      <c r="AA84" s="10">
        <v>4.2921810790191097</v>
      </c>
      <c r="AB84" s="8">
        <v>232.77996386799299</v>
      </c>
      <c r="AC84" s="8">
        <v>232.84751303344899</v>
      </c>
      <c r="AD84" s="8">
        <v>232.809092649322</v>
      </c>
      <c r="AE84" s="9">
        <v>-1.58661429876792E-4</v>
      </c>
      <c r="AF84" s="9">
        <v>1.31481095128869E-4</v>
      </c>
      <c r="AG84" s="9">
        <v>-3.3534857597995698E-5</v>
      </c>
      <c r="AZ84" s="9"/>
      <c r="BB84">
        <f t="shared" si="6"/>
        <v>0</v>
      </c>
      <c r="BC84">
        <f t="shared" si="7"/>
        <v>0</v>
      </c>
      <c r="BD84">
        <f t="shared" si="8"/>
        <v>0</v>
      </c>
      <c r="BE84">
        <f t="shared" si="4"/>
        <v>1</v>
      </c>
      <c r="BF84">
        <f t="shared" si="9"/>
        <v>0</v>
      </c>
      <c r="BG84" s="9">
        <f t="shared" si="10"/>
        <v>0</v>
      </c>
      <c r="BH84" s="9">
        <f t="shared" si="11"/>
        <v>0</v>
      </c>
      <c r="BI84" s="9">
        <f t="shared" si="12"/>
        <v>0</v>
      </c>
      <c r="BJ84" s="12">
        <f t="shared" si="13"/>
        <v>9.074118809485306E-4</v>
      </c>
      <c r="BL84" s="9"/>
      <c r="BN84">
        <f t="shared" si="14"/>
        <v>0</v>
      </c>
      <c r="BO84">
        <f t="shared" si="15"/>
        <v>1</v>
      </c>
      <c r="BP84">
        <f t="shared" si="16"/>
        <v>0</v>
      </c>
      <c r="BQ84">
        <f t="shared" si="5"/>
        <v>1</v>
      </c>
      <c r="BR84">
        <f t="shared" si="17"/>
        <v>0</v>
      </c>
      <c r="BS84" s="9">
        <f t="shared" si="18"/>
        <v>0</v>
      </c>
      <c r="BT84" s="9">
        <f t="shared" si="19"/>
        <v>0</v>
      </c>
      <c r="BU84" s="9">
        <f t="shared" si="20"/>
        <v>0</v>
      </c>
      <c r="BV84" s="12">
        <f t="shared" si="21"/>
        <v>8.6756706824563014E-4</v>
      </c>
      <c r="BX84" s="12">
        <f t="shared" si="22"/>
        <v>0</v>
      </c>
      <c r="BY84" s="12">
        <f t="shared" si="23"/>
        <v>1.7749789491941607E-3</v>
      </c>
    </row>
    <row r="85" spans="1:77" x14ac:dyDescent="0.3">
      <c r="A85" s="1">
        <v>46146</v>
      </c>
      <c r="B85" s="8">
        <v>53.51</v>
      </c>
      <c r="C85" s="8">
        <v>229.79</v>
      </c>
      <c r="D85" s="9">
        <v>-8.1891393809304606E-3</v>
      </c>
      <c r="E85" s="9">
        <v>-7.8458973319952708E-3</v>
      </c>
      <c r="F85" s="8">
        <v>0</v>
      </c>
      <c r="G85" s="8">
        <v>0.28999999999999998</v>
      </c>
      <c r="H85" s="8">
        <v>0</v>
      </c>
      <c r="I85" s="8">
        <v>1.2169000000000001</v>
      </c>
      <c r="J85" s="8">
        <v>0.28999999999999998</v>
      </c>
      <c r="K85" s="8">
        <v>1.2169000000000001</v>
      </c>
      <c r="L85" s="8">
        <v>53.8</v>
      </c>
      <c r="M85" s="8">
        <v>231.0069</v>
      </c>
      <c r="N85" s="10">
        <v>4.2943375070080299</v>
      </c>
      <c r="O85" s="10">
        <v>4.2929927753205499</v>
      </c>
      <c r="P85" s="10">
        <v>4.2933451736932904</v>
      </c>
      <c r="Q85" s="10">
        <v>4.2928454180950304</v>
      </c>
      <c r="R85" s="8">
        <v>229.71804340740201</v>
      </c>
      <c r="S85" s="8">
        <v>229.73840744402401</v>
      </c>
      <c r="T85" s="8">
        <v>229.70278046039201</v>
      </c>
      <c r="U85" s="9">
        <v>-3.13189700236262E-4</v>
      </c>
      <c r="V85" s="9">
        <v>-2.24545666192409E-4</v>
      </c>
      <c r="W85" s="9">
        <v>-3.7963399802678501E-4</v>
      </c>
      <c r="X85" s="10">
        <v>4.2938085501858696</v>
      </c>
      <c r="Y85" s="10">
        <v>4.2916660005161003</v>
      </c>
      <c r="Z85" s="10">
        <v>4.29281914606534</v>
      </c>
      <c r="AA85" s="10">
        <v>4.2923185332502696</v>
      </c>
      <c r="AB85" s="8">
        <v>230.89163082776599</v>
      </c>
      <c r="AC85" s="8">
        <v>230.95513800065501</v>
      </c>
      <c r="AD85" s="8">
        <v>230.919342051228</v>
      </c>
      <c r="AE85" s="9">
        <v>-4.9911037569090003E-4</v>
      </c>
      <c r="AF85" s="9">
        <v>-2.24096333910712E-4</v>
      </c>
      <c r="AG85" s="9">
        <v>-3.7909926671979201E-4</v>
      </c>
      <c r="AZ85" s="9"/>
      <c r="BB85">
        <f t="shared" si="6"/>
        <v>0</v>
      </c>
      <c r="BC85">
        <f t="shared" si="7"/>
        <v>0</v>
      </c>
      <c r="BD85">
        <f t="shared" si="8"/>
        <v>0</v>
      </c>
      <c r="BE85">
        <f t="shared" si="4"/>
        <v>1</v>
      </c>
      <c r="BF85">
        <f t="shared" si="9"/>
        <v>0</v>
      </c>
      <c r="BG85" s="9">
        <f t="shared" si="10"/>
        <v>0</v>
      </c>
      <c r="BH85" s="9">
        <f t="shared" si="11"/>
        <v>0</v>
      </c>
      <c r="BI85" s="9">
        <f t="shared" si="12"/>
        <v>0</v>
      </c>
      <c r="BJ85" s="12">
        <f t="shared" si="13"/>
        <v>9.074118809485306E-4</v>
      </c>
      <c r="BL85" s="9"/>
      <c r="BN85">
        <f t="shared" si="14"/>
        <v>0</v>
      </c>
      <c r="BO85">
        <f t="shared" si="15"/>
        <v>1</v>
      </c>
      <c r="BP85">
        <f t="shared" si="16"/>
        <v>0</v>
      </c>
      <c r="BQ85">
        <f t="shared" si="5"/>
        <v>1</v>
      </c>
      <c r="BR85">
        <f t="shared" si="17"/>
        <v>0</v>
      </c>
      <c r="BS85" s="9">
        <f t="shared" si="18"/>
        <v>0</v>
      </c>
      <c r="BT85" s="9">
        <f t="shared" si="19"/>
        <v>0</v>
      </c>
      <c r="BU85" s="9">
        <f t="shared" si="20"/>
        <v>0</v>
      </c>
      <c r="BV85" s="12">
        <f t="shared" si="21"/>
        <v>8.6756706824563014E-4</v>
      </c>
      <c r="BX85" s="12">
        <f t="shared" si="22"/>
        <v>0</v>
      </c>
      <c r="BY85" s="12">
        <f t="shared" si="23"/>
        <v>1.7749789491941607E-3</v>
      </c>
    </row>
    <row r="86" spans="1:77" x14ac:dyDescent="0.3">
      <c r="A86" s="1">
        <v>46147</v>
      </c>
      <c r="B86" s="8">
        <v>53.76</v>
      </c>
      <c r="C86" s="8">
        <v>230.81</v>
      </c>
      <c r="D86" s="9">
        <v>4.6611438916808598E-3</v>
      </c>
      <c r="E86" s="9">
        <v>4.4290128848139499E-3</v>
      </c>
      <c r="F86" s="8">
        <v>0</v>
      </c>
      <c r="G86" s="8">
        <v>0.28999999999999998</v>
      </c>
      <c r="H86" s="8">
        <v>0</v>
      </c>
      <c r="I86" s="8">
        <v>1.2169000000000001</v>
      </c>
      <c r="J86" s="8">
        <v>0.28999999999999998</v>
      </c>
      <c r="K86" s="8">
        <v>1.2169000000000001</v>
      </c>
      <c r="L86" s="8">
        <v>54.05</v>
      </c>
      <c r="M86" s="8">
        <v>232.02690000000001</v>
      </c>
      <c r="N86" s="10">
        <v>4.2933407738095202</v>
      </c>
      <c r="O86" s="10">
        <v>4.2929927753205499</v>
      </c>
      <c r="P86" s="10">
        <v>4.29329996699198</v>
      </c>
      <c r="Q86" s="10">
        <v>4.2928942609786196</v>
      </c>
      <c r="R86" s="8">
        <v>230.79129160123199</v>
      </c>
      <c r="S86" s="8">
        <v>230.810236537751</v>
      </c>
      <c r="T86" s="8">
        <v>230.78336967678899</v>
      </c>
      <c r="U86" s="9">
        <v>-8.1058693369367302E-5</v>
      </c>
      <c r="V86" s="9">
        <v>1.02481534659622E-6</v>
      </c>
      <c r="W86" s="9">
        <v>-1.15384340373145E-4</v>
      </c>
      <c r="X86" s="10">
        <v>4.2928196114708603</v>
      </c>
      <c r="Y86" s="10">
        <v>4.2916660005161003</v>
      </c>
      <c r="Z86" s="10">
        <v>4.2927754113214904</v>
      </c>
      <c r="AA86" s="10">
        <v>4.2923679874274896</v>
      </c>
      <c r="AB86" s="8">
        <v>231.96454732789499</v>
      </c>
      <c r="AC86" s="8">
        <v>232.02687484483101</v>
      </c>
      <c r="AD86" s="8">
        <v>231.999816722177</v>
      </c>
      <c r="AE86" s="9">
        <v>-2.68766473342388E-4</v>
      </c>
      <c r="AF86" s="9">
        <v>-1.08414884729052E-7</v>
      </c>
      <c r="AG86" s="9">
        <v>-1.1673154530646799E-4</v>
      </c>
      <c r="AZ86" s="9"/>
      <c r="BB86">
        <f t="shared" si="6"/>
        <v>0</v>
      </c>
      <c r="BC86">
        <f t="shared" si="7"/>
        <v>0</v>
      </c>
      <c r="BD86">
        <f t="shared" si="8"/>
        <v>0</v>
      </c>
      <c r="BE86">
        <f t="shared" ref="BE86:BE149" si="24">IF(F87+H87&gt;0,0,1)</f>
        <v>1</v>
      </c>
      <c r="BF86">
        <f t="shared" si="9"/>
        <v>0</v>
      </c>
      <c r="BG86" s="9">
        <f t="shared" si="10"/>
        <v>0</v>
      </c>
      <c r="BH86" s="9">
        <f t="shared" si="11"/>
        <v>0</v>
      </c>
      <c r="BI86" s="9">
        <f t="shared" si="12"/>
        <v>0</v>
      </c>
      <c r="BJ86" s="12">
        <f t="shared" si="13"/>
        <v>9.074118809485306E-4</v>
      </c>
      <c r="BL86" s="9"/>
      <c r="BN86">
        <f t="shared" si="14"/>
        <v>0</v>
      </c>
      <c r="BO86">
        <f t="shared" si="15"/>
        <v>1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9">
        <f t="shared" si="18"/>
        <v>0</v>
      </c>
      <c r="BT86" s="9">
        <f t="shared" si="19"/>
        <v>0</v>
      </c>
      <c r="BU86" s="9">
        <f t="shared" si="20"/>
        <v>0</v>
      </c>
      <c r="BV86" s="12">
        <f t="shared" si="21"/>
        <v>8.6756706824563014E-4</v>
      </c>
      <c r="BX86" s="12">
        <f t="shared" si="22"/>
        <v>0</v>
      </c>
      <c r="BY86" s="12">
        <f t="shared" si="23"/>
        <v>1.7749789491941607E-3</v>
      </c>
    </row>
    <row r="87" spans="1:77" x14ac:dyDescent="0.3">
      <c r="A87" s="1">
        <v>46148</v>
      </c>
      <c r="B87" s="8">
        <v>53.71</v>
      </c>
      <c r="C87" s="8">
        <v>230.59</v>
      </c>
      <c r="D87" s="9">
        <v>-9.3049229752602302E-4</v>
      </c>
      <c r="E87" s="9">
        <v>-9.5361949142670202E-4</v>
      </c>
      <c r="F87" s="8">
        <v>0</v>
      </c>
      <c r="G87" s="8">
        <v>0.28999999999999998</v>
      </c>
      <c r="H87" s="8">
        <v>0</v>
      </c>
      <c r="I87" s="8">
        <v>1.2169000000000001</v>
      </c>
      <c r="J87" s="8">
        <v>0.28999999999999998</v>
      </c>
      <c r="K87" s="8">
        <v>1.2169000000000001</v>
      </c>
      <c r="L87" s="8">
        <v>54</v>
      </c>
      <c r="M87" s="8">
        <v>231.80690000000001</v>
      </c>
      <c r="N87" s="10">
        <v>4.2932414820331397</v>
      </c>
      <c r="O87" s="10">
        <v>4.2929927753205499</v>
      </c>
      <c r="P87" s="10">
        <v>4.2932503011535497</v>
      </c>
      <c r="Q87" s="10">
        <v>4.2928853941034699</v>
      </c>
      <c r="R87" s="8">
        <v>230.576641962466</v>
      </c>
      <c r="S87" s="8">
        <v>230.593141227139</v>
      </c>
      <c r="T87" s="8">
        <v>230.57135075716201</v>
      </c>
      <c r="U87" s="9">
        <v>-5.7931499468703801E-5</v>
      </c>
      <c r="V87" s="9">
        <v>1.3622471677289199E-5</v>
      </c>
      <c r="W87" s="9">
        <v>-8.0879470135330605E-5</v>
      </c>
      <c r="X87" s="10">
        <v>4.29272037037037</v>
      </c>
      <c r="Y87" s="10">
        <v>4.2916660005161003</v>
      </c>
      <c r="Z87" s="10">
        <v>4.2927270105400703</v>
      </c>
      <c r="AA87" s="10">
        <v>4.2923595010697904</v>
      </c>
      <c r="AB87" s="8">
        <v>231.749964027869</v>
      </c>
      <c r="AC87" s="8">
        <v>231.80987221135999</v>
      </c>
      <c r="AD87" s="8">
        <v>231.787871321084</v>
      </c>
      <c r="AE87" s="9">
        <v>-2.45648276768858E-4</v>
      </c>
      <c r="AF87" s="9">
        <v>1.28218457100853E-5</v>
      </c>
      <c r="AG87" s="9">
        <v>-8.2091861699782394E-5</v>
      </c>
      <c r="AZ87" s="9"/>
      <c r="BB87">
        <f t="shared" ref="BB87:BB150" si="26">IF($AG87&lt;BA$20,1,0)</f>
        <v>0</v>
      </c>
      <c r="BC87">
        <f t="shared" ref="BC87:BC150" si="27">IF($AG87&gt;BA$21,1,0)</f>
        <v>0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9">
        <f t="shared" ref="BG87:BG150" si="30">BF87*D87</f>
        <v>0</v>
      </c>
      <c r="BH87" s="9">
        <f t="shared" ref="BH87:BH150" si="31">-BF87*$E87</f>
        <v>0</v>
      </c>
      <c r="BI87" s="9">
        <f t="shared" ref="BI87:BI150" si="32">BG87+BH87</f>
        <v>0</v>
      </c>
      <c r="BJ87" s="12">
        <f t="shared" ref="BJ87:BJ150" si="33">BJ86+BI87</f>
        <v>9.074118809485306E-4</v>
      </c>
      <c r="BL87" s="9"/>
      <c r="BN87">
        <f t="shared" ref="BN87:BN150" si="34">IF($AG87&gt;BM$20,1,0)</f>
        <v>0</v>
      </c>
      <c r="BO87">
        <f t="shared" ref="BO87:BO150" si="35">IF($AG87&lt;BM$21,1,0)</f>
        <v>1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9">
        <f t="shared" ref="BS87:BS150" si="38">-BR87*D87</f>
        <v>0</v>
      </c>
      <c r="BT87" s="9">
        <f t="shared" ref="BT87:BT150" si="39">BR87*$E87</f>
        <v>0</v>
      </c>
      <c r="BU87" s="9">
        <f t="shared" ref="BU87:BU150" si="40">BS87+BT87</f>
        <v>0</v>
      </c>
      <c r="BV87" s="12">
        <f t="shared" ref="BV87:BV150" si="41">BV86+BU87</f>
        <v>8.6756706824563014E-4</v>
      </c>
      <c r="BX87" s="12">
        <f t="shared" ref="BX87:BX150" si="42">BI87+BU87</f>
        <v>0</v>
      </c>
      <c r="BY87" s="12">
        <f t="shared" ref="BY87:BY150" si="43">BY86+BX87</f>
        <v>1.7749789491941607E-3</v>
      </c>
    </row>
    <row r="88" spans="1:77" x14ac:dyDescent="0.3">
      <c r="A88" s="1">
        <v>46149</v>
      </c>
      <c r="B88" s="8">
        <v>53.55</v>
      </c>
      <c r="C88" s="8">
        <v>229.94</v>
      </c>
      <c r="D88" s="9">
        <v>-2.9834070236102799E-3</v>
      </c>
      <c r="E88" s="9">
        <v>-2.8228364346379502E-3</v>
      </c>
      <c r="F88" s="8">
        <v>0</v>
      </c>
      <c r="G88" s="8">
        <v>0.28999999999999998</v>
      </c>
      <c r="H88" s="8">
        <v>0</v>
      </c>
      <c r="I88" s="8">
        <v>1.2169000000000001</v>
      </c>
      <c r="J88" s="8">
        <v>0.28999999999999998</v>
      </c>
      <c r="K88" s="8">
        <v>1.2169000000000001</v>
      </c>
      <c r="L88" s="8">
        <v>53.839999999999897</v>
      </c>
      <c r="M88" s="8">
        <v>231.15690000000001</v>
      </c>
      <c r="N88" s="10">
        <v>4.2939309056956096</v>
      </c>
      <c r="O88" s="10">
        <v>4.2929927753205499</v>
      </c>
      <c r="P88" s="10">
        <v>4.2932514366248897</v>
      </c>
      <c r="Q88" s="10">
        <v>4.2930546598665797</v>
      </c>
      <c r="R88" s="8">
        <v>229.889763118415</v>
      </c>
      <c r="S88" s="8">
        <v>229.90355362677201</v>
      </c>
      <c r="T88" s="8">
        <v>229.88401285424101</v>
      </c>
      <c r="U88" s="9">
        <v>-2.1850208844086401E-4</v>
      </c>
      <c r="V88" s="9">
        <v>-1.58516404180966E-4</v>
      </c>
      <c r="W88" s="9">
        <v>-2.4351553842462501E-4</v>
      </c>
      <c r="X88" s="10">
        <v>4.2934045319465</v>
      </c>
      <c r="Y88" s="10">
        <v>4.2916660005161003</v>
      </c>
      <c r="Z88" s="10">
        <v>4.2927282378322298</v>
      </c>
      <c r="AA88" s="10">
        <v>4.2925278692764799</v>
      </c>
      <c r="AB88" s="8">
        <v>231.06329746778701</v>
      </c>
      <c r="AC88" s="8">
        <v>231.12042224747699</v>
      </c>
      <c r="AD88" s="8">
        <v>231.10063553759699</v>
      </c>
      <c r="AE88" s="9">
        <v>-4.0501273637545698E-4</v>
      </c>
      <c r="AF88" s="9">
        <v>-1.57817616579262E-4</v>
      </c>
      <c r="AG88" s="9">
        <v>-2.43433403913438E-4</v>
      </c>
      <c r="AZ88" s="9"/>
      <c r="BB88">
        <f t="shared" si="26"/>
        <v>0</v>
      </c>
      <c r="BC88">
        <f t="shared" si="27"/>
        <v>0</v>
      </c>
      <c r="BD88">
        <f t="shared" si="28"/>
        <v>0</v>
      </c>
      <c r="BE88">
        <f t="shared" si="24"/>
        <v>1</v>
      </c>
      <c r="BF88">
        <f t="shared" si="29"/>
        <v>0</v>
      </c>
      <c r="BG88" s="9">
        <f t="shared" si="30"/>
        <v>0</v>
      </c>
      <c r="BH88" s="9">
        <f t="shared" si="31"/>
        <v>0</v>
      </c>
      <c r="BI88" s="9">
        <f t="shared" si="32"/>
        <v>0</v>
      </c>
      <c r="BJ88" s="12">
        <f t="shared" si="33"/>
        <v>9.074118809485306E-4</v>
      </c>
      <c r="BL88" s="9"/>
      <c r="BN88">
        <f t="shared" si="34"/>
        <v>0</v>
      </c>
      <c r="BO88">
        <f t="shared" si="35"/>
        <v>1</v>
      </c>
      <c r="BP88">
        <f t="shared" si="36"/>
        <v>0</v>
      </c>
      <c r="BQ88">
        <f t="shared" si="25"/>
        <v>1</v>
      </c>
      <c r="BR88">
        <f t="shared" si="37"/>
        <v>0</v>
      </c>
      <c r="BS88" s="9">
        <f t="shared" si="38"/>
        <v>0</v>
      </c>
      <c r="BT88" s="9">
        <f t="shared" si="39"/>
        <v>0</v>
      </c>
      <c r="BU88" s="9">
        <f t="shared" si="40"/>
        <v>0</v>
      </c>
      <c r="BV88" s="12">
        <f t="shared" si="41"/>
        <v>8.6756706824563014E-4</v>
      </c>
      <c r="BX88" s="12">
        <f t="shared" si="42"/>
        <v>0</v>
      </c>
      <c r="BY88" s="12">
        <f t="shared" si="43"/>
        <v>1.7749789491941607E-3</v>
      </c>
    </row>
    <row r="89" spans="1:77" x14ac:dyDescent="0.3">
      <c r="A89" s="1">
        <v>46150</v>
      </c>
      <c r="B89" s="8">
        <v>53.6</v>
      </c>
      <c r="C89" s="8">
        <v>230.24</v>
      </c>
      <c r="D89" s="9">
        <v>9.3327118299852503E-4</v>
      </c>
      <c r="E89" s="9">
        <v>1.30383781346355E-3</v>
      </c>
      <c r="F89" s="8">
        <v>0</v>
      </c>
      <c r="G89" s="8">
        <v>0.28999999999999998</v>
      </c>
      <c r="H89" s="8">
        <v>0</v>
      </c>
      <c r="I89" s="8">
        <v>1.2169000000000001</v>
      </c>
      <c r="J89" s="8">
        <v>0.28999999999999998</v>
      </c>
      <c r="K89" s="8">
        <v>1.2169000000000001</v>
      </c>
      <c r="L89" s="8">
        <v>53.89</v>
      </c>
      <c r="M89" s="8">
        <v>231.45689999999999</v>
      </c>
      <c r="N89" s="10">
        <v>4.2955223880597</v>
      </c>
      <c r="O89" s="10">
        <v>4.2929927753205499</v>
      </c>
      <c r="P89" s="10">
        <v>4.2936112452266304</v>
      </c>
      <c r="Q89" s="10">
        <v>4.2932825693813301</v>
      </c>
      <c r="R89" s="8">
        <v>230.104412757181</v>
      </c>
      <c r="S89" s="8">
        <v>230.11827700309399</v>
      </c>
      <c r="T89" s="8">
        <v>230.107729768848</v>
      </c>
      <c r="U89" s="9">
        <v>-5.8906871890594204E-4</v>
      </c>
      <c r="V89" s="9">
        <v>-5.2881855642819098E-4</v>
      </c>
      <c r="W89" s="9">
        <v>-5.7465357701397702E-4</v>
      </c>
      <c r="X89" s="10">
        <v>4.2949879383930201</v>
      </c>
      <c r="Y89" s="10">
        <v>4.2916660005161003</v>
      </c>
      <c r="Z89" s="10">
        <v>4.2930863309633702</v>
      </c>
      <c r="AA89" s="10">
        <v>4.2927549414033699</v>
      </c>
      <c r="AB89" s="8">
        <v>231.277880767813</v>
      </c>
      <c r="AC89" s="8">
        <v>231.33512473677899</v>
      </c>
      <c r="AD89" s="8">
        <v>231.324326875309</v>
      </c>
      <c r="AE89" s="9">
        <v>-7.7374447981249099E-4</v>
      </c>
      <c r="AF89" s="9">
        <v>-5.2626345970645195E-4</v>
      </c>
      <c r="AG89" s="9">
        <v>-5.7294082221940397E-4</v>
      </c>
      <c r="AZ89" s="9"/>
      <c r="BB89">
        <f t="shared" si="26"/>
        <v>0</v>
      </c>
      <c r="BC89">
        <f t="shared" si="27"/>
        <v>0</v>
      </c>
      <c r="BD89">
        <f t="shared" si="28"/>
        <v>0</v>
      </c>
      <c r="BE89">
        <f t="shared" si="24"/>
        <v>1</v>
      </c>
      <c r="BF89">
        <f t="shared" si="29"/>
        <v>0</v>
      </c>
      <c r="BG89" s="9">
        <f t="shared" si="30"/>
        <v>0</v>
      </c>
      <c r="BH89" s="9">
        <f t="shared" si="31"/>
        <v>0</v>
      </c>
      <c r="BI89" s="9">
        <f t="shared" si="32"/>
        <v>0</v>
      </c>
      <c r="BJ89" s="12">
        <f t="shared" si="33"/>
        <v>9.074118809485306E-4</v>
      </c>
      <c r="BL89" s="9"/>
      <c r="BN89">
        <f t="shared" si="34"/>
        <v>0</v>
      </c>
      <c r="BO89">
        <f t="shared" si="35"/>
        <v>1</v>
      </c>
      <c r="BP89">
        <f t="shared" si="36"/>
        <v>0</v>
      </c>
      <c r="BQ89">
        <f t="shared" si="25"/>
        <v>1</v>
      </c>
      <c r="BR89">
        <f t="shared" si="37"/>
        <v>0</v>
      </c>
      <c r="BS89" s="9">
        <f t="shared" si="38"/>
        <v>0</v>
      </c>
      <c r="BT89" s="9">
        <f t="shared" si="39"/>
        <v>0</v>
      </c>
      <c r="BU89" s="9">
        <f t="shared" si="40"/>
        <v>0</v>
      </c>
      <c r="BV89" s="12">
        <f t="shared" si="41"/>
        <v>8.6756706824563014E-4</v>
      </c>
      <c r="BX89" s="12">
        <f t="shared" si="42"/>
        <v>0</v>
      </c>
      <c r="BY89" s="12">
        <f t="shared" si="43"/>
        <v>1.7749789491941607E-3</v>
      </c>
    </row>
    <row r="90" spans="1:77" x14ac:dyDescent="0.3">
      <c r="A90" s="1">
        <v>46153</v>
      </c>
      <c r="B90" s="8">
        <v>53</v>
      </c>
      <c r="C90" s="8">
        <v>227.58</v>
      </c>
      <c r="D90" s="9">
        <v>-1.12571545246344E-2</v>
      </c>
      <c r="E90" s="9">
        <v>-1.16204182101951E-2</v>
      </c>
      <c r="F90" s="8">
        <v>0</v>
      </c>
      <c r="G90" s="8">
        <v>0.28999999999999998</v>
      </c>
      <c r="H90" s="8">
        <v>0</v>
      </c>
      <c r="I90" s="8">
        <v>1.2169000000000001</v>
      </c>
      <c r="J90" s="8">
        <v>0.28999999999999998</v>
      </c>
      <c r="K90" s="8">
        <v>1.2169000000000001</v>
      </c>
      <c r="L90" s="8">
        <v>53.29</v>
      </c>
      <c r="M90" s="8">
        <v>228.79689999999999</v>
      </c>
      <c r="N90" s="10">
        <v>4.2939622641509398</v>
      </c>
      <c r="O90" s="10">
        <v>4.2929927753205499</v>
      </c>
      <c r="P90" s="10">
        <v>4.2937571876583798</v>
      </c>
      <c r="Q90" s="10">
        <v>4.2934352280434203</v>
      </c>
      <c r="R90" s="8">
        <v>227.52861709198899</v>
      </c>
      <c r="S90" s="8">
        <v>227.561395997011</v>
      </c>
      <c r="T90" s="8">
        <v>227.54397617721</v>
      </c>
      <c r="U90" s="9">
        <v>-2.25805033345298E-4</v>
      </c>
      <c r="V90" s="9">
        <v>-8.1750432558328696E-5</v>
      </c>
      <c r="W90" s="9">
        <v>-1.5830334040883501E-4</v>
      </c>
      <c r="X90" s="10">
        <v>4.2934302871082703</v>
      </c>
      <c r="Y90" s="10">
        <v>4.2916660005161003</v>
      </c>
      <c r="Z90" s="10">
        <v>4.2932316567933899</v>
      </c>
      <c r="AA90" s="10">
        <v>4.2929071371443897</v>
      </c>
      <c r="AB90" s="8">
        <v>228.70288116750299</v>
      </c>
      <c r="AC90" s="8">
        <v>228.77857057703801</v>
      </c>
      <c r="AD90" s="8">
        <v>228.760910827385</v>
      </c>
      <c r="AE90" s="9">
        <v>-4.11011491984522E-4</v>
      </c>
      <c r="AF90" s="9">
        <v>-8.0115408932998007E-5</v>
      </c>
      <c r="AG90" s="9">
        <v>-1.57309838612619E-4</v>
      </c>
      <c r="AZ90" s="9"/>
      <c r="BB90">
        <f t="shared" si="26"/>
        <v>0</v>
      </c>
      <c r="BC90">
        <f t="shared" si="27"/>
        <v>0</v>
      </c>
      <c r="BD90">
        <f t="shared" si="28"/>
        <v>0</v>
      </c>
      <c r="BE90">
        <f t="shared" si="24"/>
        <v>1</v>
      </c>
      <c r="BF90">
        <f t="shared" si="29"/>
        <v>0</v>
      </c>
      <c r="BG90" s="9">
        <f t="shared" si="30"/>
        <v>0</v>
      </c>
      <c r="BH90" s="9">
        <f t="shared" si="31"/>
        <v>0</v>
      </c>
      <c r="BI90" s="9">
        <f t="shared" si="32"/>
        <v>0</v>
      </c>
      <c r="BJ90" s="12">
        <f t="shared" si="33"/>
        <v>9.074118809485306E-4</v>
      </c>
      <c r="BL90" s="9"/>
      <c r="BN90">
        <f t="shared" si="34"/>
        <v>0</v>
      </c>
      <c r="BO90">
        <f t="shared" si="35"/>
        <v>1</v>
      </c>
      <c r="BP90">
        <f t="shared" si="36"/>
        <v>0</v>
      </c>
      <c r="BQ90">
        <f t="shared" si="25"/>
        <v>1</v>
      </c>
      <c r="BR90">
        <f t="shared" si="37"/>
        <v>0</v>
      </c>
      <c r="BS90" s="9">
        <f t="shared" si="38"/>
        <v>0</v>
      </c>
      <c r="BT90" s="9">
        <f t="shared" si="39"/>
        <v>0</v>
      </c>
      <c r="BU90" s="9">
        <f t="shared" si="40"/>
        <v>0</v>
      </c>
      <c r="BV90" s="12">
        <f t="shared" si="41"/>
        <v>8.6756706824563014E-4</v>
      </c>
      <c r="BX90" s="12">
        <f t="shared" si="42"/>
        <v>0</v>
      </c>
      <c r="BY90" s="12">
        <f t="shared" si="43"/>
        <v>1.7749789491941607E-3</v>
      </c>
    </row>
    <row r="91" spans="1:77" x14ac:dyDescent="0.3">
      <c r="A91" s="1">
        <v>46154</v>
      </c>
      <c r="B91" s="8">
        <v>53.69</v>
      </c>
      <c r="C91" s="8">
        <v>230.59</v>
      </c>
      <c r="D91" s="9">
        <v>1.29348508823562E-2</v>
      </c>
      <c r="E91" s="9">
        <v>1.31394168313694E-2</v>
      </c>
      <c r="F91" s="8">
        <v>0</v>
      </c>
      <c r="G91" s="8">
        <v>0.28999999999999998</v>
      </c>
      <c r="H91" s="8">
        <v>0</v>
      </c>
      <c r="I91" s="8">
        <v>1.2169000000000001</v>
      </c>
      <c r="J91" s="8">
        <v>0.28999999999999998</v>
      </c>
      <c r="K91" s="8">
        <v>1.2169000000000001</v>
      </c>
      <c r="L91" s="8">
        <v>53.98</v>
      </c>
      <c r="M91" s="8">
        <v>231.80690000000001</v>
      </c>
      <c r="N91" s="10">
        <v>4.29484075246787</v>
      </c>
      <c r="O91" s="10">
        <v>4.2929927753205499</v>
      </c>
      <c r="P91" s="10">
        <v>4.2939688432774199</v>
      </c>
      <c r="Q91" s="10">
        <v>4.2935012687342997</v>
      </c>
      <c r="R91" s="8">
        <v>230.49078210696001</v>
      </c>
      <c r="S91" s="8">
        <v>230.53182340537799</v>
      </c>
      <c r="T91" s="8">
        <v>230.51453739365101</v>
      </c>
      <c r="U91" s="9">
        <v>-4.30370982358527E-4</v>
      </c>
      <c r="V91" s="9">
        <v>-2.5232635705836799E-4</v>
      </c>
      <c r="W91" s="9">
        <v>-3.2731235935656898E-4</v>
      </c>
      <c r="X91" s="10">
        <v>4.2943108558725402</v>
      </c>
      <c r="Y91" s="10">
        <v>4.2916660005161003</v>
      </c>
      <c r="Z91" s="10">
        <v>4.2934426601068898</v>
      </c>
      <c r="AA91" s="10">
        <v>4.2929735855624198</v>
      </c>
      <c r="AB91" s="8">
        <v>231.66413070785899</v>
      </c>
      <c r="AC91" s="8">
        <v>231.748644833707</v>
      </c>
      <c r="AD91" s="8">
        <v>231.73112726305399</v>
      </c>
      <c r="AE91" s="9">
        <v>-6.1608725118479505E-4</v>
      </c>
      <c r="AF91" s="9">
        <v>-2.5134060955022601E-4</v>
      </c>
      <c r="AG91" s="9">
        <v>-3.2693213140639699E-4</v>
      </c>
      <c r="AZ91" s="9"/>
      <c r="BB91">
        <f t="shared" si="26"/>
        <v>0</v>
      </c>
      <c r="BC91">
        <f t="shared" si="27"/>
        <v>0</v>
      </c>
      <c r="BD91">
        <f t="shared" si="28"/>
        <v>0</v>
      </c>
      <c r="BE91">
        <f t="shared" si="24"/>
        <v>1</v>
      </c>
      <c r="BF91">
        <f t="shared" si="29"/>
        <v>0</v>
      </c>
      <c r="BG91" s="9">
        <f t="shared" si="30"/>
        <v>0</v>
      </c>
      <c r="BH91" s="9">
        <f t="shared" si="31"/>
        <v>0</v>
      </c>
      <c r="BI91" s="9">
        <f t="shared" si="32"/>
        <v>0</v>
      </c>
      <c r="BJ91" s="12">
        <f t="shared" si="33"/>
        <v>9.074118809485306E-4</v>
      </c>
      <c r="BL91" s="9"/>
      <c r="BN91">
        <f t="shared" si="34"/>
        <v>0</v>
      </c>
      <c r="BO91">
        <f t="shared" si="35"/>
        <v>1</v>
      </c>
      <c r="BP91">
        <f t="shared" si="36"/>
        <v>0</v>
      </c>
      <c r="BQ91">
        <f t="shared" si="25"/>
        <v>1</v>
      </c>
      <c r="BR91">
        <f t="shared" si="37"/>
        <v>0</v>
      </c>
      <c r="BS91" s="9">
        <f t="shared" si="38"/>
        <v>0</v>
      </c>
      <c r="BT91" s="9">
        <f t="shared" si="39"/>
        <v>0</v>
      </c>
      <c r="BU91" s="9">
        <f t="shared" si="40"/>
        <v>0</v>
      </c>
      <c r="BV91" s="12">
        <f t="shared" si="41"/>
        <v>8.6756706824563014E-4</v>
      </c>
      <c r="BX91" s="12">
        <f t="shared" si="42"/>
        <v>0</v>
      </c>
      <c r="BY91" s="12">
        <f t="shared" si="43"/>
        <v>1.7749789491941607E-3</v>
      </c>
    </row>
    <row r="92" spans="1:77" x14ac:dyDescent="0.3">
      <c r="A92" s="1">
        <v>46155</v>
      </c>
      <c r="B92" s="8">
        <v>53.85</v>
      </c>
      <c r="C92" s="8">
        <v>231.23</v>
      </c>
      <c r="D92" s="9">
        <v>2.97563916791944E-3</v>
      </c>
      <c r="E92" s="9">
        <v>2.77164440564413E-3</v>
      </c>
      <c r="F92" s="8">
        <v>0</v>
      </c>
      <c r="G92" s="8">
        <v>0.28999999999999998</v>
      </c>
      <c r="H92" s="8">
        <v>0</v>
      </c>
      <c r="I92" s="8">
        <v>1.2169000000000001</v>
      </c>
      <c r="J92" s="8">
        <v>0.28999999999999998</v>
      </c>
      <c r="K92" s="8">
        <v>1.2169000000000001</v>
      </c>
      <c r="L92" s="8">
        <v>54.14</v>
      </c>
      <c r="M92" s="8">
        <v>232.4469</v>
      </c>
      <c r="N92" s="10">
        <v>4.2939647168059398</v>
      </c>
      <c r="O92" s="10">
        <v>4.2929927753205499</v>
      </c>
      <c r="P92" s="10">
        <v>4.2937740548337002</v>
      </c>
      <c r="Q92" s="10">
        <v>4.2936306054214004</v>
      </c>
      <c r="R92" s="8">
        <v>231.17766095101101</v>
      </c>
      <c r="S92" s="8">
        <v>231.23022221048899</v>
      </c>
      <c r="T92" s="8">
        <v>231.205043321342</v>
      </c>
      <c r="U92" s="9">
        <v>-2.2637622008308701E-4</v>
      </c>
      <c r="V92" s="9">
        <v>9.6099287493117802E-7</v>
      </c>
      <c r="W92" s="9">
        <v>-1.0793593194246E-4</v>
      </c>
      <c r="X92" s="10">
        <v>4.2934410786848902</v>
      </c>
      <c r="Y92" s="10">
        <v>4.2916660005161003</v>
      </c>
      <c r="Z92" s="10">
        <v>4.29324967543136</v>
      </c>
      <c r="AA92" s="10">
        <v>4.2931031514583902</v>
      </c>
      <c r="AB92" s="8">
        <v>232.350797267942</v>
      </c>
      <c r="AC92" s="8">
        <v>232.446985618187</v>
      </c>
      <c r="AD92" s="8">
        <v>232.421589922349</v>
      </c>
      <c r="AE92" s="9">
        <v>-4.1352499804636497E-4</v>
      </c>
      <c r="AF92" s="9">
        <v>3.6833432359670599E-7</v>
      </c>
      <c r="AG92" s="9">
        <v>-1.08891345504822E-4</v>
      </c>
      <c r="AZ92" s="9"/>
      <c r="BB92">
        <f t="shared" si="26"/>
        <v>0</v>
      </c>
      <c r="BC92">
        <f t="shared" si="27"/>
        <v>0</v>
      </c>
      <c r="BD92">
        <f t="shared" si="28"/>
        <v>0</v>
      </c>
      <c r="BE92">
        <f t="shared" si="24"/>
        <v>1</v>
      </c>
      <c r="BF92">
        <f t="shared" si="29"/>
        <v>0</v>
      </c>
      <c r="BG92" s="9">
        <f t="shared" si="30"/>
        <v>0</v>
      </c>
      <c r="BH92" s="9">
        <f t="shared" si="31"/>
        <v>0</v>
      </c>
      <c r="BI92" s="9">
        <f t="shared" si="32"/>
        <v>0</v>
      </c>
      <c r="BJ92" s="12">
        <f t="shared" si="33"/>
        <v>9.074118809485306E-4</v>
      </c>
      <c r="BL92" s="9"/>
      <c r="BN92">
        <f t="shared" si="34"/>
        <v>0</v>
      </c>
      <c r="BO92">
        <f t="shared" si="35"/>
        <v>1</v>
      </c>
      <c r="BP92">
        <f t="shared" si="36"/>
        <v>0</v>
      </c>
      <c r="BQ92">
        <f t="shared" si="25"/>
        <v>1</v>
      </c>
      <c r="BR92">
        <f t="shared" si="37"/>
        <v>0</v>
      </c>
      <c r="BS92" s="9">
        <f t="shared" si="38"/>
        <v>0</v>
      </c>
      <c r="BT92" s="9">
        <f t="shared" si="39"/>
        <v>0</v>
      </c>
      <c r="BU92" s="9">
        <f t="shared" si="40"/>
        <v>0</v>
      </c>
      <c r="BV92" s="12">
        <f t="shared" si="41"/>
        <v>8.6756706824563014E-4</v>
      </c>
      <c r="BX92" s="12">
        <f t="shared" si="42"/>
        <v>0</v>
      </c>
      <c r="BY92" s="12">
        <f t="shared" si="43"/>
        <v>1.7749789491941607E-3</v>
      </c>
    </row>
    <row r="93" spans="1:77" x14ac:dyDescent="0.3">
      <c r="A93" s="1">
        <v>46156</v>
      </c>
      <c r="B93" s="8">
        <v>54</v>
      </c>
      <c r="C93" s="8">
        <v>231.96</v>
      </c>
      <c r="D93" s="9">
        <v>2.78164296187677E-3</v>
      </c>
      <c r="E93" s="9">
        <v>3.1520568423636201E-3</v>
      </c>
      <c r="F93" s="8">
        <v>0</v>
      </c>
      <c r="G93" s="8">
        <v>0.28999999999999998</v>
      </c>
      <c r="H93" s="8">
        <v>0</v>
      </c>
      <c r="I93" s="8">
        <v>1.2169000000000001</v>
      </c>
      <c r="J93" s="8">
        <v>0.28999999999999998</v>
      </c>
      <c r="K93" s="8">
        <v>1.2169000000000001</v>
      </c>
      <c r="L93" s="8">
        <v>54.29</v>
      </c>
      <c r="M93" s="8">
        <v>233.17689999999999</v>
      </c>
      <c r="N93" s="10">
        <v>4.2955555555555502</v>
      </c>
      <c r="O93" s="10">
        <v>4.2929927753205499</v>
      </c>
      <c r="P93" s="10">
        <v>4.2941560108329604</v>
      </c>
      <c r="Q93" s="10">
        <v>4.29379786900118</v>
      </c>
      <c r="R93" s="8">
        <v>231.82160986730901</v>
      </c>
      <c r="S93" s="8">
        <v>231.863798961019</v>
      </c>
      <c r="T93" s="8">
        <v>231.85605269275601</v>
      </c>
      <c r="U93" s="9">
        <v>-5.9679010057001698E-4</v>
      </c>
      <c r="V93" s="9">
        <v>-4.1481718089995398E-4</v>
      </c>
      <c r="W93" s="9">
        <v>-4.4822643968801199E-4</v>
      </c>
      <c r="X93" s="10">
        <v>4.2950248664579096</v>
      </c>
      <c r="Y93" s="10">
        <v>4.2916660005161003</v>
      </c>
      <c r="Z93" s="10">
        <v>4.2936295066891397</v>
      </c>
      <c r="AA93" s="10">
        <v>4.29327044133729</v>
      </c>
      <c r="AB93" s="8">
        <v>232.99454716801901</v>
      </c>
      <c r="AC93" s="8">
        <v>233.080524879168</v>
      </c>
      <c r="AD93" s="8">
        <v>233.07257009267599</v>
      </c>
      <c r="AE93" s="9">
        <v>-7.8234238664398701E-4</v>
      </c>
      <c r="AF93" s="9">
        <v>-4.1339876669541098E-4</v>
      </c>
      <c r="AG93" s="9">
        <v>-4.4752826869429E-4</v>
      </c>
      <c r="AZ93" s="9"/>
      <c r="BB93">
        <f t="shared" si="26"/>
        <v>0</v>
      </c>
      <c r="BC93">
        <f t="shared" si="27"/>
        <v>0</v>
      </c>
      <c r="BD93">
        <f t="shared" si="28"/>
        <v>0</v>
      </c>
      <c r="BE93">
        <f t="shared" si="24"/>
        <v>1</v>
      </c>
      <c r="BF93">
        <f t="shared" si="29"/>
        <v>0</v>
      </c>
      <c r="BG93" s="9">
        <f t="shared" si="30"/>
        <v>0</v>
      </c>
      <c r="BH93" s="9">
        <f t="shared" si="31"/>
        <v>0</v>
      </c>
      <c r="BI93" s="9">
        <f t="shared" si="32"/>
        <v>0</v>
      </c>
      <c r="BJ93" s="12">
        <f t="shared" si="33"/>
        <v>9.074118809485306E-4</v>
      </c>
      <c r="BL93" s="9"/>
      <c r="BN93">
        <f t="shared" si="34"/>
        <v>0</v>
      </c>
      <c r="BO93">
        <f t="shared" si="35"/>
        <v>1</v>
      </c>
      <c r="BP93">
        <f t="shared" si="36"/>
        <v>0</v>
      </c>
      <c r="BQ93">
        <f t="shared" si="25"/>
        <v>1</v>
      </c>
      <c r="BR93">
        <f t="shared" si="37"/>
        <v>0</v>
      </c>
      <c r="BS93" s="9">
        <f t="shared" si="38"/>
        <v>0</v>
      </c>
      <c r="BT93" s="9">
        <f t="shared" si="39"/>
        <v>0</v>
      </c>
      <c r="BU93" s="9">
        <f t="shared" si="40"/>
        <v>0</v>
      </c>
      <c r="BV93" s="12">
        <f t="shared" si="41"/>
        <v>8.6756706824563014E-4</v>
      </c>
      <c r="BX93" s="12">
        <f t="shared" si="42"/>
        <v>0</v>
      </c>
      <c r="BY93" s="12">
        <f t="shared" si="43"/>
        <v>1.7749789491941607E-3</v>
      </c>
    </row>
    <row r="94" spans="1:77" x14ac:dyDescent="0.3">
      <c r="A94" s="1">
        <v>46157</v>
      </c>
      <c r="B94" s="8">
        <v>53.84</v>
      </c>
      <c r="C94" s="8">
        <v>231.25</v>
      </c>
      <c r="D94" s="9">
        <v>-2.9673612278019999E-3</v>
      </c>
      <c r="E94" s="9">
        <v>-3.0655666157053101E-3</v>
      </c>
      <c r="F94" s="8">
        <v>0</v>
      </c>
      <c r="G94" s="8">
        <v>0.28999999999999998</v>
      </c>
      <c r="H94" s="8">
        <v>0</v>
      </c>
      <c r="I94" s="8">
        <v>1.2169000000000001</v>
      </c>
      <c r="J94" s="8">
        <v>0.28999999999999998</v>
      </c>
      <c r="K94" s="8">
        <v>1.2169000000000001</v>
      </c>
      <c r="L94" s="8">
        <v>54.13</v>
      </c>
      <c r="M94" s="8">
        <v>232.46690000000001</v>
      </c>
      <c r="N94" s="10">
        <v>4.2951337295690903</v>
      </c>
      <c r="O94" s="10">
        <v>4.2929927753205499</v>
      </c>
      <c r="P94" s="10">
        <v>4.29438300751554</v>
      </c>
      <c r="Q94" s="10">
        <v>4.2938781739504899</v>
      </c>
      <c r="R94" s="8">
        <v>231.13473102325801</v>
      </c>
      <c r="S94" s="8">
        <v>231.197359623246</v>
      </c>
      <c r="T94" s="8">
        <v>231.17807726702301</v>
      </c>
      <c r="U94" s="9">
        <v>-4.9858471266665903E-4</v>
      </c>
      <c r="V94" s="9">
        <v>-2.2765997420153301E-4</v>
      </c>
      <c r="W94" s="9">
        <v>-3.1106559956933799E-4</v>
      </c>
      <c r="X94" s="10">
        <v>4.2946037317568804</v>
      </c>
      <c r="Y94" s="10">
        <v>4.2916660005161003</v>
      </c>
      <c r="Z94" s="10">
        <v>4.2938551822247097</v>
      </c>
      <c r="AA94" s="10">
        <v>4.29335080673183</v>
      </c>
      <c r="AB94" s="8">
        <v>232.30788060793699</v>
      </c>
      <c r="AC94" s="8">
        <v>232.41416519708301</v>
      </c>
      <c r="AD94" s="8">
        <v>232.39472898958701</v>
      </c>
      <c r="AE94" s="9">
        <v>-6.8428583005320496E-4</v>
      </c>
      <c r="AF94" s="9">
        <v>-2.2687438612059999E-4</v>
      </c>
      <c r="AG94" s="9">
        <v>-3.1050534822250501E-4</v>
      </c>
      <c r="AZ94" s="9"/>
      <c r="BB94">
        <f t="shared" si="26"/>
        <v>0</v>
      </c>
      <c r="BC94">
        <f t="shared" si="27"/>
        <v>0</v>
      </c>
      <c r="BD94">
        <f t="shared" si="28"/>
        <v>0</v>
      </c>
      <c r="BE94">
        <f t="shared" si="24"/>
        <v>1</v>
      </c>
      <c r="BF94">
        <f t="shared" si="29"/>
        <v>0</v>
      </c>
      <c r="BG94" s="9">
        <f t="shared" si="30"/>
        <v>0</v>
      </c>
      <c r="BH94" s="9">
        <f t="shared" si="31"/>
        <v>0</v>
      </c>
      <c r="BI94" s="9">
        <f t="shared" si="32"/>
        <v>0</v>
      </c>
      <c r="BJ94" s="12">
        <f t="shared" si="33"/>
        <v>9.074118809485306E-4</v>
      </c>
      <c r="BL94" s="9"/>
      <c r="BN94">
        <f t="shared" si="34"/>
        <v>0</v>
      </c>
      <c r="BO94">
        <f t="shared" si="35"/>
        <v>1</v>
      </c>
      <c r="BP94">
        <f t="shared" si="36"/>
        <v>0</v>
      </c>
      <c r="BQ94">
        <f t="shared" si="25"/>
        <v>1</v>
      </c>
      <c r="BR94">
        <f t="shared" si="37"/>
        <v>0</v>
      </c>
      <c r="BS94" s="9">
        <f t="shared" si="38"/>
        <v>0</v>
      </c>
      <c r="BT94" s="9">
        <f t="shared" si="39"/>
        <v>0</v>
      </c>
      <c r="BU94" s="9">
        <f t="shared" si="40"/>
        <v>0</v>
      </c>
      <c r="BV94" s="12">
        <f t="shared" si="41"/>
        <v>8.6756706824563014E-4</v>
      </c>
      <c r="BX94" s="12">
        <f t="shared" si="42"/>
        <v>0</v>
      </c>
      <c r="BY94" s="12">
        <f t="shared" si="43"/>
        <v>1.7749789491941607E-3</v>
      </c>
    </row>
    <row r="95" spans="1:77" x14ac:dyDescent="0.3">
      <c r="A95" s="1">
        <v>46160</v>
      </c>
      <c r="B95" s="8">
        <v>54.54</v>
      </c>
      <c r="C95" s="8">
        <v>234.25</v>
      </c>
      <c r="D95" s="9">
        <v>1.291769208097E-2</v>
      </c>
      <c r="E95" s="9">
        <v>1.2889544725997E-2</v>
      </c>
      <c r="F95" s="8">
        <v>0</v>
      </c>
      <c r="G95" s="8">
        <v>0.28999999999999998</v>
      </c>
      <c r="H95" s="8">
        <v>0</v>
      </c>
      <c r="I95" s="8">
        <v>1.2169000000000001</v>
      </c>
      <c r="J95" s="8">
        <v>0.28999999999999998</v>
      </c>
      <c r="K95" s="8">
        <v>1.2169000000000001</v>
      </c>
      <c r="L95" s="8">
        <v>54.83</v>
      </c>
      <c r="M95" s="8">
        <v>235.46690000000001</v>
      </c>
      <c r="N95" s="10">
        <v>4.2950128346167897</v>
      </c>
      <c r="O95" s="10">
        <v>4.2929927753205499</v>
      </c>
      <c r="P95" s="10">
        <v>4.2944505402764097</v>
      </c>
      <c r="Q95" s="10">
        <v>4.2938978569848496</v>
      </c>
      <c r="R95" s="8">
        <v>234.139825965982</v>
      </c>
      <c r="S95" s="8">
        <v>234.215649229897</v>
      </c>
      <c r="T95" s="8">
        <v>234.18811560725899</v>
      </c>
      <c r="U95" s="9">
        <v>-4.7043735769368103E-4</v>
      </c>
      <c r="V95" s="9">
        <v>-1.4665224748230501E-4</v>
      </c>
      <c r="W95" s="9">
        <v>-2.64215874150275E-4</v>
      </c>
      <c r="X95" s="10">
        <v>4.2944902425679299</v>
      </c>
      <c r="Y95" s="10">
        <v>4.2916660005161003</v>
      </c>
      <c r="Z95" s="10">
        <v>4.2939233514629196</v>
      </c>
      <c r="AA95" s="10">
        <v>4.2933712487641298</v>
      </c>
      <c r="AB95" s="8">
        <v>235.31204680829799</v>
      </c>
      <c r="AC95" s="8">
        <v>235.43207964138099</v>
      </c>
      <c r="AD95" s="8">
        <v>235.404424733106</v>
      </c>
      <c r="AE95" s="9">
        <v>-6.5785948303918201E-4</v>
      </c>
      <c r="AF95" s="9">
        <v>-1.47888868686451E-4</v>
      </c>
      <c r="AG95" s="9">
        <v>-2.6536025439875599E-4</v>
      </c>
      <c r="AZ95" s="9"/>
      <c r="BB95">
        <f t="shared" si="26"/>
        <v>0</v>
      </c>
      <c r="BC95">
        <f t="shared" si="27"/>
        <v>0</v>
      </c>
      <c r="BD95">
        <f t="shared" si="28"/>
        <v>0</v>
      </c>
      <c r="BE95">
        <f t="shared" si="24"/>
        <v>1</v>
      </c>
      <c r="BF95">
        <f t="shared" si="29"/>
        <v>0</v>
      </c>
      <c r="BG95" s="9">
        <f t="shared" si="30"/>
        <v>0</v>
      </c>
      <c r="BH95" s="9">
        <f t="shared" si="31"/>
        <v>0</v>
      </c>
      <c r="BI95" s="9">
        <f t="shared" si="32"/>
        <v>0</v>
      </c>
      <c r="BJ95" s="12">
        <f t="shared" si="33"/>
        <v>9.074118809485306E-4</v>
      </c>
      <c r="BL95" s="9"/>
      <c r="BN95">
        <f t="shared" si="34"/>
        <v>0</v>
      </c>
      <c r="BO95">
        <f t="shared" si="35"/>
        <v>1</v>
      </c>
      <c r="BP95">
        <f t="shared" si="36"/>
        <v>0</v>
      </c>
      <c r="BQ95">
        <f t="shared" si="25"/>
        <v>1</v>
      </c>
      <c r="BR95">
        <f t="shared" si="37"/>
        <v>0</v>
      </c>
      <c r="BS95" s="9">
        <f t="shared" si="38"/>
        <v>0</v>
      </c>
      <c r="BT95" s="9">
        <f t="shared" si="39"/>
        <v>0</v>
      </c>
      <c r="BU95" s="9">
        <f t="shared" si="40"/>
        <v>0</v>
      </c>
      <c r="BV95" s="12">
        <f t="shared" si="41"/>
        <v>8.6756706824563014E-4</v>
      </c>
      <c r="BX95" s="12">
        <f t="shared" si="42"/>
        <v>0</v>
      </c>
      <c r="BY95" s="12">
        <f t="shared" si="43"/>
        <v>1.7749789491941607E-3</v>
      </c>
    </row>
    <row r="96" spans="1:77" x14ac:dyDescent="0.3">
      <c r="A96" s="1">
        <v>46161</v>
      </c>
      <c r="B96" s="8">
        <v>54.69</v>
      </c>
      <c r="C96" s="8">
        <v>234.76</v>
      </c>
      <c r="D96" s="9">
        <v>2.74649994123894E-3</v>
      </c>
      <c r="E96" s="9">
        <v>2.1747945716021301E-3</v>
      </c>
      <c r="F96" s="8">
        <v>0</v>
      </c>
      <c r="G96" s="8">
        <v>0.28999999999999998</v>
      </c>
      <c r="H96" s="8">
        <v>0</v>
      </c>
      <c r="I96" s="8">
        <v>1.2169000000000001</v>
      </c>
      <c r="J96" s="8">
        <v>0.28999999999999998</v>
      </c>
      <c r="K96" s="8">
        <v>1.2169000000000001</v>
      </c>
      <c r="L96" s="8">
        <v>54.98</v>
      </c>
      <c r="M96" s="8">
        <v>235.9769</v>
      </c>
      <c r="N96" s="10">
        <v>4.2925580544889304</v>
      </c>
      <c r="O96" s="10">
        <v>4.2929927753205499</v>
      </c>
      <c r="P96" s="10">
        <v>4.2943722683443504</v>
      </c>
      <c r="Q96" s="10">
        <v>4.2938361176681701</v>
      </c>
      <c r="R96" s="8">
        <v>234.78377488228</v>
      </c>
      <c r="S96" s="8">
        <v>234.863500047717</v>
      </c>
      <c r="T96" s="8">
        <v>234.83327379850101</v>
      </c>
      <c r="U96" s="9">
        <v>1.012680119432E-4</v>
      </c>
      <c r="V96" s="9">
        <v>4.4077883403413002E-4</v>
      </c>
      <c r="W96" s="9">
        <v>3.1207346094908099E-4</v>
      </c>
      <c r="X96" s="10">
        <v>4.29204983630411</v>
      </c>
      <c r="Y96" s="10">
        <v>4.2916660005161003</v>
      </c>
      <c r="Z96" s="10">
        <v>4.2938463739462396</v>
      </c>
      <c r="AA96" s="10">
        <v>4.2933108926338699</v>
      </c>
      <c r="AB96" s="8">
        <v>235.955796708375</v>
      </c>
      <c r="AC96" s="8">
        <v>236.07990586343101</v>
      </c>
      <c r="AD96" s="8">
        <v>236.04955125705101</v>
      </c>
      <c r="AE96" s="9">
        <v>-8.9433479755108899E-5</v>
      </c>
      <c r="AF96" s="9">
        <v>4.3641300702261098E-4</v>
      </c>
      <c r="AG96" s="9">
        <v>3.0782706109839798E-4</v>
      </c>
      <c r="AZ96" s="9"/>
      <c r="BB96">
        <f t="shared" si="26"/>
        <v>0</v>
      </c>
      <c r="BC96">
        <f t="shared" si="27"/>
        <v>1</v>
      </c>
      <c r="BD96">
        <f t="shared" si="28"/>
        <v>0</v>
      </c>
      <c r="BE96">
        <f t="shared" si="24"/>
        <v>1</v>
      </c>
      <c r="BF96">
        <f t="shared" si="29"/>
        <v>0</v>
      </c>
      <c r="BG96" s="9">
        <f t="shared" si="30"/>
        <v>0</v>
      </c>
      <c r="BH96" s="9">
        <f t="shared" si="31"/>
        <v>0</v>
      </c>
      <c r="BI96" s="9">
        <f t="shared" si="32"/>
        <v>0</v>
      </c>
      <c r="BJ96" s="12">
        <f t="shared" si="33"/>
        <v>9.074118809485306E-4</v>
      </c>
      <c r="BL96" s="9"/>
      <c r="BN96">
        <f t="shared" si="34"/>
        <v>0</v>
      </c>
      <c r="BO96">
        <f t="shared" si="35"/>
        <v>0</v>
      </c>
      <c r="BP96">
        <f t="shared" si="36"/>
        <v>0</v>
      </c>
      <c r="BQ96">
        <f t="shared" si="25"/>
        <v>1</v>
      </c>
      <c r="BR96">
        <f t="shared" si="37"/>
        <v>0</v>
      </c>
      <c r="BS96" s="9">
        <f t="shared" si="38"/>
        <v>0</v>
      </c>
      <c r="BT96" s="9">
        <f t="shared" si="39"/>
        <v>0</v>
      </c>
      <c r="BU96" s="9">
        <f t="shared" si="40"/>
        <v>0</v>
      </c>
      <c r="BV96" s="12">
        <f t="shared" si="41"/>
        <v>8.6756706824563014E-4</v>
      </c>
      <c r="BX96" s="12">
        <f t="shared" si="42"/>
        <v>0</v>
      </c>
      <c r="BY96" s="12">
        <f t="shared" si="43"/>
        <v>1.7749789491941607E-3</v>
      </c>
    </row>
    <row r="97" spans="1:77" x14ac:dyDescent="0.3">
      <c r="A97" s="1">
        <v>46162</v>
      </c>
      <c r="B97" s="8">
        <v>54.29</v>
      </c>
      <c r="C97" s="8">
        <v>233.14</v>
      </c>
      <c r="D97" s="9">
        <v>-7.3408294413216599E-3</v>
      </c>
      <c r="E97" s="9">
        <v>-6.9245841984474799E-3</v>
      </c>
      <c r="F97" s="8">
        <v>0</v>
      </c>
      <c r="G97" s="8">
        <v>0.28999999999999998</v>
      </c>
      <c r="H97" s="8">
        <v>0</v>
      </c>
      <c r="I97" s="8">
        <v>1.2169000000000001</v>
      </c>
      <c r="J97" s="8">
        <v>0.28999999999999998</v>
      </c>
      <c r="K97" s="8">
        <v>1.2169000000000001</v>
      </c>
      <c r="L97" s="8">
        <v>54.58</v>
      </c>
      <c r="M97" s="8">
        <v>234.3569</v>
      </c>
      <c r="N97" s="10">
        <v>4.2943451832750004</v>
      </c>
      <c r="O97" s="10">
        <v>4.2929927753205499</v>
      </c>
      <c r="P97" s="10">
        <v>4.2944826384685397</v>
      </c>
      <c r="Q97" s="10">
        <v>4.29386646981105</v>
      </c>
      <c r="R97" s="8">
        <v>233.06657777215199</v>
      </c>
      <c r="S97" s="8">
        <v>233.14147044841499</v>
      </c>
      <c r="T97" s="8">
        <v>233.11236282820499</v>
      </c>
      <c r="U97" s="9">
        <v>-3.1497723093098698E-4</v>
      </c>
      <c r="V97" s="9">
        <v>6.3071278121390496E-6</v>
      </c>
      <c r="W97" s="9">
        <v>-1.1855027032818E-4</v>
      </c>
      <c r="X97" s="10">
        <v>4.2938237449615198</v>
      </c>
      <c r="Y97" s="10">
        <v>4.2916660005161003</v>
      </c>
      <c r="Z97" s="10">
        <v>4.2939567114053601</v>
      </c>
      <c r="AA97" s="10">
        <v>4.2933418609727196</v>
      </c>
      <c r="AB97" s="8">
        <v>234.239130308169</v>
      </c>
      <c r="AC97" s="8">
        <v>234.35813508998601</v>
      </c>
      <c r="AD97" s="8">
        <v>234.328908519956</v>
      </c>
      <c r="AE97" s="9">
        <v>-5.0264913355291805E-4</v>
      </c>
      <c r="AF97" s="9">
        <v>5.2701103810413598E-6</v>
      </c>
      <c r="AG97" s="9">
        <v>-1.19446672238534E-4</v>
      </c>
      <c r="AZ97" s="9"/>
      <c r="BB97">
        <f t="shared" si="26"/>
        <v>0</v>
      </c>
      <c r="BC97">
        <f t="shared" si="27"/>
        <v>0</v>
      </c>
      <c r="BD97">
        <f t="shared" si="28"/>
        <v>0</v>
      </c>
      <c r="BE97">
        <f t="shared" si="24"/>
        <v>1</v>
      </c>
      <c r="BF97">
        <f t="shared" si="29"/>
        <v>0</v>
      </c>
      <c r="BG97" s="9">
        <f t="shared" si="30"/>
        <v>0</v>
      </c>
      <c r="BH97" s="9">
        <f t="shared" si="31"/>
        <v>0</v>
      </c>
      <c r="BI97" s="9">
        <f t="shared" si="32"/>
        <v>0</v>
      </c>
      <c r="BJ97" s="12">
        <f t="shared" si="33"/>
        <v>9.074118809485306E-4</v>
      </c>
      <c r="BL97" s="9"/>
      <c r="BN97">
        <f t="shared" si="34"/>
        <v>0</v>
      </c>
      <c r="BO97">
        <f t="shared" si="35"/>
        <v>1</v>
      </c>
      <c r="BP97">
        <f t="shared" si="36"/>
        <v>0</v>
      </c>
      <c r="BQ97">
        <f t="shared" si="25"/>
        <v>1</v>
      </c>
      <c r="BR97">
        <f t="shared" si="37"/>
        <v>0</v>
      </c>
      <c r="BS97" s="9">
        <f t="shared" si="38"/>
        <v>0</v>
      </c>
      <c r="BT97" s="9">
        <f t="shared" si="39"/>
        <v>0</v>
      </c>
      <c r="BU97" s="9">
        <f t="shared" si="40"/>
        <v>0</v>
      </c>
      <c r="BV97" s="12">
        <f t="shared" si="41"/>
        <v>8.6756706824563014E-4</v>
      </c>
      <c r="BX97" s="12">
        <f t="shared" si="42"/>
        <v>0</v>
      </c>
      <c r="BY97" s="12">
        <f t="shared" si="43"/>
        <v>1.7749789491941607E-3</v>
      </c>
    </row>
    <row r="98" spans="1:77" x14ac:dyDescent="0.3">
      <c r="A98" s="1">
        <v>46163</v>
      </c>
      <c r="B98" s="8">
        <v>53.5</v>
      </c>
      <c r="C98" s="8">
        <v>229.78</v>
      </c>
      <c r="D98" s="9">
        <v>-1.46583940153988E-2</v>
      </c>
      <c r="E98" s="9">
        <v>-1.45168020664675E-2</v>
      </c>
      <c r="F98" s="8">
        <v>0</v>
      </c>
      <c r="G98" s="8">
        <v>0.28999999999999998</v>
      </c>
      <c r="H98" s="8">
        <v>0</v>
      </c>
      <c r="I98" s="8">
        <v>1.2169000000000001</v>
      </c>
      <c r="J98" s="8">
        <v>0.28999999999999998</v>
      </c>
      <c r="K98" s="8">
        <v>1.2169000000000001</v>
      </c>
      <c r="L98" s="8">
        <v>53.79</v>
      </c>
      <c r="M98" s="8">
        <v>230.99690000000001</v>
      </c>
      <c r="N98" s="10">
        <v>4.2949532710280298</v>
      </c>
      <c r="O98" s="10">
        <v>4.2929927753205499</v>
      </c>
      <c r="P98" s="10">
        <v>4.2945848750017799</v>
      </c>
      <c r="Q98" s="10">
        <v>4.2939181558133397</v>
      </c>
      <c r="R98" s="8">
        <v>229.67511347964901</v>
      </c>
      <c r="S98" s="8">
        <v>229.75482115806699</v>
      </c>
      <c r="T98" s="8">
        <v>229.721856134891</v>
      </c>
      <c r="U98" s="9">
        <v>-4.5656917986241499E-4</v>
      </c>
      <c r="V98" s="9">
        <v>-1.09584043683673E-4</v>
      </c>
      <c r="W98" s="9">
        <v>-2.5307347355735E-4</v>
      </c>
      <c r="X98" s="10">
        <v>4.2944208960773302</v>
      </c>
      <c r="Y98" s="10">
        <v>4.2916660005161003</v>
      </c>
      <c r="Z98" s="10">
        <v>4.2940583478184404</v>
      </c>
      <c r="AA98" s="10">
        <v>4.29339329282534</v>
      </c>
      <c r="AB98" s="8">
        <v>230.84871416776099</v>
      </c>
      <c r="AC98" s="8">
        <v>230.971931506494</v>
      </c>
      <c r="AD98" s="8">
        <v>230.93885870172201</v>
      </c>
      <c r="AE98" s="9">
        <v>-6.4171157104400299E-4</v>
      </c>
      <c r="AF98" s="9">
        <v>-1.0809600919826399E-4</v>
      </c>
      <c r="AG98" s="9">
        <v>-2.5129597563933301E-4</v>
      </c>
      <c r="AZ98" s="9"/>
      <c r="BB98">
        <f t="shared" si="26"/>
        <v>0</v>
      </c>
      <c r="BC98">
        <f t="shared" si="27"/>
        <v>0</v>
      </c>
      <c r="BD98">
        <f t="shared" si="28"/>
        <v>0</v>
      </c>
      <c r="BE98">
        <f t="shared" si="24"/>
        <v>1</v>
      </c>
      <c r="BF98">
        <f t="shared" si="29"/>
        <v>0</v>
      </c>
      <c r="BG98" s="9">
        <f t="shared" si="30"/>
        <v>0</v>
      </c>
      <c r="BH98" s="9">
        <f t="shared" si="31"/>
        <v>0</v>
      </c>
      <c r="BI98" s="9">
        <f t="shared" si="32"/>
        <v>0</v>
      </c>
      <c r="BJ98" s="12">
        <f t="shared" si="33"/>
        <v>9.074118809485306E-4</v>
      </c>
      <c r="BL98" s="9"/>
      <c r="BN98">
        <f t="shared" si="34"/>
        <v>0</v>
      </c>
      <c r="BO98">
        <f t="shared" si="35"/>
        <v>1</v>
      </c>
      <c r="BP98">
        <f t="shared" si="36"/>
        <v>0</v>
      </c>
      <c r="BQ98">
        <f t="shared" si="25"/>
        <v>1</v>
      </c>
      <c r="BR98">
        <f t="shared" si="37"/>
        <v>0</v>
      </c>
      <c r="BS98" s="9">
        <f t="shared" si="38"/>
        <v>0</v>
      </c>
      <c r="BT98" s="9">
        <f t="shared" si="39"/>
        <v>0</v>
      </c>
      <c r="BU98" s="9">
        <f t="shared" si="40"/>
        <v>0</v>
      </c>
      <c r="BV98" s="12">
        <f t="shared" si="41"/>
        <v>8.6756706824563014E-4</v>
      </c>
      <c r="BX98" s="12">
        <f t="shared" si="42"/>
        <v>0</v>
      </c>
      <c r="BY98" s="12">
        <f t="shared" si="43"/>
        <v>1.7749789491941607E-3</v>
      </c>
    </row>
    <row r="99" spans="1:77" x14ac:dyDescent="0.3">
      <c r="A99" s="1">
        <v>46164</v>
      </c>
      <c r="B99" s="8">
        <v>53.5</v>
      </c>
      <c r="C99" s="8">
        <v>229.69</v>
      </c>
      <c r="D99" s="9">
        <v>0</v>
      </c>
      <c r="E99" s="9">
        <v>-3.9175572355557302E-4</v>
      </c>
      <c r="F99" s="8">
        <v>0</v>
      </c>
      <c r="G99" s="8">
        <v>0.28999999999999998</v>
      </c>
      <c r="H99" s="8">
        <v>0</v>
      </c>
      <c r="I99" s="8">
        <v>1.2169000000000001</v>
      </c>
      <c r="J99" s="8">
        <v>0.28999999999999998</v>
      </c>
      <c r="K99" s="8">
        <v>1.2169000000000001</v>
      </c>
      <c r="L99" s="8">
        <v>53.79</v>
      </c>
      <c r="M99" s="8">
        <v>230.90690000000001</v>
      </c>
      <c r="N99" s="10">
        <v>4.2932710280373803</v>
      </c>
      <c r="O99" s="10">
        <v>4.2929927753205499</v>
      </c>
      <c r="P99" s="10">
        <v>4.2943597389995496</v>
      </c>
      <c r="Q99" s="10">
        <v>4.29398549211309</v>
      </c>
      <c r="R99" s="8">
        <v>229.67511347964901</v>
      </c>
      <c r="S99" s="8">
        <v>229.760290812595</v>
      </c>
      <c r="T99" s="8">
        <v>229.724621336013</v>
      </c>
      <c r="U99" s="9">
        <v>-6.4813456306719194E-5</v>
      </c>
      <c r="V99" s="9">
        <v>3.0597788073982599E-4</v>
      </c>
      <c r="W99" s="9">
        <v>1.5071934793325101E-4</v>
      </c>
      <c r="X99" s="10">
        <v>4.2927477226250197</v>
      </c>
      <c r="Y99" s="10">
        <v>4.2916660005161003</v>
      </c>
      <c r="Z99" s="10">
        <v>4.2938343262416403</v>
      </c>
      <c r="AA99" s="10">
        <v>4.2934603286025101</v>
      </c>
      <c r="AB99" s="8">
        <v>230.84871416776099</v>
      </c>
      <c r="AC99" s="8">
        <v>230.97739852915399</v>
      </c>
      <c r="AD99" s="8">
        <v>230.94162522107499</v>
      </c>
      <c r="AE99" s="9">
        <v>-2.5202003294029902E-4</v>
      </c>
      <c r="AF99" s="9">
        <v>3.0526488960999398E-4</v>
      </c>
      <c r="AG99" s="9">
        <v>1.5037493569507101E-4</v>
      </c>
      <c r="AZ99" s="9"/>
      <c r="BB99">
        <f t="shared" si="26"/>
        <v>0</v>
      </c>
      <c r="BC99">
        <f t="shared" si="27"/>
        <v>1</v>
      </c>
      <c r="BD99">
        <f t="shared" si="28"/>
        <v>0</v>
      </c>
      <c r="BE99">
        <f t="shared" si="24"/>
        <v>1</v>
      </c>
      <c r="BF99">
        <f t="shared" si="29"/>
        <v>0</v>
      </c>
      <c r="BG99" s="9">
        <f t="shared" si="30"/>
        <v>0</v>
      </c>
      <c r="BH99" s="9">
        <f t="shared" si="31"/>
        <v>0</v>
      </c>
      <c r="BI99" s="9">
        <f t="shared" si="32"/>
        <v>0</v>
      </c>
      <c r="BJ99" s="12">
        <f t="shared" si="33"/>
        <v>9.074118809485306E-4</v>
      </c>
      <c r="BL99" s="9"/>
      <c r="BN99">
        <f t="shared" si="34"/>
        <v>0</v>
      </c>
      <c r="BO99">
        <f t="shared" si="35"/>
        <v>0</v>
      </c>
      <c r="BP99">
        <f t="shared" si="36"/>
        <v>0</v>
      </c>
      <c r="BQ99">
        <f t="shared" si="25"/>
        <v>1</v>
      </c>
      <c r="BR99">
        <f t="shared" si="37"/>
        <v>0</v>
      </c>
      <c r="BS99" s="9">
        <f t="shared" si="38"/>
        <v>0</v>
      </c>
      <c r="BT99" s="9">
        <f t="shared" si="39"/>
        <v>0</v>
      </c>
      <c r="BU99" s="9">
        <f t="shared" si="40"/>
        <v>0</v>
      </c>
      <c r="BV99" s="12">
        <f t="shared" si="41"/>
        <v>8.6756706824563014E-4</v>
      </c>
      <c r="BX99" s="12">
        <f t="shared" si="42"/>
        <v>0</v>
      </c>
      <c r="BY99" s="12">
        <f t="shared" si="43"/>
        <v>1.7749789491941607E-3</v>
      </c>
    </row>
    <row r="100" spans="1:77" x14ac:dyDescent="0.3">
      <c r="A100" s="1">
        <v>46168</v>
      </c>
      <c r="B100" s="8">
        <v>52.75</v>
      </c>
      <c r="C100" s="8">
        <v>226.39</v>
      </c>
      <c r="D100" s="9">
        <v>-1.41178815457849E-2</v>
      </c>
      <c r="E100" s="9">
        <v>-1.44713979594487E-2</v>
      </c>
      <c r="F100" s="8">
        <v>0</v>
      </c>
      <c r="G100" s="8">
        <v>0.28999999999999998</v>
      </c>
      <c r="H100" s="8">
        <v>0</v>
      </c>
      <c r="I100" s="8">
        <v>1.2169000000000001</v>
      </c>
      <c r="J100" s="8">
        <v>0.28999999999999998</v>
      </c>
      <c r="K100" s="8">
        <v>1.2169000000000001</v>
      </c>
      <c r="L100" s="8">
        <v>53.04</v>
      </c>
      <c r="M100" s="8">
        <v>227.6069</v>
      </c>
      <c r="N100" s="10">
        <v>4.2917535545023604</v>
      </c>
      <c r="O100" s="10">
        <v>4.2929927753205499</v>
      </c>
      <c r="P100" s="10">
        <v>4.2941388680346897</v>
      </c>
      <c r="Q100" s="10">
        <v>4.2939480278465396</v>
      </c>
      <c r="R100" s="8">
        <v>226.45536889815901</v>
      </c>
      <c r="S100" s="8">
        <v>226.52747623222601</v>
      </c>
      <c r="T100" s="8">
        <v>226.50773470896499</v>
      </c>
      <c r="U100" s="9">
        <v>2.8870295735703198E-4</v>
      </c>
      <c r="V100" s="9">
        <v>6.0706969221980503E-4</v>
      </c>
      <c r="W100" s="9">
        <v>5.1991742327202903E-4</v>
      </c>
      <c r="X100" s="10">
        <v>4.2912311463046704</v>
      </c>
      <c r="Y100" s="10">
        <v>4.2916660005161003</v>
      </c>
      <c r="Z100" s="10">
        <v>4.29361441216128</v>
      </c>
      <c r="AA100" s="10">
        <v>4.2934230344773301</v>
      </c>
      <c r="AB100" s="8">
        <v>227.629964667374</v>
      </c>
      <c r="AC100" s="8">
        <v>227.744972663856</v>
      </c>
      <c r="AD100" s="8">
        <v>227.725135829077</v>
      </c>
      <c r="AE100" s="9">
        <v>1.01330402628982E-4</v>
      </c>
      <c r="AF100" s="9">
        <v>6.0644383553629805E-4</v>
      </c>
      <c r="AG100" s="9">
        <v>5.1933895456924195E-4</v>
      </c>
      <c r="AZ100" s="9"/>
      <c r="BB100">
        <f t="shared" si="26"/>
        <v>0</v>
      </c>
      <c r="BC100">
        <f t="shared" si="27"/>
        <v>1</v>
      </c>
      <c r="BD100">
        <f t="shared" si="28"/>
        <v>0</v>
      </c>
      <c r="BE100">
        <f t="shared" si="24"/>
        <v>1</v>
      </c>
      <c r="BF100">
        <f t="shared" si="29"/>
        <v>0</v>
      </c>
      <c r="BG100" s="9">
        <f t="shared" si="30"/>
        <v>0</v>
      </c>
      <c r="BH100" s="9">
        <f t="shared" si="31"/>
        <v>0</v>
      </c>
      <c r="BI100" s="9">
        <f t="shared" si="32"/>
        <v>0</v>
      </c>
      <c r="BJ100" s="12">
        <f t="shared" si="33"/>
        <v>9.074118809485306E-4</v>
      </c>
      <c r="BL100" s="9"/>
      <c r="BN100">
        <f t="shared" si="34"/>
        <v>0</v>
      </c>
      <c r="BO100">
        <f t="shared" si="35"/>
        <v>0</v>
      </c>
      <c r="BP100">
        <f t="shared" si="36"/>
        <v>0</v>
      </c>
      <c r="BQ100">
        <f t="shared" si="25"/>
        <v>1</v>
      </c>
      <c r="BR100">
        <f t="shared" si="37"/>
        <v>0</v>
      </c>
      <c r="BS100" s="9">
        <f t="shared" si="38"/>
        <v>0</v>
      </c>
      <c r="BT100" s="9">
        <f t="shared" si="39"/>
        <v>0</v>
      </c>
      <c r="BU100" s="9">
        <f t="shared" si="40"/>
        <v>0</v>
      </c>
      <c r="BV100" s="12">
        <f t="shared" si="41"/>
        <v>8.6756706824563014E-4</v>
      </c>
      <c r="BX100" s="12">
        <f t="shared" si="42"/>
        <v>0</v>
      </c>
      <c r="BY100" s="12">
        <f t="shared" si="43"/>
        <v>1.7749789491941607E-3</v>
      </c>
    </row>
    <row r="101" spans="1:77" x14ac:dyDescent="0.3">
      <c r="A101" s="1">
        <v>46169</v>
      </c>
      <c r="B101" s="8">
        <v>53.28</v>
      </c>
      <c r="C101" s="8">
        <v>228.79</v>
      </c>
      <c r="D101" s="9">
        <v>9.9972538759578993E-3</v>
      </c>
      <c r="E101" s="9">
        <v>1.0545376514574101E-2</v>
      </c>
      <c r="F101" s="8">
        <v>0</v>
      </c>
      <c r="G101" s="8">
        <v>0.28999999999999998</v>
      </c>
      <c r="H101" s="8">
        <v>0</v>
      </c>
      <c r="I101" s="8">
        <v>1.2169000000000001</v>
      </c>
      <c r="J101" s="8">
        <v>0.28999999999999998</v>
      </c>
      <c r="K101" s="8">
        <v>1.2169000000000001</v>
      </c>
      <c r="L101" s="8">
        <v>53.57</v>
      </c>
      <c r="M101" s="8">
        <v>230.0069</v>
      </c>
      <c r="N101" s="10">
        <v>4.2941066066065998</v>
      </c>
      <c r="O101" s="10">
        <v>4.2929927753205499</v>
      </c>
      <c r="P101" s="10">
        <v>4.29406545344857</v>
      </c>
      <c r="Q101" s="10">
        <v>4.2940171483629896</v>
      </c>
      <c r="R101" s="8">
        <v>228.73065506907901</v>
      </c>
      <c r="S101" s="8">
        <v>228.791718888888</v>
      </c>
      <c r="T101" s="8">
        <v>228.78155092366299</v>
      </c>
      <c r="U101" s="9">
        <v>-2.5941968125934E-4</v>
      </c>
      <c r="V101" s="9">
        <v>7.5129264032082903E-6</v>
      </c>
      <c r="W101" s="9">
        <v>-3.6930077143600102E-5</v>
      </c>
      <c r="X101" s="10">
        <v>4.29357662871009</v>
      </c>
      <c r="Y101" s="10">
        <v>4.2916660005161003</v>
      </c>
      <c r="Z101" s="10">
        <v>4.29354098944503</v>
      </c>
      <c r="AA101" s="10">
        <v>4.2934918247759599</v>
      </c>
      <c r="AB101" s="8">
        <v>229.90454764764701</v>
      </c>
      <c r="AC101" s="8">
        <v>230.008924059479</v>
      </c>
      <c r="AD101" s="8">
        <v>229.99867195695001</v>
      </c>
      <c r="AE101" s="9">
        <v>-4.4509591820463901E-4</v>
      </c>
      <c r="AF101" s="9">
        <v>8.7999558890625906E-6</v>
      </c>
      <c r="AG101" s="9">
        <v>-3.5773666892503302E-5</v>
      </c>
      <c r="AZ101" s="9"/>
      <c r="BB101">
        <f t="shared" si="26"/>
        <v>0</v>
      </c>
      <c r="BC101">
        <f t="shared" si="27"/>
        <v>0</v>
      </c>
      <c r="BD101">
        <f t="shared" si="28"/>
        <v>0</v>
      </c>
      <c r="BE101">
        <f t="shared" si="24"/>
        <v>1</v>
      </c>
      <c r="BF101">
        <f t="shared" si="29"/>
        <v>0</v>
      </c>
      <c r="BG101" s="9">
        <f t="shared" si="30"/>
        <v>0</v>
      </c>
      <c r="BH101" s="9">
        <f t="shared" si="31"/>
        <v>0</v>
      </c>
      <c r="BI101" s="9">
        <f t="shared" si="32"/>
        <v>0</v>
      </c>
      <c r="BJ101" s="12">
        <f t="shared" si="33"/>
        <v>9.074118809485306E-4</v>
      </c>
      <c r="BL101" s="9"/>
      <c r="BN101">
        <f t="shared" si="34"/>
        <v>0</v>
      </c>
      <c r="BO101">
        <f t="shared" si="35"/>
        <v>1</v>
      </c>
      <c r="BP101">
        <f t="shared" si="36"/>
        <v>0</v>
      </c>
      <c r="BQ101">
        <f t="shared" si="25"/>
        <v>1</v>
      </c>
      <c r="BR101">
        <f t="shared" si="37"/>
        <v>0</v>
      </c>
      <c r="BS101" s="9">
        <f t="shared" si="38"/>
        <v>0</v>
      </c>
      <c r="BT101" s="9">
        <f t="shared" si="39"/>
        <v>0</v>
      </c>
      <c r="BU101" s="9">
        <f t="shared" si="40"/>
        <v>0</v>
      </c>
      <c r="BV101" s="12">
        <f t="shared" si="41"/>
        <v>8.6756706824563014E-4</v>
      </c>
      <c r="BX101" s="12">
        <f t="shared" si="42"/>
        <v>0</v>
      </c>
      <c r="BY101" s="12">
        <f t="shared" si="43"/>
        <v>1.7749789491941607E-3</v>
      </c>
    </row>
    <row r="102" spans="1:77" x14ac:dyDescent="0.3">
      <c r="A102" s="1">
        <v>46170</v>
      </c>
      <c r="B102" s="8">
        <v>53.15</v>
      </c>
      <c r="C102" s="8">
        <v>228.13</v>
      </c>
      <c r="D102" s="9">
        <v>-2.4429214441767798E-3</v>
      </c>
      <c r="E102" s="9">
        <v>-2.88891035200518E-3</v>
      </c>
      <c r="F102" s="8">
        <v>0</v>
      </c>
      <c r="G102" s="8">
        <v>0.28999999999999998</v>
      </c>
      <c r="H102" s="8">
        <v>0</v>
      </c>
      <c r="I102" s="8">
        <v>1.2169000000000001</v>
      </c>
      <c r="J102" s="8">
        <v>0.28999999999999998</v>
      </c>
      <c r="K102" s="8">
        <v>1.2169000000000001</v>
      </c>
      <c r="L102" s="8">
        <v>53.44</v>
      </c>
      <c r="M102" s="8">
        <v>229.34690000000001</v>
      </c>
      <c r="N102" s="10">
        <v>4.2921919096895502</v>
      </c>
      <c r="O102" s="10">
        <v>4.2929927753205499</v>
      </c>
      <c r="P102" s="10">
        <v>4.2938881727369296</v>
      </c>
      <c r="Q102" s="10">
        <v>4.29383111378531</v>
      </c>
      <c r="R102" s="8">
        <v>228.17256600828699</v>
      </c>
      <c r="S102" s="8">
        <v>228.229578850791</v>
      </c>
      <c r="T102" s="8">
        <v>228.22701143549301</v>
      </c>
      <c r="U102" s="9">
        <v>1.86569226568912E-4</v>
      </c>
      <c r="V102" s="9">
        <v>4.36405225119929E-4</v>
      </c>
      <c r="W102" s="9">
        <v>4.2515589559794198E-4</v>
      </c>
      <c r="X102" s="10">
        <v>4.2916710329341301</v>
      </c>
      <c r="Y102" s="10">
        <v>4.2916660005161003</v>
      </c>
      <c r="Z102" s="10">
        <v>4.2933639848699601</v>
      </c>
      <c r="AA102" s="10">
        <v>4.2933068301506596</v>
      </c>
      <c r="AB102" s="8">
        <v>229.34663106758001</v>
      </c>
      <c r="AC102" s="8">
        <v>229.44683047594199</v>
      </c>
      <c r="AD102" s="8">
        <v>229.44420311602701</v>
      </c>
      <c r="AE102" s="9">
        <v>-1.1726017522999299E-6</v>
      </c>
      <c r="AF102" s="9">
        <v>4.3562268132778302E-4</v>
      </c>
      <c r="AG102" s="9">
        <v>4.2417177153516701E-4</v>
      </c>
      <c r="AZ102" s="9"/>
      <c r="BB102">
        <f t="shared" si="26"/>
        <v>0</v>
      </c>
      <c r="BC102">
        <f t="shared" si="27"/>
        <v>1</v>
      </c>
      <c r="BD102">
        <f t="shared" si="28"/>
        <v>0</v>
      </c>
      <c r="BE102">
        <f t="shared" si="24"/>
        <v>1</v>
      </c>
      <c r="BF102">
        <f t="shared" si="29"/>
        <v>0</v>
      </c>
      <c r="BG102" s="9">
        <f t="shared" si="30"/>
        <v>0</v>
      </c>
      <c r="BH102" s="9">
        <f t="shared" si="31"/>
        <v>0</v>
      </c>
      <c r="BI102" s="9">
        <f t="shared" si="32"/>
        <v>0</v>
      </c>
      <c r="BJ102" s="12">
        <f t="shared" si="33"/>
        <v>9.074118809485306E-4</v>
      </c>
      <c r="BL102" s="9"/>
      <c r="BN102">
        <f t="shared" si="34"/>
        <v>0</v>
      </c>
      <c r="BO102">
        <f t="shared" si="35"/>
        <v>0</v>
      </c>
      <c r="BP102">
        <f t="shared" si="36"/>
        <v>0</v>
      </c>
      <c r="BQ102">
        <f t="shared" si="25"/>
        <v>1</v>
      </c>
      <c r="BR102">
        <f t="shared" si="37"/>
        <v>0</v>
      </c>
      <c r="BS102" s="9">
        <f t="shared" si="38"/>
        <v>0</v>
      </c>
      <c r="BT102" s="9">
        <f t="shared" si="39"/>
        <v>0</v>
      </c>
      <c r="BU102" s="9">
        <f t="shared" si="40"/>
        <v>0</v>
      </c>
      <c r="BV102" s="12">
        <f t="shared" si="41"/>
        <v>8.6756706824563014E-4</v>
      </c>
      <c r="BX102" s="12">
        <f t="shared" si="42"/>
        <v>0</v>
      </c>
      <c r="BY102" s="12">
        <f t="shared" si="43"/>
        <v>1.7749789491941607E-3</v>
      </c>
    </row>
    <row r="103" spans="1:77" x14ac:dyDescent="0.3">
      <c r="A103" s="1">
        <v>46171</v>
      </c>
      <c r="B103" s="8">
        <v>52.11</v>
      </c>
      <c r="C103" s="8">
        <v>223.75</v>
      </c>
      <c r="D103" s="9">
        <v>-1.9761235866833701E-2</v>
      </c>
      <c r="E103" s="9">
        <v>-1.93862847498186E-2</v>
      </c>
      <c r="F103" s="8">
        <v>0</v>
      </c>
      <c r="G103" s="8">
        <v>0.28999999999999998</v>
      </c>
      <c r="H103" s="8">
        <v>0</v>
      </c>
      <c r="I103" s="8">
        <v>1.2169000000000001</v>
      </c>
      <c r="J103" s="8">
        <v>0.28999999999999998</v>
      </c>
      <c r="K103" s="8">
        <v>1.2169000000000001</v>
      </c>
      <c r="L103" s="8">
        <v>52.4</v>
      </c>
      <c r="M103" s="8">
        <v>224.96690000000001</v>
      </c>
      <c r="N103" s="10">
        <v>4.2938015735943198</v>
      </c>
      <c r="O103" s="10">
        <v>4.2929927753205499</v>
      </c>
      <c r="P103" s="10">
        <v>4.2937127745407997</v>
      </c>
      <c r="Q103" s="10">
        <v>4.2939343926868796</v>
      </c>
      <c r="R103" s="8">
        <v>223.70785352195301</v>
      </c>
      <c r="S103" s="8">
        <v>223.75451268132099</v>
      </c>
      <c r="T103" s="8">
        <v>223.75153933935201</v>
      </c>
      <c r="U103" s="9">
        <v>-1.8838189044602301E-4</v>
      </c>
      <c r="V103" s="9">
        <v>2.0168204761732202E-5</v>
      </c>
      <c r="W103" s="9">
        <v>6.8797052861877299E-6</v>
      </c>
      <c r="X103" s="10">
        <v>4.2932614503816797</v>
      </c>
      <c r="Y103" s="10">
        <v>4.2916660005161003</v>
      </c>
      <c r="Z103" s="10">
        <v>4.2931876432623399</v>
      </c>
      <c r="AA103" s="10">
        <v>4.2934085749757402</v>
      </c>
      <c r="AB103" s="8">
        <v>224.883298427044</v>
      </c>
      <c r="AC103" s="8">
        <v>224.97227280718599</v>
      </c>
      <c r="AD103" s="8">
        <v>224.969277899894</v>
      </c>
      <c r="AE103" s="9">
        <v>-3.7168628228106401E-4</v>
      </c>
      <c r="AF103" s="9">
        <v>2.3882371267267702E-5</v>
      </c>
      <c r="AG103" s="9">
        <v>1.0569943078734001E-5</v>
      </c>
      <c r="AZ103" s="9"/>
      <c r="BB103">
        <f t="shared" si="26"/>
        <v>0</v>
      </c>
      <c r="BC103">
        <f t="shared" si="27"/>
        <v>1</v>
      </c>
      <c r="BD103">
        <f t="shared" si="28"/>
        <v>0</v>
      </c>
      <c r="BE103">
        <f t="shared" si="24"/>
        <v>1</v>
      </c>
      <c r="BF103">
        <f t="shared" si="29"/>
        <v>0</v>
      </c>
      <c r="BG103" s="9">
        <f t="shared" si="30"/>
        <v>0</v>
      </c>
      <c r="BH103" s="9">
        <f t="shared" si="31"/>
        <v>0</v>
      </c>
      <c r="BI103" s="9">
        <f t="shared" si="32"/>
        <v>0</v>
      </c>
      <c r="BJ103" s="12">
        <f t="shared" si="33"/>
        <v>9.074118809485306E-4</v>
      </c>
      <c r="BL103" s="9"/>
      <c r="BN103">
        <f t="shared" si="34"/>
        <v>0</v>
      </c>
      <c r="BO103">
        <f t="shared" si="35"/>
        <v>0</v>
      </c>
      <c r="BP103">
        <f t="shared" si="36"/>
        <v>0</v>
      </c>
      <c r="BQ103">
        <f t="shared" si="25"/>
        <v>1</v>
      </c>
      <c r="BR103">
        <f t="shared" si="37"/>
        <v>0</v>
      </c>
      <c r="BS103" s="9">
        <f t="shared" si="38"/>
        <v>0</v>
      </c>
      <c r="BT103" s="9">
        <f t="shared" si="39"/>
        <v>0</v>
      </c>
      <c r="BU103" s="9">
        <f t="shared" si="40"/>
        <v>0</v>
      </c>
      <c r="BV103" s="12">
        <f t="shared" si="41"/>
        <v>8.6756706824563014E-4</v>
      </c>
      <c r="BX103" s="12">
        <f t="shared" si="42"/>
        <v>0</v>
      </c>
      <c r="BY103" s="12">
        <f t="shared" si="43"/>
        <v>1.7749789491941607E-3</v>
      </c>
    </row>
    <row r="104" spans="1:77" x14ac:dyDescent="0.3">
      <c r="A104" s="1">
        <v>46174</v>
      </c>
      <c r="B104" s="8">
        <v>51.58</v>
      </c>
      <c r="C104" s="8">
        <v>221.47</v>
      </c>
      <c r="D104" s="9">
        <v>-1.0222868467924501E-2</v>
      </c>
      <c r="E104" s="9">
        <v>-1.0242217023210799E-2</v>
      </c>
      <c r="F104" s="8">
        <v>0</v>
      </c>
      <c r="G104" s="8">
        <v>0.28999999999999998</v>
      </c>
      <c r="H104" s="8">
        <v>0</v>
      </c>
      <c r="I104" s="8">
        <v>1.2169000000000001</v>
      </c>
      <c r="J104" s="8">
        <v>0.28999999999999998</v>
      </c>
      <c r="K104" s="8">
        <v>1.2169000000000001</v>
      </c>
      <c r="L104" s="8">
        <v>51.87</v>
      </c>
      <c r="M104" s="8">
        <v>222.68690000000001</v>
      </c>
      <c r="N104" s="10">
        <v>4.2937184955409</v>
      </c>
      <c r="O104" s="10">
        <v>4.2929927753205499</v>
      </c>
      <c r="P104" s="10">
        <v>4.2935712511379904</v>
      </c>
      <c r="Q104" s="10">
        <v>4.2939771293267599</v>
      </c>
      <c r="R104" s="8">
        <v>221.43256735103401</v>
      </c>
      <c r="S104" s="8">
        <v>221.46970491081399</v>
      </c>
      <c r="T104" s="8">
        <v>221.481135974789</v>
      </c>
      <c r="U104" s="9">
        <v>-1.69033335159752E-4</v>
      </c>
      <c r="V104" s="9">
        <v>-1.3324124334235199E-6</v>
      </c>
      <c r="W104" s="9">
        <v>5.0280827330555599E-5</v>
      </c>
      <c r="X104" s="10">
        <v>4.2931733179101599</v>
      </c>
      <c r="Y104" s="10">
        <v>4.2916660005161003</v>
      </c>
      <c r="Z104" s="10">
        <v>4.2930446018776598</v>
      </c>
      <c r="AA104" s="10">
        <v>4.2934498920511901</v>
      </c>
      <c r="AB104" s="8">
        <v>222.60871544676999</v>
      </c>
      <c r="AC104" s="8">
        <v>222.68764305601701</v>
      </c>
      <c r="AD104" s="8">
        <v>222.69910278399101</v>
      </c>
      <c r="AE104" s="9">
        <v>-3.5115797829915799E-4</v>
      </c>
      <c r="AF104" s="9">
        <v>3.3367691490691299E-6</v>
      </c>
      <c r="AG104" s="9">
        <v>5.4796441372144001E-5</v>
      </c>
      <c r="AZ104" s="9"/>
      <c r="BB104">
        <f t="shared" si="26"/>
        <v>0</v>
      </c>
      <c r="BC104">
        <f t="shared" si="27"/>
        <v>1</v>
      </c>
      <c r="BD104">
        <f t="shared" si="28"/>
        <v>0</v>
      </c>
      <c r="BE104">
        <f t="shared" si="24"/>
        <v>1</v>
      </c>
      <c r="BF104">
        <f t="shared" si="29"/>
        <v>0</v>
      </c>
      <c r="BG104" s="9">
        <f t="shared" si="30"/>
        <v>0</v>
      </c>
      <c r="BH104" s="9">
        <f t="shared" si="31"/>
        <v>0</v>
      </c>
      <c r="BI104" s="9">
        <f t="shared" si="32"/>
        <v>0</v>
      </c>
      <c r="BJ104" s="12">
        <f t="shared" si="33"/>
        <v>9.074118809485306E-4</v>
      </c>
      <c r="BL104" s="9"/>
      <c r="BN104">
        <f t="shared" si="34"/>
        <v>0</v>
      </c>
      <c r="BO104">
        <f t="shared" si="35"/>
        <v>0</v>
      </c>
      <c r="BP104">
        <f t="shared" si="36"/>
        <v>0</v>
      </c>
      <c r="BQ104">
        <f t="shared" si="25"/>
        <v>1</v>
      </c>
      <c r="BR104">
        <f t="shared" si="37"/>
        <v>0</v>
      </c>
      <c r="BS104" s="9">
        <f t="shared" si="38"/>
        <v>0</v>
      </c>
      <c r="BT104" s="9">
        <f t="shared" si="39"/>
        <v>0</v>
      </c>
      <c r="BU104" s="9">
        <f t="shared" si="40"/>
        <v>0</v>
      </c>
      <c r="BV104" s="12">
        <f t="shared" si="41"/>
        <v>8.6756706824563014E-4</v>
      </c>
      <c r="BX104" s="12">
        <f t="shared" si="42"/>
        <v>0</v>
      </c>
      <c r="BY104" s="12">
        <f t="shared" si="43"/>
        <v>1.7749789491941607E-3</v>
      </c>
    </row>
    <row r="105" spans="1:77" x14ac:dyDescent="0.3">
      <c r="A105" s="1">
        <v>46175</v>
      </c>
      <c r="B105" s="8">
        <v>51.44</v>
      </c>
      <c r="C105" s="8">
        <v>220.82</v>
      </c>
      <c r="D105" s="9">
        <v>-2.7179205238347598E-3</v>
      </c>
      <c r="E105" s="9">
        <v>-2.93925012076294E-3</v>
      </c>
      <c r="F105" s="8">
        <v>0</v>
      </c>
      <c r="G105" s="8">
        <v>0.28999999999999998</v>
      </c>
      <c r="H105" s="8">
        <v>0</v>
      </c>
      <c r="I105" s="8">
        <v>1.2169000000000001</v>
      </c>
      <c r="J105" s="8">
        <v>0.28999999999999998</v>
      </c>
      <c r="K105" s="8">
        <v>1.2169000000000001</v>
      </c>
      <c r="L105" s="8">
        <v>51.73</v>
      </c>
      <c r="M105" s="8">
        <v>222.0369</v>
      </c>
      <c r="N105" s="10">
        <v>4.2927682737169501</v>
      </c>
      <c r="O105" s="10">
        <v>4.2929927753205499</v>
      </c>
      <c r="P105" s="10">
        <v>4.2933467950480004</v>
      </c>
      <c r="Q105" s="10">
        <v>4.2938986676622104</v>
      </c>
      <c r="R105" s="8">
        <v>220.831548362489</v>
      </c>
      <c r="S105" s="8">
        <v>220.86130515853799</v>
      </c>
      <c r="T105" s="8">
        <v>220.88218353256801</v>
      </c>
      <c r="U105" s="9">
        <v>5.22962617685244E-5</v>
      </c>
      <c r="V105" s="9">
        <v>1.87036028812204E-4</v>
      </c>
      <c r="W105" s="9">
        <v>2.8156316766397301E-4</v>
      </c>
      <c r="X105" s="10">
        <v>4.2922269476126003</v>
      </c>
      <c r="Y105" s="10">
        <v>4.2916660005161003</v>
      </c>
      <c r="Z105" s="10">
        <v>4.2928182723821298</v>
      </c>
      <c r="AA105" s="10">
        <v>4.2933708119225198</v>
      </c>
      <c r="AB105" s="8">
        <v>222.00788220669801</v>
      </c>
      <c r="AC105" s="8">
        <v>222.07919725513099</v>
      </c>
      <c r="AD105" s="8">
        <v>222.100162915808</v>
      </c>
      <c r="AE105" s="9">
        <v>-1.30697598556566E-4</v>
      </c>
      <c r="AF105" s="9">
        <v>1.9047837050287301E-4</v>
      </c>
      <c r="AG105" s="9">
        <v>2.84880148576668E-4</v>
      </c>
      <c r="AZ105" s="9"/>
      <c r="BB105">
        <f t="shared" si="26"/>
        <v>0</v>
      </c>
      <c r="BC105">
        <f t="shared" si="27"/>
        <v>1</v>
      </c>
      <c r="BD105">
        <f t="shared" si="28"/>
        <v>0</v>
      </c>
      <c r="BE105">
        <f t="shared" si="24"/>
        <v>1</v>
      </c>
      <c r="BF105">
        <f t="shared" si="29"/>
        <v>0</v>
      </c>
      <c r="BG105" s="9">
        <f t="shared" si="30"/>
        <v>0</v>
      </c>
      <c r="BH105" s="9">
        <f t="shared" si="31"/>
        <v>0</v>
      </c>
      <c r="BI105" s="9">
        <f t="shared" si="32"/>
        <v>0</v>
      </c>
      <c r="BJ105" s="12">
        <f t="shared" si="33"/>
        <v>9.074118809485306E-4</v>
      </c>
      <c r="BL105" s="9"/>
      <c r="BN105">
        <f t="shared" si="34"/>
        <v>0</v>
      </c>
      <c r="BO105">
        <f t="shared" si="35"/>
        <v>0</v>
      </c>
      <c r="BP105">
        <f t="shared" si="36"/>
        <v>0</v>
      </c>
      <c r="BQ105">
        <f t="shared" si="25"/>
        <v>1</v>
      </c>
      <c r="BR105">
        <f t="shared" si="37"/>
        <v>0</v>
      </c>
      <c r="BS105" s="9">
        <f t="shared" si="38"/>
        <v>0</v>
      </c>
      <c r="BT105" s="9">
        <f t="shared" si="39"/>
        <v>0</v>
      </c>
      <c r="BU105" s="9">
        <f t="shared" si="40"/>
        <v>0</v>
      </c>
      <c r="BV105" s="12">
        <f t="shared" si="41"/>
        <v>8.6756706824563014E-4</v>
      </c>
      <c r="BX105" s="12">
        <f t="shared" si="42"/>
        <v>0</v>
      </c>
      <c r="BY105" s="12">
        <f t="shared" si="43"/>
        <v>1.7749789491941607E-3</v>
      </c>
    </row>
    <row r="106" spans="1:77" x14ac:dyDescent="0.3">
      <c r="A106" s="1">
        <v>46176</v>
      </c>
      <c r="B106" s="8">
        <v>51.75</v>
      </c>
      <c r="C106" s="8">
        <v>222.17</v>
      </c>
      <c r="D106" s="9">
        <v>6.0083522161144803E-3</v>
      </c>
      <c r="E106" s="9">
        <v>6.0949645780451903E-3</v>
      </c>
      <c r="F106" s="8">
        <v>0</v>
      </c>
      <c r="G106" s="8">
        <v>0.28999999999999998</v>
      </c>
      <c r="H106" s="8">
        <v>0</v>
      </c>
      <c r="I106" s="8">
        <v>1.2169000000000001</v>
      </c>
      <c r="J106" s="8">
        <v>0.28999999999999998</v>
      </c>
      <c r="K106" s="8">
        <v>1.2169000000000001</v>
      </c>
      <c r="L106" s="8">
        <v>52.04</v>
      </c>
      <c r="M106" s="8">
        <v>223.3869</v>
      </c>
      <c r="N106" s="10">
        <v>4.2931400966183499</v>
      </c>
      <c r="O106" s="10">
        <v>4.2929927753205499</v>
      </c>
      <c r="P106" s="10">
        <v>4.2934049992609404</v>
      </c>
      <c r="Q106" s="10">
        <v>4.2938886338026503</v>
      </c>
      <c r="R106" s="8">
        <v>222.162376122838</v>
      </c>
      <c r="S106" s="8">
        <v>222.180696643734</v>
      </c>
      <c r="T106" s="8">
        <v>222.20925605151899</v>
      </c>
      <c r="U106" s="9">
        <v>-3.4316100162304301E-5</v>
      </c>
      <c r="V106" s="9">
        <v>4.8145052172932702E-5</v>
      </c>
      <c r="W106" s="9">
        <v>1.76678146367478E-4</v>
      </c>
      <c r="X106" s="10">
        <v>4.2925999231360397</v>
      </c>
      <c r="Y106" s="10">
        <v>4.2916660005161003</v>
      </c>
      <c r="Z106" s="10">
        <v>4.2928732810653196</v>
      </c>
      <c r="AA106" s="10">
        <v>4.29335982750578</v>
      </c>
      <c r="AB106" s="8">
        <v>223.33829866685801</v>
      </c>
      <c r="AC106" s="8">
        <v>223.39826289476599</v>
      </c>
      <c r="AD106" s="8">
        <v>223.42701705244801</v>
      </c>
      <c r="AE106" s="9">
        <v>-2.17589397143728E-4</v>
      </c>
      <c r="AF106" s="9">
        <v>5.08651392765996E-5</v>
      </c>
      <c r="AG106" s="9">
        <v>1.7956939578213599E-4</v>
      </c>
      <c r="AZ106" s="9"/>
      <c r="BB106">
        <f t="shared" si="26"/>
        <v>0</v>
      </c>
      <c r="BC106">
        <f t="shared" si="27"/>
        <v>1</v>
      </c>
      <c r="BD106">
        <f t="shared" si="28"/>
        <v>0</v>
      </c>
      <c r="BE106">
        <f t="shared" si="24"/>
        <v>1</v>
      </c>
      <c r="BF106">
        <f t="shared" si="29"/>
        <v>0</v>
      </c>
      <c r="BG106" s="9">
        <f t="shared" si="30"/>
        <v>0</v>
      </c>
      <c r="BH106" s="9">
        <f t="shared" si="31"/>
        <v>0</v>
      </c>
      <c r="BI106" s="9">
        <f t="shared" si="32"/>
        <v>0</v>
      </c>
      <c r="BJ106" s="12">
        <f t="shared" si="33"/>
        <v>9.074118809485306E-4</v>
      </c>
      <c r="BL106" s="9"/>
      <c r="BN106">
        <f t="shared" si="34"/>
        <v>0</v>
      </c>
      <c r="BO106">
        <f t="shared" si="35"/>
        <v>0</v>
      </c>
      <c r="BP106">
        <f t="shared" si="36"/>
        <v>0</v>
      </c>
      <c r="BQ106">
        <f t="shared" si="25"/>
        <v>1</v>
      </c>
      <c r="BR106">
        <f t="shared" si="37"/>
        <v>0</v>
      </c>
      <c r="BS106" s="9">
        <f t="shared" si="38"/>
        <v>0</v>
      </c>
      <c r="BT106" s="9">
        <f t="shared" si="39"/>
        <v>0</v>
      </c>
      <c r="BU106" s="9">
        <f t="shared" si="40"/>
        <v>0</v>
      </c>
      <c r="BV106" s="12">
        <f t="shared" si="41"/>
        <v>8.6756706824563014E-4</v>
      </c>
      <c r="BX106" s="12">
        <f t="shared" si="42"/>
        <v>0</v>
      </c>
      <c r="BY106" s="12">
        <f t="shared" si="43"/>
        <v>1.7749789491941607E-3</v>
      </c>
    </row>
    <row r="107" spans="1:77" x14ac:dyDescent="0.3">
      <c r="A107" s="1">
        <v>46177</v>
      </c>
      <c r="B107" s="8">
        <v>51.7</v>
      </c>
      <c r="C107" s="8">
        <v>221.91</v>
      </c>
      <c r="D107" s="9">
        <v>-9.6665063109498996E-4</v>
      </c>
      <c r="E107" s="9">
        <v>-1.1709603211502401E-3</v>
      </c>
      <c r="F107" s="8">
        <v>0</v>
      </c>
      <c r="G107" s="8">
        <v>0.28999999999999998</v>
      </c>
      <c r="H107" s="8">
        <v>0</v>
      </c>
      <c r="I107" s="8">
        <v>1.2169000000000001</v>
      </c>
      <c r="J107" s="8">
        <v>0.28999999999999998</v>
      </c>
      <c r="K107" s="8">
        <v>1.2169000000000001</v>
      </c>
      <c r="L107" s="8">
        <v>51.99</v>
      </c>
      <c r="M107" s="8">
        <v>223.12690000000001</v>
      </c>
      <c r="N107" s="10">
        <v>4.2922630560928399</v>
      </c>
      <c r="O107" s="10">
        <v>4.2929927753205499</v>
      </c>
      <c r="P107" s="10">
        <v>4.2931967865427296</v>
      </c>
      <c r="Q107" s="10">
        <v>4.2938397125056396</v>
      </c>
      <c r="R107" s="8">
        <v>221.94772648407201</v>
      </c>
      <c r="S107" s="8">
        <v>221.969038461791</v>
      </c>
      <c r="T107" s="8">
        <v>221.99404236759699</v>
      </c>
      <c r="U107" s="9">
        <v>1.69993589893004E-4</v>
      </c>
      <c r="V107" s="9">
        <v>2.6601148972393802E-4</v>
      </c>
      <c r="W107" s="9">
        <v>3.7865106230213999E-4</v>
      </c>
      <c r="X107" s="10">
        <v>4.2917272552413896</v>
      </c>
      <c r="Y107" s="10">
        <v>4.2916660005161003</v>
      </c>
      <c r="Z107" s="10">
        <v>4.2926636320933103</v>
      </c>
      <c r="AA107" s="10">
        <v>4.2933101717493303</v>
      </c>
      <c r="AB107" s="8">
        <v>223.12371536683199</v>
      </c>
      <c r="AC107" s="8">
        <v>223.18648188258601</v>
      </c>
      <c r="AD107" s="8">
        <v>223.211777432025</v>
      </c>
      <c r="AE107" s="9">
        <v>-1.42728460549896E-5</v>
      </c>
      <c r="AF107" s="9">
        <v>2.6699572703399297E-4</v>
      </c>
      <c r="AG107" s="9">
        <v>3.80327483772321E-4</v>
      </c>
      <c r="AZ107" s="9"/>
      <c r="BB107">
        <f t="shared" si="26"/>
        <v>0</v>
      </c>
      <c r="BC107">
        <f t="shared" si="27"/>
        <v>1</v>
      </c>
      <c r="BD107">
        <f t="shared" si="28"/>
        <v>0</v>
      </c>
      <c r="BE107">
        <f t="shared" si="24"/>
        <v>1</v>
      </c>
      <c r="BF107">
        <f t="shared" si="29"/>
        <v>0</v>
      </c>
      <c r="BG107" s="9">
        <f t="shared" si="30"/>
        <v>0</v>
      </c>
      <c r="BH107" s="9">
        <f t="shared" si="31"/>
        <v>0</v>
      </c>
      <c r="BI107" s="9">
        <f t="shared" si="32"/>
        <v>0</v>
      </c>
      <c r="BJ107" s="12">
        <f t="shared" si="33"/>
        <v>9.074118809485306E-4</v>
      </c>
      <c r="BL107" s="9"/>
      <c r="BN107">
        <f t="shared" si="34"/>
        <v>0</v>
      </c>
      <c r="BO107">
        <f t="shared" si="35"/>
        <v>0</v>
      </c>
      <c r="BP107">
        <f t="shared" si="36"/>
        <v>0</v>
      </c>
      <c r="BQ107">
        <f t="shared" si="25"/>
        <v>1</v>
      </c>
      <c r="BR107">
        <f t="shared" si="37"/>
        <v>0</v>
      </c>
      <c r="BS107" s="9">
        <f t="shared" si="38"/>
        <v>0</v>
      </c>
      <c r="BT107" s="9">
        <f t="shared" si="39"/>
        <v>0</v>
      </c>
      <c r="BU107" s="9">
        <f t="shared" si="40"/>
        <v>0</v>
      </c>
      <c r="BV107" s="12">
        <f t="shared" si="41"/>
        <v>8.6756706824563014E-4</v>
      </c>
      <c r="BX107" s="12">
        <f t="shared" si="42"/>
        <v>0</v>
      </c>
      <c r="BY107" s="12">
        <f t="shared" si="43"/>
        <v>1.7749789491941607E-3</v>
      </c>
    </row>
    <row r="108" spans="1:77" x14ac:dyDescent="0.3">
      <c r="A108" s="1">
        <v>46178</v>
      </c>
      <c r="B108" s="8">
        <v>52.57</v>
      </c>
      <c r="C108" s="8">
        <v>225.75</v>
      </c>
      <c r="D108" s="9">
        <v>1.66878333169731E-2</v>
      </c>
      <c r="E108" s="9">
        <v>1.7156298029208799E-2</v>
      </c>
      <c r="F108" s="8">
        <v>0</v>
      </c>
      <c r="G108" s="8">
        <v>0.28999999999999998</v>
      </c>
      <c r="H108" s="8">
        <v>0</v>
      </c>
      <c r="I108" s="8">
        <v>1.2169000000000001</v>
      </c>
      <c r="J108" s="8">
        <v>0.28999999999999998</v>
      </c>
      <c r="K108" s="8">
        <v>1.2169000000000001</v>
      </c>
      <c r="L108" s="8">
        <v>52.86</v>
      </c>
      <c r="M108" s="8">
        <v>226.96690000000001</v>
      </c>
      <c r="N108" s="10">
        <v>4.2942743009320896</v>
      </c>
      <c r="O108" s="10">
        <v>4.2929927753205499</v>
      </c>
      <c r="P108" s="10">
        <v>4.2931288895331301</v>
      </c>
      <c r="Q108" s="10">
        <v>4.2938568822674599</v>
      </c>
      <c r="R108" s="8">
        <v>225.682630198601</v>
      </c>
      <c r="S108" s="8">
        <v>225.693355068551</v>
      </c>
      <c r="T108" s="8">
        <v>225.72715368642099</v>
      </c>
      <c r="U108" s="9">
        <v>-2.9847112234270099E-4</v>
      </c>
      <c r="V108" s="9">
        <v>-2.5095034010275201E-4</v>
      </c>
      <c r="W108" s="9">
        <v>-1.0120695327092799E-4</v>
      </c>
      <c r="X108" s="10">
        <v>4.2937362845251599</v>
      </c>
      <c r="Y108" s="10">
        <v>4.2916660005161003</v>
      </c>
      <c r="Z108" s="10">
        <v>4.2925951709380898</v>
      </c>
      <c r="AA108" s="10">
        <v>4.29332675937827</v>
      </c>
      <c r="AB108" s="8">
        <v>226.857464787281</v>
      </c>
      <c r="AC108" s="8">
        <v>226.91019959245199</v>
      </c>
      <c r="AD108" s="8">
        <v>226.94437567867001</v>
      </c>
      <c r="AE108" s="9">
        <v>-4.8228003311788801E-4</v>
      </c>
      <c r="AF108" s="9">
        <v>-2.4984916794992601E-4</v>
      </c>
      <c r="AG108" s="9">
        <v>-9.9245480583383001E-5</v>
      </c>
      <c r="AZ108" s="9"/>
      <c r="BB108">
        <f t="shared" si="26"/>
        <v>0</v>
      </c>
      <c r="BC108">
        <f t="shared" si="27"/>
        <v>0</v>
      </c>
      <c r="BD108">
        <f t="shared" si="28"/>
        <v>0</v>
      </c>
      <c r="BE108">
        <f t="shared" si="24"/>
        <v>1</v>
      </c>
      <c r="BF108">
        <f t="shared" si="29"/>
        <v>0</v>
      </c>
      <c r="BG108" s="9">
        <f t="shared" si="30"/>
        <v>0</v>
      </c>
      <c r="BH108" s="9">
        <f t="shared" si="31"/>
        <v>0</v>
      </c>
      <c r="BI108" s="9">
        <f t="shared" si="32"/>
        <v>0</v>
      </c>
      <c r="BJ108" s="12">
        <f t="shared" si="33"/>
        <v>9.074118809485306E-4</v>
      </c>
      <c r="BL108" s="9"/>
      <c r="BN108">
        <f t="shared" si="34"/>
        <v>0</v>
      </c>
      <c r="BO108">
        <f t="shared" si="35"/>
        <v>1</v>
      </c>
      <c r="BP108">
        <f t="shared" si="36"/>
        <v>0</v>
      </c>
      <c r="BQ108">
        <f t="shared" si="25"/>
        <v>1</v>
      </c>
      <c r="BR108">
        <f t="shared" si="37"/>
        <v>0</v>
      </c>
      <c r="BS108" s="9">
        <f t="shared" si="38"/>
        <v>0</v>
      </c>
      <c r="BT108" s="9">
        <f t="shared" si="39"/>
        <v>0</v>
      </c>
      <c r="BU108" s="9">
        <f t="shared" si="40"/>
        <v>0</v>
      </c>
      <c r="BV108" s="12">
        <f t="shared" si="41"/>
        <v>8.6756706824563014E-4</v>
      </c>
      <c r="BX108" s="12">
        <f t="shared" si="42"/>
        <v>0</v>
      </c>
      <c r="BY108" s="12">
        <f t="shared" si="43"/>
        <v>1.7749789491941607E-3</v>
      </c>
    </row>
    <row r="109" spans="1:77" x14ac:dyDescent="0.3">
      <c r="A109" s="1">
        <v>46181</v>
      </c>
      <c r="B109" s="8">
        <v>52.48</v>
      </c>
      <c r="C109" s="8">
        <v>225.19</v>
      </c>
      <c r="D109" s="9">
        <v>-1.71347019552311E-3</v>
      </c>
      <c r="E109" s="9">
        <v>-2.4837019908465598E-3</v>
      </c>
      <c r="F109" s="8">
        <v>0</v>
      </c>
      <c r="G109" s="8">
        <v>0.28999999999999998</v>
      </c>
      <c r="H109" s="8">
        <v>0</v>
      </c>
      <c r="I109" s="8">
        <v>1.2169000000000001</v>
      </c>
      <c r="J109" s="8">
        <v>0.28999999999999998</v>
      </c>
      <c r="K109" s="8">
        <v>1.2169000000000001</v>
      </c>
      <c r="L109" s="8">
        <v>52.769999999999897</v>
      </c>
      <c r="M109" s="8">
        <v>226.40690000000001</v>
      </c>
      <c r="N109" s="10">
        <v>4.2909679878048701</v>
      </c>
      <c r="O109" s="10">
        <v>4.2929927753205499</v>
      </c>
      <c r="P109" s="10">
        <v>4.2928985855098798</v>
      </c>
      <c r="Q109" s="10">
        <v>4.29362916225472</v>
      </c>
      <c r="R109" s="8">
        <v>225.29626084882199</v>
      </c>
      <c r="S109" s="8">
        <v>225.30340412269899</v>
      </c>
      <c r="T109" s="8">
        <v>225.341609181396</v>
      </c>
      <c r="U109" s="9">
        <v>4.7176067298063102E-4</v>
      </c>
      <c r="V109" s="9">
        <v>5.0346630630653498E-4</v>
      </c>
      <c r="W109" s="9">
        <v>6.7302353055639398E-4</v>
      </c>
      <c r="X109" s="10">
        <v>4.2904472238014</v>
      </c>
      <c r="Y109" s="10">
        <v>4.2916660005161003</v>
      </c>
      <c r="Z109" s="10">
        <v>4.2923651210557301</v>
      </c>
      <c r="AA109" s="10">
        <v>4.2930997236486901</v>
      </c>
      <c r="AB109" s="8">
        <v>226.47121484723499</v>
      </c>
      <c r="AC109" s="8">
        <v>226.520247170403</v>
      </c>
      <c r="AD109" s="8">
        <v>226.55885309239099</v>
      </c>
      <c r="AE109" s="9">
        <v>2.8402718329243397E-4</v>
      </c>
      <c r="AF109" s="9">
        <v>5.0050951230327099E-4</v>
      </c>
      <c r="AG109" s="9">
        <v>6.7092532737389997E-4</v>
      </c>
      <c r="AZ109" s="9"/>
      <c r="BB109">
        <f t="shared" si="26"/>
        <v>0</v>
      </c>
      <c r="BC109">
        <f t="shared" si="27"/>
        <v>1</v>
      </c>
      <c r="BD109">
        <f t="shared" si="28"/>
        <v>0</v>
      </c>
      <c r="BE109">
        <f t="shared" si="24"/>
        <v>1</v>
      </c>
      <c r="BF109">
        <f t="shared" si="29"/>
        <v>0</v>
      </c>
      <c r="BG109" s="9">
        <f t="shared" si="30"/>
        <v>0</v>
      </c>
      <c r="BH109" s="9">
        <f t="shared" si="31"/>
        <v>0</v>
      </c>
      <c r="BI109" s="9">
        <f t="shared" si="32"/>
        <v>0</v>
      </c>
      <c r="BJ109" s="12">
        <f t="shared" si="33"/>
        <v>9.074118809485306E-4</v>
      </c>
      <c r="BL109" s="9"/>
      <c r="BN109">
        <f t="shared" si="34"/>
        <v>0</v>
      </c>
      <c r="BO109">
        <f t="shared" si="35"/>
        <v>0</v>
      </c>
      <c r="BP109">
        <f t="shared" si="36"/>
        <v>0</v>
      </c>
      <c r="BQ109">
        <f t="shared" si="25"/>
        <v>1</v>
      </c>
      <c r="BR109">
        <f t="shared" si="37"/>
        <v>0</v>
      </c>
      <c r="BS109" s="9">
        <f t="shared" si="38"/>
        <v>0</v>
      </c>
      <c r="BT109" s="9">
        <f t="shared" si="39"/>
        <v>0</v>
      </c>
      <c r="BU109" s="9">
        <f t="shared" si="40"/>
        <v>0</v>
      </c>
      <c r="BV109" s="12">
        <f t="shared" si="41"/>
        <v>8.6756706824563014E-4</v>
      </c>
      <c r="BX109" s="12">
        <f t="shared" si="42"/>
        <v>0</v>
      </c>
      <c r="BY109" s="12">
        <f t="shared" si="43"/>
        <v>1.7749789491941607E-3</v>
      </c>
    </row>
    <row r="110" spans="1:77" x14ac:dyDescent="0.3">
      <c r="A110" s="1">
        <v>46182</v>
      </c>
      <c r="B110" s="8">
        <v>52.98</v>
      </c>
      <c r="C110" s="8">
        <v>227.52</v>
      </c>
      <c r="D110" s="9">
        <v>9.4823392080900393E-3</v>
      </c>
      <c r="E110" s="9">
        <v>1.02936563086278E-2</v>
      </c>
      <c r="F110" s="8">
        <v>0</v>
      </c>
      <c r="G110" s="8">
        <v>0.28999999999999998</v>
      </c>
      <c r="H110" s="8">
        <v>0</v>
      </c>
      <c r="I110" s="8">
        <v>1.2169000000000001</v>
      </c>
      <c r="J110" s="8">
        <v>0.28999999999999998</v>
      </c>
      <c r="K110" s="8">
        <v>1.2169000000000001</v>
      </c>
      <c r="L110" s="8">
        <v>53.269999999999897</v>
      </c>
      <c r="M110" s="8">
        <v>228.73689999999999</v>
      </c>
      <c r="N110" s="10">
        <v>4.2944507361268398</v>
      </c>
      <c r="O110" s="10">
        <v>4.2929927753205499</v>
      </c>
      <c r="P110" s="10">
        <v>4.2931683036723296</v>
      </c>
      <c r="Q110" s="10">
        <v>4.2936535858535096</v>
      </c>
      <c r="R110" s="8">
        <v>227.44275723648201</v>
      </c>
      <c r="S110" s="8">
        <v>227.43776706031301</v>
      </c>
      <c r="T110" s="8">
        <v>227.476473016255</v>
      </c>
      <c r="U110" s="9">
        <v>-3.3955642755712602E-4</v>
      </c>
      <c r="V110" s="9">
        <v>-3.6149702911102897E-4</v>
      </c>
      <c r="W110" s="9">
        <v>-1.9132888476719399E-4</v>
      </c>
      <c r="X110" s="10">
        <v>4.2939159001313998</v>
      </c>
      <c r="Y110" s="10">
        <v>4.2916660005161003</v>
      </c>
      <c r="Z110" s="10">
        <v>4.2926335964384004</v>
      </c>
      <c r="AA110" s="10">
        <v>4.2931240042998402</v>
      </c>
      <c r="AB110" s="8">
        <v>228.61704784749301</v>
      </c>
      <c r="AC110" s="8">
        <v>228.654289998639</v>
      </c>
      <c r="AD110" s="8">
        <v>228.69342227876501</v>
      </c>
      <c r="AE110" s="9">
        <v>-5.2411116516878095E-4</v>
      </c>
      <c r="AF110" s="9">
        <v>-3.6122253364552801E-4</v>
      </c>
      <c r="AG110" s="9">
        <v>-1.9009549322689101E-4</v>
      </c>
      <c r="AZ110" s="9"/>
      <c r="BB110">
        <f t="shared" si="26"/>
        <v>0</v>
      </c>
      <c r="BC110">
        <f t="shared" si="27"/>
        <v>0</v>
      </c>
      <c r="BD110">
        <f t="shared" si="28"/>
        <v>0</v>
      </c>
      <c r="BE110">
        <f t="shared" si="24"/>
        <v>1</v>
      </c>
      <c r="BF110">
        <f t="shared" si="29"/>
        <v>0</v>
      </c>
      <c r="BG110" s="9">
        <f t="shared" si="30"/>
        <v>0</v>
      </c>
      <c r="BH110" s="9">
        <f t="shared" si="31"/>
        <v>0</v>
      </c>
      <c r="BI110" s="9">
        <f t="shared" si="32"/>
        <v>0</v>
      </c>
      <c r="BJ110" s="12">
        <f t="shared" si="33"/>
        <v>9.074118809485306E-4</v>
      </c>
      <c r="BL110" s="9"/>
      <c r="BN110">
        <f t="shared" si="34"/>
        <v>0</v>
      </c>
      <c r="BO110">
        <f t="shared" si="35"/>
        <v>1</v>
      </c>
      <c r="BP110">
        <f t="shared" si="36"/>
        <v>0</v>
      </c>
      <c r="BQ110">
        <f t="shared" si="25"/>
        <v>1</v>
      </c>
      <c r="BR110">
        <f t="shared" si="37"/>
        <v>0</v>
      </c>
      <c r="BS110" s="9">
        <f t="shared" si="38"/>
        <v>0</v>
      </c>
      <c r="BT110" s="9">
        <f t="shared" si="39"/>
        <v>0</v>
      </c>
      <c r="BU110" s="9">
        <f t="shared" si="40"/>
        <v>0</v>
      </c>
      <c r="BV110" s="12">
        <f t="shared" si="41"/>
        <v>8.6756706824563014E-4</v>
      </c>
      <c r="BX110" s="12">
        <f t="shared" si="42"/>
        <v>0</v>
      </c>
      <c r="BY110" s="12">
        <f t="shared" si="43"/>
        <v>1.7749789491941607E-3</v>
      </c>
    </row>
    <row r="111" spans="1:77" x14ac:dyDescent="0.3">
      <c r="A111" s="1">
        <v>46183</v>
      </c>
      <c r="B111" s="8">
        <v>53.91</v>
      </c>
      <c r="C111" s="8">
        <v>231.33</v>
      </c>
      <c r="D111" s="9">
        <v>1.7401505619653701E-2</v>
      </c>
      <c r="E111" s="9">
        <v>1.6607115898103E-2</v>
      </c>
      <c r="F111" s="8">
        <v>0</v>
      </c>
      <c r="G111" s="8">
        <v>0.28999999999999998</v>
      </c>
      <c r="H111" s="8">
        <v>0</v>
      </c>
      <c r="I111" s="8">
        <v>1.2169000000000001</v>
      </c>
      <c r="J111" s="8">
        <v>0.28999999999999998</v>
      </c>
      <c r="K111" s="8">
        <v>1.2169000000000001</v>
      </c>
      <c r="L111" s="8">
        <v>54.199999999999903</v>
      </c>
      <c r="M111" s="8">
        <v>232.54689999999999</v>
      </c>
      <c r="N111" s="10">
        <v>4.2910406232609901</v>
      </c>
      <c r="O111" s="10">
        <v>4.2929927753205499</v>
      </c>
      <c r="P111" s="10">
        <v>4.2928617053377698</v>
      </c>
      <c r="Q111" s="10">
        <v>4.2934635793931699</v>
      </c>
      <c r="R111" s="8">
        <v>231.43524051752999</v>
      </c>
      <c r="S111" s="8">
        <v>231.44470325097501</v>
      </c>
      <c r="T111" s="8">
        <v>231.47086481336299</v>
      </c>
      <c r="U111" s="9">
        <v>4.5483329399385799E-4</v>
      </c>
      <c r="V111" s="9">
        <v>4.9571963427866403E-4</v>
      </c>
      <c r="W111" s="9">
        <v>6.0874915508196301E-4</v>
      </c>
      <c r="X111" s="10">
        <v>4.2905332103321001</v>
      </c>
      <c r="Y111" s="10">
        <v>4.2916660005161003</v>
      </c>
      <c r="Z111" s="10">
        <v>4.2923292546005998</v>
      </c>
      <c r="AA111" s="10">
        <v>4.2929351220228202</v>
      </c>
      <c r="AB111" s="8">
        <v>232.608297227973</v>
      </c>
      <c r="AC111" s="8">
        <v>232.66074092696101</v>
      </c>
      <c r="AD111" s="8">
        <v>232.68732103305101</v>
      </c>
      <c r="AE111" s="9">
        <v>2.6398599304283801E-4</v>
      </c>
      <c r="AF111" s="9">
        <v>4.8941985994569001E-4</v>
      </c>
      <c r="AG111" s="9">
        <v>6.03657387902236E-4</v>
      </c>
      <c r="AZ111" s="9"/>
      <c r="BB111">
        <f t="shared" si="26"/>
        <v>0</v>
      </c>
      <c r="BC111">
        <f t="shared" si="27"/>
        <v>1</v>
      </c>
      <c r="BD111">
        <f t="shared" si="28"/>
        <v>0</v>
      </c>
      <c r="BE111">
        <f t="shared" si="24"/>
        <v>1</v>
      </c>
      <c r="BF111">
        <f t="shared" si="29"/>
        <v>0</v>
      </c>
      <c r="BG111" s="9">
        <f t="shared" si="30"/>
        <v>0</v>
      </c>
      <c r="BH111" s="9">
        <f t="shared" si="31"/>
        <v>0</v>
      </c>
      <c r="BI111" s="9">
        <f t="shared" si="32"/>
        <v>0</v>
      </c>
      <c r="BJ111" s="12">
        <f t="shared" si="33"/>
        <v>9.074118809485306E-4</v>
      </c>
      <c r="BL111" s="9"/>
      <c r="BN111">
        <f t="shared" si="34"/>
        <v>0</v>
      </c>
      <c r="BO111">
        <f t="shared" si="35"/>
        <v>0</v>
      </c>
      <c r="BP111">
        <f t="shared" si="36"/>
        <v>0</v>
      </c>
      <c r="BQ111">
        <f t="shared" si="25"/>
        <v>1</v>
      </c>
      <c r="BR111">
        <f t="shared" si="37"/>
        <v>0</v>
      </c>
      <c r="BS111" s="9">
        <f t="shared" si="38"/>
        <v>0</v>
      </c>
      <c r="BT111" s="9">
        <f t="shared" si="39"/>
        <v>0</v>
      </c>
      <c r="BU111" s="9">
        <f t="shared" si="40"/>
        <v>0</v>
      </c>
      <c r="BV111" s="12">
        <f t="shared" si="41"/>
        <v>8.6756706824563014E-4</v>
      </c>
      <c r="BX111" s="12">
        <f t="shared" si="42"/>
        <v>0</v>
      </c>
      <c r="BY111" s="12">
        <f t="shared" si="43"/>
        <v>1.7749789491941607E-3</v>
      </c>
    </row>
    <row r="112" spans="1:77" x14ac:dyDescent="0.3">
      <c r="A112" s="1">
        <v>46184</v>
      </c>
      <c r="B112" s="8">
        <v>53.74</v>
      </c>
      <c r="C112" s="8">
        <v>230.74</v>
      </c>
      <c r="D112" s="9">
        <v>-3.1583862762320802E-3</v>
      </c>
      <c r="E112" s="9">
        <v>-2.55372701383534E-3</v>
      </c>
      <c r="F112" s="8">
        <v>0</v>
      </c>
      <c r="G112" s="8">
        <v>0.28999999999999998</v>
      </c>
      <c r="H112" s="8">
        <v>0</v>
      </c>
      <c r="I112" s="8">
        <v>1.2169000000000001</v>
      </c>
      <c r="J112" s="8">
        <v>0.28999999999999998</v>
      </c>
      <c r="K112" s="8">
        <v>1.2169000000000001</v>
      </c>
      <c r="L112" s="8">
        <v>54.03</v>
      </c>
      <c r="M112" s="8">
        <v>231.95689999999999</v>
      </c>
      <c r="N112" s="10">
        <v>4.2936360253070296</v>
      </c>
      <c r="O112" s="10">
        <v>4.2929927753205499</v>
      </c>
      <c r="P112" s="10">
        <v>4.2930061168995204</v>
      </c>
      <c r="Q112" s="10">
        <v>4.2934471448182201</v>
      </c>
      <c r="R112" s="8">
        <v>230.705431745726</v>
      </c>
      <c r="S112" s="8">
        <v>230.69838804485099</v>
      </c>
      <c r="T112" s="8">
        <v>230.73073275658899</v>
      </c>
      <c r="U112" s="9">
        <v>-1.4982596840292501E-4</v>
      </c>
      <c r="V112" s="9">
        <v>-1.8035757899184399E-4</v>
      </c>
      <c r="W112" s="9">
        <v>-4.0163948672225901E-5</v>
      </c>
      <c r="X112" s="10">
        <v>4.2931130853229602</v>
      </c>
      <c r="Y112" s="10">
        <v>4.2916660005161003</v>
      </c>
      <c r="Z112" s="10">
        <v>4.2924734598394902</v>
      </c>
      <c r="AA112" s="10">
        <v>4.2929187223547203</v>
      </c>
      <c r="AB112" s="8">
        <v>231.87871400788501</v>
      </c>
      <c r="AC112" s="8">
        <v>231.91454962607</v>
      </c>
      <c r="AD112" s="8">
        <v>231.94728464289301</v>
      </c>
      <c r="AE112" s="9">
        <v>-3.3712802766302499E-4</v>
      </c>
      <c r="AF112" s="9">
        <v>-1.82595303422496E-4</v>
      </c>
      <c r="AG112" s="9">
        <v>-4.1454064983744602E-5</v>
      </c>
      <c r="AZ112" s="9"/>
      <c r="BB112">
        <f t="shared" si="26"/>
        <v>0</v>
      </c>
      <c r="BC112">
        <f t="shared" si="27"/>
        <v>0</v>
      </c>
      <c r="BD112">
        <f t="shared" si="28"/>
        <v>0</v>
      </c>
      <c r="BE112">
        <f t="shared" si="24"/>
        <v>1</v>
      </c>
      <c r="BF112">
        <f t="shared" si="29"/>
        <v>0</v>
      </c>
      <c r="BG112" s="9">
        <f t="shared" si="30"/>
        <v>0</v>
      </c>
      <c r="BH112" s="9">
        <f t="shared" si="31"/>
        <v>0</v>
      </c>
      <c r="BI112" s="9">
        <f t="shared" si="32"/>
        <v>0</v>
      </c>
      <c r="BJ112" s="12">
        <f t="shared" si="33"/>
        <v>9.074118809485306E-4</v>
      </c>
      <c r="BL112" s="9"/>
      <c r="BN112">
        <f t="shared" si="34"/>
        <v>0</v>
      </c>
      <c r="BO112">
        <f t="shared" si="35"/>
        <v>1</v>
      </c>
      <c r="BP112">
        <f t="shared" si="36"/>
        <v>0</v>
      </c>
      <c r="BQ112">
        <f t="shared" si="25"/>
        <v>1</v>
      </c>
      <c r="BR112">
        <f t="shared" si="37"/>
        <v>0</v>
      </c>
      <c r="BS112" s="9">
        <f t="shared" si="38"/>
        <v>0</v>
      </c>
      <c r="BT112" s="9">
        <f t="shared" si="39"/>
        <v>0</v>
      </c>
      <c r="BU112" s="9">
        <f t="shared" si="40"/>
        <v>0</v>
      </c>
      <c r="BV112" s="12">
        <f t="shared" si="41"/>
        <v>8.6756706824563014E-4</v>
      </c>
      <c r="BX112" s="12">
        <f t="shared" si="42"/>
        <v>0</v>
      </c>
      <c r="BY112" s="12">
        <f t="shared" si="43"/>
        <v>1.7749789491941607E-3</v>
      </c>
    </row>
    <row r="113" spans="1:77" x14ac:dyDescent="0.3">
      <c r="A113" s="1">
        <v>46185</v>
      </c>
      <c r="B113" s="8">
        <v>54.11</v>
      </c>
      <c r="C113" s="8">
        <v>232.25</v>
      </c>
      <c r="D113" s="9">
        <v>6.8614084672987304E-3</v>
      </c>
      <c r="E113" s="9">
        <v>6.5228421948041503E-3</v>
      </c>
      <c r="F113" s="8">
        <v>0</v>
      </c>
      <c r="G113" s="8">
        <v>0.28999999999999998</v>
      </c>
      <c r="H113" s="8">
        <v>0</v>
      </c>
      <c r="I113" s="8">
        <v>1.2169000000000001</v>
      </c>
      <c r="J113" s="8">
        <v>0.28999999999999998</v>
      </c>
      <c r="K113" s="8">
        <v>1.2169000000000001</v>
      </c>
      <c r="L113" s="8">
        <v>54.4</v>
      </c>
      <c r="M113" s="8">
        <v>233.46690000000001</v>
      </c>
      <c r="N113" s="10">
        <v>4.2921825910182898</v>
      </c>
      <c r="O113" s="10">
        <v>4.2929927753205499</v>
      </c>
      <c r="P113" s="10">
        <v>4.2928442186419096</v>
      </c>
      <c r="Q113" s="10">
        <v>4.29327849659136</v>
      </c>
      <c r="R113" s="8">
        <v>232.29383907259501</v>
      </c>
      <c r="S113" s="8">
        <v>232.29456098543301</v>
      </c>
      <c r="T113" s="8">
        <v>232.31842500611401</v>
      </c>
      <c r="U113" s="9">
        <v>1.8874030409147399E-4</v>
      </c>
      <c r="V113" s="9">
        <v>1.9184805640707199E-4</v>
      </c>
      <c r="W113" s="9">
        <v>2.9457450367285101E-4</v>
      </c>
      <c r="X113" s="10">
        <v>4.29167095588235</v>
      </c>
      <c r="Y113" s="10">
        <v>4.2916660005161003</v>
      </c>
      <c r="Z113" s="10">
        <v>4.2923144103895599</v>
      </c>
      <c r="AA113" s="10">
        <v>4.2927510268259503</v>
      </c>
      <c r="AB113" s="8">
        <v>233.466630428076</v>
      </c>
      <c r="AC113" s="8">
        <v>233.510556215268</v>
      </c>
      <c r="AD113" s="8">
        <v>233.534778496097</v>
      </c>
      <c r="AE113" s="9">
        <v>-1.15464795782952E-6</v>
      </c>
      <c r="AF113" s="9">
        <v>1.8697354578696001E-4</v>
      </c>
      <c r="AG113" s="9">
        <v>2.9069915463161698E-4</v>
      </c>
      <c r="AZ113" s="9"/>
      <c r="BB113">
        <f t="shared" si="26"/>
        <v>0</v>
      </c>
      <c r="BC113">
        <f t="shared" si="27"/>
        <v>1</v>
      </c>
      <c r="BD113">
        <f t="shared" si="28"/>
        <v>0</v>
      </c>
      <c r="BE113">
        <f t="shared" si="24"/>
        <v>1</v>
      </c>
      <c r="BF113">
        <f t="shared" si="29"/>
        <v>0</v>
      </c>
      <c r="BG113" s="9">
        <f t="shared" si="30"/>
        <v>0</v>
      </c>
      <c r="BH113" s="9">
        <f t="shared" si="31"/>
        <v>0</v>
      </c>
      <c r="BI113" s="9">
        <f t="shared" si="32"/>
        <v>0</v>
      </c>
      <c r="BJ113" s="12">
        <f t="shared" si="33"/>
        <v>9.074118809485306E-4</v>
      </c>
      <c r="BL113" s="9"/>
      <c r="BN113">
        <f t="shared" si="34"/>
        <v>0</v>
      </c>
      <c r="BO113">
        <f t="shared" si="35"/>
        <v>0</v>
      </c>
      <c r="BP113">
        <f t="shared" si="36"/>
        <v>0</v>
      </c>
      <c r="BQ113">
        <f t="shared" si="25"/>
        <v>1</v>
      </c>
      <c r="BR113">
        <f t="shared" si="37"/>
        <v>0</v>
      </c>
      <c r="BS113" s="9">
        <f t="shared" si="38"/>
        <v>0</v>
      </c>
      <c r="BT113" s="9">
        <f t="shared" si="39"/>
        <v>0</v>
      </c>
      <c r="BU113" s="9">
        <f t="shared" si="40"/>
        <v>0</v>
      </c>
      <c r="BV113" s="12">
        <f t="shared" si="41"/>
        <v>8.6756706824563014E-4</v>
      </c>
      <c r="BX113" s="12">
        <f t="shared" si="42"/>
        <v>0</v>
      </c>
      <c r="BY113" s="12">
        <f t="shared" si="43"/>
        <v>1.7749789491941607E-3</v>
      </c>
    </row>
    <row r="114" spans="1:77" x14ac:dyDescent="0.3">
      <c r="A114" s="1">
        <v>46188</v>
      </c>
      <c r="B114" s="8">
        <v>53.93</v>
      </c>
      <c r="C114" s="8">
        <v>231.48</v>
      </c>
      <c r="D114" s="9">
        <v>-3.3321023055082602E-3</v>
      </c>
      <c r="E114" s="9">
        <v>-3.3209009883099099E-3</v>
      </c>
      <c r="F114" s="8">
        <v>0</v>
      </c>
      <c r="G114" s="8">
        <v>0.28999999999999998</v>
      </c>
      <c r="H114" s="8">
        <v>0</v>
      </c>
      <c r="I114" s="8">
        <v>1.2169000000000001</v>
      </c>
      <c r="J114" s="8">
        <v>0.28999999999999998</v>
      </c>
      <c r="K114" s="8">
        <v>1.2169000000000001</v>
      </c>
      <c r="L114" s="8">
        <v>54.22</v>
      </c>
      <c r="M114" s="8">
        <v>232.6969</v>
      </c>
      <c r="N114" s="10">
        <v>4.2922306693862398</v>
      </c>
      <c r="O114" s="10">
        <v>4.2929927753205499</v>
      </c>
      <c r="P114" s="10">
        <v>4.2926954360264498</v>
      </c>
      <c r="Q114" s="10">
        <v>4.2931333435822197</v>
      </c>
      <c r="R114" s="8">
        <v>231.521100373037</v>
      </c>
      <c r="S114" s="8">
        <v>231.51308871135799</v>
      </c>
      <c r="T114" s="8">
        <v>231.53650932117199</v>
      </c>
      <c r="U114" s="9">
        <v>1.77538986893084E-4</v>
      </c>
      <c r="V114" s="9">
        <v>1.4293393237093901E-4</v>
      </c>
      <c r="W114" s="9">
        <v>2.4409203695862901E-4</v>
      </c>
      <c r="X114" s="10">
        <v>4.2917170785687899</v>
      </c>
      <c r="Y114" s="10">
        <v>4.2916660005161003</v>
      </c>
      <c r="Z114" s="10">
        <v>4.2921687864554201</v>
      </c>
      <c r="AA114" s="10">
        <v>4.2926066941665404</v>
      </c>
      <c r="AB114" s="8">
        <v>232.69413054798301</v>
      </c>
      <c r="AC114" s="8">
        <v>232.72928733132099</v>
      </c>
      <c r="AD114" s="8">
        <v>232.75296067450299</v>
      </c>
      <c r="AE114" s="9">
        <v>-1.1901613201874099E-5</v>
      </c>
      <c r="AF114" s="9">
        <v>1.39172793692406E-4</v>
      </c>
      <c r="AG114" s="9">
        <v>2.4088813644870401E-4</v>
      </c>
      <c r="AZ114" s="9"/>
      <c r="BB114">
        <f t="shared" si="26"/>
        <v>0</v>
      </c>
      <c r="BC114">
        <f t="shared" si="27"/>
        <v>1</v>
      </c>
      <c r="BD114">
        <f t="shared" si="28"/>
        <v>0</v>
      </c>
      <c r="BE114">
        <f t="shared" si="24"/>
        <v>1</v>
      </c>
      <c r="BF114">
        <f t="shared" si="29"/>
        <v>0</v>
      </c>
      <c r="BG114" s="9">
        <f t="shared" si="30"/>
        <v>0</v>
      </c>
      <c r="BH114" s="9">
        <f t="shared" si="31"/>
        <v>0</v>
      </c>
      <c r="BI114" s="9">
        <f t="shared" si="32"/>
        <v>0</v>
      </c>
      <c r="BJ114" s="12">
        <f t="shared" si="33"/>
        <v>9.074118809485306E-4</v>
      </c>
      <c r="BL114" s="9"/>
      <c r="BN114">
        <f t="shared" si="34"/>
        <v>0</v>
      </c>
      <c r="BO114">
        <f t="shared" si="35"/>
        <v>0</v>
      </c>
      <c r="BP114">
        <f t="shared" si="36"/>
        <v>0</v>
      </c>
      <c r="BQ114">
        <f t="shared" si="25"/>
        <v>1</v>
      </c>
      <c r="BR114">
        <f t="shared" si="37"/>
        <v>0</v>
      </c>
      <c r="BS114" s="9">
        <f t="shared" si="38"/>
        <v>0</v>
      </c>
      <c r="BT114" s="9">
        <f t="shared" si="39"/>
        <v>0</v>
      </c>
      <c r="BU114" s="9">
        <f t="shared" si="40"/>
        <v>0</v>
      </c>
      <c r="BV114" s="12">
        <f t="shared" si="41"/>
        <v>8.6756706824563014E-4</v>
      </c>
      <c r="BX114" s="12">
        <f t="shared" si="42"/>
        <v>0</v>
      </c>
      <c r="BY114" s="12">
        <f t="shared" si="43"/>
        <v>1.7749789491941607E-3</v>
      </c>
    </row>
    <row r="115" spans="1:77" x14ac:dyDescent="0.3">
      <c r="A115" s="1">
        <v>46189</v>
      </c>
      <c r="B115" s="8">
        <v>54.01</v>
      </c>
      <c r="C115" s="8">
        <v>231.64</v>
      </c>
      <c r="D115" s="9">
        <v>1.48230525566397E-3</v>
      </c>
      <c r="E115" s="9">
        <v>6.9096565195112002E-4</v>
      </c>
      <c r="F115" s="8">
        <v>0</v>
      </c>
      <c r="G115" s="8">
        <v>0.28999999999999998</v>
      </c>
      <c r="H115" s="8">
        <v>0</v>
      </c>
      <c r="I115" s="8">
        <v>1.2169000000000001</v>
      </c>
      <c r="J115" s="8">
        <v>0.28999999999999998</v>
      </c>
      <c r="K115" s="8">
        <v>1.2169000000000001</v>
      </c>
      <c r="L115" s="8">
        <v>54.3</v>
      </c>
      <c r="M115" s="8">
        <v>232.8569</v>
      </c>
      <c r="N115" s="10">
        <v>4.2888354008516902</v>
      </c>
      <c r="O115" s="10">
        <v>4.2929927753205499</v>
      </c>
      <c r="P115" s="10">
        <v>4.2923021487399202</v>
      </c>
      <c r="Q115" s="10">
        <v>4.2928244718939599</v>
      </c>
      <c r="R115" s="8">
        <v>231.864539795063</v>
      </c>
      <c r="S115" s="8">
        <v>231.848480499788</v>
      </c>
      <c r="T115" s="8">
        <v>231.872131886875</v>
      </c>
      <c r="U115" s="9">
        <v>9.68878590606261E-4</v>
      </c>
      <c r="V115" s="9">
        <v>8.99614651152856E-4</v>
      </c>
      <c r="W115" s="9">
        <v>1.00162170659012E-3</v>
      </c>
      <c r="X115" s="10">
        <v>4.28834069981583</v>
      </c>
      <c r="Y115" s="10">
        <v>4.2916660005161003</v>
      </c>
      <c r="Z115" s="10">
        <v>4.2917801616757396</v>
      </c>
      <c r="AA115" s="10">
        <v>4.2922992170289396</v>
      </c>
      <c r="AB115" s="8">
        <v>233.03746382802399</v>
      </c>
      <c r="AC115" s="8">
        <v>233.06476510452899</v>
      </c>
      <c r="AD115" s="8">
        <v>233.08854349324301</v>
      </c>
      <c r="AE115" s="9">
        <v>7.7512780185494705E-4</v>
      </c>
      <c r="AF115" s="9">
        <v>8.9227496332009099E-4</v>
      </c>
      <c r="AG115" s="9">
        <v>9.9429457058644501E-4</v>
      </c>
      <c r="AZ115" s="9"/>
      <c r="BB115">
        <f t="shared" si="26"/>
        <v>0</v>
      </c>
      <c r="BC115">
        <f t="shared" si="27"/>
        <v>1</v>
      </c>
      <c r="BD115">
        <f t="shared" si="28"/>
        <v>0</v>
      </c>
      <c r="BE115">
        <f t="shared" si="24"/>
        <v>1</v>
      </c>
      <c r="BF115">
        <f t="shared" si="29"/>
        <v>0</v>
      </c>
      <c r="BG115" s="9">
        <f t="shared" si="30"/>
        <v>0</v>
      </c>
      <c r="BH115" s="9">
        <f t="shared" si="31"/>
        <v>0</v>
      </c>
      <c r="BI115" s="9">
        <f t="shared" si="32"/>
        <v>0</v>
      </c>
      <c r="BJ115" s="12">
        <f t="shared" si="33"/>
        <v>9.074118809485306E-4</v>
      </c>
      <c r="BL115" s="9"/>
      <c r="BN115">
        <f t="shared" si="34"/>
        <v>1</v>
      </c>
      <c r="BO115">
        <f t="shared" si="35"/>
        <v>0</v>
      </c>
      <c r="BP115">
        <f t="shared" si="36"/>
        <v>0</v>
      </c>
      <c r="BQ115">
        <f t="shared" si="25"/>
        <v>1</v>
      </c>
      <c r="BR115">
        <f t="shared" si="37"/>
        <v>0</v>
      </c>
      <c r="BS115" s="9">
        <f t="shared" si="38"/>
        <v>0</v>
      </c>
      <c r="BT115" s="9">
        <f t="shared" si="39"/>
        <v>0</v>
      </c>
      <c r="BU115" s="9">
        <f t="shared" si="40"/>
        <v>0</v>
      </c>
      <c r="BV115" s="12">
        <f t="shared" si="41"/>
        <v>8.6756706824563014E-4</v>
      </c>
      <c r="BX115" s="12">
        <f t="shared" si="42"/>
        <v>0</v>
      </c>
      <c r="BY115" s="12">
        <f t="shared" si="43"/>
        <v>1.7749789491941607E-3</v>
      </c>
    </row>
    <row r="116" spans="1:77" x14ac:dyDescent="0.3">
      <c r="A116" s="1">
        <v>46190</v>
      </c>
      <c r="B116" s="8">
        <v>52.9</v>
      </c>
      <c r="C116" s="8">
        <v>227.01</v>
      </c>
      <c r="D116" s="9">
        <v>-2.0765875740545999E-2</v>
      </c>
      <c r="E116" s="9">
        <v>-2.0190372983049099E-2</v>
      </c>
      <c r="F116" s="8">
        <v>0</v>
      </c>
      <c r="G116" s="8">
        <v>0.28999999999999998</v>
      </c>
      <c r="H116" s="8">
        <v>0</v>
      </c>
      <c r="I116" s="8">
        <v>1.2169000000000001</v>
      </c>
      <c r="J116" s="8">
        <v>0.28999999999999998</v>
      </c>
      <c r="K116" s="8">
        <v>1.2169000000000001</v>
      </c>
      <c r="L116" s="8">
        <v>53.19</v>
      </c>
      <c r="M116" s="8">
        <v>228.2269</v>
      </c>
      <c r="N116" s="10">
        <v>4.2913043478260802</v>
      </c>
      <c r="O116" s="10">
        <v>4.2929927753205499</v>
      </c>
      <c r="P116" s="10">
        <v>4.2921185738606997</v>
      </c>
      <c r="Q116" s="10">
        <v>4.2927617865608196</v>
      </c>
      <c r="R116" s="8">
        <v>227.09931781445701</v>
      </c>
      <c r="S116" s="8">
        <v>227.06278366834201</v>
      </c>
      <c r="T116" s="8">
        <v>227.09041456319</v>
      </c>
      <c r="U116" s="9">
        <v>3.9337583310925298E-4</v>
      </c>
      <c r="V116" s="9">
        <v>2.32489902404705E-4</v>
      </c>
      <c r="W116" s="9">
        <v>3.5417084614985901E-4</v>
      </c>
      <c r="X116" s="10">
        <v>4.2907858620041299</v>
      </c>
      <c r="Y116" s="10">
        <v>4.2916660005161003</v>
      </c>
      <c r="Z116" s="10">
        <v>4.2915987555625499</v>
      </c>
      <c r="AA116" s="10">
        <v>4.2922360183139396</v>
      </c>
      <c r="AB116" s="8">
        <v>228.27371456745101</v>
      </c>
      <c r="AC116" s="8">
        <v>228.27978679953301</v>
      </c>
      <c r="AD116" s="8">
        <v>228.30739535376901</v>
      </c>
      <c r="AE116" s="9">
        <v>2.0510188210932299E-4</v>
      </c>
      <c r="AF116" s="9">
        <v>2.3170219100366899E-4</v>
      </c>
      <c r="AG116" s="9">
        <v>3.5263661645024402E-4</v>
      </c>
      <c r="AZ116" s="9"/>
      <c r="BB116">
        <f t="shared" si="26"/>
        <v>0</v>
      </c>
      <c r="BC116">
        <f t="shared" si="27"/>
        <v>1</v>
      </c>
      <c r="BD116">
        <f t="shared" si="28"/>
        <v>0</v>
      </c>
      <c r="BE116">
        <f t="shared" si="24"/>
        <v>0</v>
      </c>
      <c r="BF116">
        <f t="shared" si="29"/>
        <v>0</v>
      </c>
      <c r="BG116" s="9">
        <f t="shared" si="30"/>
        <v>0</v>
      </c>
      <c r="BH116" s="9">
        <f t="shared" si="31"/>
        <v>0</v>
      </c>
      <c r="BI116" s="9">
        <f t="shared" si="32"/>
        <v>0</v>
      </c>
      <c r="BJ116" s="12">
        <f t="shared" si="33"/>
        <v>9.074118809485306E-4</v>
      </c>
      <c r="BL116" s="9"/>
      <c r="BN116">
        <f t="shared" si="34"/>
        <v>0</v>
      </c>
      <c r="BO116">
        <f t="shared" si="35"/>
        <v>0</v>
      </c>
      <c r="BP116">
        <f t="shared" si="36"/>
        <v>1</v>
      </c>
      <c r="BQ116">
        <f t="shared" si="25"/>
        <v>0</v>
      </c>
      <c r="BR116">
        <f t="shared" si="37"/>
        <v>1</v>
      </c>
      <c r="BS116" s="9">
        <f t="shared" si="38"/>
        <v>2.0765875740545999E-2</v>
      </c>
      <c r="BT116" s="9">
        <f t="shared" si="39"/>
        <v>-2.0190372983049099E-2</v>
      </c>
      <c r="BU116" s="9">
        <f t="shared" si="40"/>
        <v>5.7550275749690058E-4</v>
      </c>
      <c r="BV116" s="12">
        <f t="shared" si="41"/>
        <v>1.4430698257425307E-3</v>
      </c>
      <c r="BX116" s="12">
        <f t="shared" si="42"/>
        <v>5.7550275749690058E-4</v>
      </c>
      <c r="BY116" s="12">
        <f t="shared" si="43"/>
        <v>2.3504817066910613E-3</v>
      </c>
    </row>
    <row r="117" spans="1:77" x14ac:dyDescent="0.3">
      <c r="A117" s="1">
        <v>46191</v>
      </c>
      <c r="B117" s="8">
        <v>52.41</v>
      </c>
      <c r="C117" s="8">
        <v>226.11</v>
      </c>
      <c r="D117" s="9">
        <v>-9.3059260501788098E-3</v>
      </c>
      <c r="E117" s="9">
        <v>-3.9724628510515699E-3</v>
      </c>
      <c r="F117" s="8">
        <v>0.29599999999999999</v>
      </c>
      <c r="G117" s="8">
        <v>0.58599999999999997</v>
      </c>
      <c r="H117" s="8">
        <v>0</v>
      </c>
      <c r="I117" s="8">
        <v>1.2169000000000001</v>
      </c>
      <c r="J117" s="8">
        <v>0.58599999999999997</v>
      </c>
      <c r="K117" s="8">
        <v>1.2169000000000001</v>
      </c>
      <c r="L117" s="8">
        <v>52.995999999999903</v>
      </c>
      <c r="M117" s="8">
        <v>227.32689999999999</v>
      </c>
      <c r="N117" s="10">
        <v>4.3142530051516799</v>
      </c>
      <c r="O117" s="10">
        <v>4.2929927753205499</v>
      </c>
      <c r="P117" s="10">
        <v>4.29431756876658</v>
      </c>
      <c r="Q117" s="10">
        <v>4.2937571776546504</v>
      </c>
      <c r="R117" s="8">
        <v>224.99575135455001</v>
      </c>
      <c r="S117" s="8">
        <v>224.94993445603899</v>
      </c>
      <c r="T117" s="8">
        <v>224.983645233652</v>
      </c>
      <c r="U117" s="9">
        <v>-4.94008736601794E-3</v>
      </c>
      <c r="V117" s="9">
        <v>-5.1437426075908602E-3</v>
      </c>
      <c r="W117" s="9">
        <v>-4.9938948113898499E-3</v>
      </c>
      <c r="X117" s="10">
        <v>4.2895105290965301</v>
      </c>
      <c r="Y117" s="10">
        <v>4.2916660005161003</v>
      </c>
      <c r="Z117" s="10">
        <v>4.2913770829480704</v>
      </c>
      <c r="AA117" s="10">
        <v>4.2920203575206903</v>
      </c>
      <c r="AB117" s="8">
        <v>227.44113136335099</v>
      </c>
      <c r="AC117" s="8">
        <v>227.43756764979301</v>
      </c>
      <c r="AD117" s="8">
        <v>227.471340026565</v>
      </c>
      <c r="AE117" s="9">
        <v>5.0237201331708296E-4</v>
      </c>
      <c r="AF117" s="9">
        <v>4.8670316108757498E-4</v>
      </c>
      <c r="AG117" s="9">
        <v>6.3518289522611696E-4</v>
      </c>
      <c r="AZ117" s="9"/>
      <c r="BB117">
        <f t="shared" si="26"/>
        <v>0</v>
      </c>
      <c r="BC117">
        <f t="shared" si="27"/>
        <v>1</v>
      </c>
      <c r="BD117">
        <f t="shared" si="28"/>
        <v>0</v>
      </c>
      <c r="BE117">
        <f t="shared" si="24"/>
        <v>1</v>
      </c>
      <c r="BF117">
        <f t="shared" si="29"/>
        <v>0</v>
      </c>
      <c r="BG117" s="9">
        <f t="shared" si="30"/>
        <v>0</v>
      </c>
      <c r="BH117" s="9">
        <f t="shared" si="31"/>
        <v>0</v>
      </c>
      <c r="BI117" s="9">
        <f t="shared" si="32"/>
        <v>0</v>
      </c>
      <c r="BJ117" s="12">
        <f t="shared" si="33"/>
        <v>9.074118809485306E-4</v>
      </c>
      <c r="BL117" s="9"/>
      <c r="BN117">
        <f t="shared" si="34"/>
        <v>0</v>
      </c>
      <c r="BO117">
        <f t="shared" si="35"/>
        <v>0</v>
      </c>
      <c r="BP117">
        <f t="shared" si="36"/>
        <v>0</v>
      </c>
      <c r="BQ117">
        <f t="shared" si="25"/>
        <v>1</v>
      </c>
      <c r="BR117">
        <f t="shared" si="37"/>
        <v>0</v>
      </c>
      <c r="BS117" s="9">
        <f t="shared" si="38"/>
        <v>0</v>
      </c>
      <c r="BT117" s="9">
        <f t="shared" si="39"/>
        <v>0</v>
      </c>
      <c r="BU117" s="9">
        <f t="shared" si="40"/>
        <v>0</v>
      </c>
      <c r="BV117" s="12">
        <f t="shared" si="41"/>
        <v>1.4430698257425307E-3</v>
      </c>
      <c r="BX117" s="12">
        <f t="shared" si="42"/>
        <v>0</v>
      </c>
      <c r="BY117" s="12">
        <f t="shared" si="43"/>
        <v>2.3504817066910613E-3</v>
      </c>
    </row>
    <row r="118" spans="1:77" x14ac:dyDescent="0.3">
      <c r="A118" s="1">
        <v>46195</v>
      </c>
      <c r="B118" s="8">
        <v>52.05</v>
      </c>
      <c r="C118" s="8">
        <v>224.5</v>
      </c>
      <c r="D118" s="9">
        <v>-6.8926177530970398E-3</v>
      </c>
      <c r="E118" s="9">
        <v>-7.1458993411792297E-3</v>
      </c>
      <c r="F118" s="8">
        <v>0</v>
      </c>
      <c r="G118" s="8">
        <v>0.58599999999999997</v>
      </c>
      <c r="H118" s="8">
        <v>0</v>
      </c>
      <c r="I118" s="8">
        <v>1.2169000000000001</v>
      </c>
      <c r="J118" s="8">
        <v>0.58599999999999997</v>
      </c>
      <c r="K118" s="8">
        <v>1.2169000000000001</v>
      </c>
      <c r="L118" s="8">
        <v>52.635999999999903</v>
      </c>
      <c r="M118" s="8">
        <v>225.71690000000001</v>
      </c>
      <c r="N118" s="10">
        <v>4.3131604226705003</v>
      </c>
      <c r="O118" s="10">
        <v>4.2929927753205499</v>
      </c>
      <c r="P118" s="10">
        <v>4.2962061809404197</v>
      </c>
      <c r="Q118" s="10">
        <v>4.2946675352367798</v>
      </c>
      <c r="R118" s="8">
        <v>223.450273955434</v>
      </c>
      <c r="S118" s="8">
        <v>223.51922945429999</v>
      </c>
      <c r="T118" s="8">
        <v>223.49006109692499</v>
      </c>
      <c r="U118" s="9">
        <v>-4.6868057779356799E-3</v>
      </c>
      <c r="V118" s="9">
        <v>-4.3782590028781801E-3</v>
      </c>
      <c r="W118" s="9">
        <v>-4.5087634824658197E-3</v>
      </c>
      <c r="X118" s="10">
        <v>4.2882608860855598</v>
      </c>
      <c r="Y118" s="10">
        <v>4.2916660005161003</v>
      </c>
      <c r="Z118" s="10">
        <v>4.2908295431041097</v>
      </c>
      <c r="AA118" s="10">
        <v>4.2917123570211002</v>
      </c>
      <c r="AB118" s="8">
        <v>225.896131603165</v>
      </c>
      <c r="AC118" s="8">
        <v>225.88092413805401</v>
      </c>
      <c r="AD118" s="8">
        <v>225.91478353845901</v>
      </c>
      <c r="AE118" s="9">
        <v>7.9373977291855502E-4</v>
      </c>
      <c r="AF118" s="9">
        <v>7.26416897957296E-4</v>
      </c>
      <c r="AG118" s="9">
        <v>8.7630499956003398E-4</v>
      </c>
      <c r="AZ118" s="9"/>
      <c r="BB118">
        <f t="shared" si="26"/>
        <v>0</v>
      </c>
      <c r="BC118">
        <f t="shared" si="27"/>
        <v>1</v>
      </c>
      <c r="BD118">
        <f t="shared" si="28"/>
        <v>0</v>
      </c>
      <c r="BE118">
        <f t="shared" si="24"/>
        <v>1</v>
      </c>
      <c r="BF118">
        <f t="shared" si="29"/>
        <v>0</v>
      </c>
      <c r="BG118" s="9">
        <f t="shared" si="30"/>
        <v>0</v>
      </c>
      <c r="BH118" s="9">
        <f t="shared" si="31"/>
        <v>0</v>
      </c>
      <c r="BI118" s="9">
        <f t="shared" si="32"/>
        <v>0</v>
      </c>
      <c r="BJ118" s="12">
        <f t="shared" si="33"/>
        <v>9.074118809485306E-4</v>
      </c>
      <c r="BL118" s="9"/>
      <c r="BN118">
        <f t="shared" si="34"/>
        <v>1</v>
      </c>
      <c r="BO118">
        <f t="shared" si="35"/>
        <v>0</v>
      </c>
      <c r="BP118">
        <f t="shared" si="36"/>
        <v>0</v>
      </c>
      <c r="BQ118">
        <f t="shared" si="25"/>
        <v>1</v>
      </c>
      <c r="BR118">
        <f t="shared" si="37"/>
        <v>0</v>
      </c>
      <c r="BS118" s="9">
        <f t="shared" si="38"/>
        <v>0</v>
      </c>
      <c r="BT118" s="9">
        <f t="shared" si="39"/>
        <v>0</v>
      </c>
      <c r="BU118" s="9">
        <f t="shared" si="40"/>
        <v>0</v>
      </c>
      <c r="BV118" s="12">
        <f t="shared" si="41"/>
        <v>1.4430698257425307E-3</v>
      </c>
      <c r="BX118" s="12">
        <f t="shared" si="42"/>
        <v>0</v>
      </c>
      <c r="BY118" s="12">
        <f t="shared" si="43"/>
        <v>2.3504817066910613E-3</v>
      </c>
    </row>
    <row r="119" spans="1:77" x14ac:dyDescent="0.3">
      <c r="A119" s="1">
        <v>46196</v>
      </c>
      <c r="B119" s="8">
        <v>52.95</v>
      </c>
      <c r="C119" s="8">
        <v>228.7</v>
      </c>
      <c r="D119" s="9">
        <v>1.7143276986437601E-2</v>
      </c>
      <c r="E119" s="9">
        <v>1.8535393846426398E-2</v>
      </c>
      <c r="F119" s="8">
        <v>0</v>
      </c>
      <c r="G119" s="8">
        <v>0.58599999999999997</v>
      </c>
      <c r="H119" s="8">
        <v>0</v>
      </c>
      <c r="I119" s="8">
        <v>1.2169000000000001</v>
      </c>
      <c r="J119" s="8">
        <v>0.58599999999999997</v>
      </c>
      <c r="K119" s="8">
        <v>1.2169000000000001</v>
      </c>
      <c r="L119" s="8">
        <v>53.536000000000001</v>
      </c>
      <c r="M119" s="8">
        <v>229.9169</v>
      </c>
      <c r="N119" s="10">
        <v>4.3191690273843202</v>
      </c>
      <c r="O119" s="10">
        <v>4.2929927753205499</v>
      </c>
      <c r="P119" s="10">
        <v>4.2990262848983702</v>
      </c>
      <c r="Q119" s="10">
        <v>4.2959624352041299</v>
      </c>
      <c r="R119" s="8">
        <v>227.313967453223</v>
      </c>
      <c r="S119" s="8">
        <v>227.484117280795</v>
      </c>
      <c r="T119" s="8">
        <v>227.40264599078699</v>
      </c>
      <c r="U119" s="9">
        <v>-6.07892263792439E-3</v>
      </c>
      <c r="V119" s="9">
        <v>-5.3306792252006303E-3</v>
      </c>
      <c r="W119" s="9">
        <v>-5.6888839366023396E-3</v>
      </c>
      <c r="X119" s="10">
        <v>4.2946223102211496</v>
      </c>
      <c r="Y119" s="10">
        <v>4.2916660005161003</v>
      </c>
      <c r="Z119" s="10">
        <v>4.2912470517460797</v>
      </c>
      <c r="AA119" s="10">
        <v>4.2918060864009098</v>
      </c>
      <c r="AB119" s="8">
        <v>229.75863100363</v>
      </c>
      <c r="AC119" s="8">
        <v>229.713850419621</v>
      </c>
      <c r="AD119" s="8">
        <v>229.761112745481</v>
      </c>
      <c r="AE119" s="9">
        <v>-6.8861182268325995E-4</v>
      </c>
      <c r="AF119" s="9">
        <v>-8.8353354688226304E-4</v>
      </c>
      <c r="AG119" s="9">
        <v>-6.7781036361572796E-4</v>
      </c>
      <c r="AZ119" s="9"/>
      <c r="BB119">
        <f t="shared" si="26"/>
        <v>0</v>
      </c>
      <c r="BC119">
        <f t="shared" si="27"/>
        <v>0</v>
      </c>
      <c r="BD119">
        <f t="shared" si="28"/>
        <v>0</v>
      </c>
      <c r="BE119">
        <f t="shared" si="24"/>
        <v>0</v>
      </c>
      <c r="BF119">
        <f t="shared" si="29"/>
        <v>0</v>
      </c>
      <c r="BG119" s="9">
        <f t="shared" si="30"/>
        <v>0</v>
      </c>
      <c r="BH119" s="9">
        <f t="shared" si="31"/>
        <v>0</v>
      </c>
      <c r="BI119" s="9">
        <f t="shared" si="32"/>
        <v>0</v>
      </c>
      <c r="BJ119" s="12">
        <f t="shared" si="33"/>
        <v>9.074118809485306E-4</v>
      </c>
      <c r="BL119" s="9"/>
      <c r="BN119">
        <f t="shared" si="34"/>
        <v>0</v>
      </c>
      <c r="BO119">
        <f t="shared" si="35"/>
        <v>1</v>
      </c>
      <c r="BP119">
        <f t="shared" si="36"/>
        <v>1</v>
      </c>
      <c r="BQ119">
        <f t="shared" si="25"/>
        <v>0</v>
      </c>
      <c r="BR119">
        <f t="shared" si="37"/>
        <v>1</v>
      </c>
      <c r="BS119" s="9">
        <f t="shared" si="38"/>
        <v>-1.7143276986437601E-2</v>
      </c>
      <c r="BT119" s="9">
        <f t="shared" si="39"/>
        <v>1.8535393846426398E-2</v>
      </c>
      <c r="BU119" s="9">
        <f t="shared" si="40"/>
        <v>1.3921168599887977E-3</v>
      </c>
      <c r="BV119" s="12">
        <f t="shared" si="41"/>
        <v>2.8351866857313284E-3</v>
      </c>
      <c r="BX119" s="12">
        <f t="shared" si="42"/>
        <v>1.3921168599887977E-3</v>
      </c>
      <c r="BY119" s="12">
        <f t="shared" si="43"/>
        <v>3.742598566679859E-3</v>
      </c>
    </row>
    <row r="120" spans="1:77" x14ac:dyDescent="0.3">
      <c r="A120" s="1">
        <v>46197</v>
      </c>
      <c r="B120" s="8">
        <v>53.41</v>
      </c>
      <c r="C120" s="8">
        <v>229.24</v>
      </c>
      <c r="D120" s="9">
        <v>8.6499223042634608E-3</v>
      </c>
      <c r="E120" s="9">
        <v>2.3583886548013402E-3</v>
      </c>
      <c r="F120" s="8">
        <v>0</v>
      </c>
      <c r="G120" s="8">
        <v>0.58599999999999997</v>
      </c>
      <c r="H120" s="8">
        <v>1.2239</v>
      </c>
      <c r="I120" s="8">
        <v>2.4407999999999999</v>
      </c>
      <c r="J120" s="8">
        <v>0.58599999999999997</v>
      </c>
      <c r="K120" s="8">
        <v>2.4407999999999999</v>
      </c>
      <c r="L120" s="8">
        <v>53.995999999999903</v>
      </c>
      <c r="M120" s="8">
        <v>231.6808</v>
      </c>
      <c r="N120" s="10">
        <v>4.2920801348062101</v>
      </c>
      <c r="O120" s="10">
        <v>4.2929927753205499</v>
      </c>
      <c r="P120" s="10">
        <v>4.2987892247663</v>
      </c>
      <c r="Q120" s="10">
        <v>4.2959787642193197</v>
      </c>
      <c r="R120" s="8">
        <v>229.28874412987</v>
      </c>
      <c r="S120" s="8">
        <v>229.61099387642099</v>
      </c>
      <c r="T120" s="8">
        <v>229.44735366425201</v>
      </c>
      <c r="U120" s="9">
        <v>2.1261101153768899E-4</v>
      </c>
      <c r="V120" s="9">
        <v>1.6170563525622599E-3</v>
      </c>
      <c r="W120" s="9">
        <v>9.0411770335869503E-4</v>
      </c>
      <c r="X120" s="10">
        <v>4.29070301503815</v>
      </c>
      <c r="Y120" s="10">
        <v>4.2916660005161003</v>
      </c>
      <c r="Z120" s="10">
        <v>4.2909257632367597</v>
      </c>
      <c r="AA120" s="10">
        <v>4.29177967983758</v>
      </c>
      <c r="AB120" s="8">
        <v>231.73279736386701</v>
      </c>
      <c r="AC120" s="8">
        <v>231.710175806081</v>
      </c>
      <c r="AD120" s="8">
        <v>231.74036144130301</v>
      </c>
      <c r="AE120" s="9">
        <v>2.2441017864741899E-4</v>
      </c>
      <c r="AF120" s="9">
        <v>1.2678626755667101E-4</v>
      </c>
      <c r="AG120" s="9">
        <v>2.5705102221158902E-4</v>
      </c>
      <c r="AZ120" s="9"/>
      <c r="BB120">
        <f t="shared" si="26"/>
        <v>0</v>
      </c>
      <c r="BC120">
        <f t="shared" si="27"/>
        <v>1</v>
      </c>
      <c r="BD120">
        <f t="shared" si="28"/>
        <v>0</v>
      </c>
      <c r="BE120">
        <f t="shared" si="24"/>
        <v>1</v>
      </c>
      <c r="BF120">
        <f t="shared" si="29"/>
        <v>0</v>
      </c>
      <c r="BG120" s="9">
        <f t="shared" si="30"/>
        <v>0</v>
      </c>
      <c r="BH120" s="9">
        <f t="shared" si="31"/>
        <v>0</v>
      </c>
      <c r="BI120" s="9">
        <f t="shared" si="32"/>
        <v>0</v>
      </c>
      <c r="BJ120" s="12">
        <f t="shared" si="33"/>
        <v>9.074118809485306E-4</v>
      </c>
      <c r="BL120" s="9"/>
      <c r="BN120">
        <f t="shared" si="34"/>
        <v>0</v>
      </c>
      <c r="BO120">
        <f t="shared" si="35"/>
        <v>0</v>
      </c>
      <c r="BP120">
        <f t="shared" si="36"/>
        <v>0</v>
      </c>
      <c r="BQ120">
        <f t="shared" si="25"/>
        <v>1</v>
      </c>
      <c r="BR120">
        <f t="shared" si="37"/>
        <v>0</v>
      </c>
      <c r="BS120" s="9">
        <f t="shared" si="38"/>
        <v>0</v>
      </c>
      <c r="BT120" s="9">
        <f t="shared" si="39"/>
        <v>0</v>
      </c>
      <c r="BU120" s="9">
        <f t="shared" si="40"/>
        <v>0</v>
      </c>
      <c r="BV120" s="12">
        <f t="shared" si="41"/>
        <v>2.8351866857313284E-3</v>
      </c>
      <c r="BX120" s="12">
        <f t="shared" si="42"/>
        <v>0</v>
      </c>
      <c r="BY120" s="12">
        <f t="shared" si="43"/>
        <v>3.742598566679859E-3</v>
      </c>
    </row>
    <row r="121" spans="1:77" x14ac:dyDescent="0.3">
      <c r="A121" s="1">
        <v>46198</v>
      </c>
      <c r="B121" s="8">
        <v>52.97</v>
      </c>
      <c r="C121" s="8">
        <v>227.23</v>
      </c>
      <c r="D121" s="9">
        <v>-8.2722787952435994E-3</v>
      </c>
      <c r="E121" s="9">
        <v>-8.8067692998303904E-3</v>
      </c>
      <c r="F121" s="8">
        <v>0</v>
      </c>
      <c r="G121" s="8">
        <v>0.58599999999999997</v>
      </c>
      <c r="H121" s="8">
        <v>0</v>
      </c>
      <c r="I121" s="8">
        <v>2.4407999999999999</v>
      </c>
      <c r="J121" s="8">
        <v>0.58599999999999997</v>
      </c>
      <c r="K121" s="8">
        <v>2.4407999999999999</v>
      </c>
      <c r="L121" s="8">
        <v>53.555999999999997</v>
      </c>
      <c r="M121" s="8">
        <v>229.67079999999899</v>
      </c>
      <c r="N121" s="10">
        <v>4.2897866717009601</v>
      </c>
      <c r="O121" s="10">
        <v>4.2929927753205499</v>
      </c>
      <c r="P121" s="10">
        <v>4.2986638296102999</v>
      </c>
      <c r="Q121" s="10">
        <v>4.2957627674740397</v>
      </c>
      <c r="R121" s="8">
        <v>227.39982730872899</v>
      </c>
      <c r="S121" s="8">
        <v>227.70686523587099</v>
      </c>
      <c r="T121" s="8">
        <v>227.55799514069699</v>
      </c>
      <c r="U121" s="9">
        <v>7.4710151612433198E-4</v>
      </c>
      <c r="V121" s="9">
        <v>2.09640258664096E-3</v>
      </c>
      <c r="W121" s="9">
        <v>1.4424092151481E-3</v>
      </c>
      <c r="X121" s="10">
        <v>4.2884233325864498</v>
      </c>
      <c r="Y121" s="10">
        <v>4.2916660005161003</v>
      </c>
      <c r="Z121" s="10">
        <v>4.2907147754621899</v>
      </c>
      <c r="AA121" s="10">
        <v>4.2915220150313997</v>
      </c>
      <c r="AB121" s="8">
        <v>229.84446432364001</v>
      </c>
      <c r="AC121" s="8">
        <v>229.80482017590799</v>
      </c>
      <c r="AD121" s="8">
        <v>229.85055253338101</v>
      </c>
      <c r="AE121" s="9">
        <v>7.5585881641844705E-4</v>
      </c>
      <c r="AF121" s="9">
        <v>5.8336143997101797E-4</v>
      </c>
      <c r="AG121" s="9">
        <v>7.8234685530515196E-4</v>
      </c>
      <c r="AZ121" s="9"/>
      <c r="BB121">
        <f t="shared" si="26"/>
        <v>0</v>
      </c>
      <c r="BC121">
        <f t="shared" si="27"/>
        <v>1</v>
      </c>
      <c r="BD121">
        <f t="shared" si="28"/>
        <v>0</v>
      </c>
      <c r="BE121">
        <f t="shared" si="24"/>
        <v>1</v>
      </c>
      <c r="BF121">
        <f t="shared" si="29"/>
        <v>0</v>
      </c>
      <c r="BG121" s="9">
        <f t="shared" si="30"/>
        <v>0</v>
      </c>
      <c r="BH121" s="9">
        <f t="shared" si="31"/>
        <v>0</v>
      </c>
      <c r="BI121" s="9">
        <f t="shared" si="32"/>
        <v>0</v>
      </c>
      <c r="BJ121" s="12">
        <f t="shared" si="33"/>
        <v>9.074118809485306E-4</v>
      </c>
      <c r="BL121" s="9"/>
      <c r="BN121">
        <f t="shared" si="34"/>
        <v>0</v>
      </c>
      <c r="BO121">
        <f t="shared" si="35"/>
        <v>0</v>
      </c>
      <c r="BP121">
        <f t="shared" si="36"/>
        <v>0</v>
      </c>
      <c r="BQ121">
        <f t="shared" si="25"/>
        <v>1</v>
      </c>
      <c r="BR121">
        <f t="shared" si="37"/>
        <v>0</v>
      </c>
      <c r="BS121" s="9">
        <f t="shared" si="38"/>
        <v>0</v>
      </c>
      <c r="BT121" s="9">
        <f t="shared" si="39"/>
        <v>0</v>
      </c>
      <c r="BU121" s="9">
        <f t="shared" si="40"/>
        <v>0</v>
      </c>
      <c r="BV121" s="12">
        <f t="shared" si="41"/>
        <v>2.8351866857313284E-3</v>
      </c>
      <c r="BX121" s="12">
        <f t="shared" si="42"/>
        <v>0</v>
      </c>
      <c r="BY121" s="12">
        <f t="shared" si="43"/>
        <v>3.742598566679859E-3</v>
      </c>
    </row>
    <row r="122" spans="1:77" x14ac:dyDescent="0.3">
      <c r="A122" s="1">
        <v>46199</v>
      </c>
      <c r="B122" s="8">
        <v>53.49</v>
      </c>
      <c r="C122" s="8">
        <v>229.65</v>
      </c>
      <c r="D122" s="9">
        <v>9.7690049867235704E-3</v>
      </c>
      <c r="E122" s="9">
        <v>1.0593690388095999E-2</v>
      </c>
      <c r="F122" s="8">
        <v>0</v>
      </c>
      <c r="G122" s="8">
        <v>0.58599999999999997</v>
      </c>
      <c r="H122" s="8">
        <v>0</v>
      </c>
      <c r="I122" s="8">
        <v>2.4407999999999999</v>
      </c>
      <c r="J122" s="8">
        <v>0.58599999999999997</v>
      </c>
      <c r="K122" s="8">
        <v>2.4407999999999999</v>
      </c>
      <c r="L122" s="8">
        <v>54.076000000000001</v>
      </c>
      <c r="M122" s="8">
        <v>232.0908</v>
      </c>
      <c r="N122" s="10">
        <v>4.2933258553000497</v>
      </c>
      <c r="O122" s="10">
        <v>4.2929927753205499</v>
      </c>
      <c r="P122" s="10">
        <v>4.2986328126095996</v>
      </c>
      <c r="Q122" s="10">
        <v>4.29581946475456</v>
      </c>
      <c r="R122" s="8">
        <v>229.63218355189599</v>
      </c>
      <c r="S122" s="8">
        <v>229.93552824585501</v>
      </c>
      <c r="T122" s="8">
        <v>229.780350432186</v>
      </c>
      <c r="U122" s="9">
        <v>-7.7583885248330497E-5</v>
      </c>
      <c r="V122" s="9">
        <v>1.24254688210557E-3</v>
      </c>
      <c r="W122" s="9">
        <v>5.6744372922425297E-4</v>
      </c>
      <c r="X122" s="10">
        <v>4.2919372734669698</v>
      </c>
      <c r="Y122" s="10">
        <v>4.2916660005161003</v>
      </c>
      <c r="Z122" s="10">
        <v>4.2905971942765904</v>
      </c>
      <c r="AA122" s="10">
        <v>4.2915353270580399</v>
      </c>
      <c r="AB122" s="8">
        <v>232.07613064390901</v>
      </c>
      <c r="AC122" s="8">
        <v>232.02469219789299</v>
      </c>
      <c r="AD122" s="8">
        <v>232.06834448483801</v>
      </c>
      <c r="AE122" s="9">
        <v>-6.3207243460462097E-5</v>
      </c>
      <c r="AF122" s="9">
        <v>-2.8487651743874001E-4</v>
      </c>
      <c r="AG122" s="9">
        <v>-9.6757827336683397E-5</v>
      </c>
      <c r="AZ122" s="9"/>
      <c r="BB122">
        <f t="shared" si="26"/>
        <v>0</v>
      </c>
      <c r="BC122">
        <f t="shared" si="27"/>
        <v>0</v>
      </c>
      <c r="BD122">
        <f t="shared" si="28"/>
        <v>0</v>
      </c>
      <c r="BE122">
        <f t="shared" si="24"/>
        <v>1</v>
      </c>
      <c r="BF122">
        <f t="shared" si="29"/>
        <v>0</v>
      </c>
      <c r="BG122" s="9">
        <f t="shared" si="30"/>
        <v>0</v>
      </c>
      <c r="BH122" s="9">
        <f t="shared" si="31"/>
        <v>0</v>
      </c>
      <c r="BI122" s="9">
        <f t="shared" si="32"/>
        <v>0</v>
      </c>
      <c r="BJ122" s="12">
        <f t="shared" si="33"/>
        <v>9.074118809485306E-4</v>
      </c>
      <c r="BL122" s="9"/>
      <c r="BN122">
        <f t="shared" si="34"/>
        <v>0</v>
      </c>
      <c r="BO122">
        <f t="shared" si="35"/>
        <v>1</v>
      </c>
      <c r="BP122">
        <f t="shared" si="36"/>
        <v>0</v>
      </c>
      <c r="BQ122">
        <f t="shared" si="25"/>
        <v>1</v>
      </c>
      <c r="BR122">
        <f t="shared" si="37"/>
        <v>0</v>
      </c>
      <c r="BS122" s="9">
        <f t="shared" si="38"/>
        <v>0</v>
      </c>
      <c r="BT122" s="9">
        <f t="shared" si="39"/>
        <v>0</v>
      </c>
      <c r="BU122" s="9">
        <f t="shared" si="40"/>
        <v>0</v>
      </c>
      <c r="BV122" s="12">
        <f t="shared" si="41"/>
        <v>2.8351866857313284E-3</v>
      </c>
      <c r="BX122" s="12">
        <f t="shared" si="42"/>
        <v>0</v>
      </c>
      <c r="BY122" s="12">
        <f t="shared" si="43"/>
        <v>3.742598566679859E-3</v>
      </c>
    </row>
    <row r="123" spans="1:77" x14ac:dyDescent="0.3">
      <c r="A123" s="1">
        <v>46202</v>
      </c>
      <c r="B123" s="8">
        <v>53.29</v>
      </c>
      <c r="C123" s="8">
        <v>228.79</v>
      </c>
      <c r="D123" s="9">
        <v>-3.7460242344678801E-3</v>
      </c>
      <c r="E123" s="9">
        <v>-3.7518585150138999E-3</v>
      </c>
      <c r="F123" s="8">
        <v>0</v>
      </c>
      <c r="G123" s="8">
        <v>0.58599999999999997</v>
      </c>
      <c r="H123" s="8">
        <v>0</v>
      </c>
      <c r="I123" s="8">
        <v>2.4407999999999999</v>
      </c>
      <c r="J123" s="8">
        <v>0.58599999999999997</v>
      </c>
      <c r="K123" s="8">
        <v>2.4407999999999999</v>
      </c>
      <c r="L123" s="8">
        <v>53.875999999999998</v>
      </c>
      <c r="M123" s="8">
        <v>231.23079999999999</v>
      </c>
      <c r="N123" s="10">
        <v>4.2933008069056102</v>
      </c>
      <c r="O123" s="10">
        <v>4.2929927753205499</v>
      </c>
      <c r="P123" s="10">
        <v>4.2987446341983304</v>
      </c>
      <c r="Q123" s="10">
        <v>4.2957944264201204</v>
      </c>
      <c r="R123" s="8">
        <v>228.773584996832</v>
      </c>
      <c r="S123" s="8">
        <v>229.07414258396599</v>
      </c>
      <c r="T123" s="8">
        <v>228.92421927677</v>
      </c>
      <c r="U123" s="9">
        <v>-7.1749604702287504E-5</v>
      </c>
      <c r="V123" s="9">
        <v>1.2411656385192E-3</v>
      </c>
      <c r="W123" s="9">
        <v>5.8647634250877899E-4</v>
      </c>
      <c r="X123" s="10">
        <v>4.2919073427871401</v>
      </c>
      <c r="Y123" s="10">
        <v>4.2916660005161003</v>
      </c>
      <c r="Z123" s="10">
        <v>4.2906208329670701</v>
      </c>
      <c r="AA123" s="10">
        <v>4.2914676216783096</v>
      </c>
      <c r="AB123" s="8">
        <v>231.21779744380501</v>
      </c>
      <c r="AC123" s="8">
        <v>231.160214438845</v>
      </c>
      <c r="AD123" s="8">
        <v>231.210757280579</v>
      </c>
      <c r="AE123" s="9">
        <v>-5.6233519873964802E-5</v>
      </c>
      <c r="AF123" s="9">
        <v>-3.0530680527185601E-4</v>
      </c>
      <c r="AG123" s="9">
        <v>-8.6682172559229893E-5</v>
      </c>
      <c r="AZ123" s="9"/>
      <c r="BB123">
        <f t="shared" si="26"/>
        <v>0</v>
      </c>
      <c r="BC123">
        <f t="shared" si="27"/>
        <v>0</v>
      </c>
      <c r="BD123">
        <f t="shared" si="28"/>
        <v>0</v>
      </c>
      <c r="BE123">
        <f t="shared" si="24"/>
        <v>1</v>
      </c>
      <c r="BF123">
        <f t="shared" si="29"/>
        <v>0</v>
      </c>
      <c r="BG123" s="9">
        <f t="shared" si="30"/>
        <v>0</v>
      </c>
      <c r="BH123" s="9">
        <f t="shared" si="31"/>
        <v>0</v>
      </c>
      <c r="BI123" s="9">
        <f t="shared" si="32"/>
        <v>0</v>
      </c>
      <c r="BJ123" s="12">
        <f t="shared" si="33"/>
        <v>9.074118809485306E-4</v>
      </c>
      <c r="BL123" s="9"/>
      <c r="BN123">
        <f t="shared" si="34"/>
        <v>0</v>
      </c>
      <c r="BO123">
        <f t="shared" si="35"/>
        <v>1</v>
      </c>
      <c r="BP123">
        <f t="shared" si="36"/>
        <v>0</v>
      </c>
      <c r="BQ123">
        <f t="shared" si="25"/>
        <v>1</v>
      </c>
      <c r="BR123">
        <f t="shared" si="37"/>
        <v>0</v>
      </c>
      <c r="BS123" s="9">
        <f t="shared" si="38"/>
        <v>0</v>
      </c>
      <c r="BT123" s="9">
        <f t="shared" si="39"/>
        <v>0</v>
      </c>
      <c r="BU123" s="9">
        <f t="shared" si="40"/>
        <v>0</v>
      </c>
      <c r="BV123" s="12">
        <f t="shared" si="41"/>
        <v>2.8351866857313284E-3</v>
      </c>
      <c r="BX123" s="12">
        <f t="shared" si="42"/>
        <v>0</v>
      </c>
      <c r="BY123" s="12">
        <f t="shared" si="43"/>
        <v>3.742598566679859E-3</v>
      </c>
    </row>
    <row r="124" spans="1:77" x14ac:dyDescent="0.3">
      <c r="A124" s="1">
        <v>46203</v>
      </c>
      <c r="B124" s="8">
        <v>52.54</v>
      </c>
      <c r="C124" s="8">
        <v>225.49</v>
      </c>
      <c r="D124" s="9">
        <v>-1.4173912051297E-2</v>
      </c>
      <c r="E124" s="9">
        <v>-1.45287401953683E-2</v>
      </c>
      <c r="F124" s="8">
        <v>0</v>
      </c>
      <c r="G124" s="8">
        <v>0.58599999999999997</v>
      </c>
      <c r="H124" s="8">
        <v>0</v>
      </c>
      <c r="I124" s="8">
        <v>2.4407999999999999</v>
      </c>
      <c r="J124" s="8">
        <v>0.58599999999999997</v>
      </c>
      <c r="K124" s="8">
        <v>2.4407999999999999</v>
      </c>
      <c r="L124" s="8">
        <v>53.125999999999998</v>
      </c>
      <c r="M124" s="8">
        <v>227.9308</v>
      </c>
      <c r="N124" s="10">
        <v>4.2917776931861402</v>
      </c>
      <c r="O124" s="10">
        <v>4.2929927753205499</v>
      </c>
      <c r="P124" s="10">
        <v>4.2986993365783199</v>
      </c>
      <c r="Q124" s="10">
        <v>4.2956973863023897</v>
      </c>
      <c r="R124" s="8">
        <v>225.553840415341</v>
      </c>
      <c r="S124" s="8">
        <v>225.85604308078001</v>
      </c>
      <c r="T124" s="8">
        <v>225.70103916411301</v>
      </c>
      <c r="U124" s="9">
        <v>2.8307853936905802E-4</v>
      </c>
      <c r="V124" s="9">
        <v>1.62200673582636E-3</v>
      </c>
      <c r="W124" s="9">
        <v>9.3547593451697396E-4</v>
      </c>
      <c r="X124" s="10">
        <v>4.2903813575273801</v>
      </c>
      <c r="Y124" s="10">
        <v>4.2916660005161003</v>
      </c>
      <c r="Z124" s="10">
        <v>4.2904872608629301</v>
      </c>
      <c r="AA124" s="10">
        <v>4.2913280236591698</v>
      </c>
      <c r="AB124" s="8">
        <v>227.99904794341799</v>
      </c>
      <c r="AC124" s="8">
        <v>227.94352237220801</v>
      </c>
      <c r="AD124" s="8">
        <v>227.98850886928199</v>
      </c>
      <c r="AE124" s="9">
        <v>2.9937914456089403E-4</v>
      </c>
      <c r="AF124" s="9">
        <v>5.5815261302340198E-5</v>
      </c>
      <c r="AG124" s="9">
        <v>2.5315387380121801E-4</v>
      </c>
      <c r="AZ124" s="9"/>
      <c r="BB124">
        <f t="shared" si="26"/>
        <v>0</v>
      </c>
      <c r="BC124">
        <f t="shared" si="27"/>
        <v>1</v>
      </c>
      <c r="BD124">
        <f t="shared" si="28"/>
        <v>0</v>
      </c>
      <c r="BE124">
        <f t="shared" si="24"/>
        <v>1</v>
      </c>
      <c r="BF124">
        <f t="shared" si="29"/>
        <v>0</v>
      </c>
      <c r="BG124" s="9">
        <f t="shared" si="30"/>
        <v>0</v>
      </c>
      <c r="BH124" s="9">
        <f t="shared" si="31"/>
        <v>0</v>
      </c>
      <c r="BI124" s="9">
        <f t="shared" si="32"/>
        <v>0</v>
      </c>
      <c r="BJ124" s="12">
        <f t="shared" si="33"/>
        <v>9.074118809485306E-4</v>
      </c>
      <c r="BL124" s="9"/>
      <c r="BN124">
        <f t="shared" si="34"/>
        <v>0</v>
      </c>
      <c r="BO124">
        <f t="shared" si="35"/>
        <v>0</v>
      </c>
      <c r="BP124">
        <f t="shared" si="36"/>
        <v>0</v>
      </c>
      <c r="BQ124">
        <f t="shared" si="25"/>
        <v>1</v>
      </c>
      <c r="BR124">
        <f t="shared" si="37"/>
        <v>0</v>
      </c>
      <c r="BS124" s="9">
        <f t="shared" si="38"/>
        <v>0</v>
      </c>
      <c r="BT124" s="9">
        <f t="shared" si="39"/>
        <v>0</v>
      </c>
      <c r="BU124" s="9">
        <f t="shared" si="40"/>
        <v>0</v>
      </c>
      <c r="BV124" s="12">
        <f t="shared" si="41"/>
        <v>2.8351866857313284E-3</v>
      </c>
      <c r="BX124" s="12">
        <f t="shared" si="42"/>
        <v>0</v>
      </c>
      <c r="BY124" s="12">
        <f t="shared" si="43"/>
        <v>3.742598566679859E-3</v>
      </c>
    </row>
    <row r="125" spans="1:77" x14ac:dyDescent="0.3">
      <c r="A125" s="1">
        <v>46204</v>
      </c>
      <c r="B125" s="8">
        <v>52.58</v>
      </c>
      <c r="C125" s="8">
        <v>225.95</v>
      </c>
      <c r="D125" s="9">
        <v>7.6103504434135597E-4</v>
      </c>
      <c r="E125" s="9">
        <v>2.0379237958682902E-3</v>
      </c>
      <c r="F125" s="8">
        <v>0</v>
      </c>
      <c r="G125" s="8">
        <v>0.58599999999999997</v>
      </c>
      <c r="H125" s="8">
        <v>0</v>
      </c>
      <c r="I125" s="8">
        <v>2.4407999999999999</v>
      </c>
      <c r="J125" s="8">
        <v>0.58599999999999997</v>
      </c>
      <c r="K125" s="8">
        <v>2.4407999999999999</v>
      </c>
      <c r="L125" s="8">
        <v>53.165999999999997</v>
      </c>
      <c r="M125" s="8">
        <v>228.39079999999899</v>
      </c>
      <c r="N125" s="10">
        <v>4.2972613160897604</v>
      </c>
      <c r="O125" s="10">
        <v>4.2929927753205499</v>
      </c>
      <c r="P125" s="10">
        <v>4.2995419281021299</v>
      </c>
      <c r="Q125" s="10">
        <v>4.2959220384210299</v>
      </c>
      <c r="R125" s="8">
        <v>225.725560126354</v>
      </c>
      <c r="S125" s="8">
        <v>226.02561111728801</v>
      </c>
      <c r="T125" s="8">
        <v>225.86776857177901</v>
      </c>
      <c r="U125" s="9">
        <v>-9.9381021215802501E-4</v>
      </c>
      <c r="V125" s="9">
        <v>3.3458052219653402E-4</v>
      </c>
      <c r="W125" s="9">
        <v>-3.6400263490381902E-4</v>
      </c>
      <c r="X125" s="10">
        <v>4.2958055900387402</v>
      </c>
      <c r="Y125" s="10">
        <v>4.2916660005161003</v>
      </c>
      <c r="Z125" s="10">
        <v>4.2912337498852198</v>
      </c>
      <c r="AA125" s="10">
        <v>4.2915069557804797</v>
      </c>
      <c r="AB125" s="8">
        <v>228.17071458343901</v>
      </c>
      <c r="AC125" s="8">
        <v>228.10804571103799</v>
      </c>
      <c r="AD125" s="8">
        <v>228.152745705863</v>
      </c>
      <c r="AE125" s="9">
        <v>-9.6409980507707797E-4</v>
      </c>
      <c r="AF125" s="9">
        <v>-1.2387953563418499E-3</v>
      </c>
      <c r="AG125" s="9">
        <v>-1.04285480738814E-3</v>
      </c>
      <c r="AZ125" s="9"/>
      <c r="BB125">
        <f t="shared" si="26"/>
        <v>1</v>
      </c>
      <c r="BC125">
        <f t="shared" si="27"/>
        <v>0</v>
      </c>
      <c r="BD125">
        <f t="shared" si="28"/>
        <v>0</v>
      </c>
      <c r="BE125">
        <f t="shared" si="24"/>
        <v>1</v>
      </c>
      <c r="BF125">
        <f t="shared" si="29"/>
        <v>0</v>
      </c>
      <c r="BG125" s="9">
        <f t="shared" si="30"/>
        <v>0</v>
      </c>
      <c r="BH125" s="9">
        <f t="shared" si="31"/>
        <v>0</v>
      </c>
      <c r="BI125" s="9">
        <f t="shared" si="32"/>
        <v>0</v>
      </c>
      <c r="BJ125" s="12">
        <f t="shared" si="33"/>
        <v>9.074118809485306E-4</v>
      </c>
      <c r="BL125" s="9"/>
      <c r="BN125">
        <f t="shared" si="34"/>
        <v>0</v>
      </c>
      <c r="BO125">
        <f t="shared" si="35"/>
        <v>1</v>
      </c>
      <c r="BP125">
        <f t="shared" si="36"/>
        <v>0</v>
      </c>
      <c r="BQ125">
        <f t="shared" si="25"/>
        <v>1</v>
      </c>
      <c r="BR125">
        <f t="shared" si="37"/>
        <v>0</v>
      </c>
      <c r="BS125" s="9">
        <f t="shared" si="38"/>
        <v>0</v>
      </c>
      <c r="BT125" s="9">
        <f t="shared" si="39"/>
        <v>0</v>
      </c>
      <c r="BU125" s="9">
        <f t="shared" si="40"/>
        <v>0</v>
      </c>
      <c r="BV125" s="12">
        <f t="shared" si="41"/>
        <v>2.8351866857313284E-3</v>
      </c>
      <c r="BX125" s="12">
        <f t="shared" si="42"/>
        <v>0</v>
      </c>
      <c r="BY125" s="12">
        <f t="shared" si="43"/>
        <v>3.742598566679859E-3</v>
      </c>
    </row>
    <row r="126" spans="1:77" x14ac:dyDescent="0.3">
      <c r="A126" s="1">
        <v>46205</v>
      </c>
      <c r="B126" s="8">
        <v>53.7</v>
      </c>
      <c r="C126" s="8">
        <v>230.45</v>
      </c>
      <c r="D126" s="9">
        <v>2.10771822130838E-2</v>
      </c>
      <c r="E126" s="9">
        <v>1.97201833092286E-2</v>
      </c>
      <c r="F126" s="8">
        <v>0</v>
      </c>
      <c r="G126" s="8">
        <v>0.58599999999999997</v>
      </c>
      <c r="H126" s="8">
        <v>0</v>
      </c>
      <c r="I126" s="8">
        <v>2.4407999999999999</v>
      </c>
      <c r="J126" s="8">
        <v>0.58599999999999997</v>
      </c>
      <c r="K126" s="8">
        <v>2.4407999999999999</v>
      </c>
      <c r="L126" s="8">
        <v>54.286000000000001</v>
      </c>
      <c r="M126" s="8">
        <v>232.89079999999899</v>
      </c>
      <c r="N126" s="10">
        <v>4.2914338919925497</v>
      </c>
      <c r="O126" s="10">
        <v>4.2929927753205499</v>
      </c>
      <c r="P126" s="10">
        <v>4.2995548825187804</v>
      </c>
      <c r="Q126" s="10">
        <v>4.2958367281897401</v>
      </c>
      <c r="R126" s="8">
        <v>230.53371203471301</v>
      </c>
      <c r="S126" s="8">
        <v>230.885401539084</v>
      </c>
      <c r="T126" s="8">
        <v>230.691013463209</v>
      </c>
      <c r="U126" s="9">
        <v>3.6318869169719E-4</v>
      </c>
      <c r="V126" s="9">
        <v>1.8875710249308E-3</v>
      </c>
      <c r="W126" s="9">
        <v>1.04529190905996E-3</v>
      </c>
      <c r="X126" s="10">
        <v>4.29007110488892</v>
      </c>
      <c r="Y126" s="10">
        <v>4.2916660005161003</v>
      </c>
      <c r="Z126" s="10">
        <v>4.2911622741736997</v>
      </c>
      <c r="AA126" s="10">
        <v>4.2913805148681297</v>
      </c>
      <c r="AB126" s="8">
        <v>232.97738050401699</v>
      </c>
      <c r="AC126" s="8">
        <v>232.95391534626901</v>
      </c>
      <c r="AD126" s="8">
        <v>232.96874660149899</v>
      </c>
      <c r="AE126" s="9">
        <v>3.7169529337958903E-4</v>
      </c>
      <c r="AF126" s="9">
        <v>2.70971611682252E-4</v>
      </c>
      <c r="AG126" s="9">
        <v>3.3463563340275002E-4</v>
      </c>
      <c r="AZ126" s="9"/>
      <c r="BB126">
        <f t="shared" si="26"/>
        <v>0</v>
      </c>
      <c r="BC126">
        <f t="shared" si="27"/>
        <v>1</v>
      </c>
      <c r="BD126">
        <f t="shared" si="28"/>
        <v>1</v>
      </c>
      <c r="BE126">
        <f t="shared" si="24"/>
        <v>1</v>
      </c>
      <c r="BF126">
        <f t="shared" si="29"/>
        <v>1</v>
      </c>
      <c r="BG126" s="9">
        <f t="shared" si="30"/>
        <v>2.10771822130838E-2</v>
      </c>
      <c r="BH126" s="9">
        <f t="shared" si="31"/>
        <v>-1.97201833092286E-2</v>
      </c>
      <c r="BI126" s="9">
        <f t="shared" si="32"/>
        <v>1.3569989038552006E-3</v>
      </c>
      <c r="BJ126" s="12">
        <f t="shared" si="33"/>
        <v>2.2644107848037312E-3</v>
      </c>
      <c r="BL126" s="9"/>
      <c r="BN126">
        <f t="shared" si="34"/>
        <v>0</v>
      </c>
      <c r="BO126">
        <f t="shared" si="35"/>
        <v>0</v>
      </c>
      <c r="BP126">
        <f t="shared" si="36"/>
        <v>0</v>
      </c>
      <c r="BQ126">
        <f t="shared" si="25"/>
        <v>1</v>
      </c>
      <c r="BR126">
        <f t="shared" si="37"/>
        <v>0</v>
      </c>
      <c r="BS126" s="9">
        <f t="shared" si="38"/>
        <v>0</v>
      </c>
      <c r="BT126" s="9">
        <f t="shared" si="39"/>
        <v>0</v>
      </c>
      <c r="BU126" s="9">
        <f t="shared" si="40"/>
        <v>0</v>
      </c>
      <c r="BV126" s="12">
        <f t="shared" si="41"/>
        <v>2.8351866857313284E-3</v>
      </c>
      <c r="BX126" s="12">
        <f t="shared" si="42"/>
        <v>1.3569989038552006E-3</v>
      </c>
      <c r="BY126" s="12">
        <f t="shared" si="43"/>
        <v>5.0995974705350597E-3</v>
      </c>
    </row>
    <row r="127" spans="1:77" x14ac:dyDescent="0.3">
      <c r="A127" s="1">
        <v>46209</v>
      </c>
      <c r="B127" s="8">
        <v>53.18</v>
      </c>
      <c r="C127" s="8">
        <v>228.2</v>
      </c>
      <c r="D127" s="9">
        <v>-9.7306156999453497E-3</v>
      </c>
      <c r="E127" s="9">
        <v>-9.8114817385420196E-3</v>
      </c>
      <c r="F127" s="8">
        <v>0</v>
      </c>
      <c r="G127" s="8">
        <v>0.58599999999999997</v>
      </c>
      <c r="H127" s="8">
        <v>0</v>
      </c>
      <c r="I127" s="8">
        <v>2.4407999999999999</v>
      </c>
      <c r="J127" s="8">
        <v>0.58599999999999997</v>
      </c>
      <c r="K127" s="8">
        <v>2.4407999999999999</v>
      </c>
      <c r="L127" s="8">
        <v>53.765999999999998</v>
      </c>
      <c r="M127" s="8">
        <v>230.64079999999899</v>
      </c>
      <c r="N127" s="10">
        <v>4.2910868747649404</v>
      </c>
      <c r="O127" s="10">
        <v>4.2929927753205499</v>
      </c>
      <c r="P127" s="10">
        <v>4.2972382694800997</v>
      </c>
      <c r="Q127" s="10">
        <v>4.2957779191233403</v>
      </c>
      <c r="R127" s="8">
        <v>228.301355791546</v>
      </c>
      <c r="S127" s="8">
        <v>228.65032865234801</v>
      </c>
      <c r="T127" s="8">
        <v>228.45259720512999</v>
      </c>
      <c r="U127" s="9">
        <v>4.44054730294005E-4</v>
      </c>
      <c r="V127" s="9">
        <v>1.9714500349899398E-3</v>
      </c>
      <c r="W127" s="9">
        <v>1.1062993288080999E-3</v>
      </c>
      <c r="X127" s="10">
        <v>4.2897146895807703</v>
      </c>
      <c r="Y127" s="10">
        <v>4.2916660005161003</v>
      </c>
      <c r="Z127" s="10">
        <v>4.2911826902221204</v>
      </c>
      <c r="AA127" s="10">
        <v>4.2912798865850901</v>
      </c>
      <c r="AB127" s="8">
        <v>230.74571418374899</v>
      </c>
      <c r="AC127" s="8">
        <v>230.71863083322299</v>
      </c>
      <c r="AD127" s="8">
        <v>230.73036476239901</v>
      </c>
      <c r="AE127" s="9">
        <v>4.5477785904925199E-4</v>
      </c>
      <c r="AF127" s="9">
        <v>3.3739782373653598E-4</v>
      </c>
      <c r="AG127" s="9">
        <v>3.8825470842376202E-4</v>
      </c>
      <c r="AZ127" s="9"/>
      <c r="BB127">
        <f t="shared" si="26"/>
        <v>0</v>
      </c>
      <c r="BC127">
        <f t="shared" si="27"/>
        <v>1</v>
      </c>
      <c r="BD127">
        <f t="shared" si="28"/>
        <v>0</v>
      </c>
      <c r="BE127">
        <f t="shared" si="24"/>
        <v>1</v>
      </c>
      <c r="BF127">
        <f t="shared" si="29"/>
        <v>0</v>
      </c>
      <c r="BG127" s="9">
        <f t="shared" si="30"/>
        <v>0</v>
      </c>
      <c r="BH127" s="9">
        <f t="shared" si="31"/>
        <v>0</v>
      </c>
      <c r="BI127" s="9">
        <f t="shared" si="32"/>
        <v>0</v>
      </c>
      <c r="BJ127" s="12">
        <f t="shared" si="33"/>
        <v>2.2644107848037312E-3</v>
      </c>
      <c r="BL127" s="9"/>
      <c r="BN127">
        <f t="shared" si="34"/>
        <v>0</v>
      </c>
      <c r="BO127">
        <f t="shared" si="35"/>
        <v>0</v>
      </c>
      <c r="BP127">
        <f t="shared" si="36"/>
        <v>0</v>
      </c>
      <c r="BQ127">
        <f t="shared" si="25"/>
        <v>1</v>
      </c>
      <c r="BR127">
        <f t="shared" si="37"/>
        <v>0</v>
      </c>
      <c r="BS127" s="9">
        <f t="shared" si="38"/>
        <v>0</v>
      </c>
      <c r="BT127" s="9">
        <f t="shared" si="39"/>
        <v>0</v>
      </c>
      <c r="BU127" s="9">
        <f t="shared" si="40"/>
        <v>0</v>
      </c>
      <c r="BV127" s="12">
        <f t="shared" si="41"/>
        <v>2.8351866857313284E-3</v>
      </c>
      <c r="BX127" s="12">
        <f t="shared" si="42"/>
        <v>0</v>
      </c>
      <c r="BY127" s="12">
        <f t="shared" si="43"/>
        <v>5.0995974705350597E-3</v>
      </c>
    </row>
    <row r="128" spans="1:77" x14ac:dyDescent="0.3">
      <c r="A128" s="1">
        <v>46210</v>
      </c>
      <c r="B128" s="8">
        <v>53.59</v>
      </c>
      <c r="C128" s="8">
        <v>230.1</v>
      </c>
      <c r="D128" s="9">
        <v>7.68009769188521E-3</v>
      </c>
      <c r="E128" s="9">
        <v>8.2915596133449395E-3</v>
      </c>
      <c r="F128" s="8">
        <v>0</v>
      </c>
      <c r="G128" s="8">
        <v>0.58599999999999997</v>
      </c>
      <c r="H128" s="8">
        <v>0</v>
      </c>
      <c r="I128" s="8">
        <v>2.4407999999999999</v>
      </c>
      <c r="J128" s="8">
        <v>0.58599999999999997</v>
      </c>
      <c r="K128" s="8">
        <v>2.4407999999999999</v>
      </c>
      <c r="L128" s="8">
        <v>54.176000000000002</v>
      </c>
      <c r="M128" s="8">
        <v>232.54079999999999</v>
      </c>
      <c r="N128" s="10">
        <v>4.29371151334204</v>
      </c>
      <c r="O128" s="10">
        <v>4.2929927753205499</v>
      </c>
      <c r="P128" s="10">
        <v>4.2952933785472602</v>
      </c>
      <c r="Q128" s="10">
        <v>4.29574977974384</v>
      </c>
      <c r="R128" s="8">
        <v>230.061482829428</v>
      </c>
      <c r="S128" s="8">
        <v>230.28899886143901</v>
      </c>
      <c r="T128" s="8">
        <v>230.21073868581999</v>
      </c>
      <c r="U128" s="9">
        <v>-1.6740719116579601E-4</v>
      </c>
      <c r="V128" s="9">
        <v>8.2103991417519298E-4</v>
      </c>
      <c r="W128" s="9">
        <v>4.8114753208971102E-4</v>
      </c>
      <c r="X128" s="10">
        <v>4.2923213230950896</v>
      </c>
      <c r="Y128" s="10">
        <v>4.2916660005161003</v>
      </c>
      <c r="Z128" s="10">
        <v>4.2915887339230796</v>
      </c>
      <c r="AA128" s="10">
        <v>4.2912091385135902</v>
      </c>
      <c r="AB128" s="8">
        <v>232.50529724396</v>
      </c>
      <c r="AC128" s="8">
        <v>232.479113425474</v>
      </c>
      <c r="AD128" s="8">
        <v>232.48437913563399</v>
      </c>
      <c r="AE128" s="9">
        <v>-1.5268489002973401E-4</v>
      </c>
      <c r="AF128" s="9">
        <v>-2.6530723999932499E-4</v>
      </c>
      <c r="AG128" s="9">
        <v>-2.42657245989884E-4</v>
      </c>
      <c r="AZ128" s="9"/>
      <c r="BB128">
        <f t="shared" si="26"/>
        <v>0</v>
      </c>
      <c r="BC128">
        <f t="shared" si="27"/>
        <v>0</v>
      </c>
      <c r="BD128">
        <f t="shared" si="28"/>
        <v>0</v>
      </c>
      <c r="BE128">
        <f t="shared" si="24"/>
        <v>1</v>
      </c>
      <c r="BF128">
        <f t="shared" si="29"/>
        <v>0</v>
      </c>
      <c r="BG128" s="9">
        <f t="shared" si="30"/>
        <v>0</v>
      </c>
      <c r="BH128" s="9">
        <f t="shared" si="31"/>
        <v>0</v>
      </c>
      <c r="BI128" s="9">
        <f t="shared" si="32"/>
        <v>0</v>
      </c>
      <c r="BJ128" s="12">
        <f t="shared" si="33"/>
        <v>2.2644107848037312E-3</v>
      </c>
      <c r="BL128" s="9"/>
      <c r="BN128">
        <f t="shared" si="34"/>
        <v>0</v>
      </c>
      <c r="BO128">
        <f t="shared" si="35"/>
        <v>1</v>
      </c>
      <c r="BP128">
        <f t="shared" si="36"/>
        <v>0</v>
      </c>
      <c r="BQ128">
        <f t="shared" si="25"/>
        <v>1</v>
      </c>
      <c r="BR128">
        <f t="shared" si="37"/>
        <v>0</v>
      </c>
      <c r="BS128" s="9">
        <f t="shared" si="38"/>
        <v>0</v>
      </c>
      <c r="BT128" s="9">
        <f t="shared" si="39"/>
        <v>0</v>
      </c>
      <c r="BU128" s="9">
        <f t="shared" si="40"/>
        <v>0</v>
      </c>
      <c r="BV128" s="12">
        <f t="shared" si="41"/>
        <v>2.8351866857313284E-3</v>
      </c>
      <c r="BX128" s="12">
        <f t="shared" si="42"/>
        <v>0</v>
      </c>
      <c r="BY128" s="12">
        <f t="shared" si="43"/>
        <v>5.0995974705350597E-3</v>
      </c>
    </row>
    <row r="129" spans="1:77" x14ac:dyDescent="0.3">
      <c r="A129" s="1">
        <v>46211</v>
      </c>
      <c r="B129" s="8">
        <v>53.3</v>
      </c>
      <c r="C129" s="8">
        <v>228.81</v>
      </c>
      <c r="D129" s="9">
        <v>-5.4261523349600996E-3</v>
      </c>
      <c r="E129" s="9">
        <v>-5.6220321970632797E-3</v>
      </c>
      <c r="F129" s="8">
        <v>0</v>
      </c>
      <c r="G129" s="8">
        <v>0.58599999999999997</v>
      </c>
      <c r="H129" s="8">
        <v>0</v>
      </c>
      <c r="I129" s="8">
        <v>2.4407999999999999</v>
      </c>
      <c r="J129" s="8">
        <v>0.58599999999999997</v>
      </c>
      <c r="K129" s="8">
        <v>2.4407999999999999</v>
      </c>
      <c r="L129" s="8">
        <v>53.885999999999903</v>
      </c>
      <c r="M129" s="8">
        <v>231.2508</v>
      </c>
      <c r="N129" s="10">
        <v>4.2928705440900501</v>
      </c>
      <c r="O129" s="10">
        <v>4.2929927753205499</v>
      </c>
      <c r="P129" s="10">
        <v>4.2926635302178298</v>
      </c>
      <c r="Q129" s="10">
        <v>4.2958449075580996</v>
      </c>
      <c r="R129" s="8">
        <v>228.81651492458499</v>
      </c>
      <c r="S129" s="8">
        <v>228.93913707656901</v>
      </c>
      <c r="T129" s="8">
        <v>228.963463260346</v>
      </c>
      <c r="U129" s="9">
        <v>2.84726709372739E-5</v>
      </c>
      <c r="V129" s="9">
        <v>5.6422642681409798E-4</v>
      </c>
      <c r="W129" s="9">
        <v>6.7047689921943398E-4</v>
      </c>
      <c r="X129" s="10">
        <v>4.2914820175926902</v>
      </c>
      <c r="Y129" s="10">
        <v>4.2916660005161003</v>
      </c>
      <c r="Z129" s="10">
        <v>4.2912747046602302</v>
      </c>
      <c r="AA129" s="10">
        <v>4.2912608782031603</v>
      </c>
      <c r="AB129" s="8">
        <v>231.26071410381101</v>
      </c>
      <c r="AC129" s="8">
        <v>231.256550516179</v>
      </c>
      <c r="AD129" s="8">
        <v>231.23609563794301</v>
      </c>
      <c r="AE129" s="9">
        <v>4.2870732988153898E-5</v>
      </c>
      <c r="AF129" s="9">
        <v>2.4866701785166399E-5</v>
      </c>
      <c r="AG129" s="9">
        <v>-6.3588232229154203E-5</v>
      </c>
      <c r="AZ129" s="9"/>
      <c r="BB129">
        <f t="shared" si="26"/>
        <v>0</v>
      </c>
      <c r="BC129">
        <f t="shared" si="27"/>
        <v>0</v>
      </c>
      <c r="BD129">
        <f t="shared" si="28"/>
        <v>0</v>
      </c>
      <c r="BE129">
        <f t="shared" si="24"/>
        <v>1</v>
      </c>
      <c r="BF129">
        <f t="shared" si="29"/>
        <v>0</v>
      </c>
      <c r="BG129" s="9">
        <f t="shared" si="30"/>
        <v>0</v>
      </c>
      <c r="BH129" s="9">
        <f t="shared" si="31"/>
        <v>0</v>
      </c>
      <c r="BI129" s="9">
        <f t="shared" si="32"/>
        <v>0</v>
      </c>
      <c r="BJ129" s="12">
        <f t="shared" si="33"/>
        <v>2.2644107848037312E-3</v>
      </c>
      <c r="BL129" s="9"/>
      <c r="BN129">
        <f t="shared" si="34"/>
        <v>0</v>
      </c>
      <c r="BO129">
        <f t="shared" si="35"/>
        <v>1</v>
      </c>
      <c r="BP129">
        <f t="shared" si="36"/>
        <v>0</v>
      </c>
      <c r="BQ129">
        <f t="shared" si="25"/>
        <v>1</v>
      </c>
      <c r="BR129">
        <f t="shared" si="37"/>
        <v>0</v>
      </c>
      <c r="BS129" s="9">
        <f t="shared" si="38"/>
        <v>0</v>
      </c>
      <c r="BT129" s="9">
        <f t="shared" si="39"/>
        <v>0</v>
      </c>
      <c r="BU129" s="9">
        <f t="shared" si="40"/>
        <v>0</v>
      </c>
      <c r="BV129" s="12">
        <f t="shared" si="41"/>
        <v>2.8351866857313284E-3</v>
      </c>
      <c r="BX129" s="12">
        <f t="shared" si="42"/>
        <v>0</v>
      </c>
      <c r="BY129" s="12">
        <f t="shared" si="43"/>
        <v>5.0995974705350597E-3</v>
      </c>
    </row>
    <row r="130" spans="1:77" x14ac:dyDescent="0.3">
      <c r="A130" s="1">
        <v>46212</v>
      </c>
      <c r="B130" s="8">
        <v>52.57</v>
      </c>
      <c r="C130" s="8">
        <v>225.6</v>
      </c>
      <c r="D130" s="9">
        <v>-1.37907163404421E-2</v>
      </c>
      <c r="E130" s="9">
        <v>-1.41284452203531E-2</v>
      </c>
      <c r="F130" s="8">
        <v>0</v>
      </c>
      <c r="G130" s="8">
        <v>0.58599999999999997</v>
      </c>
      <c r="H130" s="8">
        <v>0</v>
      </c>
      <c r="I130" s="8">
        <v>2.4407999999999999</v>
      </c>
      <c r="J130" s="8">
        <v>0.58599999999999997</v>
      </c>
      <c r="K130" s="8">
        <v>2.4407999999999999</v>
      </c>
      <c r="L130" s="8">
        <v>53.155999999999999</v>
      </c>
      <c r="M130" s="8">
        <v>228.04079999999999</v>
      </c>
      <c r="N130" s="10">
        <v>4.2914209625261499</v>
      </c>
      <c r="O130" s="10">
        <v>4.2929927753205499</v>
      </c>
      <c r="P130" s="10">
        <v>4.2925976129898196</v>
      </c>
      <c r="Q130" s="10">
        <v>4.2956934188780602</v>
      </c>
      <c r="R130" s="8">
        <v>225.682630198601</v>
      </c>
      <c r="S130" s="8">
        <v>225.66532178355101</v>
      </c>
      <c r="T130" s="8">
        <v>225.832566790329</v>
      </c>
      <c r="U130" s="9">
        <v>3.6620155084840099E-4</v>
      </c>
      <c r="V130" s="9">
        <v>2.8950500228853602E-4</v>
      </c>
      <c r="W130" s="9">
        <v>1.03035016971785E-3</v>
      </c>
      <c r="X130" s="10">
        <v>4.2900293475806999</v>
      </c>
      <c r="Y130" s="10">
        <v>4.2916660005161003</v>
      </c>
      <c r="Z130" s="10">
        <v>4.2912073379144804</v>
      </c>
      <c r="AA130" s="10">
        <v>4.2910665505756196</v>
      </c>
      <c r="AB130" s="8">
        <v>228.127797923434</v>
      </c>
      <c r="AC130" s="8">
        <v>228.10699820091901</v>
      </c>
      <c r="AD130" s="8">
        <v>228.10626324176701</v>
      </c>
      <c r="AE130" s="9">
        <v>3.8142881770062098E-4</v>
      </c>
      <c r="AF130" s="9">
        <v>2.9024891337946701E-4</v>
      </c>
      <c r="AG130" s="9">
        <v>2.8702691518564402E-4</v>
      </c>
      <c r="AZ130" s="9"/>
      <c r="BB130">
        <f t="shared" si="26"/>
        <v>0</v>
      </c>
      <c r="BC130">
        <f t="shared" si="27"/>
        <v>1</v>
      </c>
      <c r="BD130">
        <f t="shared" si="28"/>
        <v>0</v>
      </c>
      <c r="BE130">
        <f t="shared" si="24"/>
        <v>1</v>
      </c>
      <c r="BF130">
        <f t="shared" si="29"/>
        <v>0</v>
      </c>
      <c r="BG130" s="9">
        <f t="shared" si="30"/>
        <v>0</v>
      </c>
      <c r="BH130" s="9">
        <f t="shared" si="31"/>
        <v>0</v>
      </c>
      <c r="BI130" s="9">
        <f t="shared" si="32"/>
        <v>0</v>
      </c>
      <c r="BJ130" s="12">
        <f t="shared" si="33"/>
        <v>2.2644107848037312E-3</v>
      </c>
      <c r="BL130" s="9"/>
      <c r="BN130">
        <f t="shared" si="34"/>
        <v>0</v>
      </c>
      <c r="BO130">
        <f t="shared" si="35"/>
        <v>0</v>
      </c>
      <c r="BP130">
        <f t="shared" si="36"/>
        <v>0</v>
      </c>
      <c r="BQ130">
        <f t="shared" si="25"/>
        <v>1</v>
      </c>
      <c r="BR130">
        <f t="shared" si="37"/>
        <v>0</v>
      </c>
      <c r="BS130" s="9">
        <f t="shared" si="38"/>
        <v>0</v>
      </c>
      <c r="BT130" s="9">
        <f t="shared" si="39"/>
        <v>0</v>
      </c>
      <c r="BU130" s="9">
        <f t="shared" si="40"/>
        <v>0</v>
      </c>
      <c r="BV130" s="12">
        <f t="shared" si="41"/>
        <v>2.8351866857313284E-3</v>
      </c>
      <c r="BX130" s="12">
        <f t="shared" si="42"/>
        <v>0</v>
      </c>
      <c r="BY130" s="12">
        <f t="shared" si="43"/>
        <v>5.0995974705350597E-3</v>
      </c>
    </row>
    <row r="131" spans="1:77" x14ac:dyDescent="0.3">
      <c r="A131" s="1">
        <v>46213</v>
      </c>
      <c r="B131" s="8">
        <v>53.1</v>
      </c>
      <c r="C131" s="8">
        <v>228.14</v>
      </c>
      <c r="D131" s="9">
        <v>1.00313134165365E-2</v>
      </c>
      <c r="E131" s="9">
        <v>1.1195955975847801E-2</v>
      </c>
      <c r="F131" s="8">
        <v>0</v>
      </c>
      <c r="G131" s="8">
        <v>0.58599999999999997</v>
      </c>
      <c r="H131" s="8">
        <v>0</v>
      </c>
      <c r="I131" s="8">
        <v>2.4407999999999999</v>
      </c>
      <c r="J131" s="8">
        <v>0.58599999999999997</v>
      </c>
      <c r="K131" s="8">
        <v>2.4407999999999999</v>
      </c>
      <c r="L131" s="8">
        <v>53.686</v>
      </c>
      <c r="M131" s="8">
        <v>230.58079999999899</v>
      </c>
      <c r="N131" s="10">
        <v>4.2964218455743799</v>
      </c>
      <c r="O131" s="10">
        <v>4.2929927753205499</v>
      </c>
      <c r="P131" s="10">
        <v>4.2932611303771697</v>
      </c>
      <c r="Q131" s="10">
        <v>4.2959624799937304</v>
      </c>
      <c r="R131" s="8">
        <v>227.957916369521</v>
      </c>
      <c r="S131" s="8">
        <v>227.93693324975899</v>
      </c>
      <c r="T131" s="8">
        <v>228.10132054242499</v>
      </c>
      <c r="U131" s="9">
        <v>-7.98441008463078E-4</v>
      </c>
      <c r="V131" s="9">
        <v>-8.9049346219768801E-4</v>
      </c>
      <c r="W131" s="9">
        <v>-1.69557012596748E-4</v>
      </c>
      <c r="X131" s="10">
        <v>4.2949893827068504</v>
      </c>
      <c r="Y131" s="10">
        <v>4.2916660005161003</v>
      </c>
      <c r="Z131" s="10">
        <v>4.2918639429265202</v>
      </c>
      <c r="AA131" s="10">
        <v>4.2912893591943604</v>
      </c>
      <c r="AB131" s="8">
        <v>230.40238090370701</v>
      </c>
      <c r="AC131" s="8">
        <v>230.37775714327699</v>
      </c>
      <c r="AD131" s="8">
        <v>230.37019883420299</v>
      </c>
      <c r="AE131" s="9">
        <v>-7.7408075865778797E-4</v>
      </c>
      <c r="AF131" s="9">
        <v>-8.8095932576957305E-4</v>
      </c>
      <c r="AG131" s="9">
        <v>-9.1376819220895396E-4</v>
      </c>
      <c r="AZ131" s="9"/>
      <c r="BB131">
        <f t="shared" si="26"/>
        <v>1</v>
      </c>
      <c r="BC131">
        <f t="shared" si="27"/>
        <v>0</v>
      </c>
      <c r="BD131">
        <f t="shared" si="28"/>
        <v>0</v>
      </c>
      <c r="BE131">
        <f t="shared" si="24"/>
        <v>1</v>
      </c>
      <c r="BF131">
        <f t="shared" si="29"/>
        <v>0</v>
      </c>
      <c r="BG131" s="9">
        <f t="shared" si="30"/>
        <v>0</v>
      </c>
      <c r="BH131" s="9">
        <f t="shared" si="31"/>
        <v>0</v>
      </c>
      <c r="BI131" s="9">
        <f t="shared" si="32"/>
        <v>0</v>
      </c>
      <c r="BJ131" s="12">
        <f t="shared" si="33"/>
        <v>2.2644107848037312E-3</v>
      </c>
      <c r="BL131" s="9"/>
      <c r="BN131">
        <f t="shared" si="34"/>
        <v>0</v>
      </c>
      <c r="BO131">
        <f t="shared" si="35"/>
        <v>1</v>
      </c>
      <c r="BP131">
        <f t="shared" si="36"/>
        <v>0</v>
      </c>
      <c r="BQ131">
        <f t="shared" si="25"/>
        <v>1</v>
      </c>
      <c r="BR131">
        <f t="shared" si="37"/>
        <v>0</v>
      </c>
      <c r="BS131" s="9">
        <f t="shared" si="38"/>
        <v>0</v>
      </c>
      <c r="BT131" s="9">
        <f t="shared" si="39"/>
        <v>0</v>
      </c>
      <c r="BU131" s="9">
        <f t="shared" si="40"/>
        <v>0</v>
      </c>
      <c r="BV131" s="12">
        <f t="shared" si="41"/>
        <v>2.8351866857313284E-3</v>
      </c>
      <c r="BX131" s="12">
        <f t="shared" si="42"/>
        <v>0</v>
      </c>
      <c r="BY131" s="12">
        <f t="shared" si="43"/>
        <v>5.0995974705350597E-3</v>
      </c>
    </row>
    <row r="132" spans="1:77" x14ac:dyDescent="0.3">
      <c r="A132" s="1">
        <v>46216</v>
      </c>
      <c r="B132" s="8">
        <v>53.4</v>
      </c>
      <c r="C132" s="8">
        <v>229.27</v>
      </c>
      <c r="D132" s="9">
        <v>5.6338177182558404E-3</v>
      </c>
      <c r="E132" s="9">
        <v>4.9408727348189798E-3</v>
      </c>
      <c r="F132" s="8">
        <v>0</v>
      </c>
      <c r="G132" s="8">
        <v>0.58599999999999997</v>
      </c>
      <c r="H132" s="8">
        <v>0</v>
      </c>
      <c r="I132" s="8">
        <v>2.4407999999999999</v>
      </c>
      <c r="J132" s="8">
        <v>0.58599999999999997</v>
      </c>
      <c r="K132" s="8">
        <v>2.4407999999999999</v>
      </c>
      <c r="L132" s="8">
        <v>53.985999999999997</v>
      </c>
      <c r="M132" s="8">
        <v>231.71080000000001</v>
      </c>
      <c r="N132" s="10">
        <v>4.29344569288389</v>
      </c>
      <c r="O132" s="10">
        <v>4.2929927753205499</v>
      </c>
      <c r="P132" s="10">
        <v>4.29327311413555</v>
      </c>
      <c r="Q132" s="10">
        <v>4.2959529633725797</v>
      </c>
      <c r="R132" s="8">
        <v>229.245814202117</v>
      </c>
      <c r="S132" s="8">
        <v>229.26014436214101</v>
      </c>
      <c r="T132" s="8">
        <v>229.40439643166499</v>
      </c>
      <c r="U132" s="9">
        <v>-1.0549602502619E-4</v>
      </c>
      <c r="V132" s="9">
        <v>-4.2987960471983502E-5</v>
      </c>
      <c r="W132" s="9">
        <v>5.8602109277246597E-4</v>
      </c>
      <c r="X132" s="10">
        <v>4.2920534953506397</v>
      </c>
      <c r="Y132" s="10">
        <v>4.2916660005161003</v>
      </c>
      <c r="Z132" s="10">
        <v>4.2918755651148901</v>
      </c>
      <c r="AA132" s="10">
        <v>4.2912363796957402</v>
      </c>
      <c r="AB132" s="8">
        <v>231.689880703862</v>
      </c>
      <c r="AC132" s="8">
        <v>231.70056682283101</v>
      </c>
      <c r="AD132" s="8">
        <v>231.66954734546599</v>
      </c>
      <c r="AE132" s="9">
        <v>-9.0285996644526003E-5</v>
      </c>
      <c r="AF132" s="9">
        <v>-4.4164549696946401E-5</v>
      </c>
      <c r="AG132" s="9">
        <v>-1.78050946176073E-4</v>
      </c>
      <c r="AZ132" s="9"/>
      <c r="BB132">
        <f t="shared" si="26"/>
        <v>0</v>
      </c>
      <c r="BC132">
        <f t="shared" si="27"/>
        <v>0</v>
      </c>
      <c r="BD132">
        <f t="shared" si="28"/>
        <v>1</v>
      </c>
      <c r="BE132">
        <f t="shared" si="24"/>
        <v>1</v>
      </c>
      <c r="BF132">
        <f t="shared" si="29"/>
        <v>1</v>
      </c>
      <c r="BG132" s="9">
        <f t="shared" si="30"/>
        <v>5.6338177182558404E-3</v>
      </c>
      <c r="BH132" s="9">
        <f t="shared" si="31"/>
        <v>-4.9408727348189798E-3</v>
      </c>
      <c r="BI132" s="9">
        <f t="shared" si="32"/>
        <v>6.9294498343686062E-4</v>
      </c>
      <c r="BJ132" s="12">
        <f t="shared" si="33"/>
        <v>2.9573557682405919E-3</v>
      </c>
      <c r="BL132" s="9"/>
      <c r="BN132">
        <f t="shared" si="34"/>
        <v>0</v>
      </c>
      <c r="BO132">
        <f t="shared" si="35"/>
        <v>1</v>
      </c>
      <c r="BP132">
        <f t="shared" si="36"/>
        <v>0</v>
      </c>
      <c r="BQ132">
        <f t="shared" si="25"/>
        <v>1</v>
      </c>
      <c r="BR132">
        <f t="shared" si="37"/>
        <v>0</v>
      </c>
      <c r="BS132" s="9">
        <f t="shared" si="38"/>
        <v>0</v>
      </c>
      <c r="BT132" s="9">
        <f t="shared" si="39"/>
        <v>0</v>
      </c>
      <c r="BU132" s="9">
        <f t="shared" si="40"/>
        <v>0</v>
      </c>
      <c r="BV132" s="12">
        <f t="shared" si="41"/>
        <v>2.8351866857313284E-3</v>
      </c>
      <c r="BX132" s="12">
        <f t="shared" si="42"/>
        <v>6.9294498343686062E-4</v>
      </c>
      <c r="BY132" s="12">
        <f t="shared" si="43"/>
        <v>5.7925424539719203E-3</v>
      </c>
    </row>
    <row r="133" spans="1:77" x14ac:dyDescent="0.3">
      <c r="A133" s="1">
        <v>46217</v>
      </c>
      <c r="B133" s="8">
        <v>52.74</v>
      </c>
      <c r="C133" s="8">
        <v>226.29</v>
      </c>
      <c r="D133" s="9">
        <v>-1.24365650410084E-2</v>
      </c>
      <c r="E133" s="9">
        <v>-1.30829858009216E-2</v>
      </c>
      <c r="F133" s="8">
        <v>0</v>
      </c>
      <c r="G133" s="8">
        <v>0.58599999999999997</v>
      </c>
      <c r="H133" s="8">
        <v>0</v>
      </c>
      <c r="I133" s="8">
        <v>2.4407999999999999</v>
      </c>
      <c r="J133" s="8">
        <v>0.58599999999999997</v>
      </c>
      <c r="K133" s="8">
        <v>2.4407999999999999</v>
      </c>
      <c r="L133" s="8">
        <v>53.326000000000001</v>
      </c>
      <c r="M133" s="8">
        <v>228.73079999999999</v>
      </c>
      <c r="N133" s="10">
        <v>4.2906712172923704</v>
      </c>
      <c r="O133" s="10">
        <v>4.2929927753205499</v>
      </c>
      <c r="P133" s="10">
        <v>4.2930101551742297</v>
      </c>
      <c r="Q133" s="10">
        <v>4.29587739468628</v>
      </c>
      <c r="R133" s="8">
        <v>226.41243897040499</v>
      </c>
      <c r="S133" s="8">
        <v>226.42722403950901</v>
      </c>
      <c r="T133" s="8">
        <v>226.568559288269</v>
      </c>
      <c r="U133" s="9">
        <v>5.4092473488702301E-4</v>
      </c>
      <c r="V133" s="9">
        <v>6.0622409055882903E-4</v>
      </c>
      <c r="W133" s="9">
        <v>1.23022660249626E-3</v>
      </c>
      <c r="X133" s="10">
        <v>4.2892922776881797</v>
      </c>
      <c r="Y133" s="10">
        <v>4.2916660005161003</v>
      </c>
      <c r="Z133" s="10">
        <v>4.291614058605</v>
      </c>
      <c r="AA133" s="10">
        <v>4.2911174457860302</v>
      </c>
      <c r="AB133" s="8">
        <v>228.85738114352199</v>
      </c>
      <c r="AC133" s="8">
        <v>228.86855638531699</v>
      </c>
      <c r="AD133" s="8">
        <v>228.83447118365501</v>
      </c>
      <c r="AE133" s="9">
        <v>5.5325356714628E-4</v>
      </c>
      <c r="AF133" s="9">
        <v>6.0208296867641196E-4</v>
      </c>
      <c r="AG133" s="9">
        <v>4.5314271846362699E-4</v>
      </c>
      <c r="AZ133" s="9"/>
      <c r="BB133">
        <f t="shared" si="26"/>
        <v>0</v>
      </c>
      <c r="BC133">
        <f t="shared" si="27"/>
        <v>1</v>
      </c>
      <c r="BD133">
        <f t="shared" si="28"/>
        <v>1</v>
      </c>
      <c r="BE133">
        <f t="shared" si="24"/>
        <v>1</v>
      </c>
      <c r="BF133">
        <f t="shared" si="29"/>
        <v>1</v>
      </c>
      <c r="BG133" s="9">
        <f t="shared" si="30"/>
        <v>-1.24365650410084E-2</v>
      </c>
      <c r="BH133" s="9">
        <f t="shared" si="31"/>
        <v>1.30829858009216E-2</v>
      </c>
      <c r="BI133" s="9">
        <f t="shared" si="32"/>
        <v>6.4642075991320005E-4</v>
      </c>
      <c r="BJ133" s="12">
        <f t="shared" si="33"/>
        <v>3.6037765281537919E-3</v>
      </c>
      <c r="BL133" s="9"/>
      <c r="BN133">
        <f t="shared" si="34"/>
        <v>0</v>
      </c>
      <c r="BO133">
        <f t="shared" si="35"/>
        <v>0</v>
      </c>
      <c r="BP133">
        <f t="shared" si="36"/>
        <v>0</v>
      </c>
      <c r="BQ133">
        <f t="shared" si="25"/>
        <v>1</v>
      </c>
      <c r="BR133">
        <f t="shared" si="37"/>
        <v>0</v>
      </c>
      <c r="BS133" s="9">
        <f t="shared" si="38"/>
        <v>0</v>
      </c>
      <c r="BT133" s="9">
        <f t="shared" si="39"/>
        <v>0</v>
      </c>
      <c r="BU133" s="9">
        <f t="shared" si="40"/>
        <v>0</v>
      </c>
      <c r="BV133" s="12">
        <f t="shared" si="41"/>
        <v>2.8351866857313284E-3</v>
      </c>
      <c r="BX133" s="12">
        <f t="shared" si="42"/>
        <v>6.4642075991320005E-4</v>
      </c>
      <c r="BY133" s="12">
        <f t="shared" si="43"/>
        <v>6.4389632138851204E-3</v>
      </c>
    </row>
    <row r="134" spans="1:77" x14ac:dyDescent="0.3">
      <c r="A134" s="1">
        <v>46218</v>
      </c>
      <c r="B134" s="8">
        <v>52.68</v>
      </c>
      <c r="C134" s="8">
        <v>226.34</v>
      </c>
      <c r="D134" s="9">
        <v>-1.13830405006039E-3</v>
      </c>
      <c r="E134" s="9">
        <v>2.20931004146354E-4</v>
      </c>
      <c r="F134" s="8">
        <v>0</v>
      </c>
      <c r="G134" s="8">
        <v>0.58599999999999997</v>
      </c>
      <c r="H134" s="8">
        <v>0</v>
      </c>
      <c r="I134" s="8">
        <v>2.4407999999999999</v>
      </c>
      <c r="J134" s="8">
        <v>0.58599999999999997</v>
      </c>
      <c r="K134" s="8">
        <v>2.4407999999999999</v>
      </c>
      <c r="L134" s="8">
        <v>53.265999999999998</v>
      </c>
      <c r="M134" s="8">
        <v>228.7808</v>
      </c>
      <c r="N134" s="10">
        <v>4.2965072133637001</v>
      </c>
      <c r="O134" s="10">
        <v>4.2929927753205499</v>
      </c>
      <c r="P134" s="10">
        <v>4.2934831071919799</v>
      </c>
      <c r="Q134" s="10">
        <v>4.2960912218851499</v>
      </c>
      <c r="R134" s="8">
        <v>226.15485940388601</v>
      </c>
      <c r="S134" s="8">
        <v>226.15577497457801</v>
      </c>
      <c r="T134" s="8">
        <v>226.30682115207301</v>
      </c>
      <c r="U134" s="9">
        <v>-8.1831031931977303E-4</v>
      </c>
      <c r="V134" s="9">
        <v>-8.1426190381817898E-4</v>
      </c>
      <c r="W134" s="9">
        <v>-1.4659927535301101E-4</v>
      </c>
      <c r="X134" s="10">
        <v>4.29506251642698</v>
      </c>
      <c r="Y134" s="10">
        <v>4.2916660005161003</v>
      </c>
      <c r="Z134" s="10">
        <v>4.2920821744949604</v>
      </c>
      <c r="AA134" s="10">
        <v>4.2912847176789404</v>
      </c>
      <c r="AB134" s="8">
        <v>228.59988118349099</v>
      </c>
      <c r="AC134" s="8">
        <v>228.59711444565301</v>
      </c>
      <c r="AD134" s="8">
        <v>228.57066186723901</v>
      </c>
      <c r="AE134" s="9">
        <v>-7.9110829725699105E-4</v>
      </c>
      <c r="AF134" s="9">
        <v>-8.0321134195570504E-4</v>
      </c>
      <c r="AG134" s="9">
        <v>-9.1893506447076202E-4</v>
      </c>
      <c r="AZ134" s="9"/>
      <c r="BB134">
        <f t="shared" si="26"/>
        <v>1</v>
      </c>
      <c r="BC134">
        <f t="shared" si="27"/>
        <v>0</v>
      </c>
      <c r="BD134">
        <f t="shared" si="28"/>
        <v>0</v>
      </c>
      <c r="BE134">
        <f t="shared" si="24"/>
        <v>1</v>
      </c>
      <c r="BF134">
        <f t="shared" si="29"/>
        <v>0</v>
      </c>
      <c r="BG134" s="9">
        <f t="shared" si="30"/>
        <v>0</v>
      </c>
      <c r="BH134" s="9">
        <f t="shared" si="31"/>
        <v>0</v>
      </c>
      <c r="BI134" s="9">
        <f t="shared" si="32"/>
        <v>0</v>
      </c>
      <c r="BJ134" s="12">
        <f t="shared" si="33"/>
        <v>3.6037765281537919E-3</v>
      </c>
      <c r="BL134" s="9"/>
      <c r="BN134">
        <f t="shared" si="34"/>
        <v>0</v>
      </c>
      <c r="BO134">
        <f t="shared" si="35"/>
        <v>1</v>
      </c>
      <c r="BP134">
        <f t="shared" si="36"/>
        <v>0</v>
      </c>
      <c r="BQ134">
        <f t="shared" si="25"/>
        <v>1</v>
      </c>
      <c r="BR134">
        <f t="shared" si="37"/>
        <v>0</v>
      </c>
      <c r="BS134" s="9">
        <f t="shared" si="38"/>
        <v>0</v>
      </c>
      <c r="BT134" s="9">
        <f t="shared" si="39"/>
        <v>0</v>
      </c>
      <c r="BU134" s="9">
        <f t="shared" si="40"/>
        <v>0</v>
      </c>
      <c r="BV134" s="12">
        <f t="shared" si="41"/>
        <v>2.8351866857313284E-3</v>
      </c>
      <c r="BX134" s="12">
        <f t="shared" si="42"/>
        <v>0</v>
      </c>
      <c r="BY134" s="12">
        <f t="shared" si="43"/>
        <v>6.4389632138851204E-3</v>
      </c>
    </row>
    <row r="135" spans="1:77" x14ac:dyDescent="0.3">
      <c r="A135" s="1">
        <v>46219</v>
      </c>
      <c r="B135" s="8">
        <v>54.12</v>
      </c>
      <c r="C135" s="8">
        <v>232.34</v>
      </c>
      <c r="D135" s="9">
        <v>2.6967926427506901E-2</v>
      </c>
      <c r="E135" s="9">
        <v>2.61635225475331E-2</v>
      </c>
      <c r="F135" s="8">
        <v>0</v>
      </c>
      <c r="G135" s="8">
        <v>0.58599999999999997</v>
      </c>
      <c r="H135" s="8">
        <v>0</v>
      </c>
      <c r="I135" s="8">
        <v>2.4407999999999999</v>
      </c>
      <c r="J135" s="8">
        <v>0.58599999999999997</v>
      </c>
      <c r="K135" s="8">
        <v>2.4407999999999999</v>
      </c>
      <c r="L135" s="8">
        <v>54.705999999999896</v>
      </c>
      <c r="M135" s="8">
        <v>234.7808</v>
      </c>
      <c r="N135" s="10">
        <v>4.2930524759792998</v>
      </c>
      <c r="O135" s="10">
        <v>4.2929927753205499</v>
      </c>
      <c r="P135" s="10">
        <v>4.2930622231809403</v>
      </c>
      <c r="Q135" s="10">
        <v>4.29630207564154</v>
      </c>
      <c r="R135" s="8">
        <v>232.336769000348</v>
      </c>
      <c r="S135" s="8">
        <v>232.36330576123001</v>
      </c>
      <c r="T135" s="8">
        <v>232.50445692842399</v>
      </c>
      <c r="U135" s="9">
        <v>-1.3906439346049699E-5</v>
      </c>
      <c r="V135" s="9">
        <v>1.00303832406458E-4</v>
      </c>
      <c r="W135" s="9">
        <v>7.0757834297091701E-4</v>
      </c>
      <c r="X135" s="10">
        <v>4.2916828135853402</v>
      </c>
      <c r="Y135" s="10">
        <v>4.2916660005161003</v>
      </c>
      <c r="Z135" s="10">
        <v>4.2916698968496201</v>
      </c>
      <c r="AA135" s="10">
        <v>4.2914518233674199</v>
      </c>
      <c r="AB135" s="8">
        <v>234.77988022423401</v>
      </c>
      <c r="AC135" s="8">
        <v>234.802647437921</v>
      </c>
      <c r="AD135" s="8">
        <v>234.75902176534399</v>
      </c>
      <c r="AE135" s="9">
        <v>-3.9176013004022098E-6</v>
      </c>
      <c r="AF135" s="9">
        <v>9.3050289809959707E-5</v>
      </c>
      <c r="AG135" s="9">
        <v>-9.2764164663447396E-5</v>
      </c>
      <c r="AZ135" s="9"/>
      <c r="BB135">
        <f t="shared" si="26"/>
        <v>0</v>
      </c>
      <c r="BC135">
        <f t="shared" si="27"/>
        <v>0</v>
      </c>
      <c r="BD135">
        <f t="shared" si="28"/>
        <v>1</v>
      </c>
      <c r="BE135">
        <f t="shared" si="24"/>
        <v>1</v>
      </c>
      <c r="BF135">
        <f t="shared" si="29"/>
        <v>1</v>
      </c>
      <c r="BG135" s="9">
        <f t="shared" si="30"/>
        <v>2.6967926427506901E-2</v>
      </c>
      <c r="BH135" s="9">
        <f t="shared" si="31"/>
        <v>-2.61635225475331E-2</v>
      </c>
      <c r="BI135" s="9">
        <f t="shared" si="32"/>
        <v>8.0440387997380083E-4</v>
      </c>
      <c r="BJ135" s="12">
        <f t="shared" si="33"/>
        <v>4.4081804081275927E-3</v>
      </c>
      <c r="BL135" s="9"/>
      <c r="BN135">
        <f t="shared" si="34"/>
        <v>0</v>
      </c>
      <c r="BO135">
        <f t="shared" si="35"/>
        <v>1</v>
      </c>
      <c r="BP135">
        <f t="shared" si="36"/>
        <v>0</v>
      </c>
      <c r="BQ135">
        <f t="shared" si="25"/>
        <v>1</v>
      </c>
      <c r="BR135">
        <f t="shared" si="37"/>
        <v>0</v>
      </c>
      <c r="BS135" s="9">
        <f t="shared" si="38"/>
        <v>0</v>
      </c>
      <c r="BT135" s="9">
        <f t="shared" si="39"/>
        <v>0</v>
      </c>
      <c r="BU135" s="9">
        <f t="shared" si="40"/>
        <v>0</v>
      </c>
      <c r="BV135" s="12">
        <f t="shared" si="41"/>
        <v>2.8351866857313284E-3</v>
      </c>
      <c r="BX135" s="12">
        <f t="shared" si="42"/>
        <v>8.0440387997380083E-4</v>
      </c>
      <c r="BY135" s="12">
        <f t="shared" si="43"/>
        <v>7.2433670938589212E-3</v>
      </c>
    </row>
    <row r="136" spans="1:77" x14ac:dyDescent="0.3">
      <c r="A136" s="1">
        <v>46220</v>
      </c>
      <c r="B136" s="8">
        <v>53.64</v>
      </c>
      <c r="C136" s="8">
        <v>230.32</v>
      </c>
      <c r="D136" s="9">
        <v>-8.9087448891094403E-3</v>
      </c>
      <c r="E136" s="9">
        <v>-8.7321697814083596E-3</v>
      </c>
      <c r="F136" s="8">
        <v>0</v>
      </c>
      <c r="G136" s="8">
        <v>0.58599999999999997</v>
      </c>
      <c r="H136" s="8">
        <v>0</v>
      </c>
      <c r="I136" s="8">
        <v>2.4407999999999999</v>
      </c>
      <c r="J136" s="8">
        <v>0.58599999999999997</v>
      </c>
      <c r="K136" s="8">
        <v>2.4407999999999999</v>
      </c>
      <c r="L136" s="8">
        <v>54.225999999999999</v>
      </c>
      <c r="M136" s="8">
        <v>232.76079999999999</v>
      </c>
      <c r="N136" s="10">
        <v>4.2938105891126002</v>
      </c>
      <c r="O136" s="10">
        <v>4.2929927753205499</v>
      </c>
      <c r="P136" s="10">
        <v>4.2932998928929402</v>
      </c>
      <c r="Q136" s="10">
        <v>4.2964273877058599</v>
      </c>
      <c r="R136" s="8">
        <v>230.27613246819399</v>
      </c>
      <c r="S136" s="8">
        <v>230.279857651425</v>
      </c>
      <c r="T136" s="8">
        <v>230.45364333741199</v>
      </c>
      <c r="U136" s="9">
        <v>-1.9048154704718199E-4</v>
      </c>
      <c r="V136" s="9">
        <v>-1.74304650811527E-4</v>
      </c>
      <c r="W136" s="9">
        <v>5.8008240311557303E-4</v>
      </c>
      <c r="X136" s="10">
        <v>4.2924206100394597</v>
      </c>
      <c r="Y136" s="10">
        <v>4.2916660005161003</v>
      </c>
      <c r="Z136" s="10">
        <v>4.2919048473646697</v>
      </c>
      <c r="AA136" s="10">
        <v>4.2915335607691896</v>
      </c>
      <c r="AB136" s="8">
        <v>232.71988054398599</v>
      </c>
      <c r="AC136" s="8">
        <v>232.720091826567</v>
      </c>
      <c r="AD136" s="8">
        <v>232.70826657392101</v>
      </c>
      <c r="AE136" s="9">
        <v>-1.7581591601625301E-4</v>
      </c>
      <c r="AF136" s="9">
        <v>-1.7490803275076801E-4</v>
      </c>
      <c r="AG136" s="9">
        <v>-2.2572252411034901E-4</v>
      </c>
      <c r="AZ136" s="9"/>
      <c r="BB136">
        <f t="shared" si="26"/>
        <v>0</v>
      </c>
      <c r="BC136">
        <f t="shared" si="27"/>
        <v>0</v>
      </c>
      <c r="BD136">
        <f t="shared" si="28"/>
        <v>1</v>
      </c>
      <c r="BE136">
        <f t="shared" si="24"/>
        <v>1</v>
      </c>
      <c r="BF136">
        <f t="shared" si="29"/>
        <v>1</v>
      </c>
      <c r="BG136" s="9">
        <f t="shared" si="30"/>
        <v>-8.9087448891094403E-3</v>
      </c>
      <c r="BH136" s="9">
        <f t="shared" si="31"/>
        <v>8.7321697814083596E-3</v>
      </c>
      <c r="BI136" s="9">
        <f t="shared" si="32"/>
        <v>-1.7657510770108069E-4</v>
      </c>
      <c r="BJ136" s="12">
        <f t="shared" si="33"/>
        <v>4.2316053004265121E-3</v>
      </c>
      <c r="BL136" s="9"/>
      <c r="BN136">
        <f t="shared" si="34"/>
        <v>0</v>
      </c>
      <c r="BO136">
        <f t="shared" si="35"/>
        <v>1</v>
      </c>
      <c r="BP136">
        <f t="shared" si="36"/>
        <v>0</v>
      </c>
      <c r="BQ136">
        <f t="shared" si="25"/>
        <v>1</v>
      </c>
      <c r="BR136">
        <f t="shared" si="37"/>
        <v>0</v>
      </c>
      <c r="BS136" s="9">
        <f t="shared" si="38"/>
        <v>0</v>
      </c>
      <c r="BT136" s="9">
        <f t="shared" si="39"/>
        <v>0</v>
      </c>
      <c r="BU136" s="9">
        <f t="shared" si="40"/>
        <v>0</v>
      </c>
      <c r="BV136" s="12">
        <f t="shared" si="41"/>
        <v>2.8351866857313284E-3</v>
      </c>
      <c r="BX136" s="12">
        <f t="shared" si="42"/>
        <v>-1.7657510770108069E-4</v>
      </c>
      <c r="BY136" s="12">
        <f t="shared" si="43"/>
        <v>7.0667919861578405E-3</v>
      </c>
    </row>
    <row r="137" spans="1:77" x14ac:dyDescent="0.3">
      <c r="A137" s="1">
        <v>46223</v>
      </c>
      <c r="B137" s="8">
        <v>53.45</v>
      </c>
      <c r="C137" s="8">
        <v>229.43</v>
      </c>
      <c r="D137" s="9">
        <v>-3.5484209424234401E-3</v>
      </c>
      <c r="E137" s="9">
        <v>-3.8716742218499302E-3</v>
      </c>
      <c r="F137" s="8">
        <v>0</v>
      </c>
      <c r="G137" s="8">
        <v>0.58599999999999997</v>
      </c>
      <c r="H137" s="8">
        <v>0</v>
      </c>
      <c r="I137" s="8">
        <v>2.4407999999999999</v>
      </c>
      <c r="J137" s="8">
        <v>0.58599999999999997</v>
      </c>
      <c r="K137" s="8">
        <v>2.4407999999999999</v>
      </c>
      <c r="L137" s="8">
        <v>54.036000000000001</v>
      </c>
      <c r="M137" s="8">
        <v>231.8708</v>
      </c>
      <c r="N137" s="10">
        <v>4.2924228250701502</v>
      </c>
      <c r="O137" s="10">
        <v>4.2929927753205499</v>
      </c>
      <c r="P137" s="10">
        <v>4.2934334879234601</v>
      </c>
      <c r="Q137" s="10">
        <v>4.2953358787017804</v>
      </c>
      <c r="R137" s="8">
        <v>229.46046384088299</v>
      </c>
      <c r="S137" s="8">
        <v>229.476879275128</v>
      </c>
      <c r="T137" s="8">
        <v>229.644043872878</v>
      </c>
      <c r="U137" s="9">
        <v>1.3277173237920999E-4</v>
      </c>
      <c r="V137" s="9">
        <v>2.04308444297916E-4</v>
      </c>
      <c r="W137" s="9">
        <v>9.3250268119321499E-4</v>
      </c>
      <c r="X137" s="10">
        <v>4.2910430083647899</v>
      </c>
      <c r="Y137" s="10">
        <v>4.2916660005161003</v>
      </c>
      <c r="Z137" s="10">
        <v>4.2920376792430703</v>
      </c>
      <c r="AA137" s="10">
        <v>4.2916101847326003</v>
      </c>
      <c r="AB137" s="8">
        <v>231.90446400388799</v>
      </c>
      <c r="AC137" s="8">
        <v>231.91737033219701</v>
      </c>
      <c r="AD137" s="8">
        <v>231.897307489723</v>
      </c>
      <c r="AE137" s="9">
        <v>1.4517377945943801E-4</v>
      </c>
      <c r="AF137" s="9">
        <v>2.00825874108524E-4</v>
      </c>
      <c r="AG137" s="9">
        <v>1.14313551642441E-4</v>
      </c>
      <c r="AZ137" s="9"/>
      <c r="BB137">
        <f t="shared" si="26"/>
        <v>0</v>
      </c>
      <c r="BC137">
        <f t="shared" si="27"/>
        <v>1</v>
      </c>
      <c r="BD137">
        <f t="shared" si="28"/>
        <v>1</v>
      </c>
      <c r="BE137">
        <f t="shared" si="24"/>
        <v>1</v>
      </c>
      <c r="BF137">
        <f t="shared" si="29"/>
        <v>1</v>
      </c>
      <c r="BG137" s="9">
        <f t="shared" si="30"/>
        <v>-3.5484209424234401E-3</v>
      </c>
      <c r="BH137" s="9">
        <f t="shared" si="31"/>
        <v>3.8716742218499302E-3</v>
      </c>
      <c r="BI137" s="9">
        <f t="shared" si="32"/>
        <v>3.232532794264901E-4</v>
      </c>
      <c r="BJ137" s="12">
        <f t="shared" si="33"/>
        <v>4.5548585798530026E-3</v>
      </c>
      <c r="BL137" s="9"/>
      <c r="BN137">
        <f t="shared" si="34"/>
        <v>0</v>
      </c>
      <c r="BO137">
        <f t="shared" si="35"/>
        <v>0</v>
      </c>
      <c r="BP137">
        <f t="shared" si="36"/>
        <v>0</v>
      </c>
      <c r="BQ137">
        <f t="shared" si="25"/>
        <v>1</v>
      </c>
      <c r="BR137">
        <f t="shared" si="37"/>
        <v>0</v>
      </c>
      <c r="BS137" s="9">
        <f t="shared" si="38"/>
        <v>0</v>
      </c>
      <c r="BT137" s="9">
        <f t="shared" si="39"/>
        <v>0</v>
      </c>
      <c r="BU137" s="9">
        <f t="shared" si="40"/>
        <v>0</v>
      </c>
      <c r="BV137" s="12">
        <f t="shared" si="41"/>
        <v>2.8351866857313284E-3</v>
      </c>
      <c r="BX137" s="12">
        <f t="shared" si="42"/>
        <v>3.232532794264901E-4</v>
      </c>
      <c r="BY137" s="12">
        <f t="shared" si="43"/>
        <v>7.3900452655843302E-3</v>
      </c>
    </row>
    <row r="138" spans="1:77" x14ac:dyDescent="0.3">
      <c r="A138" s="1">
        <v>46224</v>
      </c>
      <c r="B138" s="8">
        <v>53</v>
      </c>
      <c r="C138" s="8">
        <v>227.51</v>
      </c>
      <c r="D138" s="9">
        <v>-8.4547239189324101E-3</v>
      </c>
      <c r="E138" s="9">
        <v>-8.4037786131479393E-3</v>
      </c>
      <c r="F138" s="8">
        <v>0</v>
      </c>
      <c r="G138" s="8">
        <v>0.58599999999999997</v>
      </c>
      <c r="H138" s="8">
        <v>0</v>
      </c>
      <c r="I138" s="8">
        <v>2.4407999999999999</v>
      </c>
      <c r="J138" s="8">
        <v>0.58599999999999997</v>
      </c>
      <c r="K138" s="8">
        <v>2.4407999999999999</v>
      </c>
      <c r="L138" s="8">
        <v>53.585999999999999</v>
      </c>
      <c r="M138" s="8">
        <v>229.95079999999999</v>
      </c>
      <c r="N138" s="10">
        <v>4.2926415094339596</v>
      </c>
      <c r="O138" s="10">
        <v>4.2929927753205499</v>
      </c>
      <c r="P138" s="10">
        <v>4.29332648753266</v>
      </c>
      <c r="Q138" s="10">
        <v>4.2943099330399601</v>
      </c>
      <c r="R138" s="8">
        <v>227.52861709198899</v>
      </c>
      <c r="S138" s="8">
        <v>227.55197485994299</v>
      </c>
      <c r="T138" s="8">
        <v>227.652801571194</v>
      </c>
      <c r="U138" s="9">
        <v>8.1826426594886097E-5</v>
      </c>
      <c r="V138" s="9">
        <v>1.8447975168996299E-4</v>
      </c>
      <c r="W138" s="9">
        <v>6.2747472063749395E-4</v>
      </c>
      <c r="X138" s="10">
        <v>4.2912477139551299</v>
      </c>
      <c r="Y138" s="10">
        <v>4.2916660005161003</v>
      </c>
      <c r="Z138" s="10">
        <v>4.2919303183290802</v>
      </c>
      <c r="AA138" s="10">
        <v>4.2917595261260804</v>
      </c>
      <c r="AB138" s="8">
        <v>229.97321430365599</v>
      </c>
      <c r="AC138" s="8">
        <v>229.99313107991901</v>
      </c>
      <c r="AD138" s="8">
        <v>229.97022335908099</v>
      </c>
      <c r="AE138" s="9">
        <v>9.7469594876063202E-5</v>
      </c>
      <c r="AF138" s="9">
        <v>1.84070610257326E-4</v>
      </c>
      <c r="AG138" s="9">
        <v>8.4463888825635997E-5</v>
      </c>
      <c r="AZ138" s="9"/>
      <c r="BB138">
        <f t="shared" si="26"/>
        <v>0</v>
      </c>
      <c r="BC138">
        <f t="shared" si="27"/>
        <v>1</v>
      </c>
      <c r="BD138">
        <f t="shared" si="28"/>
        <v>0</v>
      </c>
      <c r="BE138">
        <f t="shared" si="24"/>
        <v>1</v>
      </c>
      <c r="BF138">
        <f t="shared" si="29"/>
        <v>0</v>
      </c>
      <c r="BG138" s="9">
        <f t="shared" si="30"/>
        <v>0</v>
      </c>
      <c r="BH138" s="9">
        <f t="shared" si="31"/>
        <v>0</v>
      </c>
      <c r="BI138" s="9">
        <f t="shared" si="32"/>
        <v>0</v>
      </c>
      <c r="BJ138" s="12">
        <f t="shared" si="33"/>
        <v>4.5548585798530026E-3</v>
      </c>
      <c r="BL138" s="9"/>
      <c r="BN138">
        <f t="shared" si="34"/>
        <v>0</v>
      </c>
      <c r="BO138">
        <f t="shared" si="35"/>
        <v>0</v>
      </c>
      <c r="BP138">
        <f t="shared" si="36"/>
        <v>0</v>
      </c>
      <c r="BQ138">
        <f t="shared" si="25"/>
        <v>1</v>
      </c>
      <c r="BR138">
        <f t="shared" si="37"/>
        <v>0</v>
      </c>
      <c r="BS138" s="9">
        <f t="shared" si="38"/>
        <v>0</v>
      </c>
      <c r="BT138" s="9">
        <f t="shared" si="39"/>
        <v>0</v>
      </c>
      <c r="BU138" s="9">
        <f t="shared" si="40"/>
        <v>0</v>
      </c>
      <c r="BV138" s="12">
        <f t="shared" si="41"/>
        <v>2.8351866857313284E-3</v>
      </c>
      <c r="BX138" s="12">
        <f t="shared" si="42"/>
        <v>0</v>
      </c>
      <c r="BY138" s="12">
        <f t="shared" si="43"/>
        <v>7.3900452655843302E-3</v>
      </c>
    </row>
    <row r="139" spans="1:77" x14ac:dyDescent="0.3">
      <c r="A139" s="1">
        <v>46225</v>
      </c>
      <c r="B139" s="8">
        <v>53.14</v>
      </c>
      <c r="C139" s="8">
        <v>228.03</v>
      </c>
      <c r="D139" s="9">
        <v>2.6380267795455799E-3</v>
      </c>
      <c r="E139" s="9">
        <v>2.28300577713633E-3</v>
      </c>
      <c r="F139" s="8">
        <v>0</v>
      </c>
      <c r="G139" s="8">
        <v>0.58599999999999997</v>
      </c>
      <c r="H139" s="8">
        <v>0</v>
      </c>
      <c r="I139" s="8">
        <v>2.4407999999999999</v>
      </c>
      <c r="J139" s="8">
        <v>0.58599999999999997</v>
      </c>
      <c r="K139" s="8">
        <v>2.4407999999999999</v>
      </c>
      <c r="L139" s="8">
        <v>53.725999999999999</v>
      </c>
      <c r="M139" s="8">
        <v>230.4708</v>
      </c>
      <c r="N139" s="10">
        <v>4.2911178020323604</v>
      </c>
      <c r="O139" s="10">
        <v>4.2929927753205499</v>
      </c>
      <c r="P139" s="10">
        <v>4.2931512133268903</v>
      </c>
      <c r="Q139" s="10">
        <v>4.29290737177236</v>
      </c>
      <c r="R139" s="8">
        <v>228.129636080534</v>
      </c>
      <c r="S139" s="8">
        <v>228.147369547485</v>
      </c>
      <c r="T139" s="8">
        <v>228.19962984174299</v>
      </c>
      <c r="U139" s="9">
        <v>4.3684742900405502E-4</v>
      </c>
      <c r="V139" s="9">
        <v>5.1457857364501703E-4</v>
      </c>
      <c r="W139" s="9">
        <v>7.4361610235165905E-4</v>
      </c>
      <c r="X139" s="10">
        <v>4.2897442579011997</v>
      </c>
      <c r="Y139" s="10">
        <v>4.2916660005161003</v>
      </c>
      <c r="Z139" s="10">
        <v>4.2917565423599298</v>
      </c>
      <c r="AA139" s="10">
        <v>4.2915156235100804</v>
      </c>
      <c r="AB139" s="8">
        <v>230.574047543728</v>
      </c>
      <c r="AC139" s="8">
        <v>230.58824828254799</v>
      </c>
      <c r="AD139" s="8">
        <v>230.57907230064899</v>
      </c>
      <c r="AE139" s="9">
        <v>4.4788504200622101E-4</v>
      </c>
      <c r="AF139" s="9">
        <v>5.0947177167924996E-4</v>
      </c>
      <c r="AG139" s="9">
        <v>4.6967718307727301E-4</v>
      </c>
      <c r="AZ139" s="9"/>
      <c r="BB139">
        <f t="shared" si="26"/>
        <v>0</v>
      </c>
      <c r="BC139">
        <f t="shared" si="27"/>
        <v>1</v>
      </c>
      <c r="BD139">
        <f t="shared" si="28"/>
        <v>0</v>
      </c>
      <c r="BE139">
        <f t="shared" si="24"/>
        <v>1</v>
      </c>
      <c r="BF139">
        <f t="shared" si="29"/>
        <v>0</v>
      </c>
      <c r="BG139" s="9">
        <f t="shared" si="30"/>
        <v>0</v>
      </c>
      <c r="BH139" s="9">
        <f t="shared" si="31"/>
        <v>0</v>
      </c>
      <c r="BI139" s="9">
        <f t="shared" si="32"/>
        <v>0</v>
      </c>
      <c r="BJ139" s="12">
        <f t="shared" si="33"/>
        <v>4.5548585798530026E-3</v>
      </c>
      <c r="BL139" s="9"/>
      <c r="BN139">
        <f t="shared" si="34"/>
        <v>0</v>
      </c>
      <c r="BO139">
        <f t="shared" si="35"/>
        <v>0</v>
      </c>
      <c r="BP139">
        <f t="shared" si="36"/>
        <v>0</v>
      </c>
      <c r="BQ139">
        <f t="shared" si="25"/>
        <v>1</v>
      </c>
      <c r="BR139">
        <f t="shared" si="37"/>
        <v>0</v>
      </c>
      <c r="BS139" s="9">
        <f t="shared" si="38"/>
        <v>0</v>
      </c>
      <c r="BT139" s="9">
        <f t="shared" si="39"/>
        <v>0</v>
      </c>
      <c r="BU139" s="9">
        <f t="shared" si="40"/>
        <v>0</v>
      </c>
      <c r="BV139" s="12">
        <f t="shared" si="41"/>
        <v>2.8351866857313284E-3</v>
      </c>
      <c r="BX139" s="12">
        <f t="shared" si="42"/>
        <v>0</v>
      </c>
      <c r="BY139" s="12">
        <f t="shared" si="43"/>
        <v>7.3900452655843302E-3</v>
      </c>
    </row>
    <row r="140" spans="1:77" x14ac:dyDescent="0.3">
      <c r="A140" s="1">
        <v>46226</v>
      </c>
      <c r="B140" s="8">
        <v>52.41</v>
      </c>
      <c r="C140" s="8">
        <v>224.97</v>
      </c>
      <c r="D140" s="9">
        <v>-1.38325275175926E-2</v>
      </c>
      <c r="E140" s="9">
        <v>-1.3510139264651101E-2</v>
      </c>
      <c r="F140" s="8">
        <v>0</v>
      </c>
      <c r="G140" s="8">
        <v>0.58599999999999997</v>
      </c>
      <c r="H140" s="8">
        <v>0</v>
      </c>
      <c r="I140" s="8">
        <v>2.4407999999999999</v>
      </c>
      <c r="J140" s="8">
        <v>0.58599999999999997</v>
      </c>
      <c r="K140" s="8">
        <v>2.4407999999999999</v>
      </c>
      <c r="L140" s="8">
        <v>52.995999999999903</v>
      </c>
      <c r="M140" s="8">
        <v>227.41079999999999</v>
      </c>
      <c r="N140" s="10">
        <v>4.2925014310246103</v>
      </c>
      <c r="O140" s="10">
        <v>4.2929927753205499</v>
      </c>
      <c r="P140" s="10">
        <v>4.2932592601767299</v>
      </c>
      <c r="Q140" s="10">
        <v>4.2929284365832796</v>
      </c>
      <c r="R140" s="8">
        <v>224.99575135455001</v>
      </c>
      <c r="S140" s="8">
        <v>225.004055090462</v>
      </c>
      <c r="T140" s="8">
        <v>224.99127535458899</v>
      </c>
      <c r="U140" s="9">
        <v>1.1445917606257E-4</v>
      </c>
      <c r="V140" s="9">
        <v>1.5136468488413001E-4</v>
      </c>
      <c r="W140" s="9">
        <v>9.4565269371871705E-5</v>
      </c>
      <c r="X140" s="10">
        <v>4.2910936674466003</v>
      </c>
      <c r="Y140" s="10">
        <v>4.2916660005161003</v>
      </c>
      <c r="Z140" s="10">
        <v>4.29186297434652</v>
      </c>
      <c r="AA140" s="10">
        <v>4.2915351561305002</v>
      </c>
      <c r="AB140" s="8">
        <v>227.44113136335099</v>
      </c>
      <c r="AC140" s="8">
        <v>227.445929718906</v>
      </c>
      <c r="AD140" s="8">
        <v>227.43316198354</v>
      </c>
      <c r="AE140" s="9">
        <v>1.3336807565386699E-4</v>
      </c>
      <c r="AF140" s="9">
        <v>1.5446498504488899E-4</v>
      </c>
      <c r="AG140" s="9">
        <v>9.8328153949024398E-5</v>
      </c>
      <c r="AZ140" s="9"/>
      <c r="BB140">
        <f t="shared" si="26"/>
        <v>0</v>
      </c>
      <c r="BC140">
        <f t="shared" si="27"/>
        <v>1</v>
      </c>
      <c r="BD140">
        <f t="shared" si="28"/>
        <v>0</v>
      </c>
      <c r="BE140">
        <f t="shared" si="24"/>
        <v>1</v>
      </c>
      <c r="BF140">
        <f t="shared" si="29"/>
        <v>0</v>
      </c>
      <c r="BG140" s="9">
        <f t="shared" si="30"/>
        <v>0</v>
      </c>
      <c r="BH140" s="9">
        <f t="shared" si="31"/>
        <v>0</v>
      </c>
      <c r="BI140" s="9">
        <f t="shared" si="32"/>
        <v>0</v>
      </c>
      <c r="BJ140" s="12">
        <f t="shared" si="33"/>
        <v>4.5548585798530026E-3</v>
      </c>
      <c r="BL140" s="9"/>
      <c r="BN140">
        <f t="shared" si="34"/>
        <v>0</v>
      </c>
      <c r="BO140">
        <f t="shared" si="35"/>
        <v>0</v>
      </c>
      <c r="BP140">
        <f t="shared" si="36"/>
        <v>0</v>
      </c>
      <c r="BQ140">
        <f t="shared" si="25"/>
        <v>1</v>
      </c>
      <c r="BR140">
        <f t="shared" si="37"/>
        <v>0</v>
      </c>
      <c r="BS140" s="9">
        <f t="shared" si="38"/>
        <v>0</v>
      </c>
      <c r="BT140" s="9">
        <f t="shared" si="39"/>
        <v>0</v>
      </c>
      <c r="BU140" s="9">
        <f t="shared" si="40"/>
        <v>0</v>
      </c>
      <c r="BV140" s="12">
        <f t="shared" si="41"/>
        <v>2.8351866857313284E-3</v>
      </c>
      <c r="BX140" s="12">
        <f t="shared" si="42"/>
        <v>0</v>
      </c>
      <c r="BY140" s="12">
        <f t="shared" si="43"/>
        <v>7.3900452655843302E-3</v>
      </c>
    </row>
    <row r="141" spans="1:77" x14ac:dyDescent="0.3">
      <c r="A141" s="1">
        <v>46227</v>
      </c>
      <c r="B141" s="8">
        <v>52.95</v>
      </c>
      <c r="C141" s="8">
        <v>227.32</v>
      </c>
      <c r="D141" s="9">
        <v>1.0250659233340601E-2</v>
      </c>
      <c r="E141" s="9">
        <v>1.0391656447512901E-2</v>
      </c>
      <c r="F141" s="8">
        <v>0</v>
      </c>
      <c r="G141" s="8">
        <v>0.58599999999999997</v>
      </c>
      <c r="H141" s="8">
        <v>0</v>
      </c>
      <c r="I141" s="8">
        <v>2.4407999999999999</v>
      </c>
      <c r="J141" s="8">
        <v>0.58599999999999997</v>
      </c>
      <c r="K141" s="8">
        <v>2.4407999999999999</v>
      </c>
      <c r="L141" s="8">
        <v>53.536000000000001</v>
      </c>
      <c r="M141" s="8">
        <v>229.76079999999999</v>
      </c>
      <c r="N141" s="10">
        <v>4.2931067044381397</v>
      </c>
      <c r="O141" s="10">
        <v>4.2929927753205499</v>
      </c>
      <c r="P141" s="10">
        <v>4.2929277460631097</v>
      </c>
      <c r="Q141" s="10">
        <v>4.2930944382201401</v>
      </c>
      <c r="R141" s="8">
        <v>227.313967453223</v>
      </c>
      <c r="S141" s="8">
        <v>227.328077826358</v>
      </c>
      <c r="T141" s="8">
        <v>227.310560717084</v>
      </c>
      <c r="U141" s="9">
        <v>-2.6538038109662801E-5</v>
      </c>
      <c r="V141" s="9">
        <v>3.5534413332485598E-5</v>
      </c>
      <c r="W141" s="9">
        <v>-4.1525069945137897E-5</v>
      </c>
      <c r="X141" s="10">
        <v>4.2917065152420797</v>
      </c>
      <c r="Y141" s="10">
        <v>4.2916660005161003</v>
      </c>
      <c r="Z141" s="10">
        <v>4.2915346876000404</v>
      </c>
      <c r="AA141" s="10">
        <v>4.2916993152632799</v>
      </c>
      <c r="AB141" s="8">
        <v>229.75863100363</v>
      </c>
      <c r="AC141" s="8">
        <v>229.769176194615</v>
      </c>
      <c r="AD141" s="8">
        <v>229.75162611860199</v>
      </c>
      <c r="AE141" s="9">
        <v>-9.4402814037764298E-6</v>
      </c>
      <c r="AF141" s="9">
        <v>3.6455487346858401E-5</v>
      </c>
      <c r="AG141" s="9">
        <v>-3.9928763084550302E-5</v>
      </c>
      <c r="AZ141" s="9"/>
      <c r="BB141">
        <f t="shared" si="26"/>
        <v>0</v>
      </c>
      <c r="BC141">
        <f t="shared" si="27"/>
        <v>0</v>
      </c>
      <c r="BD141">
        <f t="shared" si="28"/>
        <v>0</v>
      </c>
      <c r="BE141">
        <f t="shared" si="24"/>
        <v>1</v>
      </c>
      <c r="BF141">
        <f t="shared" si="29"/>
        <v>0</v>
      </c>
      <c r="BG141" s="9">
        <f t="shared" si="30"/>
        <v>0</v>
      </c>
      <c r="BH141" s="9">
        <f t="shared" si="31"/>
        <v>0</v>
      </c>
      <c r="BI141" s="9">
        <f t="shared" si="32"/>
        <v>0</v>
      </c>
      <c r="BJ141" s="12">
        <f t="shared" si="33"/>
        <v>4.5548585798530026E-3</v>
      </c>
      <c r="BL141" s="9"/>
      <c r="BN141">
        <f t="shared" si="34"/>
        <v>0</v>
      </c>
      <c r="BO141">
        <f t="shared" si="35"/>
        <v>1</v>
      </c>
      <c r="BP141">
        <f t="shared" si="36"/>
        <v>0</v>
      </c>
      <c r="BQ141">
        <f t="shared" si="25"/>
        <v>1</v>
      </c>
      <c r="BR141">
        <f t="shared" si="37"/>
        <v>0</v>
      </c>
      <c r="BS141" s="9">
        <f t="shared" si="38"/>
        <v>0</v>
      </c>
      <c r="BT141" s="9">
        <f t="shared" si="39"/>
        <v>0</v>
      </c>
      <c r="BU141" s="9">
        <f t="shared" si="40"/>
        <v>0</v>
      </c>
      <c r="BV141" s="12">
        <f t="shared" si="41"/>
        <v>2.8351866857313284E-3</v>
      </c>
      <c r="BX141" s="12">
        <f t="shared" si="42"/>
        <v>0</v>
      </c>
      <c r="BY141" s="12">
        <f t="shared" si="43"/>
        <v>7.3900452655843302E-3</v>
      </c>
    </row>
    <row r="142" spans="1:77" x14ac:dyDescent="0.3">
      <c r="A142" s="1">
        <v>46230</v>
      </c>
      <c r="B142" s="8">
        <v>53.78</v>
      </c>
      <c r="C142" s="8">
        <v>230.91</v>
      </c>
      <c r="D142" s="9">
        <v>1.55535787933031E-2</v>
      </c>
      <c r="E142" s="9">
        <v>1.5669307785415101E-2</v>
      </c>
      <c r="F142" s="8">
        <v>0</v>
      </c>
      <c r="G142" s="8">
        <v>0.58599999999999997</v>
      </c>
      <c r="H142" s="8">
        <v>0</v>
      </c>
      <c r="I142" s="8">
        <v>2.4407999999999999</v>
      </c>
      <c r="J142" s="8">
        <v>0.58599999999999997</v>
      </c>
      <c r="K142" s="8">
        <v>2.4407999999999999</v>
      </c>
      <c r="L142" s="8">
        <v>54.366</v>
      </c>
      <c r="M142" s="8">
        <v>233.35079999999999</v>
      </c>
      <c r="N142" s="10">
        <v>4.2936035701003998</v>
      </c>
      <c r="O142" s="10">
        <v>4.2929927753205499</v>
      </c>
      <c r="P142" s="10">
        <v>4.2929435337847597</v>
      </c>
      <c r="Q142" s="10">
        <v>4.2931083239601602</v>
      </c>
      <c r="R142" s="8">
        <v>230.877151456739</v>
      </c>
      <c r="S142" s="8">
        <v>230.873654183274</v>
      </c>
      <c r="T142" s="8">
        <v>230.882618887479</v>
      </c>
      <c r="U142" s="9">
        <v>-1.42267030221589E-4</v>
      </c>
      <c r="V142" s="9">
        <v>-1.5741491268291501E-4</v>
      </c>
      <c r="W142" s="9">
        <v>-1.18586185369435E-4</v>
      </c>
      <c r="X142" s="10">
        <v>4.2922194018320203</v>
      </c>
      <c r="Y142" s="10">
        <v>4.2916660005161003</v>
      </c>
      <c r="Z142" s="10">
        <v>4.2915512782481802</v>
      </c>
      <c r="AA142" s="10">
        <v>4.29171342168154</v>
      </c>
      <c r="AB142" s="8">
        <v>233.320713784058</v>
      </c>
      <c r="AC142" s="8">
        <v>233.31357482606299</v>
      </c>
      <c r="AD142" s="8">
        <v>233.32252497360301</v>
      </c>
      <c r="AE142" s="9">
        <v>-1.28939586386661E-4</v>
      </c>
      <c r="AF142" s="9">
        <v>-1.59537243565443E-4</v>
      </c>
      <c r="AG142" s="9">
        <v>-1.21176955774524E-4</v>
      </c>
      <c r="AZ142" s="9"/>
      <c r="BB142">
        <f t="shared" si="26"/>
        <v>0</v>
      </c>
      <c r="BC142">
        <f t="shared" si="27"/>
        <v>0</v>
      </c>
      <c r="BD142">
        <f t="shared" si="28"/>
        <v>0</v>
      </c>
      <c r="BE142">
        <f t="shared" si="24"/>
        <v>1</v>
      </c>
      <c r="BF142">
        <f t="shared" si="29"/>
        <v>0</v>
      </c>
      <c r="BG142" s="9">
        <f t="shared" si="30"/>
        <v>0</v>
      </c>
      <c r="BH142" s="9">
        <f t="shared" si="31"/>
        <v>0</v>
      </c>
      <c r="BI142" s="9">
        <f t="shared" si="32"/>
        <v>0</v>
      </c>
      <c r="BJ142" s="12">
        <f t="shared" si="33"/>
        <v>4.5548585798530026E-3</v>
      </c>
      <c r="BL142" s="9"/>
      <c r="BN142">
        <f t="shared" si="34"/>
        <v>0</v>
      </c>
      <c r="BO142">
        <f t="shared" si="35"/>
        <v>1</v>
      </c>
      <c r="BP142">
        <f t="shared" si="36"/>
        <v>0</v>
      </c>
      <c r="BQ142">
        <f t="shared" si="25"/>
        <v>1</v>
      </c>
      <c r="BR142">
        <f t="shared" si="37"/>
        <v>0</v>
      </c>
      <c r="BS142" s="9">
        <f t="shared" si="38"/>
        <v>0</v>
      </c>
      <c r="BT142" s="9">
        <f t="shared" si="39"/>
        <v>0</v>
      </c>
      <c r="BU142" s="9">
        <f t="shared" si="40"/>
        <v>0</v>
      </c>
      <c r="BV142" s="12">
        <f t="shared" si="41"/>
        <v>2.8351866857313284E-3</v>
      </c>
      <c r="BX142" s="12">
        <f t="shared" si="42"/>
        <v>0</v>
      </c>
      <c r="BY142" s="12">
        <f t="shared" si="43"/>
        <v>7.3900452655843302E-3</v>
      </c>
    </row>
    <row r="143" spans="1:77" x14ac:dyDescent="0.3">
      <c r="A143" s="1">
        <v>46231</v>
      </c>
      <c r="B143" s="8">
        <v>54.89</v>
      </c>
      <c r="C143" s="8">
        <v>235.43</v>
      </c>
      <c r="D143" s="9">
        <v>2.0429531721079201E-2</v>
      </c>
      <c r="E143" s="9">
        <v>1.93856051425229E-2</v>
      </c>
      <c r="F143" s="8">
        <v>0</v>
      </c>
      <c r="G143" s="8">
        <v>0.58599999999999997</v>
      </c>
      <c r="H143" s="8">
        <v>0</v>
      </c>
      <c r="I143" s="8">
        <v>2.4407999999999999</v>
      </c>
      <c r="J143" s="8">
        <v>0.58599999999999997</v>
      </c>
      <c r="K143" s="8">
        <v>2.4407999999999999</v>
      </c>
      <c r="L143" s="8">
        <v>55.475999999999999</v>
      </c>
      <c r="M143" s="8">
        <v>237.8708</v>
      </c>
      <c r="N143" s="10">
        <v>4.2891237019493502</v>
      </c>
      <c r="O143" s="10">
        <v>4.2929927753205499</v>
      </c>
      <c r="P143" s="10">
        <v>4.2927887822504598</v>
      </c>
      <c r="Q143" s="10">
        <v>4.2928994687123403</v>
      </c>
      <c r="R143" s="8">
        <v>235.64237343734499</v>
      </c>
      <c r="S143" s="8">
        <v>235.639670569445</v>
      </c>
      <c r="T143" s="8">
        <v>235.648715902173</v>
      </c>
      <c r="U143" s="9">
        <v>9.0165954833446797E-4</v>
      </c>
      <c r="V143" s="9">
        <v>8.9018927089133302E-4</v>
      </c>
      <c r="W143" s="9">
        <v>9.2857482414586401E-4</v>
      </c>
      <c r="X143" s="10">
        <v>4.2878145504362202</v>
      </c>
      <c r="Y143" s="10">
        <v>4.2916660005161003</v>
      </c>
      <c r="Z143" s="10">
        <v>4.2914035055229798</v>
      </c>
      <c r="AA143" s="10">
        <v>4.2915087820639899</v>
      </c>
      <c r="AB143" s="8">
        <v>238.08446304463101</v>
      </c>
      <c r="AC143" s="8">
        <v>238.07809871209599</v>
      </c>
      <c r="AD143" s="8">
        <v>238.087093781205</v>
      </c>
      <c r="AE143" s="9">
        <v>8.97828327887937E-4</v>
      </c>
      <c r="AF143" s="9">
        <v>8.7109656421283804E-4</v>
      </c>
      <c r="AG143" s="9">
        <v>9.0887786050182105E-4</v>
      </c>
      <c r="AZ143" s="9"/>
      <c r="BB143">
        <f t="shared" si="26"/>
        <v>0</v>
      </c>
      <c r="BC143">
        <f t="shared" si="27"/>
        <v>1</v>
      </c>
      <c r="BD143">
        <f t="shared" si="28"/>
        <v>0</v>
      </c>
      <c r="BE143">
        <f t="shared" si="24"/>
        <v>1</v>
      </c>
      <c r="BF143">
        <f t="shared" si="29"/>
        <v>0</v>
      </c>
      <c r="BG143" s="9">
        <f t="shared" si="30"/>
        <v>0</v>
      </c>
      <c r="BH143" s="9">
        <f t="shared" si="31"/>
        <v>0</v>
      </c>
      <c r="BI143" s="9">
        <f t="shared" si="32"/>
        <v>0</v>
      </c>
      <c r="BJ143" s="12">
        <f t="shared" si="33"/>
        <v>4.5548585798530026E-3</v>
      </c>
      <c r="BL143" s="9"/>
      <c r="BN143">
        <f t="shared" si="34"/>
        <v>1</v>
      </c>
      <c r="BO143">
        <f t="shared" si="35"/>
        <v>0</v>
      </c>
      <c r="BP143">
        <f t="shared" si="36"/>
        <v>0</v>
      </c>
      <c r="BQ143">
        <f t="shared" si="25"/>
        <v>1</v>
      </c>
      <c r="BR143">
        <f t="shared" si="37"/>
        <v>0</v>
      </c>
      <c r="BS143" s="9">
        <f t="shared" si="38"/>
        <v>0</v>
      </c>
      <c r="BT143" s="9">
        <f t="shared" si="39"/>
        <v>0</v>
      </c>
      <c r="BU143" s="9">
        <f t="shared" si="40"/>
        <v>0</v>
      </c>
      <c r="BV143" s="12">
        <f t="shared" si="41"/>
        <v>2.8351866857313284E-3</v>
      </c>
      <c r="BX143" s="12">
        <f t="shared" si="42"/>
        <v>0</v>
      </c>
      <c r="BY143" s="12">
        <f t="shared" si="43"/>
        <v>7.3900452655843302E-3</v>
      </c>
    </row>
    <row r="144" spans="1:77" x14ac:dyDescent="0.3">
      <c r="A144" s="1">
        <v>46232</v>
      </c>
      <c r="B144" s="8">
        <v>54.97</v>
      </c>
      <c r="C144" s="8">
        <v>236.08</v>
      </c>
      <c r="D144" s="9">
        <v>1.45639931077102E-3</v>
      </c>
      <c r="E144" s="9">
        <v>2.75710127782519E-3</v>
      </c>
      <c r="F144" s="8">
        <v>0</v>
      </c>
      <c r="G144" s="8">
        <v>0.58599999999999997</v>
      </c>
      <c r="H144" s="8">
        <v>0</v>
      </c>
      <c r="I144" s="8">
        <v>2.4407999999999999</v>
      </c>
      <c r="J144" s="8">
        <v>0.58599999999999997</v>
      </c>
      <c r="K144" s="8">
        <v>2.4407999999999999</v>
      </c>
      <c r="L144" s="8">
        <v>55.555999999999997</v>
      </c>
      <c r="M144" s="8">
        <v>238.52080000000001</v>
      </c>
      <c r="N144" s="10">
        <v>4.2947062033836598</v>
      </c>
      <c r="O144" s="10">
        <v>4.2929927753205499</v>
      </c>
      <c r="P144" s="10">
        <v>4.2926086812524504</v>
      </c>
      <c r="Q144" s="10">
        <v>4.29304589422222</v>
      </c>
      <c r="R144" s="8">
        <v>235.98581285936999</v>
      </c>
      <c r="S144" s="8">
        <v>235.974599360307</v>
      </c>
      <c r="T144" s="8">
        <v>235.98068379511699</v>
      </c>
      <c r="U144" s="9">
        <v>-3.99042418719567E-4</v>
      </c>
      <c r="V144" s="9">
        <v>-4.4656123078320298E-4</v>
      </c>
      <c r="W144" s="9">
        <v>-4.2077728460326798E-4</v>
      </c>
      <c r="X144" s="10">
        <v>4.2933400532795698</v>
      </c>
      <c r="Y144" s="10">
        <v>4.2916660005161003</v>
      </c>
      <c r="Z144" s="10">
        <v>4.2912312592082396</v>
      </c>
      <c r="AA144" s="10">
        <v>4.2916567168516</v>
      </c>
      <c r="AB144" s="8">
        <v>238.42779632467199</v>
      </c>
      <c r="AC144" s="8">
        <v>238.413213152835</v>
      </c>
      <c r="AD144" s="8">
        <v>238.41906189634699</v>
      </c>
      <c r="AE144" s="9">
        <v>-3.8999454961197502E-4</v>
      </c>
      <c r="AF144" s="9">
        <v>-4.5116031158538302E-4</v>
      </c>
      <c r="AG144" s="9">
        <v>-4.2662865205431101E-4</v>
      </c>
      <c r="AZ144" s="9"/>
      <c r="BB144">
        <f t="shared" si="26"/>
        <v>0</v>
      </c>
      <c r="BC144">
        <f t="shared" si="27"/>
        <v>0</v>
      </c>
      <c r="BD144">
        <f t="shared" si="28"/>
        <v>0</v>
      </c>
      <c r="BE144">
        <f t="shared" si="24"/>
        <v>1</v>
      </c>
      <c r="BF144">
        <f t="shared" si="29"/>
        <v>0</v>
      </c>
      <c r="BG144" s="9">
        <f t="shared" si="30"/>
        <v>0</v>
      </c>
      <c r="BH144" s="9">
        <f t="shared" si="31"/>
        <v>0</v>
      </c>
      <c r="BI144" s="9">
        <f t="shared" si="32"/>
        <v>0</v>
      </c>
      <c r="BJ144" s="12">
        <f t="shared" si="33"/>
        <v>4.5548585798530026E-3</v>
      </c>
      <c r="BL144" s="9"/>
      <c r="BN144">
        <f t="shared" si="34"/>
        <v>0</v>
      </c>
      <c r="BO144">
        <f t="shared" si="35"/>
        <v>1</v>
      </c>
      <c r="BP144">
        <f t="shared" si="36"/>
        <v>1</v>
      </c>
      <c r="BQ144">
        <f t="shared" si="25"/>
        <v>1</v>
      </c>
      <c r="BR144">
        <f t="shared" si="37"/>
        <v>1</v>
      </c>
      <c r="BS144" s="9">
        <f t="shared" si="38"/>
        <v>-1.45639931077102E-3</v>
      </c>
      <c r="BT144" s="9">
        <f t="shared" si="39"/>
        <v>2.75710127782519E-3</v>
      </c>
      <c r="BU144" s="9">
        <f t="shared" si="40"/>
        <v>1.3007019670541701E-3</v>
      </c>
      <c r="BV144" s="12">
        <f t="shared" si="41"/>
        <v>4.1358886527854983E-3</v>
      </c>
      <c r="BX144" s="12">
        <f t="shared" si="42"/>
        <v>1.3007019670541701E-3</v>
      </c>
      <c r="BY144" s="12">
        <f t="shared" si="43"/>
        <v>8.6907472326385009E-3</v>
      </c>
    </row>
    <row r="145" spans="1:77" x14ac:dyDescent="0.3">
      <c r="A145" s="1">
        <v>46233</v>
      </c>
      <c r="B145" s="8">
        <v>53.91</v>
      </c>
      <c r="C145" s="8">
        <v>231.37</v>
      </c>
      <c r="D145" s="9">
        <v>-1.94715924089916E-2</v>
      </c>
      <c r="E145" s="9">
        <v>-2.0152569915093101E-2</v>
      </c>
      <c r="F145" s="8">
        <v>0</v>
      </c>
      <c r="G145" s="8">
        <v>0.58599999999999997</v>
      </c>
      <c r="H145" s="8">
        <v>0</v>
      </c>
      <c r="I145" s="8">
        <v>2.4407999999999999</v>
      </c>
      <c r="J145" s="8">
        <v>0.58599999999999997</v>
      </c>
      <c r="K145" s="8">
        <v>2.4407999999999999</v>
      </c>
      <c r="L145" s="8">
        <v>54.495999999999903</v>
      </c>
      <c r="M145" s="8">
        <v>233.8108</v>
      </c>
      <c r="N145" s="10">
        <v>4.2917826006306798</v>
      </c>
      <c r="O145" s="10">
        <v>4.2929927753205499</v>
      </c>
      <c r="P145" s="10">
        <v>4.2924816937175896</v>
      </c>
      <c r="Q145" s="10">
        <v>4.2927719584492596</v>
      </c>
      <c r="R145" s="8">
        <v>231.43524051752999</v>
      </c>
      <c r="S145" s="8">
        <v>231.41453400632</v>
      </c>
      <c r="T145" s="8">
        <v>231.43810415752</v>
      </c>
      <c r="U145" s="9">
        <v>2.81935087381899E-4</v>
      </c>
      <c r="V145" s="9">
        <v>1.92461083657825E-4</v>
      </c>
      <c r="W145" s="9">
        <v>2.9430840730681801E-4</v>
      </c>
      <c r="X145" s="10">
        <v>4.2904213153258901</v>
      </c>
      <c r="Y145" s="10">
        <v>4.2916660005161003</v>
      </c>
      <c r="Z145" s="10">
        <v>4.2911051093822996</v>
      </c>
      <c r="AA145" s="10">
        <v>4.2913875031159598</v>
      </c>
      <c r="AB145" s="8">
        <v>233.878630364125</v>
      </c>
      <c r="AC145" s="8">
        <v>233.85493870181199</v>
      </c>
      <c r="AD145" s="8">
        <v>233.878124441544</v>
      </c>
      <c r="AE145" s="9">
        <v>2.9006584368884101E-4</v>
      </c>
      <c r="AF145" s="9">
        <v>1.8876175135740101E-4</v>
      </c>
      <c r="AG145" s="9">
        <v>2.8790265705057398E-4</v>
      </c>
      <c r="AZ145" s="9"/>
      <c r="BB145">
        <f t="shared" si="26"/>
        <v>0</v>
      </c>
      <c r="BC145">
        <f t="shared" si="27"/>
        <v>1</v>
      </c>
      <c r="BD145">
        <f t="shared" si="28"/>
        <v>0</v>
      </c>
      <c r="BE145">
        <f t="shared" si="24"/>
        <v>1</v>
      </c>
      <c r="BF145">
        <f t="shared" si="29"/>
        <v>0</v>
      </c>
      <c r="BG145" s="9">
        <f t="shared" si="30"/>
        <v>0</v>
      </c>
      <c r="BH145" s="9">
        <f t="shared" si="31"/>
        <v>0</v>
      </c>
      <c r="BI145" s="9">
        <f t="shared" si="32"/>
        <v>0</v>
      </c>
      <c r="BJ145" s="12">
        <f t="shared" si="33"/>
        <v>4.5548585798530026E-3</v>
      </c>
      <c r="BL145" s="9"/>
      <c r="BN145">
        <f t="shared" si="34"/>
        <v>0</v>
      </c>
      <c r="BO145">
        <f t="shared" si="35"/>
        <v>0</v>
      </c>
      <c r="BP145">
        <f t="shared" si="36"/>
        <v>0</v>
      </c>
      <c r="BQ145">
        <f t="shared" si="25"/>
        <v>1</v>
      </c>
      <c r="BR145">
        <f t="shared" si="37"/>
        <v>0</v>
      </c>
      <c r="BS145" s="9">
        <f t="shared" si="38"/>
        <v>0</v>
      </c>
      <c r="BT145" s="9">
        <f t="shared" si="39"/>
        <v>0</v>
      </c>
      <c r="BU145" s="9">
        <f t="shared" si="40"/>
        <v>0</v>
      </c>
      <c r="BV145" s="12">
        <f t="shared" si="41"/>
        <v>4.1358886527854983E-3</v>
      </c>
      <c r="BX145" s="12">
        <f t="shared" si="42"/>
        <v>0</v>
      </c>
      <c r="BY145" s="12">
        <f t="shared" si="43"/>
        <v>8.6907472326385009E-3</v>
      </c>
    </row>
    <row r="146" spans="1:77" x14ac:dyDescent="0.3">
      <c r="A146" s="1">
        <v>46234</v>
      </c>
      <c r="B146" s="8">
        <v>53.66</v>
      </c>
      <c r="C146" s="8">
        <v>230.43</v>
      </c>
      <c r="D146" s="9">
        <v>-4.6481444660992797E-3</v>
      </c>
      <c r="E146" s="9">
        <v>-4.0710320408904998E-3</v>
      </c>
      <c r="F146" s="8">
        <v>0</v>
      </c>
      <c r="G146" s="8">
        <v>0.58599999999999997</v>
      </c>
      <c r="H146" s="8">
        <v>0</v>
      </c>
      <c r="I146" s="8">
        <v>2.4407999999999999</v>
      </c>
      <c r="J146" s="8">
        <v>0.58599999999999997</v>
      </c>
      <c r="K146" s="8">
        <v>2.4407999999999999</v>
      </c>
      <c r="L146" s="8">
        <v>54.245999999999903</v>
      </c>
      <c r="M146" s="8">
        <v>232.8708</v>
      </c>
      <c r="N146" s="10">
        <v>4.2942601565411804</v>
      </c>
      <c r="O146" s="10">
        <v>4.2929927753205499</v>
      </c>
      <c r="P146" s="10">
        <v>4.2925266504604496</v>
      </c>
      <c r="Q146" s="10">
        <v>4.2929132716767002</v>
      </c>
      <c r="R146" s="8">
        <v>230.36199232370001</v>
      </c>
      <c r="S146" s="8">
        <v>230.334567684886</v>
      </c>
      <c r="T146" s="8">
        <v>230.350143290387</v>
      </c>
      <c r="U146" s="9">
        <v>-2.9517733782687898E-4</v>
      </c>
      <c r="V146" s="9">
        <v>-4.1423461425409299E-4</v>
      </c>
      <c r="W146" s="9">
        <v>-3.4661524188731399E-4</v>
      </c>
      <c r="X146" s="10">
        <v>4.2928658334255001</v>
      </c>
      <c r="Y146" s="10">
        <v>4.2916660005161003</v>
      </c>
      <c r="Z146" s="10">
        <v>4.2911496317209004</v>
      </c>
      <c r="AA146" s="10">
        <v>4.2915272395427797</v>
      </c>
      <c r="AB146" s="8">
        <v>232.805713863996</v>
      </c>
      <c r="AC146" s="8">
        <v>232.775287763552</v>
      </c>
      <c r="AD146" s="8">
        <v>232.790606494028</v>
      </c>
      <c r="AE146" s="9">
        <v>-2.7953368696626799E-4</v>
      </c>
      <c r="AF146" s="9">
        <v>-4.1023532806229202E-4</v>
      </c>
      <c r="AG146" s="9">
        <v>-3.44428400748017E-4</v>
      </c>
      <c r="AZ146" s="9"/>
      <c r="BB146">
        <f t="shared" si="26"/>
        <v>0</v>
      </c>
      <c r="BC146">
        <f t="shared" si="27"/>
        <v>0</v>
      </c>
      <c r="BD146">
        <f t="shared" si="28"/>
        <v>0</v>
      </c>
      <c r="BE146">
        <f t="shared" si="24"/>
        <v>1</v>
      </c>
      <c r="BF146">
        <f t="shared" si="29"/>
        <v>0</v>
      </c>
      <c r="BG146" s="9">
        <f t="shared" si="30"/>
        <v>0</v>
      </c>
      <c r="BH146" s="9">
        <f t="shared" si="31"/>
        <v>0</v>
      </c>
      <c r="BI146" s="9">
        <f t="shared" si="32"/>
        <v>0</v>
      </c>
      <c r="BJ146" s="12">
        <f t="shared" si="33"/>
        <v>4.5548585798530026E-3</v>
      </c>
      <c r="BL146" s="9"/>
      <c r="BN146">
        <f t="shared" si="34"/>
        <v>0</v>
      </c>
      <c r="BO146">
        <f t="shared" si="35"/>
        <v>1</v>
      </c>
      <c r="BP146">
        <f t="shared" si="36"/>
        <v>0</v>
      </c>
      <c r="BQ146">
        <f t="shared" si="25"/>
        <v>1</v>
      </c>
      <c r="BR146">
        <f t="shared" si="37"/>
        <v>0</v>
      </c>
      <c r="BS146" s="9">
        <f t="shared" si="38"/>
        <v>0</v>
      </c>
      <c r="BT146" s="9">
        <f t="shared" si="39"/>
        <v>0</v>
      </c>
      <c r="BU146" s="9">
        <f t="shared" si="40"/>
        <v>0</v>
      </c>
      <c r="BV146" s="12">
        <f t="shared" si="41"/>
        <v>4.1358886527854983E-3</v>
      </c>
      <c r="BX146" s="12">
        <f t="shared" si="42"/>
        <v>0</v>
      </c>
      <c r="BY146" s="12">
        <f t="shared" si="43"/>
        <v>8.6907472326385009E-3</v>
      </c>
    </row>
    <row r="147" spans="1:77" x14ac:dyDescent="0.3">
      <c r="A147" s="1">
        <v>46237</v>
      </c>
      <c r="B147" s="8">
        <v>53.56</v>
      </c>
      <c r="C147" s="8">
        <v>230.1</v>
      </c>
      <c r="D147" s="9">
        <v>-1.86532417450623E-3</v>
      </c>
      <c r="E147" s="9">
        <v>-1.43313163738016E-3</v>
      </c>
      <c r="F147" s="8">
        <v>0</v>
      </c>
      <c r="G147" s="8">
        <v>0.58599999999999997</v>
      </c>
      <c r="H147" s="8">
        <v>0</v>
      </c>
      <c r="I147" s="8">
        <v>2.4407999999999999</v>
      </c>
      <c r="J147" s="8">
        <v>0.58599999999999997</v>
      </c>
      <c r="K147" s="8">
        <v>2.4407999999999999</v>
      </c>
      <c r="L147" s="8">
        <v>54.146000000000001</v>
      </c>
      <c r="M147" s="8">
        <v>232.54079999999999</v>
      </c>
      <c r="N147" s="10">
        <v>4.2961165048543597</v>
      </c>
      <c r="O147" s="10">
        <v>4.2929927753205499</v>
      </c>
      <c r="P147" s="10">
        <v>4.2928960184388698</v>
      </c>
      <c r="Q147" s="10">
        <v>4.2931647531811699</v>
      </c>
      <c r="R147" s="8">
        <v>229.932693046168</v>
      </c>
      <c r="S147" s="8">
        <v>229.907727398661</v>
      </c>
      <c r="T147" s="8">
        <v>229.92843483100401</v>
      </c>
      <c r="U147" s="9">
        <v>-7.2736987495286901E-4</v>
      </c>
      <c r="V147" s="9">
        <v>-8.35953837655484E-4</v>
      </c>
      <c r="W147" s="9">
        <v>-7.4588944491263995E-4</v>
      </c>
      <c r="X147" s="10">
        <v>4.2946995161230701</v>
      </c>
      <c r="Y147" s="10">
        <v>4.2916660005161003</v>
      </c>
      <c r="Z147" s="10">
        <v>4.2915152824967304</v>
      </c>
      <c r="AA147" s="10">
        <v>4.2917764808698999</v>
      </c>
      <c r="AB147" s="8">
        <v>232.37654726394501</v>
      </c>
      <c r="AC147" s="8">
        <v>232.34858795916</v>
      </c>
      <c r="AD147" s="8">
        <v>232.36903391228299</v>
      </c>
      <c r="AE147" s="9">
        <v>-7.0658900492844001E-4</v>
      </c>
      <c r="AF147" s="9">
        <v>-8.2691520508321496E-4</v>
      </c>
      <c r="AG147" s="9">
        <v>-7.3892218663602004E-4</v>
      </c>
      <c r="AZ147" s="9"/>
      <c r="BB147">
        <f t="shared" si="26"/>
        <v>0</v>
      </c>
      <c r="BC147">
        <f t="shared" si="27"/>
        <v>0</v>
      </c>
      <c r="BD147">
        <f t="shared" si="28"/>
        <v>0</v>
      </c>
      <c r="BE147">
        <f t="shared" si="24"/>
        <v>1</v>
      </c>
      <c r="BF147">
        <f t="shared" si="29"/>
        <v>0</v>
      </c>
      <c r="BG147" s="9">
        <f t="shared" si="30"/>
        <v>0</v>
      </c>
      <c r="BH147" s="9">
        <f t="shared" si="31"/>
        <v>0</v>
      </c>
      <c r="BI147" s="9">
        <f t="shared" si="32"/>
        <v>0</v>
      </c>
      <c r="BJ147" s="12">
        <f t="shared" si="33"/>
        <v>4.5548585798530026E-3</v>
      </c>
      <c r="BL147" s="9"/>
      <c r="BN147">
        <f t="shared" si="34"/>
        <v>0</v>
      </c>
      <c r="BO147">
        <f t="shared" si="35"/>
        <v>1</v>
      </c>
      <c r="BP147">
        <f t="shared" si="36"/>
        <v>0</v>
      </c>
      <c r="BQ147">
        <f t="shared" si="25"/>
        <v>1</v>
      </c>
      <c r="BR147">
        <f t="shared" si="37"/>
        <v>0</v>
      </c>
      <c r="BS147" s="9">
        <f t="shared" si="38"/>
        <v>0</v>
      </c>
      <c r="BT147" s="9">
        <f t="shared" si="39"/>
        <v>0</v>
      </c>
      <c r="BU147" s="9">
        <f t="shared" si="40"/>
        <v>0</v>
      </c>
      <c r="BV147" s="12">
        <f t="shared" si="41"/>
        <v>4.1358886527854983E-3</v>
      </c>
      <c r="BX147" s="12">
        <f t="shared" si="42"/>
        <v>0</v>
      </c>
      <c r="BY147" s="12">
        <f t="shared" si="43"/>
        <v>8.6907472326385009E-3</v>
      </c>
    </row>
    <row r="148" spans="1:77" x14ac:dyDescent="0.3">
      <c r="A148" s="1">
        <v>46238</v>
      </c>
      <c r="B148" s="8">
        <v>53.9</v>
      </c>
      <c r="C148" s="8">
        <v>231.38</v>
      </c>
      <c r="D148" s="9">
        <v>6.3279570919797402E-3</v>
      </c>
      <c r="E148" s="9">
        <v>5.5473835594225798E-3</v>
      </c>
      <c r="F148" s="8">
        <v>0</v>
      </c>
      <c r="G148" s="8">
        <v>0.58599999999999997</v>
      </c>
      <c r="H148" s="8">
        <v>0</v>
      </c>
      <c r="I148" s="8">
        <v>2.4407999999999999</v>
      </c>
      <c r="J148" s="8">
        <v>0.58599999999999997</v>
      </c>
      <c r="K148" s="8">
        <v>2.4407999999999999</v>
      </c>
      <c r="L148" s="8">
        <v>54.485999999999997</v>
      </c>
      <c r="M148" s="8">
        <v>233.82079999999999</v>
      </c>
      <c r="N148" s="10">
        <v>4.29276437847866</v>
      </c>
      <c r="O148" s="10">
        <v>4.2929927753205499</v>
      </c>
      <c r="P148" s="10">
        <v>4.2929083053433397</v>
      </c>
      <c r="Q148" s="10">
        <v>4.2931173964380003</v>
      </c>
      <c r="R148" s="8">
        <v>231.392310589777</v>
      </c>
      <c r="S148" s="8">
        <v>231.38709539385499</v>
      </c>
      <c r="T148" s="8">
        <v>231.40158019646501</v>
      </c>
      <c r="U148" s="9">
        <v>5.3203657604126703E-5</v>
      </c>
      <c r="V148" s="9">
        <v>3.0665075052237102E-5</v>
      </c>
      <c r="W148" s="9">
        <v>9.3262988002440795E-5</v>
      </c>
      <c r="X148" s="10">
        <v>4.2913922842565002</v>
      </c>
      <c r="Y148" s="10">
        <v>4.2916660005161003</v>
      </c>
      <c r="Z148" s="10">
        <v>4.2915297395268697</v>
      </c>
      <c r="AA148" s="10">
        <v>4.2917300289279696</v>
      </c>
      <c r="AB148" s="8">
        <v>233.83571370412</v>
      </c>
      <c r="AC148" s="8">
        <v>233.82750168211601</v>
      </c>
      <c r="AD148" s="8">
        <v>233.84173333667701</v>
      </c>
      <c r="AE148" s="9">
        <v>6.3780589765083899E-5</v>
      </c>
      <c r="AF148" s="9">
        <v>2.86612058391586E-5</v>
      </c>
      <c r="AG148" s="9">
        <v>8.9523257474762597E-5</v>
      </c>
      <c r="AZ148" s="9"/>
      <c r="BB148">
        <f t="shared" si="26"/>
        <v>0</v>
      </c>
      <c r="BC148">
        <f t="shared" si="27"/>
        <v>1</v>
      </c>
      <c r="BD148">
        <f t="shared" si="28"/>
        <v>0</v>
      </c>
      <c r="BE148">
        <f t="shared" si="24"/>
        <v>1</v>
      </c>
      <c r="BF148">
        <f t="shared" si="29"/>
        <v>0</v>
      </c>
      <c r="BG148" s="9">
        <f t="shared" si="30"/>
        <v>0</v>
      </c>
      <c r="BH148" s="9">
        <f t="shared" si="31"/>
        <v>0</v>
      </c>
      <c r="BI148" s="9">
        <f t="shared" si="32"/>
        <v>0</v>
      </c>
      <c r="BJ148" s="12">
        <f t="shared" si="33"/>
        <v>4.5548585798530026E-3</v>
      </c>
      <c r="BL148" s="9"/>
      <c r="BN148">
        <f t="shared" si="34"/>
        <v>0</v>
      </c>
      <c r="BO148">
        <f t="shared" si="35"/>
        <v>0</v>
      </c>
      <c r="BP148">
        <f t="shared" si="36"/>
        <v>0</v>
      </c>
      <c r="BQ148">
        <f t="shared" si="25"/>
        <v>1</v>
      </c>
      <c r="BR148">
        <f t="shared" si="37"/>
        <v>0</v>
      </c>
      <c r="BS148" s="9">
        <f t="shared" si="38"/>
        <v>0</v>
      </c>
      <c r="BT148" s="9">
        <f t="shared" si="39"/>
        <v>0</v>
      </c>
      <c r="BU148" s="9">
        <f t="shared" si="40"/>
        <v>0</v>
      </c>
      <c r="BV148" s="12">
        <f t="shared" si="41"/>
        <v>4.1358886527854983E-3</v>
      </c>
      <c r="BX148" s="12">
        <f t="shared" si="42"/>
        <v>0</v>
      </c>
      <c r="BY148" s="12">
        <f t="shared" si="43"/>
        <v>8.6907472326385009E-3</v>
      </c>
    </row>
    <row r="149" spans="1:77" x14ac:dyDescent="0.3">
      <c r="A149" s="1">
        <v>46239</v>
      </c>
      <c r="B149" s="8">
        <v>53.85</v>
      </c>
      <c r="C149" s="8">
        <v>231.23</v>
      </c>
      <c r="D149" s="9">
        <v>-9.2807431255385897E-4</v>
      </c>
      <c r="E149" s="9">
        <v>-6.48494434866599E-4</v>
      </c>
      <c r="F149" s="8">
        <v>0</v>
      </c>
      <c r="G149" s="8">
        <v>0.58599999999999997</v>
      </c>
      <c r="H149" s="8">
        <v>0</v>
      </c>
      <c r="I149" s="8">
        <v>2.4407999999999999</v>
      </c>
      <c r="J149" s="8">
        <v>0.58599999999999997</v>
      </c>
      <c r="K149" s="8">
        <v>2.4407999999999999</v>
      </c>
      <c r="L149" s="8">
        <v>54.436</v>
      </c>
      <c r="M149" s="8">
        <v>233.67079999999899</v>
      </c>
      <c r="N149" s="10">
        <v>4.2939647168059398</v>
      </c>
      <c r="O149" s="10">
        <v>4.2929927753205499</v>
      </c>
      <c r="P149" s="10">
        <v>4.2931929968207001</v>
      </c>
      <c r="Q149" s="10">
        <v>4.2931721050737899</v>
      </c>
      <c r="R149" s="8">
        <v>231.17766095101101</v>
      </c>
      <c r="S149" s="8">
        <v>231.17311224273899</v>
      </c>
      <c r="T149" s="8">
        <v>231.18437179818599</v>
      </c>
      <c r="U149" s="9">
        <v>-2.2637622008308701E-4</v>
      </c>
      <c r="V149" s="9">
        <v>-2.4605265856398998E-4</v>
      </c>
      <c r="W149" s="9">
        <v>-1.97347680973488E-4</v>
      </c>
      <c r="X149" s="10">
        <v>4.2925784407377403</v>
      </c>
      <c r="Y149" s="10">
        <v>4.2916660005161003</v>
      </c>
      <c r="Z149" s="10">
        <v>4.2918131578105196</v>
      </c>
      <c r="AA149" s="10">
        <v>4.2917848500852198</v>
      </c>
      <c r="AB149" s="8">
        <v>233.621130404094</v>
      </c>
      <c r="AC149" s="8">
        <v>233.613712900884</v>
      </c>
      <c r="AD149" s="8">
        <v>233.624615854723</v>
      </c>
      <c r="AE149" s="9">
        <v>-2.1258486552152301E-4</v>
      </c>
      <c r="AF149" s="9">
        <v>-2.44335507911113E-4</v>
      </c>
      <c r="AG149" s="9">
        <v>-1.9766573289682599E-4</v>
      </c>
      <c r="AZ149" s="9"/>
      <c r="BB149">
        <f t="shared" si="26"/>
        <v>0</v>
      </c>
      <c r="BC149">
        <f t="shared" si="27"/>
        <v>0</v>
      </c>
      <c r="BD149">
        <f t="shared" si="28"/>
        <v>0</v>
      </c>
      <c r="BE149">
        <f t="shared" si="24"/>
        <v>1</v>
      </c>
      <c r="BF149">
        <f t="shared" si="29"/>
        <v>0</v>
      </c>
      <c r="BG149" s="9">
        <f t="shared" si="30"/>
        <v>0</v>
      </c>
      <c r="BH149" s="9">
        <f t="shared" si="31"/>
        <v>0</v>
      </c>
      <c r="BI149" s="9">
        <f t="shared" si="32"/>
        <v>0</v>
      </c>
      <c r="BJ149" s="12">
        <f t="shared" si="33"/>
        <v>4.5548585798530026E-3</v>
      </c>
      <c r="BL149" s="9"/>
      <c r="BN149">
        <f t="shared" si="34"/>
        <v>0</v>
      </c>
      <c r="BO149">
        <f t="shared" si="35"/>
        <v>1</v>
      </c>
      <c r="BP149">
        <f t="shared" si="36"/>
        <v>0</v>
      </c>
      <c r="BQ149">
        <f t="shared" si="25"/>
        <v>1</v>
      </c>
      <c r="BR149">
        <f t="shared" si="37"/>
        <v>0</v>
      </c>
      <c r="BS149" s="9">
        <f t="shared" si="38"/>
        <v>0</v>
      </c>
      <c r="BT149" s="9">
        <f t="shared" si="39"/>
        <v>0</v>
      </c>
      <c r="BU149" s="9">
        <f t="shared" si="40"/>
        <v>0</v>
      </c>
      <c r="BV149" s="12">
        <f t="shared" si="41"/>
        <v>4.1358886527854983E-3</v>
      </c>
      <c r="BX149" s="12">
        <f t="shared" si="42"/>
        <v>0</v>
      </c>
      <c r="BY149" s="12">
        <f t="shared" si="43"/>
        <v>8.6907472326385009E-3</v>
      </c>
    </row>
    <row r="150" spans="1:77" x14ac:dyDescent="0.3">
      <c r="A150" s="1">
        <v>46240</v>
      </c>
      <c r="B150" s="8">
        <v>53.77</v>
      </c>
      <c r="C150" s="8">
        <v>230.79</v>
      </c>
      <c r="D150" s="9">
        <v>-1.48671278081078E-3</v>
      </c>
      <c r="E150" s="9">
        <v>-1.90468002692325E-3</v>
      </c>
      <c r="F150" s="8">
        <v>0</v>
      </c>
      <c r="G150" s="8">
        <v>0.58599999999999997</v>
      </c>
      <c r="H150" s="8">
        <v>0</v>
      </c>
      <c r="I150" s="8">
        <v>2.4407999999999999</v>
      </c>
      <c r="J150" s="8">
        <v>0.58599999999999997</v>
      </c>
      <c r="K150" s="8">
        <v>2.4407999999999999</v>
      </c>
      <c r="L150" s="8">
        <v>54.356000000000002</v>
      </c>
      <c r="M150" s="8">
        <v>233.23079999999999</v>
      </c>
      <c r="N150" s="10">
        <v>4.2921703552166601</v>
      </c>
      <c r="O150" s="10">
        <v>4.2929927753205499</v>
      </c>
      <c r="P150" s="10">
        <v>4.2931598892398997</v>
      </c>
      <c r="Q150" s="10">
        <v>4.2932095747083201</v>
      </c>
      <c r="R150" s="8">
        <v>230.83422152898601</v>
      </c>
      <c r="S150" s="8">
        <v>230.84498743904899</v>
      </c>
      <c r="T150" s="8">
        <v>230.843864089818</v>
      </c>
      <c r="U150" s="9">
        <v>1.9159102602931601E-4</v>
      </c>
      <c r="V150" s="9">
        <v>2.3822908057418999E-4</v>
      </c>
      <c r="W150" s="9">
        <v>2.3336281955306599E-4</v>
      </c>
      <c r="X150" s="10">
        <v>4.2908013834719201</v>
      </c>
      <c r="Y150" s="10">
        <v>4.2916660005161003</v>
      </c>
      <c r="Z150" s="10">
        <v>4.2917839294130502</v>
      </c>
      <c r="AA150" s="10">
        <v>4.2918234518797798</v>
      </c>
      <c r="AB150" s="8">
        <v>233.277797124053</v>
      </c>
      <c r="AC150" s="8">
        <v>233.28579600594799</v>
      </c>
      <c r="AD150" s="8">
        <v>233.28425731123201</v>
      </c>
      <c r="AE150" s="9">
        <v>2.01484493543709E-4</v>
      </c>
      <c r="AF150" s="9">
        <v>2.3577298931887401E-4</v>
      </c>
      <c r="AG150" s="9">
        <v>2.29177217878792E-4</v>
      </c>
      <c r="AZ150" s="9"/>
      <c r="BB150">
        <f t="shared" si="26"/>
        <v>0</v>
      </c>
      <c r="BC150">
        <f t="shared" si="27"/>
        <v>1</v>
      </c>
      <c r="BD150">
        <f t="shared" si="28"/>
        <v>0</v>
      </c>
      <c r="BE150">
        <f t="shared" ref="BE150:BE167" si="44">IF(F151+H151&gt;0,0,1)</f>
        <v>1</v>
      </c>
      <c r="BF150">
        <f t="shared" si="29"/>
        <v>0</v>
      </c>
      <c r="BG150" s="9">
        <f t="shared" si="30"/>
        <v>0</v>
      </c>
      <c r="BH150" s="9">
        <f t="shared" si="31"/>
        <v>0</v>
      </c>
      <c r="BI150" s="9">
        <f t="shared" si="32"/>
        <v>0</v>
      </c>
      <c r="BJ150" s="12">
        <f t="shared" si="33"/>
        <v>4.5548585798530026E-3</v>
      </c>
      <c r="BL150" s="9"/>
      <c r="BN150">
        <f t="shared" si="34"/>
        <v>0</v>
      </c>
      <c r="BO150">
        <f t="shared" si="35"/>
        <v>0</v>
      </c>
      <c r="BP150">
        <f t="shared" si="36"/>
        <v>0</v>
      </c>
      <c r="BQ150">
        <f t="shared" ref="BQ150:BQ167" si="45">IF(F151+H151&gt;0,0,1)</f>
        <v>1</v>
      </c>
      <c r="BR150">
        <f t="shared" si="37"/>
        <v>0</v>
      </c>
      <c r="BS150" s="9">
        <f t="shared" si="38"/>
        <v>0</v>
      </c>
      <c r="BT150" s="9">
        <f t="shared" si="39"/>
        <v>0</v>
      </c>
      <c r="BU150" s="9">
        <f t="shared" si="40"/>
        <v>0</v>
      </c>
      <c r="BV150" s="12">
        <f t="shared" si="41"/>
        <v>4.1358886527854983E-3</v>
      </c>
      <c r="BX150" s="12">
        <f t="shared" si="42"/>
        <v>0</v>
      </c>
      <c r="BY150" s="12">
        <f t="shared" si="43"/>
        <v>8.6907472326385009E-3</v>
      </c>
    </row>
    <row r="151" spans="1:77" x14ac:dyDescent="0.3">
      <c r="A151" s="1">
        <v>46241</v>
      </c>
      <c r="B151" s="8">
        <v>53.87</v>
      </c>
      <c r="C151" s="8">
        <v>231.22</v>
      </c>
      <c r="D151" s="9">
        <v>1.85804587085562E-3</v>
      </c>
      <c r="E151" s="9">
        <v>1.8614321082225699E-3</v>
      </c>
      <c r="F151" s="8">
        <v>0</v>
      </c>
      <c r="G151" s="8">
        <v>0.58599999999999997</v>
      </c>
      <c r="H151" s="8">
        <v>0</v>
      </c>
      <c r="I151" s="8">
        <v>2.4407999999999999</v>
      </c>
      <c r="J151" s="8">
        <v>0.58599999999999997</v>
      </c>
      <c r="K151" s="8">
        <v>2.4407999999999999</v>
      </c>
      <c r="L151" s="8">
        <v>54.455999999999896</v>
      </c>
      <c r="M151" s="8">
        <v>233.66079999999999</v>
      </c>
      <c r="N151" s="10">
        <v>4.2921848895489099</v>
      </c>
      <c r="O151" s="10">
        <v>4.2929927753205499</v>
      </c>
      <c r="P151" s="10">
        <v>4.2930677077509802</v>
      </c>
      <c r="Q151" s="10">
        <v>4.2929977269070401</v>
      </c>
      <c r="R151" s="8">
        <v>231.26352080651799</v>
      </c>
      <c r="S151" s="8">
        <v>231.27252323335301</v>
      </c>
      <c r="T151" s="8">
        <v>231.275199789537</v>
      </c>
      <c r="U151" s="9">
        <v>1.8820478866212899E-4</v>
      </c>
      <c r="V151" s="9">
        <v>2.2713116835891599E-4</v>
      </c>
      <c r="W151" s="9">
        <v>2.38704271199298E-4</v>
      </c>
      <c r="X151" s="10">
        <v>4.2908182753048303</v>
      </c>
      <c r="Y151" s="10">
        <v>4.2916660005161003</v>
      </c>
      <c r="Z151" s="10">
        <v>4.29169510541933</v>
      </c>
      <c r="AA151" s="10">
        <v>4.2916148965096799</v>
      </c>
      <c r="AB151" s="8">
        <v>233.70696372410501</v>
      </c>
      <c r="AC151" s="8">
        <v>233.71338566011701</v>
      </c>
      <c r="AD151" s="8">
        <v>233.71553789556501</v>
      </c>
      <c r="AE151" s="9">
        <v>1.9754774650056599E-4</v>
      </c>
      <c r="AF151" s="9">
        <v>2.2502595116560199E-4</v>
      </c>
      <c r="AG151" s="9">
        <v>2.34234775609222E-4</v>
      </c>
      <c r="AZ151" s="9"/>
      <c r="BB151">
        <f t="shared" ref="BB151:BB167" si="46">IF($AG151&lt;BA$20,1,0)</f>
        <v>0</v>
      </c>
      <c r="BC151">
        <f t="shared" ref="BC151:BC167" si="47">IF($AG151&gt;BA$21,1,0)</f>
        <v>1</v>
      </c>
      <c r="BD151">
        <f t="shared" ref="BD151:BD167" si="48">BF151</f>
        <v>0</v>
      </c>
      <c r="BE151">
        <f t="shared" si="44"/>
        <v>1</v>
      </c>
      <c r="BF151">
        <f t="shared" ref="BF151:BF167" si="49">IF(BB150,1,IF(BC150,0,BD150))*BE150</f>
        <v>0</v>
      </c>
      <c r="BG151" s="9">
        <f t="shared" ref="BG151:BG167" si="50">BF151*D151</f>
        <v>0</v>
      </c>
      <c r="BH151" s="9">
        <f t="shared" ref="BH151:BH167" si="51">-BF151*$E151</f>
        <v>0</v>
      </c>
      <c r="BI151" s="9">
        <f t="shared" ref="BI151:BI167" si="52">BG151+BH151</f>
        <v>0</v>
      </c>
      <c r="BJ151" s="12">
        <f t="shared" ref="BJ151:BJ167" si="53">BJ150+BI151</f>
        <v>4.5548585798530026E-3</v>
      </c>
      <c r="BL151" s="9"/>
      <c r="BN151">
        <f t="shared" ref="BN151:BN167" si="54">IF($AG151&gt;BM$20,1,0)</f>
        <v>0</v>
      </c>
      <c r="BO151">
        <f t="shared" ref="BO151:BO167" si="55">IF($AG151&lt;BM$21,1,0)</f>
        <v>0</v>
      </c>
      <c r="BP151">
        <f t="shared" ref="BP151:BP167" si="56">BR151</f>
        <v>0</v>
      </c>
      <c r="BQ151">
        <f t="shared" si="45"/>
        <v>1</v>
      </c>
      <c r="BR151">
        <f t="shared" ref="BR151:BR167" si="57">IF(BN150,1,IF(BO150,0,BP150))*BQ150</f>
        <v>0</v>
      </c>
      <c r="BS151" s="9">
        <f t="shared" ref="BS151:BS167" si="58">-BR151*D151</f>
        <v>0</v>
      </c>
      <c r="BT151" s="9">
        <f t="shared" ref="BT151:BT167" si="59">BR151*$E151</f>
        <v>0</v>
      </c>
      <c r="BU151" s="9">
        <f t="shared" ref="BU151:BU167" si="60">BS151+BT151</f>
        <v>0</v>
      </c>
      <c r="BV151" s="12">
        <f t="shared" ref="BV151:BV167" si="61">BV150+BU151</f>
        <v>4.1358886527854983E-3</v>
      </c>
      <c r="BX151" s="12">
        <f t="shared" ref="BX151:BX167" si="62">BI151+BU151</f>
        <v>0</v>
      </c>
      <c r="BY151" s="12">
        <f t="shared" ref="BY151:BY167" si="63">BY150+BX151</f>
        <v>8.6907472326385009E-3</v>
      </c>
    </row>
    <row r="152" spans="1:77" x14ac:dyDescent="0.3">
      <c r="A152" s="1">
        <v>46244</v>
      </c>
      <c r="B152" s="8">
        <v>53.71</v>
      </c>
      <c r="C152" s="8">
        <v>230.39</v>
      </c>
      <c r="D152" s="9">
        <v>-2.9745327750743599E-3</v>
      </c>
      <c r="E152" s="9">
        <v>-3.5961131451450498E-3</v>
      </c>
      <c r="F152" s="8">
        <v>0</v>
      </c>
      <c r="G152" s="8">
        <v>0.58599999999999997</v>
      </c>
      <c r="H152" s="8">
        <v>0</v>
      </c>
      <c r="I152" s="8">
        <v>2.4407999999999999</v>
      </c>
      <c r="J152" s="8">
        <v>0.58599999999999997</v>
      </c>
      <c r="K152" s="8">
        <v>2.4407999999999999</v>
      </c>
      <c r="L152" s="8">
        <v>54.295999999999999</v>
      </c>
      <c r="M152" s="8">
        <v>232.83079999999899</v>
      </c>
      <c r="N152" s="10">
        <v>4.2895177806739797</v>
      </c>
      <c r="O152" s="10">
        <v>4.2929927753205499</v>
      </c>
      <c r="P152" s="10">
        <v>4.2926591288083404</v>
      </c>
      <c r="Q152" s="10">
        <v>4.2928013312965501</v>
      </c>
      <c r="R152" s="8">
        <v>230.576641962466</v>
      </c>
      <c r="S152" s="8">
        <v>230.580666583305</v>
      </c>
      <c r="T152" s="8">
        <v>230.57690791217701</v>
      </c>
      <c r="U152" s="9">
        <v>8.0978515873279496E-4</v>
      </c>
      <c r="V152" s="9">
        <v>8.2723959679164097E-4</v>
      </c>
      <c r="W152" s="9">
        <v>8.1093856939563999E-4</v>
      </c>
      <c r="X152" s="10">
        <v>4.28817592456166</v>
      </c>
      <c r="Y152" s="10">
        <v>4.2916660005161003</v>
      </c>
      <c r="Z152" s="10">
        <v>4.2912907576922903</v>
      </c>
      <c r="AA152" s="10">
        <v>4.2914210179702303</v>
      </c>
      <c r="AB152" s="8">
        <v>233.020297164022</v>
      </c>
      <c r="AC152" s="8">
        <v>233.02187744384801</v>
      </c>
      <c r="AD152" s="8">
        <v>233.01752242088901</v>
      </c>
      <c r="AE152" s="9">
        <v>8.1355255199844201E-4</v>
      </c>
      <c r="AF152" s="9">
        <v>8.2033425507804802E-4</v>
      </c>
      <c r="AG152" s="9">
        <v>8.01644749600834E-4</v>
      </c>
      <c r="AZ152" s="9"/>
      <c r="BB152">
        <f t="shared" si="46"/>
        <v>0</v>
      </c>
      <c r="BC152">
        <f t="shared" si="47"/>
        <v>1</v>
      </c>
      <c r="BD152">
        <f t="shared" si="48"/>
        <v>0</v>
      </c>
      <c r="BE152">
        <f t="shared" si="44"/>
        <v>1</v>
      </c>
      <c r="BF152">
        <f t="shared" si="49"/>
        <v>0</v>
      </c>
      <c r="BG152" s="9">
        <f t="shared" si="50"/>
        <v>0</v>
      </c>
      <c r="BH152" s="9">
        <f t="shared" si="51"/>
        <v>0</v>
      </c>
      <c r="BI152" s="9">
        <f t="shared" si="52"/>
        <v>0</v>
      </c>
      <c r="BJ152" s="12">
        <f t="shared" si="53"/>
        <v>4.5548585798530026E-3</v>
      </c>
      <c r="BL152" s="9"/>
      <c r="BN152">
        <f t="shared" si="54"/>
        <v>1</v>
      </c>
      <c r="BO152">
        <f t="shared" si="55"/>
        <v>0</v>
      </c>
      <c r="BP152">
        <f t="shared" si="56"/>
        <v>0</v>
      </c>
      <c r="BQ152">
        <f t="shared" si="45"/>
        <v>1</v>
      </c>
      <c r="BR152">
        <f t="shared" si="57"/>
        <v>0</v>
      </c>
      <c r="BS152" s="9">
        <f t="shared" si="58"/>
        <v>0</v>
      </c>
      <c r="BT152" s="9">
        <f t="shared" si="59"/>
        <v>0</v>
      </c>
      <c r="BU152" s="9">
        <f t="shared" si="60"/>
        <v>0</v>
      </c>
      <c r="BV152" s="12">
        <f t="shared" si="61"/>
        <v>4.1358886527854983E-3</v>
      </c>
      <c r="BX152" s="12">
        <f t="shared" si="62"/>
        <v>0</v>
      </c>
      <c r="BY152" s="12">
        <f t="shared" si="63"/>
        <v>8.6907472326385009E-3</v>
      </c>
    </row>
    <row r="153" spans="1:77" x14ac:dyDescent="0.3">
      <c r="A153" s="1">
        <v>46245</v>
      </c>
      <c r="B153" s="8">
        <v>53.62</v>
      </c>
      <c r="C153" s="8">
        <v>229.95</v>
      </c>
      <c r="D153" s="9">
        <v>-1.6770711095548201E-3</v>
      </c>
      <c r="E153" s="9">
        <v>-1.9116311160977601E-3</v>
      </c>
      <c r="F153" s="8">
        <v>0</v>
      </c>
      <c r="G153" s="8">
        <v>0.58599999999999997</v>
      </c>
      <c r="H153" s="8">
        <v>0</v>
      </c>
      <c r="I153" s="8">
        <v>2.4407999999999999</v>
      </c>
      <c r="J153" s="8">
        <v>0.58599999999999997</v>
      </c>
      <c r="K153" s="8">
        <v>2.4407999999999999</v>
      </c>
      <c r="L153" s="8">
        <v>54.205999999999896</v>
      </c>
      <c r="M153" s="8">
        <v>232.39079999999899</v>
      </c>
      <c r="N153" s="10">
        <v>4.2885117493472498</v>
      </c>
      <c r="O153" s="10">
        <v>4.2929927753205499</v>
      </c>
      <c r="P153" s="10">
        <v>4.2925979335481301</v>
      </c>
      <c r="Q153" s="10">
        <v>4.2926933578992896</v>
      </c>
      <c r="R153" s="8">
        <v>230.19027261268701</v>
      </c>
      <c r="S153" s="8">
        <v>230.17238248670299</v>
      </c>
      <c r="T153" s="8">
        <v>230.18000738412101</v>
      </c>
      <c r="U153" s="9">
        <v>1.0443451652759901E-3</v>
      </c>
      <c r="V153" s="9">
        <v>9.6662328320976402E-4</v>
      </c>
      <c r="W153" s="9">
        <v>9.9974963418042895E-4</v>
      </c>
      <c r="X153" s="10">
        <v>4.2871785411209</v>
      </c>
      <c r="Y153" s="10">
        <v>4.2916660005161003</v>
      </c>
      <c r="Z153" s="10">
        <v>4.2912271567607601</v>
      </c>
      <c r="AA153" s="10">
        <v>4.2913153311418704</v>
      </c>
      <c r="AB153" s="8">
        <v>232.63404722397601</v>
      </c>
      <c r="AC153" s="8">
        <v>232.61370681146801</v>
      </c>
      <c r="AD153" s="8">
        <v>232.62076770009401</v>
      </c>
      <c r="AE153" s="9">
        <v>1.0461688127583601E-3</v>
      </c>
      <c r="AF153" s="9">
        <v>9.5872975542093204E-4</v>
      </c>
      <c r="AG153" s="9">
        <v>9.8908386292409891E-4</v>
      </c>
      <c r="AZ153" s="9"/>
      <c r="BB153">
        <f t="shared" si="46"/>
        <v>0</v>
      </c>
      <c r="BC153">
        <f t="shared" si="47"/>
        <v>1</v>
      </c>
      <c r="BD153">
        <f t="shared" si="48"/>
        <v>0</v>
      </c>
      <c r="BE153">
        <f t="shared" si="44"/>
        <v>1</v>
      </c>
      <c r="BF153">
        <f t="shared" si="49"/>
        <v>0</v>
      </c>
      <c r="BG153" s="9">
        <f t="shared" si="50"/>
        <v>0</v>
      </c>
      <c r="BH153" s="9">
        <f t="shared" si="51"/>
        <v>0</v>
      </c>
      <c r="BI153" s="9">
        <f t="shared" si="52"/>
        <v>0</v>
      </c>
      <c r="BJ153" s="12">
        <f t="shared" si="53"/>
        <v>4.5548585798530026E-3</v>
      </c>
      <c r="BL153" s="9"/>
      <c r="BN153">
        <f t="shared" si="54"/>
        <v>1</v>
      </c>
      <c r="BO153">
        <f t="shared" si="55"/>
        <v>0</v>
      </c>
      <c r="BP153">
        <f t="shared" si="56"/>
        <v>1</v>
      </c>
      <c r="BQ153">
        <f t="shared" si="45"/>
        <v>1</v>
      </c>
      <c r="BR153">
        <f t="shared" si="57"/>
        <v>1</v>
      </c>
      <c r="BS153" s="9">
        <f t="shared" si="58"/>
        <v>1.6770711095548201E-3</v>
      </c>
      <c r="BT153" s="9">
        <f t="shared" si="59"/>
        <v>-1.9116311160977601E-3</v>
      </c>
      <c r="BU153" s="9">
        <f t="shared" si="60"/>
        <v>-2.3456000654293999E-4</v>
      </c>
      <c r="BV153" s="12">
        <f t="shared" si="61"/>
        <v>3.9013286462425585E-3</v>
      </c>
      <c r="BX153" s="12">
        <f t="shared" si="62"/>
        <v>-2.3456000654293999E-4</v>
      </c>
      <c r="BY153" s="12">
        <f t="shared" si="63"/>
        <v>8.4561872260955611E-3</v>
      </c>
    </row>
    <row r="154" spans="1:77" x14ac:dyDescent="0.3">
      <c r="A154" s="1">
        <v>46246</v>
      </c>
      <c r="B154" s="8">
        <v>53.82</v>
      </c>
      <c r="C154" s="8">
        <v>231.1</v>
      </c>
      <c r="D154" s="9">
        <v>3.7230124909465299E-3</v>
      </c>
      <c r="E154" s="9">
        <v>4.9886232944022701E-3</v>
      </c>
      <c r="F154" s="8">
        <v>0</v>
      </c>
      <c r="G154" s="8">
        <v>0.58599999999999997</v>
      </c>
      <c r="H154" s="8">
        <v>0</v>
      </c>
      <c r="I154" s="8">
        <v>2.4407999999999999</v>
      </c>
      <c r="J154" s="8">
        <v>0.58599999999999997</v>
      </c>
      <c r="K154" s="8">
        <v>2.4407999999999999</v>
      </c>
      <c r="L154" s="8">
        <v>54.405999999999999</v>
      </c>
      <c r="M154" s="8">
        <v>233.54079999999999</v>
      </c>
      <c r="N154" s="10">
        <v>4.2939427722036401</v>
      </c>
      <c r="O154" s="10">
        <v>4.2929927753205499</v>
      </c>
      <c r="P154" s="10">
        <v>4.2925215904301304</v>
      </c>
      <c r="Q154" s="10">
        <v>4.29256513584129</v>
      </c>
      <c r="R154" s="8">
        <v>231.048871167752</v>
      </c>
      <c r="S154" s="8">
        <v>231.02762078356</v>
      </c>
      <c r="T154" s="8">
        <v>231.03275652214001</v>
      </c>
      <c r="U154" s="9">
        <v>-2.21265638179793E-4</v>
      </c>
      <c r="V154" s="9">
        <v>-3.1324341491877902E-4</v>
      </c>
      <c r="W154" s="9">
        <v>-2.9101368550638501E-4</v>
      </c>
      <c r="X154" s="10">
        <v>4.29255596809175</v>
      </c>
      <c r="Y154" s="10">
        <v>4.2916660005161003</v>
      </c>
      <c r="Z154" s="10">
        <v>4.2911487482419801</v>
      </c>
      <c r="AA154" s="10">
        <v>4.2911900037251103</v>
      </c>
      <c r="AB154" s="8">
        <v>233.49238042407899</v>
      </c>
      <c r="AC154" s="8">
        <v>233.46850469072601</v>
      </c>
      <c r="AD154" s="8">
        <v>233.47330190610401</v>
      </c>
      <c r="AE154" s="9">
        <v>-2.0734961935705101E-4</v>
      </c>
      <c r="AF154" s="9">
        <v>-3.0960971922940999E-4</v>
      </c>
      <c r="AG154" s="9">
        <v>-2.8906233918676898E-4</v>
      </c>
      <c r="AZ154" s="9"/>
      <c r="BB154">
        <f t="shared" si="46"/>
        <v>0</v>
      </c>
      <c r="BC154">
        <f t="shared" si="47"/>
        <v>0</v>
      </c>
      <c r="BD154">
        <f t="shared" si="48"/>
        <v>0</v>
      </c>
      <c r="BE154">
        <f t="shared" si="44"/>
        <v>1</v>
      </c>
      <c r="BF154">
        <f t="shared" si="49"/>
        <v>0</v>
      </c>
      <c r="BG154" s="9">
        <f t="shared" si="50"/>
        <v>0</v>
      </c>
      <c r="BH154" s="9">
        <f t="shared" si="51"/>
        <v>0</v>
      </c>
      <c r="BI154" s="9">
        <f t="shared" si="52"/>
        <v>0</v>
      </c>
      <c r="BJ154" s="12">
        <f t="shared" si="53"/>
        <v>4.5548585798530026E-3</v>
      </c>
      <c r="BL154" s="9"/>
      <c r="BN154">
        <f t="shared" si="54"/>
        <v>0</v>
      </c>
      <c r="BO154">
        <f t="shared" si="55"/>
        <v>1</v>
      </c>
      <c r="BP154">
        <f t="shared" si="56"/>
        <v>1</v>
      </c>
      <c r="BQ154">
        <f t="shared" si="45"/>
        <v>1</v>
      </c>
      <c r="BR154">
        <f t="shared" si="57"/>
        <v>1</v>
      </c>
      <c r="BS154" s="9">
        <f t="shared" si="58"/>
        <v>-3.7230124909465299E-3</v>
      </c>
      <c r="BT154" s="9">
        <f t="shared" si="59"/>
        <v>4.9886232944022701E-3</v>
      </c>
      <c r="BU154" s="9">
        <f t="shared" si="60"/>
        <v>1.2656108034557402E-3</v>
      </c>
      <c r="BV154" s="12">
        <f t="shared" si="61"/>
        <v>5.1669394496982983E-3</v>
      </c>
      <c r="BX154" s="12">
        <f t="shared" si="62"/>
        <v>1.2656108034557402E-3</v>
      </c>
      <c r="BY154" s="12">
        <f t="shared" si="63"/>
        <v>9.7217980295513009E-3</v>
      </c>
    </row>
    <row r="155" spans="1:77" x14ac:dyDescent="0.3">
      <c r="A155" s="1">
        <v>46247</v>
      </c>
      <c r="B155" s="8">
        <v>54.3</v>
      </c>
      <c r="C155" s="8">
        <v>233.09</v>
      </c>
      <c r="D155" s="9">
        <v>8.8790816411299205E-3</v>
      </c>
      <c r="E155" s="9">
        <v>8.57412779824329E-3</v>
      </c>
      <c r="F155" s="8">
        <v>0</v>
      </c>
      <c r="G155" s="8">
        <v>0.58599999999999997</v>
      </c>
      <c r="H155" s="8">
        <v>0</v>
      </c>
      <c r="I155" s="8">
        <v>2.4407999999999999</v>
      </c>
      <c r="J155" s="8">
        <v>0.58599999999999997</v>
      </c>
      <c r="K155" s="8">
        <v>2.4407999999999999</v>
      </c>
      <c r="L155" s="8">
        <v>54.885999999999903</v>
      </c>
      <c r="M155" s="8">
        <v>235.5308</v>
      </c>
      <c r="N155" s="10">
        <v>4.29263351749539</v>
      </c>
      <c r="O155" s="10">
        <v>4.2929927753205499</v>
      </c>
      <c r="P155" s="10">
        <v>4.2926066821165998</v>
      </c>
      <c r="Q155" s="10">
        <v>4.2925441879170902</v>
      </c>
      <c r="R155" s="8">
        <v>233.10950769990501</v>
      </c>
      <c r="S155" s="8">
        <v>233.08392236035601</v>
      </c>
      <c r="T155" s="8">
        <v>233.08628687618199</v>
      </c>
      <c r="U155" s="9">
        <v>8.3688204706953905E-5</v>
      </c>
      <c r="V155" s="9">
        <v>-2.6074558668815499E-5</v>
      </c>
      <c r="W155" s="9">
        <v>-1.5930127388621199E-5</v>
      </c>
      <c r="X155" s="10">
        <v>4.2912728200269603</v>
      </c>
      <c r="Y155" s="10">
        <v>4.2916660005161003</v>
      </c>
      <c r="Z155" s="10">
        <v>4.2912338987120799</v>
      </c>
      <c r="AA155" s="10">
        <v>4.2911695040471898</v>
      </c>
      <c r="AB155" s="8">
        <v>235.552380104327</v>
      </c>
      <c r="AC155" s="8">
        <v>235.52399019600901</v>
      </c>
      <c r="AD155" s="8">
        <v>235.52625454445601</v>
      </c>
      <c r="AE155" s="9">
        <v>9.1619082377074798E-5</v>
      </c>
      <c r="AF155" s="9">
        <v>-2.8913001769036099E-5</v>
      </c>
      <c r="AG155" s="9">
        <v>-1.9298959647272099E-5</v>
      </c>
      <c r="AZ155" s="9"/>
      <c r="BB155">
        <f t="shared" si="46"/>
        <v>0</v>
      </c>
      <c r="BC155">
        <f t="shared" si="47"/>
        <v>0</v>
      </c>
      <c r="BD155">
        <f t="shared" si="48"/>
        <v>0</v>
      </c>
      <c r="BE155">
        <f t="shared" si="44"/>
        <v>1</v>
      </c>
      <c r="BF155">
        <f t="shared" si="49"/>
        <v>0</v>
      </c>
      <c r="BG155" s="9">
        <f t="shared" si="50"/>
        <v>0</v>
      </c>
      <c r="BH155" s="9">
        <f t="shared" si="51"/>
        <v>0</v>
      </c>
      <c r="BI155" s="9">
        <f t="shared" si="52"/>
        <v>0</v>
      </c>
      <c r="BJ155" s="12">
        <f t="shared" si="53"/>
        <v>4.5548585798530026E-3</v>
      </c>
      <c r="BL155" s="9"/>
      <c r="BN155">
        <f t="shared" si="54"/>
        <v>0</v>
      </c>
      <c r="BO155">
        <f t="shared" si="55"/>
        <v>1</v>
      </c>
      <c r="BP155">
        <f t="shared" si="56"/>
        <v>0</v>
      </c>
      <c r="BQ155">
        <f t="shared" si="45"/>
        <v>1</v>
      </c>
      <c r="BR155">
        <f t="shared" si="57"/>
        <v>0</v>
      </c>
      <c r="BS155" s="9">
        <f t="shared" si="58"/>
        <v>0</v>
      </c>
      <c r="BT155" s="9">
        <f t="shared" si="59"/>
        <v>0</v>
      </c>
      <c r="BU155" s="9">
        <f t="shared" si="60"/>
        <v>0</v>
      </c>
      <c r="BV155" s="12">
        <f t="shared" si="61"/>
        <v>5.1669394496982983E-3</v>
      </c>
      <c r="BX155" s="12">
        <f t="shared" si="62"/>
        <v>0</v>
      </c>
      <c r="BY155" s="12">
        <f t="shared" si="63"/>
        <v>9.7217980295513009E-3</v>
      </c>
    </row>
    <row r="156" spans="1:77" x14ac:dyDescent="0.3">
      <c r="A156" s="1">
        <v>46248</v>
      </c>
      <c r="B156" s="8">
        <v>54.35</v>
      </c>
      <c r="C156" s="8">
        <v>233.28</v>
      </c>
      <c r="D156" s="9">
        <v>9.2038662732874801E-4</v>
      </c>
      <c r="E156" s="9">
        <v>8.1480374171516196E-4</v>
      </c>
      <c r="F156" s="8">
        <v>0</v>
      </c>
      <c r="G156" s="8">
        <v>0.58599999999999997</v>
      </c>
      <c r="H156" s="8">
        <v>0</v>
      </c>
      <c r="I156" s="8">
        <v>2.4407999999999999</v>
      </c>
      <c r="J156" s="8">
        <v>0.58599999999999997</v>
      </c>
      <c r="K156" s="8">
        <v>2.4407999999999999</v>
      </c>
      <c r="L156" s="8">
        <v>54.936</v>
      </c>
      <c r="M156" s="8">
        <v>235.7208</v>
      </c>
      <c r="N156" s="10">
        <v>4.2921803127874796</v>
      </c>
      <c r="O156" s="10">
        <v>4.2929927753205499</v>
      </c>
      <c r="P156" s="10">
        <v>4.2923986977412296</v>
      </c>
      <c r="Q156" s="10">
        <v>4.2924626741008396</v>
      </c>
      <c r="R156" s="8">
        <v>233.32415733867199</v>
      </c>
      <c r="S156" s="8">
        <v>233.30317317303701</v>
      </c>
      <c r="T156" s="8">
        <v>233.299776613294</v>
      </c>
      <c r="U156" s="9">
        <v>1.8927109032063999E-4</v>
      </c>
      <c r="V156" s="9">
        <v>9.9331370648412002E-5</v>
      </c>
      <c r="W156" s="9">
        <v>8.47726982498436E-5</v>
      </c>
      <c r="X156" s="10">
        <v>4.2908256880733902</v>
      </c>
      <c r="Y156" s="10">
        <v>4.2916660005161003</v>
      </c>
      <c r="Z156" s="10">
        <v>4.2910298841768704</v>
      </c>
      <c r="AA156" s="10">
        <v>4.2910897579488898</v>
      </c>
      <c r="AB156" s="8">
        <v>235.766963404352</v>
      </c>
      <c r="AC156" s="8">
        <v>235.74322545964699</v>
      </c>
      <c r="AD156" s="8">
        <v>235.739687874336</v>
      </c>
      <c r="AE156" s="9">
        <v>1.95820159433954E-4</v>
      </c>
      <c r="AF156" s="9">
        <v>9.5131159338511794E-5</v>
      </c>
      <c r="AG156" s="9">
        <v>8.0124951432929099E-5</v>
      </c>
      <c r="AZ156" s="9"/>
      <c r="BB156">
        <f t="shared" si="46"/>
        <v>0</v>
      </c>
      <c r="BC156">
        <f t="shared" si="47"/>
        <v>1</v>
      </c>
      <c r="BD156">
        <f t="shared" si="48"/>
        <v>0</v>
      </c>
      <c r="BE156">
        <f t="shared" si="44"/>
        <v>1</v>
      </c>
      <c r="BF156">
        <f t="shared" si="49"/>
        <v>0</v>
      </c>
      <c r="BG156" s="9">
        <f t="shared" si="50"/>
        <v>0</v>
      </c>
      <c r="BH156" s="9">
        <f t="shared" si="51"/>
        <v>0</v>
      </c>
      <c r="BI156" s="9">
        <f t="shared" si="52"/>
        <v>0</v>
      </c>
      <c r="BJ156" s="12">
        <f t="shared" si="53"/>
        <v>4.5548585798530026E-3</v>
      </c>
      <c r="BL156" s="9"/>
      <c r="BN156">
        <f t="shared" si="54"/>
        <v>0</v>
      </c>
      <c r="BO156">
        <f t="shared" si="55"/>
        <v>0</v>
      </c>
      <c r="BP156">
        <f t="shared" si="56"/>
        <v>0</v>
      </c>
      <c r="BQ156">
        <f t="shared" si="45"/>
        <v>1</v>
      </c>
      <c r="BR156">
        <f t="shared" si="57"/>
        <v>0</v>
      </c>
      <c r="BS156" s="9">
        <f t="shared" si="58"/>
        <v>0</v>
      </c>
      <c r="BT156" s="9">
        <f t="shared" si="59"/>
        <v>0</v>
      </c>
      <c r="BU156" s="9">
        <f t="shared" si="60"/>
        <v>0</v>
      </c>
      <c r="BV156" s="12">
        <f t="shared" si="61"/>
        <v>5.1669394496982983E-3</v>
      </c>
      <c r="BX156" s="12">
        <f t="shared" si="62"/>
        <v>0</v>
      </c>
      <c r="BY156" s="12">
        <f t="shared" si="63"/>
        <v>9.7217980295513009E-3</v>
      </c>
    </row>
    <row r="157" spans="1:77" x14ac:dyDescent="0.3">
      <c r="A157" s="1">
        <v>46251</v>
      </c>
      <c r="B157" s="8">
        <v>53.62</v>
      </c>
      <c r="C157" s="8">
        <v>230.22</v>
      </c>
      <c r="D157" s="9">
        <v>-1.3522480759405301E-2</v>
      </c>
      <c r="E157" s="9">
        <v>-1.3204075333377301E-2</v>
      </c>
      <c r="F157" s="8">
        <v>0</v>
      </c>
      <c r="G157" s="8">
        <v>0.58599999999999997</v>
      </c>
      <c r="H157" s="8">
        <v>0</v>
      </c>
      <c r="I157" s="8">
        <v>2.4407999999999999</v>
      </c>
      <c r="J157" s="8">
        <v>0.58599999999999997</v>
      </c>
      <c r="K157" s="8">
        <v>2.4407999999999999</v>
      </c>
      <c r="L157" s="8">
        <v>54.205999999999896</v>
      </c>
      <c r="M157" s="8">
        <v>232.66079999999999</v>
      </c>
      <c r="N157" s="10">
        <v>4.2935471838866004</v>
      </c>
      <c r="O157" s="10">
        <v>4.2929927753205499</v>
      </c>
      <c r="P157" s="10">
        <v>4.29214176564445</v>
      </c>
      <c r="Q157" s="10">
        <v>4.2925188920416604</v>
      </c>
      <c r="R157" s="8">
        <v>230.19027261268701</v>
      </c>
      <c r="S157" s="8">
        <v>230.15841817288401</v>
      </c>
      <c r="T157" s="8">
        <v>230.161848585287</v>
      </c>
      <c r="U157" s="9">
        <v>-1.29134335707337E-4</v>
      </c>
      <c r="V157" s="9">
        <v>-2.67526995408758E-4</v>
      </c>
      <c r="W157" s="9">
        <v>-2.5262253583925701E-4</v>
      </c>
      <c r="X157" s="10">
        <v>4.2921595395343601</v>
      </c>
      <c r="Y157" s="10">
        <v>4.2916660005161003</v>
      </c>
      <c r="Z157" s="10">
        <v>4.2907758865180003</v>
      </c>
      <c r="AA157" s="10">
        <v>4.2911455845073601</v>
      </c>
      <c r="AB157" s="8">
        <v>232.63404722397601</v>
      </c>
      <c r="AC157" s="8">
        <v>232.59956590169099</v>
      </c>
      <c r="AD157" s="8">
        <v>232.60281141937699</v>
      </c>
      <c r="AE157" s="9">
        <v>-1.14992788821557E-4</v>
      </c>
      <c r="AF157" s="9">
        <v>-2.6322508061953401E-4</v>
      </c>
      <c r="AG157" s="9">
        <v>-2.4927193745409701E-4</v>
      </c>
      <c r="BB157">
        <f t="shared" si="46"/>
        <v>0</v>
      </c>
      <c r="BC157">
        <f t="shared" si="47"/>
        <v>0</v>
      </c>
      <c r="BD157">
        <f t="shared" si="48"/>
        <v>0</v>
      </c>
      <c r="BE157">
        <f t="shared" si="44"/>
        <v>1</v>
      </c>
      <c r="BF157">
        <f t="shared" si="49"/>
        <v>0</v>
      </c>
      <c r="BG157" s="9">
        <f t="shared" si="50"/>
        <v>0</v>
      </c>
      <c r="BH157" s="9">
        <f t="shared" si="51"/>
        <v>0</v>
      </c>
      <c r="BI157" s="9">
        <f t="shared" si="52"/>
        <v>0</v>
      </c>
      <c r="BJ157" s="12">
        <f t="shared" si="53"/>
        <v>4.5548585798530026E-3</v>
      </c>
      <c r="BL157" s="9"/>
      <c r="BN157">
        <f t="shared" si="54"/>
        <v>0</v>
      </c>
      <c r="BO157">
        <f t="shared" si="55"/>
        <v>1</v>
      </c>
      <c r="BP157">
        <f t="shared" si="56"/>
        <v>0</v>
      </c>
      <c r="BQ157">
        <f t="shared" si="45"/>
        <v>1</v>
      </c>
      <c r="BR157">
        <f t="shared" si="57"/>
        <v>0</v>
      </c>
      <c r="BS157" s="9">
        <f t="shared" si="58"/>
        <v>0</v>
      </c>
      <c r="BT157" s="9">
        <f t="shared" si="59"/>
        <v>0</v>
      </c>
      <c r="BU157" s="9">
        <f t="shared" si="60"/>
        <v>0</v>
      </c>
      <c r="BV157" s="12">
        <f t="shared" si="61"/>
        <v>5.1669394496982983E-3</v>
      </c>
      <c r="BX157" s="12">
        <f t="shared" si="62"/>
        <v>0</v>
      </c>
      <c r="BY157" s="12">
        <f t="shared" si="63"/>
        <v>9.7217980295513009E-3</v>
      </c>
    </row>
    <row r="158" spans="1:77" x14ac:dyDescent="0.3">
      <c r="A158" s="1">
        <v>46252</v>
      </c>
      <c r="B158" s="8">
        <v>54.06</v>
      </c>
      <c r="C158" s="8">
        <v>232.12</v>
      </c>
      <c r="D158" s="9">
        <v>8.1724080404883496E-3</v>
      </c>
      <c r="E158" s="9">
        <v>8.2191058354915206E-3</v>
      </c>
      <c r="F158" s="8">
        <v>0</v>
      </c>
      <c r="G158" s="8">
        <v>0.58599999999999997</v>
      </c>
      <c r="H158" s="8">
        <v>0</v>
      </c>
      <c r="I158" s="8">
        <v>2.4407999999999999</v>
      </c>
      <c r="J158" s="8">
        <v>0.58599999999999997</v>
      </c>
      <c r="K158" s="8">
        <v>2.4407999999999999</v>
      </c>
      <c r="L158" s="8">
        <v>54.646000000000001</v>
      </c>
      <c r="M158" s="8">
        <v>234.5608</v>
      </c>
      <c r="N158" s="10">
        <v>4.2937476877543403</v>
      </c>
      <c r="O158" s="10">
        <v>4.2929927753205499</v>
      </c>
      <c r="P158" s="10">
        <v>4.2922400965720202</v>
      </c>
      <c r="Q158" s="10">
        <v>4.2925742009576799</v>
      </c>
      <c r="R158" s="8">
        <v>232.07918943382899</v>
      </c>
      <c r="S158" s="8">
        <v>232.03318385073899</v>
      </c>
      <c r="T158" s="8">
        <v>232.053571303772</v>
      </c>
      <c r="U158" s="9">
        <v>-1.7583213071046901E-4</v>
      </c>
      <c r="V158" s="9">
        <v>-3.7408404506805297E-4</v>
      </c>
      <c r="W158" s="9">
        <v>-2.8622351976856798E-4</v>
      </c>
      <c r="X158" s="10">
        <v>4.2923690663543503</v>
      </c>
      <c r="Y158" s="10">
        <v>4.2916660005161003</v>
      </c>
      <c r="Z158" s="10">
        <v>4.2908735647277902</v>
      </c>
      <c r="AA158" s="10">
        <v>4.29120165212733</v>
      </c>
      <c r="AB158" s="8">
        <v>234.52238026420301</v>
      </c>
      <c r="AC158" s="8">
        <v>234.47373909466299</v>
      </c>
      <c r="AD158" s="8">
        <v>234.493941610989</v>
      </c>
      <c r="AE158" s="9">
        <v>-1.63807774395048E-4</v>
      </c>
      <c r="AF158" s="9">
        <v>-3.7123452146978301E-4</v>
      </c>
      <c r="AG158" s="9">
        <v>-2.8507712866727698E-4</v>
      </c>
      <c r="BB158">
        <f t="shared" si="46"/>
        <v>0</v>
      </c>
      <c r="BC158">
        <f t="shared" si="47"/>
        <v>0</v>
      </c>
      <c r="BD158">
        <f t="shared" si="48"/>
        <v>0</v>
      </c>
      <c r="BE158">
        <f t="shared" si="44"/>
        <v>1</v>
      </c>
      <c r="BF158">
        <f t="shared" si="49"/>
        <v>0</v>
      </c>
      <c r="BG158" s="9">
        <f t="shared" si="50"/>
        <v>0</v>
      </c>
      <c r="BH158" s="9">
        <f t="shared" si="51"/>
        <v>0</v>
      </c>
      <c r="BI158" s="9">
        <f t="shared" si="52"/>
        <v>0</v>
      </c>
      <c r="BJ158" s="12">
        <f t="shared" si="53"/>
        <v>4.5548585798530026E-3</v>
      </c>
      <c r="BL158" s="9"/>
      <c r="BN158">
        <f t="shared" si="54"/>
        <v>0</v>
      </c>
      <c r="BO158">
        <f t="shared" si="55"/>
        <v>1</v>
      </c>
      <c r="BP158">
        <f t="shared" si="56"/>
        <v>0</v>
      </c>
      <c r="BQ158">
        <f t="shared" si="45"/>
        <v>1</v>
      </c>
      <c r="BR158">
        <f t="shared" si="57"/>
        <v>0</v>
      </c>
      <c r="BS158" s="9">
        <f t="shared" si="58"/>
        <v>0</v>
      </c>
      <c r="BT158" s="9">
        <f t="shared" si="59"/>
        <v>0</v>
      </c>
      <c r="BU158" s="9">
        <f t="shared" si="60"/>
        <v>0</v>
      </c>
      <c r="BV158" s="12">
        <f t="shared" si="61"/>
        <v>5.1669394496982983E-3</v>
      </c>
      <c r="BX158" s="12">
        <f t="shared" si="62"/>
        <v>0</v>
      </c>
      <c r="BY158" s="12">
        <f t="shared" si="63"/>
        <v>9.7217980295513009E-3</v>
      </c>
    </row>
    <row r="159" spans="1:77" x14ac:dyDescent="0.3">
      <c r="A159" s="1">
        <v>46253</v>
      </c>
      <c r="B159" s="8">
        <v>54.62</v>
      </c>
      <c r="C159" s="8">
        <v>234.4</v>
      </c>
      <c r="D159" s="9">
        <v>1.03055751972573E-2</v>
      </c>
      <c r="E159" s="9">
        <v>9.7745783804500004E-3</v>
      </c>
      <c r="F159" s="8">
        <v>0</v>
      </c>
      <c r="G159" s="8">
        <v>0.58599999999999997</v>
      </c>
      <c r="H159" s="8">
        <v>0</v>
      </c>
      <c r="I159" s="8">
        <v>2.4407999999999999</v>
      </c>
      <c r="J159" s="8">
        <v>0.58599999999999997</v>
      </c>
      <c r="K159" s="8">
        <v>2.4407999999999999</v>
      </c>
      <c r="L159" s="8">
        <v>55.205999999999896</v>
      </c>
      <c r="M159" s="8">
        <v>236.8408</v>
      </c>
      <c r="N159" s="10">
        <v>4.2914683266202802</v>
      </c>
      <c r="O159" s="10">
        <v>4.2929927753205499</v>
      </c>
      <c r="P159" s="10">
        <v>4.2919904575534504</v>
      </c>
      <c r="Q159" s="10">
        <v>4.2925917271870802</v>
      </c>
      <c r="R159" s="8">
        <v>234.48326538800799</v>
      </c>
      <c r="S159" s="8">
        <v>234.44215407476301</v>
      </c>
      <c r="T159" s="8">
        <v>234.46040285630801</v>
      </c>
      <c r="U159" s="9">
        <v>3.5516468609690497E-4</v>
      </c>
      <c r="V159" s="9">
        <v>1.7982203396677899E-4</v>
      </c>
      <c r="W159" s="9">
        <v>2.5765816978758299E-4</v>
      </c>
      <c r="X159" s="10">
        <v>4.2901278846502198</v>
      </c>
      <c r="Y159" s="10">
        <v>4.2916660005161003</v>
      </c>
      <c r="Z159" s="10">
        <v>4.2906285091190304</v>
      </c>
      <c r="AA159" s="10">
        <v>4.2912208334647799</v>
      </c>
      <c r="AB159" s="8">
        <v>236.925713224492</v>
      </c>
      <c r="AC159" s="8">
        <v>236.88196601436201</v>
      </c>
      <c r="AD159" s="8">
        <v>236.900078407341</v>
      </c>
      <c r="AE159" s="9">
        <v>3.5846022473661301E-4</v>
      </c>
      <c r="AF159" s="9">
        <v>1.73797914811661E-4</v>
      </c>
      <c r="AG159" s="9">
        <v>2.5025667132650998E-4</v>
      </c>
      <c r="BB159">
        <f t="shared" si="46"/>
        <v>0</v>
      </c>
      <c r="BC159">
        <f t="shared" si="47"/>
        <v>1</v>
      </c>
      <c r="BD159">
        <f t="shared" si="48"/>
        <v>0</v>
      </c>
      <c r="BE159">
        <f t="shared" si="44"/>
        <v>1</v>
      </c>
      <c r="BF159">
        <f t="shared" si="49"/>
        <v>0</v>
      </c>
      <c r="BG159" s="9">
        <f t="shared" si="50"/>
        <v>0</v>
      </c>
      <c r="BH159" s="9">
        <f t="shared" si="51"/>
        <v>0</v>
      </c>
      <c r="BI159" s="9">
        <f t="shared" si="52"/>
        <v>0</v>
      </c>
      <c r="BJ159" s="12">
        <f t="shared" si="53"/>
        <v>4.5548585798530026E-3</v>
      </c>
      <c r="BL159" s="9"/>
      <c r="BN159">
        <f t="shared" si="54"/>
        <v>0</v>
      </c>
      <c r="BO159">
        <f t="shared" si="55"/>
        <v>0</v>
      </c>
      <c r="BP159">
        <f t="shared" si="56"/>
        <v>0</v>
      </c>
      <c r="BQ159">
        <f t="shared" si="45"/>
        <v>1</v>
      </c>
      <c r="BR159">
        <f t="shared" si="57"/>
        <v>0</v>
      </c>
      <c r="BS159" s="9">
        <f t="shared" si="58"/>
        <v>0</v>
      </c>
      <c r="BT159" s="9">
        <f t="shared" si="59"/>
        <v>0</v>
      </c>
      <c r="BU159" s="9">
        <f t="shared" si="60"/>
        <v>0</v>
      </c>
      <c r="BV159" s="12">
        <f t="shared" si="61"/>
        <v>5.1669394496982983E-3</v>
      </c>
      <c r="BX159" s="12">
        <f t="shared" si="62"/>
        <v>0</v>
      </c>
      <c r="BY159" s="12">
        <f t="shared" si="63"/>
        <v>9.7217980295513009E-3</v>
      </c>
    </row>
    <row r="160" spans="1:77" x14ac:dyDescent="0.3">
      <c r="A160" s="1">
        <v>46254</v>
      </c>
      <c r="B160" s="8">
        <v>53.64</v>
      </c>
      <c r="C160" s="8">
        <v>230.2</v>
      </c>
      <c r="D160" s="9">
        <v>-1.81050576320811E-2</v>
      </c>
      <c r="E160" s="9">
        <v>-1.8080561415075299E-2</v>
      </c>
      <c r="F160" s="8">
        <v>0</v>
      </c>
      <c r="G160" s="8">
        <v>0.58599999999999997</v>
      </c>
      <c r="H160" s="8">
        <v>0</v>
      </c>
      <c r="I160" s="8">
        <v>2.4407999999999999</v>
      </c>
      <c r="J160" s="8">
        <v>0.58599999999999997</v>
      </c>
      <c r="K160" s="8">
        <v>2.4407999999999999</v>
      </c>
      <c r="L160" s="8">
        <v>54.225999999999999</v>
      </c>
      <c r="M160" s="8">
        <v>232.64079999999899</v>
      </c>
      <c r="N160" s="10">
        <v>4.2915734526472704</v>
      </c>
      <c r="O160" s="10">
        <v>4.2929927753205499</v>
      </c>
      <c r="P160" s="10">
        <v>4.2919307672965203</v>
      </c>
      <c r="Q160" s="10">
        <v>4.2925453282682096</v>
      </c>
      <c r="R160" s="8">
        <v>230.27613246819399</v>
      </c>
      <c r="S160" s="8">
        <v>230.22236814316699</v>
      </c>
      <c r="T160" s="8">
        <v>230.254620246315</v>
      </c>
      <c r="U160" s="9">
        <v>3.3066846909104498E-4</v>
      </c>
      <c r="V160" s="9">
        <v>9.7163581671164703E-5</v>
      </c>
      <c r="W160" s="9">
        <v>2.37244862662123E-4</v>
      </c>
      <c r="X160" s="10">
        <v>4.2902076494670398</v>
      </c>
      <c r="Y160" s="10">
        <v>4.2916660005161003</v>
      </c>
      <c r="Z160" s="10">
        <v>4.2905691357185498</v>
      </c>
      <c r="AA160" s="10">
        <v>4.2911765325657996</v>
      </c>
      <c r="AB160" s="8">
        <v>232.71988054398599</v>
      </c>
      <c r="AC160" s="8">
        <v>232.66362153548801</v>
      </c>
      <c r="AD160" s="8">
        <v>232.69574091546099</v>
      </c>
      <c r="AE160" s="9">
        <v>3.3986775442797099E-4</v>
      </c>
      <c r="AF160" s="9">
        <v>9.8092923475651196E-5</v>
      </c>
      <c r="AG160" s="9">
        <v>2.36134113209424E-4</v>
      </c>
      <c r="BB160">
        <f t="shared" si="46"/>
        <v>0</v>
      </c>
      <c r="BC160">
        <f t="shared" si="47"/>
        <v>1</v>
      </c>
      <c r="BD160">
        <f t="shared" si="48"/>
        <v>0</v>
      </c>
      <c r="BE160">
        <f t="shared" si="44"/>
        <v>1</v>
      </c>
      <c r="BF160">
        <f t="shared" si="49"/>
        <v>0</v>
      </c>
      <c r="BG160" s="9">
        <f t="shared" si="50"/>
        <v>0</v>
      </c>
      <c r="BH160" s="9">
        <f t="shared" si="51"/>
        <v>0</v>
      </c>
      <c r="BI160" s="9">
        <f t="shared" si="52"/>
        <v>0</v>
      </c>
      <c r="BJ160" s="12">
        <f t="shared" si="53"/>
        <v>4.5548585798530026E-3</v>
      </c>
      <c r="BL160" s="9"/>
      <c r="BN160">
        <f t="shared" si="54"/>
        <v>0</v>
      </c>
      <c r="BO160">
        <f t="shared" si="55"/>
        <v>0</v>
      </c>
      <c r="BP160">
        <f t="shared" si="56"/>
        <v>0</v>
      </c>
      <c r="BQ160">
        <f t="shared" si="45"/>
        <v>1</v>
      </c>
      <c r="BR160">
        <f t="shared" si="57"/>
        <v>0</v>
      </c>
      <c r="BS160" s="9">
        <f t="shared" si="58"/>
        <v>0</v>
      </c>
      <c r="BT160" s="9">
        <f t="shared" si="59"/>
        <v>0</v>
      </c>
      <c r="BU160" s="9">
        <f t="shared" si="60"/>
        <v>0</v>
      </c>
      <c r="BV160" s="12">
        <f t="shared" si="61"/>
        <v>5.1669394496982983E-3</v>
      </c>
      <c r="BX160" s="12">
        <f t="shared" si="62"/>
        <v>0</v>
      </c>
      <c r="BY160" s="12">
        <f t="shared" si="63"/>
        <v>9.7217980295513009E-3</v>
      </c>
    </row>
    <row r="161" spans="1:77" x14ac:dyDescent="0.3">
      <c r="A161" s="1">
        <v>46255</v>
      </c>
      <c r="B161" s="8">
        <v>54.04</v>
      </c>
      <c r="C161" s="8">
        <v>231.75</v>
      </c>
      <c r="D161" s="9">
        <v>7.4294546785202897E-3</v>
      </c>
      <c r="E161" s="9">
        <v>6.7107081581823996E-3</v>
      </c>
      <c r="F161" s="8">
        <v>0</v>
      </c>
      <c r="G161" s="8">
        <v>0.58599999999999997</v>
      </c>
      <c r="H161" s="8">
        <v>0</v>
      </c>
      <c r="I161" s="8">
        <v>2.4407999999999999</v>
      </c>
      <c r="J161" s="8">
        <v>0.58599999999999997</v>
      </c>
      <c r="K161" s="8">
        <v>2.4407999999999999</v>
      </c>
      <c r="L161" s="8">
        <v>54.625999999999998</v>
      </c>
      <c r="M161" s="8">
        <v>234.1908</v>
      </c>
      <c r="N161" s="10">
        <v>4.2884900074019203</v>
      </c>
      <c r="O161" s="10">
        <v>4.2929927753205499</v>
      </c>
      <c r="P161" s="10">
        <v>4.2915612790818196</v>
      </c>
      <c r="Q161" s="10">
        <v>4.2923144934164004</v>
      </c>
      <c r="R161" s="8">
        <v>231.993329578322</v>
      </c>
      <c r="S161" s="8">
        <v>231.935938664704</v>
      </c>
      <c r="T161" s="8">
        <v>231.96914953961399</v>
      </c>
      <c r="U161" s="9">
        <v>1.0494149894289999E-3</v>
      </c>
      <c r="V161" s="9">
        <v>8.0200264517790699E-4</v>
      </c>
      <c r="W161" s="9">
        <v>9.4518225588509895E-4</v>
      </c>
      <c r="X161" s="10">
        <v>4.2871672829787997</v>
      </c>
      <c r="Y161" s="10">
        <v>4.2916660005161003</v>
      </c>
      <c r="Z161" s="10">
        <v>4.2902040364859397</v>
      </c>
      <c r="AA161" s="10">
        <v>4.2909495709526304</v>
      </c>
      <c r="AB161" s="8">
        <v>234.436546944192</v>
      </c>
      <c r="AC161" s="8">
        <v>234.376629607761</v>
      </c>
      <c r="AD161" s="8">
        <v>234.40980926793901</v>
      </c>
      <c r="AE161" s="9">
        <v>1.04879481883271E-3</v>
      </c>
      <c r="AF161" s="9">
        <v>7.9318196597572205E-4</v>
      </c>
      <c r="AG161" s="9">
        <v>9.3473751230516795E-4</v>
      </c>
      <c r="BB161">
        <f t="shared" si="46"/>
        <v>0</v>
      </c>
      <c r="BC161">
        <f t="shared" si="47"/>
        <v>1</v>
      </c>
      <c r="BD161">
        <f t="shared" si="48"/>
        <v>0</v>
      </c>
      <c r="BE161">
        <f t="shared" si="44"/>
        <v>1</v>
      </c>
      <c r="BF161">
        <f t="shared" si="49"/>
        <v>0</v>
      </c>
      <c r="BG161" s="9">
        <f t="shared" si="50"/>
        <v>0</v>
      </c>
      <c r="BH161" s="9">
        <f t="shared" si="51"/>
        <v>0</v>
      </c>
      <c r="BI161" s="9">
        <f t="shared" si="52"/>
        <v>0</v>
      </c>
      <c r="BJ161" s="12">
        <f t="shared" si="53"/>
        <v>4.5548585798530026E-3</v>
      </c>
      <c r="BL161" s="9"/>
      <c r="BN161">
        <f t="shared" si="54"/>
        <v>1</v>
      </c>
      <c r="BO161">
        <f t="shared" si="55"/>
        <v>0</v>
      </c>
      <c r="BP161">
        <f t="shared" si="56"/>
        <v>0</v>
      </c>
      <c r="BQ161">
        <f t="shared" si="45"/>
        <v>1</v>
      </c>
      <c r="BR161">
        <f t="shared" si="57"/>
        <v>0</v>
      </c>
      <c r="BS161" s="9">
        <f t="shared" si="58"/>
        <v>0</v>
      </c>
      <c r="BT161" s="9">
        <f t="shared" si="59"/>
        <v>0</v>
      </c>
      <c r="BU161" s="9">
        <f t="shared" si="60"/>
        <v>0</v>
      </c>
      <c r="BV161" s="12">
        <f t="shared" si="61"/>
        <v>5.1669394496982983E-3</v>
      </c>
      <c r="BX161" s="12">
        <f t="shared" si="62"/>
        <v>0</v>
      </c>
      <c r="BY161" s="12">
        <f t="shared" si="63"/>
        <v>9.7217980295513009E-3</v>
      </c>
    </row>
    <row r="162" spans="1:77" x14ac:dyDescent="0.3">
      <c r="A162" s="1">
        <v>46258</v>
      </c>
      <c r="B162" s="8">
        <v>54.92</v>
      </c>
      <c r="C162" s="8">
        <v>235.69</v>
      </c>
      <c r="D162" s="9">
        <v>1.61530678077722E-2</v>
      </c>
      <c r="E162" s="9">
        <v>1.6858177782331899E-2</v>
      </c>
      <c r="F162" s="8">
        <v>0</v>
      </c>
      <c r="G162" s="8">
        <v>0.58599999999999997</v>
      </c>
      <c r="H162" s="8">
        <v>0</v>
      </c>
      <c r="I162" s="8">
        <v>2.4407999999999999</v>
      </c>
      <c r="J162" s="8">
        <v>0.58599999999999997</v>
      </c>
      <c r="K162" s="8">
        <v>2.4407999999999999</v>
      </c>
      <c r="L162" s="8">
        <v>55.506</v>
      </c>
      <c r="M162" s="8">
        <v>238.13079999999999</v>
      </c>
      <c r="N162" s="10">
        <v>4.2915149308084404</v>
      </c>
      <c r="O162" s="10">
        <v>4.2929927753205499</v>
      </c>
      <c r="P162" s="10">
        <v>4.2917609940952604</v>
      </c>
      <c r="Q162" s="10">
        <v>4.2922100614518</v>
      </c>
      <c r="R162" s="8">
        <v>235.771163220604</v>
      </c>
      <c r="S162" s="8">
        <v>235.69254544717299</v>
      </c>
      <c r="T162" s="8">
        <v>235.73391197842801</v>
      </c>
      <c r="U162" s="9">
        <v>3.4430501486947202E-4</v>
      </c>
      <c r="V162" s="9">
        <v>1.07999212031099E-5</v>
      </c>
      <c r="W162" s="9">
        <v>1.8629508363970801E-4</v>
      </c>
      <c r="X162" s="10">
        <v>4.2901812416675602</v>
      </c>
      <c r="Y162" s="10">
        <v>4.2916660005161003</v>
      </c>
      <c r="Z162" s="10">
        <v>4.2904045681965304</v>
      </c>
      <c r="AA162" s="10">
        <v>4.2908476629444099</v>
      </c>
      <c r="AB162" s="8">
        <v>238.21321302464699</v>
      </c>
      <c r="AC162" s="8">
        <v>238.132065249189</v>
      </c>
      <c r="AD162" s="8">
        <v>238.17344688529701</v>
      </c>
      <c r="AE162" s="9">
        <v>3.4602313964725902E-4</v>
      </c>
      <c r="AF162" s="9">
        <v>5.3132388911771501E-6</v>
      </c>
      <c r="AG162" s="9">
        <v>1.7907413461062499E-4</v>
      </c>
      <c r="BB162">
        <f t="shared" si="46"/>
        <v>0</v>
      </c>
      <c r="BC162">
        <f t="shared" si="47"/>
        <v>1</v>
      </c>
      <c r="BD162">
        <f t="shared" si="48"/>
        <v>0</v>
      </c>
      <c r="BE162">
        <f t="shared" si="44"/>
        <v>1</v>
      </c>
      <c r="BF162">
        <f t="shared" si="49"/>
        <v>0</v>
      </c>
      <c r="BG162" s="9">
        <f t="shared" si="50"/>
        <v>0</v>
      </c>
      <c r="BH162" s="9">
        <f t="shared" si="51"/>
        <v>0</v>
      </c>
      <c r="BI162" s="9">
        <f t="shared" si="52"/>
        <v>0</v>
      </c>
      <c r="BJ162" s="12">
        <f t="shared" si="53"/>
        <v>4.5548585798530026E-3</v>
      </c>
      <c r="BL162" s="9"/>
      <c r="BN162">
        <f t="shared" si="54"/>
        <v>0</v>
      </c>
      <c r="BO162">
        <f t="shared" si="55"/>
        <v>0</v>
      </c>
      <c r="BP162">
        <f t="shared" si="56"/>
        <v>1</v>
      </c>
      <c r="BQ162">
        <f t="shared" si="45"/>
        <v>1</v>
      </c>
      <c r="BR162">
        <f t="shared" si="57"/>
        <v>1</v>
      </c>
      <c r="BS162" s="9">
        <f t="shared" si="58"/>
        <v>-1.61530678077722E-2</v>
      </c>
      <c r="BT162" s="9">
        <f t="shared" si="59"/>
        <v>1.6858177782331899E-2</v>
      </c>
      <c r="BU162" s="9">
        <f t="shared" si="60"/>
        <v>7.051099745596992E-4</v>
      </c>
      <c r="BV162" s="12">
        <f t="shared" si="61"/>
        <v>5.8720494242579975E-3</v>
      </c>
      <c r="BX162" s="12">
        <f t="shared" si="62"/>
        <v>7.051099745596992E-4</v>
      </c>
      <c r="BY162" s="12">
        <f t="shared" si="63"/>
        <v>1.0426908004111E-2</v>
      </c>
    </row>
    <row r="163" spans="1:77" x14ac:dyDescent="0.3">
      <c r="A163" s="1">
        <v>46259</v>
      </c>
      <c r="B163" s="8">
        <v>54.43</v>
      </c>
      <c r="C163" s="8">
        <v>233.53</v>
      </c>
      <c r="D163" s="9">
        <v>-8.9621084536617105E-3</v>
      </c>
      <c r="E163" s="9">
        <v>-9.2068337147611905E-3</v>
      </c>
      <c r="F163" s="8">
        <v>0</v>
      </c>
      <c r="G163" s="8">
        <v>0.58599999999999997</v>
      </c>
      <c r="H163" s="8">
        <v>0</v>
      </c>
      <c r="I163" s="8">
        <v>2.4407999999999999</v>
      </c>
      <c r="J163" s="8">
        <v>0.58599999999999997</v>
      </c>
      <c r="K163" s="8">
        <v>2.4407999999999999</v>
      </c>
      <c r="L163" s="8">
        <v>55.015999999999998</v>
      </c>
      <c r="M163" s="8">
        <v>235.9708</v>
      </c>
      <c r="N163" s="10">
        <v>4.2904648171963897</v>
      </c>
      <c r="O163" s="10">
        <v>4.2929927753205499</v>
      </c>
      <c r="P163" s="10">
        <v>4.2919563008801802</v>
      </c>
      <c r="Q163" s="10">
        <v>4.2922771172141498</v>
      </c>
      <c r="R163" s="8">
        <v>233.66759676069699</v>
      </c>
      <c r="S163" s="8">
        <v>233.60055090860499</v>
      </c>
      <c r="T163" s="8">
        <v>233.62499364482099</v>
      </c>
      <c r="U163" s="9">
        <v>5.8903027596877999E-4</v>
      </c>
      <c r="V163" s="9">
        <v>3.0206077938864303E-4</v>
      </c>
      <c r="W163" s="9">
        <v>4.0669005971608301E-4</v>
      </c>
      <c r="X163" s="10">
        <v>4.2891304347826003</v>
      </c>
      <c r="Y163" s="10">
        <v>4.2916660005161003</v>
      </c>
      <c r="Z163" s="10">
        <v>4.2905997575627</v>
      </c>
      <c r="AA163" s="10">
        <v>4.2909134571617296</v>
      </c>
      <c r="AB163" s="8">
        <v>236.110296684394</v>
      </c>
      <c r="AC163" s="8">
        <v>236.0408977239</v>
      </c>
      <c r="AD163" s="8">
        <v>236.06527502455</v>
      </c>
      <c r="AE163" s="9">
        <v>5.9098612265596399E-4</v>
      </c>
      <c r="AF163" s="9">
        <v>2.9701689493729798E-4</v>
      </c>
      <c r="AG163" s="9">
        <v>4.0028731196703899E-4</v>
      </c>
      <c r="BB163">
        <f t="shared" si="46"/>
        <v>0</v>
      </c>
      <c r="BC163">
        <f t="shared" si="47"/>
        <v>1</v>
      </c>
      <c r="BD163">
        <f t="shared" si="48"/>
        <v>0</v>
      </c>
      <c r="BE163">
        <f t="shared" si="44"/>
        <v>1</v>
      </c>
      <c r="BF163">
        <f t="shared" si="49"/>
        <v>0</v>
      </c>
      <c r="BG163" s="9">
        <f t="shared" si="50"/>
        <v>0</v>
      </c>
      <c r="BH163" s="9">
        <f t="shared" si="51"/>
        <v>0</v>
      </c>
      <c r="BI163" s="9">
        <f t="shared" si="52"/>
        <v>0</v>
      </c>
      <c r="BJ163" s="12">
        <f t="shared" si="53"/>
        <v>4.5548585798530026E-3</v>
      </c>
      <c r="BL163" s="9"/>
      <c r="BN163">
        <f t="shared" si="54"/>
        <v>0</v>
      </c>
      <c r="BO163">
        <f t="shared" si="55"/>
        <v>0</v>
      </c>
      <c r="BP163">
        <f t="shared" si="56"/>
        <v>1</v>
      </c>
      <c r="BQ163">
        <f t="shared" si="45"/>
        <v>1</v>
      </c>
      <c r="BR163">
        <f t="shared" si="57"/>
        <v>1</v>
      </c>
      <c r="BS163" s="9">
        <f t="shared" si="58"/>
        <v>8.9621084536617105E-3</v>
      </c>
      <c r="BT163" s="9">
        <f t="shared" si="59"/>
        <v>-9.2068337147611905E-3</v>
      </c>
      <c r="BU163" s="9">
        <f t="shared" si="60"/>
        <v>-2.4472526109948003E-4</v>
      </c>
      <c r="BV163" s="12">
        <f t="shared" si="61"/>
        <v>5.6273241631585175E-3</v>
      </c>
      <c r="BX163" s="12">
        <f t="shared" si="62"/>
        <v>-2.4472526109948003E-4</v>
      </c>
      <c r="BY163" s="12">
        <f t="shared" si="63"/>
        <v>1.018218274301152E-2</v>
      </c>
    </row>
    <row r="164" spans="1:77" x14ac:dyDescent="0.3">
      <c r="A164" s="1">
        <v>46260</v>
      </c>
      <c r="B164" s="8">
        <v>54.19</v>
      </c>
      <c r="C164" s="8">
        <v>232.75</v>
      </c>
      <c r="D164" s="9">
        <v>-4.4190828680858701E-3</v>
      </c>
      <c r="E164" s="9">
        <v>-3.34563235635878E-3</v>
      </c>
      <c r="F164" s="8">
        <v>0</v>
      </c>
      <c r="G164" s="8">
        <v>0.58599999999999997</v>
      </c>
      <c r="H164" s="8">
        <v>0</v>
      </c>
      <c r="I164" s="8">
        <v>2.4407999999999999</v>
      </c>
      <c r="J164" s="8">
        <v>0.58599999999999997</v>
      </c>
      <c r="K164" s="8">
        <v>2.4407999999999999</v>
      </c>
      <c r="L164" s="8">
        <v>54.775999999999897</v>
      </c>
      <c r="M164" s="8">
        <v>235.1908</v>
      </c>
      <c r="N164" s="10">
        <v>4.2950728916774299</v>
      </c>
      <c r="O164" s="10">
        <v>4.2929927753205499</v>
      </c>
      <c r="P164" s="10">
        <v>4.29206931282756</v>
      </c>
      <c r="Q164" s="10">
        <v>4.2922954516288403</v>
      </c>
      <c r="R164" s="8">
        <v>232.63727849462001</v>
      </c>
      <c r="S164" s="8">
        <v>232.581111944697</v>
      </c>
      <c r="T164" s="8">
        <v>232.59849698183501</v>
      </c>
      <c r="U164" s="9">
        <v>-4.8442023575822203E-4</v>
      </c>
      <c r="V164" s="9">
        <v>-7.2588339091630798E-4</v>
      </c>
      <c r="W164" s="9">
        <v>-6.5113790847191801E-4</v>
      </c>
      <c r="X164" s="10">
        <v>4.29368336497736</v>
      </c>
      <c r="Y164" s="10">
        <v>4.2916660005161003</v>
      </c>
      <c r="Z164" s="10">
        <v>4.2907124972512598</v>
      </c>
      <c r="AA164" s="10">
        <v>4.29093062274662</v>
      </c>
      <c r="AB164" s="8">
        <v>235.08029684427001</v>
      </c>
      <c r="AC164" s="8">
        <v>235.02189232025401</v>
      </c>
      <c r="AD164" s="8">
        <v>235.03907552949099</v>
      </c>
      <c r="AE164" s="9">
        <v>-4.6995513228402302E-4</v>
      </c>
      <c r="AF164" s="9">
        <v>-7.1843099843481198E-4</v>
      </c>
      <c r="AG164" s="9">
        <v>-6.4532044291440503E-4</v>
      </c>
      <c r="BB164">
        <f t="shared" si="46"/>
        <v>0</v>
      </c>
      <c r="BC164">
        <f t="shared" si="47"/>
        <v>0</v>
      </c>
      <c r="BD164">
        <f t="shared" si="48"/>
        <v>0</v>
      </c>
      <c r="BE164">
        <f t="shared" si="44"/>
        <v>1</v>
      </c>
      <c r="BF164">
        <f t="shared" si="49"/>
        <v>0</v>
      </c>
      <c r="BG164" s="9">
        <f t="shared" si="50"/>
        <v>0</v>
      </c>
      <c r="BH164" s="9">
        <f t="shared" si="51"/>
        <v>0</v>
      </c>
      <c r="BI164" s="9">
        <f t="shared" si="52"/>
        <v>0</v>
      </c>
      <c r="BJ164" s="12">
        <f t="shared" si="53"/>
        <v>4.5548585798530026E-3</v>
      </c>
      <c r="BL164" s="9"/>
      <c r="BN164">
        <f t="shared" si="54"/>
        <v>0</v>
      </c>
      <c r="BO164">
        <f t="shared" si="55"/>
        <v>1</v>
      </c>
      <c r="BP164">
        <f t="shared" si="56"/>
        <v>1</v>
      </c>
      <c r="BQ164">
        <f t="shared" si="45"/>
        <v>1</v>
      </c>
      <c r="BR164">
        <f t="shared" si="57"/>
        <v>1</v>
      </c>
      <c r="BS164" s="9">
        <f t="shared" si="58"/>
        <v>4.4190828680858701E-3</v>
      </c>
      <c r="BT164" s="9">
        <f t="shared" si="59"/>
        <v>-3.34563235635878E-3</v>
      </c>
      <c r="BU164" s="9">
        <f t="shared" si="60"/>
        <v>1.0734505117270901E-3</v>
      </c>
      <c r="BV164" s="12">
        <f t="shared" si="61"/>
        <v>6.7007746748856071E-3</v>
      </c>
      <c r="BX164" s="12">
        <f t="shared" si="62"/>
        <v>1.0734505117270901E-3</v>
      </c>
      <c r="BY164" s="12">
        <f t="shared" si="63"/>
        <v>1.125563325473861E-2</v>
      </c>
    </row>
    <row r="165" spans="1:77" x14ac:dyDescent="0.3">
      <c r="A165" s="1">
        <v>46261</v>
      </c>
      <c r="B165" s="8">
        <v>53.43</v>
      </c>
      <c r="C165" s="8">
        <v>229.21</v>
      </c>
      <c r="D165" s="9">
        <v>-1.41240036083427E-2</v>
      </c>
      <c r="E165" s="9">
        <v>-1.53263022509014E-2</v>
      </c>
      <c r="F165" s="8">
        <v>0</v>
      </c>
      <c r="G165" s="8">
        <v>0.58599999999999997</v>
      </c>
      <c r="H165" s="8">
        <v>0</v>
      </c>
      <c r="I165" s="8">
        <v>2.4407999999999999</v>
      </c>
      <c r="J165" s="8">
        <v>0.58599999999999997</v>
      </c>
      <c r="K165" s="8">
        <v>2.4407999999999999</v>
      </c>
      <c r="L165" s="8">
        <v>54.015999999999998</v>
      </c>
      <c r="M165" s="8">
        <v>231.6508</v>
      </c>
      <c r="N165" s="10">
        <v>4.2899120344375801</v>
      </c>
      <c r="O165" s="10">
        <v>4.2929927753205499</v>
      </c>
      <c r="P165" s="10">
        <v>4.2917971645217703</v>
      </c>
      <c r="Q165" s="10">
        <v>4.2922019233191904</v>
      </c>
      <c r="R165" s="8">
        <v>229.37460398537701</v>
      </c>
      <c r="S165" s="8">
        <v>229.325263384376</v>
      </c>
      <c r="T165" s="8">
        <v>229.33734598052899</v>
      </c>
      <c r="U165" s="9">
        <v>7.1787840680048504E-4</v>
      </c>
      <c r="V165" s="9">
        <v>5.0274600890488398E-4</v>
      </c>
      <c r="W165" s="9">
        <v>5.5543221400975796E-4</v>
      </c>
      <c r="X165" s="10">
        <v>4.2885589454976296</v>
      </c>
      <c r="Y165" s="10">
        <v>4.2916660005161003</v>
      </c>
      <c r="Z165" s="10">
        <v>4.2904411097983299</v>
      </c>
      <c r="AA165" s="10">
        <v>4.2908375042552098</v>
      </c>
      <c r="AB165" s="8">
        <v>231.81863068387801</v>
      </c>
      <c r="AC165" s="8">
        <v>231.76712625152399</v>
      </c>
      <c r="AD165" s="8">
        <v>231.77890851828101</v>
      </c>
      <c r="AE165" s="9">
        <v>7.2423629306631195E-4</v>
      </c>
      <c r="AF165" s="9">
        <v>5.0203605591482797E-4</v>
      </c>
      <c r="AG165" s="9">
        <v>5.5287142446912405E-4</v>
      </c>
      <c r="BB165">
        <f t="shared" si="46"/>
        <v>0</v>
      </c>
      <c r="BC165">
        <f t="shared" si="47"/>
        <v>1</v>
      </c>
      <c r="BD165">
        <f t="shared" si="48"/>
        <v>0</v>
      </c>
      <c r="BE165">
        <f t="shared" si="44"/>
        <v>1</v>
      </c>
      <c r="BF165">
        <f t="shared" si="49"/>
        <v>0</v>
      </c>
      <c r="BG165" s="9">
        <f t="shared" si="50"/>
        <v>0</v>
      </c>
      <c r="BH165" s="9">
        <f t="shared" si="51"/>
        <v>0</v>
      </c>
      <c r="BI165" s="9">
        <f t="shared" si="52"/>
        <v>0</v>
      </c>
      <c r="BJ165" s="12">
        <f t="shared" si="53"/>
        <v>4.5548585798530026E-3</v>
      </c>
      <c r="BL165" s="9"/>
      <c r="BN165">
        <f t="shared" si="54"/>
        <v>0</v>
      </c>
      <c r="BO165">
        <f t="shared" si="55"/>
        <v>0</v>
      </c>
      <c r="BP165">
        <f t="shared" si="56"/>
        <v>0</v>
      </c>
      <c r="BQ165">
        <f t="shared" si="45"/>
        <v>1</v>
      </c>
      <c r="BR165">
        <f t="shared" si="57"/>
        <v>0</v>
      </c>
      <c r="BS165" s="9">
        <f t="shared" si="58"/>
        <v>0</v>
      </c>
      <c r="BT165" s="9">
        <f t="shared" si="59"/>
        <v>0</v>
      </c>
      <c r="BU165" s="9">
        <f t="shared" si="60"/>
        <v>0</v>
      </c>
      <c r="BV165" s="12">
        <f t="shared" si="61"/>
        <v>6.7007746748856071E-3</v>
      </c>
      <c r="BX165" s="12">
        <f t="shared" si="62"/>
        <v>0</v>
      </c>
      <c r="BY165" s="12">
        <f t="shared" si="63"/>
        <v>1.125563325473861E-2</v>
      </c>
    </row>
    <row r="166" spans="1:77" x14ac:dyDescent="0.3">
      <c r="A166" s="1">
        <v>46262</v>
      </c>
      <c r="B166" s="8">
        <v>53.68</v>
      </c>
      <c r="C166" s="8">
        <v>230.35</v>
      </c>
      <c r="D166" s="9">
        <v>4.6681066937463798E-3</v>
      </c>
      <c r="E166" s="9">
        <v>4.9612774756510299E-3</v>
      </c>
      <c r="F166" s="8">
        <v>0</v>
      </c>
      <c r="G166" s="8">
        <v>0.58599999999999997</v>
      </c>
      <c r="H166" s="8">
        <v>0</v>
      </c>
      <c r="I166" s="8">
        <v>2.4407999999999999</v>
      </c>
      <c r="J166" s="8">
        <v>0.58599999999999997</v>
      </c>
      <c r="K166" s="8">
        <v>2.4407999999999999</v>
      </c>
      <c r="L166" s="8">
        <v>54.265999999999998</v>
      </c>
      <c r="M166" s="8">
        <v>232.79079999999999</v>
      </c>
      <c r="N166" s="10">
        <v>4.2911698956780899</v>
      </c>
      <c r="O166" s="10">
        <v>4.2929927753205499</v>
      </c>
      <c r="P166" s="10">
        <v>4.2916961228108397</v>
      </c>
      <c r="Q166" s="10">
        <v>4.2920474102760302</v>
      </c>
      <c r="R166" s="8">
        <v>230.44785217920699</v>
      </c>
      <c r="S166" s="8">
        <v>230.383671791529</v>
      </c>
      <c r="T166" s="8">
        <v>230.40539924377401</v>
      </c>
      <c r="U166" s="9">
        <v>4.2470762489583503E-4</v>
      </c>
      <c r="V166" s="9">
        <v>1.4616596810964401E-4</v>
      </c>
      <c r="W166" s="9">
        <v>2.4047138300316401E-4</v>
      </c>
      <c r="X166" s="10">
        <v>4.28980945711863</v>
      </c>
      <c r="Y166" s="10">
        <v>4.2916660005161003</v>
      </c>
      <c r="Z166" s="10">
        <v>4.2903394867028597</v>
      </c>
      <c r="AA166" s="10">
        <v>4.2906846854398601</v>
      </c>
      <c r="AB166" s="8">
        <v>232.89154718400701</v>
      </c>
      <c r="AC166" s="8">
        <v>232.82507726431601</v>
      </c>
      <c r="AD166" s="8">
        <v>232.84658800591299</v>
      </c>
      <c r="AE166" s="9">
        <v>4.3268629866791402E-4</v>
      </c>
      <c r="AF166" s="9">
        <v>1.4723408737604099E-4</v>
      </c>
      <c r="AG166" s="9">
        <v>2.39619960154682E-4</v>
      </c>
      <c r="BB166">
        <f t="shared" si="46"/>
        <v>0</v>
      </c>
      <c r="BC166">
        <f t="shared" si="47"/>
        <v>1</v>
      </c>
      <c r="BD166">
        <f t="shared" si="48"/>
        <v>0</v>
      </c>
      <c r="BE166">
        <f t="shared" si="44"/>
        <v>1</v>
      </c>
      <c r="BF166">
        <f t="shared" si="49"/>
        <v>0</v>
      </c>
      <c r="BG166" s="9">
        <f t="shared" si="50"/>
        <v>0</v>
      </c>
      <c r="BH166" s="9">
        <f t="shared" si="51"/>
        <v>0</v>
      </c>
      <c r="BI166" s="9">
        <f t="shared" si="52"/>
        <v>0</v>
      </c>
      <c r="BJ166" s="12">
        <f t="shared" si="53"/>
        <v>4.5548585798530026E-3</v>
      </c>
      <c r="BL166" s="9"/>
      <c r="BN166">
        <f t="shared" si="54"/>
        <v>0</v>
      </c>
      <c r="BO166">
        <f t="shared" si="55"/>
        <v>0</v>
      </c>
      <c r="BP166">
        <f t="shared" si="56"/>
        <v>0</v>
      </c>
      <c r="BQ166">
        <f t="shared" si="45"/>
        <v>1</v>
      </c>
      <c r="BR166">
        <f t="shared" si="57"/>
        <v>0</v>
      </c>
      <c r="BS166" s="9">
        <f t="shared" si="58"/>
        <v>0</v>
      </c>
      <c r="BT166" s="9">
        <f t="shared" si="59"/>
        <v>0</v>
      </c>
      <c r="BU166" s="9">
        <f t="shared" si="60"/>
        <v>0</v>
      </c>
      <c r="BV166" s="12">
        <f t="shared" si="61"/>
        <v>6.7007746748856071E-3</v>
      </c>
      <c r="BX166" s="12">
        <f t="shared" si="62"/>
        <v>0</v>
      </c>
      <c r="BY166" s="12">
        <f t="shared" si="63"/>
        <v>1.125563325473861E-2</v>
      </c>
    </row>
    <row r="167" spans="1:77" x14ac:dyDescent="0.3">
      <c r="A167" s="1">
        <v>46265</v>
      </c>
      <c r="B167" s="8">
        <v>53.47</v>
      </c>
      <c r="C167" s="8">
        <v>229.56</v>
      </c>
      <c r="D167" s="9">
        <v>-3.9197437027861702E-3</v>
      </c>
      <c r="E167" s="9">
        <v>-3.43545814176416E-3</v>
      </c>
      <c r="F167" s="8">
        <v>0</v>
      </c>
      <c r="G167" s="8">
        <v>0.58599999999999997</v>
      </c>
      <c r="H167" s="8">
        <v>0</v>
      </c>
      <c r="I167" s="8">
        <v>2.4407999999999999</v>
      </c>
      <c r="J167" s="8">
        <v>0.58599999999999997</v>
      </c>
      <c r="K167" s="8">
        <v>2.4407999999999999</v>
      </c>
      <c r="L167" s="8">
        <v>54.055999999999997</v>
      </c>
      <c r="M167" s="8">
        <v>232.0008</v>
      </c>
      <c r="N167" s="10">
        <v>4.2932485505891096</v>
      </c>
      <c r="O167" s="10">
        <v>4.2929927753205499</v>
      </c>
      <c r="P167" s="10">
        <v>4.2916662594810902</v>
      </c>
      <c r="Q167" s="10">
        <v>4.2919040125627701</v>
      </c>
      <c r="R167" s="8">
        <v>229.54632369638901</v>
      </c>
      <c r="S167" s="8">
        <v>229.47699168669499</v>
      </c>
      <c r="T167" s="8">
        <v>229.49577502745899</v>
      </c>
      <c r="U167" s="9">
        <v>-5.9577936126171198E-5</v>
      </c>
      <c r="V167" s="9">
        <v>-3.61662853811445E-4</v>
      </c>
      <c r="W167" s="9">
        <v>-2.79813375425189E-4</v>
      </c>
      <c r="X167" s="10">
        <v>4.2918602930294503</v>
      </c>
      <c r="Y167" s="10">
        <v>4.2916660005161003</v>
      </c>
      <c r="Z167" s="10">
        <v>4.2903095620523599</v>
      </c>
      <c r="AA167" s="10">
        <v>4.2905427242851797</v>
      </c>
      <c r="AB167" s="8">
        <v>231.99029732389801</v>
      </c>
      <c r="AC167" s="8">
        <v>231.918591293209</v>
      </c>
      <c r="AD167" s="8">
        <v>231.93725135613701</v>
      </c>
      <c r="AE167" s="9">
        <v>-4.5271024222624402E-5</v>
      </c>
      <c r="AF167" s="9">
        <v>-3.5440944782024901E-4</v>
      </c>
      <c r="AG167" s="9">
        <v>-2.73953145572781E-4</v>
      </c>
      <c r="BB167">
        <f t="shared" si="46"/>
        <v>0</v>
      </c>
      <c r="BC167">
        <f t="shared" si="47"/>
        <v>0</v>
      </c>
      <c r="BD167">
        <f t="shared" si="48"/>
        <v>0</v>
      </c>
      <c r="BE167">
        <f t="shared" si="44"/>
        <v>1</v>
      </c>
      <c r="BF167">
        <f t="shared" si="49"/>
        <v>0</v>
      </c>
      <c r="BG167" s="9">
        <f t="shared" si="50"/>
        <v>0</v>
      </c>
      <c r="BH167" s="9">
        <f t="shared" si="51"/>
        <v>0</v>
      </c>
      <c r="BI167" s="9">
        <f t="shared" si="52"/>
        <v>0</v>
      </c>
      <c r="BJ167" s="12">
        <f t="shared" si="53"/>
        <v>4.5548585798530026E-3</v>
      </c>
      <c r="BL167" s="9"/>
      <c r="BN167">
        <f t="shared" si="54"/>
        <v>0</v>
      </c>
      <c r="BO167">
        <f t="shared" si="55"/>
        <v>1</v>
      </c>
      <c r="BP167">
        <f t="shared" si="56"/>
        <v>0</v>
      </c>
      <c r="BQ167">
        <f t="shared" si="45"/>
        <v>1</v>
      </c>
      <c r="BR167">
        <f t="shared" si="57"/>
        <v>0</v>
      </c>
      <c r="BS167" s="9">
        <f t="shared" si="58"/>
        <v>0</v>
      </c>
      <c r="BT167" s="9">
        <f t="shared" si="59"/>
        <v>0</v>
      </c>
      <c r="BU167" s="9">
        <f t="shared" si="60"/>
        <v>0</v>
      </c>
      <c r="BV167" s="12">
        <f t="shared" si="61"/>
        <v>6.7007746748856071E-3</v>
      </c>
      <c r="BX167" s="12">
        <f t="shared" si="62"/>
        <v>0</v>
      </c>
      <c r="BY167" s="12">
        <f t="shared" si="63"/>
        <v>1.125563325473861E-2</v>
      </c>
    </row>
  </sheetData>
  <conditionalFormatting sqref="CM4:CT11">
    <cfRule type="top10" dxfId="2" priority="3" rank="3"/>
  </conditionalFormatting>
  <conditionalFormatting sqref="CM15:CT22">
    <cfRule type="top10" dxfId="1" priority="2" rank="3"/>
  </conditionalFormatting>
  <conditionalFormatting sqref="CM26:CT33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2026-09-07T19:05:25Z</dcterms:modified>
</cp:coreProperties>
</file>