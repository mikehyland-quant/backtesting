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5CB877BA-15C6-4813-9470-5C9C1237B92F}" xr6:coauthVersionLast="47" xr6:coauthVersionMax="47" xr10:uidLastSave="{00000000-0000-0000-0000-000000000000}"/>
  <bookViews>
    <workbookView xWindow="-108" yWindow="-108" windowWidth="23256" windowHeight="12456" xr2:uid="{8CD448B5-0985-4254-8CEE-9B023924AF67}"/>
  </bookViews>
  <sheets>
    <sheet name="NWS_NWSA_0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R167" i="1" s="1"/>
  <c r="BS167" i="1" s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R165" i="1" s="1"/>
  <c r="BE164" i="1"/>
  <c r="BC164" i="1"/>
  <c r="BB164" i="1"/>
  <c r="BQ163" i="1"/>
  <c r="BO163" i="1"/>
  <c r="BN163" i="1"/>
  <c r="BR164" i="1" s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R162" i="1" s="1"/>
  <c r="BT162" i="1" s="1"/>
  <c r="BF161" i="1"/>
  <c r="BG161" i="1" s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R160" i="1" s="1"/>
  <c r="BP160" i="1" s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R156" i="1"/>
  <c r="BQ156" i="1"/>
  <c r="BO156" i="1"/>
  <c r="BN156" i="1"/>
  <c r="BE156" i="1"/>
  <c r="BC156" i="1"/>
  <c r="BB156" i="1"/>
  <c r="BF157" i="1" s="1"/>
  <c r="BQ155" i="1"/>
  <c r="BO155" i="1"/>
  <c r="BN155" i="1"/>
  <c r="BE155" i="1"/>
  <c r="BC155" i="1"/>
  <c r="BB155" i="1"/>
  <c r="BQ154" i="1"/>
  <c r="BO154" i="1"/>
  <c r="BN154" i="1"/>
  <c r="BR155" i="1" s="1"/>
  <c r="BE154" i="1"/>
  <c r="BC154" i="1"/>
  <c r="BB154" i="1"/>
  <c r="BQ153" i="1"/>
  <c r="BO153" i="1"/>
  <c r="BN153" i="1"/>
  <c r="BE153" i="1"/>
  <c r="BC153" i="1"/>
  <c r="BB153" i="1"/>
  <c r="BF154" i="1" s="1"/>
  <c r="BD154" i="1" s="1"/>
  <c r="BR152" i="1"/>
  <c r="BT152" i="1" s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F150" i="1" s="1"/>
  <c r="BD150" i="1" s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F147" i="1" s="1"/>
  <c r="BC146" i="1"/>
  <c r="BB146" i="1"/>
  <c r="BQ145" i="1"/>
  <c r="BO145" i="1"/>
  <c r="BN145" i="1"/>
  <c r="BR146" i="1" s="1"/>
  <c r="BT146" i="1" s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R144" i="1" s="1"/>
  <c r="BE143" i="1"/>
  <c r="BC143" i="1"/>
  <c r="BB143" i="1"/>
  <c r="BQ142" i="1"/>
  <c r="BO142" i="1"/>
  <c r="BN142" i="1"/>
  <c r="BE142" i="1"/>
  <c r="BC142" i="1"/>
  <c r="BB142" i="1"/>
  <c r="BF143" i="1" s="1"/>
  <c r="BR141" i="1"/>
  <c r="BP141" i="1" s="1"/>
  <c r="BQ141" i="1"/>
  <c r="BO141" i="1"/>
  <c r="BN141" i="1"/>
  <c r="BR142" i="1" s="1"/>
  <c r="BE141" i="1"/>
  <c r="BC141" i="1"/>
  <c r="BB141" i="1"/>
  <c r="BQ140" i="1"/>
  <c r="BO140" i="1"/>
  <c r="BN140" i="1"/>
  <c r="BF140" i="1"/>
  <c r="BH140" i="1" s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F136" i="1"/>
  <c r="BD136" i="1" s="1"/>
  <c r="BE136" i="1"/>
  <c r="BC136" i="1"/>
  <c r="BB136" i="1"/>
  <c r="BQ135" i="1"/>
  <c r="BO135" i="1"/>
  <c r="BN135" i="1"/>
  <c r="BR136" i="1" s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R134" i="1" s="1"/>
  <c r="BS134" i="1" s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R130" i="1"/>
  <c r="BS130" i="1" s="1"/>
  <c r="BQ130" i="1"/>
  <c r="BO130" i="1"/>
  <c r="BN130" i="1"/>
  <c r="BE130" i="1"/>
  <c r="BC130" i="1"/>
  <c r="BB130" i="1"/>
  <c r="BF131" i="1" s="1"/>
  <c r="BQ129" i="1"/>
  <c r="BO129" i="1"/>
  <c r="BN129" i="1"/>
  <c r="BE129" i="1"/>
  <c r="BC129" i="1"/>
  <c r="BB129" i="1"/>
  <c r="BQ128" i="1"/>
  <c r="BO128" i="1"/>
  <c r="BN128" i="1"/>
  <c r="BR129" i="1" s="1"/>
  <c r="BE128" i="1"/>
  <c r="BC128" i="1"/>
  <c r="BB128" i="1"/>
  <c r="BQ127" i="1"/>
  <c r="BR128" i="1" s="1"/>
  <c r="BO127" i="1"/>
  <c r="BN127" i="1"/>
  <c r="BE127" i="1"/>
  <c r="BC127" i="1"/>
  <c r="BB127" i="1"/>
  <c r="BQ126" i="1"/>
  <c r="BO126" i="1"/>
  <c r="BN126" i="1"/>
  <c r="BR127" i="1" s="1"/>
  <c r="BT127" i="1" s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R123" i="1"/>
  <c r="BP123" i="1" s="1"/>
  <c r="BQ123" i="1"/>
  <c r="BR124" i="1" s="1"/>
  <c r="BO123" i="1"/>
  <c r="BN123" i="1"/>
  <c r="BE123" i="1"/>
  <c r="BC123" i="1"/>
  <c r="BB123" i="1"/>
  <c r="BQ122" i="1"/>
  <c r="BO122" i="1"/>
  <c r="BN122" i="1"/>
  <c r="BE122" i="1"/>
  <c r="BC122" i="1"/>
  <c r="BB122" i="1"/>
  <c r="BR121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R116" i="1" s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R114" i="1" s="1"/>
  <c r="BE113" i="1"/>
  <c r="BC113" i="1"/>
  <c r="BB113" i="1"/>
  <c r="BQ112" i="1"/>
  <c r="BO112" i="1"/>
  <c r="BN112" i="1"/>
  <c r="BR113" i="1" s="1"/>
  <c r="BE112" i="1"/>
  <c r="BC112" i="1"/>
  <c r="BB112" i="1"/>
  <c r="BQ111" i="1"/>
  <c r="BO111" i="1"/>
  <c r="BN111" i="1"/>
  <c r="BE111" i="1"/>
  <c r="BC111" i="1"/>
  <c r="BB111" i="1"/>
  <c r="BR110" i="1"/>
  <c r="BS110" i="1" s="1"/>
  <c r="BQ110" i="1"/>
  <c r="BO110" i="1"/>
  <c r="BN110" i="1"/>
  <c r="BE110" i="1"/>
  <c r="BC110" i="1"/>
  <c r="BB110" i="1"/>
  <c r="BQ109" i="1"/>
  <c r="BO109" i="1"/>
  <c r="BN109" i="1"/>
  <c r="BE109" i="1"/>
  <c r="BC109" i="1"/>
  <c r="BF110" i="1" s="1"/>
  <c r="BB109" i="1"/>
  <c r="BQ108" i="1"/>
  <c r="BO108" i="1"/>
  <c r="BR109" i="1" s="1"/>
  <c r="BN108" i="1"/>
  <c r="BE108" i="1"/>
  <c r="BC108" i="1"/>
  <c r="BB108" i="1"/>
  <c r="BF109" i="1" s="1"/>
  <c r="BQ107" i="1"/>
  <c r="BO107" i="1"/>
  <c r="BN107" i="1"/>
  <c r="BE107" i="1"/>
  <c r="BC107" i="1"/>
  <c r="BB107" i="1"/>
  <c r="BQ106" i="1"/>
  <c r="BO106" i="1"/>
  <c r="BN106" i="1"/>
  <c r="BR107" i="1" s="1"/>
  <c r="BE106" i="1"/>
  <c r="BC106" i="1"/>
  <c r="BB106" i="1"/>
  <c r="BQ105" i="1"/>
  <c r="BO105" i="1"/>
  <c r="BN105" i="1"/>
  <c r="BR106" i="1" s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R103" i="1" s="1"/>
  <c r="BP103" i="1" s="1"/>
  <c r="BE102" i="1"/>
  <c r="BC102" i="1"/>
  <c r="BB102" i="1"/>
  <c r="BQ101" i="1"/>
  <c r="BO101" i="1"/>
  <c r="BN101" i="1"/>
  <c r="BE101" i="1"/>
  <c r="BC101" i="1"/>
  <c r="BB101" i="1"/>
  <c r="BR100" i="1"/>
  <c r="BQ100" i="1"/>
  <c r="BO100" i="1"/>
  <c r="BN100" i="1"/>
  <c r="BR101" i="1" s="1"/>
  <c r="BE100" i="1"/>
  <c r="BC100" i="1"/>
  <c r="BB100" i="1"/>
  <c r="BR99" i="1"/>
  <c r="BT99" i="1" s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P97" i="1"/>
  <c r="BO97" i="1"/>
  <c r="BN97" i="1"/>
  <c r="BR98" i="1" s="1"/>
  <c r="BP98" i="1" s="1"/>
  <c r="BE97" i="1"/>
  <c r="BC97" i="1"/>
  <c r="BB97" i="1"/>
  <c r="BQ96" i="1"/>
  <c r="BO96" i="1"/>
  <c r="BN96" i="1"/>
  <c r="BR97" i="1" s="1"/>
  <c r="BS97" i="1" s="1"/>
  <c r="BE96" i="1"/>
  <c r="BC96" i="1"/>
  <c r="BB96" i="1"/>
  <c r="BQ95" i="1"/>
  <c r="BO95" i="1"/>
  <c r="BN95" i="1"/>
  <c r="BR96" i="1" s="1"/>
  <c r="BE95" i="1"/>
  <c r="BF96" i="1" s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R93" i="1" s="1"/>
  <c r="BN92" i="1"/>
  <c r="BE92" i="1"/>
  <c r="BC92" i="1"/>
  <c r="BB92" i="1"/>
  <c r="BQ91" i="1"/>
  <c r="BO91" i="1"/>
  <c r="BN91" i="1"/>
  <c r="BR92" i="1" s="1"/>
  <c r="BE91" i="1"/>
  <c r="BC91" i="1"/>
  <c r="BB91" i="1"/>
  <c r="BQ90" i="1"/>
  <c r="BO90" i="1"/>
  <c r="BN90" i="1"/>
  <c r="BE90" i="1"/>
  <c r="BC90" i="1"/>
  <c r="BB90" i="1"/>
  <c r="BF91" i="1" s="1"/>
  <c r="BD91" i="1" s="1"/>
  <c r="BQ89" i="1"/>
  <c r="BO89" i="1"/>
  <c r="BN89" i="1"/>
  <c r="BR90" i="1" s="1"/>
  <c r="BP90" i="1" s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F87" i="1" s="1"/>
  <c r="BD87" i="1" s="1"/>
  <c r="BQ85" i="1"/>
  <c r="BO85" i="1"/>
  <c r="BN85" i="1"/>
  <c r="BE85" i="1"/>
  <c r="BC85" i="1"/>
  <c r="BB85" i="1"/>
  <c r="BQ84" i="1"/>
  <c r="BO84" i="1"/>
  <c r="BN84" i="1"/>
  <c r="BR85" i="1" s="1"/>
  <c r="BE84" i="1"/>
  <c r="BC84" i="1"/>
  <c r="BB84" i="1"/>
  <c r="BQ83" i="1"/>
  <c r="BO83" i="1"/>
  <c r="BN83" i="1"/>
  <c r="BE83" i="1"/>
  <c r="BC83" i="1"/>
  <c r="BF84" i="1" s="1"/>
  <c r="BB83" i="1"/>
  <c r="BQ82" i="1"/>
  <c r="BO82" i="1"/>
  <c r="BN82" i="1"/>
  <c r="BE82" i="1"/>
  <c r="BC82" i="1"/>
  <c r="BB82" i="1"/>
  <c r="BF83" i="1" s="1"/>
  <c r="BG83" i="1" s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R80" i="1" s="1"/>
  <c r="BP80" i="1" s="1"/>
  <c r="BE79" i="1"/>
  <c r="BC79" i="1"/>
  <c r="BB79" i="1"/>
  <c r="BF80" i="1" s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F76" i="1"/>
  <c r="BG76" i="1" s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R74" i="1" s="1"/>
  <c r="BF73" i="1"/>
  <c r="BD73" i="1" s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F72" i="1" s="1"/>
  <c r="BD72" i="1" s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F69" i="1" s="1"/>
  <c r="BC68" i="1"/>
  <c r="BB68" i="1"/>
  <c r="BQ67" i="1"/>
  <c r="BO67" i="1"/>
  <c r="BN67" i="1"/>
  <c r="BE67" i="1"/>
  <c r="BC67" i="1"/>
  <c r="BF68" i="1" s="1"/>
  <c r="BB67" i="1"/>
  <c r="BQ66" i="1"/>
  <c r="BO66" i="1"/>
  <c r="BN66" i="1"/>
  <c r="BE66" i="1"/>
  <c r="BF67" i="1" s="1"/>
  <c r="BG67" i="1" s="1"/>
  <c r="BC66" i="1"/>
  <c r="BB66" i="1"/>
  <c r="BQ65" i="1"/>
  <c r="BO65" i="1"/>
  <c r="BN65" i="1"/>
  <c r="BE65" i="1"/>
  <c r="BC65" i="1"/>
  <c r="BB65" i="1"/>
  <c r="BF66" i="1" s="1"/>
  <c r="BQ64" i="1"/>
  <c r="BO64" i="1"/>
  <c r="BN64" i="1"/>
  <c r="BR65" i="1" s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F63" i="1" s="1"/>
  <c r="BQ61" i="1"/>
  <c r="BO61" i="1"/>
  <c r="BN61" i="1"/>
  <c r="BE61" i="1"/>
  <c r="BC61" i="1"/>
  <c r="BB61" i="1"/>
  <c r="BQ60" i="1"/>
  <c r="BO60" i="1"/>
  <c r="BN60" i="1"/>
  <c r="BR61" i="1" s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F59" i="1" s="1"/>
  <c r="BQ57" i="1"/>
  <c r="BO57" i="1"/>
  <c r="BN57" i="1"/>
  <c r="BE57" i="1"/>
  <c r="BC57" i="1"/>
  <c r="BB57" i="1"/>
  <c r="BF58" i="1" s="1"/>
  <c r="BQ56" i="1"/>
  <c r="BO56" i="1"/>
  <c r="BN56" i="1"/>
  <c r="BE56" i="1"/>
  <c r="BC56" i="1"/>
  <c r="BB56" i="1"/>
  <c r="BF57" i="1" s="1"/>
  <c r="BQ55" i="1"/>
  <c r="BO55" i="1"/>
  <c r="BN55" i="1"/>
  <c r="BR56" i="1" s="1"/>
  <c r="BF55" i="1"/>
  <c r="BD55" i="1" s="1"/>
  <c r="BE55" i="1"/>
  <c r="BC55" i="1"/>
  <c r="BB55" i="1"/>
  <c r="BF56" i="1" s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F54" i="1" s="1"/>
  <c r="BQ52" i="1"/>
  <c r="BO52" i="1"/>
  <c r="BN52" i="1"/>
  <c r="BR53" i="1" s="1"/>
  <c r="BE52" i="1"/>
  <c r="BC52" i="1"/>
  <c r="BB52" i="1"/>
  <c r="BQ51" i="1"/>
  <c r="BO51" i="1"/>
  <c r="BN51" i="1"/>
  <c r="BE51" i="1"/>
  <c r="BC51" i="1"/>
  <c r="BB51" i="1"/>
  <c r="BF52" i="1" s="1"/>
  <c r="BD52" i="1" s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R47" i="1" s="1"/>
  <c r="BP47" i="1" s="1"/>
  <c r="BE46" i="1"/>
  <c r="BC46" i="1"/>
  <c r="BB46" i="1"/>
  <c r="BQ45" i="1"/>
  <c r="BO45" i="1"/>
  <c r="BN45" i="1"/>
  <c r="BR46" i="1" s="1"/>
  <c r="BP46" i="1" s="1"/>
  <c r="BE45" i="1"/>
  <c r="BC45" i="1"/>
  <c r="BB45" i="1"/>
  <c r="BQ44" i="1"/>
  <c r="BO44" i="1"/>
  <c r="BN44" i="1"/>
  <c r="BE44" i="1"/>
  <c r="BC44" i="1"/>
  <c r="BB44" i="1"/>
  <c r="BF45" i="1" s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F43" i="1" s="1"/>
  <c r="BD43" i="1" s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R39" i="1" s="1"/>
  <c r="BP39" i="1" s="1"/>
  <c r="BE38" i="1"/>
  <c r="BF39" i="1" s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R36" i="1" s="1"/>
  <c r="BE35" i="1"/>
  <c r="BC35" i="1"/>
  <c r="BB35" i="1"/>
  <c r="BF36" i="1" s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F34" i="1" s="1"/>
  <c r="BH34" i="1" s="1"/>
  <c r="BR32" i="1"/>
  <c r="BS32" i="1" s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R30" i="1"/>
  <c r="BS30" i="1" s="1"/>
  <c r="BQ30" i="1"/>
  <c r="BO30" i="1"/>
  <c r="BN30" i="1"/>
  <c r="BR31" i="1" s="1"/>
  <c r="BE30" i="1"/>
  <c r="BC30" i="1"/>
  <c r="BB30" i="1"/>
  <c r="BQ29" i="1"/>
  <c r="BO29" i="1"/>
  <c r="BN29" i="1"/>
  <c r="BF29" i="1"/>
  <c r="BD29" i="1" s="1"/>
  <c r="BE29" i="1"/>
  <c r="BC29" i="1"/>
  <c r="BB29" i="1"/>
  <c r="BQ28" i="1"/>
  <c r="BO28" i="1"/>
  <c r="BN28" i="1"/>
  <c r="BR29" i="1" s="1"/>
  <c r="BE28" i="1"/>
  <c r="BC28" i="1"/>
  <c r="BB28" i="1"/>
  <c r="BQ27" i="1"/>
  <c r="BO27" i="1"/>
  <c r="BN27" i="1"/>
  <c r="BE27" i="1"/>
  <c r="BC27" i="1"/>
  <c r="BB27" i="1"/>
  <c r="BF28" i="1" s="1"/>
  <c r="BG28" i="1" s="1"/>
  <c r="BQ26" i="1"/>
  <c r="BO26" i="1"/>
  <c r="BN26" i="1"/>
  <c r="BR27" i="1" s="1"/>
  <c r="BE26" i="1"/>
  <c r="BC26" i="1"/>
  <c r="BB26" i="1"/>
  <c r="BQ25" i="1"/>
  <c r="BO25" i="1"/>
  <c r="BN25" i="1"/>
  <c r="BR26" i="1" s="1"/>
  <c r="BE25" i="1"/>
  <c r="BC25" i="1"/>
  <c r="BB25" i="1"/>
  <c r="BF26" i="1" s="1"/>
  <c r="BD26" i="1" s="1"/>
  <c r="BQ24" i="1"/>
  <c r="BO24" i="1"/>
  <c r="BN24" i="1"/>
  <c r="BE24" i="1"/>
  <c r="BC24" i="1"/>
  <c r="BB24" i="1"/>
  <c r="BQ23" i="1"/>
  <c r="BO23" i="1"/>
  <c r="BN23" i="1"/>
  <c r="BR24" i="1" s="1"/>
  <c r="BE23" i="1"/>
  <c r="BC23" i="1"/>
  <c r="BB23" i="1"/>
  <c r="BQ22" i="1"/>
  <c r="BP22" i="1"/>
  <c r="BO22" i="1"/>
  <c r="BN22" i="1"/>
  <c r="BE22" i="1"/>
  <c r="BD22" i="1"/>
  <c r="BC22" i="1"/>
  <c r="BB22" i="1"/>
  <c r="BQ21" i="1"/>
  <c r="BR22" i="1" s="1"/>
  <c r="BE21" i="1"/>
  <c r="BF22" i="1" s="1"/>
  <c r="BT20" i="1"/>
  <c r="BS20" i="1"/>
  <c r="BH20" i="1"/>
  <c r="BG20" i="1"/>
  <c r="CL17" i="1"/>
  <c r="CL18" i="1" s="1"/>
  <c r="CL19" i="1" s="1"/>
  <c r="CL20" i="1" s="1"/>
  <c r="CL21" i="1" s="1"/>
  <c r="CL22" i="1" s="1"/>
  <c r="CL16" i="1"/>
  <c r="CN14" i="1"/>
  <c r="CO14" i="1" s="1"/>
  <c r="CP14" i="1" s="1"/>
  <c r="CQ14" i="1" s="1"/>
  <c r="CR14" i="1" s="1"/>
  <c r="CS14" i="1" s="1"/>
  <c r="CT14" i="1" s="1"/>
  <c r="CL5" i="1"/>
  <c r="CL6" i="1" s="1"/>
  <c r="CL7" i="1" s="1"/>
  <c r="CL8" i="1" s="1"/>
  <c r="CL9" i="1" s="1"/>
  <c r="CL10" i="1" s="1"/>
  <c r="CL11" i="1" s="1"/>
  <c r="CT3" i="1"/>
  <c r="CN3" i="1"/>
  <c r="CO3" i="1" s="1"/>
  <c r="CP3" i="1" s="1"/>
  <c r="CQ3" i="1" s="1"/>
  <c r="CR3" i="1" s="1"/>
  <c r="CS3" i="1" s="1"/>
  <c r="BS74" i="1" l="1"/>
  <c r="BP74" i="1"/>
  <c r="BR75" i="1" s="1"/>
  <c r="BT74" i="1"/>
  <c r="BS144" i="1"/>
  <c r="BP144" i="1"/>
  <c r="BT53" i="1"/>
  <c r="BP53" i="1"/>
  <c r="BT24" i="1"/>
  <c r="BP24" i="1"/>
  <c r="BT109" i="1"/>
  <c r="BS109" i="1"/>
  <c r="BU109" i="1" s="1"/>
  <c r="BT116" i="1"/>
  <c r="BP116" i="1"/>
  <c r="BR120" i="1"/>
  <c r="BP120" i="1" s="1"/>
  <c r="BR25" i="1"/>
  <c r="BR145" i="1"/>
  <c r="BR34" i="1"/>
  <c r="BT34" i="1" s="1"/>
  <c r="BR104" i="1"/>
  <c r="BS104" i="1" s="1"/>
  <c r="BR117" i="1"/>
  <c r="BP117" i="1" s="1"/>
  <c r="BR139" i="1"/>
  <c r="BT139" i="1" s="1"/>
  <c r="BR88" i="1"/>
  <c r="BT88" i="1" s="1"/>
  <c r="BR143" i="1"/>
  <c r="BR37" i="1"/>
  <c r="BP37" i="1" s="1"/>
  <c r="BR77" i="1"/>
  <c r="BS77" i="1" s="1"/>
  <c r="BR166" i="1"/>
  <c r="BH143" i="1"/>
  <c r="BD143" i="1"/>
  <c r="BG84" i="1"/>
  <c r="BD84" i="1"/>
  <c r="BF41" i="1"/>
  <c r="BD41" i="1" s="1"/>
  <c r="BF48" i="1"/>
  <c r="BG48" i="1" s="1"/>
  <c r="BF50" i="1"/>
  <c r="BD50" i="1" s="1"/>
  <c r="BF61" i="1"/>
  <c r="BG61" i="1" s="1"/>
  <c r="BI61" i="1" s="1"/>
  <c r="BF78" i="1"/>
  <c r="BD78" i="1" s="1"/>
  <c r="BF35" i="1"/>
  <c r="BH35" i="1" s="1"/>
  <c r="BF23" i="1"/>
  <c r="BG23" i="1" s="1"/>
  <c r="BF51" i="1"/>
  <c r="BG51" i="1" s="1"/>
  <c r="BF81" i="1"/>
  <c r="BD81" i="1" s="1"/>
  <c r="BG52" i="1"/>
  <c r="BI52" i="1" s="1"/>
  <c r="BF47" i="1"/>
  <c r="BH52" i="1"/>
  <c r="BG72" i="1"/>
  <c r="BF79" i="1"/>
  <c r="BF108" i="1"/>
  <c r="BD108" i="1" s="1"/>
  <c r="BH72" i="1"/>
  <c r="BF149" i="1"/>
  <c r="BH149" i="1" s="1"/>
  <c r="BF164" i="1"/>
  <c r="BF60" i="1"/>
  <c r="BD76" i="1"/>
  <c r="BF141" i="1"/>
  <c r="BG141" i="1" s="1"/>
  <c r="BD161" i="1"/>
  <c r="BG41" i="1"/>
  <c r="BH41" i="1"/>
  <c r="BI41" i="1" s="1"/>
  <c r="BT113" i="1"/>
  <c r="BS113" i="1"/>
  <c r="BU113" i="1" s="1"/>
  <c r="BP113" i="1"/>
  <c r="BS165" i="1"/>
  <c r="BT165" i="1"/>
  <c r="BP165" i="1"/>
  <c r="BG157" i="1"/>
  <c r="BD157" i="1"/>
  <c r="BH157" i="1"/>
  <c r="BG164" i="1"/>
  <c r="BH164" i="1"/>
  <c r="BD164" i="1"/>
  <c r="BG147" i="1"/>
  <c r="BH147" i="1"/>
  <c r="BD147" i="1"/>
  <c r="BS88" i="1"/>
  <c r="BU88" i="1" s="1"/>
  <c r="BT65" i="1"/>
  <c r="BP65" i="1"/>
  <c r="BR66" i="1" s="1"/>
  <c r="BP66" i="1" s="1"/>
  <c r="BR67" i="1" s="1"/>
  <c r="BH22" i="1"/>
  <c r="BG22" i="1"/>
  <c r="BP96" i="1"/>
  <c r="BS96" i="1"/>
  <c r="BS85" i="1"/>
  <c r="BT85" i="1"/>
  <c r="BT92" i="1"/>
  <c r="BS92" i="1"/>
  <c r="BP92" i="1"/>
  <c r="BT27" i="1"/>
  <c r="BP27" i="1"/>
  <c r="BH45" i="1"/>
  <c r="BD45" i="1"/>
  <c r="BP155" i="1"/>
  <c r="BS155" i="1"/>
  <c r="BT155" i="1"/>
  <c r="BP166" i="1"/>
  <c r="BT166" i="1"/>
  <c r="BR33" i="1"/>
  <c r="BP33" i="1" s="1"/>
  <c r="BR158" i="1"/>
  <c r="BT158" i="1" s="1"/>
  <c r="BT144" i="1"/>
  <c r="BU144" i="1" s="1"/>
  <c r="BF40" i="1"/>
  <c r="BD40" i="1" s="1"/>
  <c r="BF42" i="1"/>
  <c r="BD42" i="1" s="1"/>
  <c r="BR43" i="1"/>
  <c r="BS43" i="1" s="1"/>
  <c r="BF49" i="1"/>
  <c r="BD49" i="1" s="1"/>
  <c r="BP99" i="1"/>
  <c r="BR102" i="1"/>
  <c r="BT102" i="1" s="1"/>
  <c r="BF112" i="1"/>
  <c r="BS116" i="1"/>
  <c r="BU116" i="1" s="1"/>
  <c r="BR119" i="1"/>
  <c r="BT119" i="1" s="1"/>
  <c r="BR125" i="1"/>
  <c r="BT125" i="1" s="1"/>
  <c r="BF133" i="1"/>
  <c r="BS141" i="1"/>
  <c r="BG143" i="1"/>
  <c r="BI143" i="1" s="1"/>
  <c r="BF146" i="1"/>
  <c r="BG146" i="1" s="1"/>
  <c r="BF148" i="1"/>
  <c r="BF159" i="1"/>
  <c r="BH159" i="1" s="1"/>
  <c r="BR28" i="1"/>
  <c r="BS28" i="1" s="1"/>
  <c r="BF38" i="1"/>
  <c r="BD38" i="1" s="1"/>
  <c r="BF44" i="1"/>
  <c r="BR45" i="1"/>
  <c r="BT45" i="1" s="1"/>
  <c r="BF86" i="1"/>
  <c r="BD86" i="1" s="1"/>
  <c r="BR87" i="1"/>
  <c r="BT87" i="1" s="1"/>
  <c r="BR89" i="1"/>
  <c r="BP89" i="1" s="1"/>
  <c r="BT97" i="1"/>
  <c r="BU97" i="1" s="1"/>
  <c r="BR112" i="1"/>
  <c r="BP112" i="1" s="1"/>
  <c r="BR131" i="1"/>
  <c r="BS131" i="1" s="1"/>
  <c r="BR133" i="1"/>
  <c r="BP133" i="1" s="1"/>
  <c r="BF137" i="1"/>
  <c r="BD137" i="1" s="1"/>
  <c r="BD140" i="1"/>
  <c r="BT141" i="1"/>
  <c r="BF152" i="1"/>
  <c r="BH152" i="1" s="1"/>
  <c r="BF77" i="1"/>
  <c r="BD77" i="1" s="1"/>
  <c r="BF98" i="1"/>
  <c r="BH98" i="1" s="1"/>
  <c r="BF144" i="1"/>
  <c r="BD144" i="1" s="1"/>
  <c r="BG136" i="1"/>
  <c r="BF82" i="1"/>
  <c r="BH82" i="1" s="1"/>
  <c r="BR135" i="1"/>
  <c r="BP135" i="1" s="1"/>
  <c r="BH136" i="1"/>
  <c r="BR23" i="1"/>
  <c r="BT23" i="1" s="1"/>
  <c r="BS37" i="1"/>
  <c r="BR40" i="1"/>
  <c r="BP40" i="1" s="1"/>
  <c r="BR44" i="1"/>
  <c r="BT44" i="1" s="1"/>
  <c r="BT46" i="1"/>
  <c r="BR95" i="1"/>
  <c r="BT95" i="1" s="1"/>
  <c r="BR105" i="1"/>
  <c r="BR118" i="1"/>
  <c r="BF145" i="1"/>
  <c r="BG145" i="1" s="1"/>
  <c r="BR159" i="1"/>
  <c r="BP159" i="1" s="1"/>
  <c r="BI72" i="1"/>
  <c r="BH161" i="1"/>
  <c r="BI161" i="1" s="1"/>
  <c r="BF64" i="1"/>
  <c r="BG64" i="1" s="1"/>
  <c r="BT37" i="1"/>
  <c r="BR42" i="1"/>
  <c r="BP42" i="1" s="1"/>
  <c r="BF155" i="1"/>
  <c r="BD155" i="1" s="1"/>
  <c r="BF158" i="1"/>
  <c r="BD158" i="1" s="1"/>
  <c r="BF165" i="1"/>
  <c r="BD165" i="1" s="1"/>
  <c r="BF166" i="1" s="1"/>
  <c r="BS46" i="1"/>
  <c r="BU46" i="1" s="1"/>
  <c r="BF62" i="1"/>
  <c r="BD62" i="1" s="1"/>
  <c r="BF27" i="1"/>
  <c r="BH27" i="1" s="1"/>
  <c r="BF33" i="1"/>
  <c r="BH33" i="1" s="1"/>
  <c r="BF65" i="1"/>
  <c r="BH65" i="1" s="1"/>
  <c r="BR78" i="1"/>
  <c r="BP78" i="1" s="1"/>
  <c r="BR79" i="1" s="1"/>
  <c r="BF85" i="1"/>
  <c r="BH85" i="1" s="1"/>
  <c r="BR111" i="1"/>
  <c r="BS111" i="1" s="1"/>
  <c r="BF160" i="1"/>
  <c r="BH160" i="1" s="1"/>
  <c r="BF162" i="1"/>
  <c r="BP162" i="1"/>
  <c r="BF71" i="1"/>
  <c r="BG71" i="1" s="1"/>
  <c r="BF75" i="1"/>
  <c r="BD75" i="1" s="1"/>
  <c r="BP127" i="1"/>
  <c r="BF138" i="1"/>
  <c r="BH138" i="1" s="1"/>
  <c r="BR163" i="1"/>
  <c r="BP163" i="1" s="1"/>
  <c r="BT167" i="1"/>
  <c r="BH71" i="1"/>
  <c r="BT107" i="1"/>
  <c r="BS107" i="1"/>
  <c r="BU107" i="1" s="1"/>
  <c r="BT25" i="1"/>
  <c r="BP25" i="1"/>
  <c r="BS25" i="1"/>
  <c r="BH29" i="1"/>
  <c r="BH78" i="1"/>
  <c r="BP29" i="1"/>
  <c r="BT29" i="1"/>
  <c r="BS29" i="1"/>
  <c r="BU29" i="1" s="1"/>
  <c r="BH54" i="1"/>
  <c r="BG54" i="1"/>
  <c r="BD54" i="1"/>
  <c r="BD56" i="1"/>
  <c r="BH56" i="1"/>
  <c r="BG56" i="1"/>
  <c r="BI56" i="1" s="1"/>
  <c r="BH69" i="1"/>
  <c r="BD69" i="1"/>
  <c r="BG69" i="1"/>
  <c r="BF88" i="1"/>
  <c r="BH158" i="1"/>
  <c r="BP107" i="1"/>
  <c r="BG27" i="1"/>
  <c r="BH60" i="1"/>
  <c r="BD60" i="1"/>
  <c r="BG60" i="1"/>
  <c r="BG29" i="1"/>
  <c r="BH36" i="1"/>
  <c r="BG36" i="1"/>
  <c r="BD68" i="1"/>
  <c r="BH68" i="1"/>
  <c r="BG68" i="1"/>
  <c r="BI68" i="1" s="1"/>
  <c r="BD80" i="1"/>
  <c r="BG80" i="1"/>
  <c r="BH80" i="1"/>
  <c r="BH75" i="1"/>
  <c r="BG75" i="1"/>
  <c r="BI75" i="1" s="1"/>
  <c r="BD28" i="1"/>
  <c r="BH28" i="1"/>
  <c r="BI28" i="1" s="1"/>
  <c r="BH57" i="1"/>
  <c r="BG57" i="1"/>
  <c r="BI57" i="1" s="1"/>
  <c r="BD57" i="1"/>
  <c r="BT100" i="1"/>
  <c r="BS100" i="1"/>
  <c r="BU100" i="1" s="1"/>
  <c r="BP100" i="1"/>
  <c r="BP106" i="1"/>
  <c r="BT106" i="1"/>
  <c r="BS106" i="1"/>
  <c r="BT31" i="1"/>
  <c r="BS31" i="1"/>
  <c r="BP31" i="1"/>
  <c r="BS26" i="1"/>
  <c r="BP26" i="1"/>
  <c r="BT26" i="1"/>
  <c r="BP34" i="1"/>
  <c r="BS34" i="1"/>
  <c r="BD109" i="1"/>
  <c r="BH109" i="1"/>
  <c r="BG109" i="1"/>
  <c r="BP28" i="1"/>
  <c r="BP45" i="1"/>
  <c r="BS45" i="1"/>
  <c r="BD63" i="1"/>
  <c r="BG63" i="1"/>
  <c r="BH63" i="1"/>
  <c r="BP30" i="1"/>
  <c r="BT30" i="1"/>
  <c r="BU30" i="1" s="1"/>
  <c r="BD36" i="1"/>
  <c r="BT128" i="1"/>
  <c r="BS128" i="1"/>
  <c r="BP128" i="1"/>
  <c r="BH87" i="1"/>
  <c r="BG87" i="1"/>
  <c r="BI87" i="1" s="1"/>
  <c r="BT129" i="1"/>
  <c r="BS129" i="1"/>
  <c r="BP129" i="1"/>
  <c r="BS24" i="1"/>
  <c r="BR41" i="1"/>
  <c r="BD47" i="1"/>
  <c r="BH47" i="1"/>
  <c r="BG47" i="1"/>
  <c r="BI47" i="1" s="1"/>
  <c r="BG59" i="1"/>
  <c r="BH59" i="1"/>
  <c r="BD59" i="1"/>
  <c r="BF74" i="1"/>
  <c r="BH148" i="1"/>
  <c r="BG148" i="1"/>
  <c r="BI148" i="1" s="1"/>
  <c r="BD148" i="1"/>
  <c r="BF46" i="1"/>
  <c r="BS99" i="1"/>
  <c r="BU99" i="1" s="1"/>
  <c r="BP134" i="1"/>
  <c r="BT39" i="1"/>
  <c r="BG45" i="1"/>
  <c r="BH79" i="1"/>
  <c r="BG79" i="1"/>
  <c r="BI79" i="1" s="1"/>
  <c r="BD79" i="1"/>
  <c r="BS80" i="1"/>
  <c r="BS47" i="1"/>
  <c r="BT47" i="1"/>
  <c r="BH55" i="1"/>
  <c r="BG55" i="1"/>
  <c r="BI55" i="1" s="1"/>
  <c r="BH61" i="1"/>
  <c r="BG34" i="1"/>
  <c r="BI34" i="1" s="1"/>
  <c r="BD34" i="1"/>
  <c r="BP56" i="1"/>
  <c r="BR57" i="1" s="1"/>
  <c r="BT56" i="1"/>
  <c r="BS56" i="1"/>
  <c r="BT112" i="1"/>
  <c r="BS27" i="1"/>
  <c r="BU27" i="1" s="1"/>
  <c r="BS61" i="1"/>
  <c r="BP61" i="1"/>
  <c r="BR62" i="1" s="1"/>
  <c r="BT80" i="1"/>
  <c r="BS90" i="1"/>
  <c r="BT90" i="1"/>
  <c r="BS98" i="1"/>
  <c r="BT98" i="1"/>
  <c r="BP23" i="1"/>
  <c r="BH26" i="1"/>
  <c r="BG26" i="1"/>
  <c r="BI26" i="1" s="1"/>
  <c r="BH39" i="1"/>
  <c r="BG39" i="1"/>
  <c r="BI39" i="1" s="1"/>
  <c r="BD39" i="1"/>
  <c r="BG62" i="1"/>
  <c r="BH77" i="1"/>
  <c r="BG77" i="1"/>
  <c r="BT93" i="1"/>
  <c r="BS93" i="1"/>
  <c r="BU93" i="1" s="1"/>
  <c r="BP93" i="1"/>
  <c r="BS146" i="1"/>
  <c r="BU146" i="1" s="1"/>
  <c r="BP146" i="1"/>
  <c r="BG42" i="1"/>
  <c r="BD58" i="1"/>
  <c r="BH58" i="1"/>
  <c r="BG58" i="1"/>
  <c r="BG73" i="1"/>
  <c r="BH73" i="1"/>
  <c r="BP124" i="1"/>
  <c r="BT124" i="1"/>
  <c r="BS124" i="1"/>
  <c r="BT134" i="1"/>
  <c r="BU134" i="1" s="1"/>
  <c r="BG152" i="1"/>
  <c r="BD152" i="1"/>
  <c r="BP32" i="1"/>
  <c r="BT32" i="1"/>
  <c r="BU32" i="1" s="1"/>
  <c r="BT36" i="1"/>
  <c r="BS36" i="1"/>
  <c r="BP36" i="1"/>
  <c r="BS39" i="1"/>
  <c r="BS65" i="1"/>
  <c r="BT101" i="1"/>
  <c r="BS101" i="1"/>
  <c r="BP101" i="1"/>
  <c r="BH110" i="1"/>
  <c r="BG110" i="1"/>
  <c r="BI110" i="1" s="1"/>
  <c r="BD110" i="1"/>
  <c r="BF111" i="1" s="1"/>
  <c r="BT142" i="1"/>
  <c r="BS142" i="1"/>
  <c r="BP142" i="1"/>
  <c r="BF24" i="1"/>
  <c r="BS22" i="1"/>
  <c r="BT22" i="1"/>
  <c r="BR35" i="1"/>
  <c r="BF37" i="1"/>
  <c r="BT61" i="1"/>
  <c r="BH67" i="1"/>
  <c r="BI67" i="1" s="1"/>
  <c r="BD67" i="1"/>
  <c r="BH96" i="1"/>
  <c r="BG96" i="1"/>
  <c r="BI96" i="1" s="1"/>
  <c r="BD96" i="1"/>
  <c r="BF97" i="1" s="1"/>
  <c r="BT114" i="1"/>
  <c r="BS114" i="1"/>
  <c r="BP114" i="1"/>
  <c r="BT130" i="1"/>
  <c r="BU130" i="1" s="1"/>
  <c r="BP130" i="1"/>
  <c r="BF156" i="1"/>
  <c r="BT111" i="1"/>
  <c r="BP145" i="1"/>
  <c r="BT145" i="1"/>
  <c r="BH84" i="1"/>
  <c r="BI84" i="1" s="1"/>
  <c r="BP104" i="1"/>
  <c r="BS120" i="1"/>
  <c r="BH154" i="1"/>
  <c r="BG154" i="1"/>
  <c r="BH162" i="1"/>
  <c r="BG162" i="1"/>
  <c r="BH66" i="1"/>
  <c r="BG66" i="1"/>
  <c r="BG91" i="1"/>
  <c r="BG140" i="1"/>
  <c r="BI140" i="1" s="1"/>
  <c r="BD162" i="1"/>
  <c r="BR38" i="1"/>
  <c r="BS53" i="1"/>
  <c r="BU53" i="1" s="1"/>
  <c r="BR55" i="1"/>
  <c r="BH91" i="1"/>
  <c r="BT104" i="1"/>
  <c r="BU104" i="1" s="1"/>
  <c r="BS127" i="1"/>
  <c r="BU127" i="1" s="1"/>
  <c r="BS160" i="1"/>
  <c r="BT160" i="1"/>
  <c r="BT164" i="1"/>
  <c r="BS164" i="1"/>
  <c r="BP164" i="1"/>
  <c r="BD83" i="1"/>
  <c r="BH83" i="1"/>
  <c r="BI83" i="1" s="1"/>
  <c r="BP111" i="1"/>
  <c r="BH76" i="1"/>
  <c r="BI76" i="1" s="1"/>
  <c r="BG108" i="1"/>
  <c r="BG50" i="1"/>
  <c r="BD51" i="1"/>
  <c r="BU74" i="1"/>
  <c r="BR81" i="1"/>
  <c r="BF90" i="1"/>
  <c r="BT96" i="1"/>
  <c r="BS103" i="1"/>
  <c r="BR115" i="1"/>
  <c r="BR126" i="1"/>
  <c r="BF139" i="1"/>
  <c r="BR147" i="1"/>
  <c r="BH150" i="1"/>
  <c r="BG150" i="1"/>
  <c r="BP152" i="1"/>
  <c r="BS152" i="1"/>
  <c r="BU152" i="1" s="1"/>
  <c r="BS145" i="1"/>
  <c r="BG33" i="1"/>
  <c r="BH43" i="1"/>
  <c r="BG43" i="1"/>
  <c r="BI43" i="1" s="1"/>
  <c r="BD66" i="1"/>
  <c r="BT123" i="1"/>
  <c r="BS123" i="1"/>
  <c r="BF53" i="1"/>
  <c r="BF70" i="1"/>
  <c r="BP87" i="1"/>
  <c r="BT103" i="1"/>
  <c r="BT121" i="1"/>
  <c r="BS121" i="1"/>
  <c r="BU121" i="1" s="1"/>
  <c r="BP121" i="1"/>
  <c r="BH131" i="1"/>
  <c r="BG131" i="1"/>
  <c r="BD131" i="1"/>
  <c r="BF132" i="1" s="1"/>
  <c r="BG137" i="1"/>
  <c r="BR54" i="1"/>
  <c r="BS119" i="1"/>
  <c r="BU119" i="1" s="1"/>
  <c r="BP119" i="1"/>
  <c r="BF151" i="1"/>
  <c r="BF30" i="1"/>
  <c r="BR48" i="1"/>
  <c r="BH51" i="1"/>
  <c r="BI51" i="1" s="1"/>
  <c r="BR82" i="1"/>
  <c r="BR91" i="1"/>
  <c r="BT131" i="1"/>
  <c r="BT136" i="1"/>
  <c r="BS136" i="1"/>
  <c r="BP136" i="1"/>
  <c r="BR137" i="1" s="1"/>
  <c r="BT143" i="1"/>
  <c r="BS143" i="1"/>
  <c r="BP143" i="1"/>
  <c r="BH146" i="1"/>
  <c r="BD146" i="1"/>
  <c r="BP85" i="1"/>
  <c r="BP109" i="1"/>
  <c r="BP110" i="1"/>
  <c r="BT110" i="1"/>
  <c r="BU110" i="1" s="1"/>
  <c r="BF113" i="1"/>
  <c r="BR132" i="1"/>
  <c r="BR86" i="1"/>
  <c r="BF93" i="1"/>
  <c r="BR122" i="1"/>
  <c r="BG160" i="1"/>
  <c r="BI160" i="1" s="1"/>
  <c r="BD160" i="1"/>
  <c r="BR108" i="1"/>
  <c r="BF135" i="1"/>
  <c r="BP139" i="1"/>
  <c r="BF153" i="1"/>
  <c r="BR157" i="1"/>
  <c r="BR161" i="1"/>
  <c r="BS162" i="1"/>
  <c r="BU162" i="1" s="1"/>
  <c r="BT156" i="1"/>
  <c r="BS156" i="1"/>
  <c r="BU156" i="1" s="1"/>
  <c r="BP156" i="1"/>
  <c r="BR83" i="1"/>
  <c r="BR94" i="1"/>
  <c r="BR140" i="1"/>
  <c r="BF92" i="1"/>
  <c r="BR153" i="1"/>
  <c r="BU167" i="1"/>
  <c r="BF163" i="1"/>
  <c r="BP167" i="1"/>
  <c r="BS166" i="1"/>
  <c r="BS75" i="1" l="1"/>
  <c r="BP75" i="1"/>
  <c r="BR76" i="1" s="1"/>
  <c r="BT75" i="1"/>
  <c r="BU75" i="1" s="1"/>
  <c r="BX75" i="1" s="1"/>
  <c r="BS67" i="1"/>
  <c r="BT67" i="1"/>
  <c r="BU61" i="1"/>
  <c r="BT40" i="1"/>
  <c r="BU25" i="1"/>
  <c r="BU37" i="1"/>
  <c r="BS139" i="1"/>
  <c r="BU139" i="1" s="1"/>
  <c r="BS87" i="1"/>
  <c r="BU87" i="1" s="1"/>
  <c r="BX87" i="1" s="1"/>
  <c r="BU31" i="1"/>
  <c r="BU131" i="1"/>
  <c r="BU123" i="1"/>
  <c r="BT120" i="1"/>
  <c r="BU120" i="1" s="1"/>
  <c r="BS112" i="1"/>
  <c r="BU103" i="1"/>
  <c r="BT77" i="1"/>
  <c r="BU96" i="1"/>
  <c r="BX96" i="1" s="1"/>
  <c r="BP77" i="1"/>
  <c r="BP125" i="1"/>
  <c r="BP95" i="1"/>
  <c r="BT42" i="1"/>
  <c r="BS117" i="1"/>
  <c r="BU117" i="1" s="1"/>
  <c r="BU114" i="1"/>
  <c r="BU142" i="1"/>
  <c r="BS102" i="1"/>
  <c r="BU102" i="1" s="1"/>
  <c r="BT89" i="1"/>
  <c r="BU89" i="1" s="1"/>
  <c r="BS42" i="1"/>
  <c r="BU42" i="1" s="1"/>
  <c r="BT117" i="1"/>
  <c r="BS89" i="1"/>
  <c r="BU166" i="1"/>
  <c r="BT133" i="1"/>
  <c r="BT66" i="1"/>
  <c r="BU66" i="1" s="1"/>
  <c r="BX66" i="1" s="1"/>
  <c r="BU141" i="1"/>
  <c r="BP88" i="1"/>
  <c r="BS133" i="1"/>
  <c r="BU24" i="1"/>
  <c r="BS66" i="1"/>
  <c r="BU92" i="1"/>
  <c r="BI58" i="1"/>
  <c r="BI164" i="1"/>
  <c r="BG81" i="1"/>
  <c r="BG35" i="1"/>
  <c r="BI35" i="1" s="1"/>
  <c r="BG86" i="1"/>
  <c r="BD35" i="1"/>
  <c r="BD145" i="1"/>
  <c r="BD85" i="1"/>
  <c r="BD141" i="1"/>
  <c r="BF142" i="1" s="1"/>
  <c r="BG142" i="1" s="1"/>
  <c r="BG85" i="1"/>
  <c r="BI85" i="1" s="1"/>
  <c r="BH145" i="1"/>
  <c r="BI145" i="1" s="1"/>
  <c r="BH141" i="1"/>
  <c r="BI141" i="1" s="1"/>
  <c r="BG98" i="1"/>
  <c r="BI98" i="1" s="1"/>
  <c r="BD149" i="1"/>
  <c r="BI71" i="1"/>
  <c r="BI131" i="1"/>
  <c r="BH108" i="1"/>
  <c r="BI108" i="1" s="1"/>
  <c r="BD98" i="1"/>
  <c r="BF99" i="1" s="1"/>
  <c r="BD99" i="1" s="1"/>
  <c r="BF100" i="1" s="1"/>
  <c r="BD48" i="1"/>
  <c r="BD82" i="1"/>
  <c r="BG149" i="1"/>
  <c r="BI73" i="1"/>
  <c r="BH23" i="1"/>
  <c r="BI23" i="1" s="1"/>
  <c r="BD23" i="1"/>
  <c r="BH81" i="1"/>
  <c r="BG78" i="1"/>
  <c r="BI157" i="1"/>
  <c r="BH50" i="1"/>
  <c r="BI91" i="1"/>
  <c r="BD61" i="1"/>
  <c r="BH48" i="1"/>
  <c r="BI48" i="1" s="1"/>
  <c r="BG82" i="1"/>
  <c r="BI82" i="1" s="1"/>
  <c r="BD64" i="1"/>
  <c r="BI66" i="1"/>
  <c r="BD65" i="1"/>
  <c r="BG158" i="1"/>
  <c r="BI158" i="1" s="1"/>
  <c r="BI147" i="1"/>
  <c r="BX131" i="1"/>
  <c r="BD159" i="1"/>
  <c r="BG165" i="1"/>
  <c r="BT43" i="1"/>
  <c r="BU43" i="1" s="1"/>
  <c r="BX43" i="1" s="1"/>
  <c r="BD112" i="1"/>
  <c r="BH112" i="1"/>
  <c r="BG112" i="1"/>
  <c r="BI112" i="1" s="1"/>
  <c r="BH137" i="1"/>
  <c r="BI137" i="1" s="1"/>
  <c r="BG159" i="1"/>
  <c r="BI159" i="1" s="1"/>
  <c r="BG65" i="1"/>
  <c r="BI65" i="1" s="1"/>
  <c r="BG38" i="1"/>
  <c r="BH165" i="1"/>
  <c r="BH62" i="1"/>
  <c r="BI62" i="1" s="1"/>
  <c r="BU45" i="1"/>
  <c r="BP43" i="1"/>
  <c r="BI69" i="1"/>
  <c r="BP67" i="1"/>
  <c r="BR68" i="1" s="1"/>
  <c r="BS68" i="1" s="1"/>
  <c r="BD71" i="1"/>
  <c r="BU155" i="1"/>
  <c r="BI22" i="1"/>
  <c r="BJ22" i="1" s="1"/>
  <c r="BP131" i="1"/>
  <c r="BD33" i="1"/>
  <c r="BI154" i="1"/>
  <c r="BH38" i="1"/>
  <c r="BU128" i="1"/>
  <c r="BU106" i="1"/>
  <c r="BS118" i="1"/>
  <c r="BT118" i="1"/>
  <c r="BP118" i="1"/>
  <c r="BD44" i="1"/>
  <c r="BH44" i="1"/>
  <c r="BG44" i="1"/>
  <c r="BS105" i="1"/>
  <c r="BP105" i="1"/>
  <c r="BI152" i="1"/>
  <c r="BX152" i="1" s="1"/>
  <c r="BU133" i="1"/>
  <c r="BX133" i="1" s="1"/>
  <c r="BI45" i="1"/>
  <c r="BS95" i="1"/>
  <c r="BU95" i="1" s="1"/>
  <c r="BT28" i="1"/>
  <c r="BU28" i="1" s="1"/>
  <c r="BX28" i="1" s="1"/>
  <c r="BU65" i="1"/>
  <c r="BG49" i="1"/>
  <c r="BH42" i="1"/>
  <c r="BI42" i="1" s="1"/>
  <c r="BS159" i="1"/>
  <c r="BG144" i="1"/>
  <c r="BU165" i="1"/>
  <c r="BI33" i="1"/>
  <c r="BH49" i="1"/>
  <c r="BU39" i="1"/>
  <c r="BX39" i="1" s="1"/>
  <c r="BT159" i="1"/>
  <c r="BH144" i="1"/>
  <c r="BD138" i="1"/>
  <c r="BT33" i="1"/>
  <c r="BU33" i="1" s="1"/>
  <c r="BG138" i="1"/>
  <c r="BI138" i="1" s="1"/>
  <c r="BG155" i="1"/>
  <c r="BG40" i="1"/>
  <c r="BS163" i="1"/>
  <c r="BU143" i="1"/>
  <c r="BX143" i="1" s="1"/>
  <c r="BU164" i="1"/>
  <c r="BX164" i="1" s="1"/>
  <c r="BU36" i="1"/>
  <c r="BU124" i="1"/>
  <c r="BS23" i="1"/>
  <c r="BU23" i="1" s="1"/>
  <c r="BS33" i="1"/>
  <c r="BI109" i="1"/>
  <c r="BX109" i="1" s="1"/>
  <c r="BD27" i="1"/>
  <c r="BH155" i="1"/>
  <c r="BH40" i="1"/>
  <c r="BD133" i="1"/>
  <c r="BF134" i="1" s="1"/>
  <c r="BH134" i="1" s="1"/>
  <c r="BH133" i="1"/>
  <c r="BG133" i="1"/>
  <c r="BI133" i="1" s="1"/>
  <c r="BU85" i="1"/>
  <c r="BT163" i="1"/>
  <c r="BI27" i="1"/>
  <c r="BX27" i="1" s="1"/>
  <c r="BP158" i="1"/>
  <c r="BS40" i="1"/>
  <c r="BU40" i="1" s="1"/>
  <c r="BS125" i="1"/>
  <c r="BU125" i="1" s="1"/>
  <c r="BH64" i="1"/>
  <c r="BS135" i="1"/>
  <c r="BS44" i="1"/>
  <c r="BU44" i="1" s="1"/>
  <c r="BP44" i="1"/>
  <c r="BS158" i="1"/>
  <c r="BU158" i="1" s="1"/>
  <c r="BU136" i="1"/>
  <c r="BT105" i="1"/>
  <c r="BI77" i="1"/>
  <c r="BH86" i="1"/>
  <c r="BP102" i="1"/>
  <c r="BT135" i="1"/>
  <c r="BI54" i="1"/>
  <c r="BS78" i="1"/>
  <c r="BU78" i="1" s="1"/>
  <c r="BT78" i="1"/>
  <c r="BI136" i="1"/>
  <c r="BG97" i="1"/>
  <c r="BH97" i="1"/>
  <c r="BD97" i="1"/>
  <c r="BS76" i="1"/>
  <c r="BT76" i="1"/>
  <c r="BP76" i="1"/>
  <c r="BS137" i="1"/>
  <c r="BP137" i="1"/>
  <c r="BR138" i="1" s="1"/>
  <c r="BT137" i="1"/>
  <c r="BX67" i="1"/>
  <c r="BH99" i="1"/>
  <c r="BG99" i="1"/>
  <c r="BG111" i="1"/>
  <c r="BD111" i="1"/>
  <c r="BH111" i="1"/>
  <c r="BT122" i="1"/>
  <c r="BS122" i="1"/>
  <c r="BP122" i="1"/>
  <c r="BG90" i="1"/>
  <c r="BD90" i="1"/>
  <c r="BH90" i="1"/>
  <c r="BS161" i="1"/>
  <c r="BP161" i="1"/>
  <c r="BT161" i="1"/>
  <c r="BG93" i="1"/>
  <c r="BH93" i="1"/>
  <c r="BD93" i="1"/>
  <c r="BF94" i="1" s="1"/>
  <c r="BS54" i="1"/>
  <c r="BT54" i="1"/>
  <c r="BP54" i="1"/>
  <c r="BU145" i="1"/>
  <c r="BI162" i="1"/>
  <c r="BX162" i="1" s="1"/>
  <c r="BU56" i="1"/>
  <c r="BX56" i="1" s="1"/>
  <c r="BU47" i="1"/>
  <c r="BX47" i="1" s="1"/>
  <c r="BH46" i="1"/>
  <c r="BG46" i="1"/>
  <c r="BD46" i="1"/>
  <c r="BI63" i="1"/>
  <c r="BI36" i="1"/>
  <c r="BI149" i="1"/>
  <c r="BU67" i="1"/>
  <c r="BT86" i="1"/>
  <c r="BS86" i="1"/>
  <c r="BU86" i="1" s="1"/>
  <c r="BP86" i="1"/>
  <c r="BI29" i="1"/>
  <c r="BX29" i="1" s="1"/>
  <c r="BD88" i="1"/>
  <c r="BF89" i="1" s="1"/>
  <c r="BH88" i="1"/>
  <c r="BG88" i="1"/>
  <c r="BI88" i="1" s="1"/>
  <c r="BX88" i="1" s="1"/>
  <c r="BG37" i="1"/>
  <c r="BD37" i="1"/>
  <c r="BH37" i="1"/>
  <c r="BI60" i="1"/>
  <c r="BD135" i="1"/>
  <c r="BH135" i="1"/>
  <c r="BG135" i="1"/>
  <c r="BI135" i="1" s="1"/>
  <c r="BI146" i="1"/>
  <c r="BX146" i="1" s="1"/>
  <c r="BP48" i="1"/>
  <c r="BR49" i="1" s="1"/>
  <c r="BT48" i="1"/>
  <c r="BS48" i="1"/>
  <c r="BU48" i="1" s="1"/>
  <c r="BS147" i="1"/>
  <c r="BT147" i="1"/>
  <c r="BP147" i="1"/>
  <c r="BR148" i="1" s="1"/>
  <c r="BI50" i="1"/>
  <c r="BS38" i="1"/>
  <c r="BP38" i="1"/>
  <c r="BT38" i="1"/>
  <c r="BU22" i="1"/>
  <c r="BU90" i="1"/>
  <c r="BI64" i="1"/>
  <c r="BT94" i="1"/>
  <c r="BS94" i="1"/>
  <c r="BU94" i="1" s="1"/>
  <c r="BP94" i="1"/>
  <c r="BT108" i="1"/>
  <c r="BS108" i="1"/>
  <c r="BP108" i="1"/>
  <c r="BH30" i="1"/>
  <c r="BG30" i="1"/>
  <c r="BD30" i="1"/>
  <c r="BF31" i="1" s="1"/>
  <c r="BH142" i="1"/>
  <c r="BD142" i="1"/>
  <c r="BG139" i="1"/>
  <c r="BH139" i="1"/>
  <c r="BD139" i="1"/>
  <c r="BH74" i="1"/>
  <c r="BG74" i="1"/>
  <c r="BD74" i="1"/>
  <c r="BI80" i="1"/>
  <c r="BI78" i="1"/>
  <c r="BS83" i="1"/>
  <c r="BP83" i="1"/>
  <c r="BR84" i="1" s="1"/>
  <c r="BT83" i="1"/>
  <c r="BS132" i="1"/>
  <c r="BT132" i="1"/>
  <c r="BP132" i="1"/>
  <c r="BD151" i="1"/>
  <c r="BH151" i="1"/>
  <c r="BG151" i="1"/>
  <c r="BS126" i="1"/>
  <c r="BT126" i="1"/>
  <c r="BP126" i="1"/>
  <c r="BT62" i="1"/>
  <c r="BS62" i="1"/>
  <c r="BU62" i="1" s="1"/>
  <c r="BP62" i="1"/>
  <c r="BR63" i="1" s="1"/>
  <c r="BD163" i="1"/>
  <c r="BH163" i="1"/>
  <c r="BG163" i="1"/>
  <c r="BI163" i="1" s="1"/>
  <c r="BX61" i="1"/>
  <c r="BU80" i="1"/>
  <c r="BU26" i="1"/>
  <c r="BX26" i="1" s="1"/>
  <c r="BH113" i="1"/>
  <c r="BG113" i="1"/>
  <c r="BD113" i="1"/>
  <c r="BF114" i="1" s="1"/>
  <c r="BT115" i="1"/>
  <c r="BS115" i="1"/>
  <c r="BU115" i="1" s="1"/>
  <c r="BP115" i="1"/>
  <c r="BU160" i="1"/>
  <c r="BX160" i="1" s="1"/>
  <c r="BD24" i="1"/>
  <c r="BF25" i="1" s="1"/>
  <c r="BH24" i="1"/>
  <c r="BG24" i="1"/>
  <c r="BT57" i="1"/>
  <c r="BS57" i="1"/>
  <c r="BP57" i="1"/>
  <c r="BR58" i="1" s="1"/>
  <c r="BU77" i="1"/>
  <c r="BX77" i="1" s="1"/>
  <c r="BS153" i="1"/>
  <c r="BP153" i="1"/>
  <c r="BR154" i="1" s="1"/>
  <c r="BT153" i="1"/>
  <c r="BI59" i="1"/>
  <c r="BG132" i="1"/>
  <c r="BD132" i="1"/>
  <c r="BH132" i="1"/>
  <c r="BU111" i="1"/>
  <c r="BU112" i="1"/>
  <c r="BH92" i="1"/>
  <c r="BG92" i="1"/>
  <c r="BI92" i="1" s="1"/>
  <c r="BX92" i="1" s="1"/>
  <c r="BD92" i="1"/>
  <c r="BT157" i="1"/>
  <c r="BS157" i="1"/>
  <c r="BU157" i="1" s="1"/>
  <c r="BP157" i="1"/>
  <c r="BT81" i="1"/>
  <c r="BS81" i="1"/>
  <c r="BU81" i="1" s="1"/>
  <c r="BP81" i="1"/>
  <c r="BX65" i="1"/>
  <c r="BX110" i="1"/>
  <c r="BT41" i="1"/>
  <c r="BS41" i="1"/>
  <c r="BP41" i="1"/>
  <c r="BS140" i="1"/>
  <c r="BP140" i="1"/>
  <c r="BT140" i="1"/>
  <c r="BG153" i="1"/>
  <c r="BH153" i="1"/>
  <c r="BD153" i="1"/>
  <c r="BS91" i="1"/>
  <c r="BT91" i="1"/>
  <c r="BP91" i="1"/>
  <c r="BD70" i="1"/>
  <c r="BH70" i="1"/>
  <c r="BG70" i="1"/>
  <c r="BS79" i="1"/>
  <c r="BP79" i="1"/>
  <c r="BT79" i="1"/>
  <c r="BI81" i="1"/>
  <c r="BH156" i="1"/>
  <c r="BG156" i="1"/>
  <c r="BD156" i="1"/>
  <c r="BH166" i="1"/>
  <c r="BG166" i="1"/>
  <c r="BI166" i="1" s="1"/>
  <c r="BX166" i="1" s="1"/>
  <c r="BD166" i="1"/>
  <c r="BF167" i="1" s="1"/>
  <c r="BU163" i="1"/>
  <c r="BP82" i="1"/>
  <c r="BT82" i="1"/>
  <c r="BS82" i="1"/>
  <c r="BH53" i="1"/>
  <c r="BG53" i="1"/>
  <c r="BD53" i="1"/>
  <c r="BI150" i="1"/>
  <c r="BP55" i="1"/>
  <c r="BT55" i="1"/>
  <c r="BS55" i="1"/>
  <c r="BU55" i="1" s="1"/>
  <c r="BX55" i="1" s="1"/>
  <c r="BT35" i="1"/>
  <c r="BP35" i="1"/>
  <c r="BS35" i="1"/>
  <c r="BU35" i="1" s="1"/>
  <c r="BX35" i="1" s="1"/>
  <c r="BU101" i="1"/>
  <c r="BU98" i="1"/>
  <c r="BX98" i="1" s="1"/>
  <c r="BU129" i="1"/>
  <c r="BU34" i="1"/>
  <c r="BX34" i="1" s="1"/>
  <c r="BX33" i="1" l="1"/>
  <c r="BU105" i="1"/>
  <c r="BX141" i="1"/>
  <c r="BX42" i="1"/>
  <c r="BX158" i="1"/>
  <c r="BU126" i="1"/>
  <c r="BX62" i="1"/>
  <c r="BX45" i="1"/>
  <c r="BD134" i="1"/>
  <c r="BI24" i="1"/>
  <c r="BG134" i="1"/>
  <c r="BI134" i="1" s="1"/>
  <c r="BX134" i="1" s="1"/>
  <c r="BI86" i="1"/>
  <c r="BJ23" i="1"/>
  <c r="BX157" i="1"/>
  <c r="BI74" i="1"/>
  <c r="BX74" i="1" s="1"/>
  <c r="BX85" i="1"/>
  <c r="BI40" i="1"/>
  <c r="BX40" i="1" s="1"/>
  <c r="BX23" i="1"/>
  <c r="BI144" i="1"/>
  <c r="BX144" i="1" s="1"/>
  <c r="BI151" i="1"/>
  <c r="BX145" i="1"/>
  <c r="BI155" i="1"/>
  <c r="BX155" i="1" s="1"/>
  <c r="BI139" i="1"/>
  <c r="BX139" i="1" s="1"/>
  <c r="BI153" i="1"/>
  <c r="BU159" i="1"/>
  <c r="BX159" i="1" s="1"/>
  <c r="BI44" i="1"/>
  <c r="BX44" i="1" s="1"/>
  <c r="BT68" i="1"/>
  <c r="BU68" i="1" s="1"/>
  <c r="BX68" i="1" s="1"/>
  <c r="BI49" i="1"/>
  <c r="BI165" i="1"/>
  <c r="BX165" i="1" s="1"/>
  <c r="BI38" i="1"/>
  <c r="BU161" i="1"/>
  <c r="BX161" i="1" s="1"/>
  <c r="BI132" i="1"/>
  <c r="BX132" i="1" s="1"/>
  <c r="BU140" i="1"/>
  <c r="BX140" i="1" s="1"/>
  <c r="BP68" i="1"/>
  <c r="BR69" i="1" s="1"/>
  <c r="BX78" i="1"/>
  <c r="BU38" i="1"/>
  <c r="BX80" i="1"/>
  <c r="BX36" i="1"/>
  <c r="BU135" i="1"/>
  <c r="BX135" i="1" s="1"/>
  <c r="BU41" i="1"/>
  <c r="BX41" i="1" s="1"/>
  <c r="BX136" i="1"/>
  <c r="BU118" i="1"/>
  <c r="BI70" i="1"/>
  <c r="BX112" i="1"/>
  <c r="BI113" i="1"/>
  <c r="BX113" i="1" s="1"/>
  <c r="BU108" i="1"/>
  <c r="BX108" i="1" s="1"/>
  <c r="BI90" i="1"/>
  <c r="BX90" i="1" s="1"/>
  <c r="BT49" i="1"/>
  <c r="BP49" i="1"/>
  <c r="BR50" i="1" s="1"/>
  <c r="BS49" i="1"/>
  <c r="BU49" i="1" s="1"/>
  <c r="BU122" i="1"/>
  <c r="BX24" i="1"/>
  <c r="BJ24" i="1"/>
  <c r="BU79" i="1"/>
  <c r="BX79" i="1" s="1"/>
  <c r="BX163" i="1"/>
  <c r="BU147" i="1"/>
  <c r="BX147" i="1" s="1"/>
  <c r="BG167" i="1"/>
  <c r="BH167" i="1"/>
  <c r="BD167" i="1"/>
  <c r="BH25" i="1"/>
  <c r="BD25" i="1"/>
  <c r="BG25" i="1"/>
  <c r="BP138" i="1"/>
  <c r="BS138" i="1"/>
  <c r="BT138" i="1"/>
  <c r="BP69" i="1"/>
  <c r="BR70" i="1" s="1"/>
  <c r="BS69" i="1"/>
  <c r="BT69" i="1"/>
  <c r="BX86" i="1"/>
  <c r="BU132" i="1"/>
  <c r="BU54" i="1"/>
  <c r="BX54" i="1" s="1"/>
  <c r="BT63" i="1"/>
  <c r="BS63" i="1"/>
  <c r="BP63" i="1"/>
  <c r="BR64" i="1" s="1"/>
  <c r="BU91" i="1"/>
  <c r="BX91" i="1" s="1"/>
  <c r="BG114" i="1"/>
  <c r="BD114" i="1"/>
  <c r="BF115" i="1" s="1"/>
  <c r="BH114" i="1"/>
  <c r="BP84" i="1"/>
  <c r="BS84" i="1"/>
  <c r="BT84" i="1"/>
  <c r="BG89" i="1"/>
  <c r="BD89" i="1"/>
  <c r="BH89" i="1"/>
  <c r="BS154" i="1"/>
  <c r="BP154" i="1"/>
  <c r="BT154" i="1"/>
  <c r="BU83" i="1"/>
  <c r="BX83" i="1" s="1"/>
  <c r="BI142" i="1"/>
  <c r="BX142" i="1" s="1"/>
  <c r="BV22" i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X22" i="1"/>
  <c r="BI93" i="1"/>
  <c r="BX93" i="1" s="1"/>
  <c r="BI111" i="1"/>
  <c r="BX111" i="1" s="1"/>
  <c r="BI156" i="1"/>
  <c r="BX156" i="1" s="1"/>
  <c r="BU153" i="1"/>
  <c r="BX153" i="1" s="1"/>
  <c r="BG31" i="1"/>
  <c r="BH31" i="1"/>
  <c r="BD31" i="1"/>
  <c r="BF32" i="1" s="1"/>
  <c r="BI46" i="1"/>
  <c r="BX46" i="1" s="1"/>
  <c r="BI97" i="1"/>
  <c r="BX97" i="1" s="1"/>
  <c r="BI37" i="1"/>
  <c r="BX37" i="1" s="1"/>
  <c r="BU137" i="1"/>
  <c r="BX137" i="1" s="1"/>
  <c r="BU76" i="1"/>
  <c r="BX76" i="1" s="1"/>
  <c r="BI53" i="1"/>
  <c r="BX53" i="1" s="1"/>
  <c r="BI30" i="1"/>
  <c r="BX30" i="1" s="1"/>
  <c r="BP148" i="1"/>
  <c r="BR149" i="1" s="1"/>
  <c r="BT148" i="1"/>
  <c r="BS148" i="1"/>
  <c r="BU148" i="1" s="1"/>
  <c r="BX148" i="1" s="1"/>
  <c r="BD94" i="1"/>
  <c r="BF95" i="1" s="1"/>
  <c r="BH94" i="1"/>
  <c r="BG94" i="1"/>
  <c r="BI94" i="1" s="1"/>
  <c r="BX94" i="1" s="1"/>
  <c r="BP58" i="1"/>
  <c r="BR59" i="1" s="1"/>
  <c r="BT58" i="1"/>
  <c r="BS58" i="1"/>
  <c r="BG100" i="1"/>
  <c r="BH100" i="1"/>
  <c r="BD100" i="1"/>
  <c r="BF101" i="1" s="1"/>
  <c r="BU82" i="1"/>
  <c r="BX82" i="1" s="1"/>
  <c r="BX81" i="1"/>
  <c r="BU57" i="1"/>
  <c r="BX57" i="1" s="1"/>
  <c r="BX48" i="1"/>
  <c r="BI99" i="1"/>
  <c r="BX99" i="1" s="1"/>
  <c r="BV38" i="1" l="1"/>
  <c r="BV39" i="1" s="1"/>
  <c r="BV40" i="1" s="1"/>
  <c r="BX38" i="1"/>
  <c r="BI100" i="1"/>
  <c r="BX100" i="1" s="1"/>
  <c r="BV41" i="1"/>
  <c r="BV42" i="1" s="1"/>
  <c r="BV43" i="1" s="1"/>
  <c r="BV44" i="1" s="1"/>
  <c r="BV45" i="1" s="1"/>
  <c r="BV46" i="1" s="1"/>
  <c r="BV47" i="1" s="1"/>
  <c r="BV48" i="1" s="1"/>
  <c r="BV49" i="1" s="1"/>
  <c r="BX49" i="1"/>
  <c r="BI25" i="1"/>
  <c r="BX25" i="1" s="1"/>
  <c r="BI167" i="1"/>
  <c r="BX167" i="1" s="1"/>
  <c r="BU58" i="1"/>
  <c r="BX58" i="1" s="1"/>
  <c r="BU63" i="1"/>
  <c r="BX63" i="1" s="1"/>
  <c r="BH115" i="1"/>
  <c r="BG115" i="1"/>
  <c r="BI115" i="1" s="1"/>
  <c r="BX115" i="1" s="1"/>
  <c r="BD115" i="1"/>
  <c r="BF116" i="1" s="1"/>
  <c r="BU138" i="1"/>
  <c r="BX138" i="1" s="1"/>
  <c r="BI31" i="1"/>
  <c r="BS70" i="1"/>
  <c r="BT70" i="1"/>
  <c r="BP70" i="1"/>
  <c r="BR71" i="1" s="1"/>
  <c r="BD95" i="1"/>
  <c r="BH95" i="1"/>
  <c r="BG95" i="1"/>
  <c r="BI95" i="1" s="1"/>
  <c r="BX95" i="1" s="1"/>
  <c r="BY22" i="1"/>
  <c r="BY23" i="1" s="1"/>
  <c r="BY24" i="1" s="1"/>
  <c r="BY25" i="1" s="1"/>
  <c r="BY26" i="1" s="1"/>
  <c r="BY27" i="1" s="1"/>
  <c r="BY28" i="1" s="1"/>
  <c r="BY29" i="1" s="1"/>
  <c r="BY30" i="1" s="1"/>
  <c r="BU84" i="1"/>
  <c r="BX84" i="1" s="1"/>
  <c r="BU69" i="1"/>
  <c r="BX69" i="1" s="1"/>
  <c r="BT59" i="1"/>
  <c r="BS59" i="1"/>
  <c r="BU59" i="1" s="1"/>
  <c r="BX59" i="1" s="1"/>
  <c r="BP59" i="1"/>
  <c r="BR60" i="1" s="1"/>
  <c r="BI114" i="1"/>
  <c r="BX114" i="1" s="1"/>
  <c r="BH32" i="1"/>
  <c r="BG32" i="1"/>
  <c r="BI32" i="1" s="1"/>
  <c r="BX32" i="1" s="1"/>
  <c r="BD32" i="1"/>
  <c r="BP64" i="1"/>
  <c r="BS64" i="1"/>
  <c r="BT64" i="1"/>
  <c r="BU154" i="1"/>
  <c r="BX154" i="1" s="1"/>
  <c r="BH101" i="1"/>
  <c r="BD101" i="1"/>
  <c r="BF102" i="1" s="1"/>
  <c r="BG101" i="1"/>
  <c r="BI101" i="1" s="1"/>
  <c r="BX101" i="1" s="1"/>
  <c r="BT149" i="1"/>
  <c r="BS149" i="1"/>
  <c r="BU149" i="1" s="1"/>
  <c r="BX149" i="1" s="1"/>
  <c r="BP149" i="1"/>
  <c r="BR150" i="1" s="1"/>
  <c r="BS50" i="1"/>
  <c r="BT50" i="1"/>
  <c r="BP50" i="1"/>
  <c r="BR51" i="1" s="1"/>
  <c r="BI89" i="1"/>
  <c r="BX89" i="1" s="1"/>
  <c r="BJ25" i="1" l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U64" i="1"/>
  <c r="BX64" i="1" s="1"/>
  <c r="BS51" i="1"/>
  <c r="BT51" i="1"/>
  <c r="BP51" i="1"/>
  <c r="BR52" i="1" s="1"/>
  <c r="BT71" i="1"/>
  <c r="BS71" i="1"/>
  <c r="BU71" i="1" s="1"/>
  <c r="BX71" i="1" s="1"/>
  <c r="BP71" i="1"/>
  <c r="BR72" i="1" s="1"/>
  <c r="BU50" i="1"/>
  <c r="BT150" i="1"/>
  <c r="BS150" i="1"/>
  <c r="BU150" i="1" s="1"/>
  <c r="BX150" i="1" s="1"/>
  <c r="BP150" i="1"/>
  <c r="BR151" i="1" s="1"/>
  <c r="BU70" i="1"/>
  <c r="BX70" i="1" s="1"/>
  <c r="BS60" i="1"/>
  <c r="BP60" i="1"/>
  <c r="BT60" i="1"/>
  <c r="BX31" i="1"/>
  <c r="BD116" i="1"/>
  <c r="BF117" i="1" s="1"/>
  <c r="BH116" i="1"/>
  <c r="BG116" i="1"/>
  <c r="BI116" i="1" s="1"/>
  <c r="BX116" i="1" s="1"/>
  <c r="BD102" i="1"/>
  <c r="BF103" i="1" s="1"/>
  <c r="BH102" i="1"/>
  <c r="BG102" i="1"/>
  <c r="BI102" i="1" l="1"/>
  <c r="BX102" i="1" s="1"/>
  <c r="BU51" i="1"/>
  <c r="BX51" i="1" s="1"/>
  <c r="BX50" i="1"/>
  <c r="BV50" i="1"/>
  <c r="BV51" i="1" s="1"/>
  <c r="BS72" i="1"/>
  <c r="BT72" i="1"/>
  <c r="BP72" i="1"/>
  <c r="BR73" i="1" s="1"/>
  <c r="BH117" i="1"/>
  <c r="BG117" i="1"/>
  <c r="BI117" i="1" s="1"/>
  <c r="BX117" i="1" s="1"/>
  <c r="BD117" i="1"/>
  <c r="BF118" i="1" s="1"/>
  <c r="BY31" i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S151" i="1"/>
  <c r="BT151" i="1"/>
  <c r="BP151" i="1"/>
  <c r="BH103" i="1"/>
  <c r="BG103" i="1"/>
  <c r="BD103" i="1"/>
  <c r="BF104" i="1" s="1"/>
  <c r="BS52" i="1"/>
  <c r="BP52" i="1"/>
  <c r="BT52" i="1"/>
  <c r="BU60" i="1"/>
  <c r="BX60" i="1" s="1"/>
  <c r="BJ102" i="1" l="1"/>
  <c r="BU151" i="1"/>
  <c r="BX151" i="1" s="1"/>
  <c r="BI103" i="1"/>
  <c r="BX103" i="1" s="1"/>
  <c r="BG118" i="1"/>
  <c r="BH118" i="1"/>
  <c r="BD118" i="1"/>
  <c r="BF119" i="1" s="1"/>
  <c r="BU52" i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G104" i="1"/>
  <c r="BH104" i="1"/>
  <c r="BD104" i="1"/>
  <c r="BF105" i="1" s="1"/>
  <c r="BP73" i="1"/>
  <c r="BT73" i="1"/>
  <c r="BS73" i="1"/>
  <c r="BU73" i="1" s="1"/>
  <c r="BX73" i="1" s="1"/>
  <c r="BU72" i="1"/>
  <c r="BX72" i="1" s="1"/>
  <c r="BI118" i="1" l="1"/>
  <c r="BX118" i="1" s="1"/>
  <c r="BJ103" i="1"/>
  <c r="BJ104" i="1" s="1"/>
  <c r="BH105" i="1"/>
  <c r="BG105" i="1"/>
  <c r="BD105" i="1"/>
  <c r="BF106" i="1" s="1"/>
  <c r="BI104" i="1"/>
  <c r="BX52" i="1"/>
  <c r="BV10" i="1"/>
  <c r="BV9" i="1"/>
  <c r="BV11" i="1" s="1"/>
  <c r="CL14" i="1" s="1"/>
  <c r="BH119" i="1"/>
  <c r="BG119" i="1"/>
  <c r="BI119" i="1" s="1"/>
  <c r="BX119" i="1" s="1"/>
  <c r="BD119" i="1"/>
  <c r="BF120" i="1" s="1"/>
  <c r="BH120" i="1" l="1"/>
  <c r="BG120" i="1"/>
  <c r="BI120" i="1" s="1"/>
  <c r="BX120" i="1" s="1"/>
  <c r="BD120" i="1"/>
  <c r="BF121" i="1" s="1"/>
  <c r="BY52" i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X104" i="1"/>
  <c r="BH106" i="1"/>
  <c r="BG106" i="1"/>
  <c r="BI106" i="1" s="1"/>
  <c r="BX106" i="1" s="1"/>
  <c r="BD106" i="1"/>
  <c r="BF107" i="1" s="1"/>
  <c r="BI105" i="1"/>
  <c r="BX105" i="1" s="1"/>
  <c r="BY104" i="1" l="1"/>
  <c r="BY105" i="1" s="1"/>
  <c r="BY106" i="1" s="1"/>
  <c r="BD107" i="1"/>
  <c r="BG107" i="1"/>
  <c r="BH107" i="1"/>
  <c r="BJ105" i="1"/>
  <c r="BJ106" i="1" s="1"/>
  <c r="BG121" i="1"/>
  <c r="BH121" i="1"/>
  <c r="BD121" i="1"/>
  <c r="BF122" i="1" s="1"/>
  <c r="BH122" i="1" l="1"/>
  <c r="BG122" i="1"/>
  <c r="BD122" i="1"/>
  <c r="BF123" i="1" s="1"/>
  <c r="BI121" i="1"/>
  <c r="BX121" i="1" s="1"/>
  <c r="BI107" i="1"/>
  <c r="BX107" i="1" s="1"/>
  <c r="BI122" i="1" l="1"/>
  <c r="BX122" i="1" s="1"/>
  <c r="BJ107" i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D123" i="1"/>
  <c r="BF124" i="1" s="1"/>
  <c r="BH123" i="1"/>
  <c r="BG123" i="1"/>
  <c r="BY107" i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H124" i="1" l="1"/>
  <c r="BG124" i="1"/>
  <c r="BD124" i="1"/>
  <c r="BF125" i="1" s="1"/>
  <c r="BI123" i="1"/>
  <c r="BX123" i="1" s="1"/>
  <c r="BY123" i="1" s="1"/>
  <c r="BJ123" i="1"/>
  <c r="BI124" i="1" l="1"/>
  <c r="BX124" i="1" s="1"/>
  <c r="BY124" i="1" s="1"/>
  <c r="BG125" i="1"/>
  <c r="BH125" i="1"/>
  <c r="BD125" i="1"/>
  <c r="BF126" i="1" s="1"/>
  <c r="BJ124" i="1" l="1"/>
  <c r="BH126" i="1"/>
  <c r="BG126" i="1"/>
  <c r="BI126" i="1" s="1"/>
  <c r="BX126" i="1" s="1"/>
  <c r="BD126" i="1"/>
  <c r="BF127" i="1" s="1"/>
  <c r="BI125" i="1"/>
  <c r="BX125" i="1" l="1"/>
  <c r="BY125" i="1" s="1"/>
  <c r="BY126" i="1" s="1"/>
  <c r="BJ125" i="1"/>
  <c r="BJ126" i="1" s="1"/>
  <c r="BH127" i="1"/>
  <c r="BG127" i="1"/>
  <c r="BI127" i="1" s="1"/>
  <c r="BX127" i="1" s="1"/>
  <c r="BD127" i="1"/>
  <c r="BF128" i="1" s="1"/>
  <c r="BY127" i="1" l="1"/>
  <c r="BG128" i="1"/>
  <c r="BH128" i="1"/>
  <c r="BD128" i="1"/>
  <c r="BF129" i="1" s="1"/>
  <c r="BJ127" i="1"/>
  <c r="BI128" i="1" l="1"/>
  <c r="BX128" i="1" s="1"/>
  <c r="BY128" i="1" s="1"/>
  <c r="BJ128" i="1"/>
  <c r="BD129" i="1"/>
  <c r="BF130" i="1" s="1"/>
  <c r="BH129" i="1"/>
  <c r="BG129" i="1"/>
  <c r="BI129" i="1" s="1"/>
  <c r="BX129" i="1" s="1"/>
  <c r="BY129" i="1" l="1"/>
  <c r="BD130" i="1"/>
  <c r="BH130" i="1"/>
  <c r="BG130" i="1"/>
  <c r="BJ129" i="1"/>
  <c r="BI130" i="1" l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X130" i="1" l="1"/>
  <c r="BJ10" i="1"/>
  <c r="BJ9" i="1"/>
  <c r="BY9" i="1" l="1"/>
  <c r="BY10" i="1"/>
  <c r="BY130" i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J11" i="1"/>
  <c r="CL3" i="1" s="1"/>
  <c r="BY11" i="1" l="1"/>
</calcChain>
</file>

<file path=xl/sharedStrings.xml><?xml version="1.0" encoding="utf-8"?>
<sst xmlns="http://schemas.openxmlformats.org/spreadsheetml/2006/main" count="65" uniqueCount="50">
  <si>
    <t>date</t>
  </si>
  <si>
    <t>NWS</t>
  </si>
  <si>
    <t>NWSA</t>
  </si>
  <si>
    <t>NWS log rtn</t>
  </si>
  <si>
    <t>NWSA log rtn</t>
  </si>
  <si>
    <t>NWS div</t>
  </si>
  <si>
    <t>NWS div cumsum</t>
  </si>
  <si>
    <t>NWSA div</t>
  </si>
  <si>
    <t>NWSA div cumsum</t>
  </si>
  <si>
    <t>NWS div adjustment</t>
  </si>
  <si>
    <t>NWSA div adjustment</t>
  </si>
  <si>
    <t>NWS*</t>
  </si>
  <si>
    <t>NWSA*</t>
  </si>
  <si>
    <t>NWSA/NWS</t>
  </si>
  <si>
    <t>NWSA/NWS avg</t>
  </si>
  <si>
    <t>NWSA/NWS 10 dma</t>
  </si>
  <si>
    <t>NWSA/NWS 20 dma</t>
  </si>
  <si>
    <t>NWS x avg</t>
  </si>
  <si>
    <t>NWS x 10 dma</t>
  </si>
  <si>
    <t>NWS x 20 dma</t>
  </si>
  <si>
    <t>log diff NWS x avg / NWSA</t>
  </si>
  <si>
    <t>log diff NWS x 10 dma / NWSA</t>
  </si>
  <si>
    <t>log diff NWS x 20 dma / NWSA</t>
  </si>
  <si>
    <t>NWSA*/NWS*</t>
  </si>
  <si>
    <t>NWSA*/NWS* avg</t>
  </si>
  <si>
    <t>NWSA*/NWS* 10 dma</t>
  </si>
  <si>
    <t>NWSA*/NWS* 20 dma</t>
  </si>
  <si>
    <t>NWS* x avg</t>
  </si>
  <si>
    <t>NWS* x 10 dma</t>
  </si>
  <si>
    <t>NWS* x 20 dma</t>
  </si>
  <si>
    <t>log diff NWS* x avg / NWSA*</t>
  </si>
  <si>
    <t>log diff NWS* x 10 dma / NWSA*</t>
  </si>
  <si>
    <t>log diff NWS* x 20 dma / NWSA*</t>
  </si>
  <si>
    <t>enter</t>
  </si>
  <si>
    <t>row</t>
  </si>
  <si>
    <t>ba20</t>
  </si>
  <si>
    <t>col</t>
  </si>
  <si>
    <t>ba21</t>
  </si>
  <si>
    <t>exit</t>
  </si>
  <si>
    <t>bm20</t>
  </si>
  <si>
    <t>bm21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</si>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</sst>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%"/>
    <numFmt numFmtId="166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44" fontId="0" fillId="0" borderId="0" xfId="2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10" xfId="1" applyFont="1" applyBorder="1"/>
    <xf numFmtId="43" fontId="0" fillId="0" borderId="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  <xf numFmtId="164" fontId="18" fillId="0" borderId="0" xfId="2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4" fontId="0" fillId="0" borderId="0" xfId="2" applyNumberFormat="1" applyFont="1"/>
    <xf numFmtId="165" fontId="0" fillId="0" borderId="0" xfId="3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195-4342-89DF-EC642A865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NWS_NWSA_0!$BY$22:$BY$167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7.6160500813843013E-3</c:v>
                </c:pt>
                <c:pt idx="5">
                  <c:v>2.0889903050038801E-2</c:v>
                </c:pt>
                <c:pt idx="6">
                  <c:v>2.0889903050038801E-2</c:v>
                </c:pt>
                <c:pt idx="7">
                  <c:v>2.0889903050038801E-2</c:v>
                </c:pt>
                <c:pt idx="8">
                  <c:v>2.0889903050038801E-2</c:v>
                </c:pt>
                <c:pt idx="9">
                  <c:v>2.0889903050038801E-2</c:v>
                </c:pt>
                <c:pt idx="10">
                  <c:v>2.0889903050038801E-2</c:v>
                </c:pt>
                <c:pt idx="11">
                  <c:v>1.2493157361866212E-2</c:v>
                </c:pt>
                <c:pt idx="12">
                  <c:v>8.6344484199569783E-3</c:v>
                </c:pt>
                <c:pt idx="13">
                  <c:v>9.9485806103686795E-3</c:v>
                </c:pt>
                <c:pt idx="14">
                  <c:v>1.0711410845614179E-2</c:v>
                </c:pt>
                <c:pt idx="15">
                  <c:v>1.0625927289125568E-2</c:v>
                </c:pt>
                <c:pt idx="16">
                  <c:v>1.9299216257881585E-3</c:v>
                </c:pt>
                <c:pt idx="17">
                  <c:v>-3.4049382553856429E-3</c:v>
                </c:pt>
                <c:pt idx="18">
                  <c:v>-8.1274548906919222E-3</c:v>
                </c:pt>
                <c:pt idx="19">
                  <c:v>-8.7783742768894214E-3</c:v>
                </c:pt>
                <c:pt idx="20">
                  <c:v>-9.3012343028550208E-3</c:v>
                </c:pt>
                <c:pt idx="21">
                  <c:v>-7.3213847158242092E-4</c:v>
                </c:pt>
                <c:pt idx="22">
                  <c:v>-1.7588473487171203E-3</c:v>
                </c:pt>
                <c:pt idx="23">
                  <c:v>1.215524029734778E-2</c:v>
                </c:pt>
                <c:pt idx="24">
                  <c:v>1.215524029734778E-2</c:v>
                </c:pt>
                <c:pt idx="25">
                  <c:v>1.215524029734778E-2</c:v>
                </c:pt>
                <c:pt idx="26">
                  <c:v>1.215524029734778E-2</c:v>
                </c:pt>
                <c:pt idx="27">
                  <c:v>1.215524029734778E-2</c:v>
                </c:pt>
                <c:pt idx="28">
                  <c:v>1.215524029734778E-2</c:v>
                </c:pt>
                <c:pt idx="29">
                  <c:v>1.215524029734778E-2</c:v>
                </c:pt>
                <c:pt idx="30">
                  <c:v>1.215524029734778E-2</c:v>
                </c:pt>
                <c:pt idx="31">
                  <c:v>1.215524029734778E-2</c:v>
                </c:pt>
                <c:pt idx="32">
                  <c:v>1.215524029734778E-2</c:v>
                </c:pt>
                <c:pt idx="33">
                  <c:v>1.1665832935160939E-2</c:v>
                </c:pt>
                <c:pt idx="34">
                  <c:v>1.780732283445664E-2</c:v>
                </c:pt>
                <c:pt idx="35">
                  <c:v>1.639844466641404E-2</c:v>
                </c:pt>
                <c:pt idx="36">
                  <c:v>1.349645116769284E-2</c:v>
                </c:pt>
                <c:pt idx="37">
                  <c:v>1.4535187575358178E-2</c:v>
                </c:pt>
                <c:pt idx="38">
                  <c:v>5.0367371050789138E-3</c:v>
                </c:pt>
                <c:pt idx="39">
                  <c:v>8.1774270338549129E-3</c:v>
                </c:pt>
                <c:pt idx="40">
                  <c:v>7.5258142692632632E-3</c:v>
                </c:pt>
                <c:pt idx="41">
                  <c:v>1.1369485073196794E-2</c:v>
                </c:pt>
                <c:pt idx="42">
                  <c:v>1.6656703909301469E-4</c:v>
                </c:pt>
                <c:pt idx="43">
                  <c:v>1.9646454267146446E-3</c:v>
                </c:pt>
                <c:pt idx="44">
                  <c:v>1.7511285883263547E-3</c:v>
                </c:pt>
                <c:pt idx="45">
                  <c:v>-7.2218672769734584E-4</c:v>
                </c:pt>
                <c:pt idx="46">
                  <c:v>-2.3404692806817456E-3</c:v>
                </c:pt>
                <c:pt idx="47">
                  <c:v>-1.882099953878686E-3</c:v>
                </c:pt>
                <c:pt idx="48">
                  <c:v>-3.2347517400430834E-3</c:v>
                </c:pt>
                <c:pt idx="49">
                  <c:v>3.6741345174930683E-4</c:v>
                </c:pt>
                <c:pt idx="50">
                  <c:v>1.2433708754596064E-3</c:v>
                </c:pt>
                <c:pt idx="51">
                  <c:v>2.2335141078960053E-3</c:v>
                </c:pt>
                <c:pt idx="52">
                  <c:v>2.2335141078960053E-3</c:v>
                </c:pt>
                <c:pt idx="53">
                  <c:v>2.2335141078960053E-3</c:v>
                </c:pt>
                <c:pt idx="54">
                  <c:v>2.2335141078960053E-3</c:v>
                </c:pt>
                <c:pt idx="55">
                  <c:v>2.2335141078960053E-3</c:v>
                </c:pt>
                <c:pt idx="56">
                  <c:v>2.2335141078960053E-3</c:v>
                </c:pt>
                <c:pt idx="57">
                  <c:v>2.2335141078960053E-3</c:v>
                </c:pt>
                <c:pt idx="58">
                  <c:v>2.2335141078960053E-3</c:v>
                </c:pt>
                <c:pt idx="59">
                  <c:v>2.2335141078960053E-3</c:v>
                </c:pt>
                <c:pt idx="60">
                  <c:v>2.2335141078960053E-3</c:v>
                </c:pt>
                <c:pt idx="61">
                  <c:v>2.2335141078960053E-3</c:v>
                </c:pt>
                <c:pt idx="62">
                  <c:v>2.2335141078960053E-3</c:v>
                </c:pt>
                <c:pt idx="63">
                  <c:v>2.2335141078960053E-3</c:v>
                </c:pt>
                <c:pt idx="64">
                  <c:v>2.2335141078960053E-3</c:v>
                </c:pt>
                <c:pt idx="65">
                  <c:v>2.2335141078960053E-3</c:v>
                </c:pt>
                <c:pt idx="66">
                  <c:v>2.2335141078960053E-3</c:v>
                </c:pt>
                <c:pt idx="67">
                  <c:v>2.2335141078960053E-3</c:v>
                </c:pt>
                <c:pt idx="68">
                  <c:v>2.2335141078960053E-3</c:v>
                </c:pt>
                <c:pt idx="69">
                  <c:v>2.2335141078960053E-3</c:v>
                </c:pt>
                <c:pt idx="70">
                  <c:v>2.2335141078960053E-3</c:v>
                </c:pt>
                <c:pt idx="71">
                  <c:v>2.2335141078960053E-3</c:v>
                </c:pt>
                <c:pt idx="72">
                  <c:v>2.2335141078960053E-3</c:v>
                </c:pt>
                <c:pt idx="73">
                  <c:v>2.2335141078960053E-3</c:v>
                </c:pt>
                <c:pt idx="74">
                  <c:v>2.2335141078960053E-3</c:v>
                </c:pt>
                <c:pt idx="75">
                  <c:v>2.2335141078960053E-3</c:v>
                </c:pt>
                <c:pt idx="76">
                  <c:v>2.2335141078960053E-3</c:v>
                </c:pt>
                <c:pt idx="77">
                  <c:v>2.2335141078960053E-3</c:v>
                </c:pt>
                <c:pt idx="78">
                  <c:v>2.2335141078960053E-3</c:v>
                </c:pt>
                <c:pt idx="79">
                  <c:v>2.2335141078960053E-3</c:v>
                </c:pt>
                <c:pt idx="80">
                  <c:v>2.2335141078960053E-3</c:v>
                </c:pt>
                <c:pt idx="81">
                  <c:v>2.2335141078960053E-3</c:v>
                </c:pt>
                <c:pt idx="82">
                  <c:v>2.2335141078960053E-3</c:v>
                </c:pt>
                <c:pt idx="83">
                  <c:v>2.2335141078960053E-3</c:v>
                </c:pt>
                <c:pt idx="84">
                  <c:v>2.2335141078960053E-3</c:v>
                </c:pt>
                <c:pt idx="85">
                  <c:v>2.2335141078960053E-3</c:v>
                </c:pt>
                <c:pt idx="86">
                  <c:v>2.2335141078960053E-3</c:v>
                </c:pt>
                <c:pt idx="87">
                  <c:v>2.2335141078960053E-3</c:v>
                </c:pt>
                <c:pt idx="88">
                  <c:v>2.2335141078960053E-3</c:v>
                </c:pt>
                <c:pt idx="89">
                  <c:v>2.2335141078960053E-3</c:v>
                </c:pt>
                <c:pt idx="90">
                  <c:v>2.2335141078960053E-3</c:v>
                </c:pt>
                <c:pt idx="91">
                  <c:v>2.2335141078960053E-3</c:v>
                </c:pt>
                <c:pt idx="92">
                  <c:v>2.2335141078960053E-3</c:v>
                </c:pt>
                <c:pt idx="93">
                  <c:v>2.2335141078960053E-3</c:v>
                </c:pt>
                <c:pt idx="94">
                  <c:v>2.2335141078960053E-3</c:v>
                </c:pt>
                <c:pt idx="95">
                  <c:v>2.2335141078960053E-3</c:v>
                </c:pt>
                <c:pt idx="96">
                  <c:v>2.2335141078960053E-3</c:v>
                </c:pt>
                <c:pt idx="97">
                  <c:v>2.2335141078960053E-3</c:v>
                </c:pt>
                <c:pt idx="98">
                  <c:v>2.2335141078960053E-3</c:v>
                </c:pt>
                <c:pt idx="99">
                  <c:v>2.2335141078960053E-3</c:v>
                </c:pt>
                <c:pt idx="100">
                  <c:v>2.2335141078960053E-3</c:v>
                </c:pt>
                <c:pt idx="101">
                  <c:v>2.2335141078960053E-3</c:v>
                </c:pt>
                <c:pt idx="102">
                  <c:v>2.2335141078960053E-3</c:v>
                </c:pt>
                <c:pt idx="103">
                  <c:v>2.2335141078960053E-3</c:v>
                </c:pt>
                <c:pt idx="104">
                  <c:v>2.2335141078960053E-3</c:v>
                </c:pt>
                <c:pt idx="105">
                  <c:v>2.2335141078960053E-3</c:v>
                </c:pt>
                <c:pt idx="106">
                  <c:v>2.2335141078960053E-3</c:v>
                </c:pt>
                <c:pt idx="107">
                  <c:v>2.2335141078960053E-3</c:v>
                </c:pt>
                <c:pt idx="108">
                  <c:v>2.2335141078960053E-3</c:v>
                </c:pt>
                <c:pt idx="109">
                  <c:v>2.2335141078960053E-3</c:v>
                </c:pt>
                <c:pt idx="110">
                  <c:v>2.2335141078960053E-3</c:v>
                </c:pt>
                <c:pt idx="111">
                  <c:v>2.2335141078960053E-3</c:v>
                </c:pt>
                <c:pt idx="112">
                  <c:v>2.2335141078960053E-3</c:v>
                </c:pt>
                <c:pt idx="113">
                  <c:v>2.2335141078960053E-3</c:v>
                </c:pt>
                <c:pt idx="114">
                  <c:v>2.2335141078960053E-3</c:v>
                </c:pt>
                <c:pt idx="115">
                  <c:v>2.2335141078960053E-3</c:v>
                </c:pt>
                <c:pt idx="116">
                  <c:v>2.2335141078960053E-3</c:v>
                </c:pt>
                <c:pt idx="117">
                  <c:v>2.2335141078960053E-3</c:v>
                </c:pt>
                <c:pt idx="118">
                  <c:v>2.2335141078960053E-3</c:v>
                </c:pt>
                <c:pt idx="119">
                  <c:v>2.2335141078960053E-3</c:v>
                </c:pt>
                <c:pt idx="120">
                  <c:v>2.2335141078960053E-3</c:v>
                </c:pt>
                <c:pt idx="121">
                  <c:v>2.2335141078960053E-3</c:v>
                </c:pt>
                <c:pt idx="122">
                  <c:v>2.2335141078960053E-3</c:v>
                </c:pt>
                <c:pt idx="123">
                  <c:v>2.2335141078960053E-3</c:v>
                </c:pt>
                <c:pt idx="124">
                  <c:v>2.2335141078960053E-3</c:v>
                </c:pt>
                <c:pt idx="125">
                  <c:v>2.2335141078960053E-3</c:v>
                </c:pt>
                <c:pt idx="126">
                  <c:v>2.2335141078960053E-3</c:v>
                </c:pt>
                <c:pt idx="127">
                  <c:v>2.2335141078960053E-3</c:v>
                </c:pt>
                <c:pt idx="128">
                  <c:v>2.2335141078960053E-3</c:v>
                </c:pt>
                <c:pt idx="129">
                  <c:v>2.2335141078960053E-3</c:v>
                </c:pt>
                <c:pt idx="130">
                  <c:v>2.2335141078960053E-3</c:v>
                </c:pt>
                <c:pt idx="131">
                  <c:v>2.2335141078960053E-3</c:v>
                </c:pt>
                <c:pt idx="132">
                  <c:v>2.2335141078960053E-3</c:v>
                </c:pt>
                <c:pt idx="133">
                  <c:v>2.2335141078960053E-3</c:v>
                </c:pt>
                <c:pt idx="134">
                  <c:v>2.2335141078960053E-3</c:v>
                </c:pt>
                <c:pt idx="135">
                  <c:v>2.2335141078960053E-3</c:v>
                </c:pt>
                <c:pt idx="136">
                  <c:v>2.2335141078960053E-3</c:v>
                </c:pt>
                <c:pt idx="137">
                  <c:v>2.2335141078960053E-3</c:v>
                </c:pt>
                <c:pt idx="138">
                  <c:v>2.2335141078960053E-3</c:v>
                </c:pt>
                <c:pt idx="139">
                  <c:v>2.2335141078960053E-3</c:v>
                </c:pt>
                <c:pt idx="140">
                  <c:v>2.2335141078960053E-3</c:v>
                </c:pt>
                <c:pt idx="141">
                  <c:v>2.2335141078960053E-3</c:v>
                </c:pt>
                <c:pt idx="142">
                  <c:v>2.2335141078960053E-3</c:v>
                </c:pt>
                <c:pt idx="143">
                  <c:v>2.2335141078960053E-3</c:v>
                </c:pt>
                <c:pt idx="144">
                  <c:v>2.2335141078960053E-3</c:v>
                </c:pt>
                <c:pt idx="145">
                  <c:v>2.2335141078960053E-3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D-4CFA-B6C9-48D0EA61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NWS_NWSA_0!$BJ$22:$BJ$167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7.6160500813843013E-3</c:v>
                </c:pt>
                <c:pt idx="5">
                  <c:v>2.0889903050038801E-2</c:v>
                </c:pt>
                <c:pt idx="6">
                  <c:v>2.0889903050038801E-2</c:v>
                </c:pt>
                <c:pt idx="7">
                  <c:v>2.0889903050038801E-2</c:v>
                </c:pt>
                <c:pt idx="8">
                  <c:v>2.0889903050038801E-2</c:v>
                </c:pt>
                <c:pt idx="9">
                  <c:v>2.0889903050038801E-2</c:v>
                </c:pt>
                <c:pt idx="10">
                  <c:v>2.0889903050038801E-2</c:v>
                </c:pt>
                <c:pt idx="11">
                  <c:v>1.2493157361866212E-2</c:v>
                </c:pt>
                <c:pt idx="12">
                  <c:v>8.6344484199569783E-3</c:v>
                </c:pt>
                <c:pt idx="13">
                  <c:v>9.9485806103686795E-3</c:v>
                </c:pt>
                <c:pt idx="14">
                  <c:v>1.0711410845614179E-2</c:v>
                </c:pt>
                <c:pt idx="15">
                  <c:v>1.0625927289125568E-2</c:v>
                </c:pt>
                <c:pt idx="16">
                  <c:v>1.9299216257881585E-3</c:v>
                </c:pt>
                <c:pt idx="17">
                  <c:v>-3.4049382553856429E-3</c:v>
                </c:pt>
                <c:pt idx="18">
                  <c:v>-8.1274548906919222E-3</c:v>
                </c:pt>
                <c:pt idx="19">
                  <c:v>-8.7783742768894214E-3</c:v>
                </c:pt>
                <c:pt idx="20">
                  <c:v>-9.3012343028550208E-3</c:v>
                </c:pt>
                <c:pt idx="21">
                  <c:v>-7.3213847158242092E-4</c:v>
                </c:pt>
                <c:pt idx="22">
                  <c:v>-1.7588473487171203E-3</c:v>
                </c:pt>
                <c:pt idx="23">
                  <c:v>1.215524029734778E-2</c:v>
                </c:pt>
                <c:pt idx="24">
                  <c:v>1.215524029734778E-2</c:v>
                </c:pt>
                <c:pt idx="25">
                  <c:v>1.215524029734778E-2</c:v>
                </c:pt>
                <c:pt idx="26">
                  <c:v>1.215524029734778E-2</c:v>
                </c:pt>
                <c:pt idx="27">
                  <c:v>1.215524029734778E-2</c:v>
                </c:pt>
                <c:pt idx="28">
                  <c:v>1.215524029734778E-2</c:v>
                </c:pt>
                <c:pt idx="29">
                  <c:v>1.215524029734778E-2</c:v>
                </c:pt>
                <c:pt idx="30">
                  <c:v>1.215524029734778E-2</c:v>
                </c:pt>
                <c:pt idx="31">
                  <c:v>1.215524029734778E-2</c:v>
                </c:pt>
                <c:pt idx="32">
                  <c:v>1.215524029734778E-2</c:v>
                </c:pt>
                <c:pt idx="33">
                  <c:v>1.215524029734778E-2</c:v>
                </c:pt>
                <c:pt idx="34">
                  <c:v>1.215524029734778E-2</c:v>
                </c:pt>
                <c:pt idx="35">
                  <c:v>1.215524029734778E-2</c:v>
                </c:pt>
                <c:pt idx="36">
                  <c:v>1.215524029734778E-2</c:v>
                </c:pt>
                <c:pt idx="37">
                  <c:v>1.215524029734778E-2</c:v>
                </c:pt>
                <c:pt idx="38">
                  <c:v>1.215524029734778E-2</c:v>
                </c:pt>
                <c:pt idx="39">
                  <c:v>1.215524029734778E-2</c:v>
                </c:pt>
                <c:pt idx="40">
                  <c:v>1.215524029734778E-2</c:v>
                </c:pt>
                <c:pt idx="41">
                  <c:v>1.215524029734778E-2</c:v>
                </c:pt>
                <c:pt idx="42">
                  <c:v>1.215524029734778E-2</c:v>
                </c:pt>
                <c:pt idx="43">
                  <c:v>1.215524029734778E-2</c:v>
                </c:pt>
                <c:pt idx="44">
                  <c:v>1.215524029734778E-2</c:v>
                </c:pt>
                <c:pt idx="45">
                  <c:v>1.215524029734778E-2</c:v>
                </c:pt>
                <c:pt idx="46">
                  <c:v>1.215524029734778E-2</c:v>
                </c:pt>
                <c:pt idx="47">
                  <c:v>1.215524029734778E-2</c:v>
                </c:pt>
                <c:pt idx="48">
                  <c:v>1.215524029734778E-2</c:v>
                </c:pt>
                <c:pt idx="49">
                  <c:v>1.215524029734778E-2</c:v>
                </c:pt>
                <c:pt idx="50">
                  <c:v>1.215524029734778E-2</c:v>
                </c:pt>
                <c:pt idx="51">
                  <c:v>1.215524029734778E-2</c:v>
                </c:pt>
                <c:pt idx="52">
                  <c:v>1.215524029734778E-2</c:v>
                </c:pt>
                <c:pt idx="53">
                  <c:v>1.215524029734778E-2</c:v>
                </c:pt>
                <c:pt idx="54">
                  <c:v>1.215524029734778E-2</c:v>
                </c:pt>
                <c:pt idx="55">
                  <c:v>1.215524029734778E-2</c:v>
                </c:pt>
                <c:pt idx="56">
                  <c:v>1.215524029734778E-2</c:v>
                </c:pt>
                <c:pt idx="57">
                  <c:v>1.215524029734778E-2</c:v>
                </c:pt>
                <c:pt idx="58">
                  <c:v>1.215524029734778E-2</c:v>
                </c:pt>
                <c:pt idx="59">
                  <c:v>1.215524029734778E-2</c:v>
                </c:pt>
                <c:pt idx="60">
                  <c:v>1.215524029734778E-2</c:v>
                </c:pt>
                <c:pt idx="61">
                  <c:v>1.215524029734778E-2</c:v>
                </c:pt>
                <c:pt idx="62">
                  <c:v>1.215524029734778E-2</c:v>
                </c:pt>
                <c:pt idx="63">
                  <c:v>1.215524029734778E-2</c:v>
                </c:pt>
                <c:pt idx="64">
                  <c:v>1.215524029734778E-2</c:v>
                </c:pt>
                <c:pt idx="65">
                  <c:v>1.215524029734778E-2</c:v>
                </c:pt>
                <c:pt idx="66">
                  <c:v>1.215524029734778E-2</c:v>
                </c:pt>
                <c:pt idx="67">
                  <c:v>1.215524029734778E-2</c:v>
                </c:pt>
                <c:pt idx="68">
                  <c:v>1.215524029734778E-2</c:v>
                </c:pt>
                <c:pt idx="69">
                  <c:v>1.215524029734778E-2</c:v>
                </c:pt>
                <c:pt idx="70">
                  <c:v>1.215524029734778E-2</c:v>
                </c:pt>
                <c:pt idx="71">
                  <c:v>1.215524029734778E-2</c:v>
                </c:pt>
                <c:pt idx="72">
                  <c:v>1.215524029734778E-2</c:v>
                </c:pt>
                <c:pt idx="73">
                  <c:v>1.215524029734778E-2</c:v>
                </c:pt>
                <c:pt idx="74">
                  <c:v>1.215524029734778E-2</c:v>
                </c:pt>
                <c:pt idx="75">
                  <c:v>1.215524029734778E-2</c:v>
                </c:pt>
                <c:pt idx="76">
                  <c:v>1.215524029734778E-2</c:v>
                </c:pt>
                <c:pt idx="77">
                  <c:v>1.215524029734778E-2</c:v>
                </c:pt>
                <c:pt idx="78">
                  <c:v>1.215524029734778E-2</c:v>
                </c:pt>
                <c:pt idx="79">
                  <c:v>1.215524029734778E-2</c:v>
                </c:pt>
                <c:pt idx="80">
                  <c:v>1.215524029734778E-2</c:v>
                </c:pt>
                <c:pt idx="81">
                  <c:v>1.215524029734778E-2</c:v>
                </c:pt>
                <c:pt idx="82">
                  <c:v>1.215524029734778E-2</c:v>
                </c:pt>
                <c:pt idx="83">
                  <c:v>1.215524029734778E-2</c:v>
                </c:pt>
                <c:pt idx="84">
                  <c:v>1.215524029734778E-2</c:v>
                </c:pt>
                <c:pt idx="85">
                  <c:v>1.215524029734778E-2</c:v>
                </c:pt>
                <c:pt idx="86">
                  <c:v>1.215524029734778E-2</c:v>
                </c:pt>
                <c:pt idx="87">
                  <c:v>1.215524029734778E-2</c:v>
                </c:pt>
                <c:pt idx="88">
                  <c:v>1.215524029734778E-2</c:v>
                </c:pt>
                <c:pt idx="89">
                  <c:v>1.215524029734778E-2</c:v>
                </c:pt>
                <c:pt idx="90">
                  <c:v>1.215524029734778E-2</c:v>
                </c:pt>
                <c:pt idx="91">
                  <c:v>1.215524029734778E-2</c:v>
                </c:pt>
                <c:pt idx="92">
                  <c:v>1.215524029734778E-2</c:v>
                </c:pt>
                <c:pt idx="93">
                  <c:v>1.215524029734778E-2</c:v>
                </c:pt>
                <c:pt idx="94">
                  <c:v>1.215524029734778E-2</c:v>
                </c:pt>
                <c:pt idx="95">
                  <c:v>1.215524029734778E-2</c:v>
                </c:pt>
                <c:pt idx="96">
                  <c:v>1.215524029734778E-2</c:v>
                </c:pt>
                <c:pt idx="97">
                  <c:v>1.215524029734778E-2</c:v>
                </c:pt>
                <c:pt idx="98">
                  <c:v>1.215524029734778E-2</c:v>
                </c:pt>
                <c:pt idx="99">
                  <c:v>1.215524029734778E-2</c:v>
                </c:pt>
                <c:pt idx="100">
                  <c:v>1.215524029734778E-2</c:v>
                </c:pt>
                <c:pt idx="101">
                  <c:v>1.215524029734778E-2</c:v>
                </c:pt>
                <c:pt idx="102">
                  <c:v>1.215524029734778E-2</c:v>
                </c:pt>
                <c:pt idx="103">
                  <c:v>1.215524029734778E-2</c:v>
                </c:pt>
                <c:pt idx="104">
                  <c:v>1.215524029734778E-2</c:v>
                </c:pt>
                <c:pt idx="105">
                  <c:v>1.215524029734778E-2</c:v>
                </c:pt>
                <c:pt idx="106">
                  <c:v>1.215524029734778E-2</c:v>
                </c:pt>
                <c:pt idx="107">
                  <c:v>1.215524029734778E-2</c:v>
                </c:pt>
                <c:pt idx="108">
                  <c:v>1.215524029734778E-2</c:v>
                </c:pt>
                <c:pt idx="109">
                  <c:v>1.215524029734778E-2</c:v>
                </c:pt>
                <c:pt idx="110">
                  <c:v>1.215524029734778E-2</c:v>
                </c:pt>
                <c:pt idx="111">
                  <c:v>1.215524029734778E-2</c:v>
                </c:pt>
                <c:pt idx="112">
                  <c:v>1.215524029734778E-2</c:v>
                </c:pt>
                <c:pt idx="113">
                  <c:v>1.215524029734778E-2</c:v>
                </c:pt>
                <c:pt idx="114">
                  <c:v>1.215524029734778E-2</c:v>
                </c:pt>
                <c:pt idx="115">
                  <c:v>1.215524029734778E-2</c:v>
                </c:pt>
                <c:pt idx="116">
                  <c:v>1.215524029734778E-2</c:v>
                </c:pt>
                <c:pt idx="117">
                  <c:v>1.215524029734778E-2</c:v>
                </c:pt>
                <c:pt idx="118">
                  <c:v>1.215524029734778E-2</c:v>
                </c:pt>
                <c:pt idx="119">
                  <c:v>1.215524029734778E-2</c:v>
                </c:pt>
                <c:pt idx="120">
                  <c:v>1.215524029734778E-2</c:v>
                </c:pt>
                <c:pt idx="121">
                  <c:v>1.215524029734778E-2</c:v>
                </c:pt>
                <c:pt idx="122">
                  <c:v>1.215524029734778E-2</c:v>
                </c:pt>
                <c:pt idx="123">
                  <c:v>1.215524029734778E-2</c:v>
                </c:pt>
                <c:pt idx="124">
                  <c:v>1.215524029734778E-2</c:v>
                </c:pt>
                <c:pt idx="125">
                  <c:v>1.215524029734778E-2</c:v>
                </c:pt>
                <c:pt idx="126">
                  <c:v>1.215524029734778E-2</c:v>
                </c:pt>
                <c:pt idx="127">
                  <c:v>1.215524029734778E-2</c:v>
                </c:pt>
                <c:pt idx="128">
                  <c:v>1.215524029734778E-2</c:v>
                </c:pt>
                <c:pt idx="129">
                  <c:v>1.215524029734778E-2</c:v>
                </c:pt>
                <c:pt idx="130">
                  <c:v>1.215524029734778E-2</c:v>
                </c:pt>
                <c:pt idx="131">
                  <c:v>1.215524029734778E-2</c:v>
                </c:pt>
                <c:pt idx="132">
                  <c:v>1.215524029734778E-2</c:v>
                </c:pt>
                <c:pt idx="133">
                  <c:v>1.215524029734778E-2</c:v>
                </c:pt>
                <c:pt idx="134">
                  <c:v>1.215524029734778E-2</c:v>
                </c:pt>
                <c:pt idx="135">
                  <c:v>1.215524029734778E-2</c:v>
                </c:pt>
                <c:pt idx="136">
                  <c:v>1.215524029734778E-2</c:v>
                </c:pt>
                <c:pt idx="137">
                  <c:v>1.215524029734778E-2</c:v>
                </c:pt>
                <c:pt idx="138">
                  <c:v>1.215524029734778E-2</c:v>
                </c:pt>
                <c:pt idx="139">
                  <c:v>1.215524029734778E-2</c:v>
                </c:pt>
                <c:pt idx="140">
                  <c:v>1.215524029734778E-2</c:v>
                </c:pt>
                <c:pt idx="141">
                  <c:v>1.215524029734778E-2</c:v>
                </c:pt>
                <c:pt idx="142">
                  <c:v>1.215524029734778E-2</c:v>
                </c:pt>
                <c:pt idx="143">
                  <c:v>1.215524029734778E-2</c:v>
                </c:pt>
                <c:pt idx="144">
                  <c:v>1.215524029734778E-2</c:v>
                </c:pt>
                <c:pt idx="145">
                  <c:v>1.215524029734778E-2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8-43A6-99FB-03D4ED6F9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NWS_NWSA_0!$BV$22:$BV$167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-4.8940736218683941E-4</c:v>
                </c:pt>
                <c:pt idx="34">
                  <c:v>5.6520825371088601E-3</c:v>
                </c:pt>
                <c:pt idx="35">
                  <c:v>4.2432043690662589E-3</c:v>
                </c:pt>
                <c:pt idx="36">
                  <c:v>1.3412108703450588E-3</c:v>
                </c:pt>
                <c:pt idx="37">
                  <c:v>2.3799472780103971E-3</c:v>
                </c:pt>
                <c:pt idx="38">
                  <c:v>-7.1185031922688666E-3</c:v>
                </c:pt>
                <c:pt idx="39">
                  <c:v>-3.9778132634928675E-3</c:v>
                </c:pt>
                <c:pt idx="40">
                  <c:v>-4.6294260280845172E-3</c:v>
                </c:pt>
                <c:pt idx="41">
                  <c:v>-7.8575522415098593E-4</c:v>
                </c:pt>
                <c:pt idx="42">
                  <c:v>-1.1988673258254767E-2</c:v>
                </c:pt>
                <c:pt idx="43">
                  <c:v>-1.0190594870633136E-2</c:v>
                </c:pt>
                <c:pt idx="44">
                  <c:v>-1.0404111709021426E-2</c:v>
                </c:pt>
                <c:pt idx="45">
                  <c:v>-1.2877427025045126E-2</c:v>
                </c:pt>
                <c:pt idx="46">
                  <c:v>-1.4495709578029526E-2</c:v>
                </c:pt>
                <c:pt idx="47">
                  <c:v>-1.4037340251226466E-2</c:v>
                </c:pt>
                <c:pt idx="48">
                  <c:v>-1.5389992037390863E-2</c:v>
                </c:pt>
                <c:pt idx="49">
                  <c:v>-1.1787826845598473E-2</c:v>
                </c:pt>
                <c:pt idx="50">
                  <c:v>-1.0911869421888173E-2</c:v>
                </c:pt>
                <c:pt idx="51">
                  <c:v>-9.9217261894517742E-3</c:v>
                </c:pt>
                <c:pt idx="52">
                  <c:v>-9.9217261894517742E-3</c:v>
                </c:pt>
                <c:pt idx="53">
                  <c:v>-9.9217261894517742E-3</c:v>
                </c:pt>
                <c:pt idx="54">
                  <c:v>-9.9217261894517742E-3</c:v>
                </c:pt>
                <c:pt idx="55">
                  <c:v>-9.9217261894517742E-3</c:v>
                </c:pt>
                <c:pt idx="56">
                  <c:v>-9.9217261894517742E-3</c:v>
                </c:pt>
                <c:pt idx="57">
                  <c:v>-9.9217261894517742E-3</c:v>
                </c:pt>
                <c:pt idx="58">
                  <c:v>-9.9217261894517742E-3</c:v>
                </c:pt>
                <c:pt idx="59">
                  <c:v>-9.9217261894517742E-3</c:v>
                </c:pt>
                <c:pt idx="60">
                  <c:v>-9.9217261894517742E-3</c:v>
                </c:pt>
                <c:pt idx="61">
                  <c:v>-9.9217261894517742E-3</c:v>
                </c:pt>
                <c:pt idx="62">
                  <c:v>-9.9217261894517742E-3</c:v>
                </c:pt>
                <c:pt idx="63">
                  <c:v>-9.9217261894517742E-3</c:v>
                </c:pt>
                <c:pt idx="64">
                  <c:v>-9.9217261894517742E-3</c:v>
                </c:pt>
                <c:pt idx="65">
                  <c:v>-9.9217261894517742E-3</c:v>
                </c:pt>
                <c:pt idx="66">
                  <c:v>-9.9217261894517742E-3</c:v>
                </c:pt>
                <c:pt idx="67">
                  <c:v>-9.9217261894517742E-3</c:v>
                </c:pt>
                <c:pt idx="68">
                  <c:v>-9.9217261894517742E-3</c:v>
                </c:pt>
                <c:pt idx="69">
                  <c:v>-9.9217261894517742E-3</c:v>
                </c:pt>
                <c:pt idx="70">
                  <c:v>-9.9217261894517742E-3</c:v>
                </c:pt>
                <c:pt idx="71">
                  <c:v>-9.9217261894517742E-3</c:v>
                </c:pt>
                <c:pt idx="72">
                  <c:v>-9.9217261894517742E-3</c:v>
                </c:pt>
                <c:pt idx="73">
                  <c:v>-9.9217261894517742E-3</c:v>
                </c:pt>
                <c:pt idx="74">
                  <c:v>-9.9217261894517742E-3</c:v>
                </c:pt>
                <c:pt idx="75">
                  <c:v>-9.9217261894517742E-3</c:v>
                </c:pt>
                <c:pt idx="76">
                  <c:v>-9.9217261894517742E-3</c:v>
                </c:pt>
                <c:pt idx="77">
                  <c:v>-9.9217261894517742E-3</c:v>
                </c:pt>
                <c:pt idx="78">
                  <c:v>-9.9217261894517742E-3</c:v>
                </c:pt>
                <c:pt idx="79">
                  <c:v>-9.9217261894517742E-3</c:v>
                </c:pt>
                <c:pt idx="80">
                  <c:v>-9.9217261894517742E-3</c:v>
                </c:pt>
                <c:pt idx="81">
                  <c:v>-9.9217261894517742E-3</c:v>
                </c:pt>
                <c:pt idx="82">
                  <c:v>-9.9217261894517742E-3</c:v>
                </c:pt>
                <c:pt idx="83">
                  <c:v>-9.9217261894517742E-3</c:v>
                </c:pt>
                <c:pt idx="84">
                  <c:v>-9.9217261894517742E-3</c:v>
                </c:pt>
                <c:pt idx="85">
                  <c:v>-9.9217261894517742E-3</c:v>
                </c:pt>
                <c:pt idx="86">
                  <c:v>-9.9217261894517742E-3</c:v>
                </c:pt>
                <c:pt idx="87">
                  <c:v>-9.9217261894517742E-3</c:v>
                </c:pt>
                <c:pt idx="88">
                  <c:v>-9.9217261894517742E-3</c:v>
                </c:pt>
                <c:pt idx="89">
                  <c:v>-9.9217261894517742E-3</c:v>
                </c:pt>
                <c:pt idx="90">
                  <c:v>-9.9217261894517742E-3</c:v>
                </c:pt>
                <c:pt idx="91">
                  <c:v>-9.9217261894517742E-3</c:v>
                </c:pt>
                <c:pt idx="92">
                  <c:v>-9.9217261894517742E-3</c:v>
                </c:pt>
                <c:pt idx="93">
                  <c:v>-9.9217261894517742E-3</c:v>
                </c:pt>
                <c:pt idx="94">
                  <c:v>-9.9217261894517742E-3</c:v>
                </c:pt>
                <c:pt idx="95">
                  <c:v>-9.9217261894517742E-3</c:v>
                </c:pt>
                <c:pt idx="96">
                  <c:v>-9.9217261894517742E-3</c:v>
                </c:pt>
                <c:pt idx="97">
                  <c:v>-9.9217261894517742E-3</c:v>
                </c:pt>
                <c:pt idx="98">
                  <c:v>-9.9217261894517742E-3</c:v>
                </c:pt>
                <c:pt idx="99">
                  <c:v>-9.9217261894517742E-3</c:v>
                </c:pt>
                <c:pt idx="100">
                  <c:v>-9.9217261894517742E-3</c:v>
                </c:pt>
                <c:pt idx="101">
                  <c:v>-9.9217261894517742E-3</c:v>
                </c:pt>
                <c:pt idx="102">
                  <c:v>-9.9217261894517742E-3</c:v>
                </c:pt>
                <c:pt idx="103">
                  <c:v>-9.9217261894517742E-3</c:v>
                </c:pt>
                <c:pt idx="104">
                  <c:v>-9.9217261894517742E-3</c:v>
                </c:pt>
                <c:pt idx="105">
                  <c:v>-9.9217261894517742E-3</c:v>
                </c:pt>
                <c:pt idx="106">
                  <c:v>-9.9217261894517742E-3</c:v>
                </c:pt>
                <c:pt idx="107">
                  <c:v>-9.9217261894517742E-3</c:v>
                </c:pt>
                <c:pt idx="108">
                  <c:v>-9.9217261894517742E-3</c:v>
                </c:pt>
                <c:pt idx="109">
                  <c:v>-9.9217261894517742E-3</c:v>
                </c:pt>
                <c:pt idx="110">
                  <c:v>-9.9217261894517742E-3</c:v>
                </c:pt>
                <c:pt idx="111">
                  <c:v>-9.9217261894517742E-3</c:v>
                </c:pt>
                <c:pt idx="112">
                  <c:v>-9.9217261894517742E-3</c:v>
                </c:pt>
                <c:pt idx="113">
                  <c:v>-9.9217261894517742E-3</c:v>
                </c:pt>
                <c:pt idx="114">
                  <c:v>-9.9217261894517742E-3</c:v>
                </c:pt>
                <c:pt idx="115">
                  <c:v>-9.9217261894517742E-3</c:v>
                </c:pt>
                <c:pt idx="116">
                  <c:v>-9.9217261894517742E-3</c:v>
                </c:pt>
                <c:pt idx="117">
                  <c:v>-9.9217261894517742E-3</c:v>
                </c:pt>
                <c:pt idx="118">
                  <c:v>-9.9217261894517742E-3</c:v>
                </c:pt>
                <c:pt idx="119">
                  <c:v>-9.9217261894517742E-3</c:v>
                </c:pt>
                <c:pt idx="120">
                  <c:v>-9.9217261894517742E-3</c:v>
                </c:pt>
                <c:pt idx="121">
                  <c:v>-9.9217261894517742E-3</c:v>
                </c:pt>
                <c:pt idx="122">
                  <c:v>-9.9217261894517742E-3</c:v>
                </c:pt>
                <c:pt idx="123">
                  <c:v>-9.9217261894517742E-3</c:v>
                </c:pt>
                <c:pt idx="124">
                  <c:v>-9.9217261894517742E-3</c:v>
                </c:pt>
                <c:pt idx="125">
                  <c:v>-9.9217261894517742E-3</c:v>
                </c:pt>
                <c:pt idx="126">
                  <c:v>-9.9217261894517742E-3</c:v>
                </c:pt>
                <c:pt idx="127">
                  <c:v>-9.9217261894517742E-3</c:v>
                </c:pt>
                <c:pt idx="128">
                  <c:v>-9.9217261894517742E-3</c:v>
                </c:pt>
                <c:pt idx="129">
                  <c:v>-9.9217261894517742E-3</c:v>
                </c:pt>
                <c:pt idx="130">
                  <c:v>-9.9217261894517742E-3</c:v>
                </c:pt>
                <c:pt idx="131">
                  <c:v>-9.9217261894517742E-3</c:v>
                </c:pt>
                <c:pt idx="132">
                  <c:v>-9.9217261894517742E-3</c:v>
                </c:pt>
                <c:pt idx="133">
                  <c:v>-9.9217261894517742E-3</c:v>
                </c:pt>
                <c:pt idx="134">
                  <c:v>-9.9217261894517742E-3</c:v>
                </c:pt>
                <c:pt idx="135">
                  <c:v>-9.9217261894517742E-3</c:v>
                </c:pt>
                <c:pt idx="136">
                  <c:v>-9.9217261894517742E-3</c:v>
                </c:pt>
                <c:pt idx="137">
                  <c:v>-9.9217261894517742E-3</c:v>
                </c:pt>
                <c:pt idx="138">
                  <c:v>-9.9217261894517742E-3</c:v>
                </c:pt>
                <c:pt idx="139">
                  <c:v>-9.9217261894517742E-3</c:v>
                </c:pt>
                <c:pt idx="140">
                  <c:v>-9.9217261894517742E-3</c:v>
                </c:pt>
                <c:pt idx="141">
                  <c:v>-9.9217261894517742E-3</c:v>
                </c:pt>
                <c:pt idx="142">
                  <c:v>-9.9217261894517742E-3</c:v>
                </c:pt>
                <c:pt idx="143">
                  <c:v>-9.9217261894517742E-3</c:v>
                </c:pt>
                <c:pt idx="144">
                  <c:v>-9.9217261894517742E-3</c:v>
                </c:pt>
                <c:pt idx="145">
                  <c:v>-9.9217261894517742E-3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6-43B4-819F-F74E8B365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NWS_NWSA_0!$O$1</c:f>
              <c:strCache>
                <c:ptCount val="1"/>
                <c:pt idx="0">
                  <c:v> NWSA/NWS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NWS_NWSA_0!$O$2:$O$167</c:f>
              <c:numCache>
                <c:formatCode>_(* #,##0.0000_);_(* \(#,##0.0000\);_(* "-"??_);_(@_)</c:formatCode>
                <c:ptCount val="166"/>
                <c:pt idx="0">
                  <c:v>0.87815704628300895</c:v>
                </c:pt>
                <c:pt idx="1">
                  <c:v>0.87815704628300895</c:v>
                </c:pt>
                <c:pt idx="2">
                  <c:v>0.87815704628300895</c:v>
                </c:pt>
                <c:pt idx="3">
                  <c:v>0.87815704628300895</c:v>
                </c:pt>
                <c:pt idx="4">
                  <c:v>0.87815704628300895</c:v>
                </c:pt>
                <c:pt idx="5">
                  <c:v>0.87815704628300895</c:v>
                </c:pt>
                <c:pt idx="6">
                  <c:v>0.87815704628300895</c:v>
                </c:pt>
                <c:pt idx="7">
                  <c:v>0.87815704628300895</c:v>
                </c:pt>
                <c:pt idx="8">
                  <c:v>0.87815704628300895</c:v>
                </c:pt>
                <c:pt idx="9">
                  <c:v>0.87815704628300895</c:v>
                </c:pt>
                <c:pt idx="10">
                  <c:v>0.87815704628300895</c:v>
                </c:pt>
                <c:pt idx="11">
                  <c:v>0.87815704628300895</c:v>
                </c:pt>
                <c:pt idx="12">
                  <c:v>0.87815704628300895</c:v>
                </c:pt>
                <c:pt idx="13">
                  <c:v>0.87815704628300895</c:v>
                </c:pt>
                <c:pt idx="14">
                  <c:v>0.87815704628300895</c:v>
                </c:pt>
                <c:pt idx="15">
                  <c:v>0.87815704628300895</c:v>
                </c:pt>
                <c:pt idx="16">
                  <c:v>0.87815704628300895</c:v>
                </c:pt>
                <c:pt idx="17">
                  <c:v>0.87815704628300895</c:v>
                </c:pt>
                <c:pt idx="18">
                  <c:v>0.87815704628300895</c:v>
                </c:pt>
                <c:pt idx="19">
                  <c:v>0.87815704628300895</c:v>
                </c:pt>
                <c:pt idx="20">
                  <c:v>0.87815704628300895</c:v>
                </c:pt>
                <c:pt idx="21">
                  <c:v>0.87815704628300895</c:v>
                </c:pt>
                <c:pt idx="22">
                  <c:v>0.87815704628300895</c:v>
                </c:pt>
                <c:pt idx="23">
                  <c:v>0.87815704628300895</c:v>
                </c:pt>
                <c:pt idx="24">
                  <c:v>0.87815704628300895</c:v>
                </c:pt>
                <c:pt idx="25">
                  <c:v>0.87815704628300895</c:v>
                </c:pt>
                <c:pt idx="26">
                  <c:v>0.87815704628300895</c:v>
                </c:pt>
                <c:pt idx="27">
                  <c:v>0.87815704628300895</c:v>
                </c:pt>
                <c:pt idx="28">
                  <c:v>0.87815704628300895</c:v>
                </c:pt>
                <c:pt idx="29">
                  <c:v>0.87815704628300895</c:v>
                </c:pt>
                <c:pt idx="30">
                  <c:v>0.87815704628300895</c:v>
                </c:pt>
                <c:pt idx="31">
                  <c:v>0.87815704628300895</c:v>
                </c:pt>
                <c:pt idx="32">
                  <c:v>0.87815704628300895</c:v>
                </c:pt>
                <c:pt idx="33">
                  <c:v>0.87815704628300895</c:v>
                </c:pt>
                <c:pt idx="34">
                  <c:v>0.87815704628300895</c:v>
                </c:pt>
                <c:pt idx="35">
                  <c:v>0.87815704628300895</c:v>
                </c:pt>
                <c:pt idx="36">
                  <c:v>0.87815704628300895</c:v>
                </c:pt>
                <c:pt idx="37">
                  <c:v>0.87815704628300895</c:v>
                </c:pt>
                <c:pt idx="38">
                  <c:v>0.87815704628300895</c:v>
                </c:pt>
                <c:pt idx="39">
                  <c:v>0.87815704628300895</c:v>
                </c:pt>
                <c:pt idx="40">
                  <c:v>0.87815704628300895</c:v>
                </c:pt>
                <c:pt idx="41">
                  <c:v>0.87815704628300895</c:v>
                </c:pt>
                <c:pt idx="42">
                  <c:v>0.87815704628300895</c:v>
                </c:pt>
                <c:pt idx="43">
                  <c:v>0.87815704628300895</c:v>
                </c:pt>
                <c:pt idx="44">
                  <c:v>0.87815704628300895</c:v>
                </c:pt>
                <c:pt idx="45">
                  <c:v>0.87815704628300895</c:v>
                </c:pt>
                <c:pt idx="46">
                  <c:v>0.87815704628300895</c:v>
                </c:pt>
                <c:pt idx="47">
                  <c:v>0.87815704628300895</c:v>
                </c:pt>
                <c:pt idx="48">
                  <c:v>0.87815704628300895</c:v>
                </c:pt>
                <c:pt idx="49">
                  <c:v>0.87815704628300895</c:v>
                </c:pt>
                <c:pt idx="50">
                  <c:v>0.87815704628300895</c:v>
                </c:pt>
                <c:pt idx="51">
                  <c:v>0.87815704628300895</c:v>
                </c:pt>
                <c:pt idx="52">
                  <c:v>0.87815704628300895</c:v>
                </c:pt>
                <c:pt idx="53">
                  <c:v>0.87815704628300895</c:v>
                </c:pt>
                <c:pt idx="54">
                  <c:v>0.87815704628300895</c:v>
                </c:pt>
                <c:pt idx="55">
                  <c:v>0.87815704628300895</c:v>
                </c:pt>
                <c:pt idx="56">
                  <c:v>0.87815704628300895</c:v>
                </c:pt>
                <c:pt idx="57">
                  <c:v>0.87815704628300895</c:v>
                </c:pt>
                <c:pt idx="58">
                  <c:v>0.87815704628300895</c:v>
                </c:pt>
                <c:pt idx="59">
                  <c:v>0.87815704628300895</c:v>
                </c:pt>
                <c:pt idx="60">
                  <c:v>0.87815704628300895</c:v>
                </c:pt>
                <c:pt idx="61">
                  <c:v>0.87815704628300895</c:v>
                </c:pt>
                <c:pt idx="62">
                  <c:v>0.87815704628300895</c:v>
                </c:pt>
                <c:pt idx="63">
                  <c:v>0.87815704628300895</c:v>
                </c:pt>
                <c:pt idx="64">
                  <c:v>0.87815704628300895</c:v>
                </c:pt>
                <c:pt idx="65">
                  <c:v>0.87815704628300895</c:v>
                </c:pt>
                <c:pt idx="66">
                  <c:v>0.87815704628300895</c:v>
                </c:pt>
                <c:pt idx="67">
                  <c:v>0.87815704628300895</c:v>
                </c:pt>
                <c:pt idx="68">
                  <c:v>0.87815704628300895</c:v>
                </c:pt>
                <c:pt idx="69">
                  <c:v>0.87815704628300895</c:v>
                </c:pt>
                <c:pt idx="70">
                  <c:v>0.87815704628300895</c:v>
                </c:pt>
                <c:pt idx="71">
                  <c:v>0.87815704628300895</c:v>
                </c:pt>
                <c:pt idx="72">
                  <c:v>0.87815704628300895</c:v>
                </c:pt>
                <c:pt idx="73">
                  <c:v>0.87815704628300895</c:v>
                </c:pt>
                <c:pt idx="74">
                  <c:v>0.87815704628300895</c:v>
                </c:pt>
                <c:pt idx="75">
                  <c:v>0.87815704628300895</c:v>
                </c:pt>
                <c:pt idx="76">
                  <c:v>0.87815704628300895</c:v>
                </c:pt>
                <c:pt idx="77">
                  <c:v>0.87815704628300895</c:v>
                </c:pt>
                <c:pt idx="78">
                  <c:v>0.87815704628300895</c:v>
                </c:pt>
                <c:pt idx="79">
                  <c:v>0.87815704628300895</c:v>
                </c:pt>
                <c:pt idx="80">
                  <c:v>0.87815704628300895</c:v>
                </c:pt>
                <c:pt idx="81">
                  <c:v>0.87815704628300895</c:v>
                </c:pt>
                <c:pt idx="82">
                  <c:v>0.87815704628300895</c:v>
                </c:pt>
                <c:pt idx="83">
                  <c:v>0.87815704628300895</c:v>
                </c:pt>
                <c:pt idx="84">
                  <c:v>0.87815704628300895</c:v>
                </c:pt>
                <c:pt idx="85">
                  <c:v>0.87815704628300895</c:v>
                </c:pt>
                <c:pt idx="86">
                  <c:v>0.87815704628300895</c:v>
                </c:pt>
                <c:pt idx="87">
                  <c:v>0.87815704628300895</c:v>
                </c:pt>
                <c:pt idx="88">
                  <c:v>0.87815704628300895</c:v>
                </c:pt>
                <c:pt idx="89">
                  <c:v>0.87815704628300895</c:v>
                </c:pt>
                <c:pt idx="90">
                  <c:v>0.87815704628300895</c:v>
                </c:pt>
                <c:pt idx="91">
                  <c:v>0.87815704628300895</c:v>
                </c:pt>
                <c:pt idx="92">
                  <c:v>0.87815704628300895</c:v>
                </c:pt>
                <c:pt idx="93">
                  <c:v>0.87815704628300895</c:v>
                </c:pt>
                <c:pt idx="94">
                  <c:v>0.87815704628300895</c:v>
                </c:pt>
                <c:pt idx="95">
                  <c:v>0.87815704628300895</c:v>
                </c:pt>
                <c:pt idx="96">
                  <c:v>0.87815704628300895</c:v>
                </c:pt>
                <c:pt idx="97">
                  <c:v>0.87815704628300895</c:v>
                </c:pt>
                <c:pt idx="98">
                  <c:v>0.87815704628300895</c:v>
                </c:pt>
                <c:pt idx="99">
                  <c:v>0.87815704628300895</c:v>
                </c:pt>
                <c:pt idx="100">
                  <c:v>0.87815704628300895</c:v>
                </c:pt>
                <c:pt idx="101">
                  <c:v>0.87815704628300895</c:v>
                </c:pt>
                <c:pt idx="102">
                  <c:v>0.87815704628300895</c:v>
                </c:pt>
                <c:pt idx="103">
                  <c:v>0.87815704628300895</c:v>
                </c:pt>
                <c:pt idx="104">
                  <c:v>0.87815704628300895</c:v>
                </c:pt>
                <c:pt idx="105">
                  <c:v>0.87815704628300895</c:v>
                </c:pt>
                <c:pt idx="106">
                  <c:v>0.87815704628300895</c:v>
                </c:pt>
                <c:pt idx="107">
                  <c:v>0.87815704628300895</c:v>
                </c:pt>
                <c:pt idx="108">
                  <c:v>0.87815704628300895</c:v>
                </c:pt>
                <c:pt idx="109">
                  <c:v>0.87815704628300895</c:v>
                </c:pt>
                <c:pt idx="110">
                  <c:v>0.87815704628300895</c:v>
                </c:pt>
                <c:pt idx="111">
                  <c:v>0.87815704628300895</c:v>
                </c:pt>
                <c:pt idx="112">
                  <c:v>0.87815704628300895</c:v>
                </c:pt>
                <c:pt idx="113">
                  <c:v>0.87815704628300895</c:v>
                </c:pt>
                <c:pt idx="114">
                  <c:v>0.87815704628300895</c:v>
                </c:pt>
                <c:pt idx="115">
                  <c:v>0.87815704628300895</c:v>
                </c:pt>
                <c:pt idx="116">
                  <c:v>0.87815704628300895</c:v>
                </c:pt>
                <c:pt idx="117">
                  <c:v>0.87815704628300895</c:v>
                </c:pt>
                <c:pt idx="118">
                  <c:v>0.87815704628300895</c:v>
                </c:pt>
                <c:pt idx="119">
                  <c:v>0.87815704628300895</c:v>
                </c:pt>
                <c:pt idx="120">
                  <c:v>0.87815704628300895</c:v>
                </c:pt>
                <c:pt idx="121">
                  <c:v>0.87815704628300895</c:v>
                </c:pt>
                <c:pt idx="122">
                  <c:v>0.87815704628300895</c:v>
                </c:pt>
                <c:pt idx="123">
                  <c:v>0.87815704628300895</c:v>
                </c:pt>
                <c:pt idx="124">
                  <c:v>0.87815704628300895</c:v>
                </c:pt>
                <c:pt idx="125">
                  <c:v>0.87815704628300895</c:v>
                </c:pt>
                <c:pt idx="126">
                  <c:v>0.87815704628300895</c:v>
                </c:pt>
                <c:pt idx="127">
                  <c:v>0.87815704628300895</c:v>
                </c:pt>
                <c:pt idx="128">
                  <c:v>0.87815704628300895</c:v>
                </c:pt>
                <c:pt idx="129">
                  <c:v>0.87815704628300895</c:v>
                </c:pt>
                <c:pt idx="130">
                  <c:v>0.87815704628300895</c:v>
                </c:pt>
                <c:pt idx="131">
                  <c:v>0.87815704628300895</c:v>
                </c:pt>
                <c:pt idx="132">
                  <c:v>0.87815704628300895</c:v>
                </c:pt>
                <c:pt idx="133">
                  <c:v>0.87815704628300895</c:v>
                </c:pt>
                <c:pt idx="134">
                  <c:v>0.87815704628300895</c:v>
                </c:pt>
                <c:pt idx="135">
                  <c:v>0.87815704628300895</c:v>
                </c:pt>
                <c:pt idx="136">
                  <c:v>0.87815704628300895</c:v>
                </c:pt>
                <c:pt idx="137">
                  <c:v>0.87815704628300895</c:v>
                </c:pt>
                <c:pt idx="138">
                  <c:v>0.87815704628300895</c:v>
                </c:pt>
                <c:pt idx="139">
                  <c:v>0.87815704628300895</c:v>
                </c:pt>
                <c:pt idx="140">
                  <c:v>0.87815704628300895</c:v>
                </c:pt>
                <c:pt idx="141">
                  <c:v>0.87815704628300895</c:v>
                </c:pt>
                <c:pt idx="142">
                  <c:v>0.87815704628300895</c:v>
                </c:pt>
                <c:pt idx="143">
                  <c:v>0.87815704628300895</c:v>
                </c:pt>
                <c:pt idx="144">
                  <c:v>0.87815704628300895</c:v>
                </c:pt>
                <c:pt idx="145">
                  <c:v>0.87815704628300895</c:v>
                </c:pt>
                <c:pt idx="146">
                  <c:v>0.87815704628300895</c:v>
                </c:pt>
                <c:pt idx="147">
                  <c:v>0.87815704628300895</c:v>
                </c:pt>
                <c:pt idx="148">
                  <c:v>0.87815704628300895</c:v>
                </c:pt>
                <c:pt idx="149">
                  <c:v>0.87815704628300895</c:v>
                </c:pt>
                <c:pt idx="150">
                  <c:v>0.87815704628300895</c:v>
                </c:pt>
                <c:pt idx="151">
                  <c:v>0.87815704628300895</c:v>
                </c:pt>
                <c:pt idx="152">
                  <c:v>0.87815704628300895</c:v>
                </c:pt>
                <c:pt idx="153">
                  <c:v>0.87815704628300895</c:v>
                </c:pt>
                <c:pt idx="154">
                  <c:v>0.87815704628300895</c:v>
                </c:pt>
                <c:pt idx="155">
                  <c:v>0.87815704628300895</c:v>
                </c:pt>
                <c:pt idx="156">
                  <c:v>0.87815704628300895</c:v>
                </c:pt>
                <c:pt idx="157">
                  <c:v>0.87815704628300895</c:v>
                </c:pt>
                <c:pt idx="158">
                  <c:v>0.87815704628300895</c:v>
                </c:pt>
                <c:pt idx="159">
                  <c:v>0.87815704628300895</c:v>
                </c:pt>
                <c:pt idx="160">
                  <c:v>0.87815704628300895</c:v>
                </c:pt>
                <c:pt idx="161">
                  <c:v>0.87815704628300895</c:v>
                </c:pt>
                <c:pt idx="162">
                  <c:v>0.87815704628300895</c:v>
                </c:pt>
                <c:pt idx="163">
                  <c:v>0.87815704628300895</c:v>
                </c:pt>
                <c:pt idx="164">
                  <c:v>0.87815704628300895</c:v>
                </c:pt>
                <c:pt idx="165">
                  <c:v>0.87815704628300895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B-4E91-A4A6-74F5CA392756}"/>
            </c:ext>
          </c:extLst>
        </c:ser>
        <c:ser>
          <c:idx val="1"/>
          <c:order val="1"/>
          <c:tx>
            <c:strRef>
              <c:f>NWS_NWSA_0!$P$1</c:f>
              <c:strCache>
                <c:ptCount val="1"/>
                <c:pt idx="0">
                  <c:v> NWSA/NWS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NWS_NWSA_0!$P$2:$P$167</c:f>
              <c:numCache>
                <c:formatCode>_(* #,##0.0000_);_(* \(#,##0.0000\);_(* "-"??_);_(@_)</c:formatCode>
                <c:ptCount val="166"/>
                <c:pt idx="9">
                  <c:v>0.87440397331928599</c:v>
                </c:pt>
                <c:pt idx="10">
                  <c:v>0.87309176714923498</c:v>
                </c:pt>
                <c:pt idx="11">
                  <c:v>0.87147520101708498</c:v>
                </c:pt>
                <c:pt idx="12">
                  <c:v>0.86994838956215603</c:v>
                </c:pt>
                <c:pt idx="13">
                  <c:v>0.86871813801965303</c:v>
                </c:pt>
                <c:pt idx="14">
                  <c:v>0.86757911353092398</c:v>
                </c:pt>
                <c:pt idx="15">
                  <c:v>0.86667631780811705</c:v>
                </c:pt>
                <c:pt idx="16">
                  <c:v>0.86607367274422298</c:v>
                </c:pt>
                <c:pt idx="17">
                  <c:v>0.86594299649463102</c:v>
                </c:pt>
                <c:pt idx="18">
                  <c:v>0.86610579891897599</c:v>
                </c:pt>
                <c:pt idx="19">
                  <c:v>0.86604829815963102</c:v>
                </c:pt>
                <c:pt idx="20">
                  <c:v>0.86607644789354998</c:v>
                </c:pt>
                <c:pt idx="21">
                  <c:v>0.86682087434604604</c:v>
                </c:pt>
                <c:pt idx="22">
                  <c:v>0.86833675747259698</c:v>
                </c:pt>
                <c:pt idx="23">
                  <c:v>0.87036157579420104</c:v>
                </c:pt>
                <c:pt idx="24">
                  <c:v>0.87181077757679304</c:v>
                </c:pt>
                <c:pt idx="25">
                  <c:v>0.87162718563406805</c:v>
                </c:pt>
                <c:pt idx="26">
                  <c:v>0.87190461372592798</c:v>
                </c:pt>
                <c:pt idx="27">
                  <c:v>0.87180887725831802</c:v>
                </c:pt>
                <c:pt idx="28">
                  <c:v>0.87164919862207602</c:v>
                </c:pt>
                <c:pt idx="29">
                  <c:v>0.87212063072694901</c:v>
                </c:pt>
                <c:pt idx="30">
                  <c:v>0.87353811895473898</c:v>
                </c:pt>
                <c:pt idx="31">
                  <c:v>0.87566912252875395</c:v>
                </c:pt>
                <c:pt idx="32">
                  <c:v>0.87696742310111098</c:v>
                </c:pt>
                <c:pt idx="33">
                  <c:v>0.87765471257745498</c:v>
                </c:pt>
                <c:pt idx="34">
                  <c:v>0.87894470225753796</c:v>
                </c:pt>
                <c:pt idx="35">
                  <c:v>0.88139898038196596</c:v>
                </c:pt>
                <c:pt idx="36">
                  <c:v>0.88450216796316705</c:v>
                </c:pt>
                <c:pt idx="37">
                  <c:v>0.88800555199877496</c:v>
                </c:pt>
                <c:pt idx="38">
                  <c:v>0.89141216702598502</c:v>
                </c:pt>
                <c:pt idx="39">
                  <c:v>0.89478862699161599</c:v>
                </c:pt>
                <c:pt idx="40">
                  <c:v>0.897489267352926</c:v>
                </c:pt>
                <c:pt idx="41">
                  <c:v>0.89867215070898498</c:v>
                </c:pt>
                <c:pt idx="42">
                  <c:v>0.89960400810537999</c:v>
                </c:pt>
                <c:pt idx="43">
                  <c:v>0.89940766172534703</c:v>
                </c:pt>
                <c:pt idx="44">
                  <c:v>0.89895846041098204</c:v>
                </c:pt>
                <c:pt idx="45">
                  <c:v>0.89822223930311695</c:v>
                </c:pt>
                <c:pt idx="46">
                  <c:v>0.89679827262646405</c:v>
                </c:pt>
                <c:pt idx="47">
                  <c:v>0.89497069992037004</c:v>
                </c:pt>
                <c:pt idx="48">
                  <c:v>0.89283370591172295</c:v>
                </c:pt>
                <c:pt idx="49">
                  <c:v>0.89052292295913804</c:v>
                </c:pt>
                <c:pt idx="50">
                  <c:v>0.88864386469967804</c:v>
                </c:pt>
                <c:pt idx="51">
                  <c:v>0.88688853248349897</c:v>
                </c:pt>
                <c:pt idx="52">
                  <c:v>0.88461107793447702</c:v>
                </c:pt>
                <c:pt idx="53">
                  <c:v>0.88353598003714395</c:v>
                </c:pt>
                <c:pt idx="54">
                  <c:v>0.88332257951466897</c:v>
                </c:pt>
                <c:pt idx="55">
                  <c:v>0.88326420755289803</c:v>
                </c:pt>
                <c:pt idx="56">
                  <c:v>0.88286046476275604</c:v>
                </c:pt>
                <c:pt idx="57">
                  <c:v>0.88247142920985699</c:v>
                </c:pt>
                <c:pt idx="58">
                  <c:v>0.88113202751521202</c:v>
                </c:pt>
                <c:pt idx="59">
                  <c:v>0.88018173511755105</c:v>
                </c:pt>
                <c:pt idx="60">
                  <c:v>0.87869525273541704</c:v>
                </c:pt>
                <c:pt idx="61">
                  <c:v>0.87819661578917796</c:v>
                </c:pt>
                <c:pt idx="62">
                  <c:v>0.87714971382913098</c:v>
                </c:pt>
                <c:pt idx="63">
                  <c:v>0.87630201210928405</c:v>
                </c:pt>
                <c:pt idx="64">
                  <c:v>0.874894827799787</c:v>
                </c:pt>
                <c:pt idx="65">
                  <c:v>0.87339726246396798</c:v>
                </c:pt>
                <c:pt idx="66">
                  <c:v>0.87201511492122696</c:v>
                </c:pt>
                <c:pt idx="67">
                  <c:v>0.87058124251783697</c:v>
                </c:pt>
                <c:pt idx="68">
                  <c:v>0.86986273243958701</c:v>
                </c:pt>
                <c:pt idx="69">
                  <c:v>0.86918201790611505</c:v>
                </c:pt>
                <c:pt idx="70">
                  <c:v>0.86863438423299699</c:v>
                </c:pt>
                <c:pt idx="71">
                  <c:v>0.86783608315379901</c:v>
                </c:pt>
                <c:pt idx="72">
                  <c:v>0.86784998761742904</c:v>
                </c:pt>
                <c:pt idx="73">
                  <c:v>0.86751633708613396</c:v>
                </c:pt>
                <c:pt idx="74">
                  <c:v>0.86742759138829995</c:v>
                </c:pt>
                <c:pt idx="75">
                  <c:v>0.86739771282945299</c:v>
                </c:pt>
                <c:pt idx="76">
                  <c:v>0.86735925841877803</c:v>
                </c:pt>
                <c:pt idx="77">
                  <c:v>0.86737526623733396</c:v>
                </c:pt>
                <c:pt idx="78">
                  <c:v>0.86731660076055395</c:v>
                </c:pt>
                <c:pt idx="79">
                  <c:v>0.86729227216197502</c:v>
                </c:pt>
                <c:pt idx="80">
                  <c:v>0.86714070503270602</c:v>
                </c:pt>
                <c:pt idx="81">
                  <c:v>0.86651096081650103</c:v>
                </c:pt>
                <c:pt idx="82">
                  <c:v>0.86598261193611303</c:v>
                </c:pt>
                <c:pt idx="83">
                  <c:v>0.86587731034672299</c:v>
                </c:pt>
                <c:pt idx="84">
                  <c:v>0.86561607094321003</c:v>
                </c:pt>
                <c:pt idx="85">
                  <c:v>0.86559008280757399</c:v>
                </c:pt>
                <c:pt idx="86">
                  <c:v>0.866693949138718</c:v>
                </c:pt>
                <c:pt idx="87">
                  <c:v>0.86635204474858596</c:v>
                </c:pt>
                <c:pt idx="88">
                  <c:v>0.86655743339130198</c:v>
                </c:pt>
                <c:pt idx="89">
                  <c:v>0.86703639957498002</c:v>
                </c:pt>
                <c:pt idx="90">
                  <c:v>0.86718959922586902</c:v>
                </c:pt>
                <c:pt idx="91">
                  <c:v>0.86810518042316598</c:v>
                </c:pt>
                <c:pt idx="92">
                  <c:v>0.86897312129933801</c:v>
                </c:pt>
                <c:pt idx="93">
                  <c:v>0.86935443664759704</c:v>
                </c:pt>
                <c:pt idx="94">
                  <c:v>0.86991204716985004</c:v>
                </c:pt>
                <c:pt idx="95">
                  <c:v>0.87001085195605099</c:v>
                </c:pt>
                <c:pt idx="96">
                  <c:v>0.86966146490822205</c:v>
                </c:pt>
                <c:pt idx="97">
                  <c:v>0.87059361587916695</c:v>
                </c:pt>
                <c:pt idx="98">
                  <c:v>0.87141891395107896</c:v>
                </c:pt>
                <c:pt idx="99">
                  <c:v>0.87147679267168598</c:v>
                </c:pt>
                <c:pt idx="100">
                  <c:v>0.87198915194799698</c:v>
                </c:pt>
                <c:pt idx="101">
                  <c:v>0.872247015619387</c:v>
                </c:pt>
                <c:pt idx="102">
                  <c:v>0.87244499392594499</c:v>
                </c:pt>
                <c:pt idx="103">
                  <c:v>0.87305284752110202</c:v>
                </c:pt>
                <c:pt idx="104">
                  <c:v>0.87326319852338496</c:v>
                </c:pt>
                <c:pt idx="105">
                  <c:v>0.87369500193764404</c:v>
                </c:pt>
                <c:pt idx="106">
                  <c:v>0.87379427765340101</c:v>
                </c:pt>
                <c:pt idx="107">
                  <c:v>0.87376974917778505</c:v>
                </c:pt>
                <c:pt idx="108">
                  <c:v>0.87386305772916895</c:v>
                </c:pt>
                <c:pt idx="109">
                  <c:v>0.87381280935499295</c:v>
                </c:pt>
                <c:pt idx="110">
                  <c:v>0.87369186563517298</c:v>
                </c:pt>
                <c:pt idx="111">
                  <c:v>0.87393158144197503</c:v>
                </c:pt>
                <c:pt idx="112">
                  <c:v>0.87444150466376303</c:v>
                </c:pt>
                <c:pt idx="113">
                  <c:v>0.87468279802037396</c:v>
                </c:pt>
                <c:pt idx="114">
                  <c:v>0.87509559008809601</c:v>
                </c:pt>
                <c:pt idx="115">
                  <c:v>0.87582654468876797</c:v>
                </c:pt>
                <c:pt idx="116">
                  <c:v>0.87657143619851896</c:v>
                </c:pt>
                <c:pt idx="117">
                  <c:v>0.87763405768986003</c:v>
                </c:pt>
                <c:pt idx="118">
                  <c:v>0.87849484543286005</c:v>
                </c:pt>
                <c:pt idx="119">
                  <c:v>0.87953368723593095</c:v>
                </c:pt>
                <c:pt idx="120">
                  <c:v>0.88068940542612895</c:v>
                </c:pt>
                <c:pt idx="121">
                  <c:v>0.88140089598184501</c:v>
                </c:pt>
                <c:pt idx="122">
                  <c:v>0.882026600363786</c:v>
                </c:pt>
                <c:pt idx="123">
                  <c:v>0.88241377551238198</c:v>
                </c:pt>
                <c:pt idx="124">
                  <c:v>0.88294314064151502</c:v>
                </c:pt>
                <c:pt idx="125">
                  <c:v>0.88375354529927996</c:v>
                </c:pt>
                <c:pt idx="126">
                  <c:v>0.88395804208930195</c:v>
                </c:pt>
                <c:pt idx="127">
                  <c:v>0.88446025497215397</c:v>
                </c:pt>
                <c:pt idx="128">
                  <c:v>0.88433412605245498</c:v>
                </c:pt>
                <c:pt idx="129">
                  <c:v>0.88450386987492702</c:v>
                </c:pt>
                <c:pt idx="130">
                  <c:v>0.88434372081617996</c:v>
                </c:pt>
                <c:pt idx="131">
                  <c:v>0.88447089484838903</c:v>
                </c:pt>
                <c:pt idx="132">
                  <c:v>0.88435844291905596</c:v>
                </c:pt>
                <c:pt idx="133">
                  <c:v>0.88439009889539599</c:v>
                </c:pt>
                <c:pt idx="134">
                  <c:v>0.88378324572918199</c:v>
                </c:pt>
                <c:pt idx="135">
                  <c:v>0.882872272789895</c:v>
                </c:pt>
                <c:pt idx="136">
                  <c:v>0.88273198426094601</c:v>
                </c:pt>
                <c:pt idx="137">
                  <c:v>0.882297245989487</c:v>
                </c:pt>
                <c:pt idx="138">
                  <c:v>0.88249434840899599</c:v>
                </c:pt>
                <c:pt idx="139">
                  <c:v>0.88264283144567901</c:v>
                </c:pt>
                <c:pt idx="140">
                  <c:v>0.88261887132717798</c:v>
                </c:pt>
                <c:pt idx="141">
                  <c:v>0.882603834211236</c:v>
                </c:pt>
                <c:pt idx="142">
                  <c:v>0.88252390252283097</c:v>
                </c:pt>
                <c:pt idx="143">
                  <c:v>0.882688827743073</c:v>
                </c:pt>
                <c:pt idx="144">
                  <c:v>0.88313163873022305</c:v>
                </c:pt>
                <c:pt idx="145">
                  <c:v>0.88319104558553696</c:v>
                </c:pt>
                <c:pt idx="146">
                  <c:v>0.88235988879531002</c:v>
                </c:pt>
                <c:pt idx="147">
                  <c:v>0.88173892482462102</c:v>
                </c:pt>
                <c:pt idx="148">
                  <c:v>0.88083436884811195</c:v>
                </c:pt>
                <c:pt idx="149">
                  <c:v>0.88008480688027702</c:v>
                </c:pt>
                <c:pt idx="150">
                  <c:v>0.87948631946859401</c:v>
                </c:pt>
                <c:pt idx="151">
                  <c:v>0.87853174019101699</c:v>
                </c:pt>
                <c:pt idx="152">
                  <c:v>0.87796466972758103</c:v>
                </c:pt>
                <c:pt idx="153">
                  <c:v>0.87751472540123199</c:v>
                </c:pt>
                <c:pt idx="154">
                  <c:v>0.877289894918306</c:v>
                </c:pt>
                <c:pt idx="155">
                  <c:v>0.87722191899152602</c:v>
                </c:pt>
                <c:pt idx="156">
                  <c:v>0.87760170794432801</c:v>
                </c:pt>
                <c:pt idx="157">
                  <c:v>0.87771843849156905</c:v>
                </c:pt>
                <c:pt idx="158">
                  <c:v>0.87789262345644103</c:v>
                </c:pt>
                <c:pt idx="159">
                  <c:v>0.87793409881985196</c:v>
                </c:pt>
                <c:pt idx="160">
                  <c:v>0.87803290272636003</c:v>
                </c:pt>
                <c:pt idx="161">
                  <c:v>0.87836484841715701</c:v>
                </c:pt>
                <c:pt idx="162">
                  <c:v>0.87849006080932901</c:v>
                </c:pt>
                <c:pt idx="163">
                  <c:v>0.87891358006961495</c:v>
                </c:pt>
                <c:pt idx="164">
                  <c:v>0.87986938835085304</c:v>
                </c:pt>
                <c:pt idx="165">
                  <c:v>0.88129540274918905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B-4E91-A4A6-74F5CA392756}"/>
            </c:ext>
          </c:extLst>
        </c:ser>
        <c:ser>
          <c:idx val="2"/>
          <c:order val="2"/>
          <c:tx>
            <c:strRef>
              <c:f>NWS_NWSA_0!$Q$1</c:f>
              <c:strCache>
                <c:ptCount val="1"/>
                <c:pt idx="0">
                  <c:v> NWSA/NWS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NWS_NWSA_0!$Q$2:$Q$167</c:f>
              <c:numCache>
                <c:formatCode>_(* #,##0.0000_);_(* \(#,##0.0000\);_(* "-"??_);_(@_)</c:formatCode>
                <c:ptCount val="166"/>
                <c:pt idx="19">
                  <c:v>0.87022613573945795</c:v>
                </c:pt>
                <c:pt idx="20">
                  <c:v>0.86958410752139303</c:v>
                </c:pt>
                <c:pt idx="21">
                  <c:v>0.86914803768156601</c:v>
                </c:pt>
                <c:pt idx="22">
                  <c:v>0.869142573517376</c:v>
                </c:pt>
                <c:pt idx="23">
                  <c:v>0.86953985690692703</c:v>
                </c:pt>
                <c:pt idx="24">
                  <c:v>0.86969494555385796</c:v>
                </c:pt>
                <c:pt idx="25">
                  <c:v>0.86915175172109305</c:v>
                </c:pt>
                <c:pt idx="26">
                  <c:v>0.86898914323507503</c:v>
                </c:pt>
                <c:pt idx="27">
                  <c:v>0.86887593687647402</c:v>
                </c:pt>
                <c:pt idx="28">
                  <c:v>0.868877498770526</c:v>
                </c:pt>
                <c:pt idx="29">
                  <c:v>0.86908446444329002</c:v>
                </c:pt>
                <c:pt idx="30">
                  <c:v>0.86980728342414504</c:v>
                </c:pt>
                <c:pt idx="31">
                  <c:v>0.8712449984374</c:v>
                </c:pt>
                <c:pt idx="32">
                  <c:v>0.87265209028685398</c:v>
                </c:pt>
                <c:pt idx="33">
                  <c:v>0.87400814418582795</c:v>
                </c:pt>
                <c:pt idx="34">
                  <c:v>0.87537773991716505</c:v>
                </c:pt>
                <c:pt idx="35">
                  <c:v>0.876513083008017</c:v>
                </c:pt>
                <c:pt idx="36">
                  <c:v>0.87820339084454702</c:v>
                </c:pt>
                <c:pt idx="37">
                  <c:v>0.87990721462854604</c:v>
                </c:pt>
                <c:pt idx="38">
                  <c:v>0.88153068282403102</c:v>
                </c:pt>
                <c:pt idx="39">
                  <c:v>0.88345462885928305</c:v>
                </c:pt>
                <c:pt idx="40">
                  <c:v>0.88551369315383299</c:v>
                </c:pt>
                <c:pt idx="41">
                  <c:v>0.88717063661886997</c:v>
                </c:pt>
                <c:pt idx="42">
                  <c:v>0.88828571560324598</c:v>
                </c:pt>
                <c:pt idx="43">
                  <c:v>0.888531187151401</c:v>
                </c:pt>
                <c:pt idx="44">
                  <c:v>0.88895158133426</c:v>
                </c:pt>
                <c:pt idx="45">
                  <c:v>0.88981060984254101</c:v>
                </c:pt>
                <c:pt idx="46">
                  <c:v>0.890650220294816</c:v>
                </c:pt>
                <c:pt idx="47">
                  <c:v>0.89148812595957305</c:v>
                </c:pt>
                <c:pt idx="48">
                  <c:v>0.89212293646885399</c:v>
                </c:pt>
                <c:pt idx="49">
                  <c:v>0.89265577497537696</c:v>
                </c:pt>
                <c:pt idx="50">
                  <c:v>0.89306656602630197</c:v>
                </c:pt>
                <c:pt idx="51">
                  <c:v>0.89278034159624198</c:v>
                </c:pt>
                <c:pt idx="52">
                  <c:v>0.89210754301992901</c:v>
                </c:pt>
                <c:pt idx="53">
                  <c:v>0.89147182088124599</c:v>
                </c:pt>
                <c:pt idx="54">
                  <c:v>0.89114051996282595</c:v>
                </c:pt>
                <c:pt idx="55">
                  <c:v>0.89074322342800705</c:v>
                </c:pt>
                <c:pt idx="56">
                  <c:v>0.88982936869461005</c:v>
                </c:pt>
                <c:pt idx="57">
                  <c:v>0.88872106456511302</c:v>
                </c:pt>
                <c:pt idx="58">
                  <c:v>0.88698286671346804</c:v>
                </c:pt>
                <c:pt idx="59">
                  <c:v>0.88535232903834404</c:v>
                </c:pt>
                <c:pt idx="60">
                  <c:v>0.88366955871754804</c:v>
                </c:pt>
                <c:pt idx="61">
                  <c:v>0.88254257413633896</c:v>
                </c:pt>
                <c:pt idx="62">
                  <c:v>0.880880395881804</c:v>
                </c:pt>
                <c:pt idx="63">
                  <c:v>0.879918996073214</c:v>
                </c:pt>
                <c:pt idx="64">
                  <c:v>0.87910870365722804</c:v>
                </c:pt>
                <c:pt idx="65">
                  <c:v>0.87833073500843295</c:v>
                </c:pt>
                <c:pt idx="66">
                  <c:v>0.87743778984199094</c:v>
                </c:pt>
                <c:pt idx="67">
                  <c:v>0.87652633586384698</c:v>
                </c:pt>
                <c:pt idx="68">
                  <c:v>0.87549737997739996</c:v>
                </c:pt>
                <c:pt idx="69">
                  <c:v>0.87468187651183305</c:v>
                </c:pt>
                <c:pt idx="70">
                  <c:v>0.87366481848420696</c:v>
                </c:pt>
                <c:pt idx="71">
                  <c:v>0.87301634947148898</c:v>
                </c:pt>
                <c:pt idx="72">
                  <c:v>0.87249985072327996</c:v>
                </c:pt>
                <c:pt idx="73">
                  <c:v>0.871909174597709</c:v>
                </c:pt>
                <c:pt idx="74">
                  <c:v>0.87116120959404297</c:v>
                </c:pt>
                <c:pt idx="75">
                  <c:v>0.87039748764670999</c:v>
                </c:pt>
                <c:pt idx="76">
                  <c:v>0.869687186670002</c:v>
                </c:pt>
                <c:pt idx="77">
                  <c:v>0.86897825437758602</c:v>
                </c:pt>
                <c:pt idx="78">
                  <c:v>0.86858966660006998</c:v>
                </c:pt>
                <c:pt idx="79">
                  <c:v>0.86823714503404503</c:v>
                </c:pt>
                <c:pt idx="80">
                  <c:v>0.867887544632852</c:v>
                </c:pt>
                <c:pt idx="81">
                  <c:v>0.86717352198514996</c:v>
                </c:pt>
                <c:pt idx="82">
                  <c:v>0.86691629977677098</c:v>
                </c:pt>
                <c:pt idx="83">
                  <c:v>0.86669682371642898</c:v>
                </c:pt>
                <c:pt idx="84">
                  <c:v>0.86652183116575499</c:v>
                </c:pt>
                <c:pt idx="85">
                  <c:v>0.86649389781851405</c:v>
                </c:pt>
                <c:pt idx="86">
                  <c:v>0.86702660377874796</c:v>
                </c:pt>
                <c:pt idx="87">
                  <c:v>0.86686365549295996</c:v>
                </c:pt>
                <c:pt idx="88">
                  <c:v>0.86693701707592796</c:v>
                </c:pt>
                <c:pt idx="89">
                  <c:v>0.86716433586847796</c:v>
                </c:pt>
                <c:pt idx="90">
                  <c:v>0.86716515212928802</c:v>
                </c:pt>
                <c:pt idx="91">
                  <c:v>0.86730807061983295</c:v>
                </c:pt>
                <c:pt idx="92">
                  <c:v>0.86747786661772497</c:v>
                </c:pt>
                <c:pt idx="93">
                  <c:v>0.86761587349715996</c:v>
                </c:pt>
                <c:pt idx="94">
                  <c:v>0.86776405905652998</c:v>
                </c:pt>
                <c:pt idx="95">
                  <c:v>0.86780046738181305</c:v>
                </c:pt>
                <c:pt idx="96">
                  <c:v>0.86817770702346997</c:v>
                </c:pt>
                <c:pt idx="97">
                  <c:v>0.86847283031387601</c:v>
                </c:pt>
                <c:pt idx="98">
                  <c:v>0.86898817367118997</c:v>
                </c:pt>
                <c:pt idx="99">
                  <c:v>0.86925659612333295</c:v>
                </c:pt>
                <c:pt idx="100">
                  <c:v>0.86958937558693306</c:v>
                </c:pt>
                <c:pt idx="101">
                  <c:v>0.87017609802127704</c:v>
                </c:pt>
                <c:pt idx="102">
                  <c:v>0.87070905761264095</c:v>
                </c:pt>
                <c:pt idx="103">
                  <c:v>0.87120364208434897</c:v>
                </c:pt>
                <c:pt idx="104">
                  <c:v>0.87158762284661695</c:v>
                </c:pt>
                <c:pt idx="105">
                  <c:v>0.87185292694684802</c:v>
                </c:pt>
                <c:pt idx="106">
                  <c:v>0.87172787128081197</c:v>
                </c:pt>
                <c:pt idx="107">
                  <c:v>0.87218168252847605</c:v>
                </c:pt>
                <c:pt idx="108">
                  <c:v>0.87264098584012395</c:v>
                </c:pt>
                <c:pt idx="109">
                  <c:v>0.87264480101333897</c:v>
                </c:pt>
                <c:pt idx="110">
                  <c:v>0.87284050879158503</c:v>
                </c:pt>
                <c:pt idx="111">
                  <c:v>0.87308929853068096</c:v>
                </c:pt>
                <c:pt idx="112">
                  <c:v>0.87344324929485395</c:v>
                </c:pt>
                <c:pt idx="113">
                  <c:v>0.87386782277073805</c:v>
                </c:pt>
                <c:pt idx="114">
                  <c:v>0.87417939430573999</c:v>
                </c:pt>
                <c:pt idx="115">
                  <c:v>0.87476077331320601</c:v>
                </c:pt>
                <c:pt idx="116">
                  <c:v>0.87518285692595998</c:v>
                </c:pt>
                <c:pt idx="117">
                  <c:v>0.87570190343382204</c:v>
                </c:pt>
                <c:pt idx="118">
                  <c:v>0.876178951581015</c:v>
                </c:pt>
                <c:pt idx="119">
                  <c:v>0.876673248295462</c:v>
                </c:pt>
                <c:pt idx="120">
                  <c:v>0.87719063553065102</c:v>
                </c:pt>
                <c:pt idx="121">
                  <c:v>0.87766623871190996</c:v>
                </c:pt>
                <c:pt idx="122">
                  <c:v>0.87823405251377396</c:v>
                </c:pt>
                <c:pt idx="123">
                  <c:v>0.87854828676637797</c:v>
                </c:pt>
                <c:pt idx="124">
                  <c:v>0.87901936536480496</c:v>
                </c:pt>
                <c:pt idx="125">
                  <c:v>0.87979004499402402</c:v>
                </c:pt>
                <c:pt idx="126">
                  <c:v>0.88026473914391001</c:v>
                </c:pt>
                <c:pt idx="127">
                  <c:v>0.88104715633100705</c:v>
                </c:pt>
                <c:pt idx="128">
                  <c:v>0.88141448574265702</c:v>
                </c:pt>
                <c:pt idx="129">
                  <c:v>0.88201877855542898</c:v>
                </c:pt>
                <c:pt idx="130">
                  <c:v>0.88251656312115401</c:v>
                </c:pt>
                <c:pt idx="131">
                  <c:v>0.88293589541511697</c:v>
                </c:pt>
                <c:pt idx="132">
                  <c:v>0.88319252164142104</c:v>
                </c:pt>
                <c:pt idx="133">
                  <c:v>0.88340193720388904</c:v>
                </c:pt>
                <c:pt idx="134">
                  <c:v>0.88336319318534895</c:v>
                </c:pt>
                <c:pt idx="135">
                  <c:v>0.88331290904458704</c:v>
                </c:pt>
                <c:pt idx="136">
                  <c:v>0.88334501317512404</c:v>
                </c:pt>
                <c:pt idx="137">
                  <c:v>0.88337875048082004</c:v>
                </c:pt>
                <c:pt idx="138">
                  <c:v>0.88341423723072499</c:v>
                </c:pt>
                <c:pt idx="139">
                  <c:v>0.88357335066030296</c:v>
                </c:pt>
                <c:pt idx="140">
                  <c:v>0.88348129607167902</c:v>
                </c:pt>
                <c:pt idx="141">
                  <c:v>0.88353736452981302</c:v>
                </c:pt>
                <c:pt idx="142">
                  <c:v>0.88344117272094402</c:v>
                </c:pt>
                <c:pt idx="143">
                  <c:v>0.88353946331923405</c:v>
                </c:pt>
                <c:pt idx="144">
                  <c:v>0.88345744222970202</c:v>
                </c:pt>
                <c:pt idx="145">
                  <c:v>0.88303165918771598</c:v>
                </c:pt>
                <c:pt idx="146">
                  <c:v>0.88254593652812796</c:v>
                </c:pt>
                <c:pt idx="147">
                  <c:v>0.88201808540705395</c:v>
                </c:pt>
                <c:pt idx="148">
                  <c:v>0.88166435862855397</c:v>
                </c:pt>
                <c:pt idx="149">
                  <c:v>0.88136381916297801</c:v>
                </c:pt>
                <c:pt idx="150">
                  <c:v>0.88105259539788605</c:v>
                </c:pt>
                <c:pt idx="151">
                  <c:v>0.88056778720112705</c:v>
                </c:pt>
                <c:pt idx="152">
                  <c:v>0.880244286125206</c:v>
                </c:pt>
                <c:pt idx="153">
                  <c:v>0.88010177657215305</c:v>
                </c:pt>
                <c:pt idx="154">
                  <c:v>0.88021076682426502</c:v>
                </c:pt>
                <c:pt idx="155">
                  <c:v>0.88020648228853204</c:v>
                </c:pt>
                <c:pt idx="156">
                  <c:v>0.87998079836981902</c:v>
                </c:pt>
                <c:pt idx="157">
                  <c:v>0.87972868165809504</c:v>
                </c:pt>
                <c:pt idx="158">
                  <c:v>0.87936349615227605</c:v>
                </c:pt>
                <c:pt idx="159">
                  <c:v>0.87900945285006404</c:v>
                </c:pt>
                <c:pt idx="160">
                  <c:v>0.87875961109747702</c:v>
                </c:pt>
                <c:pt idx="161">
                  <c:v>0.878448294304087</c:v>
                </c:pt>
                <c:pt idx="162">
                  <c:v>0.87822736526845502</c:v>
                </c:pt>
                <c:pt idx="163">
                  <c:v>0.87821415273542303</c:v>
                </c:pt>
                <c:pt idx="164">
                  <c:v>0.87857964163458002</c:v>
                </c:pt>
                <c:pt idx="165">
                  <c:v>0.87925866087035698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1B-4E91-A4A6-74F5CA392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NWS_NWSA_0!$AE$1</c:f>
              <c:strCache>
                <c:ptCount val="1"/>
                <c:pt idx="0">
                  <c:v>log diff NWS* x avg / NWSA*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NWS_NWSA_0!$AE$2:$AE$167</c:f>
              <c:numCache>
                <c:formatCode>0.0000%</c:formatCode>
                <c:ptCount val="166"/>
                <c:pt idx="1">
                  <c:v>2.5509887388728502E-3</c:v>
                </c:pt>
                <c:pt idx="2">
                  <c:v>-1.0388200701268199E-3</c:v>
                </c:pt>
                <c:pt idx="3">
                  <c:v>2.51236372600627E-3</c:v>
                </c:pt>
                <c:pt idx="4">
                  <c:v>4.6407169177543001E-3</c:v>
                </c:pt>
                <c:pt idx="5">
                  <c:v>1.90007500366687E-3</c:v>
                </c:pt>
                <c:pt idx="6">
                  <c:v>9.1438215711571406E-3</c:v>
                </c:pt>
                <c:pt idx="7">
                  <c:v>9.3585199933331007E-3</c:v>
                </c:pt>
                <c:pt idx="8">
                  <c:v>5.9783519369802397E-3</c:v>
                </c:pt>
                <c:pt idx="9">
                  <c:v>9.6692560488003797E-3</c:v>
                </c:pt>
                <c:pt idx="10">
                  <c:v>1.32218028633658E-2</c:v>
                </c:pt>
                <c:pt idx="11">
                  <c:v>2.1179061305868802E-2</c:v>
                </c:pt>
                <c:pt idx="12">
                  <c:v>1.6482271806182201E-2</c:v>
                </c:pt>
                <c:pt idx="13">
                  <c:v>1.6656635841630098E-2</c:v>
                </c:pt>
                <c:pt idx="14">
                  <c:v>1.7757321609508599E-2</c:v>
                </c:pt>
                <c:pt idx="15">
                  <c:v>1.22536133664169E-2</c:v>
                </c:pt>
                <c:pt idx="16">
                  <c:v>1.60935649451278E-2</c:v>
                </c:pt>
                <c:pt idx="17">
                  <c:v>1.08617145642454E-2</c:v>
                </c:pt>
                <c:pt idx="18">
                  <c:v>4.1150622869128E-3</c:v>
                </c:pt>
                <c:pt idx="19">
                  <c:v>1.0330625758685E-2</c:v>
                </c:pt>
                <c:pt idx="20">
                  <c:v>1.2897034486166799E-2</c:v>
                </c:pt>
                <c:pt idx="21">
                  <c:v>1.25577343890732E-2</c:v>
                </c:pt>
                <c:pt idx="22">
                  <c:v>-9.1449537908306505E-4</c:v>
                </c:pt>
                <c:pt idx="23">
                  <c:v>-6.5176208131276104E-3</c:v>
                </c:pt>
                <c:pt idx="24">
                  <c:v>1.0984292682568199E-3</c:v>
                </c:pt>
                <c:pt idx="25">
                  <c:v>1.43722822369113E-2</c:v>
                </c:pt>
                <c:pt idx="26">
                  <c:v>1.2888245054579601E-2</c:v>
                </c:pt>
                <c:pt idx="27">
                  <c:v>1.1964425852135099E-2</c:v>
                </c:pt>
                <c:pt idx="28">
                  <c:v>5.9425671883489798E-3</c:v>
                </c:pt>
                <c:pt idx="29">
                  <c:v>4.9211110303842504E-3</c:v>
                </c:pt>
                <c:pt idx="30">
                  <c:v>-3.3218779484710799E-3</c:v>
                </c:pt>
                <c:pt idx="31">
                  <c:v>-1.17186236366437E-2</c:v>
                </c:pt>
                <c:pt idx="32">
                  <c:v>-1.5577332578552899E-2</c:v>
                </c:pt>
                <c:pt idx="33">
                  <c:v>-1.42632003881412E-2</c:v>
                </c:pt>
                <c:pt idx="34">
                  <c:v>-1.3500370152895701E-2</c:v>
                </c:pt>
                <c:pt idx="35">
                  <c:v>-1.35858537093844E-2</c:v>
                </c:pt>
                <c:pt idx="36">
                  <c:v>-2.2281859372721799E-2</c:v>
                </c:pt>
                <c:pt idx="37">
                  <c:v>-2.76167192538956E-2</c:v>
                </c:pt>
                <c:pt idx="38">
                  <c:v>-3.2339235889201901E-2</c:v>
                </c:pt>
                <c:pt idx="39">
                  <c:v>-3.2990155275399197E-2</c:v>
                </c:pt>
                <c:pt idx="40">
                  <c:v>-3.3513015301364697E-2</c:v>
                </c:pt>
                <c:pt idx="41">
                  <c:v>-2.4943919470091998E-2</c:v>
                </c:pt>
                <c:pt idx="42">
                  <c:v>-2.5970628347226798E-2</c:v>
                </c:pt>
                <c:pt idx="43">
                  <c:v>-1.2056540701161999E-2</c:v>
                </c:pt>
                <c:pt idx="44">
                  <c:v>-8.4409135460254605E-3</c:v>
                </c:pt>
                <c:pt idx="45">
                  <c:v>-5.2808856632049197E-3</c:v>
                </c:pt>
                <c:pt idx="46">
                  <c:v>-6.2966893897490701E-3</c:v>
                </c:pt>
                <c:pt idx="47">
                  <c:v>-7.1644134968094301E-3</c:v>
                </c:pt>
                <c:pt idx="48">
                  <c:v>-8.4966460192049606E-3</c:v>
                </c:pt>
                <c:pt idx="49">
                  <c:v>-7.2003735464383004E-3</c:v>
                </c:pt>
                <c:pt idx="50">
                  <c:v>-1.2603397644940499E-2</c:v>
                </c:pt>
                <c:pt idx="51">
                  <c:v>-5.2549714438425996E-3</c:v>
                </c:pt>
                <c:pt idx="52">
                  <c:v>-3.7625377711765902E-4</c:v>
                </c:pt>
                <c:pt idx="53">
                  <c:v>1.13153585069379E-4</c:v>
                </c:pt>
                <c:pt idx="54">
                  <c:v>-6.0283363142263104E-3</c:v>
                </c:pt>
                <c:pt idx="55">
                  <c:v>-4.6194581461838601E-3</c:v>
                </c:pt>
                <c:pt idx="56">
                  <c:v>-1.7174646474626401E-3</c:v>
                </c:pt>
                <c:pt idx="57">
                  <c:v>-2.7562010551279601E-3</c:v>
                </c:pt>
                <c:pt idx="58">
                  <c:v>6.7422494151514901E-3</c:v>
                </c:pt>
                <c:pt idx="59">
                  <c:v>3.6015594863752602E-3</c:v>
                </c:pt>
                <c:pt idx="60">
                  <c:v>4.2531722509668796E-3</c:v>
                </c:pt>
                <c:pt idx="61">
                  <c:v>4.0950144703327698E-4</c:v>
                </c:pt>
                <c:pt idx="62">
                  <c:v>1.1612419481137099E-2</c:v>
                </c:pt>
                <c:pt idx="63">
                  <c:v>9.8143410935153698E-3</c:v>
                </c:pt>
                <c:pt idx="64">
                  <c:v>1.0027857931903699E-2</c:v>
                </c:pt>
                <c:pt idx="65">
                  <c:v>1.2501173247927599E-2</c:v>
                </c:pt>
                <c:pt idx="66">
                  <c:v>1.4119455800911901E-2</c:v>
                </c:pt>
                <c:pt idx="67">
                  <c:v>1.3661086474108901E-2</c:v>
                </c:pt>
                <c:pt idx="68">
                  <c:v>1.5013738260273E-2</c:v>
                </c:pt>
                <c:pt idx="69">
                  <c:v>1.1411573068480599E-2</c:v>
                </c:pt>
                <c:pt idx="70">
                  <c:v>1.0535615644770201E-2</c:v>
                </c:pt>
                <c:pt idx="71">
                  <c:v>9.5454724123338799E-3</c:v>
                </c:pt>
                <c:pt idx="72">
                  <c:v>1.1452246050311201E-2</c:v>
                </c:pt>
                <c:pt idx="73">
                  <c:v>1.3658633861647399E-2</c:v>
                </c:pt>
                <c:pt idx="74">
                  <c:v>1.1049154598820299E-2</c:v>
                </c:pt>
                <c:pt idx="75">
                  <c:v>1.2845754360449E-2</c:v>
                </c:pt>
                <c:pt idx="76">
                  <c:v>1.4563680221827399E-2</c:v>
                </c:pt>
                <c:pt idx="77">
                  <c:v>1.34763074061338E-2</c:v>
                </c:pt>
                <c:pt idx="78">
                  <c:v>1.56921261704163E-2</c:v>
                </c:pt>
                <c:pt idx="79">
                  <c:v>1.16918334712041E-2</c:v>
                </c:pt>
                <c:pt idx="80">
                  <c:v>1.2281387262815E-2</c:v>
                </c:pt>
                <c:pt idx="81">
                  <c:v>1.6811791223181799E-2</c:v>
                </c:pt>
                <c:pt idx="82">
                  <c:v>1.7556704475237699E-2</c:v>
                </c:pt>
                <c:pt idx="83">
                  <c:v>1.48749842708733E-2</c:v>
                </c:pt>
                <c:pt idx="84">
                  <c:v>1.4061599135662401E-2</c:v>
                </c:pt>
                <c:pt idx="85">
                  <c:v>1.31455648861682E-2</c:v>
                </c:pt>
                <c:pt idx="86">
                  <c:v>1.8896660384864301E-3</c:v>
                </c:pt>
                <c:pt idx="87">
                  <c:v>1.7430369668114301E-2</c:v>
                </c:pt>
                <c:pt idx="88">
                  <c:v>1.33190928365742E-2</c:v>
                </c:pt>
                <c:pt idx="89">
                  <c:v>6.1886396470646502E-3</c:v>
                </c:pt>
                <c:pt idx="90">
                  <c:v>1.0516828610345599E-2</c:v>
                </c:pt>
                <c:pt idx="91">
                  <c:v>6.2646769058589003E-3</c:v>
                </c:pt>
                <c:pt idx="92">
                  <c:v>7.5482364097875501E-3</c:v>
                </c:pt>
                <c:pt idx="93">
                  <c:v>1.0477371955770899E-2</c:v>
                </c:pt>
                <c:pt idx="94">
                  <c:v>7.64254527960701E-3</c:v>
                </c:pt>
                <c:pt idx="95">
                  <c:v>1.2006188006232901E-2</c:v>
                </c:pt>
                <c:pt idx="96">
                  <c:v>5.8837970688415597E-3</c:v>
                </c:pt>
                <c:pt idx="97">
                  <c:v>6.6867913975861603E-3</c:v>
                </c:pt>
                <c:pt idx="98">
                  <c:v>3.84008065625997E-3</c:v>
                </c:pt>
                <c:pt idx="99">
                  <c:v>5.5256748698726196E-3</c:v>
                </c:pt>
                <c:pt idx="100">
                  <c:v>4.6379754645772802E-3</c:v>
                </c:pt>
                <c:pt idx="101">
                  <c:v>3.3141618697973001E-3</c:v>
                </c:pt>
                <c:pt idx="102">
                  <c:v>5.2792558440972401E-3</c:v>
                </c:pt>
                <c:pt idx="103">
                  <c:v>3.5068938925146799E-3</c:v>
                </c:pt>
                <c:pt idx="104">
                  <c:v>5.2317079990691203E-3</c:v>
                </c:pt>
                <c:pt idx="105">
                  <c:v>7.0419831691049799E-3</c:v>
                </c:pt>
                <c:pt idx="106">
                  <c:v>4.7472712131780602E-3</c:v>
                </c:pt>
                <c:pt idx="107">
                  <c:v>6.96802257949964E-3</c:v>
                </c:pt>
                <c:pt idx="108">
                  <c:v>2.7740112804421598E-3</c:v>
                </c:pt>
                <c:pt idx="109">
                  <c:v>6.1012136139139399E-3</c:v>
                </c:pt>
                <c:pt idx="110">
                  <c:v>6.0225808203436199E-3</c:v>
                </c:pt>
                <c:pt idx="111">
                  <c:v>5.7908363207051896E-4</c:v>
                </c:pt>
                <c:pt idx="112">
                  <c:v>-5.4125136145578802E-4</c:v>
                </c:pt>
                <c:pt idx="113">
                  <c:v>7.5331116338694698E-4</c:v>
                </c:pt>
                <c:pt idx="114">
                  <c:v>5.1751694941400898E-4</c:v>
                </c:pt>
                <c:pt idx="115">
                  <c:v>-1.3056351734446301E-3</c:v>
                </c:pt>
                <c:pt idx="116">
                  <c:v>-3.7394196469399299E-3</c:v>
                </c:pt>
                <c:pt idx="117">
                  <c:v>-5.1435331863868899E-3</c:v>
                </c:pt>
                <c:pt idx="118">
                  <c:v>-7.0074305657049198E-3</c:v>
                </c:pt>
                <c:pt idx="119">
                  <c:v>-5.7307043192957397E-3</c:v>
                </c:pt>
                <c:pt idx="120">
                  <c:v>-7.13075747902188E-3</c:v>
                </c:pt>
                <c:pt idx="121">
                  <c:v>-7.4950139584731203E-3</c:v>
                </c:pt>
                <c:pt idx="122">
                  <c:v>-7.6373579839076203E-3</c:v>
                </c:pt>
                <c:pt idx="123">
                  <c:v>-3.64925697132313E-3</c:v>
                </c:pt>
                <c:pt idx="124">
                  <c:v>-5.4956256393659001E-3</c:v>
                </c:pt>
                <c:pt idx="125">
                  <c:v>-1.0479852605019701E-2</c:v>
                </c:pt>
                <c:pt idx="126">
                  <c:v>-6.0567449170567398E-3</c:v>
                </c:pt>
                <c:pt idx="127">
                  <c:v>-1.08170100517621E-2</c:v>
                </c:pt>
                <c:pt idx="128">
                  <c:v>-5.5801508617848699E-3</c:v>
                </c:pt>
                <c:pt idx="129">
                  <c:v>-7.6507694937567004E-3</c:v>
                </c:pt>
                <c:pt idx="130">
                  <c:v>-5.3183792152788102E-3</c:v>
                </c:pt>
                <c:pt idx="131">
                  <c:v>-8.9313606277896009E-3</c:v>
                </c:pt>
                <c:pt idx="132">
                  <c:v>-6.3657479226163103E-3</c:v>
                </c:pt>
                <c:pt idx="133">
                  <c:v>-4.00836134052906E-3</c:v>
                </c:pt>
                <c:pt idx="134">
                  <c:v>1.4007575064744701E-3</c:v>
                </c:pt>
                <c:pt idx="135">
                  <c:v>-1.61255108515552E-4</c:v>
                </c:pt>
                <c:pt idx="136">
                  <c:v>-4.4675960099752401E-3</c:v>
                </c:pt>
                <c:pt idx="137">
                  <c:v>-5.9076653033456302E-3</c:v>
                </c:pt>
                <c:pt idx="138">
                  <c:v>-7.8096746547263998E-3</c:v>
                </c:pt>
                <c:pt idx="139">
                  <c:v>-9.3273246794275608E-3</c:v>
                </c:pt>
                <c:pt idx="140">
                  <c:v>-5.0469441391731099E-3</c:v>
                </c:pt>
                <c:pt idx="141">
                  <c:v>-8.7616338476287497E-3</c:v>
                </c:pt>
                <c:pt idx="142">
                  <c:v>-5.4608936136169902E-3</c:v>
                </c:pt>
                <c:pt idx="143">
                  <c:v>-5.87718446816841E-3</c:v>
                </c:pt>
                <c:pt idx="144">
                  <c:v>-3.63610781385511E-3</c:v>
                </c:pt>
                <c:pt idx="145">
                  <c:v>-8.3741204425170598E-4</c:v>
                </c:pt>
                <c:pt idx="146">
                  <c:v>4.9996722621786401E-3</c:v>
                </c:pt>
                <c:pt idx="147">
                  <c:v>1.14672503152038E-3</c:v>
                </c:pt>
                <c:pt idx="148">
                  <c:v>2.4633993888025399E-3</c:v>
                </c:pt>
                <c:pt idx="149">
                  <c:v>-8.3498553414331996E-4</c:v>
                </c:pt>
                <c:pt idx="150">
                  <c:v>1.75710768772761E-3</c:v>
                </c:pt>
                <c:pt idx="151">
                  <c:v>2.0722733648078401E-3</c:v>
                </c:pt>
                <c:pt idx="152">
                  <c:v>9.8215695837629595E-4</c:v>
                </c:pt>
                <c:pt idx="153">
                  <c:v>-7.7045795321221695E-4</c:v>
                </c:pt>
                <c:pt idx="154">
                  <c:v>-1.08188731964358E-3</c:v>
                </c:pt>
                <c:pt idx="155">
                  <c:v>-6.3685911920535705E-5</c:v>
                </c:pt>
                <c:pt idx="156">
                  <c:v>6.6257323714003402E-4</c:v>
                </c:pt>
                <c:pt idx="157">
                  <c:v>-1.8318275760583101E-4</c:v>
                </c:pt>
                <c:pt idx="158">
                  <c:v>4.7695279777230302E-4</c:v>
                </c:pt>
                <c:pt idx="159">
                  <c:v>-1.3067800920952E-3</c:v>
                </c:pt>
                <c:pt idx="160">
                  <c:v>6.3063570500853001E-4</c:v>
                </c:pt>
                <c:pt idx="161">
                  <c:v>-1.70843860069469E-3</c:v>
                </c:pt>
                <c:pt idx="162">
                  <c:v>-4.4408079169485102E-4</c:v>
                </c:pt>
                <c:pt idx="163">
                  <c:v>-5.5779880220999702E-3</c:v>
                </c:pt>
                <c:pt idx="164">
                  <c:v>-1.1895689916725599E-2</c:v>
                </c:pt>
                <c:pt idx="165">
                  <c:v>-1.6170947781489298E-2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A-49D1-A6E7-A29A74ADA9E9}"/>
            </c:ext>
          </c:extLst>
        </c:ser>
        <c:ser>
          <c:idx val="1"/>
          <c:order val="1"/>
          <c:tx>
            <c:strRef>
              <c:f>NWS_NWSA_0!$AF$1</c:f>
              <c:strCache>
                <c:ptCount val="1"/>
                <c:pt idx="0">
                  <c:v>log diff NWS* x 10 dma / NWSA*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NWS_NWSA_0!$AF$2:$AF$167</c:f>
              <c:numCache>
                <c:formatCode>0.0000%</c:formatCode>
                <c:ptCount val="166"/>
                <c:pt idx="10">
                  <c:v>8.9388379236292493E-3</c:v>
                </c:pt>
                <c:pt idx="11">
                  <c:v>1.53942827865091E-2</c:v>
                </c:pt>
                <c:pt idx="12">
                  <c:v>8.8442350005758195E-3</c:v>
                </c:pt>
                <c:pt idx="13">
                  <c:v>7.26507754428069E-3</c:v>
                </c:pt>
                <c:pt idx="14">
                  <c:v>6.95059631112131E-3</c:v>
                </c:pt>
                <c:pt idx="15">
                  <c:v>1.3487233903690301E-4</c:v>
                </c:pt>
                <c:pt idx="16">
                  <c:v>2.9336903130408698E-3</c:v>
                </c:pt>
                <c:pt idx="17">
                  <c:v>-2.99375388285128E-3</c:v>
                </c:pt>
                <c:pt idx="18">
                  <c:v>-9.8913010703315998E-3</c:v>
                </c:pt>
                <c:pt idx="19">
                  <c:v>-3.48774933257641E-3</c:v>
                </c:pt>
                <c:pt idx="20">
                  <c:v>-9.8773280364433994E-4</c:v>
                </c:pt>
                <c:pt idx="21">
                  <c:v>-1.29452977532977E-3</c:v>
                </c:pt>
                <c:pt idx="22">
                  <c:v>-1.39075897718725E-2</c:v>
                </c:pt>
                <c:pt idx="23">
                  <c:v>-1.77634577989738E-2</c:v>
                </c:pt>
                <c:pt idx="24">
                  <c:v>-7.8182869055233306E-3</c:v>
                </c:pt>
                <c:pt idx="25">
                  <c:v>7.1192385626363099E-3</c:v>
                </c:pt>
                <c:pt idx="26">
                  <c:v>5.4245922880658297E-3</c:v>
                </c:pt>
                <c:pt idx="27">
                  <c:v>4.8190100048473199E-3</c:v>
                </c:pt>
                <c:pt idx="28">
                  <c:v>-1.31265622560717E-3</c:v>
                </c:pt>
                <c:pt idx="29">
                  <c:v>-2.51728700520093E-3</c:v>
                </c:pt>
                <c:pt idx="30">
                  <c:v>-1.02195714616774E-2</c:v>
                </c:pt>
                <c:pt idx="31">
                  <c:v>-1.6992301528707499E-2</c:v>
                </c:pt>
                <c:pt idx="32">
                  <c:v>-1.8414472846326101E-2</c:v>
                </c:pt>
                <c:pt idx="33">
                  <c:v>-1.5618800386688499E-2</c:v>
                </c:pt>
                <c:pt idx="34">
                  <c:v>-1.40725655681781E-2</c:v>
                </c:pt>
                <c:pt idx="35">
                  <c:v>-1.2689313679255999E-2</c:v>
                </c:pt>
                <c:pt idx="36">
                  <c:v>-1.8596909625960601E-2</c:v>
                </c:pt>
                <c:pt idx="37">
                  <c:v>-2.04172004403732E-2</c:v>
                </c:pt>
                <c:pt idx="38">
                  <c:v>-2.1186686509693201E-2</c:v>
                </c:pt>
                <c:pt idx="39">
                  <c:v>-1.8008691355250201E-2</c:v>
                </c:pt>
                <c:pt idx="40">
                  <c:v>-1.47509417223397E-2</c:v>
                </c:pt>
                <c:pt idx="41">
                  <c:v>-3.1682034042898898E-3</c:v>
                </c:pt>
                <c:pt idx="42">
                  <c:v>-2.8777884247702E-3</c:v>
                </c:pt>
                <c:pt idx="43">
                  <c:v>1.2072688960697599E-2</c:v>
                </c:pt>
                <c:pt idx="44">
                  <c:v>1.5470033617609499E-2</c:v>
                </c:pt>
                <c:pt idx="45">
                  <c:v>1.8130495457478E-2</c:v>
                </c:pt>
                <c:pt idx="46">
                  <c:v>1.6295384969888901E-2</c:v>
                </c:pt>
                <c:pt idx="47">
                  <c:v>1.38410862628255E-2</c:v>
                </c:pt>
                <c:pt idx="48">
                  <c:v>1.04688883566372E-2</c:v>
                </c:pt>
                <c:pt idx="49">
                  <c:v>9.37452456131504E-3</c:v>
                </c:pt>
                <c:pt idx="50">
                  <c:v>1.3800005817240499E-3</c:v>
                </c:pt>
                <c:pt idx="51">
                  <c:v>6.6161358260054199E-3</c:v>
                </c:pt>
                <c:pt idx="52">
                  <c:v>9.5176067910231303E-3</c:v>
                </c:pt>
                <c:pt idx="53">
                  <c:v>7.4357961971385196E-3</c:v>
                </c:pt>
                <c:pt idx="54">
                  <c:v>7.8233205984608203E-5</c:v>
                </c:pt>
                <c:pt idx="55">
                  <c:v>1.2455521135427501E-3</c:v>
                </c:pt>
                <c:pt idx="56">
                  <c:v>4.08146115808405E-3</c:v>
                </c:pt>
                <c:pt idx="57">
                  <c:v>2.5855171664877202E-3</c:v>
                </c:pt>
                <c:pt idx="58">
                  <c:v>1.1643217021514199E-2</c:v>
                </c:pt>
                <c:pt idx="59">
                  <c:v>6.9835893212609901E-3</c:v>
                </c:pt>
                <c:pt idx="60">
                  <c:v>6.5561297365281899E-3</c:v>
                </c:pt>
                <c:pt idx="61">
                  <c:v>1.02219549028984E-3</c:v>
                </c:pt>
                <c:pt idx="62">
                  <c:v>1.1657478180908299E-2</c:v>
                </c:pt>
                <c:pt idx="63">
                  <c:v>8.6665843738900402E-3</c:v>
                </c:pt>
                <c:pt idx="64">
                  <c:v>7.9132062891398205E-3</c:v>
                </c:pt>
                <c:pt idx="65">
                  <c:v>8.7794097370950293E-3</c:v>
                </c:pt>
                <c:pt idx="66">
                  <c:v>8.6845166594907396E-3</c:v>
                </c:pt>
                <c:pt idx="67">
                  <c:v>6.6423980141336204E-3</c:v>
                </c:pt>
                <c:pt idx="68">
                  <c:v>6.3493758369905602E-3</c:v>
                </c:pt>
                <c:pt idx="69">
                  <c:v>1.9215476196631799E-3</c:v>
                </c:pt>
                <c:pt idx="70">
                  <c:v>2.6272987208544901E-4</c:v>
                </c:pt>
                <c:pt idx="71">
                  <c:v>-1.3576683062374701E-3</c:v>
                </c:pt>
                <c:pt idx="72">
                  <c:v>-3.7034725951465102E-4</c:v>
                </c:pt>
                <c:pt idx="73">
                  <c:v>1.8520624164479599E-3</c:v>
                </c:pt>
                <c:pt idx="74">
                  <c:v>-1.1419472255346399E-3</c:v>
                </c:pt>
                <c:pt idx="75">
                  <c:v>5.5234871352687499E-4</c:v>
                </c:pt>
                <c:pt idx="76">
                  <c:v>2.2358289638371902E-3</c:v>
                </c:pt>
                <c:pt idx="77">
                  <c:v>1.1041220871562799E-3</c:v>
                </c:pt>
                <c:pt idx="78">
                  <c:v>3.3383964921474799E-3</c:v>
                </c:pt>
                <c:pt idx="79">
                  <c:v>-7.2953412930203295E-4</c:v>
                </c:pt>
                <c:pt idx="80">
                  <c:v>-1.68031155324931E-4</c:v>
                </c:pt>
                <c:pt idx="81">
                  <c:v>4.1875985339720001E-3</c:v>
                </c:pt>
                <c:pt idx="82">
                  <c:v>4.2060172354688001E-3</c:v>
                </c:pt>
                <c:pt idx="83">
                  <c:v>9.1436819202878104E-4</c:v>
                </c:pt>
                <c:pt idx="84">
                  <c:v>-2.06221471186142E-5</c:v>
                </c:pt>
                <c:pt idx="85">
                  <c:v>-1.23840679117755E-3</c:v>
                </c:pt>
                <c:pt idx="86">
                  <c:v>-1.2524328794197501E-2</c:v>
                </c:pt>
                <c:pt idx="87">
                  <c:v>4.2908384455547796E-3</c:v>
                </c:pt>
                <c:pt idx="88">
                  <c:v>-2.1500886567642501E-4</c:v>
                </c:pt>
                <c:pt idx="89">
                  <c:v>-7.1084171936185402E-3</c:v>
                </c:pt>
                <c:pt idx="90">
                  <c:v>-2.2276579722328902E-3</c:v>
                </c:pt>
                <c:pt idx="91">
                  <c:v>-6.30313183727678E-3</c:v>
                </c:pt>
                <c:pt idx="92">
                  <c:v>-3.9643265122958696E-3</c:v>
                </c:pt>
                <c:pt idx="93">
                  <c:v>-3.5879711845976797E-5</c:v>
                </c:pt>
                <c:pt idx="94">
                  <c:v>-2.4319911957762998E-3</c:v>
                </c:pt>
                <c:pt idx="95">
                  <c:v>2.5728534933393602E-3</c:v>
                </c:pt>
                <c:pt idx="96">
                  <c:v>-3.43596369160913E-3</c:v>
                </c:pt>
                <c:pt idx="97">
                  <c:v>-3.0346393200626101E-3</c:v>
                </c:pt>
                <c:pt idx="98">
                  <c:v>-4.8100691090922597E-3</c:v>
                </c:pt>
                <c:pt idx="99">
                  <c:v>-2.17695228065804E-3</c:v>
                </c:pt>
                <c:pt idx="100">
                  <c:v>-2.9982349515401499E-3</c:v>
                </c:pt>
                <c:pt idx="101">
                  <c:v>-3.7343005692036901E-3</c:v>
                </c:pt>
                <c:pt idx="102">
                  <c:v>-1.4735314127657701E-3</c:v>
                </c:pt>
                <c:pt idx="103">
                  <c:v>-3.01894407321329E-3</c:v>
                </c:pt>
                <c:pt idx="104">
                  <c:v>-5.9764830361149705E-4</c:v>
                </c:pt>
                <c:pt idx="105">
                  <c:v>1.4535351530734601E-3</c:v>
                </c:pt>
                <c:pt idx="106">
                  <c:v>-3.46827913521876E-4</c:v>
                </c:pt>
                <c:pt idx="107">
                  <c:v>1.9875444254984199E-3</c:v>
                </c:pt>
                <c:pt idx="108">
                  <c:v>-2.2345384923856998E-3</c:v>
                </c:pt>
                <c:pt idx="109">
                  <c:v>1.1994466287570599E-3</c:v>
                </c:pt>
                <c:pt idx="110">
                  <c:v>1.0633107533661399E-3</c:v>
                </c:pt>
                <c:pt idx="111">
                  <c:v>-4.5186052005263596E-3</c:v>
                </c:pt>
                <c:pt idx="112">
                  <c:v>-5.36460671711682E-3</c:v>
                </c:pt>
                <c:pt idx="113">
                  <c:v>-3.4867324949040602E-3</c:v>
                </c:pt>
                <c:pt idx="114">
                  <c:v>-3.4466248101131399E-3</c:v>
                </c:pt>
                <c:pt idx="115">
                  <c:v>-4.7979548117421198E-3</c:v>
                </c:pt>
                <c:pt idx="116">
                  <c:v>-6.3968025069333903E-3</c:v>
                </c:pt>
                <c:pt idx="117">
                  <c:v>-6.9507763375494698E-3</c:v>
                </c:pt>
                <c:pt idx="118">
                  <c:v>-7.6031604420354797E-3</c:v>
                </c:pt>
                <c:pt idx="119">
                  <c:v>-5.3461100173649596E-3</c:v>
                </c:pt>
                <c:pt idx="120">
                  <c:v>-5.5643371661019203E-3</c:v>
                </c:pt>
                <c:pt idx="121">
                  <c:v>-4.6154437828013796E-3</c:v>
                </c:pt>
                <c:pt idx="122">
                  <c:v>-3.9502348765688396E-3</c:v>
                </c:pt>
                <c:pt idx="123">
                  <c:v>7.4751187931502798E-4</c:v>
                </c:pt>
                <c:pt idx="124">
                  <c:v>-6.5999225116180899E-4</c:v>
                </c:pt>
                <c:pt idx="125">
                  <c:v>-5.04449330285958E-3</c:v>
                </c:pt>
                <c:pt idx="126">
                  <c:v>2.9603809575436899E-4</c:v>
                </c:pt>
                <c:pt idx="127">
                  <c:v>-4.2328580844298502E-3</c:v>
                </c:pt>
                <c:pt idx="128">
                  <c:v>1.57198086145482E-3</c:v>
                </c:pt>
                <c:pt idx="129">
                  <c:v>-6.4125346544072399E-4</c:v>
                </c:pt>
                <c:pt idx="130">
                  <c:v>1.88306374290251E-3</c:v>
                </c:pt>
                <c:pt idx="131">
                  <c:v>-1.91099495408194E-3</c:v>
                </c:pt>
                <c:pt idx="132">
                  <c:v>7.9841352403711198E-4</c:v>
                </c:pt>
                <c:pt idx="133">
                  <c:v>3.0286516841898101E-3</c:v>
                </c:pt>
                <c:pt idx="134">
                  <c:v>8.4735653042707602E-3</c:v>
                </c:pt>
                <c:pt idx="135">
                  <c:v>6.2251344804706297E-3</c:v>
                </c:pt>
                <c:pt idx="136">
                  <c:v>8.8749685989660898E-4</c:v>
                </c:pt>
                <c:pt idx="137">
                  <c:v>-7.1148520079914596E-4</c:v>
                </c:pt>
                <c:pt idx="138">
                  <c:v>-3.1061076747272601E-3</c:v>
                </c:pt>
                <c:pt idx="139">
                  <c:v>-4.4003858055975502E-3</c:v>
                </c:pt>
                <c:pt idx="140">
                  <c:v>4.8234391866661901E-5</c:v>
                </c:pt>
                <c:pt idx="141">
                  <c:v>-3.6936015674422498E-3</c:v>
                </c:pt>
                <c:pt idx="142">
                  <c:v>-4.0989840857684798E-4</c:v>
                </c:pt>
                <c:pt idx="143">
                  <c:v>-9.1675685979126197E-4</c:v>
                </c:pt>
                <c:pt idx="144">
                  <c:v>1.5111813754450599E-3</c:v>
                </c:pt>
                <c:pt idx="145">
                  <c:v>4.8114128388964004E-3</c:v>
                </c:pt>
                <c:pt idx="146">
                  <c:v>1.0715763286292399E-2</c:v>
                </c:pt>
                <c:pt idx="147">
                  <c:v>5.9212891526812398E-3</c:v>
                </c:pt>
                <c:pt idx="148">
                  <c:v>6.5339621336884699E-3</c:v>
                </c:pt>
                <c:pt idx="149">
                  <c:v>2.2091733055328599E-3</c:v>
                </c:pt>
                <c:pt idx="150">
                  <c:v>3.94993612741989E-3</c:v>
                </c:pt>
                <c:pt idx="151">
                  <c:v>3.58483668102736E-3</c:v>
                </c:pt>
                <c:pt idx="152">
                  <c:v>1.40874807294993E-3</c:v>
                </c:pt>
                <c:pt idx="153">
                  <c:v>-9.8955046194162499E-4</c:v>
                </c:pt>
                <c:pt idx="154">
                  <c:v>-1.81359688038744E-3</c:v>
                </c:pt>
                <c:pt idx="155">
                  <c:v>-1.05164107579623E-3</c:v>
                </c:pt>
                <c:pt idx="156">
                  <c:v>-4.0286892485778798E-4</c:v>
                </c:pt>
                <c:pt idx="157">
                  <c:v>-8.1577348895004397E-4</c:v>
                </c:pt>
                <c:pt idx="158">
                  <c:v>-2.2635930887708499E-5</c:v>
                </c:pt>
                <c:pt idx="159">
                  <c:v>-1.6079365264746201E-3</c:v>
                </c:pt>
                <c:pt idx="160">
                  <c:v>3.76722387381437E-4</c:v>
                </c:pt>
                <c:pt idx="161">
                  <c:v>-1.8498168803345401E-3</c:v>
                </c:pt>
                <c:pt idx="162">
                  <c:v>-2.0747442117967799E-4</c:v>
                </c:pt>
                <c:pt idx="163">
                  <c:v>-5.1988401227129897E-3</c:v>
                </c:pt>
                <c:pt idx="164">
                  <c:v>-1.10345590981806E-2</c:v>
                </c:pt>
                <c:pt idx="165">
                  <c:v>-1.4222919497486599E-2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EA-49D1-A6E7-A29A74ADA9E9}"/>
            </c:ext>
          </c:extLst>
        </c:ser>
        <c:ser>
          <c:idx val="2"/>
          <c:order val="2"/>
          <c:tx>
            <c:strRef>
              <c:f>NWS_NWSA_0!$AG$1</c:f>
              <c:strCache>
                <c:ptCount val="1"/>
                <c:pt idx="0">
                  <c:v>log diff NWS* x 20 dma / NWSA*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NWS_NWSA_0!$AG$2:$AG$167</c:f>
              <c:numCache>
                <c:formatCode>0.0000%</c:formatCode>
                <c:ptCount val="166"/>
                <c:pt idx="20">
                  <c:v>3.8246926531696401E-3</c:v>
                </c:pt>
                <c:pt idx="21">
                  <c:v>2.7473485657088402E-3</c:v>
                </c:pt>
                <c:pt idx="22">
                  <c:v>-1.12264764023438E-2</c:v>
                </c:pt>
                <c:pt idx="23">
                  <c:v>-1.6835888661105101E-2</c:v>
                </c:pt>
                <c:pt idx="24">
                  <c:v>-8.7628449510819897E-3</c:v>
                </c:pt>
                <c:pt idx="25">
                  <c:v>4.6893492595060102E-3</c:v>
                </c:pt>
                <c:pt idx="26">
                  <c:v>2.5805372177386799E-3</c:v>
                </c:pt>
                <c:pt idx="27">
                  <c:v>1.4696117951210901E-3</c:v>
                </c:pt>
                <c:pt idx="28">
                  <c:v>-4.6825289717541104E-3</c:v>
                </c:pt>
                <c:pt idx="29">
                  <c:v>-5.7021875282644904E-3</c:v>
                </c:pt>
                <c:pt idx="30">
                  <c:v>-1.37070059623981E-2</c:v>
                </c:pt>
                <c:pt idx="31">
                  <c:v>-2.1272395675280598E-2</c:v>
                </c:pt>
                <c:pt idx="32">
                  <c:v>-2.3479557038719501E-2</c:v>
                </c:pt>
                <c:pt idx="33">
                  <c:v>-2.0551691831713698E-2</c:v>
                </c:pt>
                <c:pt idx="34">
                  <c:v>-1.8236122094343301E-2</c:v>
                </c:pt>
                <c:pt idx="35">
                  <c:v>-1.67558035901124E-2</c:v>
                </c:pt>
                <c:pt idx="36">
                  <c:v>-2.4155674545807599E-2</c:v>
                </c:pt>
                <c:pt idx="37">
                  <c:v>-2.75639458475152E-2</c:v>
                </c:pt>
                <c:pt idx="38">
                  <c:v>-3.0348217742013898E-2</c:v>
                </c:pt>
                <c:pt idx="39">
                  <c:v>-2.9155792372732001E-2</c:v>
                </c:pt>
                <c:pt idx="40">
                  <c:v>-2.7498524570378501E-2</c:v>
                </c:pt>
                <c:pt idx="41">
                  <c:v>-1.6601444457133099E-2</c:v>
                </c:pt>
                <c:pt idx="42">
                  <c:v>-1.5758735390244201E-2</c:v>
                </c:pt>
                <c:pt idx="43">
                  <c:v>-5.8854349853617303E-4</c:v>
                </c:pt>
                <c:pt idx="44">
                  <c:v>3.3033884906394102E-3</c:v>
                </c:pt>
                <c:pt idx="45">
                  <c:v>6.9364383325484103E-3</c:v>
                </c:pt>
                <c:pt idx="46">
                  <c:v>6.8865069180264003E-3</c:v>
                </c:pt>
                <c:pt idx="47">
                  <c:v>6.9619212392866298E-3</c:v>
                </c:pt>
                <c:pt idx="48">
                  <c:v>6.57002618088215E-3</c:v>
                </c:pt>
                <c:pt idx="49">
                  <c:v>8.5781248465431701E-3</c:v>
                </c:pt>
                <c:pt idx="50">
                  <c:v>3.7721927224538499E-3</c:v>
                </c:pt>
                <c:pt idx="51">
                  <c:v>1.15807028332836E-2</c:v>
                </c:pt>
                <c:pt idx="52">
                  <c:v>1.6138872942108601E-2</c:v>
                </c:pt>
                <c:pt idx="53">
                  <c:v>1.58743969775305E-2</c:v>
                </c:pt>
                <c:pt idx="54">
                  <c:v>9.0200459872497394E-3</c:v>
                </c:pt>
                <c:pt idx="55">
                  <c:v>1.0057221441647401E-2</c:v>
                </c:pt>
                <c:pt idx="56">
                  <c:v>1.2513286250716E-2</c:v>
                </c:pt>
                <c:pt idx="57">
                  <c:v>1.04480768784767E-2</c:v>
                </c:pt>
                <c:pt idx="58">
                  <c:v>1.8700226707258301E-2</c:v>
                </c:pt>
                <c:pt idx="59">
                  <c:v>1.3601779771573499E-2</c:v>
                </c:pt>
                <c:pt idx="60">
                  <c:v>1.2413404097121701E-2</c:v>
                </c:pt>
                <c:pt idx="61">
                  <c:v>6.6672460034565596E-3</c:v>
                </c:pt>
                <c:pt idx="62">
                  <c:v>1.6594003928369901E-2</c:v>
                </c:pt>
                <c:pt idx="63">
                  <c:v>1.2910752471030899E-2</c:v>
                </c:pt>
                <c:pt idx="64">
                  <c:v>1.2032265406511001E-2</c:v>
                </c:pt>
                <c:pt idx="65">
                  <c:v>1.3584284857297501E-2</c:v>
                </c:pt>
                <c:pt idx="66">
                  <c:v>1.43172240152312E-2</c:v>
                </c:pt>
                <c:pt idx="67">
                  <c:v>1.2841698690026101E-2</c:v>
                </c:pt>
                <c:pt idx="68">
                  <c:v>1.31550429477988E-2</c:v>
                </c:pt>
                <c:pt idx="69">
                  <c:v>8.3782863444345507E-3</c:v>
                </c:pt>
                <c:pt idx="70">
                  <c:v>6.5704203501460601E-3</c:v>
                </c:pt>
                <c:pt idx="71">
                  <c:v>4.4168257893629796E-3</c:v>
                </c:pt>
                <c:pt idx="72">
                  <c:v>5.58108378749905E-3</c:v>
                </c:pt>
                <c:pt idx="73">
                  <c:v>7.1956710034290798E-3</c:v>
                </c:pt>
                <c:pt idx="74">
                  <c:v>3.9089696675994401E-3</c:v>
                </c:pt>
                <c:pt idx="75">
                  <c:v>4.8473538845691796E-3</c:v>
                </c:pt>
                <c:pt idx="76">
                  <c:v>5.6882240400453398E-3</c:v>
                </c:pt>
                <c:pt idx="77">
                  <c:v>3.7844530034565498E-3</c:v>
                </c:pt>
                <c:pt idx="78">
                  <c:v>5.1847815475185698E-3</c:v>
                </c:pt>
                <c:pt idx="79">
                  <c:v>7.3721104200886501E-4</c:v>
                </c:pt>
                <c:pt idx="80">
                  <c:v>9.2082732908034797E-4</c:v>
                </c:pt>
                <c:pt idx="81">
                  <c:v>5.0484947717310902E-3</c:v>
                </c:pt>
                <c:pt idx="82">
                  <c:v>4.9703560842941702E-3</c:v>
                </c:pt>
                <c:pt idx="83">
                  <c:v>1.9919704972746902E-3</c:v>
                </c:pt>
                <c:pt idx="84">
                  <c:v>9.2538462362859203E-4</c:v>
                </c:pt>
                <c:pt idx="85">
                  <c:v>-1.9257746777412701E-4</c:v>
                </c:pt>
                <c:pt idx="86">
                  <c:v>-1.14807130075723E-2</c:v>
                </c:pt>
                <c:pt idx="87">
                  <c:v>4.6745849998107297E-3</c:v>
                </c:pt>
                <c:pt idx="88">
                  <c:v>3.7535130606860401E-4</c:v>
                </c:pt>
                <c:pt idx="89">
                  <c:v>-6.6704767195772596E-3</c:v>
                </c:pt>
                <c:pt idx="90">
                  <c:v>-2.0801130068608198E-3</c:v>
                </c:pt>
                <c:pt idx="91">
                  <c:v>-6.3313234129200096E-3</c:v>
                </c:pt>
                <c:pt idx="92">
                  <c:v>-4.8829663335722903E-3</c:v>
                </c:pt>
                <c:pt idx="93">
                  <c:v>-1.75807637802264E-3</c:v>
                </c:pt>
                <c:pt idx="94">
                  <c:v>-4.4338259086293798E-3</c:v>
                </c:pt>
                <c:pt idx="95">
                  <c:v>1.00598509026452E-4</c:v>
                </c:pt>
                <c:pt idx="96">
                  <c:v>-5.9798368286352399E-3</c:v>
                </c:pt>
                <c:pt idx="97">
                  <c:v>-4.7422291468462103E-3</c:v>
                </c:pt>
                <c:pt idx="98">
                  <c:v>-7.2490634571895397E-3</c:v>
                </c:pt>
                <c:pt idx="99">
                  <c:v>-4.9702549253912501E-3</c:v>
                </c:pt>
                <c:pt idx="100">
                  <c:v>-5.5491112276430197E-3</c:v>
                </c:pt>
                <c:pt idx="101">
                  <c:v>-6.4901658281511301E-3</c:v>
                </c:pt>
                <c:pt idx="102">
                  <c:v>-3.8505873150014298E-3</c:v>
                </c:pt>
                <c:pt idx="103">
                  <c:v>-5.0106634919707899E-3</c:v>
                </c:pt>
                <c:pt idx="104">
                  <c:v>-2.7179856973171702E-3</c:v>
                </c:pt>
                <c:pt idx="105">
                  <c:v>-4.6706020247422602E-4</c:v>
                </c:pt>
                <c:pt idx="106">
                  <c:v>-2.4574267050276499E-3</c:v>
                </c:pt>
                <c:pt idx="107">
                  <c:v>-3.8012228005516102E-4</c:v>
                </c:pt>
                <c:pt idx="108">
                  <c:v>-4.0536808332504301E-3</c:v>
                </c:pt>
                <c:pt idx="109">
                  <c:v>-2.00002852041958E-4</c:v>
                </c:pt>
                <c:pt idx="110">
                  <c:v>-2.74263670267137E-4</c:v>
                </c:pt>
                <c:pt idx="111">
                  <c:v>-5.4935163140958001E-3</c:v>
                </c:pt>
                <c:pt idx="112">
                  <c:v>-6.3288573293573099E-3</c:v>
                </c:pt>
                <c:pt idx="113">
                  <c:v>-4.6289765418125401E-3</c:v>
                </c:pt>
                <c:pt idx="114">
                  <c:v>-4.3787972035917097E-3</c:v>
                </c:pt>
                <c:pt idx="115">
                  <c:v>-5.8454697814377702E-3</c:v>
                </c:pt>
                <c:pt idx="116">
                  <c:v>-7.6144184421997798E-3</c:v>
                </c:pt>
                <c:pt idx="117">
                  <c:v>-8.5361351619488296E-3</c:v>
                </c:pt>
                <c:pt idx="118">
                  <c:v>-9.80713626982916E-3</c:v>
                </c:pt>
                <c:pt idx="119">
                  <c:v>-7.9857974630190703E-3</c:v>
                </c:pt>
                <c:pt idx="120">
                  <c:v>-8.8218592861288407E-3</c:v>
                </c:pt>
                <c:pt idx="121">
                  <c:v>-8.5961187253669295E-3</c:v>
                </c:pt>
                <c:pt idx="122">
                  <c:v>-8.1964206049319494E-3</c:v>
                </c:pt>
                <c:pt idx="123">
                  <c:v>-3.56157008784089E-3</c:v>
                </c:pt>
                <c:pt idx="124">
                  <c:v>-5.05020035092684E-3</c:v>
                </c:pt>
                <c:pt idx="125">
                  <c:v>-9.4983698747670899E-3</c:v>
                </c:pt>
                <c:pt idx="126">
                  <c:v>-4.1988969888423202E-3</c:v>
                </c:pt>
                <c:pt idx="127">
                  <c:v>-8.4197537304974406E-3</c:v>
                </c:pt>
                <c:pt idx="128">
                  <c:v>-2.29444628717784E-3</c:v>
                </c:pt>
                <c:pt idx="129">
                  <c:v>-3.9482281401811304E-3</c:v>
                </c:pt>
                <c:pt idx="130">
                  <c:v>-9.3047839995311695E-4</c:v>
                </c:pt>
                <c:pt idx="131">
                  <c:v>-3.9792494312113997E-3</c:v>
                </c:pt>
                <c:pt idx="132">
                  <c:v>-9.3859442192994102E-4</c:v>
                </c:pt>
                <c:pt idx="133">
                  <c:v>1.70940095805892E-3</c:v>
                </c:pt>
                <c:pt idx="134">
                  <c:v>7.3556037180116203E-3</c:v>
                </c:pt>
                <c:pt idx="135">
                  <c:v>5.74973239437933E-3</c:v>
                </c:pt>
                <c:pt idx="136">
                  <c:v>1.38646635456374E-3</c:v>
                </c:pt>
                <c:pt idx="137">
                  <c:v>-1.72584601884589E-5</c:v>
                </c:pt>
                <c:pt idx="138">
                  <c:v>-1.8810758696317E-3</c:v>
                </c:pt>
                <c:pt idx="139">
                  <c:v>-3.3585550875019298E-3</c:v>
                </c:pt>
                <c:pt idx="140">
                  <c:v>1.1019211490645401E-3</c:v>
                </c:pt>
                <c:pt idx="141">
                  <c:v>-2.7169584200475699E-3</c:v>
                </c:pt>
                <c:pt idx="142">
                  <c:v>6.4724289607150803E-4</c:v>
                </c:pt>
                <c:pt idx="143">
                  <c:v>1.22074874156747E-4</c:v>
                </c:pt>
                <c:pt idx="144">
                  <c:v>2.4744041323606601E-3</c:v>
                </c:pt>
                <c:pt idx="145">
                  <c:v>5.1802631920258302E-3</c:v>
                </c:pt>
                <c:pt idx="146">
                  <c:v>1.0535280499129799E-2</c:v>
                </c:pt>
                <c:pt idx="147">
                  <c:v>6.1321193633784299E-3</c:v>
                </c:pt>
                <c:pt idx="148">
                  <c:v>6.8505143380395298E-3</c:v>
                </c:pt>
                <c:pt idx="149">
                  <c:v>3.1510064301264102E-3</c:v>
                </c:pt>
                <c:pt idx="150">
                  <c:v>5.4021641272307399E-3</c:v>
                </c:pt>
                <c:pt idx="151">
                  <c:v>5.3641513321226802E-3</c:v>
                </c:pt>
                <c:pt idx="152">
                  <c:v>3.7236232549503301E-3</c:v>
                </c:pt>
                <c:pt idx="153">
                  <c:v>1.6035630214435101E-3</c:v>
                </c:pt>
                <c:pt idx="154">
                  <c:v>1.1302228167008E-3</c:v>
                </c:pt>
                <c:pt idx="155">
                  <c:v>2.2722547937848799E-3</c:v>
                </c:pt>
                <c:pt idx="156">
                  <c:v>2.9936463062269401E-3</c:v>
                </c:pt>
                <c:pt idx="157">
                  <c:v>1.89145859830001E-3</c:v>
                </c:pt>
                <c:pt idx="158">
                  <c:v>2.2650505891747101E-3</c:v>
                </c:pt>
                <c:pt idx="159">
                  <c:v>6.6120001686397601E-5</c:v>
                </c:pt>
                <c:pt idx="160">
                  <c:v>1.60084158400789E-3</c:v>
                </c:pt>
                <c:pt idx="161">
                  <c:v>-1.02250414209368E-3</c:v>
                </c:pt>
                <c:pt idx="162">
                  <c:v>-1.12477537375015E-4</c:v>
                </c:pt>
                <c:pt idx="163">
                  <c:v>-5.4979155903236597E-3</c:v>
                </c:pt>
                <c:pt idx="164">
                  <c:v>-1.18306621452995E-2</c:v>
                </c:pt>
                <c:pt idx="165">
                  <c:v>-1.5689833721962101E-2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EA-49D1-A6E7-A29A74ADA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NWS_NWSA_0!$Y$1</c:f>
              <c:strCache>
                <c:ptCount val="1"/>
                <c:pt idx="0">
                  <c:v> NWSA*/NWS*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NWS_NWSA_0!$Y$2:$Y$167</c:f>
              <c:numCache>
                <c:formatCode>_(* #,##0.0000_);_(* \(#,##0.0000\);_(* "-"??_);_(@_)</c:formatCode>
                <c:ptCount val="166"/>
                <c:pt idx="0">
                  <c:v>0.87815704628300895</c:v>
                </c:pt>
                <c:pt idx="1">
                  <c:v>0.87815704628300895</c:v>
                </c:pt>
                <c:pt idx="2">
                  <c:v>0.87815704628300895</c:v>
                </c:pt>
                <c:pt idx="3">
                  <c:v>0.87815704628300895</c:v>
                </c:pt>
                <c:pt idx="4">
                  <c:v>0.87815704628300895</c:v>
                </c:pt>
                <c:pt idx="5">
                  <c:v>0.87815704628300895</c:v>
                </c:pt>
                <c:pt idx="6">
                  <c:v>0.87815704628300895</c:v>
                </c:pt>
                <c:pt idx="7">
                  <c:v>0.87815704628300895</c:v>
                </c:pt>
                <c:pt idx="8">
                  <c:v>0.87815704628300895</c:v>
                </c:pt>
                <c:pt idx="9">
                  <c:v>0.87815704628300895</c:v>
                </c:pt>
                <c:pt idx="10">
                  <c:v>0.87815704628300895</c:v>
                </c:pt>
                <c:pt idx="11">
                  <c:v>0.87815704628300895</c:v>
                </c:pt>
                <c:pt idx="12">
                  <c:v>0.87815704628300895</c:v>
                </c:pt>
                <c:pt idx="13">
                  <c:v>0.87815704628300895</c:v>
                </c:pt>
                <c:pt idx="14">
                  <c:v>0.87815704628300895</c:v>
                </c:pt>
                <c:pt idx="15">
                  <c:v>0.87815704628300895</c:v>
                </c:pt>
                <c:pt idx="16">
                  <c:v>0.87815704628300895</c:v>
                </c:pt>
                <c:pt idx="17">
                  <c:v>0.87815704628300895</c:v>
                </c:pt>
                <c:pt idx="18">
                  <c:v>0.87815704628300895</c:v>
                </c:pt>
                <c:pt idx="19">
                  <c:v>0.87815704628300895</c:v>
                </c:pt>
                <c:pt idx="20">
                  <c:v>0.87815704628300895</c:v>
                </c:pt>
                <c:pt idx="21">
                  <c:v>0.87815704628300895</c:v>
                </c:pt>
                <c:pt idx="22">
                  <c:v>0.87815704628300895</c:v>
                </c:pt>
                <c:pt idx="23">
                  <c:v>0.87815704628300895</c:v>
                </c:pt>
                <c:pt idx="24">
                  <c:v>0.87815704628300895</c:v>
                </c:pt>
                <c:pt idx="25">
                  <c:v>0.87815704628300895</c:v>
                </c:pt>
                <c:pt idx="26">
                  <c:v>0.87815704628300895</c:v>
                </c:pt>
                <c:pt idx="27">
                  <c:v>0.87815704628300895</c:v>
                </c:pt>
                <c:pt idx="28">
                  <c:v>0.87815704628300895</c:v>
                </c:pt>
                <c:pt idx="29">
                  <c:v>0.87815704628300895</c:v>
                </c:pt>
                <c:pt idx="30">
                  <c:v>0.87815704628300895</c:v>
                </c:pt>
                <c:pt idx="31">
                  <c:v>0.87815704628300895</c:v>
                </c:pt>
                <c:pt idx="32">
                  <c:v>0.87815704628300895</c:v>
                </c:pt>
                <c:pt idx="33">
                  <c:v>0.87815704628300895</c:v>
                </c:pt>
                <c:pt idx="34">
                  <c:v>0.87815704628300895</c:v>
                </c:pt>
                <c:pt idx="35">
                  <c:v>0.87815704628300895</c:v>
                </c:pt>
                <c:pt idx="36">
                  <c:v>0.87815704628300895</c:v>
                </c:pt>
                <c:pt idx="37">
                  <c:v>0.87815704628300895</c:v>
                </c:pt>
                <c:pt idx="38">
                  <c:v>0.87815704628300895</c:v>
                </c:pt>
                <c:pt idx="39">
                  <c:v>0.87815704628300895</c:v>
                </c:pt>
                <c:pt idx="40">
                  <c:v>0.87815704628300895</c:v>
                </c:pt>
                <c:pt idx="41">
                  <c:v>0.87815704628300895</c:v>
                </c:pt>
                <c:pt idx="42">
                  <c:v>0.87815704628300895</c:v>
                </c:pt>
                <c:pt idx="43">
                  <c:v>0.87815704628300895</c:v>
                </c:pt>
                <c:pt idx="44">
                  <c:v>0.87815704628300895</c:v>
                </c:pt>
                <c:pt idx="45">
                  <c:v>0.87815704628300895</c:v>
                </c:pt>
                <c:pt idx="46">
                  <c:v>0.87815704628300895</c:v>
                </c:pt>
                <c:pt idx="47">
                  <c:v>0.87815704628300895</c:v>
                </c:pt>
                <c:pt idx="48">
                  <c:v>0.87815704628300895</c:v>
                </c:pt>
                <c:pt idx="49">
                  <c:v>0.87815704628300895</c:v>
                </c:pt>
                <c:pt idx="50">
                  <c:v>0.87815704628300895</c:v>
                </c:pt>
                <c:pt idx="51">
                  <c:v>0.87815704628300895</c:v>
                </c:pt>
                <c:pt idx="52">
                  <c:v>0.87815704628300895</c:v>
                </c:pt>
                <c:pt idx="53">
                  <c:v>0.87815704628300895</c:v>
                </c:pt>
                <c:pt idx="54">
                  <c:v>0.87815704628300895</c:v>
                </c:pt>
                <c:pt idx="55">
                  <c:v>0.87815704628300895</c:v>
                </c:pt>
                <c:pt idx="56">
                  <c:v>0.87815704628300895</c:v>
                </c:pt>
                <c:pt idx="57">
                  <c:v>0.87815704628300895</c:v>
                </c:pt>
                <c:pt idx="58">
                  <c:v>0.87815704628300895</c:v>
                </c:pt>
                <c:pt idx="59">
                  <c:v>0.87815704628300895</c:v>
                </c:pt>
                <c:pt idx="60">
                  <c:v>0.87815704628300895</c:v>
                </c:pt>
                <c:pt idx="61">
                  <c:v>0.87815704628300895</c:v>
                </c:pt>
                <c:pt idx="62">
                  <c:v>0.87815704628300895</c:v>
                </c:pt>
                <c:pt idx="63">
                  <c:v>0.87815704628300895</c:v>
                </c:pt>
                <c:pt idx="64">
                  <c:v>0.87815704628300895</c:v>
                </c:pt>
                <c:pt idx="65">
                  <c:v>0.87815704628300895</c:v>
                </c:pt>
                <c:pt idx="66">
                  <c:v>0.87815704628300895</c:v>
                </c:pt>
                <c:pt idx="67">
                  <c:v>0.87815704628300895</c:v>
                </c:pt>
                <c:pt idx="68">
                  <c:v>0.87815704628300895</c:v>
                </c:pt>
                <c:pt idx="69">
                  <c:v>0.87815704628300895</c:v>
                </c:pt>
                <c:pt idx="70">
                  <c:v>0.87815704628300895</c:v>
                </c:pt>
                <c:pt idx="71">
                  <c:v>0.87815704628300895</c:v>
                </c:pt>
                <c:pt idx="72">
                  <c:v>0.87815704628300895</c:v>
                </c:pt>
                <c:pt idx="73">
                  <c:v>0.87815704628300895</c:v>
                </c:pt>
                <c:pt idx="74">
                  <c:v>0.87815704628300895</c:v>
                </c:pt>
                <c:pt idx="75">
                  <c:v>0.87815704628300895</c:v>
                </c:pt>
                <c:pt idx="76">
                  <c:v>0.87815704628300895</c:v>
                </c:pt>
                <c:pt idx="77">
                  <c:v>0.87815704628300895</c:v>
                </c:pt>
                <c:pt idx="78">
                  <c:v>0.87815704628300895</c:v>
                </c:pt>
                <c:pt idx="79">
                  <c:v>0.87815704628300895</c:v>
                </c:pt>
                <c:pt idx="80">
                  <c:v>0.87815704628300895</c:v>
                </c:pt>
                <c:pt idx="81">
                  <c:v>0.87815704628300895</c:v>
                </c:pt>
                <c:pt idx="82">
                  <c:v>0.87815704628300895</c:v>
                </c:pt>
                <c:pt idx="83">
                  <c:v>0.87815704628300895</c:v>
                </c:pt>
                <c:pt idx="84">
                  <c:v>0.87815704628300895</c:v>
                </c:pt>
                <c:pt idx="85">
                  <c:v>0.87815704628300895</c:v>
                </c:pt>
                <c:pt idx="86">
                  <c:v>0.87815704628300895</c:v>
                </c:pt>
                <c:pt idx="87">
                  <c:v>0.87815704628300895</c:v>
                </c:pt>
                <c:pt idx="88">
                  <c:v>0.87815704628300895</c:v>
                </c:pt>
                <c:pt idx="89">
                  <c:v>0.87815704628300895</c:v>
                </c:pt>
                <c:pt idx="90">
                  <c:v>0.87815704628300895</c:v>
                </c:pt>
                <c:pt idx="91">
                  <c:v>0.87815704628300895</c:v>
                </c:pt>
                <c:pt idx="92">
                  <c:v>0.87815704628300895</c:v>
                </c:pt>
                <c:pt idx="93">
                  <c:v>0.87815704628300895</c:v>
                </c:pt>
                <c:pt idx="94">
                  <c:v>0.87815704628300895</c:v>
                </c:pt>
                <c:pt idx="95">
                  <c:v>0.87815704628300895</c:v>
                </c:pt>
                <c:pt idx="96">
                  <c:v>0.87815704628300895</c:v>
                </c:pt>
                <c:pt idx="97">
                  <c:v>0.87815704628300895</c:v>
                </c:pt>
                <c:pt idx="98">
                  <c:v>0.87815704628300895</c:v>
                </c:pt>
                <c:pt idx="99">
                  <c:v>0.87815704628300895</c:v>
                </c:pt>
                <c:pt idx="100">
                  <c:v>0.87815704628300895</c:v>
                </c:pt>
                <c:pt idx="101">
                  <c:v>0.87815704628300895</c:v>
                </c:pt>
                <c:pt idx="102">
                  <c:v>0.87815704628300895</c:v>
                </c:pt>
                <c:pt idx="103">
                  <c:v>0.87815704628300895</c:v>
                </c:pt>
                <c:pt idx="104">
                  <c:v>0.87815704628300895</c:v>
                </c:pt>
                <c:pt idx="105">
                  <c:v>0.87815704628300895</c:v>
                </c:pt>
                <c:pt idx="106">
                  <c:v>0.87815704628300895</c:v>
                </c:pt>
                <c:pt idx="107">
                  <c:v>0.87815704628300895</c:v>
                </c:pt>
                <c:pt idx="108">
                  <c:v>0.87815704628300895</c:v>
                </c:pt>
                <c:pt idx="109">
                  <c:v>0.87815704628300895</c:v>
                </c:pt>
                <c:pt idx="110">
                  <c:v>0.87815704628300895</c:v>
                </c:pt>
                <c:pt idx="111">
                  <c:v>0.87815704628300895</c:v>
                </c:pt>
                <c:pt idx="112">
                  <c:v>0.87815704628300895</c:v>
                </c:pt>
                <c:pt idx="113">
                  <c:v>0.87815704628300895</c:v>
                </c:pt>
                <c:pt idx="114">
                  <c:v>0.87815704628300895</c:v>
                </c:pt>
                <c:pt idx="115">
                  <c:v>0.87815704628300895</c:v>
                </c:pt>
                <c:pt idx="116">
                  <c:v>0.87815704628300895</c:v>
                </c:pt>
                <c:pt idx="117">
                  <c:v>0.87815704628300895</c:v>
                </c:pt>
                <c:pt idx="118">
                  <c:v>0.87815704628300895</c:v>
                </c:pt>
                <c:pt idx="119">
                  <c:v>0.87815704628300895</c:v>
                </c:pt>
                <c:pt idx="120">
                  <c:v>0.87815704628300895</c:v>
                </c:pt>
                <c:pt idx="121">
                  <c:v>0.87815704628300895</c:v>
                </c:pt>
                <c:pt idx="122">
                  <c:v>0.87815704628300895</c:v>
                </c:pt>
                <c:pt idx="123">
                  <c:v>0.87815704628300895</c:v>
                </c:pt>
                <c:pt idx="124">
                  <c:v>0.87815704628300895</c:v>
                </c:pt>
                <c:pt idx="125">
                  <c:v>0.87815704628300895</c:v>
                </c:pt>
                <c:pt idx="126">
                  <c:v>0.87815704628300895</c:v>
                </c:pt>
                <c:pt idx="127">
                  <c:v>0.87815704628300895</c:v>
                </c:pt>
                <c:pt idx="128">
                  <c:v>0.87815704628300895</c:v>
                </c:pt>
                <c:pt idx="129">
                  <c:v>0.87815704628300895</c:v>
                </c:pt>
                <c:pt idx="130">
                  <c:v>0.87815704628300895</c:v>
                </c:pt>
                <c:pt idx="131">
                  <c:v>0.87815704628300895</c:v>
                </c:pt>
                <c:pt idx="132">
                  <c:v>0.87815704628300895</c:v>
                </c:pt>
                <c:pt idx="133">
                  <c:v>0.87815704628300895</c:v>
                </c:pt>
                <c:pt idx="134">
                  <c:v>0.87815704628300895</c:v>
                </c:pt>
                <c:pt idx="135">
                  <c:v>0.87815704628300895</c:v>
                </c:pt>
                <c:pt idx="136">
                  <c:v>0.87815704628300895</c:v>
                </c:pt>
                <c:pt idx="137">
                  <c:v>0.87815704628300895</c:v>
                </c:pt>
                <c:pt idx="138">
                  <c:v>0.87815704628300895</c:v>
                </c:pt>
                <c:pt idx="139">
                  <c:v>0.87815704628300895</c:v>
                </c:pt>
                <c:pt idx="140">
                  <c:v>0.87815704628300895</c:v>
                </c:pt>
                <c:pt idx="141">
                  <c:v>0.87815704628300895</c:v>
                </c:pt>
                <c:pt idx="142">
                  <c:v>0.87815704628300895</c:v>
                </c:pt>
                <c:pt idx="143">
                  <c:v>0.87815704628300895</c:v>
                </c:pt>
                <c:pt idx="144">
                  <c:v>0.87815704628300895</c:v>
                </c:pt>
                <c:pt idx="145">
                  <c:v>0.87815704628300895</c:v>
                </c:pt>
                <c:pt idx="146">
                  <c:v>0.87815704628300895</c:v>
                </c:pt>
                <c:pt idx="147">
                  <c:v>0.87815704628300895</c:v>
                </c:pt>
                <c:pt idx="148">
                  <c:v>0.87815704628300895</c:v>
                </c:pt>
                <c:pt idx="149">
                  <c:v>0.87815704628300895</c:v>
                </c:pt>
                <c:pt idx="150">
                  <c:v>0.87815704628300895</c:v>
                </c:pt>
                <c:pt idx="151">
                  <c:v>0.87815704628300895</c:v>
                </c:pt>
                <c:pt idx="152">
                  <c:v>0.87815704628300895</c:v>
                </c:pt>
                <c:pt idx="153">
                  <c:v>0.87815704628300895</c:v>
                </c:pt>
                <c:pt idx="154">
                  <c:v>0.87815704628300895</c:v>
                </c:pt>
                <c:pt idx="155">
                  <c:v>0.87815704628300895</c:v>
                </c:pt>
                <c:pt idx="156">
                  <c:v>0.87815704628300895</c:v>
                </c:pt>
                <c:pt idx="157">
                  <c:v>0.87815704628300895</c:v>
                </c:pt>
                <c:pt idx="158">
                  <c:v>0.87815704628300895</c:v>
                </c:pt>
                <c:pt idx="159">
                  <c:v>0.87815704628300895</c:v>
                </c:pt>
                <c:pt idx="160">
                  <c:v>0.87815704628300895</c:v>
                </c:pt>
                <c:pt idx="161">
                  <c:v>0.87815704628300895</c:v>
                </c:pt>
                <c:pt idx="162">
                  <c:v>0.87815704628300895</c:v>
                </c:pt>
                <c:pt idx="163">
                  <c:v>0.87815704628300895</c:v>
                </c:pt>
                <c:pt idx="164">
                  <c:v>0.87815704628300895</c:v>
                </c:pt>
                <c:pt idx="165">
                  <c:v>0.87815704628300895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A-47E4-B812-5C3D974AE7CE}"/>
            </c:ext>
          </c:extLst>
        </c:ser>
        <c:ser>
          <c:idx val="1"/>
          <c:order val="1"/>
          <c:tx>
            <c:strRef>
              <c:f>NWS_NWSA_0!$Z$1</c:f>
              <c:strCache>
                <c:ptCount val="1"/>
                <c:pt idx="0">
                  <c:v> NWSA*/NWS*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NWS_NWSA_0!$Z$2:$Z$167</c:f>
              <c:numCache>
                <c:formatCode>_(* #,##0.0000_);_(* \(#,##0.0000\);_(* "-"??_);_(@_)</c:formatCode>
                <c:ptCount val="166"/>
                <c:pt idx="9">
                  <c:v>0.87440397331928599</c:v>
                </c:pt>
                <c:pt idx="10">
                  <c:v>0.87309176714923498</c:v>
                </c:pt>
                <c:pt idx="11">
                  <c:v>0.87147520101708498</c:v>
                </c:pt>
                <c:pt idx="12">
                  <c:v>0.86994838956215603</c:v>
                </c:pt>
                <c:pt idx="13">
                  <c:v>0.86871813801965303</c:v>
                </c:pt>
                <c:pt idx="14">
                  <c:v>0.86757911353092398</c:v>
                </c:pt>
                <c:pt idx="15">
                  <c:v>0.86667631780811705</c:v>
                </c:pt>
                <c:pt idx="16">
                  <c:v>0.86607367274422298</c:v>
                </c:pt>
                <c:pt idx="17">
                  <c:v>0.86594299649463102</c:v>
                </c:pt>
                <c:pt idx="18">
                  <c:v>0.86610579891897599</c:v>
                </c:pt>
                <c:pt idx="19">
                  <c:v>0.86604829815963102</c:v>
                </c:pt>
                <c:pt idx="20">
                  <c:v>0.86607644789354998</c:v>
                </c:pt>
                <c:pt idx="21">
                  <c:v>0.86682087434604604</c:v>
                </c:pt>
                <c:pt idx="22">
                  <c:v>0.86833675747259698</c:v>
                </c:pt>
                <c:pt idx="23">
                  <c:v>0.87036157579420104</c:v>
                </c:pt>
                <c:pt idx="24">
                  <c:v>0.87181077757679304</c:v>
                </c:pt>
                <c:pt idx="25">
                  <c:v>0.87162718563406805</c:v>
                </c:pt>
                <c:pt idx="26">
                  <c:v>0.87190461372592798</c:v>
                </c:pt>
                <c:pt idx="27">
                  <c:v>0.87180887725831802</c:v>
                </c:pt>
                <c:pt idx="28">
                  <c:v>0.87164919862207602</c:v>
                </c:pt>
                <c:pt idx="29">
                  <c:v>0.87212063072694901</c:v>
                </c:pt>
                <c:pt idx="30">
                  <c:v>0.87353811895473898</c:v>
                </c:pt>
                <c:pt idx="31">
                  <c:v>0.87566912252875395</c:v>
                </c:pt>
                <c:pt idx="32">
                  <c:v>0.87696742310111098</c:v>
                </c:pt>
                <c:pt idx="33">
                  <c:v>0.87765471257745498</c:v>
                </c:pt>
                <c:pt idx="34">
                  <c:v>0.87894470225753796</c:v>
                </c:pt>
                <c:pt idx="35">
                  <c:v>0.88139898038196596</c:v>
                </c:pt>
                <c:pt idx="36">
                  <c:v>0.88450216796316705</c:v>
                </c:pt>
                <c:pt idx="37">
                  <c:v>0.88800555199877496</c:v>
                </c:pt>
                <c:pt idx="38">
                  <c:v>0.89141216702598502</c:v>
                </c:pt>
                <c:pt idx="39">
                  <c:v>0.89478862699161599</c:v>
                </c:pt>
                <c:pt idx="40">
                  <c:v>0.897489267352926</c:v>
                </c:pt>
                <c:pt idx="41">
                  <c:v>0.89867215070898498</c:v>
                </c:pt>
                <c:pt idx="42">
                  <c:v>0.89960400810537999</c:v>
                </c:pt>
                <c:pt idx="43">
                  <c:v>0.89940766172534703</c:v>
                </c:pt>
                <c:pt idx="44">
                  <c:v>0.89895846041098204</c:v>
                </c:pt>
                <c:pt idx="45">
                  <c:v>0.89822223930311695</c:v>
                </c:pt>
                <c:pt idx="46">
                  <c:v>0.89679827262646405</c:v>
                </c:pt>
                <c:pt idx="47">
                  <c:v>0.89497069992037004</c:v>
                </c:pt>
                <c:pt idx="48">
                  <c:v>0.89283370591172295</c:v>
                </c:pt>
                <c:pt idx="49">
                  <c:v>0.89052292295913804</c:v>
                </c:pt>
                <c:pt idx="50">
                  <c:v>0.88864386469967804</c:v>
                </c:pt>
                <c:pt idx="51">
                  <c:v>0.88688853248349897</c:v>
                </c:pt>
                <c:pt idx="52">
                  <c:v>0.88461107793447702</c:v>
                </c:pt>
                <c:pt idx="53">
                  <c:v>0.88353598003714395</c:v>
                </c:pt>
                <c:pt idx="54">
                  <c:v>0.88332257951466897</c:v>
                </c:pt>
                <c:pt idx="55">
                  <c:v>0.88326420755289803</c:v>
                </c:pt>
                <c:pt idx="56">
                  <c:v>0.88286046476275604</c:v>
                </c:pt>
                <c:pt idx="57">
                  <c:v>0.88247142920985699</c:v>
                </c:pt>
                <c:pt idx="58">
                  <c:v>0.88113202751521202</c:v>
                </c:pt>
                <c:pt idx="59">
                  <c:v>0.88018173511755105</c:v>
                </c:pt>
                <c:pt idx="60">
                  <c:v>0.87869525273541704</c:v>
                </c:pt>
                <c:pt idx="61">
                  <c:v>0.87819661578917796</c:v>
                </c:pt>
                <c:pt idx="62">
                  <c:v>0.87714971382913098</c:v>
                </c:pt>
                <c:pt idx="63">
                  <c:v>0.87630201210928405</c:v>
                </c:pt>
                <c:pt idx="64">
                  <c:v>0.874894827799787</c:v>
                </c:pt>
                <c:pt idx="65">
                  <c:v>0.87339726246396798</c:v>
                </c:pt>
                <c:pt idx="66">
                  <c:v>0.87201511492122696</c:v>
                </c:pt>
                <c:pt idx="67">
                  <c:v>0.87058124251783697</c:v>
                </c:pt>
                <c:pt idx="68">
                  <c:v>0.86986273243958701</c:v>
                </c:pt>
                <c:pt idx="69">
                  <c:v>0.86918201790611505</c:v>
                </c:pt>
                <c:pt idx="70">
                  <c:v>0.86863438423299699</c:v>
                </c:pt>
                <c:pt idx="71">
                  <c:v>0.86783608315379901</c:v>
                </c:pt>
                <c:pt idx="72">
                  <c:v>0.86784998761742904</c:v>
                </c:pt>
                <c:pt idx="73">
                  <c:v>0.86751633708613396</c:v>
                </c:pt>
                <c:pt idx="74">
                  <c:v>0.86742759138829995</c:v>
                </c:pt>
                <c:pt idx="75">
                  <c:v>0.86739771282945299</c:v>
                </c:pt>
                <c:pt idx="76">
                  <c:v>0.86735925841877803</c:v>
                </c:pt>
                <c:pt idx="77">
                  <c:v>0.86737526623733396</c:v>
                </c:pt>
                <c:pt idx="78">
                  <c:v>0.86731660076055395</c:v>
                </c:pt>
                <c:pt idx="79">
                  <c:v>0.86729227216197502</c:v>
                </c:pt>
                <c:pt idx="80">
                  <c:v>0.86714070503270602</c:v>
                </c:pt>
                <c:pt idx="81">
                  <c:v>0.86651096081650103</c:v>
                </c:pt>
                <c:pt idx="82">
                  <c:v>0.86598261193611303</c:v>
                </c:pt>
                <c:pt idx="83">
                  <c:v>0.86587731034672299</c:v>
                </c:pt>
                <c:pt idx="84">
                  <c:v>0.86561607094321003</c:v>
                </c:pt>
                <c:pt idx="85">
                  <c:v>0.86559008280757399</c:v>
                </c:pt>
                <c:pt idx="86">
                  <c:v>0.866693949138718</c:v>
                </c:pt>
                <c:pt idx="87">
                  <c:v>0.86635204474858596</c:v>
                </c:pt>
                <c:pt idx="88">
                  <c:v>0.86655743339130198</c:v>
                </c:pt>
                <c:pt idx="89">
                  <c:v>0.86703639957498002</c:v>
                </c:pt>
                <c:pt idx="90">
                  <c:v>0.86718959922586902</c:v>
                </c:pt>
                <c:pt idx="91">
                  <c:v>0.86810518042316598</c:v>
                </c:pt>
                <c:pt idx="92">
                  <c:v>0.86897312129933801</c:v>
                </c:pt>
                <c:pt idx="93">
                  <c:v>0.86935443664759704</c:v>
                </c:pt>
                <c:pt idx="94">
                  <c:v>0.86991204716985004</c:v>
                </c:pt>
                <c:pt idx="95">
                  <c:v>0.87001085195605099</c:v>
                </c:pt>
                <c:pt idx="96">
                  <c:v>0.86966146490822205</c:v>
                </c:pt>
                <c:pt idx="97">
                  <c:v>0.87059361587916695</c:v>
                </c:pt>
                <c:pt idx="98">
                  <c:v>0.87141891395107896</c:v>
                </c:pt>
                <c:pt idx="99">
                  <c:v>0.87147679267168598</c:v>
                </c:pt>
                <c:pt idx="100">
                  <c:v>0.87198915194799698</c:v>
                </c:pt>
                <c:pt idx="101">
                  <c:v>0.872247015619387</c:v>
                </c:pt>
                <c:pt idx="102">
                  <c:v>0.87244499392594499</c:v>
                </c:pt>
                <c:pt idx="103">
                  <c:v>0.87305284752110202</c:v>
                </c:pt>
                <c:pt idx="104">
                  <c:v>0.87326319852338496</c:v>
                </c:pt>
                <c:pt idx="105">
                  <c:v>0.87369500193764404</c:v>
                </c:pt>
                <c:pt idx="106">
                  <c:v>0.87379427765340101</c:v>
                </c:pt>
                <c:pt idx="107">
                  <c:v>0.87376974917778505</c:v>
                </c:pt>
                <c:pt idx="108">
                  <c:v>0.87386305772916895</c:v>
                </c:pt>
                <c:pt idx="109">
                  <c:v>0.87381280935499295</c:v>
                </c:pt>
                <c:pt idx="110">
                  <c:v>0.87369186563517298</c:v>
                </c:pt>
                <c:pt idx="111">
                  <c:v>0.87393158144197503</c:v>
                </c:pt>
                <c:pt idx="112">
                  <c:v>0.87444150466376303</c:v>
                </c:pt>
                <c:pt idx="113">
                  <c:v>0.87468279802037396</c:v>
                </c:pt>
                <c:pt idx="114">
                  <c:v>0.87509559008809601</c:v>
                </c:pt>
                <c:pt idx="115">
                  <c:v>0.87582654468876797</c:v>
                </c:pt>
                <c:pt idx="116">
                  <c:v>0.87657143619851896</c:v>
                </c:pt>
                <c:pt idx="117">
                  <c:v>0.87763405768986003</c:v>
                </c:pt>
                <c:pt idx="118">
                  <c:v>0.87849484543286005</c:v>
                </c:pt>
                <c:pt idx="119">
                  <c:v>0.87953368723593095</c:v>
                </c:pt>
                <c:pt idx="120">
                  <c:v>0.88068940542612895</c:v>
                </c:pt>
                <c:pt idx="121">
                  <c:v>0.88140089598184501</c:v>
                </c:pt>
                <c:pt idx="122">
                  <c:v>0.882026600363786</c:v>
                </c:pt>
                <c:pt idx="123">
                  <c:v>0.88241377551238198</c:v>
                </c:pt>
                <c:pt idx="124">
                  <c:v>0.88294314064151502</c:v>
                </c:pt>
                <c:pt idx="125">
                  <c:v>0.88375354529927996</c:v>
                </c:pt>
                <c:pt idx="126">
                  <c:v>0.88395804208930195</c:v>
                </c:pt>
                <c:pt idx="127">
                  <c:v>0.88446025497215397</c:v>
                </c:pt>
                <c:pt idx="128">
                  <c:v>0.88433412605245498</c:v>
                </c:pt>
                <c:pt idx="129">
                  <c:v>0.88450386987492702</c:v>
                </c:pt>
                <c:pt idx="130">
                  <c:v>0.88434372081617996</c:v>
                </c:pt>
                <c:pt idx="131">
                  <c:v>0.88447089484838903</c:v>
                </c:pt>
                <c:pt idx="132">
                  <c:v>0.88435844291905596</c:v>
                </c:pt>
                <c:pt idx="133">
                  <c:v>0.88439009889539599</c:v>
                </c:pt>
                <c:pt idx="134">
                  <c:v>0.88378324572918199</c:v>
                </c:pt>
                <c:pt idx="135">
                  <c:v>0.882872272789895</c:v>
                </c:pt>
                <c:pt idx="136">
                  <c:v>0.88273198426094601</c:v>
                </c:pt>
                <c:pt idx="137">
                  <c:v>0.882297245989487</c:v>
                </c:pt>
                <c:pt idx="138">
                  <c:v>0.88249434840899599</c:v>
                </c:pt>
                <c:pt idx="139">
                  <c:v>0.88264283144567901</c:v>
                </c:pt>
                <c:pt idx="140">
                  <c:v>0.88261887132717798</c:v>
                </c:pt>
                <c:pt idx="141">
                  <c:v>0.882603834211236</c:v>
                </c:pt>
                <c:pt idx="142">
                  <c:v>0.88252390252283097</c:v>
                </c:pt>
                <c:pt idx="143">
                  <c:v>0.882688827743073</c:v>
                </c:pt>
                <c:pt idx="144">
                  <c:v>0.88313163873022305</c:v>
                </c:pt>
                <c:pt idx="145">
                  <c:v>0.88319104558553696</c:v>
                </c:pt>
                <c:pt idx="146">
                  <c:v>0.88235988879531002</c:v>
                </c:pt>
                <c:pt idx="147">
                  <c:v>0.88173892482462102</c:v>
                </c:pt>
                <c:pt idx="148">
                  <c:v>0.88083436884811195</c:v>
                </c:pt>
                <c:pt idx="149">
                  <c:v>0.88008480688027702</c:v>
                </c:pt>
                <c:pt idx="150">
                  <c:v>0.87948631946859401</c:v>
                </c:pt>
                <c:pt idx="151">
                  <c:v>0.87853174019101699</c:v>
                </c:pt>
                <c:pt idx="152">
                  <c:v>0.87796466972758103</c:v>
                </c:pt>
                <c:pt idx="153">
                  <c:v>0.87751472540123199</c:v>
                </c:pt>
                <c:pt idx="154">
                  <c:v>0.877289894918306</c:v>
                </c:pt>
                <c:pt idx="155">
                  <c:v>0.87722191899152602</c:v>
                </c:pt>
                <c:pt idx="156">
                  <c:v>0.87760170794432801</c:v>
                </c:pt>
                <c:pt idx="157">
                  <c:v>0.87771843849156905</c:v>
                </c:pt>
                <c:pt idx="158">
                  <c:v>0.87789262345644103</c:v>
                </c:pt>
                <c:pt idx="159">
                  <c:v>0.87793409881985196</c:v>
                </c:pt>
                <c:pt idx="160">
                  <c:v>0.87803290272636003</c:v>
                </c:pt>
                <c:pt idx="161">
                  <c:v>0.87836484841715701</c:v>
                </c:pt>
                <c:pt idx="162">
                  <c:v>0.87849006080932901</c:v>
                </c:pt>
                <c:pt idx="163">
                  <c:v>0.87891358006961495</c:v>
                </c:pt>
                <c:pt idx="164">
                  <c:v>0.87986938835085304</c:v>
                </c:pt>
                <c:pt idx="165">
                  <c:v>0.88129540274918905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A-47E4-B812-5C3D974AE7CE}"/>
            </c:ext>
          </c:extLst>
        </c:ser>
        <c:ser>
          <c:idx val="2"/>
          <c:order val="2"/>
          <c:tx>
            <c:strRef>
              <c:f>NWS_NWSA_0!$AA$1</c:f>
              <c:strCache>
                <c:ptCount val="1"/>
                <c:pt idx="0">
                  <c:v> NWSA*/NWS*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NWS_NWSA_0!$AA$2:$AA$167</c:f>
              <c:numCache>
                <c:formatCode>_(* #,##0.0000_);_(* \(#,##0.0000\);_(* "-"??_);_(@_)</c:formatCode>
                <c:ptCount val="166"/>
                <c:pt idx="19">
                  <c:v>0.87022613573945795</c:v>
                </c:pt>
                <c:pt idx="20">
                  <c:v>0.86958410752139303</c:v>
                </c:pt>
                <c:pt idx="21">
                  <c:v>0.86914803768156601</c:v>
                </c:pt>
                <c:pt idx="22">
                  <c:v>0.869142573517376</c:v>
                </c:pt>
                <c:pt idx="23">
                  <c:v>0.86953985690692703</c:v>
                </c:pt>
                <c:pt idx="24">
                  <c:v>0.86969494555385796</c:v>
                </c:pt>
                <c:pt idx="25">
                  <c:v>0.86915175172109305</c:v>
                </c:pt>
                <c:pt idx="26">
                  <c:v>0.86898914323507503</c:v>
                </c:pt>
                <c:pt idx="27">
                  <c:v>0.86887593687647402</c:v>
                </c:pt>
                <c:pt idx="28">
                  <c:v>0.868877498770526</c:v>
                </c:pt>
                <c:pt idx="29">
                  <c:v>0.86908446444329002</c:v>
                </c:pt>
                <c:pt idx="30">
                  <c:v>0.86980728342414504</c:v>
                </c:pt>
                <c:pt idx="31">
                  <c:v>0.8712449984374</c:v>
                </c:pt>
                <c:pt idx="32">
                  <c:v>0.87265209028685398</c:v>
                </c:pt>
                <c:pt idx="33">
                  <c:v>0.87400814418582795</c:v>
                </c:pt>
                <c:pt idx="34">
                  <c:v>0.87537773991716505</c:v>
                </c:pt>
                <c:pt idx="35">
                  <c:v>0.876513083008017</c:v>
                </c:pt>
                <c:pt idx="36">
                  <c:v>0.87820339084454702</c:v>
                </c:pt>
                <c:pt idx="37">
                  <c:v>0.87990721462854604</c:v>
                </c:pt>
                <c:pt idx="38">
                  <c:v>0.88153068282403102</c:v>
                </c:pt>
                <c:pt idx="39">
                  <c:v>0.88345462885928305</c:v>
                </c:pt>
                <c:pt idx="40">
                  <c:v>0.88551369315383299</c:v>
                </c:pt>
                <c:pt idx="41">
                  <c:v>0.88717063661886997</c:v>
                </c:pt>
                <c:pt idx="42">
                  <c:v>0.88828571560324598</c:v>
                </c:pt>
                <c:pt idx="43">
                  <c:v>0.888531187151401</c:v>
                </c:pt>
                <c:pt idx="44">
                  <c:v>0.88895158133426</c:v>
                </c:pt>
                <c:pt idx="45">
                  <c:v>0.88981060984254101</c:v>
                </c:pt>
                <c:pt idx="46">
                  <c:v>0.890650220294816</c:v>
                </c:pt>
                <c:pt idx="47">
                  <c:v>0.89148812595957305</c:v>
                </c:pt>
                <c:pt idx="48">
                  <c:v>0.89212293646885399</c:v>
                </c:pt>
                <c:pt idx="49">
                  <c:v>0.89265577497537696</c:v>
                </c:pt>
                <c:pt idx="50">
                  <c:v>0.89306656602630197</c:v>
                </c:pt>
                <c:pt idx="51">
                  <c:v>0.89278034159624198</c:v>
                </c:pt>
                <c:pt idx="52">
                  <c:v>0.89210754301992901</c:v>
                </c:pt>
                <c:pt idx="53">
                  <c:v>0.89147182088124599</c:v>
                </c:pt>
                <c:pt idx="54">
                  <c:v>0.89114051996282595</c:v>
                </c:pt>
                <c:pt idx="55">
                  <c:v>0.89074322342800705</c:v>
                </c:pt>
                <c:pt idx="56">
                  <c:v>0.88982936869461005</c:v>
                </c:pt>
                <c:pt idx="57">
                  <c:v>0.88872106456511302</c:v>
                </c:pt>
                <c:pt idx="58">
                  <c:v>0.88698286671346804</c:v>
                </c:pt>
                <c:pt idx="59">
                  <c:v>0.88535232903834404</c:v>
                </c:pt>
                <c:pt idx="60">
                  <c:v>0.88366955871754804</c:v>
                </c:pt>
                <c:pt idx="61">
                  <c:v>0.88254257413633896</c:v>
                </c:pt>
                <c:pt idx="62">
                  <c:v>0.880880395881804</c:v>
                </c:pt>
                <c:pt idx="63">
                  <c:v>0.879918996073214</c:v>
                </c:pt>
                <c:pt idx="64">
                  <c:v>0.87910870365722804</c:v>
                </c:pt>
                <c:pt idx="65">
                  <c:v>0.87833073500843295</c:v>
                </c:pt>
                <c:pt idx="66">
                  <c:v>0.87743778984199094</c:v>
                </c:pt>
                <c:pt idx="67">
                  <c:v>0.87652633586384698</c:v>
                </c:pt>
                <c:pt idx="68">
                  <c:v>0.87549737997739996</c:v>
                </c:pt>
                <c:pt idx="69">
                  <c:v>0.87468187651183305</c:v>
                </c:pt>
                <c:pt idx="70">
                  <c:v>0.87366481848420696</c:v>
                </c:pt>
                <c:pt idx="71">
                  <c:v>0.87301634947148898</c:v>
                </c:pt>
                <c:pt idx="72">
                  <c:v>0.87249985072327996</c:v>
                </c:pt>
                <c:pt idx="73">
                  <c:v>0.871909174597709</c:v>
                </c:pt>
                <c:pt idx="74">
                  <c:v>0.87116120959404297</c:v>
                </c:pt>
                <c:pt idx="75">
                  <c:v>0.87039748764670999</c:v>
                </c:pt>
                <c:pt idx="76">
                  <c:v>0.869687186670002</c:v>
                </c:pt>
                <c:pt idx="77">
                  <c:v>0.86897825437758602</c:v>
                </c:pt>
                <c:pt idx="78">
                  <c:v>0.86858966660006998</c:v>
                </c:pt>
                <c:pt idx="79">
                  <c:v>0.86823714503404503</c:v>
                </c:pt>
                <c:pt idx="80">
                  <c:v>0.867887544632852</c:v>
                </c:pt>
                <c:pt idx="81">
                  <c:v>0.86717352198514996</c:v>
                </c:pt>
                <c:pt idx="82">
                  <c:v>0.86691629977677098</c:v>
                </c:pt>
                <c:pt idx="83">
                  <c:v>0.86669682371642898</c:v>
                </c:pt>
                <c:pt idx="84">
                  <c:v>0.86652183116575499</c:v>
                </c:pt>
                <c:pt idx="85">
                  <c:v>0.86649389781851405</c:v>
                </c:pt>
                <c:pt idx="86">
                  <c:v>0.86702660377874796</c:v>
                </c:pt>
                <c:pt idx="87">
                  <c:v>0.86686365549295996</c:v>
                </c:pt>
                <c:pt idx="88">
                  <c:v>0.86693701707592796</c:v>
                </c:pt>
                <c:pt idx="89">
                  <c:v>0.86716433586847796</c:v>
                </c:pt>
                <c:pt idx="90">
                  <c:v>0.86716515212928802</c:v>
                </c:pt>
                <c:pt idx="91">
                  <c:v>0.86730807061983295</c:v>
                </c:pt>
                <c:pt idx="92">
                  <c:v>0.86747786661772497</c:v>
                </c:pt>
                <c:pt idx="93">
                  <c:v>0.86761587349715996</c:v>
                </c:pt>
                <c:pt idx="94">
                  <c:v>0.86776405905652998</c:v>
                </c:pt>
                <c:pt idx="95">
                  <c:v>0.86780046738181305</c:v>
                </c:pt>
                <c:pt idx="96">
                  <c:v>0.86817770702346997</c:v>
                </c:pt>
                <c:pt idx="97">
                  <c:v>0.86847283031387601</c:v>
                </c:pt>
                <c:pt idx="98">
                  <c:v>0.86898817367118997</c:v>
                </c:pt>
                <c:pt idx="99">
                  <c:v>0.86925659612333295</c:v>
                </c:pt>
                <c:pt idx="100">
                  <c:v>0.86958937558693306</c:v>
                </c:pt>
                <c:pt idx="101">
                  <c:v>0.87017609802127704</c:v>
                </c:pt>
                <c:pt idx="102">
                  <c:v>0.87070905761264095</c:v>
                </c:pt>
                <c:pt idx="103">
                  <c:v>0.87120364208434897</c:v>
                </c:pt>
                <c:pt idx="104">
                  <c:v>0.87158762284661695</c:v>
                </c:pt>
                <c:pt idx="105">
                  <c:v>0.87185292694684802</c:v>
                </c:pt>
                <c:pt idx="106">
                  <c:v>0.87172787128081197</c:v>
                </c:pt>
                <c:pt idx="107">
                  <c:v>0.87218168252847605</c:v>
                </c:pt>
                <c:pt idx="108">
                  <c:v>0.87264098584012395</c:v>
                </c:pt>
                <c:pt idx="109">
                  <c:v>0.87264480101333897</c:v>
                </c:pt>
                <c:pt idx="110">
                  <c:v>0.87284050879158503</c:v>
                </c:pt>
                <c:pt idx="111">
                  <c:v>0.87308929853068096</c:v>
                </c:pt>
                <c:pt idx="112">
                  <c:v>0.87344324929485395</c:v>
                </c:pt>
                <c:pt idx="113">
                  <c:v>0.87386782277073805</c:v>
                </c:pt>
                <c:pt idx="114">
                  <c:v>0.87417939430573999</c:v>
                </c:pt>
                <c:pt idx="115">
                  <c:v>0.87476077331320601</c:v>
                </c:pt>
                <c:pt idx="116">
                  <c:v>0.87518285692595998</c:v>
                </c:pt>
                <c:pt idx="117">
                  <c:v>0.87570190343382204</c:v>
                </c:pt>
                <c:pt idx="118">
                  <c:v>0.876178951581015</c:v>
                </c:pt>
                <c:pt idx="119">
                  <c:v>0.876673248295462</c:v>
                </c:pt>
                <c:pt idx="120">
                  <c:v>0.87719063553065102</c:v>
                </c:pt>
                <c:pt idx="121">
                  <c:v>0.87766623871190996</c:v>
                </c:pt>
                <c:pt idx="122">
                  <c:v>0.87823405251377396</c:v>
                </c:pt>
                <c:pt idx="123">
                  <c:v>0.87854828676637797</c:v>
                </c:pt>
                <c:pt idx="124">
                  <c:v>0.87901936536480496</c:v>
                </c:pt>
                <c:pt idx="125">
                  <c:v>0.87979004499402402</c:v>
                </c:pt>
                <c:pt idx="126">
                  <c:v>0.88026473914391001</c:v>
                </c:pt>
                <c:pt idx="127">
                  <c:v>0.88104715633100705</c:v>
                </c:pt>
                <c:pt idx="128">
                  <c:v>0.88141448574265702</c:v>
                </c:pt>
                <c:pt idx="129">
                  <c:v>0.88201877855542898</c:v>
                </c:pt>
                <c:pt idx="130">
                  <c:v>0.88251656312115401</c:v>
                </c:pt>
                <c:pt idx="131">
                  <c:v>0.88293589541511697</c:v>
                </c:pt>
                <c:pt idx="132">
                  <c:v>0.88319252164142104</c:v>
                </c:pt>
                <c:pt idx="133">
                  <c:v>0.88340193720388904</c:v>
                </c:pt>
                <c:pt idx="134">
                  <c:v>0.88336319318534895</c:v>
                </c:pt>
                <c:pt idx="135">
                  <c:v>0.88331290904458704</c:v>
                </c:pt>
                <c:pt idx="136">
                  <c:v>0.88334501317512404</c:v>
                </c:pt>
                <c:pt idx="137">
                  <c:v>0.88337875048082004</c:v>
                </c:pt>
                <c:pt idx="138">
                  <c:v>0.88341423723072499</c:v>
                </c:pt>
                <c:pt idx="139">
                  <c:v>0.88357335066030296</c:v>
                </c:pt>
                <c:pt idx="140">
                  <c:v>0.88348129607167902</c:v>
                </c:pt>
                <c:pt idx="141">
                  <c:v>0.88353736452981302</c:v>
                </c:pt>
                <c:pt idx="142">
                  <c:v>0.88344117272094402</c:v>
                </c:pt>
                <c:pt idx="143">
                  <c:v>0.88353946331923405</c:v>
                </c:pt>
                <c:pt idx="144">
                  <c:v>0.88345744222970202</c:v>
                </c:pt>
                <c:pt idx="145">
                  <c:v>0.88303165918771598</c:v>
                </c:pt>
                <c:pt idx="146">
                  <c:v>0.88254593652812796</c:v>
                </c:pt>
                <c:pt idx="147">
                  <c:v>0.88201808540705395</c:v>
                </c:pt>
                <c:pt idx="148">
                  <c:v>0.88166435862855397</c:v>
                </c:pt>
                <c:pt idx="149">
                  <c:v>0.88136381916297801</c:v>
                </c:pt>
                <c:pt idx="150">
                  <c:v>0.88105259539788605</c:v>
                </c:pt>
                <c:pt idx="151">
                  <c:v>0.88056778720112705</c:v>
                </c:pt>
                <c:pt idx="152">
                  <c:v>0.880244286125206</c:v>
                </c:pt>
                <c:pt idx="153">
                  <c:v>0.88010177657215305</c:v>
                </c:pt>
                <c:pt idx="154">
                  <c:v>0.88021076682426502</c:v>
                </c:pt>
                <c:pt idx="155">
                  <c:v>0.88020648228853204</c:v>
                </c:pt>
                <c:pt idx="156">
                  <c:v>0.87998079836981902</c:v>
                </c:pt>
                <c:pt idx="157">
                  <c:v>0.87972868165809504</c:v>
                </c:pt>
                <c:pt idx="158">
                  <c:v>0.87936349615227605</c:v>
                </c:pt>
                <c:pt idx="159">
                  <c:v>0.87900945285006404</c:v>
                </c:pt>
                <c:pt idx="160">
                  <c:v>0.87875961109747702</c:v>
                </c:pt>
                <c:pt idx="161">
                  <c:v>0.878448294304087</c:v>
                </c:pt>
                <c:pt idx="162">
                  <c:v>0.87822736526845502</c:v>
                </c:pt>
                <c:pt idx="163">
                  <c:v>0.87821415273542303</c:v>
                </c:pt>
                <c:pt idx="164">
                  <c:v>0.87857964163458002</c:v>
                </c:pt>
                <c:pt idx="165">
                  <c:v>0.87925866087035698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1A-47E4-B812-5C3D974AE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NWS_NWSA_0!$U$1</c:f>
              <c:strCache>
                <c:ptCount val="1"/>
                <c:pt idx="0">
                  <c:v>log diff NWS x avg / NWSA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NWS_NWSA_0!$U$2:$U$167</c:f>
              <c:numCache>
                <c:formatCode>0.0000%</c:formatCode>
                <c:ptCount val="166"/>
                <c:pt idx="1">
                  <c:v>2.5509887388728502E-3</c:v>
                </c:pt>
                <c:pt idx="2">
                  <c:v>-1.0388200701268199E-3</c:v>
                </c:pt>
                <c:pt idx="3">
                  <c:v>2.51236372600627E-3</c:v>
                </c:pt>
                <c:pt idx="4">
                  <c:v>4.6407169177543001E-3</c:v>
                </c:pt>
                <c:pt idx="5">
                  <c:v>1.90007500366687E-3</c:v>
                </c:pt>
                <c:pt idx="6">
                  <c:v>9.1438215711571406E-3</c:v>
                </c:pt>
                <c:pt idx="7">
                  <c:v>9.3585199933331007E-3</c:v>
                </c:pt>
                <c:pt idx="8">
                  <c:v>5.9783519369802397E-3</c:v>
                </c:pt>
                <c:pt idx="9">
                  <c:v>9.6692560488003797E-3</c:v>
                </c:pt>
                <c:pt idx="10">
                  <c:v>1.32218028633658E-2</c:v>
                </c:pt>
                <c:pt idx="11">
                  <c:v>2.1179061305868802E-2</c:v>
                </c:pt>
                <c:pt idx="12">
                  <c:v>1.6482271806182201E-2</c:v>
                </c:pt>
                <c:pt idx="13">
                  <c:v>1.6656635841630098E-2</c:v>
                </c:pt>
                <c:pt idx="14">
                  <c:v>1.7757321609508599E-2</c:v>
                </c:pt>
                <c:pt idx="15">
                  <c:v>1.22536133664169E-2</c:v>
                </c:pt>
                <c:pt idx="16">
                  <c:v>1.60935649451278E-2</c:v>
                </c:pt>
                <c:pt idx="17">
                  <c:v>1.08617145642454E-2</c:v>
                </c:pt>
                <c:pt idx="18">
                  <c:v>4.1150622869128E-3</c:v>
                </c:pt>
                <c:pt idx="19">
                  <c:v>1.0330625758685E-2</c:v>
                </c:pt>
                <c:pt idx="20">
                  <c:v>1.2897034486166799E-2</c:v>
                </c:pt>
                <c:pt idx="21">
                  <c:v>1.25577343890732E-2</c:v>
                </c:pt>
                <c:pt idx="22">
                  <c:v>-9.1449537908306505E-4</c:v>
                </c:pt>
                <c:pt idx="23">
                  <c:v>-6.5176208131276104E-3</c:v>
                </c:pt>
                <c:pt idx="24">
                  <c:v>1.0984292682568199E-3</c:v>
                </c:pt>
                <c:pt idx="25">
                  <c:v>1.43722822369113E-2</c:v>
                </c:pt>
                <c:pt idx="26">
                  <c:v>1.2888245054579601E-2</c:v>
                </c:pt>
                <c:pt idx="27">
                  <c:v>1.1964425852135099E-2</c:v>
                </c:pt>
                <c:pt idx="28">
                  <c:v>5.9425671883489798E-3</c:v>
                </c:pt>
                <c:pt idx="29">
                  <c:v>4.9211110303842504E-3</c:v>
                </c:pt>
                <c:pt idx="30">
                  <c:v>-3.3218779484710799E-3</c:v>
                </c:pt>
                <c:pt idx="31">
                  <c:v>-1.17186236366437E-2</c:v>
                </c:pt>
                <c:pt idx="32">
                  <c:v>-1.5577332578552899E-2</c:v>
                </c:pt>
                <c:pt idx="33">
                  <c:v>-1.42632003881412E-2</c:v>
                </c:pt>
                <c:pt idx="34">
                  <c:v>-1.3500370152895701E-2</c:v>
                </c:pt>
                <c:pt idx="35">
                  <c:v>-1.35858537093844E-2</c:v>
                </c:pt>
                <c:pt idx="36">
                  <c:v>-2.2281859372721799E-2</c:v>
                </c:pt>
                <c:pt idx="37">
                  <c:v>-2.76167192538956E-2</c:v>
                </c:pt>
                <c:pt idx="38">
                  <c:v>-3.2339235889201901E-2</c:v>
                </c:pt>
                <c:pt idx="39">
                  <c:v>-3.2990155275399197E-2</c:v>
                </c:pt>
                <c:pt idx="40">
                  <c:v>-3.3513015301364697E-2</c:v>
                </c:pt>
                <c:pt idx="41">
                  <c:v>-2.4943919470091998E-2</c:v>
                </c:pt>
                <c:pt idx="42">
                  <c:v>-2.5970628347226798E-2</c:v>
                </c:pt>
                <c:pt idx="43">
                  <c:v>-1.2056540701161999E-2</c:v>
                </c:pt>
                <c:pt idx="44">
                  <c:v>-8.4409135460254605E-3</c:v>
                </c:pt>
                <c:pt idx="45">
                  <c:v>-5.2808856632049197E-3</c:v>
                </c:pt>
                <c:pt idx="46">
                  <c:v>-6.2966893897490701E-3</c:v>
                </c:pt>
                <c:pt idx="47">
                  <c:v>-7.1644134968094301E-3</c:v>
                </c:pt>
                <c:pt idx="48">
                  <c:v>-8.4966460192049606E-3</c:v>
                </c:pt>
                <c:pt idx="49">
                  <c:v>-7.2003735464383004E-3</c:v>
                </c:pt>
                <c:pt idx="50">
                  <c:v>-1.2603397644940499E-2</c:v>
                </c:pt>
                <c:pt idx="51">
                  <c:v>-5.2549714438425996E-3</c:v>
                </c:pt>
                <c:pt idx="52">
                  <c:v>-3.7625377711765902E-4</c:v>
                </c:pt>
                <c:pt idx="53">
                  <c:v>1.13153585069379E-4</c:v>
                </c:pt>
                <c:pt idx="54">
                  <c:v>-6.0283363142263104E-3</c:v>
                </c:pt>
                <c:pt idx="55">
                  <c:v>-4.6194581461838601E-3</c:v>
                </c:pt>
                <c:pt idx="56">
                  <c:v>-1.7174646474626401E-3</c:v>
                </c:pt>
                <c:pt idx="57">
                  <c:v>-2.7562010551279601E-3</c:v>
                </c:pt>
                <c:pt idx="58">
                  <c:v>6.7422494151514901E-3</c:v>
                </c:pt>
                <c:pt idx="59">
                  <c:v>3.6015594863752602E-3</c:v>
                </c:pt>
                <c:pt idx="60">
                  <c:v>4.2531722509668796E-3</c:v>
                </c:pt>
                <c:pt idx="61">
                  <c:v>4.0950144703327698E-4</c:v>
                </c:pt>
                <c:pt idx="62">
                  <c:v>1.1612419481137099E-2</c:v>
                </c:pt>
                <c:pt idx="63">
                  <c:v>9.8143410935153698E-3</c:v>
                </c:pt>
                <c:pt idx="64">
                  <c:v>1.0027857931903699E-2</c:v>
                </c:pt>
                <c:pt idx="65">
                  <c:v>1.2501173247927599E-2</c:v>
                </c:pt>
                <c:pt idx="66">
                  <c:v>1.4119455800911901E-2</c:v>
                </c:pt>
                <c:pt idx="67">
                  <c:v>1.3661086474108901E-2</c:v>
                </c:pt>
                <c:pt idx="68">
                  <c:v>1.5013738260273E-2</c:v>
                </c:pt>
                <c:pt idx="69">
                  <c:v>1.1411573068480599E-2</c:v>
                </c:pt>
                <c:pt idx="70">
                  <c:v>1.0535615644770201E-2</c:v>
                </c:pt>
                <c:pt idx="71">
                  <c:v>9.5454724123338799E-3</c:v>
                </c:pt>
                <c:pt idx="72">
                  <c:v>1.1452246050311201E-2</c:v>
                </c:pt>
                <c:pt idx="73">
                  <c:v>1.3658633861647399E-2</c:v>
                </c:pt>
                <c:pt idx="74">
                  <c:v>1.1049154598820299E-2</c:v>
                </c:pt>
                <c:pt idx="75">
                  <c:v>1.2845754360449E-2</c:v>
                </c:pt>
                <c:pt idx="76">
                  <c:v>1.4563680221827399E-2</c:v>
                </c:pt>
                <c:pt idx="77">
                  <c:v>1.34763074061338E-2</c:v>
                </c:pt>
                <c:pt idx="78">
                  <c:v>1.56921261704163E-2</c:v>
                </c:pt>
                <c:pt idx="79">
                  <c:v>1.16918334712041E-2</c:v>
                </c:pt>
                <c:pt idx="80">
                  <c:v>1.2281387262815E-2</c:v>
                </c:pt>
                <c:pt idx="81">
                  <c:v>1.6811791223181799E-2</c:v>
                </c:pt>
                <c:pt idx="82">
                  <c:v>1.7556704475237699E-2</c:v>
                </c:pt>
                <c:pt idx="83">
                  <c:v>1.48749842708733E-2</c:v>
                </c:pt>
                <c:pt idx="84">
                  <c:v>1.4061599135662401E-2</c:v>
                </c:pt>
                <c:pt idx="85">
                  <c:v>1.31455648861682E-2</c:v>
                </c:pt>
                <c:pt idx="86">
                  <c:v>1.8896660384864301E-3</c:v>
                </c:pt>
                <c:pt idx="87">
                  <c:v>1.7430369668114301E-2</c:v>
                </c:pt>
                <c:pt idx="88">
                  <c:v>1.33190928365742E-2</c:v>
                </c:pt>
                <c:pt idx="89">
                  <c:v>6.1886396470646502E-3</c:v>
                </c:pt>
                <c:pt idx="90">
                  <c:v>1.0516828610345599E-2</c:v>
                </c:pt>
                <c:pt idx="91">
                  <c:v>6.2646769058589003E-3</c:v>
                </c:pt>
                <c:pt idx="92">
                  <c:v>7.5482364097875501E-3</c:v>
                </c:pt>
                <c:pt idx="93">
                  <c:v>1.0477371955770899E-2</c:v>
                </c:pt>
                <c:pt idx="94">
                  <c:v>7.64254527960701E-3</c:v>
                </c:pt>
                <c:pt idx="95">
                  <c:v>1.2006188006232901E-2</c:v>
                </c:pt>
                <c:pt idx="96">
                  <c:v>5.8837970688415597E-3</c:v>
                </c:pt>
                <c:pt idx="97">
                  <c:v>6.6867913975861603E-3</c:v>
                </c:pt>
                <c:pt idx="98">
                  <c:v>3.84008065625997E-3</c:v>
                </c:pt>
                <c:pt idx="99">
                  <c:v>5.5256748698726196E-3</c:v>
                </c:pt>
                <c:pt idx="100">
                  <c:v>4.6379754645772802E-3</c:v>
                </c:pt>
                <c:pt idx="101">
                  <c:v>3.3141618697973001E-3</c:v>
                </c:pt>
                <c:pt idx="102">
                  <c:v>5.2792558440972401E-3</c:v>
                </c:pt>
                <c:pt idx="103">
                  <c:v>3.5068938925146799E-3</c:v>
                </c:pt>
                <c:pt idx="104">
                  <c:v>5.2317079990691203E-3</c:v>
                </c:pt>
                <c:pt idx="105">
                  <c:v>7.0419831691049799E-3</c:v>
                </c:pt>
                <c:pt idx="106">
                  <c:v>4.7472712131780602E-3</c:v>
                </c:pt>
                <c:pt idx="107">
                  <c:v>6.96802257949964E-3</c:v>
                </c:pt>
                <c:pt idx="108">
                  <c:v>2.7740112804421598E-3</c:v>
                </c:pt>
                <c:pt idx="109">
                  <c:v>6.1012136139139399E-3</c:v>
                </c:pt>
                <c:pt idx="110">
                  <c:v>6.0225808203436199E-3</c:v>
                </c:pt>
                <c:pt idx="111">
                  <c:v>5.7908363207051896E-4</c:v>
                </c:pt>
                <c:pt idx="112">
                  <c:v>-5.4125136145578802E-4</c:v>
                </c:pt>
                <c:pt idx="113">
                  <c:v>7.5331116338694698E-4</c:v>
                </c:pt>
                <c:pt idx="114">
                  <c:v>5.1751694941400898E-4</c:v>
                </c:pt>
                <c:pt idx="115">
                  <c:v>-1.3056351734446301E-3</c:v>
                </c:pt>
                <c:pt idx="116">
                  <c:v>-3.7394196469399299E-3</c:v>
                </c:pt>
                <c:pt idx="117">
                  <c:v>-5.1435331863868899E-3</c:v>
                </c:pt>
                <c:pt idx="118">
                  <c:v>-7.0074305657049198E-3</c:v>
                </c:pt>
                <c:pt idx="119">
                  <c:v>-5.7307043192957397E-3</c:v>
                </c:pt>
                <c:pt idx="120">
                  <c:v>-7.13075747902188E-3</c:v>
                </c:pt>
                <c:pt idx="121">
                  <c:v>-7.4950139584731203E-3</c:v>
                </c:pt>
                <c:pt idx="122">
                  <c:v>-7.6373579839076203E-3</c:v>
                </c:pt>
                <c:pt idx="123">
                  <c:v>-3.64925697132313E-3</c:v>
                </c:pt>
                <c:pt idx="124">
                  <c:v>-5.4956256393659001E-3</c:v>
                </c:pt>
                <c:pt idx="125">
                  <c:v>-1.0479852605019701E-2</c:v>
                </c:pt>
                <c:pt idx="126">
                  <c:v>-6.0567449170567398E-3</c:v>
                </c:pt>
                <c:pt idx="127">
                  <c:v>-1.08170100517621E-2</c:v>
                </c:pt>
                <c:pt idx="128">
                  <c:v>-5.5801508617848699E-3</c:v>
                </c:pt>
                <c:pt idx="129">
                  <c:v>-7.6507694937567004E-3</c:v>
                </c:pt>
                <c:pt idx="130">
                  <c:v>-5.3183792152788102E-3</c:v>
                </c:pt>
                <c:pt idx="131">
                  <c:v>-8.9313606277896009E-3</c:v>
                </c:pt>
                <c:pt idx="132">
                  <c:v>-6.3657479226163103E-3</c:v>
                </c:pt>
                <c:pt idx="133">
                  <c:v>-4.00836134052906E-3</c:v>
                </c:pt>
                <c:pt idx="134">
                  <c:v>1.4007575064744701E-3</c:v>
                </c:pt>
                <c:pt idx="135">
                  <c:v>-1.61255108515552E-4</c:v>
                </c:pt>
                <c:pt idx="136">
                  <c:v>-4.4675960099752401E-3</c:v>
                </c:pt>
                <c:pt idx="137">
                  <c:v>-5.9076653033456302E-3</c:v>
                </c:pt>
                <c:pt idx="138">
                  <c:v>-7.8096746547263998E-3</c:v>
                </c:pt>
                <c:pt idx="139">
                  <c:v>-9.3273246794275608E-3</c:v>
                </c:pt>
                <c:pt idx="140">
                  <c:v>-5.0469441391731099E-3</c:v>
                </c:pt>
                <c:pt idx="141">
                  <c:v>-8.7616338476287497E-3</c:v>
                </c:pt>
                <c:pt idx="142">
                  <c:v>-5.4608936136169902E-3</c:v>
                </c:pt>
                <c:pt idx="143">
                  <c:v>-5.87718446816841E-3</c:v>
                </c:pt>
                <c:pt idx="144">
                  <c:v>-3.63610781385511E-3</c:v>
                </c:pt>
                <c:pt idx="145">
                  <c:v>-8.3741204425170598E-4</c:v>
                </c:pt>
                <c:pt idx="146">
                  <c:v>4.9996722621786401E-3</c:v>
                </c:pt>
                <c:pt idx="147">
                  <c:v>1.14672503152038E-3</c:v>
                </c:pt>
                <c:pt idx="148">
                  <c:v>2.4633993888025399E-3</c:v>
                </c:pt>
                <c:pt idx="149">
                  <c:v>-8.3498553414331996E-4</c:v>
                </c:pt>
                <c:pt idx="150">
                  <c:v>1.75710768772761E-3</c:v>
                </c:pt>
                <c:pt idx="151">
                  <c:v>2.0722733648078401E-3</c:v>
                </c:pt>
                <c:pt idx="152">
                  <c:v>9.8215695837629595E-4</c:v>
                </c:pt>
                <c:pt idx="153">
                  <c:v>-7.7045795321221695E-4</c:v>
                </c:pt>
                <c:pt idx="154">
                  <c:v>-1.08188731964358E-3</c:v>
                </c:pt>
                <c:pt idx="155">
                  <c:v>-6.3685911920535705E-5</c:v>
                </c:pt>
                <c:pt idx="156">
                  <c:v>6.6257323714003402E-4</c:v>
                </c:pt>
                <c:pt idx="157">
                  <c:v>-1.8318275760583101E-4</c:v>
                </c:pt>
                <c:pt idx="158">
                  <c:v>4.7695279777230302E-4</c:v>
                </c:pt>
                <c:pt idx="159">
                  <c:v>-1.3067800920952E-3</c:v>
                </c:pt>
                <c:pt idx="160">
                  <c:v>6.3063570500853001E-4</c:v>
                </c:pt>
                <c:pt idx="161">
                  <c:v>-1.70843860069469E-3</c:v>
                </c:pt>
                <c:pt idx="162">
                  <c:v>-4.4408079169485102E-4</c:v>
                </c:pt>
                <c:pt idx="163">
                  <c:v>-5.5779880220999702E-3</c:v>
                </c:pt>
                <c:pt idx="164">
                  <c:v>-1.1895689916725599E-2</c:v>
                </c:pt>
                <c:pt idx="165">
                  <c:v>-1.6170947781489298E-2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6-42EF-A4BB-A58C1140A484}"/>
            </c:ext>
          </c:extLst>
        </c:ser>
        <c:ser>
          <c:idx val="1"/>
          <c:order val="1"/>
          <c:tx>
            <c:strRef>
              <c:f>NWS_NWSA_0!$V$1</c:f>
              <c:strCache>
                <c:ptCount val="1"/>
                <c:pt idx="0">
                  <c:v>log diff NWS x 10 dma / NWSA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NWS_NWSA_0!$V$2:$V$167</c:f>
              <c:numCache>
                <c:formatCode>0.0000%</c:formatCode>
                <c:ptCount val="166"/>
                <c:pt idx="10">
                  <c:v>8.9388379236292493E-3</c:v>
                </c:pt>
                <c:pt idx="11">
                  <c:v>1.53942827865091E-2</c:v>
                </c:pt>
                <c:pt idx="12">
                  <c:v>8.8442350005758195E-3</c:v>
                </c:pt>
                <c:pt idx="13">
                  <c:v>7.26507754428069E-3</c:v>
                </c:pt>
                <c:pt idx="14">
                  <c:v>6.95059631112131E-3</c:v>
                </c:pt>
                <c:pt idx="15">
                  <c:v>1.3487233903690301E-4</c:v>
                </c:pt>
                <c:pt idx="16">
                  <c:v>2.9336903130408698E-3</c:v>
                </c:pt>
                <c:pt idx="17">
                  <c:v>-2.99375388285128E-3</c:v>
                </c:pt>
                <c:pt idx="18">
                  <c:v>-9.8913010703315998E-3</c:v>
                </c:pt>
                <c:pt idx="19">
                  <c:v>-3.48774933257641E-3</c:v>
                </c:pt>
                <c:pt idx="20">
                  <c:v>-9.8773280364433994E-4</c:v>
                </c:pt>
                <c:pt idx="21">
                  <c:v>-1.29452977532977E-3</c:v>
                </c:pt>
                <c:pt idx="22">
                  <c:v>-1.39075897718725E-2</c:v>
                </c:pt>
                <c:pt idx="23">
                  <c:v>-1.77634577989738E-2</c:v>
                </c:pt>
                <c:pt idx="24">
                  <c:v>-7.8182869055233306E-3</c:v>
                </c:pt>
                <c:pt idx="25">
                  <c:v>7.1192385626363099E-3</c:v>
                </c:pt>
                <c:pt idx="26">
                  <c:v>5.4245922880658297E-3</c:v>
                </c:pt>
                <c:pt idx="27">
                  <c:v>4.8190100048473199E-3</c:v>
                </c:pt>
                <c:pt idx="28">
                  <c:v>-1.31265622560717E-3</c:v>
                </c:pt>
                <c:pt idx="29">
                  <c:v>-2.51728700520093E-3</c:v>
                </c:pt>
                <c:pt idx="30">
                  <c:v>-1.02195714616774E-2</c:v>
                </c:pt>
                <c:pt idx="31">
                  <c:v>-1.6992301528707499E-2</c:v>
                </c:pt>
                <c:pt idx="32">
                  <c:v>-1.8414472846326101E-2</c:v>
                </c:pt>
                <c:pt idx="33">
                  <c:v>-1.5618800386688499E-2</c:v>
                </c:pt>
                <c:pt idx="34">
                  <c:v>-1.40725655681781E-2</c:v>
                </c:pt>
                <c:pt idx="35">
                  <c:v>-1.2689313679255999E-2</c:v>
                </c:pt>
                <c:pt idx="36">
                  <c:v>-1.8596909625960601E-2</c:v>
                </c:pt>
                <c:pt idx="37">
                  <c:v>-2.04172004403732E-2</c:v>
                </c:pt>
                <c:pt idx="38">
                  <c:v>-2.1186686509693201E-2</c:v>
                </c:pt>
                <c:pt idx="39">
                  <c:v>-1.8008691355250201E-2</c:v>
                </c:pt>
                <c:pt idx="40">
                  <c:v>-1.47509417223397E-2</c:v>
                </c:pt>
                <c:pt idx="41">
                  <c:v>-3.1682034042898898E-3</c:v>
                </c:pt>
                <c:pt idx="42">
                  <c:v>-2.8777884247702E-3</c:v>
                </c:pt>
                <c:pt idx="43">
                  <c:v>1.2072688960697599E-2</c:v>
                </c:pt>
                <c:pt idx="44">
                  <c:v>1.5470033617609499E-2</c:v>
                </c:pt>
                <c:pt idx="45">
                  <c:v>1.8130495457478E-2</c:v>
                </c:pt>
                <c:pt idx="46">
                  <c:v>1.6295384969888901E-2</c:v>
                </c:pt>
                <c:pt idx="47">
                  <c:v>1.38410862628255E-2</c:v>
                </c:pt>
                <c:pt idx="48">
                  <c:v>1.04688883566372E-2</c:v>
                </c:pt>
                <c:pt idx="49">
                  <c:v>9.37452456131504E-3</c:v>
                </c:pt>
                <c:pt idx="50">
                  <c:v>1.3800005817240499E-3</c:v>
                </c:pt>
                <c:pt idx="51">
                  <c:v>6.6161358260054199E-3</c:v>
                </c:pt>
                <c:pt idx="52">
                  <c:v>9.5176067910231303E-3</c:v>
                </c:pt>
                <c:pt idx="53">
                  <c:v>7.4357961971385196E-3</c:v>
                </c:pt>
                <c:pt idx="54">
                  <c:v>7.8233205984608203E-5</c:v>
                </c:pt>
                <c:pt idx="55">
                  <c:v>1.2455521135427501E-3</c:v>
                </c:pt>
                <c:pt idx="56">
                  <c:v>4.08146115808405E-3</c:v>
                </c:pt>
                <c:pt idx="57">
                  <c:v>2.5855171664877202E-3</c:v>
                </c:pt>
                <c:pt idx="58">
                  <c:v>1.1643217021514199E-2</c:v>
                </c:pt>
                <c:pt idx="59">
                  <c:v>6.9835893212609901E-3</c:v>
                </c:pt>
                <c:pt idx="60">
                  <c:v>6.5561297365281899E-3</c:v>
                </c:pt>
                <c:pt idx="61">
                  <c:v>1.02219549028984E-3</c:v>
                </c:pt>
                <c:pt idx="62">
                  <c:v>1.1657478180908299E-2</c:v>
                </c:pt>
                <c:pt idx="63">
                  <c:v>8.6665843738900402E-3</c:v>
                </c:pt>
                <c:pt idx="64">
                  <c:v>7.9132062891398205E-3</c:v>
                </c:pt>
                <c:pt idx="65">
                  <c:v>8.7794097370950293E-3</c:v>
                </c:pt>
                <c:pt idx="66">
                  <c:v>8.6845166594907396E-3</c:v>
                </c:pt>
                <c:pt idx="67">
                  <c:v>6.6423980141336204E-3</c:v>
                </c:pt>
                <c:pt idx="68">
                  <c:v>6.3493758369905602E-3</c:v>
                </c:pt>
                <c:pt idx="69">
                  <c:v>1.9215476196631799E-3</c:v>
                </c:pt>
                <c:pt idx="70">
                  <c:v>2.6272987208544901E-4</c:v>
                </c:pt>
                <c:pt idx="71">
                  <c:v>-1.3576683062374701E-3</c:v>
                </c:pt>
                <c:pt idx="72">
                  <c:v>-3.7034725951465102E-4</c:v>
                </c:pt>
                <c:pt idx="73">
                  <c:v>1.8520624164479599E-3</c:v>
                </c:pt>
                <c:pt idx="74">
                  <c:v>-1.1419472255346399E-3</c:v>
                </c:pt>
                <c:pt idx="75">
                  <c:v>5.5234871352687499E-4</c:v>
                </c:pt>
                <c:pt idx="76">
                  <c:v>2.2358289638371902E-3</c:v>
                </c:pt>
                <c:pt idx="77">
                  <c:v>1.1041220871562799E-3</c:v>
                </c:pt>
                <c:pt idx="78">
                  <c:v>3.3383964921474799E-3</c:v>
                </c:pt>
                <c:pt idx="79">
                  <c:v>-7.2953412930203295E-4</c:v>
                </c:pt>
                <c:pt idx="80">
                  <c:v>-1.68031155324931E-4</c:v>
                </c:pt>
                <c:pt idx="81">
                  <c:v>4.1875985339720001E-3</c:v>
                </c:pt>
                <c:pt idx="82">
                  <c:v>4.2060172354688001E-3</c:v>
                </c:pt>
                <c:pt idx="83">
                  <c:v>9.1436819202878104E-4</c:v>
                </c:pt>
                <c:pt idx="84">
                  <c:v>-2.06221471186142E-5</c:v>
                </c:pt>
                <c:pt idx="85">
                  <c:v>-1.23840679117755E-3</c:v>
                </c:pt>
                <c:pt idx="86">
                  <c:v>-1.2524328794197501E-2</c:v>
                </c:pt>
                <c:pt idx="87">
                  <c:v>4.2908384455547796E-3</c:v>
                </c:pt>
                <c:pt idx="88">
                  <c:v>-2.1500886567642501E-4</c:v>
                </c:pt>
                <c:pt idx="89">
                  <c:v>-7.1084171936185402E-3</c:v>
                </c:pt>
                <c:pt idx="90">
                  <c:v>-2.2276579722328902E-3</c:v>
                </c:pt>
                <c:pt idx="91">
                  <c:v>-6.30313183727678E-3</c:v>
                </c:pt>
                <c:pt idx="92">
                  <c:v>-3.9643265122958696E-3</c:v>
                </c:pt>
                <c:pt idx="93">
                  <c:v>-3.5879711845976797E-5</c:v>
                </c:pt>
                <c:pt idx="94">
                  <c:v>-2.4319911957762998E-3</c:v>
                </c:pt>
                <c:pt idx="95">
                  <c:v>2.5728534933393602E-3</c:v>
                </c:pt>
                <c:pt idx="96">
                  <c:v>-3.43596369160913E-3</c:v>
                </c:pt>
                <c:pt idx="97">
                  <c:v>-3.0346393200626101E-3</c:v>
                </c:pt>
                <c:pt idx="98">
                  <c:v>-4.8100691090922597E-3</c:v>
                </c:pt>
                <c:pt idx="99">
                  <c:v>-2.17695228065804E-3</c:v>
                </c:pt>
                <c:pt idx="100">
                  <c:v>-2.9982349515401499E-3</c:v>
                </c:pt>
                <c:pt idx="101">
                  <c:v>-3.7343005692036901E-3</c:v>
                </c:pt>
                <c:pt idx="102">
                  <c:v>-1.4735314127657701E-3</c:v>
                </c:pt>
                <c:pt idx="103">
                  <c:v>-3.01894407321329E-3</c:v>
                </c:pt>
                <c:pt idx="104">
                  <c:v>-5.9764830361149705E-4</c:v>
                </c:pt>
                <c:pt idx="105">
                  <c:v>1.4535351530734601E-3</c:v>
                </c:pt>
                <c:pt idx="106">
                  <c:v>-3.46827913521876E-4</c:v>
                </c:pt>
                <c:pt idx="107">
                  <c:v>1.9875444254984199E-3</c:v>
                </c:pt>
                <c:pt idx="108">
                  <c:v>-2.2345384923856998E-3</c:v>
                </c:pt>
                <c:pt idx="109">
                  <c:v>1.1994466287570599E-3</c:v>
                </c:pt>
                <c:pt idx="110">
                  <c:v>1.0633107533661399E-3</c:v>
                </c:pt>
                <c:pt idx="111">
                  <c:v>-4.5186052005263596E-3</c:v>
                </c:pt>
                <c:pt idx="112">
                  <c:v>-5.36460671711682E-3</c:v>
                </c:pt>
                <c:pt idx="113">
                  <c:v>-3.4867324949040602E-3</c:v>
                </c:pt>
                <c:pt idx="114">
                  <c:v>-3.4466248101131399E-3</c:v>
                </c:pt>
                <c:pt idx="115">
                  <c:v>-4.7979548117421198E-3</c:v>
                </c:pt>
                <c:pt idx="116">
                  <c:v>-6.3968025069333903E-3</c:v>
                </c:pt>
                <c:pt idx="117">
                  <c:v>-6.9507763375494698E-3</c:v>
                </c:pt>
                <c:pt idx="118">
                  <c:v>-7.6031604420354797E-3</c:v>
                </c:pt>
                <c:pt idx="119">
                  <c:v>-5.3461100173649596E-3</c:v>
                </c:pt>
                <c:pt idx="120">
                  <c:v>-5.5643371661019203E-3</c:v>
                </c:pt>
                <c:pt idx="121">
                  <c:v>-4.6154437828013796E-3</c:v>
                </c:pt>
                <c:pt idx="122">
                  <c:v>-3.9502348765688396E-3</c:v>
                </c:pt>
                <c:pt idx="123">
                  <c:v>7.4751187931502798E-4</c:v>
                </c:pt>
                <c:pt idx="124">
                  <c:v>-6.5999225116180899E-4</c:v>
                </c:pt>
                <c:pt idx="125">
                  <c:v>-5.04449330285958E-3</c:v>
                </c:pt>
                <c:pt idx="126">
                  <c:v>2.9603809575436899E-4</c:v>
                </c:pt>
                <c:pt idx="127">
                  <c:v>-4.2328580844298502E-3</c:v>
                </c:pt>
                <c:pt idx="128">
                  <c:v>1.57198086145482E-3</c:v>
                </c:pt>
                <c:pt idx="129">
                  <c:v>-6.4125346544072399E-4</c:v>
                </c:pt>
                <c:pt idx="130">
                  <c:v>1.88306374290251E-3</c:v>
                </c:pt>
                <c:pt idx="131">
                  <c:v>-1.91099495408194E-3</c:v>
                </c:pt>
                <c:pt idx="132">
                  <c:v>7.9841352403711198E-4</c:v>
                </c:pt>
                <c:pt idx="133">
                  <c:v>3.0286516841898101E-3</c:v>
                </c:pt>
                <c:pt idx="134">
                  <c:v>8.4735653042707602E-3</c:v>
                </c:pt>
                <c:pt idx="135">
                  <c:v>6.2251344804706297E-3</c:v>
                </c:pt>
                <c:pt idx="136">
                  <c:v>8.8749685989660898E-4</c:v>
                </c:pt>
                <c:pt idx="137">
                  <c:v>-7.1148520079914596E-4</c:v>
                </c:pt>
                <c:pt idx="138">
                  <c:v>-3.1061076747272601E-3</c:v>
                </c:pt>
                <c:pt idx="139">
                  <c:v>-4.4003858055975502E-3</c:v>
                </c:pt>
                <c:pt idx="140">
                  <c:v>4.8234391866661901E-5</c:v>
                </c:pt>
                <c:pt idx="141">
                  <c:v>-3.6936015674422498E-3</c:v>
                </c:pt>
                <c:pt idx="142">
                  <c:v>-4.0989840857684798E-4</c:v>
                </c:pt>
                <c:pt idx="143">
                  <c:v>-9.1675685979126197E-4</c:v>
                </c:pt>
                <c:pt idx="144">
                  <c:v>1.5111813754450599E-3</c:v>
                </c:pt>
                <c:pt idx="145">
                  <c:v>4.8114128388964004E-3</c:v>
                </c:pt>
                <c:pt idx="146">
                  <c:v>1.0715763286292399E-2</c:v>
                </c:pt>
                <c:pt idx="147">
                  <c:v>5.9212891526812398E-3</c:v>
                </c:pt>
                <c:pt idx="148">
                  <c:v>6.5339621336884699E-3</c:v>
                </c:pt>
                <c:pt idx="149">
                  <c:v>2.2091733055328599E-3</c:v>
                </c:pt>
                <c:pt idx="150">
                  <c:v>3.94993612741989E-3</c:v>
                </c:pt>
                <c:pt idx="151">
                  <c:v>3.58483668102736E-3</c:v>
                </c:pt>
                <c:pt idx="152">
                  <c:v>1.40874807294993E-3</c:v>
                </c:pt>
                <c:pt idx="153">
                  <c:v>-9.8955046194162499E-4</c:v>
                </c:pt>
                <c:pt idx="154">
                  <c:v>-1.81359688038744E-3</c:v>
                </c:pt>
                <c:pt idx="155">
                  <c:v>-1.05164107579623E-3</c:v>
                </c:pt>
                <c:pt idx="156">
                  <c:v>-4.0286892485778798E-4</c:v>
                </c:pt>
                <c:pt idx="157">
                  <c:v>-8.1577348895004397E-4</c:v>
                </c:pt>
                <c:pt idx="158">
                  <c:v>-2.2635930887708499E-5</c:v>
                </c:pt>
                <c:pt idx="159">
                  <c:v>-1.6079365264746201E-3</c:v>
                </c:pt>
                <c:pt idx="160">
                  <c:v>3.76722387381437E-4</c:v>
                </c:pt>
                <c:pt idx="161">
                  <c:v>-1.8498168803345401E-3</c:v>
                </c:pt>
                <c:pt idx="162">
                  <c:v>-2.0747442117967799E-4</c:v>
                </c:pt>
                <c:pt idx="163">
                  <c:v>-5.1988401227129897E-3</c:v>
                </c:pt>
                <c:pt idx="164">
                  <c:v>-1.10345590981806E-2</c:v>
                </c:pt>
                <c:pt idx="165">
                  <c:v>-1.4222919497486599E-2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6-42EF-A4BB-A58C1140A484}"/>
            </c:ext>
          </c:extLst>
        </c:ser>
        <c:ser>
          <c:idx val="2"/>
          <c:order val="2"/>
          <c:tx>
            <c:strRef>
              <c:f>NWS_NWSA_0!$W$1</c:f>
              <c:strCache>
                <c:ptCount val="1"/>
                <c:pt idx="0">
                  <c:v>log diff NWS x 20 dma / NWSA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NWS_NWSA_0!$W$2:$W$167</c:f>
              <c:numCache>
                <c:formatCode>0.0000%</c:formatCode>
                <c:ptCount val="166"/>
                <c:pt idx="20">
                  <c:v>3.8246926531696401E-3</c:v>
                </c:pt>
                <c:pt idx="21">
                  <c:v>2.7473485657088402E-3</c:v>
                </c:pt>
                <c:pt idx="22">
                  <c:v>-1.12264764023438E-2</c:v>
                </c:pt>
                <c:pt idx="23">
                  <c:v>-1.6835888661105101E-2</c:v>
                </c:pt>
                <c:pt idx="24">
                  <c:v>-8.7628449510819897E-3</c:v>
                </c:pt>
                <c:pt idx="25">
                  <c:v>4.6893492595060102E-3</c:v>
                </c:pt>
                <c:pt idx="26">
                  <c:v>2.5805372177386799E-3</c:v>
                </c:pt>
                <c:pt idx="27">
                  <c:v>1.4696117951210901E-3</c:v>
                </c:pt>
                <c:pt idx="28">
                  <c:v>-4.6825289717541104E-3</c:v>
                </c:pt>
                <c:pt idx="29">
                  <c:v>-5.7021875282644904E-3</c:v>
                </c:pt>
                <c:pt idx="30">
                  <c:v>-1.37070059623981E-2</c:v>
                </c:pt>
                <c:pt idx="31">
                  <c:v>-2.1272395675280598E-2</c:v>
                </c:pt>
                <c:pt idx="32">
                  <c:v>-2.3479557038719501E-2</c:v>
                </c:pt>
                <c:pt idx="33">
                  <c:v>-2.0551691831713698E-2</c:v>
                </c:pt>
                <c:pt idx="34">
                  <c:v>-1.8236122094343301E-2</c:v>
                </c:pt>
                <c:pt idx="35">
                  <c:v>-1.67558035901124E-2</c:v>
                </c:pt>
                <c:pt idx="36">
                  <c:v>-2.4155674545807599E-2</c:v>
                </c:pt>
                <c:pt idx="37">
                  <c:v>-2.75639458475152E-2</c:v>
                </c:pt>
                <c:pt idx="38">
                  <c:v>-3.0348217742013898E-2</c:v>
                </c:pt>
                <c:pt idx="39">
                  <c:v>-2.9155792372732001E-2</c:v>
                </c:pt>
                <c:pt idx="40">
                  <c:v>-2.7498524570378501E-2</c:v>
                </c:pt>
                <c:pt idx="41">
                  <c:v>-1.6601444457133099E-2</c:v>
                </c:pt>
                <c:pt idx="42">
                  <c:v>-1.5758735390244201E-2</c:v>
                </c:pt>
                <c:pt idx="43">
                  <c:v>-5.8854349853617303E-4</c:v>
                </c:pt>
                <c:pt idx="44">
                  <c:v>3.3033884906394102E-3</c:v>
                </c:pt>
                <c:pt idx="45">
                  <c:v>6.9364383325484103E-3</c:v>
                </c:pt>
                <c:pt idx="46">
                  <c:v>6.8865069180264003E-3</c:v>
                </c:pt>
                <c:pt idx="47">
                  <c:v>6.9619212392866298E-3</c:v>
                </c:pt>
                <c:pt idx="48">
                  <c:v>6.57002618088215E-3</c:v>
                </c:pt>
                <c:pt idx="49">
                  <c:v>8.5781248465431701E-3</c:v>
                </c:pt>
                <c:pt idx="50">
                  <c:v>3.7721927224538499E-3</c:v>
                </c:pt>
                <c:pt idx="51">
                  <c:v>1.15807028332836E-2</c:v>
                </c:pt>
                <c:pt idx="52">
                  <c:v>1.6138872942108601E-2</c:v>
                </c:pt>
                <c:pt idx="53">
                  <c:v>1.58743969775305E-2</c:v>
                </c:pt>
                <c:pt idx="54">
                  <c:v>9.0200459872497394E-3</c:v>
                </c:pt>
                <c:pt idx="55">
                  <c:v>1.0057221441647401E-2</c:v>
                </c:pt>
                <c:pt idx="56">
                  <c:v>1.2513286250716E-2</c:v>
                </c:pt>
                <c:pt idx="57">
                  <c:v>1.04480768784767E-2</c:v>
                </c:pt>
                <c:pt idx="58">
                  <c:v>1.8700226707258301E-2</c:v>
                </c:pt>
                <c:pt idx="59">
                  <c:v>1.3601779771573499E-2</c:v>
                </c:pt>
                <c:pt idx="60">
                  <c:v>1.2413404097121701E-2</c:v>
                </c:pt>
                <c:pt idx="61">
                  <c:v>6.6672460034565596E-3</c:v>
                </c:pt>
                <c:pt idx="62">
                  <c:v>1.6594003928369901E-2</c:v>
                </c:pt>
                <c:pt idx="63">
                  <c:v>1.2910752471030899E-2</c:v>
                </c:pt>
                <c:pt idx="64">
                  <c:v>1.2032265406511001E-2</c:v>
                </c:pt>
                <c:pt idx="65">
                  <c:v>1.3584284857297501E-2</c:v>
                </c:pt>
                <c:pt idx="66">
                  <c:v>1.43172240152312E-2</c:v>
                </c:pt>
                <c:pt idx="67">
                  <c:v>1.2841698690026101E-2</c:v>
                </c:pt>
                <c:pt idx="68">
                  <c:v>1.31550429477988E-2</c:v>
                </c:pt>
                <c:pt idx="69">
                  <c:v>8.3782863444345507E-3</c:v>
                </c:pt>
                <c:pt idx="70">
                  <c:v>6.5704203501460601E-3</c:v>
                </c:pt>
                <c:pt idx="71">
                  <c:v>4.4168257893629796E-3</c:v>
                </c:pt>
                <c:pt idx="72">
                  <c:v>5.58108378749905E-3</c:v>
                </c:pt>
                <c:pt idx="73">
                  <c:v>7.1956710034290798E-3</c:v>
                </c:pt>
                <c:pt idx="74">
                  <c:v>3.9089696675994401E-3</c:v>
                </c:pt>
                <c:pt idx="75">
                  <c:v>4.8473538845691796E-3</c:v>
                </c:pt>
                <c:pt idx="76">
                  <c:v>5.6882240400453398E-3</c:v>
                </c:pt>
                <c:pt idx="77">
                  <c:v>3.7844530034565498E-3</c:v>
                </c:pt>
                <c:pt idx="78">
                  <c:v>5.1847815475185698E-3</c:v>
                </c:pt>
                <c:pt idx="79">
                  <c:v>7.3721104200886501E-4</c:v>
                </c:pt>
                <c:pt idx="80">
                  <c:v>9.2082732908034797E-4</c:v>
                </c:pt>
                <c:pt idx="81">
                  <c:v>5.0484947717310902E-3</c:v>
                </c:pt>
                <c:pt idx="82">
                  <c:v>4.9703560842941702E-3</c:v>
                </c:pt>
                <c:pt idx="83">
                  <c:v>1.9919704972746902E-3</c:v>
                </c:pt>
                <c:pt idx="84">
                  <c:v>9.2538462362859203E-4</c:v>
                </c:pt>
                <c:pt idx="85">
                  <c:v>-1.9257746777412701E-4</c:v>
                </c:pt>
                <c:pt idx="86">
                  <c:v>-1.14807130075723E-2</c:v>
                </c:pt>
                <c:pt idx="87">
                  <c:v>4.6745849998107297E-3</c:v>
                </c:pt>
                <c:pt idx="88">
                  <c:v>3.7535130606860401E-4</c:v>
                </c:pt>
                <c:pt idx="89">
                  <c:v>-6.6704767195772596E-3</c:v>
                </c:pt>
                <c:pt idx="90">
                  <c:v>-2.0801130068608198E-3</c:v>
                </c:pt>
                <c:pt idx="91">
                  <c:v>-6.3313234129200096E-3</c:v>
                </c:pt>
                <c:pt idx="92">
                  <c:v>-4.8829663335722903E-3</c:v>
                </c:pt>
                <c:pt idx="93">
                  <c:v>-1.75807637802264E-3</c:v>
                </c:pt>
                <c:pt idx="94">
                  <c:v>-4.4338259086293798E-3</c:v>
                </c:pt>
                <c:pt idx="95">
                  <c:v>1.00598509026452E-4</c:v>
                </c:pt>
                <c:pt idx="96">
                  <c:v>-5.9798368286352399E-3</c:v>
                </c:pt>
                <c:pt idx="97">
                  <c:v>-4.7422291468462103E-3</c:v>
                </c:pt>
                <c:pt idx="98">
                  <c:v>-7.2490634571895397E-3</c:v>
                </c:pt>
                <c:pt idx="99">
                  <c:v>-4.9702549253912501E-3</c:v>
                </c:pt>
                <c:pt idx="100">
                  <c:v>-5.5491112276430197E-3</c:v>
                </c:pt>
                <c:pt idx="101">
                  <c:v>-6.4901658281511301E-3</c:v>
                </c:pt>
                <c:pt idx="102">
                  <c:v>-3.8505873150014298E-3</c:v>
                </c:pt>
                <c:pt idx="103">
                  <c:v>-5.0106634919707899E-3</c:v>
                </c:pt>
                <c:pt idx="104">
                  <c:v>-2.7179856973171702E-3</c:v>
                </c:pt>
                <c:pt idx="105">
                  <c:v>-4.6706020247422602E-4</c:v>
                </c:pt>
                <c:pt idx="106">
                  <c:v>-2.4574267050276499E-3</c:v>
                </c:pt>
                <c:pt idx="107">
                  <c:v>-3.8012228005516102E-4</c:v>
                </c:pt>
                <c:pt idx="108">
                  <c:v>-4.0536808332504301E-3</c:v>
                </c:pt>
                <c:pt idx="109">
                  <c:v>-2.00002852041958E-4</c:v>
                </c:pt>
                <c:pt idx="110">
                  <c:v>-2.74263670267137E-4</c:v>
                </c:pt>
                <c:pt idx="111">
                  <c:v>-5.4935163140958001E-3</c:v>
                </c:pt>
                <c:pt idx="112">
                  <c:v>-6.3288573293573099E-3</c:v>
                </c:pt>
                <c:pt idx="113">
                  <c:v>-4.6289765418125401E-3</c:v>
                </c:pt>
                <c:pt idx="114">
                  <c:v>-4.3787972035917097E-3</c:v>
                </c:pt>
                <c:pt idx="115">
                  <c:v>-5.8454697814377702E-3</c:v>
                </c:pt>
                <c:pt idx="116">
                  <c:v>-7.6144184421997798E-3</c:v>
                </c:pt>
                <c:pt idx="117">
                  <c:v>-8.5361351619488296E-3</c:v>
                </c:pt>
                <c:pt idx="118">
                  <c:v>-9.80713626982916E-3</c:v>
                </c:pt>
                <c:pt idx="119">
                  <c:v>-7.9857974630190703E-3</c:v>
                </c:pt>
                <c:pt idx="120">
                  <c:v>-8.8218592861288407E-3</c:v>
                </c:pt>
                <c:pt idx="121">
                  <c:v>-8.5961187253669295E-3</c:v>
                </c:pt>
                <c:pt idx="122">
                  <c:v>-8.1964206049319494E-3</c:v>
                </c:pt>
                <c:pt idx="123">
                  <c:v>-3.56157008784089E-3</c:v>
                </c:pt>
                <c:pt idx="124">
                  <c:v>-5.05020035092684E-3</c:v>
                </c:pt>
                <c:pt idx="125">
                  <c:v>-9.4983698747670899E-3</c:v>
                </c:pt>
                <c:pt idx="126">
                  <c:v>-4.1988969888423202E-3</c:v>
                </c:pt>
                <c:pt idx="127">
                  <c:v>-8.4197537304974406E-3</c:v>
                </c:pt>
                <c:pt idx="128">
                  <c:v>-2.29444628717784E-3</c:v>
                </c:pt>
                <c:pt idx="129">
                  <c:v>-3.9482281401811304E-3</c:v>
                </c:pt>
                <c:pt idx="130">
                  <c:v>-9.3047839995311695E-4</c:v>
                </c:pt>
                <c:pt idx="131">
                  <c:v>-3.9792494312113997E-3</c:v>
                </c:pt>
                <c:pt idx="132">
                  <c:v>-9.3859442192994102E-4</c:v>
                </c:pt>
                <c:pt idx="133">
                  <c:v>1.70940095805892E-3</c:v>
                </c:pt>
                <c:pt idx="134">
                  <c:v>7.3556037180116203E-3</c:v>
                </c:pt>
                <c:pt idx="135">
                  <c:v>5.74973239437933E-3</c:v>
                </c:pt>
                <c:pt idx="136">
                  <c:v>1.38646635456374E-3</c:v>
                </c:pt>
                <c:pt idx="137">
                  <c:v>-1.72584601884589E-5</c:v>
                </c:pt>
                <c:pt idx="138">
                  <c:v>-1.8810758696317E-3</c:v>
                </c:pt>
                <c:pt idx="139">
                  <c:v>-3.3585550875019298E-3</c:v>
                </c:pt>
                <c:pt idx="140">
                  <c:v>1.1019211490645401E-3</c:v>
                </c:pt>
                <c:pt idx="141">
                  <c:v>-2.7169584200475699E-3</c:v>
                </c:pt>
                <c:pt idx="142">
                  <c:v>6.4724289607150803E-4</c:v>
                </c:pt>
                <c:pt idx="143">
                  <c:v>1.22074874156747E-4</c:v>
                </c:pt>
                <c:pt idx="144">
                  <c:v>2.4744041323606601E-3</c:v>
                </c:pt>
                <c:pt idx="145">
                  <c:v>5.1802631920258302E-3</c:v>
                </c:pt>
                <c:pt idx="146">
                  <c:v>1.0535280499129799E-2</c:v>
                </c:pt>
                <c:pt idx="147">
                  <c:v>6.1321193633784299E-3</c:v>
                </c:pt>
                <c:pt idx="148">
                  <c:v>6.8505143380395298E-3</c:v>
                </c:pt>
                <c:pt idx="149">
                  <c:v>3.1510064301264102E-3</c:v>
                </c:pt>
                <c:pt idx="150">
                  <c:v>5.4021641272307399E-3</c:v>
                </c:pt>
                <c:pt idx="151">
                  <c:v>5.3641513321226802E-3</c:v>
                </c:pt>
                <c:pt idx="152">
                  <c:v>3.7236232549503301E-3</c:v>
                </c:pt>
                <c:pt idx="153">
                  <c:v>1.6035630214435101E-3</c:v>
                </c:pt>
                <c:pt idx="154">
                  <c:v>1.1302228167008E-3</c:v>
                </c:pt>
                <c:pt idx="155">
                  <c:v>2.2722547937848799E-3</c:v>
                </c:pt>
                <c:pt idx="156">
                  <c:v>2.9936463062269401E-3</c:v>
                </c:pt>
                <c:pt idx="157">
                  <c:v>1.89145859830001E-3</c:v>
                </c:pt>
                <c:pt idx="158">
                  <c:v>2.2650505891747101E-3</c:v>
                </c:pt>
                <c:pt idx="159">
                  <c:v>6.6120001686397601E-5</c:v>
                </c:pt>
                <c:pt idx="160">
                  <c:v>1.60084158400789E-3</c:v>
                </c:pt>
                <c:pt idx="161">
                  <c:v>-1.02250414209368E-3</c:v>
                </c:pt>
                <c:pt idx="162">
                  <c:v>-1.12477537375015E-4</c:v>
                </c:pt>
                <c:pt idx="163">
                  <c:v>-5.4979155903236597E-3</c:v>
                </c:pt>
                <c:pt idx="164">
                  <c:v>-1.18306621452995E-2</c:v>
                </c:pt>
                <c:pt idx="165">
                  <c:v>-1.5689833721962101E-2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16-42EF-A4BB-A58C1140A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69AFF-20D4-4445-80CF-1F61691C4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77</xdr:col>
      <xdr:colOff>518160</xdr:colOff>
      <xdr:row>1</xdr:row>
      <xdr:rowOff>0</xdr:rowOff>
    </xdr:from>
    <xdr:to>
      <xdr:col>87</xdr:col>
      <xdr:colOff>386715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C4A1B9-EB5C-4164-B707-082DB6623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42C555-DC19-41C2-B41C-9CB4617A9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CCE6A4-11D0-4853-99B4-9ED3E4E05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9525</xdr:colOff>
      <xdr:row>1</xdr:row>
      <xdr:rowOff>0</xdr:rowOff>
    </xdr:from>
    <xdr:to>
      <xdr:col>41</xdr:col>
      <xdr:colOff>314325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584E45-C1E4-4D02-B2B2-FAEC5AF0C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CA11E5-79FA-4EE7-A6F2-2B2254B1D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C45AF9-1387-4A83-B8B1-A5729E30C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9525</xdr:colOff>
      <xdr:row>18</xdr:row>
      <xdr:rowOff>0</xdr:rowOff>
    </xdr:from>
    <xdr:to>
      <xdr:col>41</xdr:col>
      <xdr:colOff>314325</xdr:colOff>
      <xdr:row>33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969019-8420-4538-9107-426C43FAD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FOX_FOXA.xlsx" TargetMode="External"/><Relationship Id="rId1" Type="http://schemas.openxmlformats.org/officeDocument/2006/relationships/externalLinkPath" Target="FOX_FOX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X_FOXA_0"/>
    </sheetNames>
    <sheetDataSet>
      <sheetData sheetId="0">
        <row r="1">
          <cell r="O1" t="str">
            <v>FOXA/FOX avg</v>
          </cell>
          <cell r="P1" t="str">
            <v>FOXA/FOX 10 dma</v>
          </cell>
          <cell r="Q1" t="str">
            <v>FOXA/FOX 20 dma</v>
          </cell>
          <cell r="U1" t="str">
            <v>log diff FOX x avg / FOXA</v>
          </cell>
          <cell r="V1" t="str">
            <v>log diff FOX x 10 dma / FOXA</v>
          </cell>
          <cell r="W1" t="str">
            <v>log diff FOX x 20 dma / FOXA</v>
          </cell>
          <cell r="Y1" t="str">
            <v>FOXA*/FOX* avg</v>
          </cell>
          <cell r="Z1" t="str">
            <v>FOXA*/FOX* 10 dma</v>
          </cell>
          <cell r="AA1" t="str">
            <v>FOXA*/FOX* 20 dma</v>
          </cell>
          <cell r="AE1" t="str">
            <v>log diff FOX* x avg / FOXA*</v>
          </cell>
          <cell r="AF1" t="str">
            <v>log diff FOX* x 10 dma / FOXA*</v>
          </cell>
          <cell r="AG1" t="str">
            <v>log diff FOX* x 20 dma / FOXA*</v>
          </cell>
        </row>
        <row r="2">
          <cell r="O2">
            <v>1.1114016689784201</v>
          </cell>
          <cell r="Y2">
            <v>1.1114016689784201</v>
          </cell>
        </row>
        <row r="3">
          <cell r="O3">
            <v>1.1114016689784201</v>
          </cell>
          <cell r="U3">
            <v>-4.7877468099318497E-3</v>
          </cell>
          <cell r="Y3">
            <v>1.1114016689784201</v>
          </cell>
          <cell r="AE3">
            <v>-4.7877468099318497E-3</v>
          </cell>
        </row>
        <row r="4">
          <cell r="O4">
            <v>1.1114016689784201</v>
          </cell>
          <cell r="U4">
            <v>-1.10284654997885E-2</v>
          </cell>
          <cell r="Y4">
            <v>1.1114016689784201</v>
          </cell>
          <cell r="AE4">
            <v>-1.10284654997885E-2</v>
          </cell>
        </row>
        <row r="5">
          <cell r="O5">
            <v>1.1114016689784201</v>
          </cell>
          <cell r="U5">
            <v>-6.5291998932923796E-3</v>
          </cell>
          <cell r="Y5">
            <v>1.1114016689784201</v>
          </cell>
          <cell r="AE5">
            <v>-6.5291998932923796E-3</v>
          </cell>
        </row>
        <row r="6">
          <cell r="O6">
            <v>1.1114016689784201</v>
          </cell>
          <cell r="U6">
            <v>-8.1560033621689201E-3</v>
          </cell>
          <cell r="Y6">
            <v>1.1114016689784201</v>
          </cell>
          <cell r="AE6">
            <v>-8.1560033621689201E-3</v>
          </cell>
        </row>
        <row r="7">
          <cell r="O7">
            <v>1.1114016689784201</v>
          </cell>
          <cell r="U7">
            <v>1.88880755424837E-3</v>
          </cell>
          <cell r="Y7">
            <v>1.1114016689784201</v>
          </cell>
          <cell r="AE7">
            <v>1.88880755424837E-3</v>
          </cell>
        </row>
        <row r="8">
          <cell r="O8">
            <v>1.1114016689784201</v>
          </cell>
          <cell r="U8">
            <v>3.0518743141341302E-3</v>
          </cell>
          <cell r="Y8">
            <v>1.1114016689784201</v>
          </cell>
          <cell r="AE8">
            <v>3.0518743141341302E-3</v>
          </cell>
        </row>
        <row r="9">
          <cell r="O9">
            <v>1.1114016689784201</v>
          </cell>
          <cell r="U9">
            <v>9.5194648044477099E-3</v>
          </cell>
          <cell r="Y9">
            <v>1.1114016689784201</v>
          </cell>
          <cell r="AE9">
            <v>9.5194648044477099E-3</v>
          </cell>
        </row>
        <row r="10">
          <cell r="O10">
            <v>1.1114016689784201</v>
          </cell>
          <cell r="U10">
            <v>6.7619339971535198E-3</v>
          </cell>
          <cell r="Y10">
            <v>1.1114016689784201</v>
          </cell>
          <cell r="AE10">
            <v>6.7619339971535198E-3</v>
          </cell>
        </row>
        <row r="11">
          <cell r="O11">
            <v>1.1114016689784201</v>
          </cell>
          <cell r="P11">
            <v>1.1125612058420999</v>
          </cell>
          <cell r="U11">
            <v>5.2265317554580698E-3</v>
          </cell>
          <cell r="Y11">
            <v>1.1114016689784201</v>
          </cell>
          <cell r="Z11">
            <v>1.1125612058420999</v>
          </cell>
          <cell r="AE11">
            <v>5.2265317554580698E-3</v>
          </cell>
        </row>
        <row r="12">
          <cell r="O12">
            <v>1.1114016689784201</v>
          </cell>
          <cell r="P12">
            <v>1.11077865751278</v>
          </cell>
          <cell r="U12">
            <v>9.9227851817257802E-3</v>
          </cell>
          <cell r="V12">
            <v>1.09655516612184E-2</v>
          </cell>
          <cell r="Y12">
            <v>1.1114016689784201</v>
          </cell>
          <cell r="Z12">
            <v>1.11077865751278</v>
          </cell>
          <cell r="AE12">
            <v>9.9227851817257802E-3</v>
          </cell>
          <cell r="AF12">
            <v>1.09655516612184E-2</v>
          </cell>
        </row>
        <row r="13">
          <cell r="O13">
            <v>1.1114016689784201</v>
          </cell>
          <cell r="P13">
            <v>1.10957486123927</v>
          </cell>
          <cell r="U13">
            <v>6.0503743184545404E-3</v>
          </cell>
          <cell r="V13">
            <v>5.4896534133727698E-3</v>
          </cell>
          <cell r="Y13">
            <v>1.1114016689784201</v>
          </cell>
          <cell r="Z13">
            <v>1.10957486123927</v>
          </cell>
          <cell r="AE13">
            <v>6.0503743184545404E-3</v>
          </cell>
          <cell r="AF13">
            <v>5.4896534133727698E-3</v>
          </cell>
        </row>
        <row r="14">
          <cell r="O14">
            <v>1.1114016689784201</v>
          </cell>
          <cell r="P14">
            <v>1.1082454310096199</v>
          </cell>
          <cell r="U14">
            <v>8.7262146622557601E-4</v>
          </cell>
          <cell r="V14">
            <v>-7.7242802102894001E-4</v>
          </cell>
          <cell r="Y14">
            <v>1.1114016689784201</v>
          </cell>
          <cell r="Z14">
            <v>1.1082454310096199</v>
          </cell>
          <cell r="AE14">
            <v>8.7262146622557601E-4</v>
          </cell>
          <cell r="AF14">
            <v>-7.7242802102894001E-4</v>
          </cell>
        </row>
        <row r="15">
          <cell r="O15">
            <v>1.1114016689784201</v>
          </cell>
          <cell r="P15">
            <v>1.1076028217939899</v>
          </cell>
          <cell r="U15">
            <v>-7.6829542742955605E-4</v>
          </cell>
          <cell r="V15">
            <v>-3.6122070529131501E-3</v>
          </cell>
          <cell r="Y15">
            <v>1.1114016689784201</v>
          </cell>
          <cell r="Z15">
            <v>1.1076028217939899</v>
          </cell>
          <cell r="AE15">
            <v>-7.6829542742955605E-4</v>
          </cell>
          <cell r="AF15">
            <v>-3.6122070529131501E-3</v>
          </cell>
        </row>
        <row r="16">
          <cell r="O16">
            <v>1.1114016689784201</v>
          </cell>
          <cell r="P16">
            <v>1.1067687255454699</v>
          </cell>
          <cell r="U16">
            <v>-6.84216347597881E-4</v>
          </cell>
          <cell r="V16">
            <v>-4.1081399236576098E-3</v>
          </cell>
          <cell r="Y16">
            <v>1.1114016689784201</v>
          </cell>
          <cell r="Z16">
            <v>1.1067687255454699</v>
          </cell>
          <cell r="AE16">
            <v>-6.84216347597881E-4</v>
          </cell>
          <cell r="AF16">
            <v>-4.1081399236576098E-3</v>
          </cell>
        </row>
        <row r="17">
          <cell r="O17">
            <v>1.1114016689784201</v>
          </cell>
          <cell r="P17">
            <v>1.1071330487479301</v>
          </cell>
          <cell r="U17">
            <v>-1.3900601435999E-3</v>
          </cell>
          <cell r="V17">
            <v>-5.5673318097428197E-3</v>
          </cell>
          <cell r="Y17">
            <v>1.1114016689784201</v>
          </cell>
          <cell r="Z17">
            <v>1.1071330487479301</v>
          </cell>
          <cell r="AE17">
            <v>-1.3900601435999E-3</v>
          </cell>
          <cell r="AF17">
            <v>-5.5673318097428197E-3</v>
          </cell>
        </row>
        <row r="18">
          <cell r="O18">
            <v>1.1114016689784201</v>
          </cell>
          <cell r="P18">
            <v>1.1072252332091901</v>
          </cell>
          <cell r="U18">
            <v>2.22024174303082E-3</v>
          </cell>
          <cell r="V18">
            <v>-1.6279067343782901E-3</v>
          </cell>
          <cell r="Y18">
            <v>1.1114016689784201</v>
          </cell>
          <cell r="Z18">
            <v>1.1072252332091901</v>
          </cell>
          <cell r="AE18">
            <v>2.22024174303082E-3</v>
          </cell>
          <cell r="AF18">
            <v>-1.6279067343782901E-3</v>
          </cell>
        </row>
        <row r="19">
          <cell r="O19">
            <v>1.1114016689784201</v>
          </cell>
          <cell r="P19">
            <v>1.10779288661972</v>
          </cell>
          <cell r="U19">
            <v>4.3763151859855902E-3</v>
          </cell>
          <cell r="V19">
            <v>6.1142736432637798E-4</v>
          </cell>
          <cell r="Y19">
            <v>1.1114016689784201</v>
          </cell>
          <cell r="Z19">
            <v>1.10779288661972</v>
          </cell>
          <cell r="AE19">
            <v>4.3763151859855902E-3</v>
          </cell>
          <cell r="AF19">
            <v>6.1142736432637798E-4</v>
          </cell>
        </row>
        <row r="20">
          <cell r="O20">
            <v>1.1114016689784201</v>
          </cell>
          <cell r="P20">
            <v>1.10843725572584</v>
          </cell>
          <cell r="U20">
            <v>9.4176106560998397E-4</v>
          </cell>
          <cell r="V20">
            <v>-2.3105770681915798E-3</v>
          </cell>
          <cell r="Y20">
            <v>1.1114016689784201</v>
          </cell>
          <cell r="Z20">
            <v>1.10843725572584</v>
          </cell>
          <cell r="AE20">
            <v>9.4176106560998397E-4</v>
          </cell>
          <cell r="AF20">
            <v>-2.3105770681915798E-3</v>
          </cell>
        </row>
        <row r="21">
          <cell r="O21">
            <v>1.1114016689784201</v>
          </cell>
          <cell r="P21">
            <v>1.1088723333563399</v>
          </cell>
          <cell r="Q21">
            <v>1.1107167695992199</v>
          </cell>
          <cell r="U21">
            <v>1.29906564421361E-3</v>
          </cell>
          <cell r="V21">
            <v>-1.3717722997245E-3</v>
          </cell>
          <cell r="Y21">
            <v>1.1114016689784201</v>
          </cell>
          <cell r="Z21">
            <v>1.1088723333563399</v>
          </cell>
          <cell r="AA21">
            <v>1.1107167695992199</v>
          </cell>
          <cell r="AE21">
            <v>1.29906564421361E-3</v>
          </cell>
          <cell r="AF21">
            <v>-1.3717722997245E-3</v>
          </cell>
        </row>
        <row r="22">
          <cell r="O22">
            <v>1.1114016689784201</v>
          </cell>
          <cell r="P22">
            <v>1.1097057584796799</v>
          </cell>
          <cell r="Q22">
            <v>1.11024220799623</v>
          </cell>
          <cell r="U22">
            <v>2.3776760729545899E-3</v>
          </cell>
          <cell r="V22">
            <v>9.9275556989915698E-5</v>
          </cell>
          <cell r="W22">
            <v>1.7612378228614701E-3</v>
          </cell>
          <cell r="Y22">
            <v>1.1114016689784201</v>
          </cell>
          <cell r="Z22">
            <v>1.1097057584796799</v>
          </cell>
          <cell r="AA22">
            <v>1.11024220799623</v>
          </cell>
          <cell r="AE22">
            <v>2.3776760729545899E-3</v>
          </cell>
          <cell r="AF22">
            <v>9.9275556989915698E-5</v>
          </cell>
          <cell r="AG22">
            <v>1.7612378228614701E-3</v>
          </cell>
          <cell r="BJ22">
            <v>0</v>
          </cell>
          <cell r="BV22">
            <v>0</v>
          </cell>
          <cell r="BY22">
            <v>0</v>
          </cell>
        </row>
        <row r="23">
          <cell r="O23">
            <v>1.1114016689784201</v>
          </cell>
          <cell r="P23">
            <v>1.11045790670052</v>
          </cell>
          <cell r="Q23">
            <v>1.1100163839699</v>
          </cell>
          <cell r="U23">
            <v>-7.35186277467926E-4</v>
          </cell>
          <cell r="V23">
            <v>-2.2622720972256399E-3</v>
          </cell>
          <cell r="W23">
            <v>-1.77897290724853E-3</v>
          </cell>
          <cell r="Y23">
            <v>1.1114016689784201</v>
          </cell>
          <cell r="Z23">
            <v>1.11045790670052</v>
          </cell>
          <cell r="AA23">
            <v>1.1100163839699</v>
          </cell>
          <cell r="AE23">
            <v>-7.35186277467926E-4</v>
          </cell>
          <cell r="AF23">
            <v>-2.2622720972256399E-3</v>
          </cell>
          <cell r="AG23">
            <v>-1.77897290724853E-3</v>
          </cell>
          <cell r="BJ23">
            <v>0</v>
          </cell>
          <cell r="BV23">
            <v>0</v>
          </cell>
          <cell r="BY23">
            <v>0</v>
          </cell>
        </row>
        <row r="24">
          <cell r="O24">
            <v>1.1114016689784201</v>
          </cell>
          <cell r="P24">
            <v>1.1108127071113201</v>
          </cell>
          <cell r="Q24">
            <v>1.10952906906047</v>
          </cell>
          <cell r="U24">
            <v>-2.3174407019916198E-3</v>
          </cell>
          <cell r="V24">
            <v>-3.1669654379251001E-3</v>
          </cell>
          <cell r="W24">
            <v>-3.5646487061340602E-3</v>
          </cell>
          <cell r="Y24">
            <v>1.1114016689784201</v>
          </cell>
          <cell r="Z24">
            <v>1.1108127071113201</v>
          </cell>
          <cell r="AA24">
            <v>1.10952906906047</v>
          </cell>
          <cell r="AE24">
            <v>-2.3174407019916198E-3</v>
          </cell>
          <cell r="AF24">
            <v>-3.1669654379251001E-3</v>
          </cell>
          <cell r="AG24">
            <v>-3.5646487061340602E-3</v>
          </cell>
          <cell r="BJ24">
            <v>0</v>
          </cell>
          <cell r="BV24">
            <v>0</v>
          </cell>
          <cell r="BY24">
            <v>0</v>
          </cell>
        </row>
        <row r="25">
          <cell r="O25">
            <v>1.1114016689784201</v>
          </cell>
          <cell r="P25">
            <v>1.1110325965205801</v>
          </cell>
          <cell r="Q25">
            <v>1.1093177091572799</v>
          </cell>
          <cell r="U25">
            <v>-2.7433116241210999E-3</v>
          </cell>
          <cell r="V25">
            <v>-3.2733791884645702E-3</v>
          </cell>
          <cell r="W25">
            <v>-4.4296319848917002E-3</v>
          </cell>
          <cell r="Y25">
            <v>1.1114016689784201</v>
          </cell>
          <cell r="Z25">
            <v>1.1110325965205801</v>
          </cell>
          <cell r="AA25">
            <v>1.1093177091572799</v>
          </cell>
          <cell r="AE25">
            <v>-2.7433116241210999E-3</v>
          </cell>
          <cell r="AF25">
            <v>-3.2733791884645702E-3</v>
          </cell>
          <cell r="AG25">
            <v>-4.4296319848917002E-3</v>
          </cell>
          <cell r="BJ25">
            <v>0</v>
          </cell>
          <cell r="BV25">
            <v>0</v>
          </cell>
          <cell r="BY25">
            <v>0</v>
          </cell>
        </row>
        <row r="26">
          <cell r="O26">
            <v>1.1114016689784201</v>
          </cell>
          <cell r="P26">
            <v>1.1108360683371601</v>
          </cell>
          <cell r="Q26">
            <v>1.1088023969413201</v>
          </cell>
          <cell r="U26">
            <v>1.0844285420811299E-3</v>
          </cell>
          <cell r="V26">
            <v>7.5229501897467897E-4</v>
          </cell>
          <cell r="W26">
            <v>-7.9240511226142502E-4</v>
          </cell>
          <cell r="Y26">
            <v>1.1114016689784201</v>
          </cell>
          <cell r="Z26">
            <v>1.1108360683371601</v>
          </cell>
          <cell r="AA26">
            <v>1.1088023969413201</v>
          </cell>
          <cell r="AE26">
            <v>1.0844285420811299E-3</v>
          </cell>
          <cell r="AF26">
            <v>7.5229501897467897E-4</v>
          </cell>
          <cell r="AG26">
            <v>-7.9240511226142502E-4</v>
          </cell>
          <cell r="BJ26">
            <v>0</v>
          </cell>
          <cell r="BV26">
            <v>0</v>
          </cell>
          <cell r="BY26">
            <v>0</v>
          </cell>
        </row>
        <row r="27">
          <cell r="O27">
            <v>1.1114016689784201</v>
          </cell>
          <cell r="P27">
            <v>1.1102902011753499</v>
          </cell>
          <cell r="Q27">
            <v>1.10871162496164</v>
          </cell>
          <cell r="U27">
            <v>3.52670487795493E-3</v>
          </cell>
          <cell r="V27">
            <v>3.0176678438172799E-3</v>
          </cell>
          <cell r="W27">
            <v>1.18523252003608E-3</v>
          </cell>
          <cell r="Y27">
            <v>1.1114016689784201</v>
          </cell>
          <cell r="Z27">
            <v>1.1102902011753499</v>
          </cell>
          <cell r="AA27">
            <v>1.10871162496164</v>
          </cell>
          <cell r="AE27">
            <v>3.52670487795493E-3</v>
          </cell>
          <cell r="AF27">
            <v>3.0176678438172799E-3</v>
          </cell>
          <cell r="AG27">
            <v>1.18523252003608E-3</v>
          </cell>
          <cell r="BJ27">
            <v>0</v>
          </cell>
          <cell r="BV27">
            <v>0</v>
          </cell>
          <cell r="BY27">
            <v>0</v>
          </cell>
        </row>
        <row r="28">
          <cell r="O28">
            <v>1.1114016689784201</v>
          </cell>
          <cell r="P28">
            <v>1.1096435610363</v>
          </cell>
          <cell r="Q28">
            <v>1.1084343971227499</v>
          </cell>
          <cell r="U28">
            <v>8.0684814280977991E-3</v>
          </cell>
          <cell r="V28">
            <v>7.0679215298271097E-3</v>
          </cell>
          <cell r="W28">
            <v>5.6451408350048299E-3</v>
          </cell>
          <cell r="Y28">
            <v>1.1114016689784201</v>
          </cell>
          <cell r="Z28">
            <v>1.1096435610363</v>
          </cell>
          <cell r="AA28">
            <v>1.1084343971227499</v>
          </cell>
          <cell r="AE28">
            <v>8.0684814280977991E-3</v>
          </cell>
          <cell r="AF28">
            <v>7.0679215298271097E-3</v>
          </cell>
          <cell r="AG28">
            <v>5.6451408350048299E-3</v>
          </cell>
          <cell r="BJ28">
            <v>0</v>
          </cell>
          <cell r="BV28">
            <v>0</v>
          </cell>
          <cell r="BY28">
            <v>0</v>
          </cell>
        </row>
        <row r="29">
          <cell r="O29">
            <v>1.1114016689784201</v>
          </cell>
          <cell r="P29">
            <v>1.1091961098524501</v>
          </cell>
          <cell r="Q29">
            <v>1.10849449823609</v>
          </cell>
          <cell r="U29">
            <v>8.4281784422513602E-3</v>
          </cell>
          <cell r="V29">
            <v>6.8450424614446802E-3</v>
          </cell>
          <cell r="W29">
            <v>5.7547615460370504E-3</v>
          </cell>
          <cell r="Y29">
            <v>1.1114016689784201</v>
          </cell>
          <cell r="Z29">
            <v>1.1091961098524501</v>
          </cell>
          <cell r="AA29">
            <v>1.10849449823609</v>
          </cell>
          <cell r="AE29">
            <v>8.4281784422513602E-3</v>
          </cell>
          <cell r="AF29">
            <v>6.8450424614446802E-3</v>
          </cell>
          <cell r="AG29">
            <v>5.7547615460370504E-3</v>
          </cell>
          <cell r="BJ29">
            <v>0</v>
          </cell>
          <cell r="BV29">
            <v>0</v>
          </cell>
          <cell r="BY29">
            <v>0</v>
          </cell>
        </row>
        <row r="30">
          <cell r="O30">
            <v>1.1114016689784201</v>
          </cell>
          <cell r="P30">
            <v>1.10796791668285</v>
          </cell>
          <cell r="Q30">
            <v>1.1082025862043501</v>
          </cell>
          <cell r="U30">
            <v>1.20646525757887E-2</v>
          </cell>
          <cell r="V30">
            <v>1.00781966113136E-2</v>
          </cell>
          <cell r="W30">
            <v>9.4454558338451493E-3</v>
          </cell>
          <cell r="Y30">
            <v>1.1114016689784201</v>
          </cell>
          <cell r="Z30">
            <v>1.10796791668285</v>
          </cell>
          <cell r="AA30">
            <v>1.1082025862043501</v>
          </cell>
          <cell r="AE30">
            <v>1.20646525757887E-2</v>
          </cell>
          <cell r="AF30">
            <v>1.00781966113136E-2</v>
          </cell>
          <cell r="AG30">
            <v>9.4454558338451493E-3</v>
          </cell>
          <cell r="BJ30">
            <v>0</v>
          </cell>
          <cell r="BV30">
            <v>0</v>
          </cell>
          <cell r="BY30">
            <v>0</v>
          </cell>
        </row>
        <row r="31">
          <cell r="O31">
            <v>1.1114016689784201</v>
          </cell>
          <cell r="P31">
            <v>1.1062621818206999</v>
          </cell>
          <cell r="Q31">
            <v>1.10756725758852</v>
          </cell>
          <cell r="U31">
            <v>1.67859211379007E-2</v>
          </cell>
          <cell r="V31">
            <v>1.36915694286498E-2</v>
          </cell>
          <cell r="W31">
            <v>1.3903348731794701E-2</v>
          </cell>
          <cell r="Y31">
            <v>1.1114016689784201</v>
          </cell>
          <cell r="Z31">
            <v>1.1062621818206999</v>
          </cell>
          <cell r="AA31">
            <v>1.10756725758852</v>
          </cell>
          <cell r="AE31">
            <v>1.67859211379007E-2</v>
          </cell>
          <cell r="AF31">
            <v>1.36915694286498E-2</v>
          </cell>
          <cell r="AG31">
            <v>1.3903348731794701E-2</v>
          </cell>
          <cell r="BJ31">
            <v>0</v>
          </cell>
          <cell r="BV31">
            <v>0</v>
          </cell>
          <cell r="BY31">
            <v>0</v>
          </cell>
        </row>
        <row r="32">
          <cell r="O32">
            <v>1.1114016689784201</v>
          </cell>
          <cell r="P32">
            <v>1.1047464214467899</v>
          </cell>
          <cell r="Q32">
            <v>1.10722608996323</v>
          </cell>
          <cell r="U32">
            <v>1.6142724059167699E-2</v>
          </cell>
          <cell r="V32">
            <v>1.1507669601169701E-2</v>
          </cell>
          <cell r="W32">
            <v>1.2686690799250999E-2</v>
          </cell>
          <cell r="Y32">
            <v>1.1114016689784201</v>
          </cell>
          <cell r="Z32">
            <v>1.1047464214467899</v>
          </cell>
          <cell r="AA32">
            <v>1.10722608996323</v>
          </cell>
          <cell r="AE32">
            <v>1.6142724059167699E-2</v>
          </cell>
          <cell r="AF32">
            <v>1.1507669601169701E-2</v>
          </cell>
          <cell r="AG32">
            <v>1.2686690799250999E-2</v>
          </cell>
          <cell r="BJ32">
            <v>0</v>
          </cell>
          <cell r="BV32">
            <v>0</v>
          </cell>
          <cell r="BY32">
            <v>0</v>
          </cell>
        </row>
        <row r="33">
          <cell r="O33">
            <v>1.1114016689784201</v>
          </cell>
          <cell r="P33">
            <v>1.1029198468175601</v>
          </cell>
          <cell r="Q33">
            <v>1.1066888767590399</v>
          </cell>
          <cell r="U33">
            <v>1.5823958369285799E-2</v>
          </cell>
          <cell r="V33">
            <v>9.81780059750024E-3</v>
          </cell>
          <cell r="W33">
            <v>1.2059844332111699E-2</v>
          </cell>
          <cell r="Y33">
            <v>1.1114016689784201</v>
          </cell>
          <cell r="Z33">
            <v>1.1029198468175601</v>
          </cell>
          <cell r="AA33">
            <v>1.1066888767590399</v>
          </cell>
          <cell r="AE33">
            <v>1.5823958369285799E-2</v>
          </cell>
          <cell r="AF33">
            <v>9.81780059750024E-3</v>
          </cell>
          <cell r="AG33">
            <v>1.2059844332111699E-2</v>
          </cell>
          <cell r="BJ33">
            <v>0</v>
          </cell>
          <cell r="BV33">
            <v>0</v>
          </cell>
          <cell r="BY33">
            <v>0</v>
          </cell>
        </row>
        <row r="34">
          <cell r="O34">
            <v>1.1114016689784201</v>
          </cell>
          <cell r="P34">
            <v>1.1006339246401</v>
          </cell>
          <cell r="Q34">
            <v>1.10572331587571</v>
          </cell>
          <cell r="U34">
            <v>1.8416337499806801E-2</v>
          </cell>
          <cell r="V34">
            <v>1.07554232349024E-2</v>
          </cell>
          <cell r="W34">
            <v>1.4166917366591199E-2</v>
          </cell>
          <cell r="Y34">
            <v>1.1114016689784201</v>
          </cell>
          <cell r="Z34">
            <v>1.1006339246401</v>
          </cell>
          <cell r="AA34">
            <v>1.10572331587571</v>
          </cell>
          <cell r="AE34">
            <v>1.8416337499806801E-2</v>
          </cell>
          <cell r="AF34">
            <v>1.07554232349024E-2</v>
          </cell>
          <cell r="AG34">
            <v>1.4166917366591199E-2</v>
          </cell>
          <cell r="BJ34">
            <v>0</v>
          </cell>
          <cell r="BV34">
            <v>0</v>
          </cell>
          <cell r="BY34">
            <v>0</v>
          </cell>
        </row>
        <row r="35">
          <cell r="O35">
            <v>1.1114016689784201</v>
          </cell>
          <cell r="P35">
            <v>1.09831763364365</v>
          </cell>
          <cell r="Q35">
            <v>1.1046751150821099</v>
          </cell>
          <cell r="U35">
            <v>1.8259790913093699E-2</v>
          </cell>
          <cell r="V35">
            <v>8.5241162978228393E-3</v>
          </cell>
          <cell r="W35">
            <v>1.3137512686030599E-2</v>
          </cell>
          <cell r="Y35">
            <v>1.1114016689784201</v>
          </cell>
          <cell r="Z35">
            <v>1.09831763364365</v>
          </cell>
          <cell r="AA35">
            <v>1.1046751150821099</v>
          </cell>
          <cell r="AE35">
            <v>1.8259790913093699E-2</v>
          </cell>
          <cell r="AF35">
            <v>8.5241162978228393E-3</v>
          </cell>
          <cell r="AG35">
            <v>1.3137512686030599E-2</v>
          </cell>
          <cell r="BJ35">
            <v>0</v>
          </cell>
          <cell r="BV35">
            <v>0</v>
          </cell>
          <cell r="BY35">
            <v>0</v>
          </cell>
        </row>
        <row r="36">
          <cell r="O36">
            <v>1.1114016689784201</v>
          </cell>
          <cell r="P36">
            <v>1.09612781682772</v>
          </cell>
          <cell r="Q36">
            <v>1.10348194258244</v>
          </cell>
          <cell r="U36">
            <v>2.1006131688488201E-2</v>
          </cell>
          <cell r="V36">
            <v>9.1637332170925595E-3</v>
          </cell>
          <cell r="W36">
            <v>1.49354263747158E-2</v>
          </cell>
          <cell r="Y36">
            <v>1.1114016689784201</v>
          </cell>
          <cell r="Z36">
            <v>1.09612781682772</v>
          </cell>
          <cell r="AA36">
            <v>1.10348194258244</v>
          </cell>
          <cell r="AE36">
            <v>2.1006131688488201E-2</v>
          </cell>
          <cell r="AF36">
            <v>9.1637332170925595E-3</v>
          </cell>
          <cell r="AG36">
            <v>1.49354263747158E-2</v>
          </cell>
          <cell r="BJ36">
            <v>0</v>
          </cell>
          <cell r="BV36">
            <v>0</v>
          </cell>
          <cell r="BY36">
            <v>0</v>
          </cell>
        </row>
        <row r="37">
          <cell r="O37">
            <v>1.1114016689784201</v>
          </cell>
          <cell r="P37">
            <v>1.09416243933081</v>
          </cell>
          <cell r="Q37">
            <v>1.10222632025308</v>
          </cell>
          <cell r="U37">
            <v>2.1432306318989999E-2</v>
          </cell>
          <cell r="V37">
            <v>7.5941256855707904E-3</v>
          </cell>
          <cell r="W37">
            <v>1.42809055794474E-2</v>
          </cell>
          <cell r="Y37">
            <v>1.1114016689784201</v>
          </cell>
          <cell r="Z37">
            <v>1.09416243933081</v>
          </cell>
          <cell r="AA37">
            <v>1.10222632025308</v>
          </cell>
          <cell r="AE37">
            <v>2.1432306318989999E-2</v>
          </cell>
          <cell r="AF37">
            <v>7.5941256855707904E-3</v>
          </cell>
          <cell r="AG37">
            <v>1.42809055794474E-2</v>
          </cell>
          <cell r="BJ37">
            <v>0</v>
          </cell>
          <cell r="BV37">
            <v>0</v>
          </cell>
          <cell r="BY37">
            <v>0</v>
          </cell>
        </row>
        <row r="38">
          <cell r="O38">
            <v>1.1114016689784201</v>
          </cell>
          <cell r="P38">
            <v>1.0929843207023</v>
          </cell>
          <cell r="Q38">
            <v>1.1013139408693</v>
          </cell>
          <cell r="U38">
            <v>1.88121585137669E-2</v>
          </cell>
          <cell r="V38">
            <v>3.1793499593431502E-3</v>
          </cell>
          <cell r="W38">
            <v>1.0522236886265199E-2</v>
          </cell>
          <cell r="Y38">
            <v>1.1114016689784201</v>
          </cell>
          <cell r="Z38">
            <v>1.0929843207023</v>
          </cell>
          <cell r="AA38">
            <v>1.1013139408693</v>
          </cell>
          <cell r="AE38">
            <v>1.88121585137669E-2</v>
          </cell>
          <cell r="AF38">
            <v>3.1793499593431502E-3</v>
          </cell>
          <cell r="AG38">
            <v>1.0522236886265199E-2</v>
          </cell>
          <cell r="BJ38">
            <v>0</v>
          </cell>
          <cell r="BV38">
            <v>0</v>
          </cell>
          <cell r="BY38">
            <v>0</v>
          </cell>
        </row>
        <row r="39">
          <cell r="O39">
            <v>1.1114016689784201</v>
          </cell>
          <cell r="P39">
            <v>1.09198315383023</v>
          </cell>
          <cell r="Q39">
            <v>1.10058963184134</v>
          </cell>
          <cell r="U39">
            <v>1.7554082428869602E-2</v>
          </cell>
          <cell r="V39">
            <v>8.4396277307871202E-4</v>
          </cell>
          <cell r="W39">
            <v>8.4360575422483593E-3</v>
          </cell>
          <cell r="Y39">
            <v>1.1114016689784201</v>
          </cell>
          <cell r="Z39">
            <v>1.09198315383023</v>
          </cell>
          <cell r="AA39">
            <v>1.10058963184134</v>
          </cell>
          <cell r="AE39">
            <v>1.7554082428869602E-2</v>
          </cell>
          <cell r="AF39">
            <v>8.4396277307871202E-4</v>
          </cell>
          <cell r="AG39">
            <v>8.4360575422483593E-3</v>
          </cell>
          <cell r="BJ39">
            <v>0</v>
          </cell>
          <cell r="BV39">
            <v>0</v>
          </cell>
          <cell r="BY39">
            <v>0</v>
          </cell>
        </row>
        <row r="40">
          <cell r="O40">
            <v>1.1114016689784201</v>
          </cell>
          <cell r="P40">
            <v>1.09108745499251</v>
          </cell>
          <cell r="Q40">
            <v>1.0995276858376799</v>
          </cell>
          <cell r="U40">
            <v>2.0255105119896401E-2</v>
          </cell>
          <cell r="V40">
            <v>2.6285718755289702E-3</v>
          </cell>
          <cell r="W40">
            <v>1.04791867060046E-2</v>
          </cell>
          <cell r="Y40">
            <v>1.1114016689784201</v>
          </cell>
          <cell r="Z40">
            <v>1.09108745499251</v>
          </cell>
          <cell r="AA40">
            <v>1.0995276858376799</v>
          </cell>
          <cell r="AE40">
            <v>2.0255105119896401E-2</v>
          </cell>
          <cell r="AF40">
            <v>2.6285718755289702E-3</v>
          </cell>
          <cell r="AG40">
            <v>1.04791867060046E-2</v>
          </cell>
          <cell r="BJ40">
            <v>0</v>
          </cell>
          <cell r="BV40">
            <v>0</v>
          </cell>
          <cell r="BY40">
            <v>0</v>
          </cell>
        </row>
        <row r="41">
          <cell r="O41">
            <v>1.1114016689784201</v>
          </cell>
          <cell r="P41">
            <v>1.09102985231156</v>
          </cell>
          <cell r="Q41">
            <v>1.0986460170661301</v>
          </cell>
          <cell r="U41">
            <v>1.73131220589825E-2</v>
          </cell>
          <cell r="V41">
            <v>-1.13399745902029E-3</v>
          </cell>
          <cell r="W41">
            <v>6.5718495909195401E-3</v>
          </cell>
          <cell r="Y41">
            <v>1.1114016689784201</v>
          </cell>
          <cell r="Z41">
            <v>1.09102985231156</v>
          </cell>
          <cell r="AA41">
            <v>1.0986460170661301</v>
          </cell>
          <cell r="AE41">
            <v>1.73131220589825E-2</v>
          </cell>
          <cell r="AF41">
            <v>-1.13399745902029E-3</v>
          </cell>
          <cell r="AG41">
            <v>6.5718495909195401E-3</v>
          </cell>
          <cell r="BJ41">
            <v>0</v>
          </cell>
          <cell r="BV41">
            <v>0</v>
          </cell>
          <cell r="BY41">
            <v>0</v>
          </cell>
        </row>
        <row r="42">
          <cell r="O42">
            <v>1.1114016689784201</v>
          </cell>
          <cell r="P42">
            <v>1.0911768327852001</v>
          </cell>
          <cell r="Q42">
            <v>1.09796162711599</v>
          </cell>
          <cell r="U42">
            <v>1.47996263409002E-2</v>
          </cell>
          <cell r="V42">
            <v>-3.70028839646878E-3</v>
          </cell>
          <cell r="W42">
            <v>3.2561708445709501E-3</v>
          </cell>
          <cell r="Y42">
            <v>1.1114016689784201</v>
          </cell>
          <cell r="Z42">
            <v>1.0911768327852001</v>
          </cell>
          <cell r="AA42">
            <v>1.09796162711599</v>
          </cell>
          <cell r="AE42">
            <v>1.47996263409002E-2</v>
          </cell>
          <cell r="AF42">
            <v>-3.70028839646878E-3</v>
          </cell>
          <cell r="AG42">
            <v>3.2561708445709501E-3</v>
          </cell>
          <cell r="BJ42">
            <v>0</v>
          </cell>
          <cell r="BV42">
            <v>0</v>
          </cell>
          <cell r="BY42">
            <v>0</v>
          </cell>
        </row>
        <row r="43">
          <cell r="O43">
            <v>1.1114016689784201</v>
          </cell>
          <cell r="P43">
            <v>1.09151102841975</v>
          </cell>
          <cell r="Q43">
            <v>1.09721543761866</v>
          </cell>
          <cell r="U43">
            <v>1.2773680120015301E-2</v>
          </cell>
          <cell r="V43">
            <v>-5.5915265029788403E-3</v>
          </cell>
          <cell r="W43">
            <v>6.0709106217245797E-4</v>
          </cell>
          <cell r="Y43">
            <v>1.1114016689784201</v>
          </cell>
          <cell r="Z43">
            <v>1.09151102841975</v>
          </cell>
          <cell r="AA43">
            <v>1.09721543761866</v>
          </cell>
          <cell r="AE43">
            <v>1.2773680120015301E-2</v>
          </cell>
          <cell r="AF43">
            <v>-5.5915265029788403E-3</v>
          </cell>
          <cell r="AG43">
            <v>6.0709106217245797E-4</v>
          </cell>
          <cell r="BJ43">
            <v>0</v>
          </cell>
          <cell r="BV43">
            <v>0</v>
          </cell>
          <cell r="BY43">
            <v>0</v>
          </cell>
        </row>
        <row r="44">
          <cell r="O44">
            <v>1.1114016689784201</v>
          </cell>
          <cell r="P44">
            <v>1.0920998588608599</v>
          </cell>
          <cell r="Q44">
            <v>1.0963668917504801</v>
          </cell>
          <cell r="U44">
            <v>1.30342828844172E-2</v>
          </cell>
          <cell r="V44">
            <v>-5.0246997996393596E-3</v>
          </cell>
          <cell r="W44">
            <v>1.8784932740845099E-4</v>
          </cell>
          <cell r="Y44">
            <v>1.1114016689784201</v>
          </cell>
          <cell r="Z44">
            <v>1.0920998588608599</v>
          </cell>
          <cell r="AA44">
            <v>1.0963668917504801</v>
          </cell>
          <cell r="AE44">
            <v>1.30342828844172E-2</v>
          </cell>
          <cell r="AF44">
            <v>-5.0246997996393596E-3</v>
          </cell>
          <cell r="AG44">
            <v>1.8784932740845099E-4</v>
          </cell>
          <cell r="BJ44">
            <v>0</v>
          </cell>
          <cell r="BV44">
            <v>0</v>
          </cell>
          <cell r="BY44">
            <v>0</v>
          </cell>
        </row>
        <row r="45">
          <cell r="O45">
            <v>1.1114016689784201</v>
          </cell>
          <cell r="P45">
            <v>1.09304248223773</v>
          </cell>
          <cell r="Q45">
            <v>1.09568005794069</v>
          </cell>
          <cell r="U45">
            <v>9.6591987436613607E-3</v>
          </cell>
          <cell r="V45">
            <v>-7.8604658239588201E-3</v>
          </cell>
          <cell r="W45">
            <v>-3.9608970544578199E-3</v>
          </cell>
          <cell r="Y45">
            <v>1.1114016689784201</v>
          </cell>
          <cell r="Z45">
            <v>1.09304248223773</v>
          </cell>
          <cell r="AA45">
            <v>1.09568005794069</v>
          </cell>
          <cell r="AE45">
            <v>9.6591987436613607E-3</v>
          </cell>
          <cell r="AF45">
            <v>-7.8604658239588201E-3</v>
          </cell>
          <cell r="AG45">
            <v>-3.9608970544578199E-3</v>
          </cell>
          <cell r="BJ45">
            <v>0</v>
          </cell>
          <cell r="BV45">
            <v>0</v>
          </cell>
          <cell r="BY45">
            <v>0</v>
          </cell>
        </row>
        <row r="46">
          <cell r="O46">
            <v>1.1114016689784201</v>
          </cell>
          <cell r="P46">
            <v>1.0938721018719799</v>
          </cell>
          <cell r="Q46">
            <v>1.0949999593498501</v>
          </cell>
          <cell r="U46">
            <v>1.3411954499278201E-2</v>
          </cell>
          <cell r="V46">
            <v>-3.2449530592298199E-3</v>
          </cell>
          <cell r="W46">
            <v>-8.34801081253453E-4</v>
          </cell>
          <cell r="Y46">
            <v>1.1114016689784201</v>
          </cell>
          <cell r="Z46">
            <v>1.0938721018719799</v>
          </cell>
          <cell r="AA46">
            <v>1.0949999593498501</v>
          </cell>
          <cell r="AE46">
            <v>1.3411954499278201E-2</v>
          </cell>
          <cell r="AF46">
            <v>-3.2449530592298199E-3</v>
          </cell>
          <cell r="AG46">
            <v>-8.34801081253453E-4</v>
          </cell>
          <cell r="BJ46">
            <v>0</v>
          </cell>
          <cell r="BV46">
            <v>0</v>
          </cell>
          <cell r="BY46">
            <v>0</v>
          </cell>
        </row>
        <row r="47">
          <cell r="O47">
            <v>1.1114016689784201</v>
          </cell>
          <cell r="P47">
            <v>1.09465904037397</v>
          </cell>
          <cell r="Q47">
            <v>1.0944107398523899</v>
          </cell>
          <cell r="U47">
            <v>1.4224359791442201E-2</v>
          </cell>
          <cell r="V47">
            <v>-1.67383530516462E-3</v>
          </cell>
          <cell r="W47">
            <v>-6.4329761621609695E-4</v>
          </cell>
          <cell r="Y47">
            <v>1.1114016689784201</v>
          </cell>
          <cell r="Z47">
            <v>1.09465904037397</v>
          </cell>
          <cell r="AA47">
            <v>1.0944107398523899</v>
          </cell>
          <cell r="AE47">
            <v>1.4224359791442201E-2</v>
          </cell>
          <cell r="AF47">
            <v>-1.67383530516462E-3</v>
          </cell>
          <cell r="AG47">
            <v>-6.4329761621609695E-4</v>
          </cell>
          <cell r="BJ47">
            <v>0</v>
          </cell>
          <cell r="BV47">
            <v>0</v>
          </cell>
          <cell r="BY47">
            <v>0</v>
          </cell>
        </row>
        <row r="48">
          <cell r="O48">
            <v>1.1114016689784201</v>
          </cell>
          <cell r="P48">
            <v>1.09495149612466</v>
          </cell>
          <cell r="Q48">
            <v>1.0939679084134799</v>
          </cell>
          <cell r="U48">
            <v>1.6134362247400599E-2</v>
          </cell>
          <cell r="V48">
            <v>9.5531482086437503E-4</v>
          </cell>
          <cell r="W48">
            <v>7.2845999431589295E-4</v>
          </cell>
          <cell r="Y48">
            <v>1.1114016689784201</v>
          </cell>
          <cell r="Z48">
            <v>1.09495149612466</v>
          </cell>
          <cell r="AA48">
            <v>1.0939679084134799</v>
          </cell>
          <cell r="AE48">
            <v>1.6134362247400599E-2</v>
          </cell>
          <cell r="AF48">
            <v>9.5531482086437503E-4</v>
          </cell>
          <cell r="AG48">
            <v>7.2845999431589295E-4</v>
          </cell>
          <cell r="BJ48">
            <v>0</v>
          </cell>
          <cell r="BV48">
            <v>0</v>
          </cell>
          <cell r="BY48">
            <v>0</v>
          </cell>
        </row>
        <row r="49">
          <cell r="O49">
            <v>1.1114016689784201</v>
          </cell>
          <cell r="P49">
            <v>1.0957681348016901</v>
          </cell>
          <cell r="Q49">
            <v>1.0938756443159601</v>
          </cell>
          <cell r="U49">
            <v>1.0103953953743699E-2</v>
          </cell>
          <cell r="V49">
            <v>-4.8079630881412098E-3</v>
          </cell>
          <cell r="W49">
            <v>-5.7066602035685601E-3</v>
          </cell>
          <cell r="Y49">
            <v>1.1114016689784201</v>
          </cell>
          <cell r="Z49">
            <v>1.0957681348016901</v>
          </cell>
          <cell r="AA49">
            <v>1.0938756443159601</v>
          </cell>
          <cell r="AE49">
            <v>1.0103953953743699E-2</v>
          </cell>
          <cell r="AF49">
            <v>-4.8079630881412098E-3</v>
          </cell>
          <cell r="AG49">
            <v>-5.7066602035685601E-3</v>
          </cell>
          <cell r="BJ49">
            <v>0</v>
          </cell>
          <cell r="BV49">
            <v>0</v>
          </cell>
          <cell r="BY49">
            <v>0</v>
          </cell>
        </row>
        <row r="50">
          <cell r="O50">
            <v>1.1114016689784201</v>
          </cell>
          <cell r="P50">
            <v>1.0971582271137501</v>
          </cell>
          <cell r="Q50">
            <v>1.0941228410531301</v>
          </cell>
          <cell r="U50">
            <v>7.5723867346403203E-3</v>
          </cell>
          <cell r="V50">
            <v>-6.5939865111995398E-3</v>
          </cell>
          <cell r="W50">
            <v>-8.3225699228078494E-3</v>
          </cell>
          <cell r="Y50">
            <v>1.1114016689784201</v>
          </cell>
          <cell r="Z50">
            <v>1.0971582271137501</v>
          </cell>
          <cell r="AA50">
            <v>1.0941228410531301</v>
          </cell>
          <cell r="AE50">
            <v>7.5723867346403203E-3</v>
          </cell>
          <cell r="AF50">
            <v>-6.5939865111995398E-3</v>
          </cell>
          <cell r="AG50">
            <v>-8.3225699228078494E-3</v>
          </cell>
          <cell r="BJ50">
            <v>0</v>
          </cell>
          <cell r="BV50">
            <v>0</v>
          </cell>
          <cell r="BY50">
            <v>0</v>
          </cell>
        </row>
        <row r="51">
          <cell r="O51">
            <v>1.1114016689784201</v>
          </cell>
          <cell r="P51">
            <v>1.09820372649715</v>
          </cell>
          <cell r="Q51">
            <v>1.0946167894043599</v>
          </cell>
          <cell r="U51">
            <v>7.7873192738180204E-3</v>
          </cell>
          <cell r="V51">
            <v>-5.11125718468674E-3</v>
          </cell>
          <cell r="W51">
            <v>-7.8816804281119993E-3</v>
          </cell>
          <cell r="Y51">
            <v>1.1114016689784201</v>
          </cell>
          <cell r="Z51">
            <v>1.09820372649715</v>
          </cell>
          <cell r="AA51">
            <v>1.0946167894043599</v>
          </cell>
          <cell r="AE51">
            <v>7.7873192738180204E-3</v>
          </cell>
          <cell r="AF51">
            <v>-5.11125718468674E-3</v>
          </cell>
          <cell r="AG51">
            <v>-7.8816804281119993E-3</v>
          </cell>
          <cell r="BJ51">
            <v>0</v>
          </cell>
          <cell r="BV51">
            <v>0</v>
          </cell>
          <cell r="BY51">
            <v>0</v>
          </cell>
        </row>
        <row r="52">
          <cell r="O52">
            <v>1.1114016689784201</v>
          </cell>
          <cell r="P52">
            <v>1.0993014791618401</v>
          </cell>
          <cell r="Q52">
            <v>1.09523915597352</v>
          </cell>
          <cell r="U52">
            <v>4.8250810633682197E-3</v>
          </cell>
          <cell r="V52">
            <v>-7.1210333551273604E-3</v>
          </cell>
          <cell r="W52">
            <v>-1.03925644868455E-2</v>
          </cell>
          <cell r="Y52">
            <v>1.1114016689784201</v>
          </cell>
          <cell r="Z52">
            <v>1.0993014791618401</v>
          </cell>
          <cell r="AA52">
            <v>1.09523915597352</v>
          </cell>
          <cell r="AE52">
            <v>4.8250810633682197E-3</v>
          </cell>
          <cell r="AF52">
            <v>-7.1210333551273604E-3</v>
          </cell>
          <cell r="AG52">
            <v>-1.03925644868455E-2</v>
          </cell>
          <cell r="BJ52">
            <v>0</v>
          </cell>
          <cell r="BV52">
            <v>0</v>
          </cell>
          <cell r="BY52">
            <v>0</v>
          </cell>
        </row>
        <row r="53">
          <cell r="O53">
            <v>1.1114016689784201</v>
          </cell>
          <cell r="P53">
            <v>1.10013965483001</v>
          </cell>
          <cell r="Q53">
            <v>1.09582534162488</v>
          </cell>
          <cell r="U53">
            <v>5.16414534298704E-3</v>
          </cell>
          <cell r="V53">
            <v>-5.7828790590962803E-3</v>
          </cell>
          <cell r="W53">
            <v>-9.4850915068910493E-3</v>
          </cell>
          <cell r="Y53">
            <v>1.1114016689784201</v>
          </cell>
          <cell r="Z53">
            <v>1.10013965483001</v>
          </cell>
          <cell r="AA53">
            <v>1.09582534162488</v>
          </cell>
          <cell r="AE53">
            <v>5.16414534298704E-3</v>
          </cell>
          <cell r="AF53">
            <v>-5.7828790590962803E-3</v>
          </cell>
          <cell r="AG53">
            <v>-9.4850915068910493E-3</v>
          </cell>
          <cell r="BJ53">
            <v>0</v>
          </cell>
          <cell r="BV53">
            <v>0</v>
          </cell>
          <cell r="BY53">
            <v>0</v>
          </cell>
        </row>
        <row r="54">
          <cell r="O54">
            <v>1.1114016689784201</v>
          </cell>
          <cell r="P54">
            <v>1.10131915085419</v>
          </cell>
          <cell r="Q54">
            <v>1.0967095048575199</v>
          </cell>
          <cell r="U54">
            <v>2.3397505965112699E-3</v>
          </cell>
          <cell r="V54">
            <v>-7.8451022740863696E-3</v>
          </cell>
          <cell r="W54">
            <v>-1.17744169607978E-2</v>
          </cell>
          <cell r="Y54">
            <v>1.1114016689784201</v>
          </cell>
          <cell r="Z54">
            <v>1.10131915085419</v>
          </cell>
          <cell r="AA54">
            <v>1.0967095048575199</v>
          </cell>
          <cell r="AE54">
            <v>2.3397505965112699E-3</v>
          </cell>
          <cell r="AF54">
            <v>-7.8451022740863696E-3</v>
          </cell>
          <cell r="AG54">
            <v>-1.17744169607978E-2</v>
          </cell>
          <cell r="BJ54">
            <v>0</v>
          </cell>
          <cell r="BV54">
            <v>0</v>
          </cell>
          <cell r="BY54">
            <v>0</v>
          </cell>
        </row>
        <row r="55">
          <cell r="O55">
            <v>1.1114016689784201</v>
          </cell>
          <cell r="P55">
            <v>1.10205607985489</v>
          </cell>
          <cell r="Q55">
            <v>1.0975492810463101</v>
          </cell>
          <cell r="U55">
            <v>2.9865266730816601E-3</v>
          </cell>
          <cell r="V55">
            <v>-6.1267675256105403E-3</v>
          </cell>
          <cell r="W55">
            <v>-1.03211193532366E-2</v>
          </cell>
          <cell r="Y55">
            <v>1.1114016689784201</v>
          </cell>
          <cell r="Z55">
            <v>1.10205607985489</v>
          </cell>
          <cell r="AA55">
            <v>1.0975492810463101</v>
          </cell>
          <cell r="AE55">
            <v>2.9865266730816601E-3</v>
          </cell>
          <cell r="AF55">
            <v>-6.1267675256105403E-3</v>
          </cell>
          <cell r="AG55">
            <v>-1.03211193532366E-2</v>
          </cell>
          <cell r="BJ55">
            <v>0</v>
          </cell>
          <cell r="BV55">
            <v>0</v>
          </cell>
          <cell r="BY55">
            <v>0</v>
          </cell>
        </row>
        <row r="56">
          <cell r="O56">
            <v>1.1114016689784201</v>
          </cell>
          <cell r="P56">
            <v>1.10333981843033</v>
          </cell>
          <cell r="Q56">
            <v>1.09860596015115</v>
          </cell>
          <cell r="U56">
            <v>1.77335979186678E-3</v>
          </cell>
          <cell r="V56">
            <v>-6.6710251643929798E-3</v>
          </cell>
          <cell r="W56">
            <v>-1.07688557982726E-2</v>
          </cell>
          <cell r="Y56">
            <v>1.1114016689784201</v>
          </cell>
          <cell r="Z56">
            <v>1.10333981843033</v>
          </cell>
          <cell r="AA56">
            <v>1.09860596015115</v>
          </cell>
          <cell r="AE56">
            <v>1.77335979186678E-3</v>
          </cell>
          <cell r="AF56">
            <v>-6.6710251643929798E-3</v>
          </cell>
          <cell r="AG56">
            <v>-1.07688557982726E-2</v>
          </cell>
          <cell r="BJ56">
            <v>0</v>
          </cell>
          <cell r="BV56">
            <v>0</v>
          </cell>
          <cell r="BY56">
            <v>0</v>
          </cell>
        </row>
        <row r="57">
          <cell r="O57">
            <v>1.1114016689784201</v>
          </cell>
          <cell r="P57">
            <v>1.1056505468656499</v>
          </cell>
          <cell r="Q57">
            <v>1.1001547936198099</v>
          </cell>
          <cell r="U57">
            <v>-6.64531831838163E-3</v>
          </cell>
          <cell r="V57">
            <v>-1.39255234360686E-2</v>
          </cell>
          <cell r="W57">
            <v>-1.82252347353478E-2</v>
          </cell>
          <cell r="Y57">
            <v>1.1114016689784201</v>
          </cell>
          <cell r="Z57">
            <v>1.1056505468656499</v>
          </cell>
          <cell r="AA57">
            <v>1.1001547936198099</v>
          </cell>
          <cell r="AE57">
            <v>-6.64531831838163E-3</v>
          </cell>
          <cell r="AF57">
            <v>-1.39255234360686E-2</v>
          </cell>
          <cell r="AG57">
            <v>-1.82252347353478E-2</v>
          </cell>
          <cell r="BJ57">
            <v>0</v>
          </cell>
          <cell r="BV57">
            <v>0</v>
          </cell>
          <cell r="BY57">
            <v>0</v>
          </cell>
        </row>
        <row r="58">
          <cell r="O58">
            <v>1.1114016689784201</v>
          </cell>
          <cell r="P58">
            <v>1.1080179161000401</v>
          </cell>
          <cell r="Q58">
            <v>1.1014847061123501</v>
          </cell>
          <cell r="U58">
            <v>-5.2818785856892604E-3</v>
          </cell>
          <cell r="V58">
            <v>-1.04699702071437E-2</v>
          </cell>
          <cell r="W58">
            <v>-1.5452970761841701E-2</v>
          </cell>
          <cell r="Y58">
            <v>1.1114016689784201</v>
          </cell>
          <cell r="Z58">
            <v>1.1080179161000401</v>
          </cell>
          <cell r="AA58">
            <v>1.1014847061123501</v>
          </cell>
          <cell r="AE58">
            <v>-5.2818785856892604E-3</v>
          </cell>
          <cell r="AF58">
            <v>-1.04699702071437E-2</v>
          </cell>
          <cell r="AG58">
            <v>-1.5452970761841701E-2</v>
          </cell>
          <cell r="BJ58">
            <v>1.3634397326924199E-3</v>
          </cell>
          <cell r="BV58">
            <v>0</v>
          </cell>
          <cell r="BY58">
            <v>1.3634397326924199E-3</v>
          </cell>
        </row>
        <row r="59">
          <cell r="O59">
            <v>1.1114016689784201</v>
          </cell>
          <cell r="P59">
            <v>1.1095840131388599</v>
          </cell>
          <cell r="Q59">
            <v>1.1026760739702699</v>
          </cell>
          <cell r="U59">
            <v>-4.0299767027366599E-3</v>
          </cell>
          <cell r="V59">
            <v>-7.07920229569393E-3</v>
          </cell>
          <cell r="W59">
            <v>-1.29929576922466E-2</v>
          </cell>
          <cell r="Y59">
            <v>1.1114016689784201</v>
          </cell>
          <cell r="Z59">
            <v>1.1095840131388599</v>
          </cell>
          <cell r="AA59">
            <v>1.1026760739702699</v>
          </cell>
          <cell r="AE59">
            <v>-4.0299767027366599E-3</v>
          </cell>
          <cell r="AF59">
            <v>-7.07920229569393E-3</v>
          </cell>
          <cell r="AG59">
            <v>-1.29929576922466E-2</v>
          </cell>
          <cell r="BJ59">
            <v>2.6153416156450299E-3</v>
          </cell>
          <cell r="BV59">
            <v>0</v>
          </cell>
          <cell r="BY59">
            <v>2.6153416156450299E-3</v>
          </cell>
        </row>
        <row r="60">
          <cell r="O60">
            <v>1.1114016689784201</v>
          </cell>
          <cell r="P60">
            <v>1.1100166215851399</v>
          </cell>
          <cell r="Q60">
            <v>1.1035874243494399</v>
          </cell>
          <cell r="U60">
            <v>3.65801269279934E-3</v>
          </cell>
          <cell r="V60">
            <v>2.02121128520361E-3</v>
          </cell>
          <cell r="W60">
            <v>-4.2239509909748401E-3</v>
          </cell>
          <cell r="Y60">
            <v>1.1114016689784201</v>
          </cell>
          <cell r="Z60">
            <v>1.1100166215851399</v>
          </cell>
          <cell r="AA60">
            <v>1.1035874243494399</v>
          </cell>
          <cell r="AE60">
            <v>3.65801269279934E-3</v>
          </cell>
          <cell r="AF60">
            <v>2.02121128520361E-3</v>
          </cell>
          <cell r="AG60">
            <v>-4.2239509909748401E-3</v>
          </cell>
          <cell r="BJ60">
            <v>1.0303331011181149E-2</v>
          </cell>
          <cell r="BV60">
            <v>0</v>
          </cell>
          <cell r="BY60">
            <v>1.0303331011181149E-2</v>
          </cell>
        </row>
        <row r="61">
          <cell r="O61">
            <v>1.1114016689784201</v>
          </cell>
          <cell r="P61">
            <v>1.10968651351729</v>
          </cell>
          <cell r="Q61">
            <v>1.1039451200072199</v>
          </cell>
          <cell r="U61">
            <v>1.07852245606794E-2</v>
          </cell>
          <cell r="V61">
            <v>9.5382306211349195E-3</v>
          </cell>
          <cell r="W61">
            <v>3.72940918756222E-3</v>
          </cell>
          <cell r="Y61">
            <v>1.1114016689784201</v>
          </cell>
          <cell r="Z61">
            <v>1.10968651351729</v>
          </cell>
          <cell r="AA61">
            <v>1.1039451200072199</v>
          </cell>
          <cell r="AE61">
            <v>1.07852245606794E-2</v>
          </cell>
          <cell r="AF61">
            <v>9.5382306211349195E-3</v>
          </cell>
          <cell r="AG61">
            <v>3.72940918756222E-3</v>
          </cell>
          <cell r="BJ61">
            <v>1.7430542879061234E-2</v>
          </cell>
          <cell r="BV61">
            <v>0</v>
          </cell>
          <cell r="BY61">
            <v>1.7430542879061234E-2</v>
          </cell>
        </row>
        <row r="62">
          <cell r="O62">
            <v>1.1114016689784201</v>
          </cell>
          <cell r="P62">
            <v>1.1090624828709701</v>
          </cell>
          <cell r="Q62">
            <v>1.1041819810164</v>
          </cell>
          <cell r="U62">
            <v>1.0483021966411E-2</v>
          </cell>
          <cell r="V62">
            <v>8.9385935951540197E-3</v>
          </cell>
          <cell r="W62">
            <v>3.7512748946437E-3</v>
          </cell>
          <cell r="Y62">
            <v>1.1114016689784201</v>
          </cell>
          <cell r="Z62">
            <v>1.1090624828709701</v>
          </cell>
          <cell r="AA62">
            <v>1.1041819810164</v>
          </cell>
          <cell r="AE62">
            <v>1.0483021966411E-2</v>
          </cell>
          <cell r="AF62">
            <v>8.9385935951540197E-3</v>
          </cell>
          <cell r="AG62">
            <v>3.7512748946437E-3</v>
          </cell>
          <cell r="BJ62">
            <v>1.7430542879061234E-2</v>
          </cell>
          <cell r="BV62">
            <v>0</v>
          </cell>
          <cell r="BY62">
            <v>1.7430542879061234E-2</v>
          </cell>
        </row>
        <row r="63">
          <cell r="O63">
            <v>1.1114016689784201</v>
          </cell>
          <cell r="P63">
            <v>1.1090469741771101</v>
          </cell>
          <cell r="Q63">
            <v>1.10459331450356</v>
          </cell>
          <cell r="U63">
            <v>5.3044194130303203E-3</v>
          </cell>
          <cell r="V63">
            <v>3.19748427441493E-3</v>
          </cell>
          <cell r="W63">
            <v>-1.21279199185276E-3</v>
          </cell>
          <cell r="Y63">
            <v>1.1114016689784201</v>
          </cell>
          <cell r="Z63">
            <v>1.1090469741771101</v>
          </cell>
          <cell r="AA63">
            <v>1.10459331450356</v>
          </cell>
          <cell r="AE63">
            <v>5.3044194130303203E-3</v>
          </cell>
          <cell r="AF63">
            <v>3.19748427441493E-3</v>
          </cell>
          <cell r="AG63">
            <v>-1.21279199185276E-3</v>
          </cell>
          <cell r="BJ63">
            <v>1.7430542879061234E-2</v>
          </cell>
          <cell r="BV63">
            <v>0</v>
          </cell>
          <cell r="BY63">
            <v>1.7430542879061234E-2</v>
          </cell>
        </row>
        <row r="64">
          <cell r="O64">
            <v>1.1114016689784201</v>
          </cell>
          <cell r="P64">
            <v>1.1090422765033301</v>
          </cell>
          <cell r="Q64">
            <v>1.1051807136787599</v>
          </cell>
          <cell r="U64">
            <v>2.38211851731184E-3</v>
          </cell>
          <cell r="V64">
            <v>2.61199673957119E-4</v>
          </cell>
          <cell r="W64">
            <v>-3.7626389826884601E-3</v>
          </cell>
          <cell r="Y64">
            <v>1.1114016689784201</v>
          </cell>
          <cell r="Z64">
            <v>1.1090422765033301</v>
          </cell>
          <cell r="AA64">
            <v>1.1051807136787599</v>
          </cell>
          <cell r="AE64">
            <v>2.38211851731184E-3</v>
          </cell>
          <cell r="AF64">
            <v>2.61199673957119E-4</v>
          </cell>
          <cell r="AG64">
            <v>-3.7626389826884601E-3</v>
          </cell>
          <cell r="BJ64">
            <v>1.7430542879061234E-2</v>
          </cell>
          <cell r="BV64">
            <v>0</v>
          </cell>
          <cell r="BY64">
            <v>1.7430542879061234E-2</v>
          </cell>
        </row>
        <row r="65">
          <cell r="O65">
            <v>1.1114016689784201</v>
          </cell>
          <cell r="P65">
            <v>1.1091161104473299</v>
          </cell>
          <cell r="Q65">
            <v>1.1055860951511101</v>
          </cell>
          <cell r="U65">
            <v>2.3204297827619999E-3</v>
          </cell>
          <cell r="V65">
            <v>1.9527515513070501E-4</v>
          </cell>
          <cell r="W65">
            <v>-3.2926903809873398E-3</v>
          </cell>
          <cell r="Y65">
            <v>1.1114016689784201</v>
          </cell>
          <cell r="Z65">
            <v>1.1091161104473299</v>
          </cell>
          <cell r="AA65">
            <v>1.1055860951511101</v>
          </cell>
          <cell r="AE65">
            <v>2.3204297827619999E-3</v>
          </cell>
          <cell r="AF65">
            <v>1.9527515513070501E-4</v>
          </cell>
          <cell r="AG65">
            <v>-3.2926903809873398E-3</v>
          </cell>
          <cell r="BJ65">
            <v>1.7430542879061234E-2</v>
          </cell>
          <cell r="BV65">
            <v>0</v>
          </cell>
          <cell r="BY65">
            <v>1.7430542879061234E-2</v>
          </cell>
        </row>
        <row r="66">
          <cell r="O66">
            <v>1.1114016689784201</v>
          </cell>
          <cell r="P66">
            <v>1.10914960458496</v>
          </cell>
          <cell r="Q66">
            <v>1.1062447115076399</v>
          </cell>
          <cell r="U66">
            <v>1.4715020165463101E-3</v>
          </cell>
          <cell r="V66">
            <v>-5.8708031898267905E-4</v>
          </cell>
          <cell r="W66">
            <v>-3.7748843286199599E-3</v>
          </cell>
          <cell r="Y66">
            <v>1.1114016689784201</v>
          </cell>
          <cell r="Z66">
            <v>1.10914960458496</v>
          </cell>
          <cell r="AA66">
            <v>1.1062447115076399</v>
          </cell>
          <cell r="AE66">
            <v>1.4715020165463101E-3</v>
          </cell>
          <cell r="AF66">
            <v>-5.8708031898267905E-4</v>
          </cell>
          <cell r="AG66">
            <v>-3.7748843286199599E-3</v>
          </cell>
          <cell r="BJ66">
            <v>1.7430542879061234E-2</v>
          </cell>
          <cell r="BV66">
            <v>0</v>
          </cell>
          <cell r="BY66">
            <v>1.7430542879061234E-2</v>
          </cell>
        </row>
        <row r="67">
          <cell r="O67">
            <v>1.1114016689784201</v>
          </cell>
          <cell r="P67">
            <v>1.10780439297128</v>
          </cell>
          <cell r="Q67">
            <v>1.1067274699184699</v>
          </cell>
          <cell r="U67">
            <v>5.4511223403682996E-3</v>
          </cell>
          <cell r="V67">
            <v>3.4227384949487398E-3</v>
          </cell>
          <cell r="W67">
            <v>8.0027555818747999E-4</v>
          </cell>
          <cell r="Y67">
            <v>1.1114016689784201</v>
          </cell>
          <cell r="Z67">
            <v>1.10780439297128</v>
          </cell>
          <cell r="AA67">
            <v>1.1067274699184699</v>
          </cell>
          <cell r="AE67">
            <v>5.4511223403682996E-3</v>
          </cell>
          <cell r="AF67">
            <v>3.4227384949487398E-3</v>
          </cell>
          <cell r="AG67">
            <v>8.0027555818747999E-4</v>
          </cell>
          <cell r="BJ67">
            <v>1.7430542879061234E-2</v>
          </cell>
          <cell r="BV67">
            <v>0</v>
          </cell>
          <cell r="BY67">
            <v>1.7430542879061234E-2</v>
          </cell>
        </row>
        <row r="68">
          <cell r="O68">
            <v>1.1114016689784201</v>
          </cell>
          <cell r="P68">
            <v>1.1082071431825</v>
          </cell>
          <cell r="Q68">
            <v>1.1081125296412699</v>
          </cell>
          <cell r="U68">
            <v>-8.8801114088642996E-3</v>
          </cell>
          <cell r="V68">
            <v>-1.21220628612362E-2</v>
          </cell>
          <cell r="W68">
            <v>-1.30946595131574E-2</v>
          </cell>
          <cell r="Y68">
            <v>1.1114016689784201</v>
          </cell>
          <cell r="Z68">
            <v>1.1082071431825</v>
          </cell>
          <cell r="AA68">
            <v>1.1081125296412699</v>
          </cell>
          <cell r="AE68">
            <v>-8.8801114088642996E-3</v>
          </cell>
          <cell r="AF68">
            <v>-1.21220628612362E-2</v>
          </cell>
          <cell r="AG68">
            <v>-1.30946595131574E-2</v>
          </cell>
          <cell r="BJ68">
            <v>1.7430542879061234E-2</v>
          </cell>
          <cell r="BV68">
            <v>0</v>
          </cell>
          <cell r="BY68">
            <v>1.7430542879061234E-2</v>
          </cell>
        </row>
        <row r="69">
          <cell r="O69">
            <v>1.1114016689784201</v>
          </cell>
          <cell r="P69">
            <v>1.1077050180835699</v>
          </cell>
          <cell r="Q69">
            <v>1.1086445156112199</v>
          </cell>
          <cell r="U69">
            <v>4.7995161870476299E-4</v>
          </cell>
          <cell r="V69">
            <v>-2.3985087515299599E-3</v>
          </cell>
          <cell r="W69">
            <v>-2.4838877177961499E-3</v>
          </cell>
          <cell r="Y69">
            <v>1.1114016689784201</v>
          </cell>
          <cell r="Z69">
            <v>1.1077050180835699</v>
          </cell>
          <cell r="AA69">
            <v>1.1086445156112199</v>
          </cell>
          <cell r="AE69">
            <v>4.7995161870476299E-4</v>
          </cell>
          <cell r="AF69">
            <v>-2.3985087515299599E-3</v>
          </cell>
          <cell r="AG69">
            <v>-2.4838877177961499E-3</v>
          </cell>
          <cell r="BJ69">
            <v>2.6790605906630131E-2</v>
          </cell>
          <cell r="BV69">
            <v>0</v>
          </cell>
          <cell r="BY69">
            <v>2.6790605906630131E-2</v>
          </cell>
        </row>
        <row r="70">
          <cell r="O70">
            <v>1.1114016689784201</v>
          </cell>
          <cell r="P70">
            <v>1.1079928828685499</v>
          </cell>
          <cell r="Q70">
            <v>1.10900475222684</v>
          </cell>
          <cell r="U70">
            <v>1.06178806564217E-3</v>
          </cell>
          <cell r="V70">
            <v>-2.2698717736864401E-3</v>
          </cell>
          <cell r="W70">
            <v>-1.42208348972487E-3</v>
          </cell>
          <cell r="Y70">
            <v>1.1114016689784201</v>
          </cell>
          <cell r="Z70">
            <v>1.1079928828685499</v>
          </cell>
          <cell r="AA70">
            <v>1.10900475222684</v>
          </cell>
          <cell r="AE70">
            <v>1.06178806564217E-3</v>
          </cell>
          <cell r="AF70">
            <v>-2.2698717736864401E-3</v>
          </cell>
          <cell r="AG70">
            <v>-1.42208348972487E-3</v>
          </cell>
          <cell r="BJ70">
            <v>2.6790605906630131E-2</v>
          </cell>
          <cell r="BV70">
            <v>0</v>
          </cell>
          <cell r="BY70">
            <v>2.6790605906630131E-2</v>
          </cell>
        </row>
        <row r="71">
          <cell r="O71">
            <v>1.1114016689784201</v>
          </cell>
          <cell r="P71">
            <v>1.1096429756959301</v>
          </cell>
          <cell r="Q71">
            <v>1.1096647446066099</v>
          </cell>
          <cell r="U71">
            <v>-4.1112177331989802E-3</v>
          </cell>
          <cell r="V71">
            <v>-7.1830363852647804E-3</v>
          </cell>
          <cell r="W71">
            <v>-6.2702077809079102E-3</v>
          </cell>
          <cell r="Y71">
            <v>1.1114016689784201</v>
          </cell>
          <cell r="Z71">
            <v>1.1096429756959301</v>
          </cell>
          <cell r="AA71">
            <v>1.1096647446066099</v>
          </cell>
          <cell r="AE71">
            <v>-4.1112177331989802E-3</v>
          </cell>
          <cell r="AF71">
            <v>-7.1830363852647804E-3</v>
          </cell>
          <cell r="AG71">
            <v>-6.2702077809079102E-3</v>
          </cell>
          <cell r="BJ71">
            <v>2.6790605906630131E-2</v>
          </cell>
          <cell r="BV71">
            <v>0</v>
          </cell>
          <cell r="BY71">
            <v>2.6790605906630131E-2</v>
          </cell>
        </row>
        <row r="72">
          <cell r="O72">
            <v>1.1114016689784201</v>
          </cell>
          <cell r="P72">
            <v>1.1112481358702899</v>
          </cell>
          <cell r="Q72">
            <v>1.11015530937063</v>
          </cell>
          <cell r="U72">
            <v>-4.0063619931628202E-3</v>
          </cell>
          <cell r="V72">
            <v>-5.5900254771669902E-3</v>
          </cell>
          <cell r="W72">
            <v>-5.5704077283691804E-3</v>
          </cell>
          <cell r="Y72">
            <v>1.1114016689784201</v>
          </cell>
          <cell r="Z72">
            <v>1.1112481358702899</v>
          </cell>
          <cell r="AA72">
            <v>1.11015530937063</v>
          </cell>
          <cell r="AE72">
            <v>-4.0063619931628202E-3</v>
          </cell>
          <cell r="AF72">
            <v>-5.5900254771669902E-3</v>
          </cell>
          <cell r="AG72">
            <v>-5.5704077283691804E-3</v>
          </cell>
          <cell r="BJ72">
            <v>2.6790605906630131E-2</v>
          </cell>
          <cell r="BV72">
            <v>0</v>
          </cell>
          <cell r="BY72">
            <v>2.6790605906630131E-2</v>
          </cell>
        </row>
        <row r="73">
          <cell r="O73">
            <v>1.1114016689784201</v>
          </cell>
          <cell r="P73">
            <v>1.1121294482691999</v>
          </cell>
          <cell r="Q73">
            <v>1.11058821122316</v>
          </cell>
          <cell r="U73">
            <v>-2.6358851253592201E-3</v>
          </cell>
          <cell r="V73">
            <v>-2.7740383405351998E-3</v>
          </cell>
          <cell r="W73">
            <v>-3.7579447895503301E-3</v>
          </cell>
          <cell r="Y73">
            <v>1.1114016689784201</v>
          </cell>
          <cell r="Z73">
            <v>1.1121294482691999</v>
          </cell>
          <cell r="AA73">
            <v>1.11058821122316</v>
          </cell>
          <cell r="AE73">
            <v>-2.6358851253592201E-3</v>
          </cell>
          <cell r="AF73">
            <v>-2.7740383405351998E-3</v>
          </cell>
          <cell r="AG73">
            <v>-3.7579447895503301E-3</v>
          </cell>
          <cell r="BJ73">
            <v>2.6790605906630131E-2</v>
          </cell>
          <cell r="BV73">
            <v>0</v>
          </cell>
          <cell r="BY73">
            <v>2.6790605906630131E-2</v>
          </cell>
        </row>
        <row r="74">
          <cell r="O74">
            <v>1.1114016689784201</v>
          </cell>
          <cell r="P74">
            <v>1.11242747238704</v>
          </cell>
          <cell r="Q74">
            <v>1.1107348744451799</v>
          </cell>
          <cell r="U74">
            <v>-3.0218665106381503E-4</v>
          </cell>
          <cell r="V74">
            <v>3.5242916350880802E-4</v>
          </cell>
          <cell r="W74">
            <v>-1.03437521668421E-3</v>
          </cell>
          <cell r="Y74">
            <v>1.1114016689784201</v>
          </cell>
          <cell r="Z74">
            <v>1.11242747238704</v>
          </cell>
          <cell r="AA74">
            <v>1.1107348744451799</v>
          </cell>
          <cell r="AE74">
            <v>-3.0218665106381503E-4</v>
          </cell>
          <cell r="AF74">
            <v>3.5242916350880802E-4</v>
          </cell>
          <cell r="AG74">
            <v>-1.03437521668421E-3</v>
          </cell>
          <cell r="BJ74">
            <v>2.6790605906630131E-2</v>
          </cell>
          <cell r="BV74">
            <v>0</v>
          </cell>
          <cell r="BY74">
            <v>2.6790605906630131E-2</v>
          </cell>
        </row>
        <row r="75">
          <cell r="O75">
            <v>1.1114016689784201</v>
          </cell>
          <cell r="P75">
            <v>1.11320208173539</v>
          </cell>
          <cell r="Q75">
            <v>1.11115909609136</v>
          </cell>
          <cell r="U75">
            <v>-4.6411351385985599E-3</v>
          </cell>
          <cell r="V75">
            <v>-3.7185791181757102E-3</v>
          </cell>
          <cell r="W75">
            <v>-5.2412733751278796E-3</v>
          </cell>
          <cell r="Y75">
            <v>1.1114016689784201</v>
          </cell>
          <cell r="Z75">
            <v>1.11320208173539</v>
          </cell>
          <cell r="AA75">
            <v>1.11115909609136</v>
          </cell>
          <cell r="AE75">
            <v>-4.6411351385985599E-3</v>
          </cell>
          <cell r="AF75">
            <v>-3.7185791181757102E-3</v>
          </cell>
          <cell r="AG75">
            <v>-5.2412733751278796E-3</v>
          </cell>
          <cell r="BJ75">
            <v>2.6790605906630131E-2</v>
          </cell>
          <cell r="BV75">
            <v>0</v>
          </cell>
          <cell r="BY75">
            <v>2.6790605906630131E-2</v>
          </cell>
        </row>
        <row r="76">
          <cell r="O76">
            <v>1.1114016689784201</v>
          </cell>
          <cell r="P76">
            <v>1.11381652269597</v>
          </cell>
          <cell r="Q76">
            <v>1.11148306364046</v>
          </cell>
          <cell r="U76">
            <v>-4.0498911454974898E-3</v>
          </cell>
          <cell r="V76">
            <v>-2.4312539841769999E-3</v>
          </cell>
          <cell r="W76">
            <v>-4.2681734906506097E-3</v>
          </cell>
          <cell r="Y76">
            <v>1.1114016689784201</v>
          </cell>
          <cell r="Z76">
            <v>1.11381652269597</v>
          </cell>
          <cell r="AA76">
            <v>1.11148306364046</v>
          </cell>
          <cell r="AE76">
            <v>-4.0498911454974898E-3</v>
          </cell>
          <cell r="AF76">
            <v>-2.4312539841769999E-3</v>
          </cell>
          <cell r="AG76">
            <v>-4.2681734906506097E-3</v>
          </cell>
          <cell r="BJ76">
            <v>2.6790605906630131E-2</v>
          </cell>
          <cell r="BV76">
            <v>0</v>
          </cell>
          <cell r="BY76">
            <v>2.6790605906630131E-2</v>
          </cell>
        </row>
        <row r="77">
          <cell r="O77">
            <v>1.1114016689784201</v>
          </cell>
          <cell r="P77">
            <v>1.11521498361613</v>
          </cell>
          <cell r="Q77">
            <v>1.1115096882937101</v>
          </cell>
          <cell r="U77">
            <v>-7.1211502212387796E-3</v>
          </cell>
          <cell r="V77">
            <v>-4.9507071837149898E-3</v>
          </cell>
          <cell r="W77">
            <v>-7.0479168584065503E-3</v>
          </cell>
          <cell r="Y77">
            <v>1.1114016689784201</v>
          </cell>
          <cell r="Z77">
            <v>1.11521498361613</v>
          </cell>
          <cell r="AA77">
            <v>1.1115096882937101</v>
          </cell>
          <cell r="AE77">
            <v>-7.1211502212387796E-3</v>
          </cell>
          <cell r="AF77">
            <v>-4.9507071837149898E-3</v>
          </cell>
          <cell r="AG77">
            <v>-7.0479168584065503E-3</v>
          </cell>
          <cell r="BJ77">
            <v>2.6790605906630131E-2</v>
          </cell>
          <cell r="BV77">
            <v>0</v>
          </cell>
          <cell r="BY77">
            <v>2.6790605906630131E-2</v>
          </cell>
        </row>
        <row r="78">
          <cell r="O78">
            <v>1.1114016689784201</v>
          </cell>
          <cell r="P78">
            <v>1.11484309665284</v>
          </cell>
          <cell r="Q78">
            <v>1.1115251199176699</v>
          </cell>
          <cell r="U78">
            <v>-5.5580741602600401E-3</v>
          </cell>
          <cell r="V78">
            <v>-2.13286096835578E-3</v>
          </cell>
          <cell r="W78">
            <v>-5.4608869152358696E-3</v>
          </cell>
          <cell r="Y78">
            <v>1.1114016689784201</v>
          </cell>
          <cell r="Z78">
            <v>1.11484309665284</v>
          </cell>
          <cell r="AA78">
            <v>1.1115251199176699</v>
          </cell>
          <cell r="AE78">
            <v>-5.5580741602600401E-3</v>
          </cell>
          <cell r="AF78">
            <v>-2.13286096835578E-3</v>
          </cell>
          <cell r="AG78">
            <v>-5.4608869152358696E-3</v>
          </cell>
          <cell r="BJ78">
            <v>2.6790605906630131E-2</v>
          </cell>
          <cell r="BV78">
            <v>0</v>
          </cell>
          <cell r="BY78">
            <v>2.6790605906630131E-2</v>
          </cell>
        </row>
        <row r="79">
          <cell r="O79">
            <v>1.1114016689784201</v>
          </cell>
          <cell r="P79">
            <v>1.11564872814894</v>
          </cell>
          <cell r="Q79">
            <v>1.1116768731162601</v>
          </cell>
          <cell r="U79">
            <v>-6.7461449392157502E-3</v>
          </cell>
          <cell r="V79">
            <v>-3.6544539726140498E-3</v>
          </cell>
          <cell r="W79">
            <v>-6.6350743092758397E-3</v>
          </cell>
          <cell r="Y79">
            <v>1.1114016689784201</v>
          </cell>
          <cell r="Z79">
            <v>1.11564872814894</v>
          </cell>
          <cell r="AA79">
            <v>1.1116768731162601</v>
          </cell>
          <cell r="AE79">
            <v>-6.7461449392157502E-3</v>
          </cell>
          <cell r="AF79">
            <v>-3.6544539726140498E-3</v>
          </cell>
          <cell r="AG79">
            <v>-6.6350743092758397E-3</v>
          </cell>
          <cell r="BJ79">
            <v>2.6790605906630131E-2</v>
          </cell>
          <cell r="BV79">
            <v>0</v>
          </cell>
          <cell r="BY79">
            <v>2.6790605906630131E-2</v>
          </cell>
        </row>
        <row r="80">
          <cell r="O80">
            <v>1.1114016689784201</v>
          </cell>
          <cell r="P80">
            <v>1.11642622581467</v>
          </cell>
          <cell r="Q80">
            <v>1.11220955434161</v>
          </cell>
          <cell r="U80">
            <v>-5.9168857026077404E-3</v>
          </cell>
          <cell r="V80">
            <v>-2.1028145665956599E-3</v>
          </cell>
          <cell r="W80">
            <v>-5.6692973839489102E-3</v>
          </cell>
          <cell r="Y80">
            <v>1.1114016689784201</v>
          </cell>
          <cell r="Z80">
            <v>1.11642622581467</v>
          </cell>
          <cell r="AA80">
            <v>1.11220955434161</v>
          </cell>
          <cell r="AE80">
            <v>-5.9168857026077404E-3</v>
          </cell>
          <cell r="AF80">
            <v>-2.1028145665956599E-3</v>
          </cell>
          <cell r="AG80">
            <v>-5.6692973839489102E-3</v>
          </cell>
          <cell r="BJ80">
            <v>2.6790605906630131E-2</v>
          </cell>
          <cell r="BV80">
            <v>0</v>
          </cell>
          <cell r="BY80">
            <v>2.6790605906630131E-2</v>
          </cell>
        </row>
        <row r="81">
          <cell r="O81">
            <v>1.1114016689784201</v>
          </cell>
          <cell r="P81">
            <v>1.1164400739399301</v>
          </cell>
          <cell r="Q81">
            <v>1.11304152481793</v>
          </cell>
          <cell r="U81">
            <v>-4.2352993703797404E-3</v>
          </cell>
          <cell r="V81">
            <v>2.7543089511007299E-4</v>
          </cell>
          <cell r="W81">
            <v>-3.5086566998737598E-3</v>
          </cell>
          <cell r="Y81">
            <v>1.1114016689784201</v>
          </cell>
          <cell r="Z81">
            <v>1.1164400739399301</v>
          </cell>
          <cell r="AA81">
            <v>1.11304152481793</v>
          </cell>
          <cell r="AE81">
            <v>-4.2352993703797404E-3</v>
          </cell>
          <cell r="AF81">
            <v>2.7543089511007299E-4</v>
          </cell>
          <cell r="AG81">
            <v>-3.5086566998737598E-3</v>
          </cell>
          <cell r="BJ81">
            <v>2.6790605906630131E-2</v>
          </cell>
          <cell r="BV81">
            <v>0</v>
          </cell>
          <cell r="BY81">
            <v>2.6790605906630131E-2</v>
          </cell>
        </row>
        <row r="82">
          <cell r="O82">
            <v>1.1114016689784201</v>
          </cell>
          <cell r="P82">
            <v>1.1160158796790101</v>
          </cell>
          <cell r="Q82">
            <v>1.11363200777465</v>
          </cell>
          <cell r="U82">
            <v>-1.97628399807924E-4</v>
          </cell>
          <cell r="V82">
            <v>4.3255057657814004E-3</v>
          </cell>
          <cell r="W82">
            <v>1.2767685559327501E-3</v>
          </cell>
          <cell r="Y82">
            <v>1.1114016689784201</v>
          </cell>
          <cell r="Z82">
            <v>1.1160158796790101</v>
          </cell>
          <cell r="AA82">
            <v>1.11363200777465</v>
          </cell>
          <cell r="AE82">
            <v>-1.97628399807924E-4</v>
          </cell>
          <cell r="AF82">
            <v>4.3255057657814004E-3</v>
          </cell>
          <cell r="AG82">
            <v>1.2767685559327501E-3</v>
          </cell>
          <cell r="BJ82">
            <v>2.6790605906630131E-2</v>
          </cell>
          <cell r="BV82">
            <v>0</v>
          </cell>
          <cell r="BY82">
            <v>2.6790605906630131E-2</v>
          </cell>
        </row>
        <row r="83">
          <cell r="O83">
            <v>1.1114016689784201</v>
          </cell>
          <cell r="P83">
            <v>1.1159292694601299</v>
          </cell>
          <cell r="Q83">
            <v>1.1140293588646699</v>
          </cell>
          <cell r="U83">
            <v>-1.8583461451332601E-3</v>
          </cell>
          <cell r="V83">
            <v>2.2847632631113799E-3</v>
          </cell>
          <cell r="W83">
            <v>1.4642310085788901E-4</v>
          </cell>
          <cell r="Y83">
            <v>1.1114016689784201</v>
          </cell>
          <cell r="Z83">
            <v>1.1159292694601299</v>
          </cell>
          <cell r="AA83">
            <v>1.1140293588646699</v>
          </cell>
          <cell r="AE83">
            <v>-1.8583461451332601E-3</v>
          </cell>
          <cell r="AF83">
            <v>2.2847632631113799E-3</v>
          </cell>
          <cell r="AG83">
            <v>1.4642310085788901E-4</v>
          </cell>
          <cell r="BJ83">
            <v>2.6790605906630131E-2</v>
          </cell>
          <cell r="BV83">
            <v>0</v>
          </cell>
          <cell r="BY83">
            <v>2.6790605906630131E-2</v>
          </cell>
        </row>
        <row r="84">
          <cell r="O84">
            <v>1.1114016689784201</v>
          </cell>
          <cell r="P84">
            <v>1.1160325192629801</v>
          </cell>
          <cell r="Q84">
            <v>1.1142299958250099</v>
          </cell>
          <cell r="U84">
            <v>-1.23048025145818E-3</v>
          </cell>
          <cell r="V84">
            <v>2.83501952649971E-3</v>
          </cell>
          <cell r="W84">
            <v>1.1310318102786901E-3</v>
          </cell>
          <cell r="Y84">
            <v>1.1114016689784201</v>
          </cell>
          <cell r="Z84">
            <v>1.1160325192629801</v>
          </cell>
          <cell r="AA84">
            <v>1.1142299958250099</v>
          </cell>
          <cell r="AE84">
            <v>-1.23048025145818E-3</v>
          </cell>
          <cell r="AF84">
            <v>2.83501952649971E-3</v>
          </cell>
          <cell r="AG84">
            <v>1.1310318102786901E-3</v>
          </cell>
          <cell r="BJ84">
            <v>2.6790605906630131E-2</v>
          </cell>
          <cell r="BV84">
            <v>0</v>
          </cell>
          <cell r="BY84">
            <v>2.6790605906630131E-2</v>
          </cell>
        </row>
        <row r="85">
          <cell r="O85">
            <v>1.1114016689784201</v>
          </cell>
          <cell r="P85">
            <v>1.11559345719706</v>
          </cell>
          <cell r="Q85">
            <v>1.1143977694662199</v>
          </cell>
          <cell r="U85">
            <v>-7.0115050129524099E-4</v>
          </cell>
          <cell r="V85">
            <v>3.4568686051259499E-3</v>
          </cell>
          <cell r="W85">
            <v>1.8404455892283901E-3</v>
          </cell>
          <cell r="Y85">
            <v>1.1114016689784201</v>
          </cell>
          <cell r="Z85">
            <v>1.11559345719706</v>
          </cell>
          <cell r="AA85">
            <v>1.1143977694662199</v>
          </cell>
          <cell r="AE85">
            <v>-7.0115050129524099E-4</v>
          </cell>
          <cell r="AF85">
            <v>3.4568686051259499E-3</v>
          </cell>
          <cell r="AG85">
            <v>1.8404455892283901E-3</v>
          </cell>
          <cell r="BJ85">
            <v>2.6790605906630131E-2</v>
          </cell>
          <cell r="BV85">
            <v>0</v>
          </cell>
          <cell r="BY85">
            <v>2.6790605906630131E-2</v>
          </cell>
        </row>
        <row r="86">
          <cell r="O86">
            <v>1.1114016689784201</v>
          </cell>
          <cell r="P86">
            <v>1.1153061532881401</v>
          </cell>
          <cell r="Q86">
            <v>1.11456133799205</v>
          </cell>
          <cell r="U86">
            <v>-1.47195998987322E-3</v>
          </cell>
          <cell r="V86">
            <v>2.2925683826902099E-3</v>
          </cell>
          <cell r="W86">
            <v>1.22019838309457E-3</v>
          </cell>
          <cell r="Y86">
            <v>1.1114016689784201</v>
          </cell>
          <cell r="Z86">
            <v>1.1153061532881401</v>
          </cell>
          <cell r="AA86">
            <v>1.11456133799205</v>
          </cell>
          <cell r="AE86">
            <v>-1.47195998987322E-3</v>
          </cell>
          <cell r="AF86">
            <v>2.2925683826902099E-3</v>
          </cell>
          <cell r="AG86">
            <v>1.22019838309457E-3</v>
          </cell>
          <cell r="BJ86">
            <v>2.6790605906630131E-2</v>
          </cell>
          <cell r="BV86">
            <v>0</v>
          </cell>
          <cell r="BY86">
            <v>2.6790605906630131E-2</v>
          </cell>
        </row>
        <row r="87">
          <cell r="O87">
            <v>1.1114016689784201</v>
          </cell>
          <cell r="P87">
            <v>1.1140262871897599</v>
          </cell>
          <cell r="Q87">
            <v>1.11462063540295</v>
          </cell>
          <cell r="U87">
            <v>4.3787905041566197E-3</v>
          </cell>
          <cell r="V87">
            <v>7.8857511142267304E-3</v>
          </cell>
          <cell r="W87">
            <v>7.2177156128395399E-3</v>
          </cell>
          <cell r="Y87">
            <v>1.1114016689784201</v>
          </cell>
          <cell r="Z87">
            <v>1.1140262871897599</v>
          </cell>
          <cell r="AA87">
            <v>1.11462063540295</v>
          </cell>
          <cell r="AE87">
            <v>4.3787905041566197E-3</v>
          </cell>
          <cell r="AF87">
            <v>7.8857511142267304E-3</v>
          </cell>
          <cell r="AG87">
            <v>7.2177156128395399E-3</v>
          </cell>
          <cell r="BJ87">
            <v>2.6790605906630131E-2</v>
          </cell>
          <cell r="BV87">
            <v>0</v>
          </cell>
          <cell r="BY87">
            <v>2.6790605906630131E-2</v>
          </cell>
        </row>
        <row r="88">
          <cell r="O88">
            <v>1.1114016689784201</v>
          </cell>
          <cell r="P88">
            <v>1.1132224273481199</v>
          </cell>
          <cell r="Q88">
            <v>1.11403276200048</v>
          </cell>
          <cell r="U88">
            <v>1.66067641921747E-3</v>
          </cell>
          <cell r="V88">
            <v>4.0194312114859897E-3</v>
          </cell>
          <cell r="W88">
            <v>4.5528025779869403E-3</v>
          </cell>
          <cell r="Y88">
            <v>1.1114016689784201</v>
          </cell>
          <cell r="Z88">
            <v>1.1132224273481199</v>
          </cell>
          <cell r="AA88">
            <v>1.11403276200048</v>
          </cell>
          <cell r="AE88">
            <v>1.66067641921747E-3</v>
          </cell>
          <cell r="AF88">
            <v>4.0194312114859897E-3</v>
          </cell>
          <cell r="AG88">
            <v>4.5528025779869403E-3</v>
          </cell>
          <cell r="BJ88">
            <v>2.6790605906630131E-2</v>
          </cell>
          <cell r="BV88">
            <v>0</v>
          </cell>
          <cell r="BY88">
            <v>2.6790605906630131E-2</v>
          </cell>
        </row>
        <row r="89">
          <cell r="O89">
            <v>1.1114016689784201</v>
          </cell>
          <cell r="P89">
            <v>1.1125313714860201</v>
          </cell>
          <cell r="Q89">
            <v>1.1140900498174799</v>
          </cell>
          <cell r="U89">
            <v>-5.5092287442411398E-4</v>
          </cell>
          <cell r="V89">
            <v>1.0859907769752799E-3</v>
          </cell>
          <cell r="W89">
            <v>1.8136439816826199E-3</v>
          </cell>
          <cell r="Y89">
            <v>1.1114016689784201</v>
          </cell>
          <cell r="Z89">
            <v>1.1125313714860201</v>
          </cell>
          <cell r="AA89">
            <v>1.1140900498174799</v>
          </cell>
          <cell r="AE89">
            <v>-5.5092287442411398E-4</v>
          </cell>
          <cell r="AF89">
            <v>1.0859907769752799E-3</v>
          </cell>
          <cell r="AG89">
            <v>1.8136439816826199E-3</v>
          </cell>
          <cell r="BJ89">
            <v>2.6790605906630131E-2</v>
          </cell>
          <cell r="BV89">
            <v>0</v>
          </cell>
          <cell r="BY89">
            <v>2.6790605906630131E-2</v>
          </cell>
        </row>
        <row r="90">
          <cell r="O90">
            <v>1.1114016689784201</v>
          </cell>
          <cell r="P90">
            <v>1.1114214194960701</v>
          </cell>
          <cell r="Q90">
            <v>1.11392382265537</v>
          </cell>
          <cell r="U90">
            <v>4.0607650105222099E-3</v>
          </cell>
          <cell r="V90">
            <v>5.0767152070579002E-3</v>
          </cell>
          <cell r="W90">
            <v>6.4767543615757801E-3</v>
          </cell>
          <cell r="Y90">
            <v>1.1114016689784201</v>
          </cell>
          <cell r="Z90">
            <v>1.1114214194960701</v>
          </cell>
          <cell r="AA90">
            <v>1.11392382265537</v>
          </cell>
          <cell r="AE90">
            <v>4.0607650105222099E-3</v>
          </cell>
          <cell r="AF90">
            <v>5.0767152070579002E-3</v>
          </cell>
          <cell r="AG90">
            <v>6.4767543615757801E-3</v>
          </cell>
          <cell r="BJ90">
            <v>2.6790605906630131E-2</v>
          </cell>
          <cell r="BV90">
            <v>0</v>
          </cell>
          <cell r="BY90">
            <v>2.6790605906630131E-2</v>
          </cell>
        </row>
        <row r="91">
          <cell r="O91">
            <v>1.1114016689784201</v>
          </cell>
          <cell r="P91">
            <v>1.1110589119376999</v>
          </cell>
          <cell r="Q91">
            <v>1.1137494929388201</v>
          </cell>
          <cell r="U91">
            <v>-9.8208344423407392E-4</v>
          </cell>
          <cell r="V91">
            <v>-9.6431278335186096E-4</v>
          </cell>
          <cell r="W91">
            <v>1.28469035258048E-3</v>
          </cell>
          <cell r="Y91">
            <v>1.1114016689784201</v>
          </cell>
          <cell r="Z91">
            <v>1.1110589119376999</v>
          </cell>
          <cell r="AA91">
            <v>1.1137494929388201</v>
          </cell>
          <cell r="AE91">
            <v>-9.8208344423407392E-4</v>
          </cell>
          <cell r="AF91">
            <v>-9.6431278335186096E-4</v>
          </cell>
          <cell r="AG91">
            <v>1.28469035258048E-3</v>
          </cell>
          <cell r="BJ91">
            <v>2.6790605906630131E-2</v>
          </cell>
          <cell r="BV91">
            <v>0</v>
          </cell>
          <cell r="BY91">
            <v>2.6790605906630131E-2</v>
          </cell>
        </row>
        <row r="92">
          <cell r="O92">
            <v>1.1114016689784201</v>
          </cell>
          <cell r="P92">
            <v>1.1116674190751299</v>
          </cell>
          <cell r="Q92">
            <v>1.11384164937707</v>
          </cell>
          <cell r="U92">
            <v>-5.6567507822888E-3</v>
          </cell>
          <cell r="V92">
            <v>-5.9651990367852103E-3</v>
          </cell>
          <cell r="W92">
            <v>-3.5464898059956E-3</v>
          </cell>
          <cell r="Y92">
            <v>1.1114016689784201</v>
          </cell>
          <cell r="Z92">
            <v>1.1116674190751299</v>
          </cell>
          <cell r="AA92">
            <v>1.11384164937707</v>
          </cell>
          <cell r="AE92">
            <v>-5.6567507822888E-3</v>
          </cell>
          <cell r="AF92">
            <v>-5.9651990367852103E-3</v>
          </cell>
          <cell r="AG92">
            <v>-3.5464898059956E-3</v>
          </cell>
          <cell r="BJ92">
            <v>2.6790605906630131E-2</v>
          </cell>
          <cell r="BV92">
            <v>0</v>
          </cell>
          <cell r="BY92">
            <v>2.6790605906630131E-2</v>
          </cell>
        </row>
        <row r="93">
          <cell r="O93">
            <v>1.1114016689784201</v>
          </cell>
          <cell r="P93">
            <v>1.11178810004092</v>
          </cell>
          <cell r="Q93">
            <v>1.1138586847505201</v>
          </cell>
          <cell r="U93">
            <v>-2.9415879665979001E-3</v>
          </cell>
          <cell r="V93">
            <v>-2.70250399083799E-3</v>
          </cell>
          <cell r="W93">
            <v>-7.4858609898327999E-4</v>
          </cell>
          <cell r="Y93">
            <v>1.1114016689784201</v>
          </cell>
          <cell r="Z93">
            <v>1.11178810004092</v>
          </cell>
          <cell r="AA93">
            <v>1.1138586847505201</v>
          </cell>
          <cell r="AE93">
            <v>-2.9415879665979001E-3</v>
          </cell>
          <cell r="AF93">
            <v>-2.70250399083799E-3</v>
          </cell>
          <cell r="AG93">
            <v>-7.4858609898327999E-4</v>
          </cell>
          <cell r="BJ93">
            <v>2.6790605906630131E-2</v>
          </cell>
          <cell r="BV93">
            <v>0</v>
          </cell>
          <cell r="BY93">
            <v>2.6790605906630131E-2</v>
          </cell>
        </row>
        <row r="94">
          <cell r="O94">
            <v>1.1114016689784201</v>
          </cell>
          <cell r="P94">
            <v>1.11257261038411</v>
          </cell>
          <cell r="Q94">
            <v>1.1143025648235401</v>
          </cell>
          <cell r="U94">
            <v>-8.2558116240061107E-3</v>
          </cell>
          <cell r="V94">
            <v>-7.9081750238613E-3</v>
          </cell>
          <cell r="W94">
            <v>-6.04751562262381E-3</v>
          </cell>
          <cell r="Y94">
            <v>1.1114016689784201</v>
          </cell>
          <cell r="Z94">
            <v>1.11257261038411</v>
          </cell>
          <cell r="AA94">
            <v>1.1143025648235401</v>
          </cell>
          <cell r="AE94">
            <v>-8.2558116240061107E-3</v>
          </cell>
          <cell r="AF94">
            <v>-7.9081750238613E-3</v>
          </cell>
          <cell r="AG94">
            <v>-6.04751562262381E-3</v>
          </cell>
          <cell r="BJ94">
            <v>2.6790605906630131E-2</v>
          </cell>
          <cell r="BV94">
            <v>0</v>
          </cell>
          <cell r="BY94">
            <v>2.6790605906630131E-2</v>
          </cell>
        </row>
        <row r="95">
          <cell r="O95">
            <v>1.1114016689784201</v>
          </cell>
          <cell r="P95">
            <v>1.11301748390498</v>
          </cell>
          <cell r="Q95">
            <v>1.11430547055102</v>
          </cell>
          <cell r="U95">
            <v>-4.6931810849184701E-3</v>
          </cell>
          <cell r="V95">
            <v>-3.6401639482055701E-3</v>
          </cell>
          <cell r="W95">
            <v>-2.0864578341816598E-3</v>
          </cell>
          <cell r="Y95">
            <v>1.1114016689784201</v>
          </cell>
          <cell r="Z95">
            <v>1.11301748390498</v>
          </cell>
          <cell r="AA95">
            <v>1.11430547055102</v>
          </cell>
          <cell r="AE95">
            <v>-4.6931810849184701E-3</v>
          </cell>
          <cell r="AF95">
            <v>-3.6401639482055701E-3</v>
          </cell>
          <cell r="AG95">
            <v>-2.0864578341816598E-3</v>
          </cell>
          <cell r="BJ95">
            <v>2.6790605906630131E-2</v>
          </cell>
          <cell r="BV95">
            <v>0</v>
          </cell>
          <cell r="BY95">
            <v>2.6790605906630131E-2</v>
          </cell>
        </row>
        <row r="96">
          <cell r="O96">
            <v>1.1114016689784201</v>
          </cell>
          <cell r="P96">
            <v>1.11283427748221</v>
          </cell>
          <cell r="Q96">
            <v>1.11407021538518</v>
          </cell>
          <cell r="U96">
            <v>1.7539826448896101E-4</v>
          </cell>
          <cell r="V96">
            <v>1.6281956913215901E-3</v>
          </cell>
          <cell r="W96">
            <v>2.78472917653407E-3</v>
          </cell>
          <cell r="Y96">
            <v>1.1114016689784201</v>
          </cell>
          <cell r="Z96">
            <v>1.11283427748221</v>
          </cell>
          <cell r="AA96">
            <v>1.11407021538518</v>
          </cell>
          <cell r="AE96">
            <v>1.7539826448896101E-4</v>
          </cell>
          <cell r="AF96">
            <v>1.6281956913215901E-3</v>
          </cell>
          <cell r="AG96">
            <v>2.78472917653407E-3</v>
          </cell>
          <cell r="BJ96">
            <v>2.6790605906630131E-2</v>
          </cell>
          <cell r="BV96">
            <v>0</v>
          </cell>
          <cell r="BY96">
            <v>2.6790605906630131E-2</v>
          </cell>
        </row>
        <row r="97">
          <cell r="O97">
            <v>1.1114016689784201</v>
          </cell>
          <cell r="P97">
            <v>1.1139433868802799</v>
          </cell>
          <cell r="Q97">
            <v>1.11398483703502</v>
          </cell>
          <cell r="U97">
            <v>-5.5944790548534797E-3</v>
          </cell>
          <cell r="V97">
            <v>-4.3062985412878401E-3</v>
          </cell>
          <cell r="W97">
            <v>-3.19629312002214E-3</v>
          </cell>
          <cell r="Y97">
            <v>1.1114016689784201</v>
          </cell>
          <cell r="Z97">
            <v>1.1139433868802799</v>
          </cell>
          <cell r="AA97">
            <v>1.11398483703502</v>
          </cell>
          <cell r="AE97">
            <v>-5.5944790548534797E-3</v>
          </cell>
          <cell r="AF97">
            <v>-4.3062985412878401E-3</v>
          </cell>
          <cell r="AG97">
            <v>-3.19629312002214E-3</v>
          </cell>
          <cell r="BJ97">
            <v>2.6790605906630131E-2</v>
          </cell>
          <cell r="BV97">
            <v>0</v>
          </cell>
          <cell r="BY97">
            <v>2.6790605906630131E-2</v>
          </cell>
        </row>
        <row r="98">
          <cell r="O98">
            <v>1.1114016689784201</v>
          </cell>
          <cell r="P98">
            <v>1.1144920594466501</v>
          </cell>
          <cell r="Q98">
            <v>1.1138572433973799</v>
          </cell>
          <cell r="U98">
            <v>-3.2721046864381599E-3</v>
          </cell>
          <cell r="V98">
            <v>-9.8776770199716793E-4</v>
          </cell>
          <cell r="W98">
            <v>-9.5055810583186096E-4</v>
          </cell>
          <cell r="Y98">
            <v>1.1114016689784201</v>
          </cell>
          <cell r="Z98">
            <v>1.1144920594466501</v>
          </cell>
          <cell r="AA98">
            <v>1.1138572433973799</v>
          </cell>
          <cell r="AE98">
            <v>-3.2721046864381599E-3</v>
          </cell>
          <cell r="AF98">
            <v>-9.8776770199716793E-4</v>
          </cell>
          <cell r="AG98">
            <v>-9.5055810583186096E-4</v>
          </cell>
          <cell r="BJ98">
            <v>2.6790605906630131E-2</v>
          </cell>
          <cell r="BV98">
            <v>0</v>
          </cell>
          <cell r="BY98">
            <v>2.6790605906630131E-2</v>
          </cell>
        </row>
        <row r="99">
          <cell r="O99">
            <v>1.1114016689784201</v>
          </cell>
          <cell r="P99">
            <v>1.1150656285487801</v>
          </cell>
          <cell r="Q99">
            <v>1.1137985000174</v>
          </cell>
          <cell r="U99">
            <v>-5.6955962804223796E-3</v>
          </cell>
          <cell r="V99">
            <v>-2.9188307821885599E-3</v>
          </cell>
          <cell r="W99">
            <v>-3.4885942978355499E-3</v>
          </cell>
          <cell r="Y99">
            <v>1.1114016689784201</v>
          </cell>
          <cell r="Z99">
            <v>1.1150656285487801</v>
          </cell>
          <cell r="AA99">
            <v>1.1137985000174</v>
          </cell>
          <cell r="AE99">
            <v>-5.6955962804223796E-3</v>
          </cell>
          <cell r="AF99">
            <v>-2.9188307821885599E-3</v>
          </cell>
          <cell r="AG99">
            <v>-3.4885942978355499E-3</v>
          </cell>
          <cell r="BJ99">
            <v>2.6790605906630131E-2</v>
          </cell>
          <cell r="BV99">
            <v>0</v>
          </cell>
          <cell r="BY99">
            <v>2.6790605906630131E-2</v>
          </cell>
        </row>
        <row r="100">
          <cell r="O100">
            <v>1.1114016689784201</v>
          </cell>
          <cell r="P100">
            <v>1.1162215906783299</v>
          </cell>
          <cell r="Q100">
            <v>1.1138215050872</v>
          </cell>
          <cell r="U100">
            <v>-6.3283417841825196E-3</v>
          </cell>
          <cell r="V100">
            <v>-3.0370624719496002E-3</v>
          </cell>
          <cell r="W100">
            <v>-4.1740798896146699E-3</v>
          </cell>
          <cell r="Y100">
            <v>1.1114016689784201</v>
          </cell>
          <cell r="Z100">
            <v>1.1162215906783299</v>
          </cell>
          <cell r="AA100">
            <v>1.1138215050872</v>
          </cell>
          <cell r="AE100">
            <v>-6.3283417841825196E-3</v>
          </cell>
          <cell r="AF100">
            <v>-3.0370624719496002E-3</v>
          </cell>
          <cell r="AG100">
            <v>-4.1740798896146699E-3</v>
          </cell>
          <cell r="BJ100">
            <v>2.6790605906630131E-2</v>
          </cell>
          <cell r="BV100">
            <v>0</v>
          </cell>
          <cell r="BY100">
            <v>2.6790605906630131E-2</v>
          </cell>
        </row>
        <row r="101">
          <cell r="O101">
            <v>1.1114016689784201</v>
          </cell>
          <cell r="P101">
            <v>1.1166747118658999</v>
          </cell>
          <cell r="Q101">
            <v>1.1138668119018</v>
          </cell>
          <cell r="U101">
            <v>-5.04683366748846E-3</v>
          </cell>
          <cell r="V101">
            <v>-7.1941501559559203E-4</v>
          </cell>
          <cell r="W101">
            <v>-2.8719173796719301E-3</v>
          </cell>
          <cell r="Y101">
            <v>1.1114016689784201</v>
          </cell>
          <cell r="Z101">
            <v>1.1166747118658999</v>
          </cell>
          <cell r="AA101">
            <v>1.1138668119018</v>
          </cell>
          <cell r="AE101">
            <v>-5.04683366748846E-3</v>
          </cell>
          <cell r="AF101">
            <v>-7.1941501559559203E-4</v>
          </cell>
          <cell r="AG101">
            <v>-2.8719173796719301E-3</v>
          </cell>
          <cell r="BJ101">
            <v>2.6790605906630131E-2</v>
          </cell>
          <cell r="BV101">
            <v>0</v>
          </cell>
          <cell r="BY101">
            <v>2.6790605906630131E-2</v>
          </cell>
        </row>
        <row r="102">
          <cell r="O102">
            <v>1.1114016689784201</v>
          </cell>
          <cell r="P102">
            <v>1.11604707306391</v>
          </cell>
          <cell r="Q102">
            <v>1.11385724606952</v>
          </cell>
          <cell r="U102">
            <v>-2.5507638212338499E-5</v>
          </cell>
          <cell r="V102">
            <v>4.7077706080341196E-3</v>
          </cell>
          <cell r="W102">
            <v>2.19008473006087E-3</v>
          </cell>
          <cell r="Y102">
            <v>1.1114016689784201</v>
          </cell>
          <cell r="Z102">
            <v>1.11604707306391</v>
          </cell>
          <cell r="AA102">
            <v>1.11385724606952</v>
          </cell>
          <cell r="AE102">
            <v>-2.5507638212338499E-5</v>
          </cell>
          <cell r="AF102">
            <v>4.7077706080341196E-3</v>
          </cell>
          <cell r="AG102">
            <v>2.19008473006087E-3</v>
          </cell>
          <cell r="BJ102">
            <v>2.6790605906630131E-2</v>
          </cell>
          <cell r="BV102">
            <v>0</v>
          </cell>
          <cell r="BY102">
            <v>2.6790605906630131E-2</v>
          </cell>
        </row>
        <row r="103">
          <cell r="O103">
            <v>1.1114016689784201</v>
          </cell>
          <cell r="P103">
            <v>1.1159577851726099</v>
          </cell>
          <cell r="Q103">
            <v>1.11387294260676</v>
          </cell>
          <cell r="U103">
            <v>-2.1402457850486201E-3</v>
          </cell>
          <cell r="V103">
            <v>2.0308138966117798E-3</v>
          </cell>
          <cell r="W103">
            <v>6.6758596535365904E-5</v>
          </cell>
          <cell r="Y103">
            <v>1.1114016689784201</v>
          </cell>
          <cell r="Z103">
            <v>1.1159577851726099</v>
          </cell>
          <cell r="AA103">
            <v>1.11387294260676</v>
          </cell>
          <cell r="AE103">
            <v>-2.1402457850486201E-3</v>
          </cell>
          <cell r="AF103">
            <v>2.0308138966117798E-3</v>
          </cell>
          <cell r="AG103">
            <v>6.6758596535365904E-5</v>
          </cell>
          <cell r="BJ103">
            <v>2.6790605906630131E-2</v>
          </cell>
          <cell r="BV103">
            <v>0</v>
          </cell>
          <cell r="BY103">
            <v>2.6790605906630131E-2</v>
          </cell>
        </row>
        <row r="104">
          <cell r="O104">
            <v>1.1114016689784201</v>
          </cell>
          <cell r="P104">
            <v>1.11554399525162</v>
          </cell>
          <cell r="Q104">
            <v>1.1140583028178701</v>
          </cell>
          <cell r="U104">
            <v>-4.5564527184649298E-3</v>
          </cell>
          <cell r="V104">
            <v>-4.6539993376200502E-4</v>
          </cell>
          <cell r="W104">
            <v>-2.33535638147254E-3</v>
          </cell>
          <cell r="Y104">
            <v>1.1114016689784201</v>
          </cell>
          <cell r="Z104">
            <v>1.11554399525162</v>
          </cell>
          <cell r="AA104">
            <v>1.1140583028178701</v>
          </cell>
          <cell r="AE104">
            <v>-4.5564527184649298E-3</v>
          </cell>
          <cell r="AF104">
            <v>-4.6539993376200502E-4</v>
          </cell>
          <cell r="AG104">
            <v>-2.33535638147254E-3</v>
          </cell>
          <cell r="BJ104">
            <v>2.6790605906630131E-2</v>
          </cell>
          <cell r="BV104">
            <v>0</v>
          </cell>
          <cell r="BY104">
            <v>2.6790605906630131E-2</v>
          </cell>
        </row>
        <row r="105">
          <cell r="O105">
            <v>1.1114016689784201</v>
          </cell>
          <cell r="P105">
            <v>1.11588441158355</v>
          </cell>
          <cell r="Q105">
            <v>1.1144509477442599</v>
          </cell>
          <cell r="U105">
            <v>-7.7371482521977498E-3</v>
          </cell>
          <cell r="V105">
            <v>-4.0169577534727103E-3</v>
          </cell>
          <cell r="W105">
            <v>-5.3496552080245802E-3</v>
          </cell>
          <cell r="Y105">
            <v>1.1114016689784201</v>
          </cell>
          <cell r="Z105">
            <v>1.11588441158355</v>
          </cell>
          <cell r="AA105">
            <v>1.1144509477442599</v>
          </cell>
          <cell r="AE105">
            <v>-7.7371482521977498E-3</v>
          </cell>
          <cell r="AF105">
            <v>-4.0169577534727103E-3</v>
          </cell>
          <cell r="AG105">
            <v>-5.3496552080245802E-3</v>
          </cell>
          <cell r="BJ105">
            <v>2.6790605906630131E-2</v>
          </cell>
          <cell r="BV105">
            <v>0</v>
          </cell>
          <cell r="BY105">
            <v>2.6790605906630131E-2</v>
          </cell>
        </row>
        <row r="106">
          <cell r="O106">
            <v>1.1114016689784201</v>
          </cell>
          <cell r="P106">
            <v>1.1166718147630399</v>
          </cell>
          <cell r="Q106">
            <v>1.11475304612263</v>
          </cell>
          <cell r="U106">
            <v>-6.8856325766438499E-3</v>
          </cell>
          <cell r="V106">
            <v>-2.8603313842269699E-3</v>
          </cell>
          <cell r="W106">
            <v>-4.1457560452943798E-3</v>
          </cell>
          <cell r="Y106">
            <v>1.1114016689784201</v>
          </cell>
          <cell r="Z106">
            <v>1.1166718147630399</v>
          </cell>
          <cell r="AA106">
            <v>1.11475304612263</v>
          </cell>
          <cell r="AE106">
            <v>-6.8856325766438499E-3</v>
          </cell>
          <cell r="AF106">
            <v>-2.8603313842269699E-3</v>
          </cell>
          <cell r="AG106">
            <v>-4.1457560452943798E-3</v>
          </cell>
          <cell r="BJ106">
            <v>2.6790605906630131E-2</v>
          </cell>
          <cell r="BV106">
            <v>0</v>
          </cell>
          <cell r="BY106">
            <v>2.6790605906630131E-2</v>
          </cell>
        </row>
        <row r="107">
          <cell r="O107">
            <v>1.1114016689784201</v>
          </cell>
          <cell r="P107">
            <v>1.11650357078247</v>
          </cell>
          <cell r="Q107">
            <v>1.11522347883137</v>
          </cell>
          <cell r="U107">
            <v>-4.0879901835413797E-3</v>
          </cell>
          <cell r="V107">
            <v>6.4269365755724602E-4</v>
          </cell>
          <cell r="W107">
            <v>-1.07707665329588E-3</v>
          </cell>
          <cell r="Y107">
            <v>1.1114016689784201</v>
          </cell>
          <cell r="Z107">
            <v>1.11650357078247</v>
          </cell>
          <cell r="AA107">
            <v>1.11522347883137</v>
          </cell>
          <cell r="AE107">
            <v>-4.0879901835413797E-3</v>
          </cell>
          <cell r="AF107">
            <v>6.4269365755724602E-4</v>
          </cell>
          <cell r="AG107">
            <v>-1.07707665329588E-3</v>
          </cell>
          <cell r="BJ107">
            <v>2.6790605906630131E-2</v>
          </cell>
          <cell r="BV107">
            <v>0</v>
          </cell>
          <cell r="BY107">
            <v>2.6790605906630131E-2</v>
          </cell>
        </row>
        <row r="108">
          <cell r="O108">
            <v>1.1114016689784201</v>
          </cell>
          <cell r="P108">
            <v>1.1167058928307001</v>
          </cell>
          <cell r="Q108">
            <v>1.11559897613867</v>
          </cell>
          <cell r="U108">
            <v>-5.0849360261897396E-3</v>
          </cell>
          <cell r="V108">
            <v>-5.0492909293765301E-4</v>
          </cell>
          <cell r="W108">
            <v>-1.6521053049236201E-3</v>
          </cell>
          <cell r="Y108">
            <v>1.1114016689784201</v>
          </cell>
          <cell r="Z108">
            <v>1.1167058928307001</v>
          </cell>
          <cell r="AA108">
            <v>1.11559897613867</v>
          </cell>
          <cell r="AE108">
            <v>-5.0849360261897396E-3</v>
          </cell>
          <cell r="AF108">
            <v>-5.0492909293765301E-4</v>
          </cell>
          <cell r="AG108">
            <v>-1.6521053049236201E-3</v>
          </cell>
          <cell r="BJ108">
            <v>2.6790605906630131E-2</v>
          </cell>
          <cell r="BV108">
            <v>0</v>
          </cell>
          <cell r="BY108">
            <v>2.6790605906630131E-2</v>
          </cell>
        </row>
        <row r="109">
          <cell r="O109">
            <v>1.1114016689784201</v>
          </cell>
          <cell r="P109">
            <v>1.11669756591916</v>
          </cell>
          <cell r="Q109">
            <v>1.11588159723397</v>
          </cell>
          <cell r="U109">
            <v>-5.6210964099855801E-3</v>
          </cell>
          <cell r="V109">
            <v>-8.5989550270043505E-4</v>
          </cell>
          <cell r="W109">
            <v>-1.85162095932057E-3</v>
          </cell>
          <cell r="Y109">
            <v>1.1114016689784201</v>
          </cell>
          <cell r="Z109">
            <v>1.11669756591916</v>
          </cell>
          <cell r="AA109">
            <v>1.11588159723397</v>
          </cell>
          <cell r="AE109">
            <v>-5.6210964099855801E-3</v>
          </cell>
          <cell r="AF109">
            <v>-8.5989550270043505E-4</v>
          </cell>
          <cell r="AG109">
            <v>-1.85162095932057E-3</v>
          </cell>
          <cell r="BJ109">
            <v>2.6790605906630131E-2</v>
          </cell>
          <cell r="BV109">
            <v>0</v>
          </cell>
          <cell r="BY109">
            <v>2.6790605906630131E-2</v>
          </cell>
        </row>
        <row r="110">
          <cell r="O110">
            <v>1.1114016689784201</v>
          </cell>
          <cell r="P110">
            <v>1.11703574393759</v>
          </cell>
          <cell r="Q110">
            <v>1.11662866730796</v>
          </cell>
          <cell r="U110">
            <v>-9.3473912117636605E-3</v>
          </cell>
          <cell r="V110">
            <v>-4.5936470060462496E-3</v>
          </cell>
          <cell r="W110">
            <v>-5.3246121023665903E-3</v>
          </cell>
          <cell r="Y110">
            <v>1.1114016689784201</v>
          </cell>
          <cell r="Z110">
            <v>1.11703574393759</v>
          </cell>
          <cell r="AA110">
            <v>1.11662866730796</v>
          </cell>
          <cell r="AE110">
            <v>-9.3473912117636605E-3</v>
          </cell>
          <cell r="AF110">
            <v>-4.5936470060462496E-3</v>
          </cell>
          <cell r="AG110">
            <v>-5.3246121023665903E-3</v>
          </cell>
          <cell r="BJ110">
            <v>2.6790605906630131E-2</v>
          </cell>
          <cell r="BV110">
            <v>0</v>
          </cell>
          <cell r="BY110">
            <v>2.6790605906630131E-2</v>
          </cell>
        </row>
        <row r="111">
          <cell r="O111">
            <v>1.1114016689784201</v>
          </cell>
          <cell r="P111">
            <v>1.11675386613342</v>
          </cell>
          <cell r="Q111">
            <v>1.11671428899966</v>
          </cell>
          <cell r="U111">
            <v>-2.5201750670038698E-3</v>
          </cell>
          <cell r="V111">
            <v>2.5363608995029301E-3</v>
          </cell>
          <cell r="W111">
            <v>2.1718686937020801E-3</v>
          </cell>
          <cell r="Y111">
            <v>1.1114016689784201</v>
          </cell>
          <cell r="Z111">
            <v>1.11675386613342</v>
          </cell>
          <cell r="AA111">
            <v>1.11671428899966</v>
          </cell>
          <cell r="AE111">
            <v>-2.5201750670038698E-3</v>
          </cell>
          <cell r="AF111">
            <v>2.5363608995029301E-3</v>
          </cell>
          <cell r="AG111">
            <v>2.1718686937020801E-3</v>
          </cell>
          <cell r="BJ111">
            <v>2.6790605906630131E-2</v>
          </cell>
          <cell r="BV111">
            <v>0</v>
          </cell>
          <cell r="BY111">
            <v>2.6790605906630131E-2</v>
          </cell>
        </row>
        <row r="112">
          <cell r="O112">
            <v>1.1114016689784201</v>
          </cell>
          <cell r="P112">
            <v>1.1169211641458801</v>
          </cell>
          <cell r="Q112">
            <v>1.1164841186048899</v>
          </cell>
          <cell r="U112">
            <v>-1.5296259650442201E-3</v>
          </cell>
          <cell r="V112">
            <v>3.2745336770393799E-3</v>
          </cell>
          <cell r="W112">
            <v>3.2390936071420599E-3</v>
          </cell>
          <cell r="Y112">
            <v>1.1114016689784201</v>
          </cell>
          <cell r="Z112">
            <v>1.1169211641458801</v>
          </cell>
          <cell r="AA112">
            <v>1.1164841186048899</v>
          </cell>
          <cell r="AE112">
            <v>-1.5296259650442201E-3</v>
          </cell>
          <cell r="AF112">
            <v>3.2745336770393799E-3</v>
          </cell>
          <cell r="AG112">
            <v>3.2390936071420599E-3</v>
          </cell>
          <cell r="BJ112">
            <v>2.6790605906630131E-2</v>
          </cell>
          <cell r="BV112">
            <v>0</v>
          </cell>
          <cell r="BY112">
            <v>2.6790605906630131E-2</v>
          </cell>
        </row>
        <row r="113">
          <cell r="O113">
            <v>1.1114016689784201</v>
          </cell>
          <cell r="P113">
            <v>1.11730458603967</v>
          </cell>
          <cell r="Q113">
            <v>1.1166311856061399</v>
          </cell>
          <cell r="U113">
            <v>-5.5768530421612004E-3</v>
          </cell>
          <cell r="V113">
            <v>-6.22897202779387E-4</v>
          </cell>
          <cell r="W113">
            <v>-1.01426866584263E-3</v>
          </cell>
          <cell r="Y113">
            <v>1.1114016689784201</v>
          </cell>
          <cell r="Z113">
            <v>1.11730458603967</v>
          </cell>
          <cell r="AA113">
            <v>1.1166311856061399</v>
          </cell>
          <cell r="AE113">
            <v>-5.5768530421612004E-3</v>
          </cell>
          <cell r="AF113">
            <v>-6.22897202779387E-4</v>
          </cell>
          <cell r="AG113">
            <v>-1.01426866584263E-3</v>
          </cell>
          <cell r="BJ113">
            <v>2.6790605906630131E-2</v>
          </cell>
          <cell r="BV113">
            <v>0</v>
          </cell>
          <cell r="BY113">
            <v>2.6790605906630131E-2</v>
          </cell>
        </row>
        <row r="114">
          <cell r="O114">
            <v>1.1114016689784201</v>
          </cell>
          <cell r="P114">
            <v>1.1152864883965701</v>
          </cell>
          <cell r="Q114">
            <v>1.1154152418240999</v>
          </cell>
          <cell r="U114">
            <v>1.36844882270138E-2</v>
          </cell>
          <cell r="V114">
            <v>1.8981669810279499E-2</v>
          </cell>
          <cell r="W114">
            <v>1.83787872543218E-2</v>
          </cell>
          <cell r="Y114">
            <v>1.1114016689784201</v>
          </cell>
          <cell r="Z114">
            <v>1.1152864883965701</v>
          </cell>
          <cell r="AA114">
            <v>1.1154152418240999</v>
          </cell>
          <cell r="AE114">
            <v>1.36844882270138E-2</v>
          </cell>
          <cell r="AF114">
            <v>1.8981669810279499E-2</v>
          </cell>
          <cell r="AG114">
            <v>1.83787872543218E-2</v>
          </cell>
          <cell r="BJ114">
            <v>2.6790605906630131E-2</v>
          </cell>
          <cell r="BV114">
            <v>0</v>
          </cell>
          <cell r="BY114">
            <v>2.6790605906630131E-2</v>
          </cell>
        </row>
        <row r="115">
          <cell r="O115">
            <v>1.1114016689784201</v>
          </cell>
          <cell r="P115">
            <v>1.1124384485141601</v>
          </cell>
          <cell r="Q115">
            <v>1.11416143004886</v>
          </cell>
          <cell r="U115">
            <v>1.8019887780146699E-2</v>
          </cell>
          <cell r="V115">
            <v>2.1509216402019998E-2</v>
          </cell>
          <cell r="W115">
            <v>2.1624654002596701E-2</v>
          </cell>
          <cell r="Y115">
            <v>1.1114016689784201</v>
          </cell>
          <cell r="Z115">
            <v>1.1124384485141601</v>
          </cell>
          <cell r="AA115">
            <v>1.11416143004886</v>
          </cell>
          <cell r="AE115">
            <v>1.8019887780146699E-2</v>
          </cell>
          <cell r="AF115">
            <v>2.1509216402019998E-2</v>
          </cell>
          <cell r="AG115">
            <v>2.1624654002596701E-2</v>
          </cell>
          <cell r="BJ115">
            <v>2.6790605906630131E-2</v>
          </cell>
          <cell r="BV115">
            <v>-4.3353995531330014E-3</v>
          </cell>
          <cell r="BY115">
            <v>2.2455206353497129E-2</v>
          </cell>
        </row>
        <row r="116">
          <cell r="O116">
            <v>1.1114016689784201</v>
          </cell>
          <cell r="P116">
            <v>1.11035275442729</v>
          </cell>
          <cell r="Q116">
            <v>1.1135122845951599</v>
          </cell>
          <cell r="U116">
            <v>1.19278005175983E-2</v>
          </cell>
          <cell r="V116">
            <v>1.2860223314276701E-2</v>
          </cell>
          <cell r="W116">
            <v>1.44078582487655E-2</v>
          </cell>
          <cell r="Y116">
            <v>1.1114016689784201</v>
          </cell>
          <cell r="Z116">
            <v>1.11035275442729</v>
          </cell>
          <cell r="AA116">
            <v>1.1135122845951599</v>
          </cell>
          <cell r="AE116">
            <v>1.19278005175983E-2</v>
          </cell>
          <cell r="AF116">
            <v>1.2860223314276701E-2</v>
          </cell>
          <cell r="AG116">
            <v>1.44078582487655E-2</v>
          </cell>
          <cell r="BJ116">
            <v>2.6790605906630131E-2</v>
          </cell>
          <cell r="BV116">
            <v>1.7566877094153978E-3</v>
          </cell>
          <cell r="BY116">
            <v>2.8547293616045528E-2</v>
          </cell>
        </row>
        <row r="117">
          <cell r="O117">
            <v>1.1114016689784201</v>
          </cell>
          <cell r="P117">
            <v>1.1100033240726399</v>
          </cell>
          <cell r="Q117">
            <v>1.1132534474275499</v>
          </cell>
          <cell r="U117">
            <v>-9.5185324123606997E-4</v>
          </cell>
          <cell r="V117">
            <v>-1.8960751750484799E-3</v>
          </cell>
          <cell r="W117">
            <v>9.4540327644937797E-4</v>
          </cell>
          <cell r="Y117">
            <v>1.1114016689784201</v>
          </cell>
          <cell r="Z117">
            <v>1.1100033240726399</v>
          </cell>
          <cell r="AA117">
            <v>1.1132534474275499</v>
          </cell>
          <cell r="AE117">
            <v>-9.5185324123606997E-4</v>
          </cell>
          <cell r="AF117">
            <v>-1.8960751750484799E-3</v>
          </cell>
          <cell r="AG117">
            <v>9.4540327644937797E-4</v>
          </cell>
          <cell r="BJ117">
            <v>2.6790605906630131E-2</v>
          </cell>
          <cell r="BV117">
            <v>1.4636341468249638E-2</v>
          </cell>
          <cell r="BY117">
            <v>4.1426947374879772E-2</v>
          </cell>
        </row>
        <row r="118">
          <cell r="O118">
            <v>1.1114016689784201</v>
          </cell>
          <cell r="P118">
            <v>1.1082231296605201</v>
          </cell>
          <cell r="Q118">
            <v>1.11246451124561</v>
          </cell>
          <cell r="U118">
            <v>1.09797320822343E-2</v>
          </cell>
          <cell r="V118">
            <v>9.7207585093350996E-3</v>
          </cell>
          <cell r="W118">
            <v>1.26445104680258E-2</v>
          </cell>
          <cell r="Y118">
            <v>1.1114016689784201</v>
          </cell>
          <cell r="Z118">
            <v>1.1082231296605201</v>
          </cell>
          <cell r="AA118">
            <v>1.11246451124561</v>
          </cell>
          <cell r="AE118">
            <v>1.09797320822343E-2</v>
          </cell>
          <cell r="AF118">
            <v>9.7207585093350996E-3</v>
          </cell>
          <cell r="AG118">
            <v>1.26445104680258E-2</v>
          </cell>
          <cell r="BJ118">
            <v>2.6790605906630131E-2</v>
          </cell>
          <cell r="BV118">
            <v>1.4636341468249638E-2</v>
          </cell>
          <cell r="BY118">
            <v>4.1426947374879772E-2</v>
          </cell>
        </row>
        <row r="119">
          <cell r="O119">
            <v>1.1114016689784201</v>
          </cell>
          <cell r="P119">
            <v>1.1059738702264199</v>
          </cell>
          <cell r="Q119">
            <v>1.1113357180727901</v>
          </cell>
          <cell r="U119">
            <v>1.4708763641771899E-2</v>
          </cell>
          <cell r="V119">
            <v>1.1844728699862901E-2</v>
          </cell>
          <cell r="W119">
            <v>1.5664614634571399E-2</v>
          </cell>
          <cell r="Y119">
            <v>1.1114016689784201</v>
          </cell>
          <cell r="Z119">
            <v>1.1059738702264199</v>
          </cell>
          <cell r="AA119">
            <v>1.1113357180727901</v>
          </cell>
          <cell r="AE119">
            <v>1.4708763641771899E-2</v>
          </cell>
          <cell r="AF119">
            <v>1.1844728699862901E-2</v>
          </cell>
          <cell r="AG119">
            <v>1.5664614634571399E-2</v>
          </cell>
          <cell r="BJ119">
            <v>2.6790605906630131E-2</v>
          </cell>
          <cell r="BV119">
            <v>1.4636341468249638E-2</v>
          </cell>
          <cell r="BY119">
            <v>4.1426947374879772E-2</v>
          </cell>
        </row>
        <row r="120">
          <cell r="O120">
            <v>1.1114016689784201</v>
          </cell>
          <cell r="P120">
            <v>1.1035541235205399</v>
          </cell>
          <cell r="Q120">
            <v>1.11029493372906</v>
          </cell>
          <cell r="U120">
            <v>1.2458093197964501E-2</v>
          </cell>
          <cell r="V120">
            <v>7.56238699292757E-3</v>
          </cell>
          <cell r="W120">
            <v>1.2398751139803399E-2</v>
          </cell>
          <cell r="Y120">
            <v>1.1114016689784201</v>
          </cell>
          <cell r="Z120">
            <v>1.1035541235205399</v>
          </cell>
          <cell r="AA120">
            <v>1.11029493372906</v>
          </cell>
          <cell r="AE120">
            <v>1.2458093197964501E-2</v>
          </cell>
          <cell r="AF120">
            <v>7.56238699292757E-3</v>
          </cell>
          <cell r="AG120">
            <v>1.2398751139803399E-2</v>
          </cell>
          <cell r="BJ120">
            <v>2.6790605906630131E-2</v>
          </cell>
          <cell r="BV120">
            <v>1.6887011912056535E-2</v>
          </cell>
          <cell r="BY120">
            <v>4.3677617818686669E-2</v>
          </cell>
        </row>
        <row r="121">
          <cell r="O121">
            <v>1.1114016689784201</v>
          </cell>
          <cell r="P121">
            <v>1.1022033462557099</v>
          </cell>
          <cell r="Q121">
            <v>1.1094786061945701</v>
          </cell>
          <cell r="U121">
            <v>9.6771365690487797E-3</v>
          </cell>
          <cell r="V121">
            <v>2.5911456696373E-3</v>
          </cell>
          <cell r="W121">
            <v>8.6808391092106901E-3</v>
          </cell>
          <cell r="Y121">
            <v>1.1114016689784201</v>
          </cell>
          <cell r="Z121">
            <v>1.1022033462557099</v>
          </cell>
          <cell r="AA121">
            <v>1.1094786061945701</v>
          </cell>
          <cell r="AE121">
            <v>9.6771365690487797E-3</v>
          </cell>
          <cell r="AF121">
            <v>2.5911456696373E-3</v>
          </cell>
          <cell r="AG121">
            <v>8.6808391092106901E-3</v>
          </cell>
          <cell r="BJ121">
            <v>2.6790605906630131E-2</v>
          </cell>
          <cell r="BV121">
            <v>1.9667968540972233E-2</v>
          </cell>
          <cell r="BY121">
            <v>4.6458574447602367E-2</v>
          </cell>
        </row>
        <row r="122">
          <cell r="O122">
            <v>1.1114016689784201</v>
          </cell>
          <cell r="P122">
            <v>1.1000195983355601</v>
          </cell>
          <cell r="Q122">
            <v>1.1084703812407199</v>
          </cell>
          <cell r="U122">
            <v>1.8283933723010699E-2</v>
          </cell>
          <cell r="V122">
            <v>9.9731686113955203E-3</v>
          </cell>
          <cell r="W122">
            <v>1.6552130990572799E-2</v>
          </cell>
          <cell r="Y122">
            <v>1.1114016689784201</v>
          </cell>
          <cell r="Z122">
            <v>1.1000195983355601</v>
          </cell>
          <cell r="AA122">
            <v>1.1084703812407199</v>
          </cell>
          <cell r="AE122">
            <v>1.8283933723010699E-2</v>
          </cell>
          <cell r="AF122">
            <v>9.9731686113955203E-3</v>
          </cell>
          <cell r="AG122">
            <v>1.6552130990572799E-2</v>
          </cell>
          <cell r="BJ122">
            <v>2.6790605906630131E-2</v>
          </cell>
          <cell r="BV122">
            <v>1.1061171387010231E-2</v>
          </cell>
          <cell r="BY122">
            <v>3.7851777293640365E-2</v>
          </cell>
        </row>
        <row r="123">
          <cell r="O123">
            <v>1.1114016689784201</v>
          </cell>
          <cell r="P123">
            <v>1.0984963473968701</v>
          </cell>
          <cell r="Q123">
            <v>1.1079004667182699</v>
          </cell>
          <cell r="U123">
            <v>8.14633320384546E-3</v>
          </cell>
          <cell r="V123">
            <v>-2.1476540345514599E-3</v>
          </cell>
          <cell r="W123">
            <v>5.5053796938126804E-3</v>
          </cell>
          <cell r="Y123">
            <v>1.1114016689784201</v>
          </cell>
          <cell r="Z123">
            <v>1.0984963473968701</v>
          </cell>
          <cell r="AA123">
            <v>1.1079004667182699</v>
          </cell>
          <cell r="AE123">
            <v>8.14633320384546E-3</v>
          </cell>
          <cell r="AF123">
            <v>-2.1476540345514599E-3</v>
          </cell>
          <cell r="AG123">
            <v>5.5053796938126804E-3</v>
          </cell>
          <cell r="BJ123">
            <v>2.6790605906630131E-2</v>
          </cell>
          <cell r="BV123">
            <v>2.119877190617548E-2</v>
          </cell>
          <cell r="BY123">
            <v>4.7989377812805614E-2</v>
          </cell>
        </row>
        <row r="124">
          <cell r="O124">
            <v>1.1114016689784201</v>
          </cell>
          <cell r="P124">
            <v>1.10022453160157</v>
          </cell>
          <cell r="Q124">
            <v>1.1077555099990699</v>
          </cell>
          <cell r="U124">
            <v>-1.9563953361815302E-3</v>
          </cell>
          <cell r="V124">
            <v>-1.3636091134379E-2</v>
          </cell>
          <cell r="W124">
            <v>-5.1116260805793602E-3</v>
          </cell>
          <cell r="Y124">
            <v>1.1114016689784201</v>
          </cell>
          <cell r="Z124">
            <v>1.10022453160157</v>
          </cell>
          <cell r="AA124">
            <v>1.1077555099990699</v>
          </cell>
          <cell r="AE124">
            <v>-1.9563953361815302E-3</v>
          </cell>
          <cell r="AF124">
            <v>-1.3636091134379E-2</v>
          </cell>
          <cell r="AG124">
            <v>-5.1116260805793602E-3</v>
          </cell>
          <cell r="BJ124">
            <v>2.6790605906630131E-2</v>
          </cell>
          <cell r="BV124">
            <v>3.1301500446202585E-2</v>
          </cell>
          <cell r="BY124">
            <v>5.8092106352832712E-2</v>
          </cell>
        </row>
        <row r="125">
          <cell r="O125">
            <v>1.1114016689784201</v>
          </cell>
          <cell r="P125">
            <v>1.10286180909056</v>
          </cell>
          <cell r="Q125">
            <v>1.1076501288023599</v>
          </cell>
          <cell r="U125">
            <v>-5.8536257462747897E-3</v>
          </cell>
          <cell r="V125">
            <v>-1.59613306864319E-2</v>
          </cell>
          <cell r="W125">
            <v>-9.1397041682264295E-3</v>
          </cell>
          <cell r="Y125">
            <v>1.1114016689784201</v>
          </cell>
          <cell r="Z125">
            <v>1.10286180909056</v>
          </cell>
          <cell r="AA125">
            <v>1.1076501288023599</v>
          </cell>
          <cell r="AE125">
            <v>-5.8536257462747897E-3</v>
          </cell>
          <cell r="AF125">
            <v>-1.59613306864319E-2</v>
          </cell>
          <cell r="AG125">
            <v>-9.1397041682264295E-3</v>
          </cell>
          <cell r="BJ125">
            <v>2.6790605906630131E-2</v>
          </cell>
          <cell r="BV125">
            <v>3.1301500446202585E-2</v>
          </cell>
          <cell r="BY125">
            <v>5.8092106352832712E-2</v>
          </cell>
        </row>
        <row r="126">
          <cell r="O126">
            <v>1.1114016689784201</v>
          </cell>
          <cell r="P126">
            <v>1.1047482859425</v>
          </cell>
          <cell r="Q126">
            <v>1.1075505201848901</v>
          </cell>
          <cell r="U126">
            <v>-5.1038597936852699E-3</v>
          </cell>
          <cell r="V126">
            <v>-1.28173973332994E-2</v>
          </cell>
          <cell r="W126">
            <v>-8.4850731154898391E-3</v>
          </cell>
          <cell r="Y126">
            <v>1.1114016689784201</v>
          </cell>
          <cell r="Z126">
            <v>1.1047482859425</v>
          </cell>
          <cell r="AA126">
            <v>1.1075505201848901</v>
          </cell>
          <cell r="AE126">
            <v>-5.1038597936852699E-3</v>
          </cell>
          <cell r="AF126">
            <v>-1.28173973332994E-2</v>
          </cell>
          <cell r="AG126">
            <v>-8.4850731154898391E-3</v>
          </cell>
          <cell r="BJ126">
            <v>2.6790605906630131E-2</v>
          </cell>
          <cell r="BV126">
            <v>3.1301500446202585E-2</v>
          </cell>
          <cell r="BY126">
            <v>5.8092106352832712E-2</v>
          </cell>
        </row>
        <row r="127">
          <cell r="O127">
            <v>1.1114016689784201</v>
          </cell>
          <cell r="P127">
            <v>1.10546620740843</v>
          </cell>
          <cell r="Q127">
            <v>1.1077347657405401</v>
          </cell>
          <cell r="U127">
            <v>-7.3845771608850299E-3</v>
          </cell>
          <cell r="V127">
            <v>-1.3389047220358601E-2</v>
          </cell>
          <cell r="W127">
            <v>-1.08557223970562E-2</v>
          </cell>
          <cell r="Y127">
            <v>1.1114016689784201</v>
          </cell>
          <cell r="Z127">
            <v>1.10546620740843</v>
          </cell>
          <cell r="AA127">
            <v>1.1077347657405401</v>
          </cell>
          <cell r="AE127">
            <v>-7.3845771608850299E-3</v>
          </cell>
          <cell r="AF127">
            <v>-1.3389047220358601E-2</v>
          </cell>
          <cell r="AG127">
            <v>-1.08557223970562E-2</v>
          </cell>
          <cell r="BJ127">
            <v>2.6790605906630131E-2</v>
          </cell>
          <cell r="BV127">
            <v>3.1301500446202585E-2</v>
          </cell>
          <cell r="BY127">
            <v>5.8092106352832712E-2</v>
          </cell>
        </row>
        <row r="128">
          <cell r="O128">
            <v>1.1114016689784201</v>
          </cell>
          <cell r="P128">
            <v>1.1071656712537301</v>
          </cell>
          <cell r="Q128">
            <v>1.1076944004571201</v>
          </cell>
          <cell r="U128">
            <v>-4.3619738488085901E-3</v>
          </cell>
          <cell r="V128">
            <v>-9.7168042526345495E-3</v>
          </cell>
          <cell r="W128">
            <v>-7.6667788332395398E-3</v>
          </cell>
          <cell r="Y128">
            <v>1.1114016689784201</v>
          </cell>
          <cell r="Z128">
            <v>1.1071656712537301</v>
          </cell>
          <cell r="AA128">
            <v>1.1076944004571201</v>
          </cell>
          <cell r="AE128">
            <v>-4.3619738488085901E-3</v>
          </cell>
          <cell r="AF128">
            <v>-9.7168042526345495E-3</v>
          </cell>
          <cell r="AG128">
            <v>-7.6667788332395398E-3</v>
          </cell>
          <cell r="BJ128">
            <v>2.6790605906630131E-2</v>
          </cell>
          <cell r="BV128">
            <v>3.1301500446202585E-2</v>
          </cell>
          <cell r="BY128">
            <v>5.8092106352832712E-2</v>
          </cell>
        </row>
        <row r="129">
          <cell r="O129">
            <v>1.1114016689784201</v>
          </cell>
          <cell r="P129">
            <v>1.1089934262688299</v>
          </cell>
          <cell r="Q129">
            <v>1.10748364824762</v>
          </cell>
          <cell r="U129">
            <v>-1.8426776299482401E-3</v>
          </cell>
          <cell r="V129">
            <v>-5.6613607913193996E-3</v>
          </cell>
          <cell r="W129">
            <v>-5.1839227624394602E-3</v>
          </cell>
          <cell r="Y129">
            <v>1.1114016689784201</v>
          </cell>
          <cell r="Z129">
            <v>1.1089934262688299</v>
          </cell>
          <cell r="AA129">
            <v>1.10748364824762</v>
          </cell>
          <cell r="AE129">
            <v>-1.8426776299482401E-3</v>
          </cell>
          <cell r="AF129">
            <v>-5.6613607913193996E-3</v>
          </cell>
          <cell r="AG129">
            <v>-5.1839227624394602E-3</v>
          </cell>
          <cell r="BJ129">
            <v>2.6790605906630131E-2</v>
          </cell>
          <cell r="BV129">
            <v>3.1301500446202585E-2</v>
          </cell>
          <cell r="BY129">
            <v>5.8092106352832712E-2</v>
          </cell>
        </row>
        <row r="130">
          <cell r="O130">
            <v>1.1114016689784201</v>
          </cell>
          <cell r="P130">
            <v>1.1101706356967</v>
          </cell>
          <cell r="Q130">
            <v>1.1068623796086201</v>
          </cell>
          <cell r="U130">
            <v>1.79029905024551E-3</v>
          </cell>
          <cell r="V130">
            <v>-3.7890377232045302E-4</v>
          </cell>
          <cell r="W130">
            <v>-1.7412262362570699E-3</v>
          </cell>
          <cell r="Y130">
            <v>1.1114016689784201</v>
          </cell>
          <cell r="Z130">
            <v>1.1101706356967</v>
          </cell>
          <cell r="AA130">
            <v>1.1068623796086201</v>
          </cell>
          <cell r="AE130">
            <v>1.79029905024551E-3</v>
          </cell>
          <cell r="AF130">
            <v>-3.7890377232045302E-4</v>
          </cell>
          <cell r="AG130">
            <v>-1.7412262362570699E-3</v>
          </cell>
          <cell r="BJ130">
            <v>2.6790605906630131E-2</v>
          </cell>
          <cell r="BV130">
            <v>3.1301500446202585E-2</v>
          </cell>
          <cell r="BY130">
            <v>5.8092106352832712E-2</v>
          </cell>
        </row>
        <row r="131">
          <cell r="O131">
            <v>1.1114016689784201</v>
          </cell>
          <cell r="P131">
            <v>1.11111618476353</v>
          </cell>
          <cell r="Q131">
            <v>1.10665976550962</v>
          </cell>
          <cell r="U131">
            <v>1.12337769396828E-3</v>
          </cell>
          <cell r="V131">
            <v>1.5123503788388801E-5</v>
          </cell>
          <cell r="W131">
            <v>-2.9692781904574598E-3</v>
          </cell>
          <cell r="Y131">
            <v>1.1114016689784201</v>
          </cell>
          <cell r="Z131">
            <v>1.11111618476353</v>
          </cell>
          <cell r="AA131">
            <v>1.10665976550962</v>
          </cell>
          <cell r="AE131">
            <v>1.12337769396828E-3</v>
          </cell>
          <cell r="AF131">
            <v>1.5123503788388801E-5</v>
          </cell>
          <cell r="AG131">
            <v>-2.9692781904574598E-3</v>
          </cell>
          <cell r="BJ131">
            <v>2.6790605906630131E-2</v>
          </cell>
          <cell r="BV131">
            <v>3.1301500446202585E-2</v>
          </cell>
          <cell r="BY131">
            <v>5.8092106352832712E-2</v>
          </cell>
        </row>
        <row r="132">
          <cell r="O132">
            <v>1.1114016689784201</v>
          </cell>
          <cell r="P132">
            <v>1.1132998677802199</v>
          </cell>
          <cell r="Q132">
            <v>1.10665973305789</v>
          </cell>
          <cell r="U132">
            <v>-1.5290428789151299E-3</v>
          </cell>
          <cell r="V132">
            <v>-1.78594449702799E-3</v>
          </cell>
          <cell r="W132">
            <v>-5.8047681760466296E-3</v>
          </cell>
          <cell r="Y132">
            <v>1.1114016689784201</v>
          </cell>
          <cell r="Z132">
            <v>1.1132998677802199</v>
          </cell>
          <cell r="AA132">
            <v>1.10665973305789</v>
          </cell>
          <cell r="AE132">
            <v>-1.5290428789151299E-3</v>
          </cell>
          <cell r="AF132">
            <v>-1.78594449702799E-3</v>
          </cell>
          <cell r="AG132">
            <v>-5.8047681760466296E-3</v>
          </cell>
          <cell r="BJ132">
            <v>2.6790605906630131E-2</v>
          </cell>
          <cell r="BV132">
            <v>3.1301500446202585E-2</v>
          </cell>
          <cell r="BY132">
            <v>5.8092106352832712E-2</v>
          </cell>
        </row>
        <row r="133">
          <cell r="O133">
            <v>1.1114016689784201</v>
          </cell>
          <cell r="P133">
            <v>1.1139098927730899</v>
          </cell>
          <cell r="Q133">
            <v>1.10620312008498</v>
          </cell>
          <cell r="U133">
            <v>2.62790205645997E-3</v>
          </cell>
          <cell r="V133">
            <v>4.3343774924425897E-3</v>
          </cell>
          <cell r="W133">
            <v>-1.6478525647129201E-3</v>
          </cell>
          <cell r="Y133">
            <v>1.1114016689784201</v>
          </cell>
          <cell r="Z133">
            <v>1.1139098927730899</v>
          </cell>
          <cell r="AA133">
            <v>1.10620312008498</v>
          </cell>
          <cell r="AE133">
            <v>2.62790205645997E-3</v>
          </cell>
          <cell r="AF133">
            <v>4.3343774924425897E-3</v>
          </cell>
          <cell r="AG133">
            <v>-1.6478525647129201E-3</v>
          </cell>
          <cell r="BJ133">
            <v>2.6790605906630131E-2</v>
          </cell>
          <cell r="BV133">
            <v>3.1301500446202585E-2</v>
          </cell>
          <cell r="BY133">
            <v>5.8092106352832712E-2</v>
          </cell>
        </row>
        <row r="134">
          <cell r="O134">
            <v>1.1114016689784201</v>
          </cell>
          <cell r="P134">
            <v>1.1136653950729101</v>
          </cell>
          <cell r="Q134">
            <v>1.1069449633372399</v>
          </cell>
          <cell r="U134">
            <v>2.41622884403993E-4</v>
          </cell>
          <cell r="V134">
            <v>2.49589136523804E-3</v>
          </cell>
          <cell r="W134">
            <v>-4.4468215505440202E-3</v>
          </cell>
          <cell r="Y134">
            <v>1.1114016689784201</v>
          </cell>
          <cell r="Z134">
            <v>1.1136653950729101</v>
          </cell>
          <cell r="AA134">
            <v>1.1069449633372399</v>
          </cell>
          <cell r="AE134">
            <v>2.41622884403993E-4</v>
          </cell>
          <cell r="AF134">
            <v>2.49589136523804E-3</v>
          </cell>
          <cell r="AG134">
            <v>-4.4468215505440202E-3</v>
          </cell>
          <cell r="BJ134">
            <v>2.6790605906630131E-2</v>
          </cell>
          <cell r="BV134">
            <v>3.1301500446202585E-2</v>
          </cell>
          <cell r="BY134">
            <v>5.8092106352832712E-2</v>
          </cell>
        </row>
        <row r="135">
          <cell r="O135">
            <v>1.1114016689784201</v>
          </cell>
          <cell r="P135">
            <v>1.11309044513571</v>
          </cell>
          <cell r="Q135">
            <v>1.1079761271131301</v>
          </cell>
          <cell r="U135">
            <v>-6.9735185199770603E-4</v>
          </cell>
          <cell r="V135">
            <v>1.3373974929473901E-3</v>
          </cell>
          <cell r="W135">
            <v>-4.7153998633147698E-3</v>
          </cell>
          <cell r="Y135">
            <v>1.1114016689784201</v>
          </cell>
          <cell r="Z135">
            <v>1.11309044513571</v>
          </cell>
          <cell r="AA135">
            <v>1.1079761271131301</v>
          </cell>
          <cell r="AE135">
            <v>-6.9735185199770603E-4</v>
          </cell>
          <cell r="AF135">
            <v>1.3373974929473901E-3</v>
          </cell>
          <cell r="AG135">
            <v>-4.7153998633147698E-3</v>
          </cell>
          <cell r="BJ135">
            <v>2.6790605906630131E-2</v>
          </cell>
          <cell r="BV135">
            <v>3.1301500446202585E-2</v>
          </cell>
          <cell r="BY135">
            <v>5.8092106352832712E-2</v>
          </cell>
        </row>
        <row r="136">
          <cell r="O136">
            <v>1.1114016689784201</v>
          </cell>
          <cell r="P136">
            <v>1.1129833662859601</v>
          </cell>
          <cell r="Q136">
            <v>1.1088658261142299</v>
          </cell>
          <cell r="U136">
            <v>-4.1448472121252697E-3</v>
          </cell>
          <cell r="V136">
            <v>-2.6264992970955301E-3</v>
          </cell>
          <cell r="W136">
            <v>-7.2317885986183999E-3</v>
          </cell>
          <cell r="Y136">
            <v>1.1114016689784201</v>
          </cell>
          <cell r="Z136">
            <v>1.1129833662859601</v>
          </cell>
          <cell r="AA136">
            <v>1.1088658261142299</v>
          </cell>
          <cell r="AE136">
            <v>-4.1448472121252697E-3</v>
          </cell>
          <cell r="AF136">
            <v>-2.6264992970955301E-3</v>
          </cell>
          <cell r="AG136">
            <v>-7.2317885986183999E-3</v>
          </cell>
          <cell r="BJ136">
            <v>2.6790605906630131E-2</v>
          </cell>
          <cell r="BV136">
            <v>3.1301500446202585E-2</v>
          </cell>
          <cell r="BY136">
            <v>5.8092106352832712E-2</v>
          </cell>
        </row>
        <row r="137">
          <cell r="O137">
            <v>1.1114016689784201</v>
          </cell>
          <cell r="P137">
            <v>1.11252283319262</v>
          </cell>
          <cell r="Q137">
            <v>1.10899452030052</v>
          </cell>
          <cell r="U137">
            <v>-3.2628671951559301E-3</v>
          </cell>
          <cell r="V137">
            <v>-1.8407235023620201E-3</v>
          </cell>
          <cell r="W137">
            <v>-5.5471360703614296E-3</v>
          </cell>
          <cell r="Y137">
            <v>1.1114016689784201</v>
          </cell>
          <cell r="Z137">
            <v>1.11252283319262</v>
          </cell>
          <cell r="AA137">
            <v>1.10899452030052</v>
          </cell>
          <cell r="AE137">
            <v>-3.2628671951559301E-3</v>
          </cell>
          <cell r="AF137">
            <v>-1.8407235023620201E-3</v>
          </cell>
          <cell r="AG137">
            <v>-5.5471360703614296E-3</v>
          </cell>
          <cell r="BJ137">
            <v>2.6790605906630131E-2</v>
          </cell>
          <cell r="BV137">
            <v>3.1301500446202585E-2</v>
          </cell>
          <cell r="BY137">
            <v>5.8092106352832712E-2</v>
          </cell>
        </row>
        <row r="138">
          <cell r="O138">
            <v>1.1114016689784201</v>
          </cell>
          <cell r="P138">
            <v>1.11274838095033</v>
          </cell>
          <cell r="Q138">
            <v>1.10995702610203</v>
          </cell>
          <cell r="U138">
            <v>-6.3805014703557303E-3</v>
          </cell>
          <cell r="V138">
            <v>-5.3722259573284296E-3</v>
          </cell>
          <cell r="W138">
            <v>-8.5487177846796693E-3</v>
          </cell>
          <cell r="Y138">
            <v>1.1114016689784201</v>
          </cell>
          <cell r="Z138">
            <v>1.11274838095033</v>
          </cell>
          <cell r="AA138">
            <v>1.10995702610203</v>
          </cell>
          <cell r="AE138">
            <v>-6.3805014703557303E-3</v>
          </cell>
          <cell r="AF138">
            <v>-5.3722259573284296E-3</v>
          </cell>
          <cell r="AG138">
            <v>-8.5487177846796693E-3</v>
          </cell>
          <cell r="BJ138">
            <v>2.6790605906630131E-2</v>
          </cell>
          <cell r="BV138">
            <v>3.1301500446202585E-2</v>
          </cell>
          <cell r="BY138">
            <v>5.8092106352832712E-2</v>
          </cell>
        </row>
        <row r="139">
          <cell r="O139">
            <v>1.1114016689784201</v>
          </cell>
          <cell r="P139">
            <v>1.11289839072292</v>
          </cell>
          <cell r="Q139">
            <v>1.1109459084958699</v>
          </cell>
          <cell r="U139">
            <v>-3.18902106115385E-3</v>
          </cell>
          <cell r="V139">
            <v>-1.97803069966158E-3</v>
          </cell>
          <cell r="W139">
            <v>-4.4897052624580901E-3</v>
          </cell>
          <cell r="Y139">
            <v>1.1114016689784201</v>
          </cell>
          <cell r="Z139">
            <v>1.11289839072292</v>
          </cell>
          <cell r="AA139">
            <v>1.1109459084958699</v>
          </cell>
          <cell r="AE139">
            <v>-3.18902106115385E-3</v>
          </cell>
          <cell r="AF139">
            <v>-1.97803069966158E-3</v>
          </cell>
          <cell r="AG139">
            <v>-4.4897052624580901E-3</v>
          </cell>
          <cell r="BJ139">
            <v>2.6790605906630131E-2</v>
          </cell>
          <cell r="BV139">
            <v>3.1301500446202585E-2</v>
          </cell>
          <cell r="BY139">
            <v>5.8092106352832712E-2</v>
          </cell>
        </row>
        <row r="140">
          <cell r="O140">
            <v>1.1114016689784201</v>
          </cell>
          <cell r="P140">
            <v>1.1139741000688299</v>
          </cell>
          <cell r="Q140">
            <v>1.11207236788276</v>
          </cell>
          <cell r="U140">
            <v>-7.8591911438793804E-3</v>
          </cell>
          <cell r="V140">
            <v>-6.5133997216558501E-3</v>
          </cell>
          <cell r="W140">
            <v>-8.2693524467780995E-3</v>
          </cell>
          <cell r="Y140">
            <v>1.1114016689784201</v>
          </cell>
          <cell r="Z140">
            <v>1.1139741000688299</v>
          </cell>
          <cell r="AA140">
            <v>1.11207236788276</v>
          </cell>
          <cell r="AE140">
            <v>-7.8591911438793804E-3</v>
          </cell>
          <cell r="AF140">
            <v>-6.5133997216558501E-3</v>
          </cell>
          <cell r="AG140">
            <v>-8.2693524467780995E-3</v>
          </cell>
          <cell r="BJ140">
            <v>2.6790605906630131E-2</v>
          </cell>
          <cell r="BV140">
            <v>3.1301500446202585E-2</v>
          </cell>
          <cell r="BY140">
            <v>5.8092106352832712E-2</v>
          </cell>
        </row>
        <row r="141">
          <cell r="O141">
            <v>1.1114016689784201</v>
          </cell>
          <cell r="P141">
            <v>1.1148996181047299</v>
          </cell>
          <cell r="Q141">
            <v>1.1130079014341301</v>
          </cell>
          <cell r="U141">
            <v>-7.1789075962288597E-3</v>
          </cell>
          <cell r="V141">
            <v>-4.8669994034888902E-3</v>
          </cell>
          <cell r="W141">
            <v>-6.5756184068207603E-3</v>
          </cell>
          <cell r="Y141">
            <v>1.1114016689784201</v>
          </cell>
          <cell r="Z141">
            <v>1.1148996181047299</v>
          </cell>
          <cell r="AA141">
            <v>1.1130079014341301</v>
          </cell>
          <cell r="AE141">
            <v>-7.1789075962288597E-3</v>
          </cell>
          <cell r="AF141">
            <v>-4.8669994034888902E-3</v>
          </cell>
          <cell r="AG141">
            <v>-6.5756184068207603E-3</v>
          </cell>
          <cell r="BJ141">
            <v>2.6790605906630131E-2</v>
          </cell>
          <cell r="BV141">
            <v>3.1301500446202585E-2</v>
          </cell>
          <cell r="BY141">
            <v>5.8092106352832712E-2</v>
          </cell>
        </row>
        <row r="142">
          <cell r="O142">
            <v>1.1114016689784201</v>
          </cell>
          <cell r="P142">
            <v>1.1150635024064399</v>
          </cell>
          <cell r="Q142">
            <v>1.1141816850933299</v>
          </cell>
          <cell r="U142">
            <v>-3.0002802271244002E-3</v>
          </cell>
          <cell r="V142">
            <v>1.4210847381838199E-4</v>
          </cell>
          <cell r="W142">
            <v>-1.5560922895706999E-3</v>
          </cell>
          <cell r="Y142">
            <v>1.1114016689784201</v>
          </cell>
          <cell r="Z142">
            <v>1.1150635024064399</v>
          </cell>
          <cell r="AA142">
            <v>1.1141816850933299</v>
          </cell>
          <cell r="AE142">
            <v>-3.0002802271244002E-3</v>
          </cell>
          <cell r="AF142">
            <v>1.4210847381838199E-4</v>
          </cell>
          <cell r="AG142">
            <v>-1.5560922895706999E-3</v>
          </cell>
          <cell r="BJ142">
            <v>2.6790605906630131E-2</v>
          </cell>
          <cell r="BV142">
            <v>3.1301500446202585E-2</v>
          </cell>
          <cell r="BY142">
            <v>5.8092106352832712E-2</v>
          </cell>
        </row>
        <row r="143">
          <cell r="O143">
            <v>1.1114016689784201</v>
          </cell>
          <cell r="P143">
            <v>1.1160104853092601</v>
          </cell>
          <cell r="Q143">
            <v>1.11496018904118</v>
          </cell>
          <cell r="U143">
            <v>-5.87885146141296E-3</v>
          </cell>
          <cell r="V143">
            <v>-2.5894788928898802E-3</v>
          </cell>
          <cell r="W143">
            <v>-3.3806142637761299E-3</v>
          </cell>
          <cell r="Y143">
            <v>1.1114016689784201</v>
          </cell>
          <cell r="Z143">
            <v>1.1160104853092601</v>
          </cell>
          <cell r="AA143">
            <v>1.11496018904118</v>
          </cell>
          <cell r="AE143">
            <v>-5.87885146141296E-3</v>
          </cell>
          <cell r="AF143">
            <v>-2.5894788928898802E-3</v>
          </cell>
          <cell r="AG143">
            <v>-3.3806142637761299E-3</v>
          </cell>
          <cell r="BJ143">
            <v>2.6790605906630131E-2</v>
          </cell>
          <cell r="BV143">
            <v>3.1301500446202585E-2</v>
          </cell>
          <cell r="BY143">
            <v>5.8092106352832712E-2</v>
          </cell>
        </row>
        <row r="144">
          <cell r="O144">
            <v>1.1114016689784201</v>
          </cell>
          <cell r="P144">
            <v>1.1166931107643401</v>
          </cell>
          <cell r="Q144">
            <v>1.11517925291863</v>
          </cell>
          <cell r="U144">
            <v>-5.8830898883022297E-3</v>
          </cell>
          <cell r="V144">
            <v>-1.74481408760886E-3</v>
          </cell>
          <cell r="W144">
            <v>-2.6863740621566102E-3</v>
          </cell>
          <cell r="Y144">
            <v>1.1114016689784201</v>
          </cell>
          <cell r="Z144">
            <v>1.1166931107643401</v>
          </cell>
          <cell r="AA144">
            <v>1.11517925291863</v>
          </cell>
          <cell r="AE144">
            <v>-5.8830898883022297E-3</v>
          </cell>
          <cell r="AF144">
            <v>-1.74481408760886E-3</v>
          </cell>
          <cell r="AG144">
            <v>-2.6863740621566102E-3</v>
          </cell>
          <cell r="BJ144">
            <v>2.6790605906630131E-2</v>
          </cell>
          <cell r="BV144">
            <v>3.1301500446202585E-2</v>
          </cell>
          <cell r="BY144">
            <v>5.8092106352832712E-2</v>
          </cell>
        </row>
        <row r="145">
          <cell r="O145">
            <v>1.1114016689784201</v>
          </cell>
          <cell r="P145">
            <v>1.11785600149535</v>
          </cell>
          <cell r="Q145">
            <v>1.11547322331553</v>
          </cell>
          <cell r="U145">
            <v>-1.10990524711498E-2</v>
          </cell>
          <cell r="V145">
            <v>-6.3492978538816696E-3</v>
          </cell>
          <cell r="W145">
            <v>-7.7058790836227803E-3</v>
          </cell>
          <cell r="Y145">
            <v>1.1114016689784201</v>
          </cell>
          <cell r="Z145">
            <v>1.11785600149535</v>
          </cell>
          <cell r="AA145">
            <v>1.11547322331553</v>
          </cell>
          <cell r="AE145">
            <v>-1.10990524711498E-2</v>
          </cell>
          <cell r="AF145">
            <v>-6.3492978538816696E-3</v>
          </cell>
          <cell r="AG145">
            <v>-7.7058790836227803E-3</v>
          </cell>
          <cell r="BJ145">
            <v>2.6790605906630131E-2</v>
          </cell>
          <cell r="BV145">
            <v>3.1301500446202585E-2</v>
          </cell>
          <cell r="BY145">
            <v>5.8092106352832712E-2</v>
          </cell>
        </row>
        <row r="146">
          <cell r="O146">
            <v>1.1114016689784201</v>
          </cell>
          <cell r="P146">
            <v>1.1183643466553099</v>
          </cell>
          <cell r="Q146">
            <v>1.1156738564706301</v>
          </cell>
          <cell r="U146">
            <v>-8.6894960617268507E-3</v>
          </cell>
          <cell r="V146">
            <v>-2.89891327056158E-3</v>
          </cell>
          <cell r="W146">
            <v>-5.0327492115098899E-3</v>
          </cell>
          <cell r="Y146">
            <v>1.1114016689784201</v>
          </cell>
          <cell r="Z146">
            <v>1.1183643466553099</v>
          </cell>
          <cell r="AA146">
            <v>1.1156738564706301</v>
          </cell>
          <cell r="AE146">
            <v>-8.6894960617268507E-3</v>
          </cell>
          <cell r="AF146">
            <v>-2.89891327056158E-3</v>
          </cell>
          <cell r="AG146">
            <v>-5.0327492115098899E-3</v>
          </cell>
          <cell r="BJ146">
            <v>2.6790605906630131E-2</v>
          </cell>
          <cell r="BV146">
            <v>3.1301500446202585E-2</v>
          </cell>
          <cell r="BY146">
            <v>5.8092106352832712E-2</v>
          </cell>
        </row>
        <row r="147">
          <cell r="O147">
            <v>1.1114016689784201</v>
          </cell>
          <cell r="P147">
            <v>1.11841549389218</v>
          </cell>
          <cell r="Q147">
            <v>1.1154691635424001</v>
          </cell>
          <cell r="U147">
            <v>-3.72146766920483E-3</v>
          </cell>
          <cell r="V147">
            <v>2.52376188262525E-3</v>
          </cell>
          <cell r="W147">
            <v>1.15126719939273E-4</v>
          </cell>
          <cell r="Y147">
            <v>1.1114016689784201</v>
          </cell>
          <cell r="Z147">
            <v>1.11841549389218</v>
          </cell>
          <cell r="AA147">
            <v>1.1154691635424001</v>
          </cell>
          <cell r="AE147">
            <v>-3.72146766920483E-3</v>
          </cell>
          <cell r="AF147">
            <v>2.52376188262525E-3</v>
          </cell>
          <cell r="AG147">
            <v>1.15126719939273E-4</v>
          </cell>
          <cell r="BJ147">
            <v>2.6790605906630131E-2</v>
          </cell>
          <cell r="BV147">
            <v>3.1301500446202585E-2</v>
          </cell>
          <cell r="BY147">
            <v>5.8092106352832712E-2</v>
          </cell>
        </row>
        <row r="148">
          <cell r="O148">
            <v>1.1114016689784201</v>
          </cell>
          <cell r="P148">
            <v>1.11841550124878</v>
          </cell>
          <cell r="Q148">
            <v>1.11558194109956</v>
          </cell>
          <cell r="U148">
            <v>-6.3805672414935901E-3</v>
          </cell>
          <cell r="V148">
            <v>-8.9604769547638806E-5</v>
          </cell>
          <cell r="W148">
            <v>-2.7274599053747099E-3</v>
          </cell>
          <cell r="Y148">
            <v>1.1114016689784201</v>
          </cell>
          <cell r="Z148">
            <v>1.11841550124878</v>
          </cell>
          <cell r="AA148">
            <v>1.11558194109956</v>
          </cell>
          <cell r="AE148">
            <v>-6.3805672414935901E-3</v>
          </cell>
          <cell r="AF148">
            <v>-8.9604769547638806E-5</v>
          </cell>
          <cell r="AG148">
            <v>-2.7274599053747099E-3</v>
          </cell>
          <cell r="BJ148">
            <v>2.6790605906630131E-2</v>
          </cell>
          <cell r="BV148">
            <v>3.1301500446202585E-2</v>
          </cell>
          <cell r="BY148">
            <v>5.8092106352832712E-2</v>
          </cell>
        </row>
        <row r="149">
          <cell r="O149">
            <v>1.1114016689784201</v>
          </cell>
          <cell r="P149">
            <v>1.11933413338048</v>
          </cell>
          <cell r="Q149">
            <v>1.1161162620517</v>
          </cell>
          <cell r="U149">
            <v>-1.13944748334885E-2</v>
          </cell>
          <cell r="V149">
            <v>-5.1035057838397903E-3</v>
          </cell>
          <cell r="W149">
            <v>-7.6402693584526104E-3</v>
          </cell>
          <cell r="Y149">
            <v>1.1114016689784201</v>
          </cell>
          <cell r="Z149">
            <v>1.11933413338048</v>
          </cell>
          <cell r="AA149">
            <v>1.1161162620517</v>
          </cell>
          <cell r="AE149">
            <v>-1.13944748334885E-2</v>
          </cell>
          <cell r="AF149">
            <v>-5.1035057838397903E-3</v>
          </cell>
          <cell r="AG149">
            <v>-7.6402693584526104E-3</v>
          </cell>
          <cell r="BJ149">
            <v>2.6790605906630131E-2</v>
          </cell>
          <cell r="BV149">
            <v>3.1301500446202585E-2</v>
          </cell>
          <cell r="BY149">
            <v>5.8092106352832712E-2</v>
          </cell>
        </row>
        <row r="150">
          <cell r="O150">
            <v>1.1114016689784201</v>
          </cell>
          <cell r="P150">
            <v>1.1189117796527399</v>
          </cell>
          <cell r="Q150">
            <v>1.11644293986078</v>
          </cell>
          <cell r="U150">
            <v>-4.0816246853130596E-3</v>
          </cell>
          <cell r="V150">
            <v>3.03037650223007E-3</v>
          </cell>
          <cell r="W150">
            <v>1.51427760694903E-4</v>
          </cell>
          <cell r="Y150">
            <v>1.1114016689784201</v>
          </cell>
          <cell r="Z150">
            <v>1.1189117796527399</v>
          </cell>
          <cell r="AA150">
            <v>1.11644293986078</v>
          </cell>
          <cell r="AE150">
            <v>-4.0816246853130596E-3</v>
          </cell>
          <cell r="AF150">
            <v>3.03037650223007E-3</v>
          </cell>
          <cell r="AG150">
            <v>1.51427760694903E-4</v>
          </cell>
          <cell r="BJ150">
            <v>2.6790605906630131E-2</v>
          </cell>
          <cell r="BV150">
            <v>3.1301500446202585E-2</v>
          </cell>
          <cell r="BY150">
            <v>5.8092106352832712E-2</v>
          </cell>
        </row>
        <row r="151">
          <cell r="O151">
            <v>1.1114016689784201</v>
          </cell>
          <cell r="P151">
            <v>1.11924511862867</v>
          </cell>
          <cell r="Q151">
            <v>1.1170723683667001</v>
          </cell>
          <cell r="U151">
            <v>-1.0152294809563899E-2</v>
          </cell>
          <cell r="V151">
            <v>-3.4176906991614802E-3</v>
          </cell>
          <cell r="W151">
            <v>-5.6265936300880798E-3</v>
          </cell>
          <cell r="Y151">
            <v>1.1114016689784201</v>
          </cell>
          <cell r="Z151">
            <v>1.11924511862867</v>
          </cell>
          <cell r="AA151">
            <v>1.1170723683667001</v>
          </cell>
          <cell r="AE151">
            <v>-1.0152294809563899E-2</v>
          </cell>
          <cell r="AF151">
            <v>-3.4176906991614802E-3</v>
          </cell>
          <cell r="AG151">
            <v>-5.6265936300880798E-3</v>
          </cell>
          <cell r="BJ151">
            <v>2.6790605906630131E-2</v>
          </cell>
          <cell r="BV151">
            <v>3.1301500446202585E-2</v>
          </cell>
          <cell r="BY151">
            <v>5.8092106352832712E-2</v>
          </cell>
        </row>
        <row r="152">
          <cell r="O152">
            <v>1.1114016689784201</v>
          </cell>
          <cell r="P152">
            <v>1.1203575429432699</v>
          </cell>
          <cell r="Q152">
            <v>1.11771052267485</v>
          </cell>
          <cell r="U152">
            <v>-1.29300326508794E-2</v>
          </cell>
          <cell r="V152">
            <v>-5.8975593619138298E-3</v>
          </cell>
          <cell r="W152">
            <v>-7.8407100623550802E-3</v>
          </cell>
          <cell r="Y152">
            <v>1.1114016689784201</v>
          </cell>
          <cell r="Z152">
            <v>1.1203575429432699</v>
          </cell>
          <cell r="AA152">
            <v>1.11771052267485</v>
          </cell>
          <cell r="AE152">
            <v>-1.29300326508794E-2</v>
          </cell>
          <cell r="AF152">
            <v>-5.8975593619138298E-3</v>
          </cell>
          <cell r="AG152">
            <v>-7.8407100623550802E-3</v>
          </cell>
          <cell r="BJ152">
            <v>2.6790605906630131E-2</v>
          </cell>
          <cell r="BV152">
            <v>3.1301500446202585E-2</v>
          </cell>
          <cell r="BY152">
            <v>5.8092106352832712E-2</v>
          </cell>
        </row>
        <row r="153">
          <cell r="O153">
            <v>1.1114016689784201</v>
          </cell>
          <cell r="P153">
            <v>1.12084975137555</v>
          </cell>
          <cell r="Q153">
            <v>1.1184301183424099</v>
          </cell>
          <cell r="U153">
            <v>-1.0271946053422E-2</v>
          </cell>
          <cell r="V153">
            <v>-2.2460604729176302E-3</v>
          </cell>
          <cell r="W153">
            <v>-4.61151266209083E-3</v>
          </cell>
          <cell r="Y153">
            <v>1.1114016689784201</v>
          </cell>
          <cell r="Z153">
            <v>1.12084975137555</v>
          </cell>
          <cell r="AA153">
            <v>1.1184301183424099</v>
          </cell>
          <cell r="AE153">
            <v>-1.0271946053422E-2</v>
          </cell>
          <cell r="AF153">
            <v>-2.2460604729176302E-3</v>
          </cell>
          <cell r="AG153">
            <v>-4.61151266209083E-3</v>
          </cell>
          <cell r="BJ153">
            <v>2.6790605906630131E-2</v>
          </cell>
          <cell r="BV153">
            <v>3.1301500446202585E-2</v>
          </cell>
          <cell r="BY153">
            <v>5.8092106352832712E-2</v>
          </cell>
        </row>
        <row r="154">
          <cell r="O154">
            <v>1.1114016689784201</v>
          </cell>
          <cell r="P154">
            <v>1.1217034435186799</v>
          </cell>
          <cell r="Q154">
            <v>1.1191982771415101</v>
          </cell>
          <cell r="U154">
            <v>-1.34902459549609E-2</v>
          </cell>
          <cell r="V154">
            <v>-5.0251252876832497E-3</v>
          </cell>
          <cell r="W154">
            <v>-7.1862075244883798E-3</v>
          </cell>
          <cell r="Y154">
            <v>1.1114016689784201</v>
          </cell>
          <cell r="Z154">
            <v>1.1217034435186799</v>
          </cell>
          <cell r="AA154">
            <v>1.1191982771415101</v>
          </cell>
          <cell r="AE154">
            <v>-1.34902459549609E-2</v>
          </cell>
          <cell r="AF154">
            <v>-5.0251252876832497E-3</v>
          </cell>
          <cell r="AG154">
            <v>-7.1862075244883798E-3</v>
          </cell>
          <cell r="BJ154">
            <v>2.6790605906630131E-2</v>
          </cell>
          <cell r="BV154">
            <v>3.1301500446202585E-2</v>
          </cell>
          <cell r="BY154">
            <v>5.8092106352832712E-2</v>
          </cell>
        </row>
        <row r="155">
          <cell r="O155">
            <v>1.1114016689784201</v>
          </cell>
          <cell r="P155">
            <v>1.1219734574682501</v>
          </cell>
          <cell r="Q155">
            <v>1.1199147294817999</v>
          </cell>
          <cell r="U155">
            <v>-1.3498844945344E-2</v>
          </cell>
          <cell r="V155">
            <v>-4.2723669231462197E-3</v>
          </cell>
          <cell r="W155">
            <v>-6.5082234961475003E-3</v>
          </cell>
          <cell r="Y155">
            <v>1.1114016689784201</v>
          </cell>
          <cell r="Z155">
            <v>1.1219734574682501</v>
          </cell>
          <cell r="AA155">
            <v>1.1199147294817999</v>
          </cell>
          <cell r="AE155">
            <v>-1.3498844945344E-2</v>
          </cell>
          <cell r="AF155">
            <v>-4.2723669231462197E-3</v>
          </cell>
          <cell r="AG155">
            <v>-6.5082234961475003E-3</v>
          </cell>
          <cell r="BJ155">
            <v>2.6790605906630131E-2</v>
          </cell>
          <cell r="BV155">
            <v>3.1301500446202585E-2</v>
          </cell>
          <cell r="BY155">
            <v>5.8092106352832712E-2</v>
          </cell>
        </row>
        <row r="156">
          <cell r="O156">
            <v>1.1114016689784201</v>
          </cell>
          <cell r="P156">
            <v>1.12228801693169</v>
          </cell>
          <cell r="Q156">
            <v>1.1203261817935</v>
          </cell>
          <cell r="U156">
            <v>-1.14913748811655E-2</v>
          </cell>
          <cell r="V156">
            <v>-2.02420805858403E-3</v>
          </cell>
          <cell r="W156">
            <v>-3.8608104164764298E-3</v>
          </cell>
          <cell r="Y156">
            <v>1.1114016689784201</v>
          </cell>
          <cell r="Z156">
            <v>1.12228801693169</v>
          </cell>
          <cell r="AA156">
            <v>1.1203261817935</v>
          </cell>
          <cell r="AE156">
            <v>-1.14913748811655E-2</v>
          </cell>
          <cell r="AF156">
            <v>-2.02420805858403E-3</v>
          </cell>
          <cell r="AG156">
            <v>-3.8608104164764298E-3</v>
          </cell>
          <cell r="BJ156">
            <v>2.6790605906630131E-2</v>
          </cell>
          <cell r="BV156">
            <v>3.1301500446202585E-2</v>
          </cell>
          <cell r="BY156">
            <v>5.8092106352832712E-2</v>
          </cell>
        </row>
        <row r="157">
          <cell r="O157">
            <v>1.1114016689784201</v>
          </cell>
          <cell r="P157">
            <v>1.12325583629202</v>
          </cell>
          <cell r="Q157">
            <v>1.1208356650921001</v>
          </cell>
          <cell r="U157">
            <v>-1.23597999926421E-2</v>
          </cell>
          <cell r="V157">
            <v>-2.6123098039196801E-3</v>
          </cell>
          <cell r="W157">
            <v>-4.3619068944534302E-3</v>
          </cell>
          <cell r="Y157">
            <v>1.1114016689784201</v>
          </cell>
          <cell r="Z157">
            <v>1.12325583629202</v>
          </cell>
          <cell r="AA157">
            <v>1.1208356650921001</v>
          </cell>
          <cell r="AE157">
            <v>-1.23597999926421E-2</v>
          </cell>
          <cell r="AF157">
            <v>-2.6123098039196801E-3</v>
          </cell>
          <cell r="AG157">
            <v>-4.3619068944534302E-3</v>
          </cell>
          <cell r="BJ157">
            <v>2.6790605906630131E-2</v>
          </cell>
          <cell r="BV157">
            <v>3.1301500446202585E-2</v>
          </cell>
          <cell r="BY157">
            <v>5.8092106352832712E-2</v>
          </cell>
        </row>
        <row r="158">
          <cell r="O158">
            <v>1.1114016689784201</v>
          </cell>
          <cell r="P158">
            <v>1.12414311842073</v>
          </cell>
          <cell r="Q158">
            <v>1.12127930983476</v>
          </cell>
          <cell r="U158">
            <v>-1.4281943672821901E-2</v>
          </cell>
          <cell r="V158">
            <v>-3.6724623732444501E-3</v>
          </cell>
          <cell r="W158">
            <v>-5.8293905882634903E-3</v>
          </cell>
          <cell r="Y158">
            <v>1.1114016689784201</v>
          </cell>
          <cell r="Z158">
            <v>1.12414311842073</v>
          </cell>
          <cell r="AA158">
            <v>1.12127930983476</v>
          </cell>
          <cell r="AE158">
            <v>-1.4281943672821901E-2</v>
          </cell>
          <cell r="AF158">
            <v>-3.6724623732444501E-3</v>
          </cell>
          <cell r="AG158">
            <v>-5.8293905882634903E-3</v>
          </cell>
          <cell r="BJ158">
            <v>2.6790605906630131E-2</v>
          </cell>
          <cell r="BV158">
            <v>3.1301500446202585E-2</v>
          </cell>
          <cell r="BY158">
            <v>5.8092106352832712E-2</v>
          </cell>
        </row>
        <row r="159">
          <cell r="O159">
            <v>1.1114016689784201</v>
          </cell>
          <cell r="P159">
            <v>1.1242645132622999</v>
          </cell>
          <cell r="Q159">
            <v>1.1217993233213901</v>
          </cell>
          <cell r="U159">
            <v>-1.24737849312219E-2</v>
          </cell>
          <cell r="V159">
            <v>-1.0746955623293899E-3</v>
          </cell>
          <cell r="W159">
            <v>-3.6254941138479302E-3</v>
          </cell>
          <cell r="Y159">
            <v>1.1114016689784201</v>
          </cell>
          <cell r="Z159">
            <v>1.1242645132622999</v>
          </cell>
          <cell r="AA159">
            <v>1.1217993233213901</v>
          </cell>
          <cell r="AE159">
            <v>-1.24737849312219E-2</v>
          </cell>
          <cell r="AF159">
            <v>-1.0746955623293899E-3</v>
          </cell>
          <cell r="AG159">
            <v>-3.6254941138479302E-3</v>
          </cell>
          <cell r="BJ159">
            <v>2.6790605906630131E-2</v>
          </cell>
          <cell r="BV159">
            <v>3.1301500446202585E-2</v>
          </cell>
          <cell r="BY159">
            <v>5.8092106352832712E-2</v>
          </cell>
        </row>
        <row r="160">
          <cell r="O160">
            <v>1.1114016689784201</v>
          </cell>
          <cell r="P160">
            <v>1.12509327736418</v>
          </cell>
          <cell r="Q160">
            <v>1.1220025285084601</v>
          </cell>
          <cell r="U160">
            <v>-1.1480736190230101E-2</v>
          </cell>
          <cell r="V160">
            <v>2.6336126223153901E-5</v>
          </cell>
          <cell r="W160">
            <v>-2.1687848588967601E-3</v>
          </cell>
          <cell r="Y160">
            <v>1.1114016689784201</v>
          </cell>
          <cell r="Z160">
            <v>1.12509327736418</v>
          </cell>
          <cell r="AA160">
            <v>1.1220025285084601</v>
          </cell>
          <cell r="AE160">
            <v>-1.1480736190230101E-2</v>
          </cell>
          <cell r="AF160">
            <v>2.6336126223153901E-5</v>
          </cell>
          <cell r="AG160">
            <v>-2.1687848588967601E-3</v>
          </cell>
          <cell r="BJ160">
            <v>2.6790605906630131E-2</v>
          </cell>
          <cell r="BV160">
            <v>3.1301500446202585E-2</v>
          </cell>
          <cell r="BY160">
            <v>5.8092106352832712E-2</v>
          </cell>
        </row>
        <row r="161">
          <cell r="O161">
            <v>1.1114016689784201</v>
          </cell>
          <cell r="P161">
            <v>1.1250876680055999</v>
          </cell>
          <cell r="Q161">
            <v>1.12216639331713</v>
          </cell>
          <cell r="U161">
            <v>-1.01023323370498E-2</v>
          </cell>
          <cell r="V161">
            <v>2.1416295421333299E-3</v>
          </cell>
          <cell r="W161">
            <v>-6.0925521917770198E-4</v>
          </cell>
          <cell r="Y161">
            <v>1.1114016689784201</v>
          </cell>
          <cell r="Z161">
            <v>1.1250876680055999</v>
          </cell>
          <cell r="AA161">
            <v>1.12216639331713</v>
          </cell>
          <cell r="AE161">
            <v>-1.01023323370498E-2</v>
          </cell>
          <cell r="AF161">
            <v>2.1416295421333299E-3</v>
          </cell>
          <cell r="AG161">
            <v>-6.0925521917770198E-4</v>
          </cell>
          <cell r="BJ161">
            <v>2.6790605906630131E-2</v>
          </cell>
          <cell r="BV161">
            <v>3.1301500446202585E-2</v>
          </cell>
          <cell r="BY161">
            <v>5.8092106352832712E-2</v>
          </cell>
        </row>
        <row r="162">
          <cell r="O162">
            <v>1.1114016689784201</v>
          </cell>
          <cell r="P162">
            <v>1.1248732627572799</v>
          </cell>
          <cell r="Q162">
            <v>1.1226154028502799</v>
          </cell>
          <cell r="U162">
            <v>-1.10238576021206E-2</v>
          </cell>
          <cell r="V162">
            <v>1.21511858149612E-3</v>
          </cell>
          <cell r="W162">
            <v>-1.3847444106076601E-3</v>
          </cell>
          <cell r="Y162">
            <v>1.1114016689784201</v>
          </cell>
          <cell r="Z162">
            <v>1.1248732627572799</v>
          </cell>
          <cell r="AA162">
            <v>1.1226154028502799</v>
          </cell>
          <cell r="AE162">
            <v>-1.10238576021206E-2</v>
          </cell>
          <cell r="AF162">
            <v>1.21511858149612E-3</v>
          </cell>
          <cell r="AG162">
            <v>-1.3847444106076601E-3</v>
          </cell>
          <cell r="BJ162">
            <v>2.6790605906630131E-2</v>
          </cell>
          <cell r="BV162">
            <v>3.1301500446202585E-2</v>
          </cell>
          <cell r="BY162">
            <v>5.8092106352832712E-2</v>
          </cell>
        </row>
        <row r="163">
          <cell r="O163">
            <v>1.1114016689784201</v>
          </cell>
          <cell r="P163">
            <v>1.12477253824062</v>
          </cell>
          <cell r="Q163">
            <v>1.12281114480809</v>
          </cell>
          <cell r="U163">
            <v>-9.3745214813504597E-3</v>
          </cell>
          <cell r="V163">
            <v>2.6738689493914099E-3</v>
          </cell>
          <cell r="W163">
            <v>6.6463909106793495E-4</v>
          </cell>
          <cell r="Y163">
            <v>1.1114016689784201</v>
          </cell>
          <cell r="Z163">
            <v>1.12477253824062</v>
          </cell>
          <cell r="AA163">
            <v>1.12281114480809</v>
          </cell>
          <cell r="AE163">
            <v>-9.3745214813504597E-3</v>
          </cell>
          <cell r="AF163">
            <v>2.6738689493914099E-3</v>
          </cell>
          <cell r="AG163">
            <v>6.6463909106793495E-4</v>
          </cell>
          <cell r="BJ163">
            <v>2.6790605906630131E-2</v>
          </cell>
          <cell r="BV163">
            <v>3.1301500446202585E-2</v>
          </cell>
          <cell r="BY163">
            <v>5.8092106352832712E-2</v>
          </cell>
        </row>
        <row r="164">
          <cell r="O164">
            <v>1.1114016689784201</v>
          </cell>
          <cell r="P164">
            <v>1.1239660669700999</v>
          </cell>
          <cell r="Q164">
            <v>1.12283475524439</v>
          </cell>
          <cell r="U164">
            <v>-6.3053852065481503E-3</v>
          </cell>
          <cell r="V164">
            <v>5.6534582237880498E-3</v>
          </cell>
          <cell r="W164">
            <v>3.9081226038258704E-3</v>
          </cell>
          <cell r="Y164">
            <v>1.1114016689784201</v>
          </cell>
          <cell r="Z164">
            <v>1.1239660669700999</v>
          </cell>
          <cell r="AA164">
            <v>1.12283475524439</v>
          </cell>
          <cell r="AE164">
            <v>-6.3053852065481503E-3</v>
          </cell>
          <cell r="AF164">
            <v>5.6534582237880498E-3</v>
          </cell>
          <cell r="AG164">
            <v>3.9081226038258704E-3</v>
          </cell>
          <cell r="BJ164">
            <v>2.6790605906630131E-2</v>
          </cell>
          <cell r="BV164">
            <v>3.1301500446202585E-2</v>
          </cell>
          <cell r="BY164">
            <v>5.8092106352832712E-2</v>
          </cell>
        </row>
        <row r="165">
          <cell r="O165">
            <v>1.1114016689784201</v>
          </cell>
          <cell r="P165">
            <v>1.1226068552889401</v>
          </cell>
          <cell r="Q165">
            <v>1.1222901563786001</v>
          </cell>
          <cell r="U165">
            <v>-1.3597338034910299E-3</v>
          </cell>
          <cell r="V165">
            <v>9.8818441312218102E-3</v>
          </cell>
          <cell r="W165">
            <v>8.8748017533355796E-3</v>
          </cell>
          <cell r="Y165">
            <v>1.1114016689784201</v>
          </cell>
          <cell r="Z165">
            <v>1.1226068552889401</v>
          </cell>
          <cell r="AA165">
            <v>1.1222901563786001</v>
          </cell>
          <cell r="AE165">
            <v>-1.3597338034910299E-3</v>
          </cell>
          <cell r="AF165">
            <v>9.8818441312218102E-3</v>
          </cell>
          <cell r="AG165">
            <v>8.8748017533355796E-3</v>
          </cell>
          <cell r="BJ165">
            <v>2.6790605906630131E-2</v>
          </cell>
          <cell r="BV165">
            <v>3.1301500446202585E-2</v>
          </cell>
          <cell r="BY165">
            <v>5.8092106352832712E-2</v>
          </cell>
        </row>
        <row r="166">
          <cell r="O166">
            <v>1.1114016689784201</v>
          </cell>
          <cell r="P166">
            <v>1.12176077280016</v>
          </cell>
          <cell r="Q166">
            <v>1.1220243948659301</v>
          </cell>
          <cell r="U166">
            <v>-3.9371419931459803E-3</v>
          </cell>
          <cell r="V166">
            <v>6.0944045790963103E-3</v>
          </cell>
          <cell r="W166">
            <v>5.8122545198280601E-3</v>
          </cell>
          <cell r="Y166">
            <v>1.1114016689784201</v>
          </cell>
          <cell r="Z166">
            <v>1.12176077280016</v>
          </cell>
          <cell r="AA166">
            <v>1.1220243948659301</v>
          </cell>
          <cell r="AE166">
            <v>-3.9371419931459803E-3</v>
          </cell>
          <cell r="AF166">
            <v>6.0944045790963103E-3</v>
          </cell>
          <cell r="AG166">
            <v>5.8122545198280601E-3</v>
          </cell>
          <cell r="BJ166">
            <v>2.6790605906630131E-2</v>
          </cell>
          <cell r="BV166">
            <v>3.1301500446202585E-2</v>
          </cell>
          <cell r="BY166">
            <v>5.8092106352832712E-2</v>
          </cell>
        </row>
        <row r="167">
          <cell r="O167">
            <v>1.1114016689784201</v>
          </cell>
          <cell r="P167">
            <v>1.1210783317328501</v>
          </cell>
          <cell r="Q167">
            <v>1.12216708401244</v>
          </cell>
          <cell r="U167">
            <v>-6.2763962500858696E-3</v>
          </cell>
          <cell r="V167">
            <v>3.0011895910609602E-3</v>
          </cell>
          <cell r="W167">
            <v>3.2361693661104802E-3</v>
          </cell>
          <cell r="Y167">
            <v>1.1114016689784201</v>
          </cell>
          <cell r="Z167">
            <v>1.1210783317328501</v>
          </cell>
          <cell r="AA167">
            <v>1.12216708401244</v>
          </cell>
          <cell r="AE167">
            <v>-6.2763962500858696E-3</v>
          </cell>
          <cell r="AF167">
            <v>3.0011895910609602E-3</v>
          </cell>
          <cell r="AG167">
            <v>3.2361693661104802E-3</v>
          </cell>
          <cell r="BJ167">
            <v>2.6790605906630131E-2</v>
          </cell>
          <cell r="BV167">
            <v>3.1301500446202585E-2</v>
          </cell>
          <cell r="BY167">
            <v>5.8092106352832712E-2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C4E6-7348-460F-B409-6AF19A0481CC}">
  <dimension ref="A1:CZ176"/>
  <sheetViews>
    <sheetView tabSelected="1" topLeftCell="CA1" workbookViewId="0">
      <selection activeCell="CO20" sqref="CO20"/>
    </sheetView>
  </sheetViews>
  <sheetFormatPr defaultRowHeight="14.4" x14ac:dyDescent="0.3"/>
  <cols>
    <col min="1" max="1" width="9.33203125" bestFit="1" customWidth="1"/>
    <col min="2" max="3" width="9.6640625" style="21" bestFit="1" customWidth="1"/>
    <col min="4" max="4" width="10.5546875" style="22" bestFit="1" customWidth="1"/>
    <col min="5" max="5" width="11.6640625" style="22" bestFit="1" customWidth="1"/>
    <col min="6" max="6" width="9.33203125" style="21" bestFit="1" customWidth="1"/>
    <col min="7" max="7" width="17" style="21" bestFit="1" customWidth="1"/>
    <col min="8" max="8" width="10.44140625" style="21" bestFit="1" customWidth="1"/>
    <col min="9" max="9" width="18.21875" style="21" bestFit="1" customWidth="1"/>
    <col min="10" max="10" width="19.44140625" style="21" bestFit="1" customWidth="1"/>
    <col min="11" max="11" width="20.5546875" style="21" bestFit="1" customWidth="1"/>
    <col min="12" max="13" width="9.6640625" style="21" bestFit="1" customWidth="1"/>
    <col min="14" max="14" width="12.33203125" style="23" bestFit="1" customWidth="1"/>
    <col min="15" max="15" width="15.5546875" style="23" bestFit="1" customWidth="1"/>
    <col min="16" max="17" width="19" style="23" bestFit="1" customWidth="1"/>
    <col min="18" max="18" width="10.77734375" style="21" bestFit="1" customWidth="1"/>
    <col min="19" max="20" width="14.21875" style="21" bestFit="1" customWidth="1"/>
    <col min="21" max="21" width="22.21875" style="22" bestFit="1" customWidth="1"/>
    <col min="22" max="23" width="25.6640625" style="22" bestFit="1" customWidth="1"/>
    <col min="24" max="24" width="14.44140625" style="23" bestFit="1" customWidth="1"/>
    <col min="25" max="25" width="17.6640625" style="23" bestFit="1" customWidth="1"/>
    <col min="26" max="27" width="21" style="23" bestFit="1" customWidth="1"/>
    <col min="28" max="28" width="11.77734375" style="21" bestFit="1" customWidth="1"/>
    <col min="29" max="30" width="15.21875" style="21" bestFit="1" customWidth="1"/>
    <col min="31" max="31" width="24.21875" style="22" bestFit="1" customWidth="1"/>
    <col min="32" max="33" width="27.6640625" style="22" bestFit="1" customWidth="1"/>
    <col min="52" max="52" width="7.21875" style="5" bestFit="1" customWidth="1"/>
    <col min="53" max="53" width="6.77734375" style="5" bestFit="1" customWidth="1"/>
    <col min="54" max="54" width="5.77734375" bestFit="1" customWidth="1"/>
    <col min="55" max="55" width="4.5546875" bestFit="1" customWidth="1"/>
    <col min="56" max="56" width="4.88671875" bestFit="1" customWidth="1"/>
    <col min="57" max="57" width="7.33203125" bestFit="1" customWidth="1"/>
    <col min="58" max="58" width="7.77734375" bestFit="1" customWidth="1"/>
    <col min="59" max="59" width="10.5546875" bestFit="1" customWidth="1"/>
    <col min="60" max="60" width="11.6640625" bestFit="1" customWidth="1"/>
    <col min="61" max="61" width="6.77734375" bestFit="1" customWidth="1"/>
    <col min="62" max="62" width="12" bestFit="1" customWidth="1"/>
    <col min="64" max="64" width="7.21875" style="5" bestFit="1" customWidth="1"/>
    <col min="65" max="65" width="6.109375" style="5" bestFit="1" customWidth="1"/>
    <col min="66" max="66" width="4.5546875" bestFit="1" customWidth="1"/>
    <col min="67" max="67" width="5.77734375" bestFit="1" customWidth="1"/>
    <col min="68" max="68" width="4.88671875" bestFit="1" customWidth="1"/>
    <col min="69" max="69" width="7.33203125" bestFit="1" customWidth="1"/>
    <col min="70" max="70" width="7.77734375" bestFit="1" customWidth="1"/>
    <col min="71" max="71" width="10.5546875" bestFit="1" customWidth="1"/>
    <col min="72" max="72" width="11.6640625" bestFit="1" customWidth="1"/>
    <col min="73" max="73" width="6.77734375" bestFit="1" customWidth="1"/>
    <col min="74" max="74" width="12.6640625" bestFit="1" customWidth="1"/>
    <col min="76" max="76" width="6.77734375" bestFit="1" customWidth="1"/>
    <col min="77" max="77" width="12" bestFit="1" customWidth="1"/>
    <col min="90" max="90" width="6.77734375" bestFit="1" customWidth="1"/>
    <col min="91" max="91" width="6.109375" bestFit="1" customWidth="1"/>
    <col min="92" max="98" width="6.77734375" bestFit="1" customWidth="1"/>
    <col min="99" max="99" width="5.21875" bestFit="1" customWidth="1"/>
    <col min="100" max="100" width="4" bestFit="1" customWidth="1"/>
    <col min="101" max="101" width="5.5546875" bestFit="1" customWidth="1"/>
  </cols>
  <sheetData>
    <row r="1" spans="1:104" s="2" customFormat="1" x14ac:dyDescent="0.3">
      <c r="A1" s="2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9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18" t="s">
        <v>27</v>
      </c>
      <c r="AC1" s="18" t="s">
        <v>28</v>
      </c>
      <c r="AD1" s="18" t="s">
        <v>29</v>
      </c>
      <c r="AE1" s="19" t="s">
        <v>30</v>
      </c>
      <c r="AF1" s="19" t="s">
        <v>31</v>
      </c>
      <c r="AG1" s="19" t="s">
        <v>32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Z1" s="3"/>
      <c r="BA1" s="3"/>
      <c r="BB1" s="3"/>
      <c r="BC1" s="3"/>
      <c r="BD1" s="3"/>
      <c r="BE1" s="3"/>
      <c r="BF1" s="3"/>
      <c r="BJ1" s="4">
        <f>BJ167</f>
        <v>1.215524029734778E-2</v>
      </c>
      <c r="BK1" s="3"/>
      <c r="BL1" s="3"/>
      <c r="BM1" s="3"/>
      <c r="BN1" s="3"/>
      <c r="BO1" s="3"/>
      <c r="BP1" s="3"/>
      <c r="BQ1" s="3"/>
      <c r="BR1" s="3"/>
      <c r="BV1" s="4">
        <f>BV167</f>
        <v>-9.9217261894517742E-3</v>
      </c>
      <c r="BW1" s="3"/>
      <c r="BX1" s="3"/>
      <c r="BY1" s="4">
        <f>BY167</f>
        <v>2.2335141078960053E-3</v>
      </c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</row>
    <row r="2" spans="1:104" x14ac:dyDescent="0.3">
      <c r="A2" s="1">
        <v>46024</v>
      </c>
      <c r="B2" s="21">
        <v>29.77</v>
      </c>
      <c r="C2" s="21">
        <v>26.19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29.77</v>
      </c>
      <c r="M2" s="21">
        <v>26.19</v>
      </c>
      <c r="N2" s="23">
        <v>0.87974470943903205</v>
      </c>
      <c r="O2" s="23">
        <v>0.87815704628300895</v>
      </c>
      <c r="X2" s="23">
        <v>0.87974470943903205</v>
      </c>
      <c r="Y2" s="23">
        <v>0.87815704628300895</v>
      </c>
    </row>
    <row r="3" spans="1:104" x14ac:dyDescent="0.3">
      <c r="A3" s="1">
        <v>46027</v>
      </c>
      <c r="B3" s="21">
        <v>29.9</v>
      </c>
      <c r="C3" s="21">
        <v>26.19</v>
      </c>
      <c r="D3" s="22">
        <v>4.3573053689556201E-3</v>
      </c>
      <c r="E3" s="22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29.9</v>
      </c>
      <c r="M3" s="21">
        <v>26.19</v>
      </c>
      <c r="N3" s="23">
        <v>0.87591973244147103</v>
      </c>
      <c r="O3" s="23">
        <v>0.87815704628300895</v>
      </c>
      <c r="R3" s="21">
        <v>26.256895683861899</v>
      </c>
      <c r="U3" s="22">
        <v>2.5509887388728502E-3</v>
      </c>
      <c r="X3" s="23">
        <v>0.87591973244147103</v>
      </c>
      <c r="Y3" s="23">
        <v>0.87815704628300895</v>
      </c>
      <c r="AB3" s="21">
        <v>26.256895683861899</v>
      </c>
      <c r="AE3" s="22">
        <v>2.5509887388728502E-3</v>
      </c>
      <c r="CL3" s="6">
        <f>BJ11</f>
        <v>0.5947287377730347</v>
      </c>
      <c r="CM3" s="7">
        <v>0</v>
      </c>
      <c r="CN3" s="7">
        <f>CM3-0.0025</f>
        <v>-2.5000000000000001E-3</v>
      </c>
      <c r="CO3" s="7">
        <f t="shared" ref="CO3:CT3" si="0">CN3-0.0025</f>
        <v>-5.0000000000000001E-3</v>
      </c>
      <c r="CP3" s="7">
        <f t="shared" si="0"/>
        <v>-7.4999999999999997E-3</v>
      </c>
      <c r="CQ3" s="7">
        <f t="shared" si="0"/>
        <v>-0.01</v>
      </c>
      <c r="CR3" s="7">
        <f t="shared" si="0"/>
        <v>-1.2500000000000001E-2</v>
      </c>
      <c r="CS3" s="7">
        <f t="shared" si="0"/>
        <v>-1.5000000000000001E-2</v>
      </c>
      <c r="CT3" s="7">
        <f t="shared" si="0"/>
        <v>-1.7500000000000002E-2</v>
      </c>
      <c r="CU3" t="s">
        <v>33</v>
      </c>
    </row>
    <row r="4" spans="1:104" x14ac:dyDescent="0.3">
      <c r="A4" s="1">
        <v>46028</v>
      </c>
      <c r="B4" s="21">
        <v>30.1</v>
      </c>
      <c r="C4" s="21">
        <v>26.46</v>
      </c>
      <c r="D4" s="22">
        <v>6.6666913581892896E-3</v>
      </c>
      <c r="E4" s="22">
        <v>1.0256500167189E-2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30.1</v>
      </c>
      <c r="M4" s="21">
        <v>26.46</v>
      </c>
      <c r="N4" s="23">
        <v>0.87906976744186005</v>
      </c>
      <c r="O4" s="23">
        <v>0.87815704628300895</v>
      </c>
      <c r="R4" s="21">
        <v>26.432527093118502</v>
      </c>
      <c r="U4" s="22">
        <v>-1.0388200701268199E-3</v>
      </c>
      <c r="X4" s="23">
        <v>0.87906976744186005</v>
      </c>
      <c r="Y4" s="23">
        <v>0.87815704628300895</v>
      </c>
      <c r="AB4" s="21">
        <v>26.432527093118502</v>
      </c>
      <c r="AE4" s="22">
        <v>-1.0388200701268199E-3</v>
      </c>
      <c r="CL4" s="7">
        <v>0</v>
      </c>
      <c r="CM4" s="8">
        <f t="dataTable" ref="CM4:CT11" dt2D="1" dtr="1" r1="BA20" r2="BA21"/>
        <v>-0.29527729799314378</v>
      </c>
      <c r="CN4" s="8">
        <v>0.31644063504432857</v>
      </c>
      <c r="CO4" s="8">
        <v>9.5566960488695188E-2</v>
      </c>
      <c r="CP4" s="8">
        <v>0.80797310390374089</v>
      </c>
      <c r="CQ4" s="8">
        <v>0.87943548046491149</v>
      </c>
      <c r="CR4" s="8">
        <v>0.76504757334081053</v>
      </c>
      <c r="CS4" s="8">
        <v>1.2357521156970557</v>
      </c>
      <c r="CT4" s="8">
        <v>0.20807413763091986</v>
      </c>
      <c r="CV4" t="s">
        <v>34</v>
      </c>
      <c r="CW4" t="s">
        <v>35</v>
      </c>
    </row>
    <row r="5" spans="1:104" x14ac:dyDescent="0.3">
      <c r="A5" s="1">
        <v>46029</v>
      </c>
      <c r="B5" s="21">
        <v>30.15</v>
      </c>
      <c r="C5" s="21">
        <v>26.41</v>
      </c>
      <c r="D5" s="22">
        <v>1.6597514183642401E-3</v>
      </c>
      <c r="E5" s="22">
        <v>-1.8914323777688201E-3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30.15</v>
      </c>
      <c r="M5" s="21">
        <v>26.41</v>
      </c>
      <c r="N5" s="23">
        <v>0.87595356550580405</v>
      </c>
      <c r="O5" s="23">
        <v>0.87815704628300895</v>
      </c>
      <c r="R5" s="21">
        <v>26.4764349454327</v>
      </c>
      <c r="U5" s="22">
        <v>2.51236372600627E-3</v>
      </c>
      <c r="X5" s="23">
        <v>0.87595356550580405</v>
      </c>
      <c r="Y5" s="23">
        <v>0.87815704628300895</v>
      </c>
      <c r="AB5" s="21">
        <v>26.4764349454327</v>
      </c>
      <c r="AE5" s="22">
        <v>2.51236372600627E-3</v>
      </c>
      <c r="CL5" s="7">
        <f>CL4-0.0025</f>
        <v>-2.5000000000000001E-3</v>
      </c>
      <c r="CM5" s="8">
        <v>-0.29527729799314378</v>
      </c>
      <c r="CN5" s="8">
        <v>0.91592858905605357</v>
      </c>
      <c r="CO5" s="8">
        <v>0.24610980370919566</v>
      </c>
      <c r="CP5" s="8">
        <v>0.62241104195555752</v>
      </c>
      <c r="CQ5" s="8">
        <v>0.73546433516258647</v>
      </c>
      <c r="CR5" s="10">
        <v>0.5947287377730347</v>
      </c>
      <c r="CS5" s="8">
        <v>1.060598180151298</v>
      </c>
      <c r="CT5" s="8">
        <v>-2.1787005867467457E-2</v>
      </c>
      <c r="CV5" t="s">
        <v>36</v>
      </c>
      <c r="CW5" t="s">
        <v>37</v>
      </c>
    </row>
    <row r="6" spans="1:104" x14ac:dyDescent="0.3">
      <c r="A6" s="1">
        <v>46030</v>
      </c>
      <c r="B6" s="21">
        <v>30.26</v>
      </c>
      <c r="C6" s="21">
        <v>26.45</v>
      </c>
      <c r="D6" s="22">
        <v>3.6417851870154598E-3</v>
      </c>
      <c r="E6" s="22">
        <v>1.5134319952674099E-3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30.26</v>
      </c>
      <c r="M6" s="21">
        <v>26.45</v>
      </c>
      <c r="N6" s="23">
        <v>0.87409120951751396</v>
      </c>
      <c r="O6" s="23">
        <v>0.87815704628300895</v>
      </c>
      <c r="R6" s="21">
        <v>26.5730322205238</v>
      </c>
      <c r="U6" s="22">
        <v>4.6407169177543001E-3</v>
      </c>
      <c r="X6" s="23">
        <v>0.87409120951751396</v>
      </c>
      <c r="Y6" s="23">
        <v>0.87815704628300895</v>
      </c>
      <c r="AB6" s="21">
        <v>26.5730322205238</v>
      </c>
      <c r="AE6" s="22">
        <v>4.6407169177543001E-3</v>
      </c>
      <c r="CL6" s="7">
        <f t="shared" ref="CL6:CL11" si="1">CL5-0.0025</f>
        <v>-5.0000000000000001E-3</v>
      </c>
      <c r="CM6" s="8">
        <v>-0.29527729799314378</v>
      </c>
      <c r="CN6" s="10">
        <v>0.91592858905605357</v>
      </c>
      <c r="CO6" s="10">
        <v>0.60040222465588911</v>
      </c>
      <c r="CP6" s="10">
        <v>1.1007770147612346</v>
      </c>
      <c r="CQ6" s="8">
        <v>0.73546433516258647</v>
      </c>
      <c r="CR6" s="10">
        <v>0.5947287377730347</v>
      </c>
      <c r="CS6" s="10">
        <v>1.060598180151298</v>
      </c>
      <c r="CT6" s="10">
        <v>-2.1787005867467457E-2</v>
      </c>
    </row>
    <row r="7" spans="1:104" x14ac:dyDescent="0.3">
      <c r="A7" s="1">
        <v>46031</v>
      </c>
      <c r="B7" s="21">
        <v>30.2</v>
      </c>
      <c r="C7" s="21">
        <v>26.47</v>
      </c>
      <c r="D7" s="22">
        <v>-1.9847839793860301E-3</v>
      </c>
      <c r="E7" s="22">
        <v>7.5585793470143005E-4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30.2</v>
      </c>
      <c r="M7" s="21">
        <v>26.47</v>
      </c>
      <c r="N7" s="23">
        <v>0.87649006622516501</v>
      </c>
      <c r="O7" s="23">
        <v>0.87815704628300895</v>
      </c>
      <c r="R7" s="21">
        <v>26.5203427977468</v>
      </c>
      <c r="U7" s="22">
        <v>1.90007500366687E-3</v>
      </c>
      <c r="X7" s="23">
        <v>0.87649006622516501</v>
      </c>
      <c r="Y7" s="23">
        <v>0.87815704628300895</v>
      </c>
      <c r="AB7" s="21">
        <v>26.5203427977468</v>
      </c>
      <c r="AE7" s="22">
        <v>1.90007500366687E-3</v>
      </c>
      <c r="CL7" s="7">
        <f t="shared" si="1"/>
        <v>-7.4999999999999997E-3</v>
      </c>
      <c r="CM7" s="8">
        <v>-0.29527729799314378</v>
      </c>
      <c r="CN7" s="10">
        <v>0.91592858905605357</v>
      </c>
      <c r="CO7" s="10">
        <v>0.60040222465588911</v>
      </c>
      <c r="CP7" s="10">
        <v>1.1007770147612346</v>
      </c>
      <c r="CQ7" s="10">
        <v>0.73546433516258647</v>
      </c>
      <c r="CR7" s="10">
        <v>0.5947287377730347</v>
      </c>
      <c r="CS7" s="10">
        <v>1.060598180151298</v>
      </c>
      <c r="CT7" s="10">
        <v>-2.1787005867467457E-2</v>
      </c>
    </row>
    <row r="8" spans="1:104" x14ac:dyDescent="0.3">
      <c r="A8" s="1">
        <v>46034</v>
      </c>
      <c r="B8" s="21">
        <v>30.5</v>
      </c>
      <c r="C8" s="21">
        <v>26.54</v>
      </c>
      <c r="D8" s="22">
        <v>9.8847592325419197E-3</v>
      </c>
      <c r="E8" s="22">
        <v>2.6410126650516699E-3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30.5</v>
      </c>
      <c r="M8" s="21">
        <v>26.54</v>
      </c>
      <c r="N8" s="23">
        <v>0.87016393442622897</v>
      </c>
      <c r="O8" s="23">
        <v>0.87815704628300895</v>
      </c>
      <c r="R8" s="21">
        <v>26.7837899116317</v>
      </c>
      <c r="U8" s="22">
        <v>9.1438215711571406E-3</v>
      </c>
      <c r="X8" s="23">
        <v>0.87016393442622897</v>
      </c>
      <c r="Y8" s="23">
        <v>0.87815704628300895</v>
      </c>
      <c r="AB8" s="21">
        <v>26.7837899116317</v>
      </c>
      <c r="AE8" s="22">
        <v>9.1438215711571406E-3</v>
      </c>
      <c r="CL8" s="7">
        <f t="shared" si="1"/>
        <v>-0.01</v>
      </c>
      <c r="CM8" s="8">
        <v>-0.29527729799314378</v>
      </c>
      <c r="CN8" s="10">
        <v>0.91592858905605357</v>
      </c>
      <c r="CO8" s="10">
        <v>0.60040222465588911</v>
      </c>
      <c r="CP8" s="10">
        <v>1.1007770147612346</v>
      </c>
      <c r="CQ8" s="10">
        <v>0.20625259335324583</v>
      </c>
      <c r="CR8" s="10">
        <v>-6.297434288547285E-2</v>
      </c>
      <c r="CS8" s="10">
        <v>0.43953801688419025</v>
      </c>
      <c r="CT8" s="10">
        <v>-2.1787005867467457E-2</v>
      </c>
    </row>
    <row r="9" spans="1:104" x14ac:dyDescent="0.3">
      <c r="A9" s="1">
        <v>46035</v>
      </c>
      <c r="B9" s="21">
        <v>30.61</v>
      </c>
      <c r="C9" s="21">
        <v>26.63</v>
      </c>
      <c r="D9" s="22">
        <v>3.6000693439551899E-3</v>
      </c>
      <c r="E9" s="22">
        <v>3.3853709217794401E-3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30.61</v>
      </c>
      <c r="M9" s="21">
        <v>26.63</v>
      </c>
      <c r="N9" s="23">
        <v>0.86997713165632096</v>
      </c>
      <c r="O9" s="23">
        <v>0.87815704628300895</v>
      </c>
      <c r="R9" s="21">
        <v>26.880387186722899</v>
      </c>
      <c r="U9" s="22">
        <v>9.3585199933331007E-3</v>
      </c>
      <c r="X9" s="23">
        <v>0.86997713165632096</v>
      </c>
      <c r="Y9" s="23">
        <v>0.87815704628300895</v>
      </c>
      <c r="AB9" s="21">
        <v>26.880387186722899</v>
      </c>
      <c r="AE9" s="22">
        <v>9.3585199933331007E-3</v>
      </c>
      <c r="BJ9" s="11">
        <f>AVERAGE(BI22:BI200)</f>
        <v>8.3255070529779311E-5</v>
      </c>
      <c r="BV9" s="11">
        <f>AVERAGE(BU22:BU200)</f>
        <v>-6.7957028694875171E-5</v>
      </c>
      <c r="BY9" s="11">
        <f>AVERAGE(BX22:BX200)</f>
        <v>1.5298041834904147E-5</v>
      </c>
      <c r="CL9" s="7">
        <f t="shared" si="1"/>
        <v>-1.2500000000000001E-2</v>
      </c>
      <c r="CM9" s="8">
        <v>-0.29527729799314378</v>
      </c>
      <c r="CN9" s="10">
        <v>0.91592858905605357</v>
      </c>
      <c r="CO9" s="10">
        <v>0.60040222465588911</v>
      </c>
      <c r="CP9" s="10">
        <v>1.1007770147612346</v>
      </c>
      <c r="CQ9" s="10">
        <v>0.20625259335324583</v>
      </c>
      <c r="CR9" s="10">
        <v>-6.297434288547285E-2</v>
      </c>
      <c r="CS9" s="10">
        <v>0.43953801688419025</v>
      </c>
      <c r="CT9" s="10">
        <v>-2.1787005867467457E-2</v>
      </c>
    </row>
    <row r="10" spans="1:104" x14ac:dyDescent="0.3">
      <c r="A10" s="1">
        <v>46036</v>
      </c>
      <c r="B10" s="21">
        <v>30.69</v>
      </c>
      <c r="C10" s="21">
        <v>26.79</v>
      </c>
      <c r="D10" s="22">
        <v>2.6101156743238E-3</v>
      </c>
      <c r="E10" s="22">
        <v>5.9902837306764203E-3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30.69</v>
      </c>
      <c r="M10" s="21">
        <v>26.79</v>
      </c>
      <c r="N10" s="23">
        <v>0.87292277614858205</v>
      </c>
      <c r="O10" s="23">
        <v>0.87815704628300895</v>
      </c>
      <c r="R10" s="21">
        <v>26.950639750425498</v>
      </c>
      <c r="U10" s="22">
        <v>5.9783519369802397E-3</v>
      </c>
      <c r="X10" s="23">
        <v>0.87292277614858205</v>
      </c>
      <c r="Y10" s="23">
        <v>0.87815704628300895</v>
      </c>
      <c r="AB10" s="21">
        <v>26.950639750425498</v>
      </c>
      <c r="AE10" s="22">
        <v>5.9783519369802397E-3</v>
      </c>
      <c r="AZ10" s="12"/>
      <c r="BJ10" s="11">
        <f>STDEV(BI22:BI200)</f>
        <v>2.2222455181676523E-3</v>
      </c>
      <c r="BL10" s="12"/>
      <c r="BV10" s="11">
        <f>STDEV(BU22:BU200)</f>
        <v>1.4816923369132308E-3</v>
      </c>
      <c r="BY10" s="11">
        <f>STDEV(BX22:BX200)</f>
        <v>2.6730471183437992E-3</v>
      </c>
      <c r="CL10" s="7">
        <f t="shared" si="1"/>
        <v>-1.5000000000000001E-2</v>
      </c>
      <c r="CM10" s="8">
        <v>-0.29527729799314378</v>
      </c>
      <c r="CN10" s="10">
        <v>0.91592858905605357</v>
      </c>
      <c r="CO10" s="10">
        <v>0.60040222465588911</v>
      </c>
      <c r="CP10" s="10">
        <v>1.1007770147612346</v>
      </c>
      <c r="CQ10" s="10">
        <v>0.20625259335324583</v>
      </c>
      <c r="CR10" s="10">
        <v>-6.297434288547285E-2</v>
      </c>
      <c r="CS10" s="10">
        <v>0.43953801688419025</v>
      </c>
      <c r="CT10" s="10">
        <v>-2.1787005867467457E-2</v>
      </c>
    </row>
    <row r="11" spans="1:104" x14ac:dyDescent="0.3">
      <c r="A11" s="1">
        <v>46037</v>
      </c>
      <c r="B11" s="21">
        <v>30.7</v>
      </c>
      <c r="C11" s="21">
        <v>26.7</v>
      </c>
      <c r="D11" s="22">
        <v>3.2578596150651599E-4</v>
      </c>
      <c r="E11" s="22">
        <v>-3.3651181503135501E-3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30.7</v>
      </c>
      <c r="M11" s="21">
        <v>26.7</v>
      </c>
      <c r="N11" s="23">
        <v>0.86970684039087898</v>
      </c>
      <c r="O11" s="23">
        <v>0.87815704628300895</v>
      </c>
      <c r="P11" s="23">
        <v>0.87440397331928599</v>
      </c>
      <c r="R11" s="21">
        <v>26.9594213208883</v>
      </c>
      <c r="U11" s="22">
        <v>9.6692560488003797E-3</v>
      </c>
      <c r="X11" s="23">
        <v>0.86970684039087898</v>
      </c>
      <c r="Y11" s="23">
        <v>0.87815704628300895</v>
      </c>
      <c r="Z11" s="23">
        <v>0.87440397331928599</v>
      </c>
      <c r="AB11" s="21">
        <v>26.9594213208883</v>
      </c>
      <c r="AE11" s="22">
        <v>9.6692560488003797E-3</v>
      </c>
      <c r="BJ11">
        <f>SQRT(252)*BJ9/BJ10</f>
        <v>0.5947287377730347</v>
      </c>
      <c r="BV11">
        <f>SQRT(252)*BV9/BV10</f>
        <v>-0.7280758357976812</v>
      </c>
      <c r="BY11">
        <f>SQRT(252)*BY9/BY10</f>
        <v>9.0850955743338735E-2</v>
      </c>
      <c r="CL11" s="7">
        <f t="shared" si="1"/>
        <v>-1.7500000000000002E-2</v>
      </c>
      <c r="CM11" s="8">
        <v>-0.29527729799314378</v>
      </c>
      <c r="CN11" s="10">
        <v>0.91592858905605357</v>
      </c>
      <c r="CO11" s="10">
        <v>0.60040222465588911</v>
      </c>
      <c r="CP11" s="10">
        <v>1.1007770147612346</v>
      </c>
      <c r="CQ11" s="10">
        <v>0.20625259335324583</v>
      </c>
      <c r="CR11" s="10">
        <v>-6.297434288547285E-2</v>
      </c>
      <c r="CS11" s="10">
        <v>0.43953801688419025</v>
      </c>
      <c r="CT11" s="10">
        <v>-0.49772187938721002</v>
      </c>
    </row>
    <row r="12" spans="1:104" x14ac:dyDescent="0.3">
      <c r="A12" s="1">
        <v>46038</v>
      </c>
      <c r="B12" s="21">
        <v>30.29</v>
      </c>
      <c r="C12" s="21">
        <v>26.25</v>
      </c>
      <c r="D12" s="22">
        <v>-1.34450295540055E-2</v>
      </c>
      <c r="E12" s="22">
        <v>-1.6997576368571E-2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30.29</v>
      </c>
      <c r="M12" s="21">
        <v>26.25</v>
      </c>
      <c r="N12" s="23">
        <v>0.86662264773852704</v>
      </c>
      <c r="O12" s="23">
        <v>0.87815704628300895</v>
      </c>
      <c r="P12" s="23">
        <v>0.87309176714923498</v>
      </c>
      <c r="R12" s="21">
        <v>26.5993769319123</v>
      </c>
      <c r="S12" s="21">
        <v>26.485696351841099</v>
      </c>
      <c r="U12" s="22">
        <v>1.32218028633658E-2</v>
      </c>
      <c r="V12" s="22">
        <v>8.9388379236292493E-3</v>
      </c>
      <c r="X12" s="23">
        <v>0.86662264773852704</v>
      </c>
      <c r="Y12" s="23">
        <v>0.87815704628300895</v>
      </c>
      <c r="Z12" s="23">
        <v>0.87309176714923498</v>
      </c>
      <c r="AB12" s="21">
        <v>26.5993769319123</v>
      </c>
      <c r="AC12" s="21">
        <v>26.485696351841099</v>
      </c>
      <c r="AE12" s="22">
        <v>1.32218028633658E-2</v>
      </c>
      <c r="AF12" s="22">
        <v>8.9388379236292493E-3</v>
      </c>
      <c r="CL12" t="s">
        <v>38</v>
      </c>
    </row>
    <row r="13" spans="1:104" x14ac:dyDescent="0.3">
      <c r="A13" s="1">
        <v>46042</v>
      </c>
      <c r="B13" s="21">
        <v>30.09</v>
      </c>
      <c r="C13" s="21">
        <v>25.87</v>
      </c>
      <c r="D13" s="22">
        <v>-6.6247343971920104E-3</v>
      </c>
      <c r="E13" s="22">
        <v>-1.4581992839694901E-2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30.09</v>
      </c>
      <c r="M13" s="21">
        <v>25.87</v>
      </c>
      <c r="N13" s="23">
        <v>0.85975407111997304</v>
      </c>
      <c r="O13" s="23">
        <v>0.87815704628300895</v>
      </c>
      <c r="P13" s="23">
        <v>0.87147520101708498</v>
      </c>
      <c r="R13" s="21">
        <v>26.4237455226557</v>
      </c>
      <c r="S13" s="21">
        <v>26.271331273520499</v>
      </c>
      <c r="U13" s="22">
        <v>2.1179061305868802E-2</v>
      </c>
      <c r="V13" s="22">
        <v>1.53942827865091E-2</v>
      </c>
      <c r="X13" s="23">
        <v>0.85975407111997304</v>
      </c>
      <c r="Y13" s="23">
        <v>0.87815704628300895</v>
      </c>
      <c r="Z13" s="23">
        <v>0.87147520101708498</v>
      </c>
      <c r="AB13" s="21">
        <v>26.4237455226557</v>
      </c>
      <c r="AC13" s="21">
        <v>26.271331273520499</v>
      </c>
      <c r="AE13" s="22">
        <v>2.1179061305868802E-2</v>
      </c>
      <c r="AF13" s="22">
        <v>1.53942827865091E-2</v>
      </c>
    </row>
    <row r="14" spans="1:104" x14ac:dyDescent="0.3">
      <c r="A14" s="1">
        <v>46043</v>
      </c>
      <c r="B14" s="21">
        <v>30.25</v>
      </c>
      <c r="C14" s="21">
        <v>26.13</v>
      </c>
      <c r="D14" s="22">
        <v>5.3032938348965596E-3</v>
      </c>
      <c r="E14" s="22">
        <v>1.0000083334583101E-2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30.25</v>
      </c>
      <c r="M14" s="21">
        <v>26.13</v>
      </c>
      <c r="N14" s="23">
        <v>0.86380165289256094</v>
      </c>
      <c r="O14" s="23">
        <v>0.87815704628300895</v>
      </c>
      <c r="P14" s="23">
        <v>0.86994838956215603</v>
      </c>
      <c r="R14" s="21">
        <v>26.564250650060998</v>
      </c>
      <c r="S14" s="21">
        <v>26.362124830766799</v>
      </c>
      <c r="U14" s="22">
        <v>1.6482271806182201E-2</v>
      </c>
      <c r="V14" s="22">
        <v>8.8442350005758195E-3</v>
      </c>
      <c r="X14" s="23">
        <v>0.86380165289256094</v>
      </c>
      <c r="Y14" s="23">
        <v>0.87815704628300895</v>
      </c>
      <c r="Z14" s="23">
        <v>0.86994838956215603</v>
      </c>
      <c r="AB14" s="21">
        <v>26.564250650060998</v>
      </c>
      <c r="AC14" s="21">
        <v>26.362124830766799</v>
      </c>
      <c r="AE14" s="22">
        <v>1.6482271806182201E-2</v>
      </c>
      <c r="AF14" s="22">
        <v>8.8442350005758195E-3</v>
      </c>
      <c r="CL14" s="6">
        <f>BV11</f>
        <v>-0.7280758357976812</v>
      </c>
      <c r="CM14" s="7">
        <v>0</v>
      </c>
      <c r="CN14" s="13">
        <f>CM14+0.0025</f>
        <v>2.5000000000000001E-3</v>
      </c>
      <c r="CO14" s="13">
        <f t="shared" ref="CO14:CT14" si="2">CN14+0.0025</f>
        <v>5.0000000000000001E-3</v>
      </c>
      <c r="CP14" s="13">
        <f t="shared" si="2"/>
        <v>7.4999999999999997E-3</v>
      </c>
      <c r="CQ14" s="13">
        <f t="shared" si="2"/>
        <v>0.01</v>
      </c>
      <c r="CR14" s="13">
        <f t="shared" si="2"/>
        <v>1.2500000000000001E-2</v>
      </c>
      <c r="CS14" s="13">
        <f t="shared" si="2"/>
        <v>1.5000000000000001E-2</v>
      </c>
      <c r="CT14" s="13">
        <f t="shared" si="2"/>
        <v>1.7500000000000002E-2</v>
      </c>
      <c r="CU14" t="s">
        <v>33</v>
      </c>
    </row>
    <row r="15" spans="1:104" x14ac:dyDescent="0.3">
      <c r="A15" s="1">
        <v>46044</v>
      </c>
      <c r="B15" s="21">
        <v>30.95</v>
      </c>
      <c r="C15" s="21">
        <v>26.73</v>
      </c>
      <c r="D15" s="22">
        <v>2.2876814653754601E-2</v>
      </c>
      <c r="E15" s="22">
        <v>2.2702450618306499E-2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30.95</v>
      </c>
      <c r="M15" s="21">
        <v>26.73</v>
      </c>
      <c r="N15" s="23">
        <v>0.86365105008077503</v>
      </c>
      <c r="O15" s="23">
        <v>0.87815704628300895</v>
      </c>
      <c r="P15" s="23">
        <v>0.86871813801965303</v>
      </c>
      <c r="R15" s="21">
        <v>27.178960582459101</v>
      </c>
      <c r="S15" s="21">
        <v>26.924902656948699</v>
      </c>
      <c r="U15" s="22">
        <v>1.6656635841630098E-2</v>
      </c>
      <c r="V15" s="22">
        <v>7.26507754428069E-3</v>
      </c>
      <c r="X15" s="23">
        <v>0.86365105008077503</v>
      </c>
      <c r="Y15" s="23">
        <v>0.87815704628300895</v>
      </c>
      <c r="Z15" s="23">
        <v>0.86871813801965303</v>
      </c>
      <c r="AB15" s="21">
        <v>27.178960582459101</v>
      </c>
      <c r="AC15" s="21">
        <v>26.924902656948699</v>
      </c>
      <c r="AE15" s="22">
        <v>1.6656635841630098E-2</v>
      </c>
      <c r="AF15" s="22">
        <v>7.26507754428069E-3</v>
      </c>
      <c r="CL15" s="7">
        <v>0</v>
      </c>
      <c r="CM15" s="8">
        <f t="dataTable" ref="CM15:CT22" dt2D="1" dtr="1" r1="BM20" r2="BM21"/>
        <v>0.77926064123667882</v>
      </c>
      <c r="CN15" s="10">
        <v>0.82680480638243914</v>
      </c>
      <c r="CO15" s="10">
        <v>-0.59513744990733819</v>
      </c>
      <c r="CP15" s="10">
        <v>-0.75985741243632277</v>
      </c>
      <c r="CQ15" s="10">
        <v>-0.70663322381435845</v>
      </c>
      <c r="CR15" s="10">
        <v>-0.89479009966984846</v>
      </c>
      <c r="CS15" s="10">
        <v>-0.89479009966984846</v>
      </c>
      <c r="CT15" s="10">
        <v>-0.52731809631872206</v>
      </c>
      <c r="CV15" t="s">
        <v>34</v>
      </c>
      <c r="CW15" t="s">
        <v>39</v>
      </c>
    </row>
    <row r="16" spans="1:104" x14ac:dyDescent="0.3">
      <c r="A16" s="1">
        <v>46045</v>
      </c>
      <c r="B16" s="21">
        <v>31.1</v>
      </c>
      <c r="C16" s="21">
        <v>26.83</v>
      </c>
      <c r="D16" s="22">
        <v>4.8348200545833102E-3</v>
      </c>
      <c r="E16" s="22">
        <v>3.7341342867051202E-3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31.1</v>
      </c>
      <c r="M16" s="21">
        <v>26.83</v>
      </c>
      <c r="N16" s="23">
        <v>0.86270096463022405</v>
      </c>
      <c r="O16" s="23">
        <v>0.87815704628300895</v>
      </c>
      <c r="P16" s="23">
        <v>0.86757911353092398</v>
      </c>
      <c r="R16" s="21">
        <v>27.310684139401499</v>
      </c>
      <c r="S16" s="21">
        <v>27.017134092411201</v>
      </c>
      <c r="U16" s="22">
        <v>1.7757321609508599E-2</v>
      </c>
      <c r="V16" s="22">
        <v>6.95059631112131E-3</v>
      </c>
      <c r="X16" s="23">
        <v>0.86270096463022405</v>
      </c>
      <c r="Y16" s="23">
        <v>0.87815704628300895</v>
      </c>
      <c r="Z16" s="23">
        <v>0.86757911353092398</v>
      </c>
      <c r="AB16" s="21">
        <v>27.310684139401499</v>
      </c>
      <c r="AC16" s="21">
        <v>27.017134092411201</v>
      </c>
      <c r="AE16" s="22">
        <v>1.7757321609508599E-2</v>
      </c>
      <c r="AF16" s="22">
        <v>6.95059631112131E-3</v>
      </c>
      <c r="CL16" s="7">
        <f>CL15+0.0025</f>
        <v>2.5000000000000001E-3</v>
      </c>
      <c r="CM16" s="8">
        <v>0.77926064123667882</v>
      </c>
      <c r="CN16" s="10">
        <v>0.36244804520412438</v>
      </c>
      <c r="CO16" s="10">
        <v>-0.55995731933353743</v>
      </c>
      <c r="CP16" s="10">
        <v>-0.76304953078170334</v>
      </c>
      <c r="CQ16" s="10">
        <v>-0.71059279372085571</v>
      </c>
      <c r="CR16" s="10">
        <v>-0.83091499123211487</v>
      </c>
      <c r="CS16" s="10">
        <v>-0.83091499123211487</v>
      </c>
      <c r="CT16" s="10">
        <v>-0.43418712451876457</v>
      </c>
      <c r="CV16" t="s">
        <v>36</v>
      </c>
      <c r="CW16" t="s">
        <v>40</v>
      </c>
    </row>
    <row r="17" spans="1:98" x14ac:dyDescent="0.3">
      <c r="A17" s="1">
        <v>46048</v>
      </c>
      <c r="B17" s="21">
        <v>31.01</v>
      </c>
      <c r="C17" s="21">
        <v>26.9</v>
      </c>
      <c r="D17" s="22">
        <v>-2.8980860728308601E-3</v>
      </c>
      <c r="E17" s="22">
        <v>2.6056221702606699E-3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31.01</v>
      </c>
      <c r="M17" s="21">
        <v>26.9</v>
      </c>
      <c r="N17" s="23">
        <v>0.86746210899709697</v>
      </c>
      <c r="O17" s="23">
        <v>0.87815704628300895</v>
      </c>
      <c r="P17" s="23">
        <v>0.86667631780811705</v>
      </c>
      <c r="R17" s="21">
        <v>27.231650005236101</v>
      </c>
      <c r="S17" s="21">
        <v>26.903628310593898</v>
      </c>
      <c r="U17" s="22">
        <v>1.22536133664169E-2</v>
      </c>
      <c r="V17" s="22">
        <v>1.3487233903690301E-4</v>
      </c>
      <c r="X17" s="23">
        <v>0.86746210899709697</v>
      </c>
      <c r="Y17" s="23">
        <v>0.87815704628300895</v>
      </c>
      <c r="Z17" s="23">
        <v>0.86667631780811705</v>
      </c>
      <c r="AB17" s="21">
        <v>27.231650005236101</v>
      </c>
      <c r="AC17" s="21">
        <v>26.903628310593898</v>
      </c>
      <c r="AE17" s="22">
        <v>1.22536133664169E-2</v>
      </c>
      <c r="AF17" s="22">
        <v>1.3487233903690301E-4</v>
      </c>
      <c r="CL17" s="7">
        <f t="shared" ref="CL17:CL22" si="3">CL16+0.0025</f>
        <v>5.0000000000000001E-3</v>
      </c>
      <c r="CM17" s="8">
        <v>0.77926064123667882</v>
      </c>
      <c r="CN17" s="10">
        <v>0.36244804520412438</v>
      </c>
      <c r="CO17" s="10">
        <v>0.17122120800186044</v>
      </c>
      <c r="CP17" s="10">
        <v>-0.23341453061791162</v>
      </c>
      <c r="CQ17" s="10">
        <v>-0.61049793399471763</v>
      </c>
      <c r="CR17" s="10">
        <v>-0.7280758357976812</v>
      </c>
      <c r="CS17" s="10">
        <v>-0.7280758357976812</v>
      </c>
      <c r="CT17" s="10">
        <v>-0.27409992945984896</v>
      </c>
    </row>
    <row r="18" spans="1:98" x14ac:dyDescent="0.3">
      <c r="A18" s="1">
        <v>46049</v>
      </c>
      <c r="B18" s="21">
        <v>30.84</v>
      </c>
      <c r="C18" s="21">
        <v>26.65</v>
      </c>
      <c r="D18" s="22">
        <v>-5.4971844172288396E-3</v>
      </c>
      <c r="E18" s="22">
        <v>-9.3371359959398496E-3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30.84</v>
      </c>
      <c r="M18" s="21">
        <v>26.65</v>
      </c>
      <c r="N18" s="23">
        <v>0.86413748378728905</v>
      </c>
      <c r="O18" s="23">
        <v>0.87815704628300895</v>
      </c>
      <c r="P18" s="23">
        <v>0.86607367274422298</v>
      </c>
      <c r="R18" s="21">
        <v>27.082363307367999</v>
      </c>
      <c r="S18" s="21">
        <v>26.7282976412023</v>
      </c>
      <c r="U18" s="22">
        <v>1.60935649451278E-2</v>
      </c>
      <c r="V18" s="22">
        <v>2.9336903130408698E-3</v>
      </c>
      <c r="X18" s="23">
        <v>0.86413748378728905</v>
      </c>
      <c r="Y18" s="23">
        <v>0.87815704628300895</v>
      </c>
      <c r="Z18" s="23">
        <v>0.86607367274422298</v>
      </c>
      <c r="AB18" s="21">
        <v>27.082363307367999</v>
      </c>
      <c r="AC18" s="21">
        <v>26.7282976412023</v>
      </c>
      <c r="AE18" s="22">
        <v>1.60935649451278E-2</v>
      </c>
      <c r="AF18" s="22">
        <v>2.9336903130408698E-3</v>
      </c>
      <c r="CL18" s="7">
        <f t="shared" si="3"/>
        <v>7.4999999999999997E-3</v>
      </c>
      <c r="CM18" s="8">
        <v>0.77926064123667882</v>
      </c>
      <c r="CN18" s="10">
        <v>0.36244804520412438</v>
      </c>
      <c r="CO18" s="10">
        <v>0.17122120800186044</v>
      </c>
      <c r="CP18" s="10">
        <v>0.37890057355874684</v>
      </c>
      <c r="CQ18" s="10">
        <v>-6.3269115637117346E-2</v>
      </c>
      <c r="CR18" s="10">
        <v>2.7463507231292861E-2</v>
      </c>
      <c r="CS18" s="10">
        <v>2.7463507231292861E-2</v>
      </c>
      <c r="CT18" s="10">
        <v>1.6653514522424291</v>
      </c>
    </row>
    <row r="19" spans="1:98" x14ac:dyDescent="0.3">
      <c r="A19" s="1">
        <v>46050</v>
      </c>
      <c r="B19" s="21">
        <v>30.61</v>
      </c>
      <c r="C19" s="21">
        <v>26.59</v>
      </c>
      <c r="D19" s="22">
        <v>-7.4857957378075702E-3</v>
      </c>
      <c r="E19" s="22">
        <v>-2.2539453569249998E-3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30.61</v>
      </c>
      <c r="M19" s="21">
        <v>26.59</v>
      </c>
      <c r="N19" s="23">
        <v>0.86867036916040496</v>
      </c>
      <c r="O19" s="23">
        <v>0.87815704628300895</v>
      </c>
      <c r="P19" s="23">
        <v>0.86594299649463102</v>
      </c>
      <c r="R19" s="21">
        <v>26.880387186722899</v>
      </c>
      <c r="S19" s="21">
        <v>26.5105151227006</v>
      </c>
      <c r="U19" s="22">
        <v>1.08617145642454E-2</v>
      </c>
      <c r="V19" s="22">
        <v>-2.99375388285128E-3</v>
      </c>
      <c r="X19" s="23">
        <v>0.86867036916040496</v>
      </c>
      <c r="Y19" s="23">
        <v>0.87815704628300895</v>
      </c>
      <c r="Z19" s="23">
        <v>0.86594299649463102</v>
      </c>
      <c r="AB19" s="21">
        <v>26.880387186722899</v>
      </c>
      <c r="AC19" s="21">
        <v>26.5105151227006</v>
      </c>
      <c r="AE19" s="22">
        <v>1.08617145642454E-2</v>
      </c>
      <c r="AF19" s="22">
        <v>-2.99375388285128E-3</v>
      </c>
      <c r="BX19" s="2" t="s">
        <v>41</v>
      </c>
      <c r="BY19" s="2" t="s">
        <v>41</v>
      </c>
      <c r="CL19" s="7">
        <f t="shared" si="3"/>
        <v>0.01</v>
      </c>
      <c r="CM19" s="8">
        <v>0.77926064123667882</v>
      </c>
      <c r="CN19" s="10">
        <v>0.36244804520412438</v>
      </c>
      <c r="CO19" s="10">
        <v>0.17122120800186044</v>
      </c>
      <c r="CP19" s="10">
        <v>0.37890057355874684</v>
      </c>
      <c r="CQ19" s="10">
        <v>-1.7481951000506254E-2</v>
      </c>
      <c r="CR19" s="10">
        <v>0.36234785593408764</v>
      </c>
      <c r="CS19" s="10">
        <v>1.6908532217915413</v>
      </c>
      <c r="CT19" s="10">
        <v>1.6653514522424291</v>
      </c>
    </row>
    <row r="20" spans="1:98" x14ac:dyDescent="0.3">
      <c r="A20" s="1">
        <v>46051</v>
      </c>
      <c r="B20" s="21">
        <v>30.61</v>
      </c>
      <c r="C20" s="21">
        <v>26.77</v>
      </c>
      <c r="D20" s="22">
        <v>0</v>
      </c>
      <c r="E20" s="22">
        <v>6.7466522773327797E-3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30.61</v>
      </c>
      <c r="M20" s="21">
        <v>26.77</v>
      </c>
      <c r="N20" s="23">
        <v>0.87455080039202804</v>
      </c>
      <c r="O20" s="23">
        <v>0.87815704628300895</v>
      </c>
      <c r="P20" s="23">
        <v>0.86610579891897599</v>
      </c>
      <c r="R20" s="21">
        <v>26.880387186722899</v>
      </c>
      <c r="S20" s="21">
        <v>26.506515122700598</v>
      </c>
      <c r="U20" s="22">
        <v>4.1150622869128E-3</v>
      </c>
      <c r="V20" s="22">
        <v>-9.8913010703315998E-3</v>
      </c>
      <c r="X20" s="23">
        <v>0.87455080039202804</v>
      </c>
      <c r="Y20" s="23">
        <v>0.87815704628300895</v>
      </c>
      <c r="Z20" s="23">
        <v>0.86610579891897599</v>
      </c>
      <c r="AB20" s="21">
        <v>26.880387186722899</v>
      </c>
      <c r="AC20" s="21">
        <v>26.506515122700598</v>
      </c>
      <c r="AE20" s="22">
        <v>4.1150622869128E-3</v>
      </c>
      <c r="AF20" s="22">
        <v>-9.8913010703315998E-3</v>
      </c>
      <c r="AZ20" s="14" t="s">
        <v>42</v>
      </c>
      <c r="BA20" s="15">
        <v>-1.2500000000000001E-2</v>
      </c>
      <c r="BB20" s="2" t="s">
        <v>43</v>
      </c>
      <c r="BC20" s="2" t="s">
        <v>44</v>
      </c>
      <c r="BD20" s="2" t="s">
        <v>45</v>
      </c>
      <c r="BE20" s="2" t="s">
        <v>46</v>
      </c>
      <c r="BF20" s="2" t="s">
        <v>47</v>
      </c>
      <c r="BG20" s="2" t="str">
        <f>D1</f>
        <v>NWS log rtn</v>
      </c>
      <c r="BH20" s="2" t="str">
        <f>E1</f>
        <v>NWSA log rtn</v>
      </c>
      <c r="BI20" s="2" t="s">
        <v>48</v>
      </c>
      <c r="BJ20" s="2" t="s">
        <v>49</v>
      </c>
      <c r="BL20" s="14" t="s">
        <v>42</v>
      </c>
      <c r="BM20" s="15">
        <v>1.4999999999999999E-2</v>
      </c>
      <c r="BN20" s="2" t="s">
        <v>44</v>
      </c>
      <c r="BO20" s="2" t="s">
        <v>43</v>
      </c>
      <c r="BP20" s="2" t="s">
        <v>45</v>
      </c>
      <c r="BQ20" s="2" t="s">
        <v>46</v>
      </c>
      <c r="BR20" s="2" t="s">
        <v>47</v>
      </c>
      <c r="BS20" s="4" t="str">
        <f>D1</f>
        <v>NWS log rtn</v>
      </c>
      <c r="BT20" s="4" t="str">
        <f>E1</f>
        <v>NWSA log rtn</v>
      </c>
      <c r="BU20" s="2" t="s">
        <v>48</v>
      </c>
      <c r="BV20" s="2" t="s">
        <v>49</v>
      </c>
      <c r="BX20" s="2" t="s">
        <v>48</v>
      </c>
      <c r="BY20" s="2" t="s">
        <v>49</v>
      </c>
      <c r="CL20" s="7">
        <f t="shared" si="3"/>
        <v>1.2500000000000001E-2</v>
      </c>
      <c r="CM20" s="8">
        <v>0.77926064123667882</v>
      </c>
      <c r="CN20" s="10">
        <v>0.36244804520412438</v>
      </c>
      <c r="CO20" s="10">
        <v>0.17122120800186044</v>
      </c>
      <c r="CP20" s="10">
        <v>0.37890057355874684</v>
      </c>
      <c r="CQ20" s="10">
        <v>-1.7481951000506254E-2</v>
      </c>
      <c r="CR20" s="10">
        <v>1.8647006086285172</v>
      </c>
      <c r="CS20" s="10">
        <v>1.7852274187681048</v>
      </c>
      <c r="CT20" s="10">
        <v>1.0181002285837775</v>
      </c>
    </row>
    <row r="21" spans="1:98" x14ac:dyDescent="0.3">
      <c r="A21" s="1">
        <v>46052</v>
      </c>
      <c r="B21" s="21">
        <v>31.1</v>
      </c>
      <c r="C21" s="21">
        <v>27.03</v>
      </c>
      <c r="D21" s="22">
        <v>1.5881066227867301E-2</v>
      </c>
      <c r="E21" s="22">
        <v>9.6655027560951599E-3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31.1</v>
      </c>
      <c r="M21" s="21">
        <v>27.03</v>
      </c>
      <c r="N21" s="23">
        <v>0.86913183279742701</v>
      </c>
      <c r="O21" s="23">
        <v>0.87815704628300895</v>
      </c>
      <c r="P21" s="23">
        <v>0.86604829815963102</v>
      </c>
      <c r="Q21" s="23">
        <v>0.87022613573945795</v>
      </c>
      <c r="R21" s="21">
        <v>27.310684139401499</v>
      </c>
      <c r="S21" s="21">
        <v>26.935890346380098</v>
      </c>
      <c r="U21" s="22">
        <v>1.0330625758685E-2</v>
      </c>
      <c r="V21" s="22">
        <v>-3.48774933257641E-3</v>
      </c>
      <c r="X21" s="23">
        <v>0.86913183279742701</v>
      </c>
      <c r="Y21" s="23">
        <v>0.87815704628300895</v>
      </c>
      <c r="Z21" s="23">
        <v>0.86604829815963102</v>
      </c>
      <c r="AA21" s="23">
        <v>0.87022613573945795</v>
      </c>
      <c r="AB21" s="21">
        <v>27.310684139401499</v>
      </c>
      <c r="AC21" s="21">
        <v>26.935890346380098</v>
      </c>
      <c r="AE21" s="22">
        <v>1.0330625758685E-2</v>
      </c>
      <c r="AF21" s="22">
        <v>-3.48774933257641E-3</v>
      </c>
      <c r="BA21" s="15">
        <v>-2.5000000000000001E-3</v>
      </c>
      <c r="BE21">
        <f>IF(F22+H22&gt;0,0,1)</f>
        <v>1</v>
      </c>
      <c r="BF21" s="16">
        <v>0</v>
      </c>
      <c r="BM21" s="15">
        <v>5.0000000000000001E-3</v>
      </c>
      <c r="BQ21">
        <f>IF(F22+H22&gt;0,0,1)</f>
        <v>1</v>
      </c>
      <c r="BR21" s="16">
        <v>0</v>
      </c>
      <c r="CL21" s="7">
        <f t="shared" si="3"/>
        <v>1.5000000000000001E-2</v>
      </c>
      <c r="CM21" s="8">
        <v>0.77926064123667882</v>
      </c>
      <c r="CN21" s="10">
        <v>0.36244804520412438</v>
      </c>
      <c r="CO21" s="10">
        <v>0.17122120800186044</v>
      </c>
      <c r="CP21" s="10">
        <v>0.37890057355874684</v>
      </c>
      <c r="CQ21" s="10">
        <v>-1.7481951000506254E-2</v>
      </c>
      <c r="CR21" s="10">
        <v>1.8647006086285172</v>
      </c>
      <c r="CS21" s="10">
        <v>1.9554105920363345</v>
      </c>
      <c r="CT21" s="10">
        <v>1.3137836188886942</v>
      </c>
    </row>
    <row r="22" spans="1:98" x14ac:dyDescent="0.3">
      <c r="A22" s="1">
        <v>46055</v>
      </c>
      <c r="B22" s="21">
        <v>30.88</v>
      </c>
      <c r="C22" s="21">
        <v>26.77</v>
      </c>
      <c r="D22" s="22">
        <v>-7.0990940286131303E-3</v>
      </c>
      <c r="E22" s="22">
        <v>-9.6655027560951304E-3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30.88</v>
      </c>
      <c r="M22" s="21">
        <v>26.77</v>
      </c>
      <c r="N22" s="23">
        <v>0.86690414507771996</v>
      </c>
      <c r="O22" s="23">
        <v>0.87815704628300895</v>
      </c>
      <c r="P22" s="23">
        <v>0.86607644789354998</v>
      </c>
      <c r="Q22" s="23">
        <v>0.86958410752139303</v>
      </c>
      <c r="R22" s="21">
        <v>27.1174895892193</v>
      </c>
      <c r="S22" s="21">
        <v>26.743571447169401</v>
      </c>
      <c r="T22" s="21">
        <v>26.872583071634399</v>
      </c>
      <c r="U22" s="22">
        <v>1.2897034486166799E-2</v>
      </c>
      <c r="V22" s="22">
        <v>-9.8773280364433994E-4</v>
      </c>
      <c r="W22" s="22">
        <v>3.8246926531696401E-3</v>
      </c>
      <c r="X22" s="23">
        <v>0.86690414507771996</v>
      </c>
      <c r="Y22" s="23">
        <v>0.87815704628300895</v>
      </c>
      <c r="Z22" s="23">
        <v>0.86607644789354998</v>
      </c>
      <c r="AA22" s="23">
        <v>0.86958410752139303</v>
      </c>
      <c r="AB22" s="21">
        <v>27.1174895892193</v>
      </c>
      <c r="AC22" s="21">
        <v>26.743571447169401</v>
      </c>
      <c r="AD22" s="21">
        <v>26.872583071634399</v>
      </c>
      <c r="AE22" s="22">
        <v>1.2897034486166799E-2</v>
      </c>
      <c r="AF22" s="22">
        <v>-9.8773280364433994E-4</v>
      </c>
      <c r="AG22" s="22">
        <v>3.8246926531696401E-3</v>
      </c>
      <c r="AZ22" s="17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17">
        <f>BF22*D22</f>
        <v>0</v>
      </c>
      <c r="BH22" s="17">
        <f>-BF22*$E22</f>
        <v>0</v>
      </c>
      <c r="BI22" s="17">
        <f>BG22+BH22</f>
        <v>0</v>
      </c>
      <c r="BJ22" s="11">
        <f>BJ21+BI22</f>
        <v>0</v>
      </c>
      <c r="BL22" s="17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17">
        <f>-BR22*D22</f>
        <v>0</v>
      </c>
      <c r="BT22" s="17">
        <f>BR22*$E22</f>
        <v>0</v>
      </c>
      <c r="BU22" s="17">
        <f>BS22+BT22</f>
        <v>0</v>
      </c>
      <c r="BV22" s="11">
        <f>BV21+BU22</f>
        <v>0</v>
      </c>
      <c r="BX22" s="11">
        <f>BI22+BU22</f>
        <v>0</v>
      </c>
      <c r="BY22" s="11">
        <f>BY21+BX22</f>
        <v>0</v>
      </c>
      <c r="CL22" s="7">
        <f t="shared" si="3"/>
        <v>1.7500000000000002E-2</v>
      </c>
      <c r="CM22" s="8">
        <v>0.77926064123667882</v>
      </c>
      <c r="CN22" s="8">
        <v>0.36244804520412438</v>
      </c>
      <c r="CO22" s="8">
        <v>0.17122120800186044</v>
      </c>
      <c r="CP22" s="8">
        <v>0.37890057355874684</v>
      </c>
      <c r="CQ22" s="8">
        <v>-1.7481951000506254E-2</v>
      </c>
      <c r="CR22" s="8">
        <v>1.8647006086285172</v>
      </c>
      <c r="CS22" s="8">
        <v>1.9554105920363345</v>
      </c>
      <c r="CT22" s="8">
        <v>1.3137836188886942</v>
      </c>
    </row>
    <row r="23" spans="1:98" x14ac:dyDescent="0.3">
      <c r="A23" s="1">
        <v>46056</v>
      </c>
      <c r="B23" s="21">
        <v>28.84</v>
      </c>
      <c r="C23" s="21">
        <v>25.01</v>
      </c>
      <c r="D23" s="22">
        <v>-6.8345412739827097E-2</v>
      </c>
      <c r="E23" s="22">
        <v>-6.8006112642733402E-2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28.84</v>
      </c>
      <c r="M23" s="21">
        <v>25.01</v>
      </c>
      <c r="N23" s="23">
        <v>0.86719833564493698</v>
      </c>
      <c r="O23" s="23">
        <v>0.87815704628300895</v>
      </c>
      <c r="P23" s="23">
        <v>0.86682087434604604</v>
      </c>
      <c r="Q23" s="23">
        <v>0.86914803768156601</v>
      </c>
      <c r="R23" s="21">
        <v>25.326049214801898</v>
      </c>
      <c r="S23" s="21">
        <v>24.977644757249902</v>
      </c>
      <c r="T23" s="21">
        <v>25.078805660916899</v>
      </c>
      <c r="U23" s="22">
        <v>1.25577343890732E-2</v>
      </c>
      <c r="V23" s="22">
        <v>-1.29452977532977E-3</v>
      </c>
      <c r="W23" s="22">
        <v>2.7473485657088402E-3</v>
      </c>
      <c r="X23" s="23">
        <v>0.86719833564493698</v>
      </c>
      <c r="Y23" s="23">
        <v>0.87815704628300895</v>
      </c>
      <c r="Z23" s="23">
        <v>0.86682087434604604</v>
      </c>
      <c r="AA23" s="23">
        <v>0.86914803768156601</v>
      </c>
      <c r="AB23" s="21">
        <v>25.326049214801898</v>
      </c>
      <c r="AC23" s="21">
        <v>24.977644757249902</v>
      </c>
      <c r="AD23" s="21">
        <v>25.078805660916899</v>
      </c>
      <c r="AE23" s="22">
        <v>1.25577343890732E-2</v>
      </c>
      <c r="AF23" s="22">
        <v>-1.29452977532977E-3</v>
      </c>
      <c r="AG23" s="22">
        <v>2.7473485657088402E-3</v>
      </c>
      <c r="AZ23" s="17"/>
      <c r="BB23">
        <f t="shared" ref="BB23:BB86" si="6">IF($AG23&lt;BA$20,1,0)</f>
        <v>0</v>
      </c>
      <c r="BC23">
        <f t="shared" ref="BC23:BC86" si="7">IF($AG23&gt;BA$21,1,0)</f>
        <v>1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17">
        <f t="shared" ref="BG23:BG86" si="10">BF23*D23</f>
        <v>0</v>
      </c>
      <c r="BH23" s="17">
        <f t="shared" ref="BH23:BH86" si="11">-BF23*$E23</f>
        <v>0</v>
      </c>
      <c r="BI23" s="17">
        <f t="shared" ref="BI23:BI86" si="12">BG23+BH23</f>
        <v>0</v>
      </c>
      <c r="BJ23" s="11">
        <f t="shared" ref="BJ23:BJ86" si="13">BJ22+BI23</f>
        <v>0</v>
      </c>
      <c r="BL23" s="17"/>
      <c r="BN23">
        <f t="shared" ref="BN23:BN86" si="14">IF($AG23&gt;BM$20,1,0)</f>
        <v>0</v>
      </c>
      <c r="BO23">
        <f t="shared" ref="BO23:BO86" si="15">IF($AG23&lt;BM$21,1,0)</f>
        <v>1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17">
        <f t="shared" ref="BS23:BS86" si="18">-BR23*D23</f>
        <v>0</v>
      </c>
      <c r="BT23" s="17">
        <f t="shared" ref="BT23:BT86" si="19">BR23*$E23</f>
        <v>0</v>
      </c>
      <c r="BU23" s="17">
        <f t="shared" ref="BU23:BU86" si="20">BS23+BT23</f>
        <v>0</v>
      </c>
      <c r="BV23" s="11">
        <f t="shared" ref="BV23:BV86" si="21">BV22+BU23</f>
        <v>0</v>
      </c>
      <c r="BX23" s="11">
        <f t="shared" ref="BX23:BX86" si="22">BI23+BU23</f>
        <v>0</v>
      </c>
      <c r="BY23" s="11">
        <f t="shared" ref="BY23:BY86" si="23">BY22+BX23</f>
        <v>0</v>
      </c>
      <c r="CL23" t="s">
        <v>38</v>
      </c>
    </row>
    <row r="24" spans="1:98" x14ac:dyDescent="0.3">
      <c r="A24" s="1">
        <v>46057</v>
      </c>
      <c r="B24" s="21">
        <v>28.09</v>
      </c>
      <c r="C24" s="21">
        <v>24.69</v>
      </c>
      <c r="D24" s="22">
        <v>-2.6349671300596001E-2</v>
      </c>
      <c r="E24" s="22">
        <v>-1.28774415324395E-2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28.09</v>
      </c>
      <c r="M24" s="21">
        <v>24.69</v>
      </c>
      <c r="N24" s="23">
        <v>0.87896048415806305</v>
      </c>
      <c r="O24" s="23">
        <v>0.87815704628300895</v>
      </c>
      <c r="P24" s="23">
        <v>0.86833675747259698</v>
      </c>
      <c r="Q24" s="23">
        <v>0.869142573517376</v>
      </c>
      <c r="R24" s="21">
        <v>24.6674314300897</v>
      </c>
      <c r="S24" s="21">
        <v>24.348998360380399</v>
      </c>
      <c r="T24" s="21">
        <v>24.414368378475199</v>
      </c>
      <c r="U24" s="22">
        <v>-9.1449537908306505E-4</v>
      </c>
      <c r="V24" s="22">
        <v>-1.39075897718725E-2</v>
      </c>
      <c r="W24" s="22">
        <v>-1.12264764023438E-2</v>
      </c>
      <c r="X24" s="23">
        <v>0.87896048415806305</v>
      </c>
      <c r="Y24" s="23">
        <v>0.87815704628300895</v>
      </c>
      <c r="Z24" s="23">
        <v>0.86833675747259698</v>
      </c>
      <c r="AA24" s="23">
        <v>0.869142573517376</v>
      </c>
      <c r="AB24" s="21">
        <v>24.6674314300897</v>
      </c>
      <c r="AC24" s="21">
        <v>24.348998360380399</v>
      </c>
      <c r="AD24" s="21">
        <v>24.414368378475199</v>
      </c>
      <c r="AE24" s="22">
        <v>-9.1449537908306505E-4</v>
      </c>
      <c r="AF24" s="22">
        <v>-1.39075897718725E-2</v>
      </c>
      <c r="AG24" s="22">
        <v>-1.12264764023438E-2</v>
      </c>
      <c r="AZ24" s="17"/>
      <c r="BB24">
        <f t="shared" si="6"/>
        <v>0</v>
      </c>
      <c r="BC24">
        <f t="shared" si="7"/>
        <v>0</v>
      </c>
      <c r="BD24">
        <f t="shared" si="8"/>
        <v>0</v>
      </c>
      <c r="BE24">
        <f t="shared" si="4"/>
        <v>1</v>
      </c>
      <c r="BF24">
        <f t="shared" si="9"/>
        <v>0</v>
      </c>
      <c r="BG24" s="17">
        <f t="shared" si="10"/>
        <v>0</v>
      </c>
      <c r="BH24" s="17">
        <f t="shared" si="11"/>
        <v>0</v>
      </c>
      <c r="BI24" s="17">
        <f t="shared" si="12"/>
        <v>0</v>
      </c>
      <c r="BJ24" s="11">
        <f t="shared" si="13"/>
        <v>0</v>
      </c>
      <c r="BL24" s="17"/>
      <c r="BN24">
        <f t="shared" si="14"/>
        <v>0</v>
      </c>
      <c r="BO24">
        <f t="shared" si="15"/>
        <v>1</v>
      </c>
      <c r="BP24">
        <f t="shared" si="16"/>
        <v>0</v>
      </c>
      <c r="BQ24">
        <f t="shared" si="5"/>
        <v>1</v>
      </c>
      <c r="BR24">
        <f t="shared" si="17"/>
        <v>0</v>
      </c>
      <c r="BS24" s="17">
        <f t="shared" si="18"/>
        <v>0</v>
      </c>
      <c r="BT24" s="17">
        <f t="shared" si="19"/>
        <v>0</v>
      </c>
      <c r="BU24" s="17">
        <f t="shared" si="20"/>
        <v>0</v>
      </c>
      <c r="BV24" s="11">
        <f t="shared" si="21"/>
        <v>0</v>
      </c>
      <c r="BX24" s="11">
        <f t="shared" si="22"/>
        <v>0</v>
      </c>
      <c r="BY24" s="11">
        <f t="shared" si="23"/>
        <v>0</v>
      </c>
    </row>
    <row r="25" spans="1:98" x14ac:dyDescent="0.3">
      <c r="A25" s="1">
        <v>46058</v>
      </c>
      <c r="B25" s="21">
        <v>27.39</v>
      </c>
      <c r="C25" s="21">
        <v>24.21</v>
      </c>
      <c r="D25" s="22">
        <v>-2.5235657841165399E-2</v>
      </c>
      <c r="E25" s="22">
        <v>-1.9632532407121001E-2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27.39</v>
      </c>
      <c r="M25" s="21">
        <v>24.21</v>
      </c>
      <c r="N25" s="23">
        <v>0.88389923329682296</v>
      </c>
      <c r="O25" s="23">
        <v>0.87815704628300895</v>
      </c>
      <c r="P25" s="23">
        <v>0.87036157579420104</v>
      </c>
      <c r="Q25" s="23">
        <v>0.86953985690692703</v>
      </c>
      <c r="R25" s="21">
        <v>24.0527214976916</v>
      </c>
      <c r="S25" s="21">
        <v>23.783743787174402</v>
      </c>
      <c r="T25" s="21">
        <v>23.805815088640902</v>
      </c>
      <c r="U25" s="22">
        <v>-6.5176208131276104E-3</v>
      </c>
      <c r="V25" s="22">
        <v>-1.77634577989738E-2</v>
      </c>
      <c r="W25" s="22">
        <v>-1.6835888661105101E-2</v>
      </c>
      <c r="X25" s="23">
        <v>0.88389923329682296</v>
      </c>
      <c r="Y25" s="23">
        <v>0.87815704628300895</v>
      </c>
      <c r="Z25" s="23">
        <v>0.87036157579420104</v>
      </c>
      <c r="AA25" s="23">
        <v>0.86953985690692703</v>
      </c>
      <c r="AB25" s="21">
        <v>24.0527214976916</v>
      </c>
      <c r="AC25" s="21">
        <v>23.783743787174402</v>
      </c>
      <c r="AD25" s="21">
        <v>23.805815088640902</v>
      </c>
      <c r="AE25" s="22">
        <v>-6.5176208131276104E-3</v>
      </c>
      <c r="AF25" s="22">
        <v>-1.77634577989738E-2</v>
      </c>
      <c r="AG25" s="22">
        <v>-1.6835888661105101E-2</v>
      </c>
      <c r="AZ25" s="17"/>
      <c r="BB25">
        <f t="shared" si="6"/>
        <v>1</v>
      </c>
      <c r="BC25">
        <f t="shared" si="7"/>
        <v>0</v>
      </c>
      <c r="BD25">
        <f t="shared" si="8"/>
        <v>0</v>
      </c>
      <c r="BE25">
        <f t="shared" si="4"/>
        <v>1</v>
      </c>
      <c r="BF25">
        <f t="shared" si="9"/>
        <v>0</v>
      </c>
      <c r="BG25" s="17">
        <f t="shared" si="10"/>
        <v>0</v>
      </c>
      <c r="BH25" s="17">
        <f t="shared" si="11"/>
        <v>0</v>
      </c>
      <c r="BI25" s="17">
        <f t="shared" si="12"/>
        <v>0</v>
      </c>
      <c r="BJ25" s="11">
        <f t="shared" si="13"/>
        <v>0</v>
      </c>
      <c r="BL25" s="17"/>
      <c r="BN25">
        <f t="shared" si="14"/>
        <v>0</v>
      </c>
      <c r="BO25">
        <f t="shared" si="15"/>
        <v>1</v>
      </c>
      <c r="BP25">
        <f t="shared" si="16"/>
        <v>0</v>
      </c>
      <c r="BQ25">
        <f t="shared" si="5"/>
        <v>1</v>
      </c>
      <c r="BR25">
        <f t="shared" si="17"/>
        <v>0</v>
      </c>
      <c r="BS25" s="17">
        <f t="shared" si="18"/>
        <v>0</v>
      </c>
      <c r="BT25" s="17">
        <f t="shared" si="19"/>
        <v>0</v>
      </c>
      <c r="BU25" s="17">
        <f t="shared" si="20"/>
        <v>0</v>
      </c>
      <c r="BV25" s="11">
        <f t="shared" si="21"/>
        <v>0</v>
      </c>
      <c r="BX25" s="11">
        <f t="shared" si="22"/>
        <v>0</v>
      </c>
      <c r="BY25" s="11">
        <f t="shared" si="23"/>
        <v>0</v>
      </c>
      <c r="CL25" s="7"/>
      <c r="CM25" s="7"/>
      <c r="CN25" s="7"/>
      <c r="CO25" s="7"/>
      <c r="CP25" s="7"/>
      <c r="CQ25" s="7"/>
      <c r="CR25" s="7"/>
      <c r="CS25" s="7"/>
      <c r="CT25" s="7"/>
    </row>
    <row r="26" spans="1:98" x14ac:dyDescent="0.3">
      <c r="A26" s="1">
        <v>46059</v>
      </c>
      <c r="B26" s="21">
        <v>25.65</v>
      </c>
      <c r="C26" s="21">
        <v>22.5</v>
      </c>
      <c r="D26" s="22">
        <v>-6.5634411658208297E-2</v>
      </c>
      <c r="E26" s="22">
        <v>-7.3250461739592598E-2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25.65</v>
      </c>
      <c r="M26" s="21">
        <v>22.5</v>
      </c>
      <c r="N26" s="23">
        <v>0.87719298245613997</v>
      </c>
      <c r="O26" s="23">
        <v>0.87815704628300895</v>
      </c>
      <c r="P26" s="23">
        <v>0.87181077757679304</v>
      </c>
      <c r="Q26" s="23">
        <v>0.86969494555385796</v>
      </c>
      <c r="R26" s="21">
        <v>22.524728237159099</v>
      </c>
      <c r="S26" s="21">
        <v>22.324774419121201</v>
      </c>
      <c r="T26" s="21">
        <v>22.303697329662601</v>
      </c>
      <c r="U26" s="22">
        <v>1.0984292682568199E-3</v>
      </c>
      <c r="V26" s="22">
        <v>-7.8182869055233306E-3</v>
      </c>
      <c r="W26" s="22">
        <v>-8.7628449510819897E-3</v>
      </c>
      <c r="X26" s="23">
        <v>0.87719298245613997</v>
      </c>
      <c r="Y26" s="23">
        <v>0.87815704628300895</v>
      </c>
      <c r="Z26" s="23">
        <v>0.87181077757679304</v>
      </c>
      <c r="AA26" s="23">
        <v>0.86969494555385796</v>
      </c>
      <c r="AB26" s="21">
        <v>22.524728237159099</v>
      </c>
      <c r="AC26" s="21">
        <v>22.324774419121201</v>
      </c>
      <c r="AD26" s="21">
        <v>22.303697329662601</v>
      </c>
      <c r="AE26" s="22">
        <v>1.0984292682568199E-3</v>
      </c>
      <c r="AF26" s="22">
        <v>-7.8182869055233306E-3</v>
      </c>
      <c r="AG26" s="22">
        <v>-8.7628449510819897E-3</v>
      </c>
      <c r="AZ26" s="17"/>
      <c r="BB26">
        <f t="shared" si="6"/>
        <v>0</v>
      </c>
      <c r="BC26">
        <f t="shared" si="7"/>
        <v>0</v>
      </c>
      <c r="BD26">
        <f t="shared" si="8"/>
        <v>1</v>
      </c>
      <c r="BE26">
        <f t="shared" si="4"/>
        <v>1</v>
      </c>
      <c r="BF26">
        <f t="shared" si="9"/>
        <v>1</v>
      </c>
      <c r="BG26" s="17">
        <f t="shared" si="10"/>
        <v>-6.5634411658208297E-2</v>
      </c>
      <c r="BH26" s="17">
        <f t="shared" si="11"/>
        <v>7.3250461739592598E-2</v>
      </c>
      <c r="BI26" s="17">
        <f t="shared" si="12"/>
        <v>7.6160500813843013E-3</v>
      </c>
      <c r="BJ26" s="11">
        <f t="shared" si="13"/>
        <v>7.6160500813843013E-3</v>
      </c>
      <c r="BL26" s="17"/>
      <c r="BN26">
        <f t="shared" si="14"/>
        <v>0</v>
      </c>
      <c r="BO26">
        <f t="shared" si="15"/>
        <v>1</v>
      </c>
      <c r="BP26">
        <f t="shared" si="16"/>
        <v>0</v>
      </c>
      <c r="BQ26">
        <f t="shared" si="5"/>
        <v>1</v>
      </c>
      <c r="BR26">
        <f t="shared" si="17"/>
        <v>0</v>
      </c>
      <c r="BS26" s="17">
        <f t="shared" si="18"/>
        <v>0</v>
      </c>
      <c r="BT26" s="17">
        <f t="shared" si="19"/>
        <v>0</v>
      </c>
      <c r="BU26" s="17">
        <f t="shared" si="20"/>
        <v>0</v>
      </c>
      <c r="BV26" s="11">
        <f t="shared" si="21"/>
        <v>0</v>
      </c>
      <c r="BX26" s="11">
        <f t="shared" si="22"/>
        <v>7.6160500813843013E-3</v>
      </c>
      <c r="BY26" s="11">
        <f t="shared" si="23"/>
        <v>7.6160500813843013E-3</v>
      </c>
      <c r="CL26" s="7"/>
      <c r="CM26" s="8"/>
      <c r="CN26" s="8"/>
      <c r="CO26" s="8"/>
      <c r="CP26" s="8"/>
      <c r="CQ26" s="8"/>
      <c r="CR26" s="8"/>
      <c r="CS26" s="8"/>
      <c r="CT26" s="8"/>
    </row>
    <row r="27" spans="1:98" x14ac:dyDescent="0.3">
      <c r="A27" s="1">
        <v>46062</v>
      </c>
      <c r="B27" s="21">
        <v>26.27</v>
      </c>
      <c r="C27" s="21">
        <v>22.74</v>
      </c>
      <c r="D27" s="22">
        <v>2.3884032080669901E-2</v>
      </c>
      <c r="E27" s="22">
        <v>1.06101791120154E-2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26.27</v>
      </c>
      <c r="M27" s="21">
        <v>22.74</v>
      </c>
      <c r="N27" s="23">
        <v>0.86562618956985105</v>
      </c>
      <c r="O27" s="23">
        <v>0.87815704628300895</v>
      </c>
      <c r="P27" s="23">
        <v>0.87162718563406805</v>
      </c>
      <c r="Q27" s="23">
        <v>0.86915175172109305</v>
      </c>
      <c r="R27" s="21">
        <v>23.069185605854599</v>
      </c>
      <c r="S27" s="21">
        <v>22.9024691269423</v>
      </c>
      <c r="T27" s="21">
        <v>22.846886219699801</v>
      </c>
      <c r="U27" s="22">
        <v>1.43722822369113E-2</v>
      </c>
      <c r="V27" s="22">
        <v>7.1192385626363099E-3</v>
      </c>
      <c r="W27" s="22">
        <v>4.6893492595060102E-3</v>
      </c>
      <c r="X27" s="23">
        <v>0.86562618956985105</v>
      </c>
      <c r="Y27" s="23">
        <v>0.87815704628300895</v>
      </c>
      <c r="Z27" s="23">
        <v>0.87162718563406805</v>
      </c>
      <c r="AA27" s="23">
        <v>0.86915175172109305</v>
      </c>
      <c r="AB27" s="21">
        <v>23.069185605854599</v>
      </c>
      <c r="AC27" s="21">
        <v>22.9024691269423</v>
      </c>
      <c r="AD27" s="21">
        <v>22.846886219699801</v>
      </c>
      <c r="AE27" s="22">
        <v>1.43722822369113E-2</v>
      </c>
      <c r="AF27" s="22">
        <v>7.1192385626363099E-3</v>
      </c>
      <c r="AG27" s="22">
        <v>4.6893492595060102E-3</v>
      </c>
      <c r="AZ27" s="17"/>
      <c r="BB27">
        <f t="shared" si="6"/>
        <v>0</v>
      </c>
      <c r="BC27">
        <f t="shared" si="7"/>
        <v>1</v>
      </c>
      <c r="BD27">
        <f t="shared" si="8"/>
        <v>1</v>
      </c>
      <c r="BE27">
        <f t="shared" si="4"/>
        <v>1</v>
      </c>
      <c r="BF27">
        <f t="shared" si="9"/>
        <v>1</v>
      </c>
      <c r="BG27" s="17">
        <f t="shared" si="10"/>
        <v>2.3884032080669901E-2</v>
      </c>
      <c r="BH27" s="17">
        <f t="shared" si="11"/>
        <v>-1.06101791120154E-2</v>
      </c>
      <c r="BI27" s="17">
        <f t="shared" si="12"/>
        <v>1.3273852968654501E-2</v>
      </c>
      <c r="BJ27" s="11">
        <f t="shared" si="13"/>
        <v>2.0889903050038801E-2</v>
      </c>
      <c r="BL27" s="17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17">
        <f t="shared" si="18"/>
        <v>0</v>
      </c>
      <c r="BT27" s="17">
        <f t="shared" si="19"/>
        <v>0</v>
      </c>
      <c r="BU27" s="17">
        <f t="shared" si="20"/>
        <v>0</v>
      </c>
      <c r="BV27" s="11">
        <f t="shared" si="21"/>
        <v>0</v>
      </c>
      <c r="BX27" s="11">
        <f t="shared" si="22"/>
        <v>1.3273852968654501E-2</v>
      </c>
      <c r="BY27" s="11">
        <f t="shared" si="23"/>
        <v>2.0889903050038801E-2</v>
      </c>
      <c r="CL27" s="7"/>
      <c r="CM27" s="8"/>
      <c r="CN27" s="8"/>
      <c r="CO27" s="8"/>
      <c r="CP27" s="8"/>
      <c r="CQ27" s="8"/>
      <c r="CR27" s="8"/>
      <c r="CS27" s="8"/>
      <c r="CT27" s="8"/>
    </row>
    <row r="28" spans="1:98" ht="15" thickBot="1" x14ac:dyDescent="0.35">
      <c r="A28" s="1">
        <v>46063</v>
      </c>
      <c r="B28" s="21">
        <v>27.2</v>
      </c>
      <c r="C28" s="21">
        <v>23.58</v>
      </c>
      <c r="D28" s="22">
        <v>3.4789369604503198E-2</v>
      </c>
      <c r="E28" s="22">
        <v>3.6273406786834897E-2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27.2</v>
      </c>
      <c r="M28" s="21">
        <v>23.58</v>
      </c>
      <c r="N28" s="23">
        <v>0.86691176470588205</v>
      </c>
      <c r="O28" s="23">
        <v>0.87815704628300895</v>
      </c>
      <c r="P28" s="23">
        <v>0.87190461372592798</v>
      </c>
      <c r="Q28" s="23">
        <v>0.86898914323507503</v>
      </c>
      <c r="R28" s="21">
        <v>23.885871658897798</v>
      </c>
      <c r="S28" s="21">
        <v>23.708259449246601</v>
      </c>
      <c r="T28" s="21">
        <v>23.640927646813701</v>
      </c>
      <c r="U28" s="22">
        <v>1.2888245054579601E-2</v>
      </c>
      <c r="V28" s="22">
        <v>5.4245922880658297E-3</v>
      </c>
      <c r="W28" s="22">
        <v>2.5805372177386799E-3</v>
      </c>
      <c r="X28" s="23">
        <v>0.86691176470588205</v>
      </c>
      <c r="Y28" s="23">
        <v>0.87815704628300895</v>
      </c>
      <c r="Z28" s="23">
        <v>0.87190461372592798</v>
      </c>
      <c r="AA28" s="23">
        <v>0.86898914323507503</v>
      </c>
      <c r="AB28" s="21">
        <v>23.885871658897798</v>
      </c>
      <c r="AC28" s="21">
        <v>23.708259449246601</v>
      </c>
      <c r="AD28" s="21">
        <v>23.640927646813701</v>
      </c>
      <c r="AE28" s="22">
        <v>1.2888245054579601E-2</v>
      </c>
      <c r="AF28" s="22">
        <v>5.4245922880658297E-3</v>
      </c>
      <c r="AG28" s="22">
        <v>2.5805372177386799E-3</v>
      </c>
      <c r="AZ28" s="17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17">
        <f t="shared" si="10"/>
        <v>0</v>
      </c>
      <c r="BH28" s="17">
        <f t="shared" si="11"/>
        <v>0</v>
      </c>
      <c r="BI28" s="17">
        <f t="shared" si="12"/>
        <v>0</v>
      </c>
      <c r="BJ28" s="11">
        <f t="shared" si="13"/>
        <v>2.0889903050038801E-2</v>
      </c>
      <c r="BL28" s="17"/>
      <c r="BN28">
        <f t="shared" si="14"/>
        <v>0</v>
      </c>
      <c r="BO28">
        <f t="shared" si="15"/>
        <v>1</v>
      </c>
      <c r="BP28">
        <f t="shared" si="16"/>
        <v>0</v>
      </c>
      <c r="BQ28">
        <f t="shared" si="5"/>
        <v>1</v>
      </c>
      <c r="BR28">
        <f t="shared" si="17"/>
        <v>0</v>
      </c>
      <c r="BS28" s="17">
        <f t="shared" si="18"/>
        <v>0</v>
      </c>
      <c r="BT28" s="17">
        <f t="shared" si="19"/>
        <v>0</v>
      </c>
      <c r="BU28" s="17">
        <f t="shared" si="20"/>
        <v>0</v>
      </c>
      <c r="BV28" s="11">
        <f t="shared" si="21"/>
        <v>0</v>
      </c>
      <c r="BX28" s="11">
        <f t="shared" si="22"/>
        <v>0</v>
      </c>
      <c r="BY28" s="11">
        <f t="shared" si="23"/>
        <v>2.0889903050038801E-2</v>
      </c>
      <c r="CL28" s="7"/>
      <c r="CM28" s="8"/>
      <c r="CN28" s="8"/>
      <c r="CO28" s="8"/>
      <c r="CP28" s="10"/>
      <c r="CQ28" s="8"/>
      <c r="CR28" s="8"/>
      <c r="CS28" s="8"/>
      <c r="CT28" s="8"/>
    </row>
    <row r="29" spans="1:98" ht="15" thickBot="1" x14ac:dyDescent="0.35">
      <c r="A29" s="1">
        <v>46064</v>
      </c>
      <c r="B29" s="21">
        <v>26.76</v>
      </c>
      <c r="C29" s="21">
        <v>23.22</v>
      </c>
      <c r="D29" s="22">
        <v>-1.6308738041923801E-2</v>
      </c>
      <c r="E29" s="22">
        <v>-1.53849188394794E-2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26.76</v>
      </c>
      <c r="M29" s="21">
        <v>23.22</v>
      </c>
      <c r="N29" s="23">
        <v>0.867713004484304</v>
      </c>
      <c r="O29" s="23">
        <v>0.87815704628300895</v>
      </c>
      <c r="P29" s="23">
        <v>0.87180887725831802</v>
      </c>
      <c r="Q29" s="23">
        <v>0.86887593687647402</v>
      </c>
      <c r="R29" s="21">
        <v>23.499482558533298</v>
      </c>
      <c r="S29" s="21">
        <v>23.332167463305801</v>
      </c>
      <c r="T29" s="21">
        <v>23.2541494729706</v>
      </c>
      <c r="U29" s="22">
        <v>1.1964425852135099E-2</v>
      </c>
      <c r="V29" s="22">
        <v>4.8190100048473199E-3</v>
      </c>
      <c r="W29" s="22">
        <v>1.4696117951210901E-3</v>
      </c>
      <c r="X29" s="23">
        <v>0.867713004484304</v>
      </c>
      <c r="Y29" s="23">
        <v>0.87815704628300895</v>
      </c>
      <c r="Z29" s="23">
        <v>0.87180887725831802</v>
      </c>
      <c r="AA29" s="23">
        <v>0.86887593687647402</v>
      </c>
      <c r="AB29" s="21">
        <v>23.499482558533298</v>
      </c>
      <c r="AC29" s="21">
        <v>23.332167463305801</v>
      </c>
      <c r="AD29" s="21">
        <v>23.2541494729706</v>
      </c>
      <c r="AE29" s="22">
        <v>1.1964425852135099E-2</v>
      </c>
      <c r="AF29" s="22">
        <v>4.8190100048473199E-3</v>
      </c>
      <c r="AG29" s="22">
        <v>1.4696117951210901E-3</v>
      </c>
      <c r="AZ29" s="17"/>
      <c r="BB29">
        <f t="shared" si="6"/>
        <v>0</v>
      </c>
      <c r="BC29">
        <f t="shared" si="7"/>
        <v>1</v>
      </c>
      <c r="BD29">
        <f t="shared" si="8"/>
        <v>0</v>
      </c>
      <c r="BE29">
        <f t="shared" si="4"/>
        <v>1</v>
      </c>
      <c r="BF29">
        <f t="shared" si="9"/>
        <v>0</v>
      </c>
      <c r="BG29" s="17">
        <f t="shared" si="10"/>
        <v>0</v>
      </c>
      <c r="BH29" s="17">
        <f t="shared" si="11"/>
        <v>0</v>
      </c>
      <c r="BI29" s="17">
        <f t="shared" si="12"/>
        <v>0</v>
      </c>
      <c r="BJ29" s="11">
        <f t="shared" si="13"/>
        <v>2.0889903050038801E-2</v>
      </c>
      <c r="BL29" s="17"/>
      <c r="BN29">
        <f t="shared" si="14"/>
        <v>0</v>
      </c>
      <c r="BO29">
        <f t="shared" si="15"/>
        <v>1</v>
      </c>
      <c r="BP29">
        <f t="shared" si="16"/>
        <v>0</v>
      </c>
      <c r="BQ29">
        <f t="shared" si="5"/>
        <v>1</v>
      </c>
      <c r="BR29">
        <f t="shared" si="17"/>
        <v>0</v>
      </c>
      <c r="BS29" s="17">
        <f t="shared" si="18"/>
        <v>0</v>
      </c>
      <c r="BT29" s="17">
        <f t="shared" si="19"/>
        <v>0</v>
      </c>
      <c r="BU29" s="17">
        <f t="shared" si="20"/>
        <v>0</v>
      </c>
      <c r="BV29" s="11">
        <f t="shared" si="21"/>
        <v>0</v>
      </c>
      <c r="BX29" s="11">
        <f t="shared" si="22"/>
        <v>0</v>
      </c>
      <c r="BY29" s="11">
        <f t="shared" si="23"/>
        <v>2.0889903050038801E-2</v>
      </c>
      <c r="CL29" s="7"/>
      <c r="CM29" s="8"/>
      <c r="CN29" s="8"/>
      <c r="CO29" s="8"/>
      <c r="CP29" s="8"/>
      <c r="CQ29" s="9"/>
      <c r="CR29" s="8"/>
      <c r="CS29" s="8"/>
      <c r="CT29" s="8"/>
    </row>
    <row r="30" spans="1:98" x14ac:dyDescent="0.3">
      <c r="A30" s="1">
        <v>46065</v>
      </c>
      <c r="B30" s="21">
        <v>25.66</v>
      </c>
      <c r="C30" s="21">
        <v>22.4</v>
      </c>
      <c r="D30" s="22">
        <v>-4.1974876072537297E-2</v>
      </c>
      <c r="E30" s="22">
        <v>-3.59530174087513E-2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25.66</v>
      </c>
      <c r="M30" s="21">
        <v>22.4</v>
      </c>
      <c r="N30" s="23">
        <v>0.87295401402961803</v>
      </c>
      <c r="O30" s="23">
        <v>0.87815704628300895</v>
      </c>
      <c r="P30" s="23">
        <v>0.87164919862207602</v>
      </c>
      <c r="Q30" s="23">
        <v>0.868877498770526</v>
      </c>
      <c r="R30" s="21">
        <v>22.533509807622</v>
      </c>
      <c r="S30" s="21">
        <v>22.370615790448401</v>
      </c>
      <c r="T30" s="21">
        <v>22.2953565402503</v>
      </c>
      <c r="U30" s="22">
        <v>5.9425671883489798E-3</v>
      </c>
      <c r="V30" s="22">
        <v>-1.31265622560717E-3</v>
      </c>
      <c r="W30" s="22">
        <v>-4.6825289717541104E-3</v>
      </c>
      <c r="X30" s="23">
        <v>0.87295401402961803</v>
      </c>
      <c r="Y30" s="23">
        <v>0.87815704628300895</v>
      </c>
      <c r="Z30" s="23">
        <v>0.87164919862207602</v>
      </c>
      <c r="AA30" s="23">
        <v>0.868877498770526</v>
      </c>
      <c r="AB30" s="21">
        <v>22.533509807622</v>
      </c>
      <c r="AC30" s="21">
        <v>22.370615790448401</v>
      </c>
      <c r="AD30" s="21">
        <v>22.2953565402503</v>
      </c>
      <c r="AE30" s="22">
        <v>5.9425671883489798E-3</v>
      </c>
      <c r="AF30" s="22">
        <v>-1.31265622560717E-3</v>
      </c>
      <c r="AG30" s="22">
        <v>-4.6825289717541104E-3</v>
      </c>
      <c r="AZ30" s="17"/>
      <c r="BB30">
        <f t="shared" si="6"/>
        <v>0</v>
      </c>
      <c r="BC30">
        <f t="shared" si="7"/>
        <v>0</v>
      </c>
      <c r="BD30">
        <f t="shared" si="8"/>
        <v>0</v>
      </c>
      <c r="BE30">
        <f t="shared" si="4"/>
        <v>1</v>
      </c>
      <c r="BF30">
        <f t="shared" si="9"/>
        <v>0</v>
      </c>
      <c r="BG30" s="17">
        <f t="shared" si="10"/>
        <v>0</v>
      </c>
      <c r="BH30" s="17">
        <f t="shared" si="11"/>
        <v>0</v>
      </c>
      <c r="BI30" s="17">
        <f t="shared" si="12"/>
        <v>0</v>
      </c>
      <c r="BJ30" s="11">
        <f t="shared" si="13"/>
        <v>2.0889903050038801E-2</v>
      </c>
      <c r="BL30" s="17"/>
      <c r="BN30">
        <f t="shared" si="14"/>
        <v>0</v>
      </c>
      <c r="BO30">
        <f t="shared" si="15"/>
        <v>1</v>
      </c>
      <c r="BP30">
        <f t="shared" si="16"/>
        <v>0</v>
      </c>
      <c r="BQ30">
        <f t="shared" si="5"/>
        <v>1</v>
      </c>
      <c r="BR30">
        <f t="shared" si="17"/>
        <v>0</v>
      </c>
      <c r="BS30" s="17">
        <f t="shared" si="18"/>
        <v>0</v>
      </c>
      <c r="BT30" s="17">
        <f t="shared" si="19"/>
        <v>0</v>
      </c>
      <c r="BU30" s="17">
        <f t="shared" si="20"/>
        <v>0</v>
      </c>
      <c r="BV30" s="11">
        <f t="shared" si="21"/>
        <v>0</v>
      </c>
      <c r="BX30" s="11">
        <f t="shared" si="22"/>
        <v>0</v>
      </c>
      <c r="BY30" s="11">
        <f t="shared" si="23"/>
        <v>2.0889903050038801E-2</v>
      </c>
      <c r="CL30" s="7"/>
      <c r="CM30" s="8"/>
      <c r="CN30" s="8"/>
      <c r="CO30" s="8"/>
      <c r="CP30" s="8"/>
      <c r="CQ30" s="8"/>
      <c r="CR30" s="8"/>
      <c r="CS30" s="8"/>
      <c r="CT30" s="8"/>
    </row>
    <row r="31" spans="1:98" x14ac:dyDescent="0.3">
      <c r="A31" s="1">
        <v>46066</v>
      </c>
      <c r="B31" s="21">
        <v>26</v>
      </c>
      <c r="C31" s="21">
        <v>22.72</v>
      </c>
      <c r="D31" s="22">
        <v>1.31631788339917E-2</v>
      </c>
      <c r="E31" s="22">
        <v>1.41846349919563E-2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26</v>
      </c>
      <c r="M31" s="21">
        <v>22.72</v>
      </c>
      <c r="N31" s="23">
        <v>0.87384615384615305</v>
      </c>
      <c r="O31" s="23">
        <v>0.87815704628300895</v>
      </c>
      <c r="P31" s="23">
        <v>0.87212063072694901</v>
      </c>
      <c r="Q31" s="23">
        <v>0.86908446444329002</v>
      </c>
      <c r="R31" s="21">
        <v>22.832083203358199</v>
      </c>
      <c r="S31" s="21">
        <v>22.662879164174001</v>
      </c>
      <c r="T31" s="21">
        <v>22.590814968033602</v>
      </c>
      <c r="U31" s="22">
        <v>4.9211110303842504E-3</v>
      </c>
      <c r="V31" s="22">
        <v>-2.51728700520093E-3</v>
      </c>
      <c r="W31" s="22">
        <v>-5.7021875282644904E-3</v>
      </c>
      <c r="X31" s="23">
        <v>0.87384615384615305</v>
      </c>
      <c r="Y31" s="23">
        <v>0.87815704628300895</v>
      </c>
      <c r="Z31" s="23">
        <v>0.87212063072694901</v>
      </c>
      <c r="AA31" s="23">
        <v>0.86908446444329002</v>
      </c>
      <c r="AB31" s="21">
        <v>22.832083203358199</v>
      </c>
      <c r="AC31" s="21">
        <v>22.662879164174001</v>
      </c>
      <c r="AD31" s="21">
        <v>22.590814968033602</v>
      </c>
      <c r="AE31" s="22">
        <v>4.9211110303842504E-3</v>
      </c>
      <c r="AF31" s="22">
        <v>-2.51728700520093E-3</v>
      </c>
      <c r="AG31" s="22">
        <v>-5.7021875282644904E-3</v>
      </c>
      <c r="AZ31" s="17"/>
      <c r="BB31">
        <f t="shared" si="6"/>
        <v>0</v>
      </c>
      <c r="BC31">
        <f t="shared" si="7"/>
        <v>0</v>
      </c>
      <c r="BD31">
        <f t="shared" si="8"/>
        <v>0</v>
      </c>
      <c r="BE31">
        <f t="shared" si="4"/>
        <v>1</v>
      </c>
      <c r="BF31">
        <f t="shared" si="9"/>
        <v>0</v>
      </c>
      <c r="BG31" s="17">
        <f t="shared" si="10"/>
        <v>0</v>
      </c>
      <c r="BH31" s="17">
        <f t="shared" si="11"/>
        <v>0</v>
      </c>
      <c r="BI31" s="17">
        <f t="shared" si="12"/>
        <v>0</v>
      </c>
      <c r="BJ31" s="11">
        <f t="shared" si="13"/>
        <v>2.0889903050038801E-2</v>
      </c>
      <c r="BL31" s="17"/>
      <c r="BN31">
        <f t="shared" si="14"/>
        <v>0</v>
      </c>
      <c r="BO31">
        <f t="shared" si="15"/>
        <v>1</v>
      </c>
      <c r="BP31">
        <f t="shared" si="16"/>
        <v>0</v>
      </c>
      <c r="BQ31">
        <f t="shared" si="5"/>
        <v>1</v>
      </c>
      <c r="BR31">
        <f t="shared" si="17"/>
        <v>0</v>
      </c>
      <c r="BS31" s="17">
        <f t="shared" si="18"/>
        <v>0</v>
      </c>
      <c r="BT31" s="17">
        <f t="shared" si="19"/>
        <v>0</v>
      </c>
      <c r="BU31" s="17">
        <f t="shared" si="20"/>
        <v>0</v>
      </c>
      <c r="BV31" s="11">
        <f t="shared" si="21"/>
        <v>0</v>
      </c>
      <c r="BX31" s="11">
        <f t="shared" si="22"/>
        <v>0</v>
      </c>
      <c r="BY31" s="11">
        <f t="shared" si="23"/>
        <v>2.0889903050038801E-2</v>
      </c>
      <c r="CL31" s="7"/>
      <c r="CM31" s="8"/>
      <c r="CN31" s="8"/>
      <c r="CO31" s="8"/>
      <c r="CP31" s="8"/>
      <c r="CQ31" s="8"/>
      <c r="CR31" s="8"/>
      <c r="CS31" s="8"/>
      <c r="CT31" s="8"/>
    </row>
    <row r="32" spans="1:98" x14ac:dyDescent="0.3">
      <c r="A32" s="1">
        <v>46070</v>
      </c>
      <c r="B32" s="21">
        <v>26.32</v>
      </c>
      <c r="C32" s="21">
        <v>23.19</v>
      </c>
      <c r="D32" s="22">
        <v>1.2232568435634399E-2</v>
      </c>
      <c r="E32" s="22">
        <v>2.0475557414489799E-2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26.32</v>
      </c>
      <c r="M32" s="21">
        <v>23.19</v>
      </c>
      <c r="N32" s="23">
        <v>0.88107902735562305</v>
      </c>
      <c r="O32" s="23">
        <v>0.87815704628300895</v>
      </c>
      <c r="P32" s="23">
        <v>0.87353811895473898</v>
      </c>
      <c r="Q32" s="23">
        <v>0.86980728342414504</v>
      </c>
      <c r="R32" s="21">
        <v>23.113093458168802</v>
      </c>
      <c r="S32" s="21">
        <v>22.954215000733299</v>
      </c>
      <c r="T32" s="21">
        <v>22.874303104147401</v>
      </c>
      <c r="U32" s="22">
        <v>-3.3218779484710799E-3</v>
      </c>
      <c r="V32" s="22">
        <v>-1.02195714616774E-2</v>
      </c>
      <c r="W32" s="22">
        <v>-1.37070059623981E-2</v>
      </c>
      <c r="X32" s="23">
        <v>0.88107902735562305</v>
      </c>
      <c r="Y32" s="23">
        <v>0.87815704628300895</v>
      </c>
      <c r="Z32" s="23">
        <v>0.87353811895473898</v>
      </c>
      <c r="AA32" s="23">
        <v>0.86980728342414504</v>
      </c>
      <c r="AB32" s="21">
        <v>23.113093458168802</v>
      </c>
      <c r="AC32" s="21">
        <v>22.954215000733299</v>
      </c>
      <c r="AD32" s="21">
        <v>22.874303104147401</v>
      </c>
      <c r="AE32" s="22">
        <v>-3.3218779484710799E-3</v>
      </c>
      <c r="AF32" s="22">
        <v>-1.02195714616774E-2</v>
      </c>
      <c r="AG32" s="22">
        <v>-1.37070059623981E-2</v>
      </c>
      <c r="AZ32" s="17"/>
      <c r="BB32">
        <f t="shared" si="6"/>
        <v>1</v>
      </c>
      <c r="BC32">
        <f t="shared" si="7"/>
        <v>0</v>
      </c>
      <c r="BD32">
        <f t="shared" si="8"/>
        <v>0</v>
      </c>
      <c r="BE32">
        <f t="shared" si="4"/>
        <v>1</v>
      </c>
      <c r="BF32">
        <f t="shared" si="9"/>
        <v>0</v>
      </c>
      <c r="BG32" s="17">
        <f t="shared" si="10"/>
        <v>0</v>
      </c>
      <c r="BH32" s="17">
        <f t="shared" si="11"/>
        <v>0</v>
      </c>
      <c r="BI32" s="17">
        <f t="shared" si="12"/>
        <v>0</v>
      </c>
      <c r="BJ32" s="11">
        <f t="shared" si="13"/>
        <v>2.0889903050038801E-2</v>
      </c>
      <c r="BL32" s="17"/>
      <c r="BN32">
        <f t="shared" si="14"/>
        <v>0</v>
      </c>
      <c r="BO32">
        <f t="shared" si="15"/>
        <v>1</v>
      </c>
      <c r="BP32">
        <f t="shared" si="16"/>
        <v>0</v>
      </c>
      <c r="BQ32">
        <f t="shared" si="5"/>
        <v>1</v>
      </c>
      <c r="BR32">
        <f t="shared" si="17"/>
        <v>0</v>
      </c>
      <c r="BS32" s="17">
        <f t="shared" si="18"/>
        <v>0</v>
      </c>
      <c r="BT32" s="17">
        <f t="shared" si="19"/>
        <v>0</v>
      </c>
      <c r="BU32" s="17">
        <f t="shared" si="20"/>
        <v>0</v>
      </c>
      <c r="BV32" s="11">
        <f t="shared" si="21"/>
        <v>0</v>
      </c>
      <c r="BX32" s="11">
        <f t="shared" si="22"/>
        <v>0</v>
      </c>
      <c r="BY32" s="11">
        <f t="shared" si="23"/>
        <v>2.0889903050038801E-2</v>
      </c>
      <c r="CL32" s="7"/>
      <c r="CM32" s="8"/>
      <c r="CN32" s="8"/>
      <c r="CO32" s="8"/>
      <c r="CP32" s="8"/>
      <c r="CQ32" s="8"/>
      <c r="CR32" s="8"/>
      <c r="CS32" s="8"/>
      <c r="CT32" s="8"/>
    </row>
    <row r="33" spans="1:98" x14ac:dyDescent="0.3">
      <c r="A33" s="1">
        <v>46071</v>
      </c>
      <c r="B33" s="21">
        <v>26.28</v>
      </c>
      <c r="C33" s="21">
        <v>23.35</v>
      </c>
      <c r="D33" s="22">
        <v>-1.5209128407066199E-3</v>
      </c>
      <c r="E33" s="22">
        <v>6.8758328474659699E-3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26.28</v>
      </c>
      <c r="M33" s="21">
        <v>23.35</v>
      </c>
      <c r="N33" s="23">
        <v>0.88850837138508298</v>
      </c>
      <c r="O33" s="23">
        <v>0.87815704628300895</v>
      </c>
      <c r="P33" s="23">
        <v>0.87566912252875395</v>
      </c>
      <c r="Q33" s="23">
        <v>0.8712449984374</v>
      </c>
      <c r="R33" s="21">
        <v>23.077967176317401</v>
      </c>
      <c r="S33" s="21">
        <v>22.956581766130501</v>
      </c>
      <c r="T33" s="21">
        <v>22.858535408386501</v>
      </c>
      <c r="U33" s="22">
        <v>-1.17186236366437E-2</v>
      </c>
      <c r="V33" s="22">
        <v>-1.6992301528707499E-2</v>
      </c>
      <c r="W33" s="22">
        <v>-2.1272395675280598E-2</v>
      </c>
      <c r="X33" s="23">
        <v>0.88850837138508298</v>
      </c>
      <c r="Y33" s="23">
        <v>0.87815704628300895</v>
      </c>
      <c r="Z33" s="23">
        <v>0.87566912252875395</v>
      </c>
      <c r="AA33" s="23">
        <v>0.8712449984374</v>
      </c>
      <c r="AB33" s="21">
        <v>23.077967176317401</v>
      </c>
      <c r="AC33" s="21">
        <v>22.956581766130501</v>
      </c>
      <c r="AD33" s="21">
        <v>22.858535408386501</v>
      </c>
      <c r="AE33" s="22">
        <v>-1.17186236366437E-2</v>
      </c>
      <c r="AF33" s="22">
        <v>-1.6992301528707499E-2</v>
      </c>
      <c r="AG33" s="22">
        <v>-2.1272395675280598E-2</v>
      </c>
      <c r="AZ33" s="17"/>
      <c r="BB33">
        <f t="shared" si="6"/>
        <v>1</v>
      </c>
      <c r="BC33">
        <f t="shared" si="7"/>
        <v>0</v>
      </c>
      <c r="BD33">
        <f t="shared" si="8"/>
        <v>1</v>
      </c>
      <c r="BE33">
        <f t="shared" si="4"/>
        <v>1</v>
      </c>
      <c r="BF33">
        <f t="shared" si="9"/>
        <v>1</v>
      </c>
      <c r="BG33" s="17">
        <f t="shared" si="10"/>
        <v>-1.5209128407066199E-3</v>
      </c>
      <c r="BH33" s="17">
        <f t="shared" si="11"/>
        <v>-6.8758328474659699E-3</v>
      </c>
      <c r="BI33" s="17">
        <f t="shared" si="12"/>
        <v>-8.396745688172589E-3</v>
      </c>
      <c r="BJ33" s="11">
        <f t="shared" si="13"/>
        <v>1.2493157361866212E-2</v>
      </c>
      <c r="BL33" s="17"/>
      <c r="BN33">
        <f t="shared" si="14"/>
        <v>0</v>
      </c>
      <c r="BO33">
        <f t="shared" si="15"/>
        <v>1</v>
      </c>
      <c r="BP33">
        <f t="shared" si="16"/>
        <v>0</v>
      </c>
      <c r="BQ33">
        <f t="shared" si="5"/>
        <v>1</v>
      </c>
      <c r="BR33">
        <f t="shared" si="17"/>
        <v>0</v>
      </c>
      <c r="BS33" s="17">
        <f t="shared" si="18"/>
        <v>0</v>
      </c>
      <c r="BT33" s="17">
        <f t="shared" si="19"/>
        <v>0</v>
      </c>
      <c r="BU33" s="17">
        <f t="shared" si="20"/>
        <v>0</v>
      </c>
      <c r="BV33" s="11">
        <f t="shared" si="21"/>
        <v>0</v>
      </c>
      <c r="BX33" s="11">
        <f t="shared" si="22"/>
        <v>-8.396745688172589E-3</v>
      </c>
      <c r="BY33" s="11">
        <f t="shared" si="23"/>
        <v>1.2493157361866212E-2</v>
      </c>
      <c r="CL33" s="7"/>
      <c r="CM33" s="8"/>
      <c r="CN33" s="8"/>
      <c r="CO33" s="8"/>
      <c r="CP33" s="8"/>
      <c r="CQ33" s="8"/>
      <c r="CR33" s="8"/>
      <c r="CS33" s="8"/>
      <c r="CT33" s="8"/>
    </row>
    <row r="34" spans="1:98" x14ac:dyDescent="0.3">
      <c r="A34" s="1">
        <v>46072</v>
      </c>
      <c r="B34" s="21">
        <v>26.19</v>
      </c>
      <c r="C34" s="21">
        <v>23.36</v>
      </c>
      <c r="D34" s="22">
        <v>-3.43053509678924E-3</v>
      </c>
      <c r="E34" s="22">
        <v>4.2817384511999298E-4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26.19</v>
      </c>
      <c r="M34" s="21">
        <v>23.36</v>
      </c>
      <c r="N34" s="23">
        <v>0.89194348988163397</v>
      </c>
      <c r="O34" s="23">
        <v>0.87815704628300895</v>
      </c>
      <c r="P34" s="23">
        <v>0.87696742310111098</v>
      </c>
      <c r="Q34" s="23">
        <v>0.87265209028685398</v>
      </c>
      <c r="R34" s="21">
        <v>22.998933042152</v>
      </c>
      <c r="S34" s="21">
        <v>22.933774319028</v>
      </c>
      <c r="T34" s="21">
        <v>22.817906509075499</v>
      </c>
      <c r="U34" s="22">
        <v>-1.5577332578552899E-2</v>
      </c>
      <c r="V34" s="22">
        <v>-1.8414472846326101E-2</v>
      </c>
      <c r="W34" s="22">
        <v>-2.3479557038719501E-2</v>
      </c>
      <c r="X34" s="23">
        <v>0.89194348988163397</v>
      </c>
      <c r="Y34" s="23">
        <v>0.87815704628300895</v>
      </c>
      <c r="Z34" s="23">
        <v>0.87696742310111098</v>
      </c>
      <c r="AA34" s="23">
        <v>0.87265209028685398</v>
      </c>
      <c r="AB34" s="21">
        <v>22.998933042152</v>
      </c>
      <c r="AC34" s="21">
        <v>22.933774319028</v>
      </c>
      <c r="AD34" s="21">
        <v>22.817906509075499</v>
      </c>
      <c r="AE34" s="22">
        <v>-1.5577332578552899E-2</v>
      </c>
      <c r="AF34" s="22">
        <v>-1.8414472846326101E-2</v>
      </c>
      <c r="AG34" s="22">
        <v>-2.3479557038719501E-2</v>
      </c>
      <c r="AZ34" s="17"/>
      <c r="BB34">
        <f t="shared" si="6"/>
        <v>1</v>
      </c>
      <c r="BC34">
        <f t="shared" si="7"/>
        <v>0</v>
      </c>
      <c r="BD34">
        <f t="shared" si="8"/>
        <v>1</v>
      </c>
      <c r="BE34">
        <f t="shared" si="4"/>
        <v>1</v>
      </c>
      <c r="BF34">
        <f t="shared" si="9"/>
        <v>1</v>
      </c>
      <c r="BG34" s="17">
        <f t="shared" si="10"/>
        <v>-3.43053509678924E-3</v>
      </c>
      <c r="BH34" s="17">
        <f t="shared" si="11"/>
        <v>-4.2817384511999298E-4</v>
      </c>
      <c r="BI34" s="17">
        <f t="shared" si="12"/>
        <v>-3.8587089419092331E-3</v>
      </c>
      <c r="BJ34" s="11">
        <f t="shared" si="13"/>
        <v>8.6344484199569783E-3</v>
      </c>
      <c r="BL34" s="17"/>
      <c r="BN34">
        <f t="shared" si="14"/>
        <v>0</v>
      </c>
      <c r="BO34">
        <f t="shared" si="15"/>
        <v>1</v>
      </c>
      <c r="BP34">
        <f t="shared" si="16"/>
        <v>0</v>
      </c>
      <c r="BQ34">
        <f t="shared" si="5"/>
        <v>1</v>
      </c>
      <c r="BR34">
        <f t="shared" si="17"/>
        <v>0</v>
      </c>
      <c r="BS34" s="17">
        <f t="shared" si="18"/>
        <v>0</v>
      </c>
      <c r="BT34" s="17">
        <f t="shared" si="19"/>
        <v>0</v>
      </c>
      <c r="BU34" s="17">
        <f t="shared" si="20"/>
        <v>0</v>
      </c>
      <c r="BV34" s="11">
        <f t="shared" si="21"/>
        <v>0</v>
      </c>
      <c r="BX34" s="11">
        <f t="shared" si="22"/>
        <v>-3.8587089419092331E-3</v>
      </c>
      <c r="BY34" s="11">
        <f t="shared" si="23"/>
        <v>8.6344484199569783E-3</v>
      </c>
    </row>
    <row r="35" spans="1:98" x14ac:dyDescent="0.3">
      <c r="A35" s="1">
        <v>46073</v>
      </c>
      <c r="B35" s="21">
        <v>26.55</v>
      </c>
      <c r="C35" s="21">
        <v>23.65</v>
      </c>
      <c r="D35" s="22">
        <v>1.36520891683272E-2</v>
      </c>
      <c r="E35" s="22">
        <v>1.2337956977915499E-2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26.55</v>
      </c>
      <c r="M35" s="21">
        <v>23.65</v>
      </c>
      <c r="N35" s="23">
        <v>0.89077212806026296</v>
      </c>
      <c r="O35" s="23">
        <v>0.87815704628300895</v>
      </c>
      <c r="P35" s="23">
        <v>0.87765471257745498</v>
      </c>
      <c r="Q35" s="23">
        <v>0.87400814418582795</v>
      </c>
      <c r="R35" s="21">
        <v>23.315069578813802</v>
      </c>
      <c r="S35" s="21">
        <v>23.283485083334501</v>
      </c>
      <c r="T35" s="21">
        <v>23.1689129971159</v>
      </c>
      <c r="U35" s="22">
        <v>-1.42632003881412E-2</v>
      </c>
      <c r="V35" s="22">
        <v>-1.5618800386688499E-2</v>
      </c>
      <c r="W35" s="22">
        <v>-2.0551691831713698E-2</v>
      </c>
      <c r="X35" s="23">
        <v>0.89077212806026296</v>
      </c>
      <c r="Y35" s="23">
        <v>0.87815704628300895</v>
      </c>
      <c r="Z35" s="23">
        <v>0.87765471257745498</v>
      </c>
      <c r="AA35" s="23">
        <v>0.87400814418582795</v>
      </c>
      <c r="AB35" s="21">
        <v>23.315069578813802</v>
      </c>
      <c r="AC35" s="21">
        <v>23.283485083334501</v>
      </c>
      <c r="AD35" s="21">
        <v>23.1689129971159</v>
      </c>
      <c r="AE35" s="22">
        <v>-1.42632003881412E-2</v>
      </c>
      <c r="AF35" s="22">
        <v>-1.5618800386688499E-2</v>
      </c>
      <c r="AG35" s="22">
        <v>-2.0551691831713698E-2</v>
      </c>
      <c r="AZ35" s="17"/>
      <c r="BB35">
        <f t="shared" si="6"/>
        <v>1</v>
      </c>
      <c r="BC35">
        <f t="shared" si="7"/>
        <v>0</v>
      </c>
      <c r="BD35">
        <f t="shared" si="8"/>
        <v>1</v>
      </c>
      <c r="BE35">
        <f t="shared" si="4"/>
        <v>1</v>
      </c>
      <c r="BF35">
        <f t="shared" si="9"/>
        <v>1</v>
      </c>
      <c r="BG35" s="17">
        <f t="shared" si="10"/>
        <v>1.36520891683272E-2</v>
      </c>
      <c r="BH35" s="17">
        <f t="shared" si="11"/>
        <v>-1.2337956977915499E-2</v>
      </c>
      <c r="BI35" s="17">
        <f t="shared" si="12"/>
        <v>1.3141321904117011E-3</v>
      </c>
      <c r="BJ35" s="11">
        <f t="shared" si="13"/>
        <v>9.9485806103686795E-3</v>
      </c>
      <c r="BL35" s="17"/>
      <c r="BN35">
        <f t="shared" si="14"/>
        <v>0</v>
      </c>
      <c r="BO35">
        <f t="shared" si="15"/>
        <v>1</v>
      </c>
      <c r="BP35">
        <f t="shared" si="16"/>
        <v>0</v>
      </c>
      <c r="BQ35">
        <f t="shared" si="5"/>
        <v>1</v>
      </c>
      <c r="BR35">
        <f t="shared" si="17"/>
        <v>0</v>
      </c>
      <c r="BS35" s="17">
        <f t="shared" si="18"/>
        <v>0</v>
      </c>
      <c r="BT35" s="17">
        <f t="shared" si="19"/>
        <v>0</v>
      </c>
      <c r="BU35" s="17">
        <f t="shared" si="20"/>
        <v>0</v>
      </c>
      <c r="BV35" s="11">
        <f t="shared" si="21"/>
        <v>0</v>
      </c>
      <c r="BX35" s="11">
        <f t="shared" si="22"/>
        <v>1.3141321904117011E-3</v>
      </c>
      <c r="BY35" s="11">
        <f t="shared" si="23"/>
        <v>9.9485806103686795E-3</v>
      </c>
    </row>
    <row r="36" spans="1:98" x14ac:dyDescent="0.3">
      <c r="A36" s="1">
        <v>46076</v>
      </c>
      <c r="B36" s="21">
        <v>25.84</v>
      </c>
      <c r="C36" s="21">
        <v>23</v>
      </c>
      <c r="D36" s="22">
        <v>-2.7106068773546699E-2</v>
      </c>
      <c r="E36" s="22">
        <v>-2.7868899008792199E-2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25.84</v>
      </c>
      <c r="M36" s="21">
        <v>23</v>
      </c>
      <c r="N36" s="23">
        <v>0.89009287925696501</v>
      </c>
      <c r="O36" s="23">
        <v>0.87815704628300895</v>
      </c>
      <c r="P36" s="23">
        <v>0.87894470225753796</v>
      </c>
      <c r="Q36" s="23">
        <v>0.87537773991716505</v>
      </c>
      <c r="R36" s="21">
        <v>22.691578075952901</v>
      </c>
      <c r="S36" s="21">
        <v>22.6785977730014</v>
      </c>
      <c r="T36" s="21">
        <v>22.584370445761799</v>
      </c>
      <c r="U36" s="22">
        <v>-1.3500370152895701E-2</v>
      </c>
      <c r="V36" s="22">
        <v>-1.40725655681781E-2</v>
      </c>
      <c r="W36" s="22">
        <v>-1.8236122094343301E-2</v>
      </c>
      <c r="X36" s="23">
        <v>0.89009287925696501</v>
      </c>
      <c r="Y36" s="23">
        <v>0.87815704628300895</v>
      </c>
      <c r="Z36" s="23">
        <v>0.87894470225753796</v>
      </c>
      <c r="AA36" s="23">
        <v>0.87537773991716505</v>
      </c>
      <c r="AB36" s="21">
        <v>22.691578075952901</v>
      </c>
      <c r="AC36" s="21">
        <v>22.6785977730014</v>
      </c>
      <c r="AD36" s="21">
        <v>22.584370445761799</v>
      </c>
      <c r="AE36" s="22">
        <v>-1.3500370152895701E-2</v>
      </c>
      <c r="AF36" s="22">
        <v>-1.40725655681781E-2</v>
      </c>
      <c r="AG36" s="22">
        <v>-1.8236122094343301E-2</v>
      </c>
      <c r="AZ36" s="17"/>
      <c r="BB36">
        <f t="shared" si="6"/>
        <v>1</v>
      </c>
      <c r="BC36">
        <f t="shared" si="7"/>
        <v>0</v>
      </c>
      <c r="BD36">
        <f t="shared" si="8"/>
        <v>1</v>
      </c>
      <c r="BE36">
        <f t="shared" si="4"/>
        <v>1</v>
      </c>
      <c r="BF36">
        <f t="shared" si="9"/>
        <v>1</v>
      </c>
      <c r="BG36" s="17">
        <f t="shared" si="10"/>
        <v>-2.7106068773546699E-2</v>
      </c>
      <c r="BH36" s="17">
        <f t="shared" si="11"/>
        <v>2.7868899008792199E-2</v>
      </c>
      <c r="BI36" s="17">
        <f t="shared" si="12"/>
        <v>7.6283023524549923E-4</v>
      </c>
      <c r="BJ36" s="11">
        <f t="shared" si="13"/>
        <v>1.0711410845614179E-2</v>
      </c>
      <c r="BL36" s="17"/>
      <c r="BN36">
        <f t="shared" si="14"/>
        <v>0</v>
      </c>
      <c r="BO36">
        <f t="shared" si="15"/>
        <v>1</v>
      </c>
      <c r="BP36">
        <f t="shared" si="16"/>
        <v>0</v>
      </c>
      <c r="BQ36">
        <f t="shared" si="5"/>
        <v>1</v>
      </c>
      <c r="BR36">
        <f t="shared" si="17"/>
        <v>0</v>
      </c>
      <c r="BS36" s="17">
        <f t="shared" si="18"/>
        <v>0</v>
      </c>
      <c r="BT36" s="17">
        <f t="shared" si="19"/>
        <v>0</v>
      </c>
      <c r="BU36" s="17">
        <f t="shared" si="20"/>
        <v>0</v>
      </c>
      <c r="BV36" s="11">
        <f t="shared" si="21"/>
        <v>0</v>
      </c>
      <c r="BX36" s="11">
        <f t="shared" si="22"/>
        <v>7.6283023524549923E-4</v>
      </c>
      <c r="BY36" s="11">
        <f t="shared" si="23"/>
        <v>1.0711410845614179E-2</v>
      </c>
    </row>
    <row r="37" spans="1:98" x14ac:dyDescent="0.3">
      <c r="A37" s="1">
        <v>46077</v>
      </c>
      <c r="B37" s="21">
        <v>26.04</v>
      </c>
      <c r="C37" s="21">
        <v>23.18</v>
      </c>
      <c r="D37" s="22">
        <v>7.7101384259672598E-3</v>
      </c>
      <c r="E37" s="22">
        <v>7.7956219824558701E-3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26.04</v>
      </c>
      <c r="M37" s="21">
        <v>23.18</v>
      </c>
      <c r="N37" s="23">
        <v>0.89016897081413204</v>
      </c>
      <c r="O37" s="23">
        <v>0.87815704628300895</v>
      </c>
      <c r="P37" s="23">
        <v>0.88139898038196596</v>
      </c>
      <c r="Q37" s="23">
        <v>0.876513083008017</v>
      </c>
      <c r="R37" s="21">
        <v>22.8672094852095</v>
      </c>
      <c r="S37" s="21">
        <v>22.8877200467862</v>
      </c>
      <c r="T37" s="21">
        <v>22.794836347442899</v>
      </c>
      <c r="U37" s="22">
        <v>-1.35858537093844E-2</v>
      </c>
      <c r="V37" s="22">
        <v>-1.2689313679255999E-2</v>
      </c>
      <c r="W37" s="22">
        <v>-1.67558035901124E-2</v>
      </c>
      <c r="X37" s="23">
        <v>0.89016897081413204</v>
      </c>
      <c r="Y37" s="23">
        <v>0.87815704628300895</v>
      </c>
      <c r="Z37" s="23">
        <v>0.88139898038196596</v>
      </c>
      <c r="AA37" s="23">
        <v>0.876513083008017</v>
      </c>
      <c r="AB37" s="21">
        <v>22.8672094852095</v>
      </c>
      <c r="AC37" s="21">
        <v>22.8877200467862</v>
      </c>
      <c r="AD37" s="21">
        <v>22.794836347442899</v>
      </c>
      <c r="AE37" s="22">
        <v>-1.35858537093844E-2</v>
      </c>
      <c r="AF37" s="22">
        <v>-1.2689313679255999E-2</v>
      </c>
      <c r="AG37" s="22">
        <v>-1.67558035901124E-2</v>
      </c>
      <c r="AZ37" s="17"/>
      <c r="BB37">
        <f t="shared" si="6"/>
        <v>1</v>
      </c>
      <c r="BC37">
        <f t="shared" si="7"/>
        <v>0</v>
      </c>
      <c r="BD37">
        <f t="shared" si="8"/>
        <v>1</v>
      </c>
      <c r="BE37">
        <f t="shared" si="4"/>
        <v>1</v>
      </c>
      <c r="BF37">
        <f t="shared" si="9"/>
        <v>1</v>
      </c>
      <c r="BG37" s="17">
        <f t="shared" si="10"/>
        <v>7.7101384259672598E-3</v>
      </c>
      <c r="BH37" s="17">
        <f t="shared" si="11"/>
        <v>-7.7956219824558701E-3</v>
      </c>
      <c r="BI37" s="17">
        <f t="shared" si="12"/>
        <v>-8.5483556488610314E-5</v>
      </c>
      <c r="BJ37" s="11">
        <f t="shared" si="13"/>
        <v>1.0625927289125568E-2</v>
      </c>
      <c r="BL37" s="17"/>
      <c r="BN37">
        <f t="shared" si="14"/>
        <v>0</v>
      </c>
      <c r="BO37">
        <f t="shared" si="15"/>
        <v>1</v>
      </c>
      <c r="BP37">
        <f t="shared" si="16"/>
        <v>0</v>
      </c>
      <c r="BQ37">
        <f t="shared" si="5"/>
        <v>1</v>
      </c>
      <c r="BR37">
        <f t="shared" si="17"/>
        <v>0</v>
      </c>
      <c r="BS37" s="17">
        <f t="shared" si="18"/>
        <v>0</v>
      </c>
      <c r="BT37" s="17">
        <f t="shared" si="19"/>
        <v>0</v>
      </c>
      <c r="BU37" s="17">
        <f t="shared" si="20"/>
        <v>0</v>
      </c>
      <c r="BV37" s="11">
        <f t="shared" si="21"/>
        <v>0</v>
      </c>
      <c r="BX37" s="11">
        <f t="shared" si="22"/>
        <v>-8.5483556488610314E-5</v>
      </c>
      <c r="BY37" s="11">
        <f t="shared" si="23"/>
        <v>1.0625927289125568E-2</v>
      </c>
    </row>
    <row r="38" spans="1:98" x14ac:dyDescent="0.3">
      <c r="A38" s="1">
        <v>46078</v>
      </c>
      <c r="B38" s="21">
        <v>26.26</v>
      </c>
      <c r="C38" s="21">
        <v>23.58</v>
      </c>
      <c r="D38" s="22">
        <v>8.4130515342816896E-3</v>
      </c>
      <c r="E38" s="22">
        <v>1.7109057197619099E-2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26.26</v>
      </c>
      <c r="M38" s="21">
        <v>23.58</v>
      </c>
      <c r="N38" s="23">
        <v>0.89794364051789699</v>
      </c>
      <c r="O38" s="23">
        <v>0.87815704628300895</v>
      </c>
      <c r="P38" s="23">
        <v>0.88450216796316705</v>
      </c>
      <c r="Q38" s="23">
        <v>0.87820339084454702</v>
      </c>
      <c r="R38" s="21">
        <v>23.060404035391802</v>
      </c>
      <c r="S38" s="21">
        <v>23.145537224830399</v>
      </c>
      <c r="T38" s="21">
        <v>23.017233559790501</v>
      </c>
      <c r="U38" s="22">
        <v>-2.2281859372721799E-2</v>
      </c>
      <c r="V38" s="22">
        <v>-1.8596909625960601E-2</v>
      </c>
      <c r="W38" s="22">
        <v>-2.4155674545807599E-2</v>
      </c>
      <c r="X38" s="23">
        <v>0.89794364051789699</v>
      </c>
      <c r="Y38" s="23">
        <v>0.87815704628300895</v>
      </c>
      <c r="Z38" s="23">
        <v>0.88450216796316705</v>
      </c>
      <c r="AA38" s="23">
        <v>0.87820339084454702</v>
      </c>
      <c r="AB38" s="21">
        <v>23.060404035391802</v>
      </c>
      <c r="AC38" s="21">
        <v>23.145537224830399</v>
      </c>
      <c r="AD38" s="21">
        <v>23.017233559790501</v>
      </c>
      <c r="AE38" s="22">
        <v>-2.2281859372721799E-2</v>
      </c>
      <c r="AF38" s="22">
        <v>-1.8596909625960601E-2</v>
      </c>
      <c r="AG38" s="22">
        <v>-2.4155674545807599E-2</v>
      </c>
      <c r="AZ38" s="17"/>
      <c r="BB38">
        <f t="shared" si="6"/>
        <v>1</v>
      </c>
      <c r="BC38">
        <f t="shared" si="7"/>
        <v>0</v>
      </c>
      <c r="BD38">
        <f t="shared" si="8"/>
        <v>1</v>
      </c>
      <c r="BE38">
        <f t="shared" si="4"/>
        <v>1</v>
      </c>
      <c r="BF38">
        <f t="shared" si="9"/>
        <v>1</v>
      </c>
      <c r="BG38" s="17">
        <f t="shared" si="10"/>
        <v>8.4130515342816896E-3</v>
      </c>
      <c r="BH38" s="17">
        <f t="shared" si="11"/>
        <v>-1.7109057197619099E-2</v>
      </c>
      <c r="BI38" s="17">
        <f t="shared" si="12"/>
        <v>-8.696005663337409E-3</v>
      </c>
      <c r="BJ38" s="11">
        <f t="shared" si="13"/>
        <v>1.9299216257881585E-3</v>
      </c>
      <c r="BL38" s="17"/>
      <c r="BN38">
        <f t="shared" si="14"/>
        <v>0</v>
      </c>
      <c r="BO38">
        <f t="shared" si="15"/>
        <v>1</v>
      </c>
      <c r="BP38">
        <f t="shared" si="16"/>
        <v>0</v>
      </c>
      <c r="BQ38">
        <f t="shared" si="5"/>
        <v>1</v>
      </c>
      <c r="BR38">
        <f t="shared" si="17"/>
        <v>0</v>
      </c>
      <c r="BS38" s="17">
        <f t="shared" si="18"/>
        <v>0</v>
      </c>
      <c r="BT38" s="17">
        <f t="shared" si="19"/>
        <v>0</v>
      </c>
      <c r="BU38" s="17">
        <f t="shared" si="20"/>
        <v>0</v>
      </c>
      <c r="BV38" s="11">
        <f t="shared" si="21"/>
        <v>0</v>
      </c>
      <c r="BX38" s="11">
        <f t="shared" si="22"/>
        <v>-8.696005663337409E-3</v>
      </c>
      <c r="BY38" s="11">
        <f t="shared" si="23"/>
        <v>1.9299216257881585E-3</v>
      </c>
    </row>
    <row r="39" spans="1:98" x14ac:dyDescent="0.3">
      <c r="A39" s="1">
        <v>46079</v>
      </c>
      <c r="B39" s="21">
        <v>26.94</v>
      </c>
      <c r="C39" s="21">
        <v>24.32</v>
      </c>
      <c r="D39" s="22">
        <v>2.5565302107567699E-2</v>
      </c>
      <c r="E39" s="22">
        <v>3.0900161988741501E-2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26.94</v>
      </c>
      <c r="M39" s="21">
        <v>24.32</v>
      </c>
      <c r="N39" s="23">
        <v>0.90274684484038603</v>
      </c>
      <c r="O39" s="23">
        <v>0.87815704628300895</v>
      </c>
      <c r="P39" s="23">
        <v>0.88800555199877496</v>
      </c>
      <c r="Q39" s="23">
        <v>0.87990721462854604</v>
      </c>
      <c r="R39" s="21">
        <v>23.657550826864199</v>
      </c>
      <c r="S39" s="21">
        <v>23.8284884049277</v>
      </c>
      <c r="T39" s="21">
        <v>23.658799349352101</v>
      </c>
      <c r="U39" s="22">
        <v>-2.76167192538956E-2</v>
      </c>
      <c r="V39" s="22">
        <v>-2.04172004403732E-2</v>
      </c>
      <c r="W39" s="22">
        <v>-2.75639458475152E-2</v>
      </c>
      <c r="X39" s="23">
        <v>0.90274684484038603</v>
      </c>
      <c r="Y39" s="23">
        <v>0.87815704628300895</v>
      </c>
      <c r="Z39" s="23">
        <v>0.88800555199877496</v>
      </c>
      <c r="AA39" s="23">
        <v>0.87990721462854604</v>
      </c>
      <c r="AB39" s="21">
        <v>23.657550826864199</v>
      </c>
      <c r="AC39" s="21">
        <v>23.8284884049277</v>
      </c>
      <c r="AD39" s="21">
        <v>23.658799349352101</v>
      </c>
      <c r="AE39" s="22">
        <v>-2.76167192538956E-2</v>
      </c>
      <c r="AF39" s="22">
        <v>-2.04172004403732E-2</v>
      </c>
      <c r="AG39" s="22">
        <v>-2.75639458475152E-2</v>
      </c>
      <c r="AZ39" s="17"/>
      <c r="BB39">
        <f t="shared" si="6"/>
        <v>1</v>
      </c>
      <c r="BC39">
        <f t="shared" si="7"/>
        <v>0</v>
      </c>
      <c r="BD39">
        <f t="shared" si="8"/>
        <v>1</v>
      </c>
      <c r="BE39">
        <f t="shared" si="4"/>
        <v>1</v>
      </c>
      <c r="BF39">
        <f t="shared" si="9"/>
        <v>1</v>
      </c>
      <c r="BG39" s="17">
        <f t="shared" si="10"/>
        <v>2.5565302107567699E-2</v>
      </c>
      <c r="BH39" s="17">
        <f t="shared" si="11"/>
        <v>-3.0900161988741501E-2</v>
      </c>
      <c r="BI39" s="17">
        <f t="shared" si="12"/>
        <v>-5.3348598811738014E-3</v>
      </c>
      <c r="BJ39" s="11">
        <f t="shared" si="13"/>
        <v>-3.4049382553856429E-3</v>
      </c>
      <c r="BL39" s="17"/>
      <c r="BN39">
        <f t="shared" si="14"/>
        <v>0</v>
      </c>
      <c r="BO39">
        <f t="shared" si="15"/>
        <v>1</v>
      </c>
      <c r="BP39">
        <f t="shared" si="16"/>
        <v>0</v>
      </c>
      <c r="BQ39">
        <f t="shared" si="5"/>
        <v>1</v>
      </c>
      <c r="BR39">
        <f t="shared" si="17"/>
        <v>0</v>
      </c>
      <c r="BS39" s="17">
        <f t="shared" si="18"/>
        <v>0</v>
      </c>
      <c r="BT39" s="17">
        <f t="shared" si="19"/>
        <v>0</v>
      </c>
      <c r="BU39" s="17">
        <f t="shared" si="20"/>
        <v>0</v>
      </c>
      <c r="BV39" s="11">
        <f t="shared" si="21"/>
        <v>0</v>
      </c>
      <c r="BX39" s="11">
        <f t="shared" si="22"/>
        <v>-5.3348598811738014E-3</v>
      </c>
      <c r="BY39" s="11">
        <f t="shared" si="23"/>
        <v>-3.4049382553856429E-3</v>
      </c>
    </row>
    <row r="40" spans="1:98" x14ac:dyDescent="0.3">
      <c r="A40" s="1">
        <v>46080</v>
      </c>
      <c r="B40" s="21">
        <v>26.78</v>
      </c>
      <c r="C40" s="21">
        <v>24.29</v>
      </c>
      <c r="D40" s="22">
        <v>-5.9568307191914397E-3</v>
      </c>
      <c r="E40" s="22">
        <v>-1.2343140838851599E-3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26.78</v>
      </c>
      <c r="M40" s="21">
        <v>24.29</v>
      </c>
      <c r="N40" s="23">
        <v>0.90702016430171695</v>
      </c>
      <c r="O40" s="23">
        <v>0.87815704628300895</v>
      </c>
      <c r="P40" s="23">
        <v>0.89141216702598502</v>
      </c>
      <c r="Q40" s="23">
        <v>0.88153068282403102</v>
      </c>
      <c r="R40" s="21">
        <v>23.517045699458901</v>
      </c>
      <c r="S40" s="21">
        <v>23.780788682527199</v>
      </c>
      <c r="T40" s="21">
        <v>23.563915207752402</v>
      </c>
      <c r="U40" s="22">
        <v>-3.2339235889201901E-2</v>
      </c>
      <c r="V40" s="22">
        <v>-2.1186686509693201E-2</v>
      </c>
      <c r="W40" s="22">
        <v>-3.0348217742013898E-2</v>
      </c>
      <c r="X40" s="23">
        <v>0.90702016430171695</v>
      </c>
      <c r="Y40" s="23">
        <v>0.87815704628300895</v>
      </c>
      <c r="Z40" s="23">
        <v>0.89141216702598502</v>
      </c>
      <c r="AA40" s="23">
        <v>0.88153068282403102</v>
      </c>
      <c r="AB40" s="21">
        <v>23.517045699458901</v>
      </c>
      <c r="AC40" s="21">
        <v>23.780788682527199</v>
      </c>
      <c r="AD40" s="21">
        <v>23.563915207752402</v>
      </c>
      <c r="AE40" s="22">
        <v>-3.2339235889201901E-2</v>
      </c>
      <c r="AF40" s="22">
        <v>-2.1186686509693201E-2</v>
      </c>
      <c r="AG40" s="22">
        <v>-3.0348217742013898E-2</v>
      </c>
      <c r="AZ40" s="17"/>
      <c r="BB40">
        <f t="shared" si="6"/>
        <v>1</v>
      </c>
      <c r="BC40">
        <f t="shared" si="7"/>
        <v>0</v>
      </c>
      <c r="BD40">
        <f t="shared" si="8"/>
        <v>1</v>
      </c>
      <c r="BE40">
        <f t="shared" si="4"/>
        <v>1</v>
      </c>
      <c r="BF40">
        <f t="shared" si="9"/>
        <v>1</v>
      </c>
      <c r="BG40" s="17">
        <f t="shared" si="10"/>
        <v>-5.9568307191914397E-3</v>
      </c>
      <c r="BH40" s="17">
        <f t="shared" si="11"/>
        <v>1.2343140838851599E-3</v>
      </c>
      <c r="BI40" s="17">
        <f t="shared" si="12"/>
        <v>-4.7225166353062793E-3</v>
      </c>
      <c r="BJ40" s="11">
        <f t="shared" si="13"/>
        <v>-8.1274548906919222E-3</v>
      </c>
      <c r="BL40" s="17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1</v>
      </c>
      <c r="BR40">
        <f t="shared" si="17"/>
        <v>0</v>
      </c>
      <c r="BS40" s="17">
        <f t="shared" si="18"/>
        <v>0</v>
      </c>
      <c r="BT40" s="17">
        <f t="shared" si="19"/>
        <v>0</v>
      </c>
      <c r="BU40" s="17">
        <f t="shared" si="20"/>
        <v>0</v>
      </c>
      <c r="BV40" s="11">
        <f t="shared" si="21"/>
        <v>0</v>
      </c>
      <c r="BX40" s="11">
        <f t="shared" si="22"/>
        <v>-4.7225166353062793E-3</v>
      </c>
      <c r="BY40" s="11">
        <f t="shared" si="23"/>
        <v>-8.1274548906919222E-3</v>
      </c>
    </row>
    <row r="41" spans="1:98" x14ac:dyDescent="0.3">
      <c r="A41" s="1">
        <v>46083</v>
      </c>
      <c r="B41" s="21">
        <v>26.41</v>
      </c>
      <c r="C41" s="21">
        <v>23.97</v>
      </c>
      <c r="D41" s="22">
        <v>-1.39126139539856E-2</v>
      </c>
      <c r="E41" s="22">
        <v>-1.32616945677881E-2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26.41</v>
      </c>
      <c r="M41" s="21">
        <v>23.97</v>
      </c>
      <c r="N41" s="23">
        <v>0.90761075350246101</v>
      </c>
      <c r="O41" s="23">
        <v>0.87815704628300895</v>
      </c>
      <c r="P41" s="23">
        <v>0.89478862699161599</v>
      </c>
      <c r="Q41" s="23">
        <v>0.88345462885928305</v>
      </c>
      <c r="R41" s="21">
        <v>23.192127592334199</v>
      </c>
      <c r="S41" s="21">
        <v>23.542195331156201</v>
      </c>
      <c r="T41" s="21">
        <v>23.281225333382601</v>
      </c>
      <c r="U41" s="22">
        <v>-3.2990155275399197E-2</v>
      </c>
      <c r="V41" s="22">
        <v>-1.8008691355250201E-2</v>
      </c>
      <c r="W41" s="22">
        <v>-2.9155792372732001E-2</v>
      </c>
      <c r="X41" s="23">
        <v>0.90761075350246101</v>
      </c>
      <c r="Y41" s="23">
        <v>0.87815704628300895</v>
      </c>
      <c r="Z41" s="23">
        <v>0.89478862699161599</v>
      </c>
      <c r="AA41" s="23">
        <v>0.88345462885928305</v>
      </c>
      <c r="AB41" s="21">
        <v>23.192127592334199</v>
      </c>
      <c r="AC41" s="21">
        <v>23.542195331156201</v>
      </c>
      <c r="AD41" s="21">
        <v>23.281225333382601</v>
      </c>
      <c r="AE41" s="22">
        <v>-3.2990155275399197E-2</v>
      </c>
      <c r="AF41" s="22">
        <v>-1.8008691355250201E-2</v>
      </c>
      <c r="AG41" s="22">
        <v>-2.9155792372732001E-2</v>
      </c>
      <c r="AZ41" s="17"/>
      <c r="BB41">
        <f t="shared" si="6"/>
        <v>1</v>
      </c>
      <c r="BC41">
        <f t="shared" si="7"/>
        <v>0</v>
      </c>
      <c r="BD41">
        <f t="shared" si="8"/>
        <v>1</v>
      </c>
      <c r="BE41">
        <f t="shared" si="4"/>
        <v>1</v>
      </c>
      <c r="BF41">
        <f t="shared" si="9"/>
        <v>1</v>
      </c>
      <c r="BG41" s="17">
        <f t="shared" si="10"/>
        <v>-1.39126139539856E-2</v>
      </c>
      <c r="BH41" s="17">
        <f t="shared" si="11"/>
        <v>1.32616945677881E-2</v>
      </c>
      <c r="BI41" s="17">
        <f t="shared" si="12"/>
        <v>-6.5091938619749913E-4</v>
      </c>
      <c r="BJ41" s="11">
        <f t="shared" si="13"/>
        <v>-8.7783742768894214E-3</v>
      </c>
      <c r="BL41" s="17"/>
      <c r="BN41">
        <f t="shared" si="14"/>
        <v>0</v>
      </c>
      <c r="BO41">
        <f t="shared" si="15"/>
        <v>1</v>
      </c>
      <c r="BP41">
        <f t="shared" si="16"/>
        <v>0</v>
      </c>
      <c r="BQ41">
        <f t="shared" si="5"/>
        <v>1</v>
      </c>
      <c r="BR41">
        <f t="shared" si="17"/>
        <v>0</v>
      </c>
      <c r="BS41" s="17">
        <f t="shared" si="18"/>
        <v>0</v>
      </c>
      <c r="BT41" s="17">
        <f t="shared" si="19"/>
        <v>0</v>
      </c>
      <c r="BU41" s="17">
        <f t="shared" si="20"/>
        <v>0</v>
      </c>
      <c r="BV41" s="11">
        <f t="shared" si="21"/>
        <v>0</v>
      </c>
      <c r="BX41" s="11">
        <f t="shared" si="22"/>
        <v>-6.5091938619749913E-4</v>
      </c>
      <c r="BY41" s="11">
        <f t="shared" si="23"/>
        <v>-8.7783742768894214E-3</v>
      </c>
    </row>
    <row r="42" spans="1:98" x14ac:dyDescent="0.3">
      <c r="A42" s="1">
        <v>46084</v>
      </c>
      <c r="B42" s="21">
        <v>26.22</v>
      </c>
      <c r="C42" s="21">
        <v>23.81</v>
      </c>
      <c r="D42" s="22">
        <v>-7.2202479734871303E-3</v>
      </c>
      <c r="E42" s="22">
        <v>-6.6973879475215299E-3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26.22</v>
      </c>
      <c r="M42" s="21">
        <v>23.81</v>
      </c>
      <c r="N42" s="23">
        <v>0.90808543096872596</v>
      </c>
      <c r="O42" s="23">
        <v>0.87815704628300895</v>
      </c>
      <c r="P42" s="23">
        <v>0.897489267352926</v>
      </c>
      <c r="Q42" s="23">
        <v>0.88551369315383299</v>
      </c>
      <c r="R42" s="21">
        <v>23.0252777535405</v>
      </c>
      <c r="S42" s="21">
        <v>23.461357799720101</v>
      </c>
      <c r="T42" s="21">
        <v>23.164180368690399</v>
      </c>
      <c r="U42" s="22">
        <v>-3.3513015301364697E-2</v>
      </c>
      <c r="V42" s="22">
        <v>-1.47509417223397E-2</v>
      </c>
      <c r="W42" s="22">
        <v>-2.7498524570378501E-2</v>
      </c>
      <c r="X42" s="23">
        <v>0.90808543096872596</v>
      </c>
      <c r="Y42" s="23">
        <v>0.87815704628300895</v>
      </c>
      <c r="Z42" s="23">
        <v>0.897489267352926</v>
      </c>
      <c r="AA42" s="23">
        <v>0.88551369315383299</v>
      </c>
      <c r="AB42" s="21">
        <v>23.0252777535405</v>
      </c>
      <c r="AC42" s="21">
        <v>23.461357799720101</v>
      </c>
      <c r="AD42" s="21">
        <v>23.164180368690399</v>
      </c>
      <c r="AE42" s="22">
        <v>-3.3513015301364697E-2</v>
      </c>
      <c r="AF42" s="22">
        <v>-1.47509417223397E-2</v>
      </c>
      <c r="AG42" s="22">
        <v>-2.7498524570378501E-2</v>
      </c>
      <c r="AZ42" s="17"/>
      <c r="BB42">
        <f t="shared" si="6"/>
        <v>1</v>
      </c>
      <c r="BC42">
        <f t="shared" si="7"/>
        <v>0</v>
      </c>
      <c r="BD42">
        <f t="shared" si="8"/>
        <v>1</v>
      </c>
      <c r="BE42">
        <f t="shared" si="4"/>
        <v>1</v>
      </c>
      <c r="BF42">
        <f t="shared" si="9"/>
        <v>1</v>
      </c>
      <c r="BG42" s="17">
        <f t="shared" si="10"/>
        <v>-7.2202479734871303E-3</v>
      </c>
      <c r="BH42" s="17">
        <f t="shared" si="11"/>
        <v>6.6973879475215299E-3</v>
      </c>
      <c r="BI42" s="17">
        <f t="shared" si="12"/>
        <v>-5.2286002596560032E-4</v>
      </c>
      <c r="BJ42" s="11">
        <f t="shared" si="13"/>
        <v>-9.3012343028550208E-3</v>
      </c>
      <c r="BL42" s="17"/>
      <c r="BN42">
        <f t="shared" si="14"/>
        <v>0</v>
      </c>
      <c r="BO42">
        <f t="shared" si="15"/>
        <v>1</v>
      </c>
      <c r="BP42">
        <f t="shared" si="16"/>
        <v>0</v>
      </c>
      <c r="BQ42">
        <f t="shared" si="5"/>
        <v>1</v>
      </c>
      <c r="BR42">
        <f t="shared" si="17"/>
        <v>0</v>
      </c>
      <c r="BS42" s="17">
        <f t="shared" si="18"/>
        <v>0</v>
      </c>
      <c r="BT42" s="17">
        <f t="shared" si="19"/>
        <v>0</v>
      </c>
      <c r="BU42" s="17">
        <f t="shared" si="20"/>
        <v>0</v>
      </c>
      <c r="BV42" s="11">
        <f t="shared" si="21"/>
        <v>0</v>
      </c>
      <c r="BX42" s="11">
        <f t="shared" si="22"/>
        <v>-5.2286002596560032E-4</v>
      </c>
      <c r="BY42" s="11">
        <f t="shared" si="23"/>
        <v>-9.3012343028550208E-3</v>
      </c>
    </row>
    <row r="43" spans="1:98" x14ac:dyDescent="0.3">
      <c r="A43" s="1">
        <v>46085</v>
      </c>
      <c r="B43" s="21">
        <v>26.69</v>
      </c>
      <c r="C43" s="21">
        <v>24.03</v>
      </c>
      <c r="D43" s="22">
        <v>1.7766485080878899E-2</v>
      </c>
      <c r="E43" s="22">
        <v>9.1973892496062994E-3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26.69</v>
      </c>
      <c r="M43" s="21">
        <v>24.03</v>
      </c>
      <c r="N43" s="23">
        <v>0.90033720494567204</v>
      </c>
      <c r="O43" s="23">
        <v>0.87815704628300895</v>
      </c>
      <c r="P43" s="23">
        <v>0.89867215070898498</v>
      </c>
      <c r="Q43" s="23">
        <v>0.88717063661886997</v>
      </c>
      <c r="R43" s="21">
        <v>23.4380115652935</v>
      </c>
      <c r="S43" s="21">
        <v>23.953988545649601</v>
      </c>
      <c r="T43" s="21">
        <v>23.634360470275801</v>
      </c>
      <c r="U43" s="22">
        <v>-2.4943919470091998E-2</v>
      </c>
      <c r="V43" s="22">
        <v>-3.1682034042898898E-3</v>
      </c>
      <c r="W43" s="22">
        <v>-1.6601444457133099E-2</v>
      </c>
      <c r="X43" s="23">
        <v>0.90033720494567204</v>
      </c>
      <c r="Y43" s="23">
        <v>0.87815704628300895</v>
      </c>
      <c r="Z43" s="23">
        <v>0.89867215070898498</v>
      </c>
      <c r="AA43" s="23">
        <v>0.88717063661886997</v>
      </c>
      <c r="AB43" s="21">
        <v>23.4380115652935</v>
      </c>
      <c r="AC43" s="21">
        <v>23.953988545649601</v>
      </c>
      <c r="AD43" s="21">
        <v>23.634360470275801</v>
      </c>
      <c r="AE43" s="22">
        <v>-2.4943919470091998E-2</v>
      </c>
      <c r="AF43" s="22">
        <v>-3.1682034042898898E-3</v>
      </c>
      <c r="AG43" s="22">
        <v>-1.6601444457133099E-2</v>
      </c>
      <c r="AZ43" s="17"/>
      <c r="BB43">
        <f t="shared" si="6"/>
        <v>1</v>
      </c>
      <c r="BC43">
        <f t="shared" si="7"/>
        <v>0</v>
      </c>
      <c r="BD43">
        <f t="shared" si="8"/>
        <v>1</v>
      </c>
      <c r="BE43">
        <f t="shared" si="4"/>
        <v>1</v>
      </c>
      <c r="BF43">
        <f t="shared" si="9"/>
        <v>1</v>
      </c>
      <c r="BG43" s="17">
        <f t="shared" si="10"/>
        <v>1.7766485080878899E-2</v>
      </c>
      <c r="BH43" s="17">
        <f t="shared" si="11"/>
        <v>-9.1973892496062994E-3</v>
      </c>
      <c r="BI43" s="17">
        <f t="shared" si="12"/>
        <v>8.5690958312725999E-3</v>
      </c>
      <c r="BJ43" s="11">
        <f t="shared" si="13"/>
        <v>-7.3213847158242092E-4</v>
      </c>
      <c r="BL43" s="17"/>
      <c r="BN43">
        <f t="shared" si="14"/>
        <v>0</v>
      </c>
      <c r="BO43">
        <f t="shared" si="15"/>
        <v>1</v>
      </c>
      <c r="BP43">
        <f t="shared" si="16"/>
        <v>0</v>
      </c>
      <c r="BQ43">
        <f t="shared" si="5"/>
        <v>1</v>
      </c>
      <c r="BR43">
        <f t="shared" si="17"/>
        <v>0</v>
      </c>
      <c r="BS43" s="17">
        <f t="shared" si="18"/>
        <v>0</v>
      </c>
      <c r="BT43" s="17">
        <f t="shared" si="19"/>
        <v>0</v>
      </c>
      <c r="BU43" s="17">
        <f t="shared" si="20"/>
        <v>0</v>
      </c>
      <c r="BV43" s="11">
        <f t="shared" si="21"/>
        <v>0</v>
      </c>
      <c r="BX43" s="11">
        <f t="shared" si="22"/>
        <v>8.5690958312725999E-3</v>
      </c>
      <c r="BY43" s="11">
        <f t="shared" si="23"/>
        <v>-7.3213847158242092E-4</v>
      </c>
    </row>
    <row r="44" spans="1:98" x14ac:dyDescent="0.3">
      <c r="A44" s="1">
        <v>46086</v>
      </c>
      <c r="B44" s="21">
        <v>26.94</v>
      </c>
      <c r="C44" s="21">
        <v>24.28</v>
      </c>
      <c r="D44" s="22">
        <v>9.3232075657852E-3</v>
      </c>
      <c r="E44" s="22">
        <v>1.0349916442919899E-2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26.94</v>
      </c>
      <c r="M44" s="21">
        <v>24.28</v>
      </c>
      <c r="N44" s="23">
        <v>0.90126206384558205</v>
      </c>
      <c r="O44" s="23">
        <v>0.87815704628300895</v>
      </c>
      <c r="P44" s="23">
        <v>0.89960400810537999</v>
      </c>
      <c r="Q44" s="23">
        <v>0.88828571560324598</v>
      </c>
      <c r="R44" s="21">
        <v>23.657550826864199</v>
      </c>
      <c r="S44" s="21">
        <v>24.210227740099999</v>
      </c>
      <c r="T44" s="21">
        <v>23.9003769505123</v>
      </c>
      <c r="U44" s="22">
        <v>-2.5970628347226798E-2</v>
      </c>
      <c r="V44" s="22">
        <v>-2.8777884247702E-3</v>
      </c>
      <c r="W44" s="22">
        <v>-1.5758735390244201E-2</v>
      </c>
      <c r="X44" s="23">
        <v>0.90126206384558205</v>
      </c>
      <c r="Y44" s="23">
        <v>0.87815704628300895</v>
      </c>
      <c r="Z44" s="23">
        <v>0.89960400810537999</v>
      </c>
      <c r="AA44" s="23">
        <v>0.88828571560324598</v>
      </c>
      <c r="AB44" s="21">
        <v>23.657550826864199</v>
      </c>
      <c r="AC44" s="21">
        <v>24.210227740099999</v>
      </c>
      <c r="AD44" s="21">
        <v>23.9003769505123</v>
      </c>
      <c r="AE44" s="22">
        <v>-2.5970628347226798E-2</v>
      </c>
      <c r="AF44" s="22">
        <v>-2.8777884247702E-3</v>
      </c>
      <c r="AG44" s="22">
        <v>-1.5758735390244201E-2</v>
      </c>
      <c r="AZ44" s="17"/>
      <c r="BB44">
        <f t="shared" si="6"/>
        <v>1</v>
      </c>
      <c r="BC44">
        <f t="shared" si="7"/>
        <v>0</v>
      </c>
      <c r="BD44">
        <f t="shared" si="8"/>
        <v>1</v>
      </c>
      <c r="BE44">
        <f t="shared" si="4"/>
        <v>1</v>
      </c>
      <c r="BF44">
        <f t="shared" si="9"/>
        <v>1</v>
      </c>
      <c r="BG44" s="17">
        <f t="shared" si="10"/>
        <v>9.3232075657852E-3</v>
      </c>
      <c r="BH44" s="17">
        <f t="shared" si="11"/>
        <v>-1.0349916442919899E-2</v>
      </c>
      <c r="BI44" s="17">
        <f t="shared" si="12"/>
        <v>-1.0267088771346994E-3</v>
      </c>
      <c r="BJ44" s="11">
        <f t="shared" si="13"/>
        <v>-1.7588473487171203E-3</v>
      </c>
      <c r="BL44" s="17"/>
      <c r="BN44">
        <f t="shared" si="14"/>
        <v>0</v>
      </c>
      <c r="BO44">
        <f t="shared" si="15"/>
        <v>1</v>
      </c>
      <c r="BP44">
        <f t="shared" si="16"/>
        <v>0</v>
      </c>
      <c r="BQ44">
        <f t="shared" si="5"/>
        <v>1</v>
      </c>
      <c r="BR44">
        <f t="shared" si="17"/>
        <v>0</v>
      </c>
      <c r="BS44" s="17">
        <f t="shared" si="18"/>
        <v>0</v>
      </c>
      <c r="BT44" s="17">
        <f t="shared" si="19"/>
        <v>0</v>
      </c>
      <c r="BU44" s="17">
        <f t="shared" si="20"/>
        <v>0</v>
      </c>
      <c r="BV44" s="11">
        <f t="shared" si="21"/>
        <v>0</v>
      </c>
      <c r="BX44" s="11">
        <f t="shared" si="22"/>
        <v>-1.0267088771346994E-3</v>
      </c>
      <c r="BY44" s="11">
        <f t="shared" si="23"/>
        <v>-1.7588473487171203E-3</v>
      </c>
    </row>
    <row r="45" spans="1:98" x14ac:dyDescent="0.3">
      <c r="A45" s="1">
        <v>46087</v>
      </c>
      <c r="B45" s="21">
        <v>27.7</v>
      </c>
      <c r="C45" s="21">
        <v>24.62</v>
      </c>
      <c r="D45" s="22">
        <v>2.7820242211074899E-2</v>
      </c>
      <c r="E45" s="22">
        <v>1.3906154565009999E-2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27.7</v>
      </c>
      <c r="M45" s="21">
        <v>24.62</v>
      </c>
      <c r="N45" s="23">
        <v>0.88880866425992699</v>
      </c>
      <c r="O45" s="23">
        <v>0.87815704628300895</v>
      </c>
      <c r="P45" s="23">
        <v>0.89940766172534703</v>
      </c>
      <c r="Q45" s="23">
        <v>0.888531187151401</v>
      </c>
      <c r="R45" s="21">
        <v>24.324950182039299</v>
      </c>
      <c r="S45" s="21">
        <v>24.919031024519001</v>
      </c>
      <c r="T45" s="21">
        <v>24.605514322209899</v>
      </c>
      <c r="U45" s="22">
        <v>-1.2056540701161999E-2</v>
      </c>
      <c r="V45" s="22">
        <v>1.2072688960697599E-2</v>
      </c>
      <c r="W45" s="22">
        <v>-5.8854349853617303E-4</v>
      </c>
      <c r="X45" s="23">
        <v>0.88880866425992699</v>
      </c>
      <c r="Y45" s="23">
        <v>0.87815704628300895</v>
      </c>
      <c r="Z45" s="23">
        <v>0.89940766172534703</v>
      </c>
      <c r="AA45" s="23">
        <v>0.888531187151401</v>
      </c>
      <c r="AB45" s="21">
        <v>24.324950182039299</v>
      </c>
      <c r="AC45" s="21">
        <v>24.919031024519001</v>
      </c>
      <c r="AD45" s="21">
        <v>24.605514322209899</v>
      </c>
      <c r="AE45" s="22">
        <v>-1.2056540701161999E-2</v>
      </c>
      <c r="AF45" s="22">
        <v>1.2072688960697599E-2</v>
      </c>
      <c r="AG45" s="22">
        <v>-5.8854349853617303E-4</v>
      </c>
      <c r="AZ45" s="17"/>
      <c r="BB45">
        <f t="shared" si="6"/>
        <v>0</v>
      </c>
      <c r="BC45">
        <f t="shared" si="7"/>
        <v>1</v>
      </c>
      <c r="BD45">
        <f t="shared" si="8"/>
        <v>1</v>
      </c>
      <c r="BE45">
        <f t="shared" si="4"/>
        <v>1</v>
      </c>
      <c r="BF45">
        <f t="shared" si="9"/>
        <v>1</v>
      </c>
      <c r="BG45" s="17">
        <f t="shared" si="10"/>
        <v>2.7820242211074899E-2</v>
      </c>
      <c r="BH45" s="17">
        <f t="shared" si="11"/>
        <v>-1.3906154565009999E-2</v>
      </c>
      <c r="BI45" s="17">
        <f t="shared" si="12"/>
        <v>1.39140876460649E-2</v>
      </c>
      <c r="BJ45" s="11">
        <f t="shared" si="13"/>
        <v>1.215524029734778E-2</v>
      </c>
      <c r="BL45" s="17"/>
      <c r="BN45">
        <f t="shared" si="14"/>
        <v>0</v>
      </c>
      <c r="BO45">
        <f t="shared" si="15"/>
        <v>1</v>
      </c>
      <c r="BP45">
        <f t="shared" si="16"/>
        <v>0</v>
      </c>
      <c r="BQ45">
        <f t="shared" si="5"/>
        <v>1</v>
      </c>
      <c r="BR45">
        <f t="shared" si="17"/>
        <v>0</v>
      </c>
      <c r="BS45" s="17">
        <f t="shared" si="18"/>
        <v>0</v>
      </c>
      <c r="BT45" s="17">
        <f t="shared" si="19"/>
        <v>0</v>
      </c>
      <c r="BU45" s="17">
        <f t="shared" si="20"/>
        <v>0</v>
      </c>
      <c r="BV45" s="11">
        <f t="shared" si="21"/>
        <v>0</v>
      </c>
      <c r="BX45" s="11">
        <f t="shared" si="22"/>
        <v>1.39140876460649E-2</v>
      </c>
      <c r="BY45" s="11">
        <f t="shared" si="23"/>
        <v>1.215524029734778E-2</v>
      </c>
    </row>
    <row r="46" spans="1:98" x14ac:dyDescent="0.3">
      <c r="A46" s="1">
        <v>46090</v>
      </c>
      <c r="B46" s="21">
        <v>27.71</v>
      </c>
      <c r="C46" s="21">
        <v>24.54</v>
      </c>
      <c r="D46" s="22">
        <v>3.6094568159423499E-4</v>
      </c>
      <c r="E46" s="22">
        <v>-3.2546814735421401E-3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27.71</v>
      </c>
      <c r="M46" s="21">
        <v>24.54</v>
      </c>
      <c r="N46" s="23">
        <v>0.88560086611331601</v>
      </c>
      <c r="O46" s="23">
        <v>0.87815704628300895</v>
      </c>
      <c r="P46" s="23">
        <v>0.89895846041098204</v>
      </c>
      <c r="Q46" s="23">
        <v>0.88895158133426</v>
      </c>
      <c r="R46" s="21">
        <v>24.3337317525021</v>
      </c>
      <c r="S46" s="21">
        <v>24.922586306409301</v>
      </c>
      <c r="T46" s="21">
        <v>24.6211991959653</v>
      </c>
      <c r="U46" s="22">
        <v>-8.4409135460254605E-3</v>
      </c>
      <c r="V46" s="22">
        <v>1.5470033617609499E-2</v>
      </c>
      <c r="W46" s="22">
        <v>3.3033884906394102E-3</v>
      </c>
      <c r="X46" s="23">
        <v>0.88560086611331601</v>
      </c>
      <c r="Y46" s="23">
        <v>0.87815704628300895</v>
      </c>
      <c r="Z46" s="23">
        <v>0.89895846041098204</v>
      </c>
      <c r="AA46" s="23">
        <v>0.88895158133426</v>
      </c>
      <c r="AB46" s="21">
        <v>24.3337317525021</v>
      </c>
      <c r="AC46" s="21">
        <v>24.922586306409301</v>
      </c>
      <c r="AD46" s="21">
        <v>24.6211991959653</v>
      </c>
      <c r="AE46" s="22">
        <v>-8.4409135460254605E-3</v>
      </c>
      <c r="AF46" s="22">
        <v>1.5470033617609499E-2</v>
      </c>
      <c r="AG46" s="22">
        <v>3.3033884906394102E-3</v>
      </c>
      <c r="AZ46" s="17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17">
        <f t="shared" si="10"/>
        <v>0</v>
      </c>
      <c r="BH46" s="17">
        <f t="shared" si="11"/>
        <v>0</v>
      </c>
      <c r="BI46" s="17">
        <f t="shared" si="12"/>
        <v>0</v>
      </c>
      <c r="BJ46" s="11">
        <f t="shared" si="13"/>
        <v>1.215524029734778E-2</v>
      </c>
      <c r="BL46" s="17"/>
      <c r="BN46">
        <f t="shared" si="14"/>
        <v>0</v>
      </c>
      <c r="BO46">
        <f t="shared" si="15"/>
        <v>1</v>
      </c>
      <c r="BP46">
        <f t="shared" si="16"/>
        <v>0</v>
      </c>
      <c r="BQ46">
        <f t="shared" si="5"/>
        <v>1</v>
      </c>
      <c r="BR46">
        <f t="shared" si="17"/>
        <v>0</v>
      </c>
      <c r="BS46" s="17">
        <f t="shared" si="18"/>
        <v>0</v>
      </c>
      <c r="BT46" s="17">
        <f t="shared" si="19"/>
        <v>0</v>
      </c>
      <c r="BU46" s="17">
        <f t="shared" si="20"/>
        <v>0</v>
      </c>
      <c r="BV46" s="11">
        <f t="shared" si="21"/>
        <v>0</v>
      </c>
      <c r="BX46" s="11">
        <f t="shared" si="22"/>
        <v>0</v>
      </c>
      <c r="BY46" s="11">
        <f t="shared" si="23"/>
        <v>1.215524029734778E-2</v>
      </c>
    </row>
    <row r="47" spans="1:98" x14ac:dyDescent="0.3">
      <c r="A47" s="1">
        <v>46091</v>
      </c>
      <c r="B47" s="21">
        <v>27.22</v>
      </c>
      <c r="C47" s="21">
        <v>24.03</v>
      </c>
      <c r="D47" s="22">
        <v>-1.7841361651567099E-2</v>
      </c>
      <c r="E47" s="22">
        <v>-2.10013895343877E-2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27.22</v>
      </c>
      <c r="M47" s="21">
        <v>24.03</v>
      </c>
      <c r="N47" s="23">
        <v>0.88280675973548794</v>
      </c>
      <c r="O47" s="23">
        <v>0.87815704628300895</v>
      </c>
      <c r="P47" s="23">
        <v>0.89822223930311695</v>
      </c>
      <c r="Q47" s="23">
        <v>0.88981060984254101</v>
      </c>
      <c r="R47" s="21">
        <v>23.903434799823501</v>
      </c>
      <c r="S47" s="21">
        <v>24.469649292386901</v>
      </c>
      <c r="T47" s="21">
        <v>24.197262043918499</v>
      </c>
      <c r="U47" s="22">
        <v>-5.2808856632049197E-3</v>
      </c>
      <c r="V47" s="22">
        <v>1.8130495457478E-2</v>
      </c>
      <c r="W47" s="22">
        <v>6.9364383325484103E-3</v>
      </c>
      <c r="X47" s="23">
        <v>0.88280675973548794</v>
      </c>
      <c r="Y47" s="23">
        <v>0.87815704628300895</v>
      </c>
      <c r="Z47" s="23">
        <v>0.89822223930311695</v>
      </c>
      <c r="AA47" s="23">
        <v>0.88981060984254101</v>
      </c>
      <c r="AB47" s="21">
        <v>23.903434799823501</v>
      </c>
      <c r="AC47" s="21">
        <v>24.469649292386901</v>
      </c>
      <c r="AD47" s="21">
        <v>24.197262043918499</v>
      </c>
      <c r="AE47" s="22">
        <v>-5.2808856632049197E-3</v>
      </c>
      <c r="AF47" s="22">
        <v>1.8130495457478E-2</v>
      </c>
      <c r="AG47" s="22">
        <v>6.9364383325484103E-3</v>
      </c>
      <c r="AZ47" s="17"/>
      <c r="BB47">
        <f t="shared" si="6"/>
        <v>0</v>
      </c>
      <c r="BC47">
        <f t="shared" si="7"/>
        <v>1</v>
      </c>
      <c r="BD47">
        <f t="shared" si="8"/>
        <v>0</v>
      </c>
      <c r="BE47">
        <f t="shared" si="4"/>
        <v>0</v>
      </c>
      <c r="BF47">
        <f t="shared" si="9"/>
        <v>0</v>
      </c>
      <c r="BG47" s="17">
        <f t="shared" si="10"/>
        <v>0</v>
      </c>
      <c r="BH47" s="17">
        <f t="shared" si="11"/>
        <v>0</v>
      </c>
      <c r="BI47" s="17">
        <f t="shared" si="12"/>
        <v>0</v>
      </c>
      <c r="BJ47" s="11">
        <f t="shared" si="13"/>
        <v>1.215524029734778E-2</v>
      </c>
      <c r="BL47" s="17"/>
      <c r="BN47">
        <f t="shared" si="14"/>
        <v>0</v>
      </c>
      <c r="BO47">
        <f t="shared" si="15"/>
        <v>0</v>
      </c>
      <c r="BP47">
        <f t="shared" si="16"/>
        <v>0</v>
      </c>
      <c r="BQ47">
        <f t="shared" si="5"/>
        <v>0</v>
      </c>
      <c r="BR47">
        <f t="shared" si="17"/>
        <v>0</v>
      </c>
      <c r="BS47" s="17">
        <f t="shared" si="18"/>
        <v>0</v>
      </c>
      <c r="BT47" s="17">
        <f t="shared" si="19"/>
        <v>0</v>
      </c>
      <c r="BU47" s="17">
        <f t="shared" si="20"/>
        <v>0</v>
      </c>
      <c r="BV47" s="11">
        <f t="shared" si="21"/>
        <v>0</v>
      </c>
      <c r="BX47" s="11">
        <f t="shared" si="22"/>
        <v>0</v>
      </c>
      <c r="BY47" s="11">
        <f t="shared" si="23"/>
        <v>1.215524029734778E-2</v>
      </c>
    </row>
    <row r="48" spans="1:98" x14ac:dyDescent="0.3">
      <c r="A48" s="1">
        <v>46092</v>
      </c>
      <c r="B48" s="21">
        <v>27.43</v>
      </c>
      <c r="C48" s="21">
        <v>24.24</v>
      </c>
      <c r="D48" s="22">
        <v>7.6853077261919501E-3</v>
      </c>
      <c r="E48" s="22">
        <v>8.7011114527359504E-3</v>
      </c>
      <c r="F48" s="21">
        <v>0.1</v>
      </c>
      <c r="G48" s="21">
        <v>0.1</v>
      </c>
      <c r="H48" s="21">
        <v>0.1</v>
      </c>
      <c r="I48" s="21">
        <v>0.1</v>
      </c>
      <c r="J48" s="21">
        <v>0</v>
      </c>
      <c r="K48" s="21">
        <v>0</v>
      </c>
      <c r="L48" s="21">
        <v>27.43</v>
      </c>
      <c r="M48" s="21">
        <v>24.24</v>
      </c>
      <c r="N48" s="23">
        <v>0.883703973751367</v>
      </c>
      <c r="O48" s="23">
        <v>0.87815704628300895</v>
      </c>
      <c r="P48" s="23">
        <v>0.89679827262646405</v>
      </c>
      <c r="Q48" s="23">
        <v>0.890650220294816</v>
      </c>
      <c r="R48" s="21">
        <v>24.087847779542901</v>
      </c>
      <c r="S48" s="21">
        <v>24.638236024084499</v>
      </c>
      <c r="T48" s="21">
        <v>24.4075050279809</v>
      </c>
      <c r="U48" s="22">
        <v>-6.2966893897490701E-3</v>
      </c>
      <c r="V48" s="22">
        <v>1.6295384969888901E-2</v>
      </c>
      <c r="W48" s="22">
        <v>6.8865069180264003E-3</v>
      </c>
      <c r="X48" s="23">
        <v>0.883703973751367</v>
      </c>
      <c r="Y48" s="23">
        <v>0.87815704628300895</v>
      </c>
      <c r="Z48" s="23">
        <v>0.89679827262646405</v>
      </c>
      <c r="AA48" s="23">
        <v>0.890650220294816</v>
      </c>
      <c r="AB48" s="21">
        <v>24.087847779542901</v>
      </c>
      <c r="AC48" s="21">
        <v>24.638236024084499</v>
      </c>
      <c r="AD48" s="21">
        <v>24.4075050279809</v>
      </c>
      <c r="AE48" s="22">
        <v>-6.2966893897490701E-3</v>
      </c>
      <c r="AF48" s="22">
        <v>1.6295384969888901E-2</v>
      </c>
      <c r="AG48" s="22">
        <v>6.8865069180264003E-3</v>
      </c>
      <c r="AZ48" s="17"/>
      <c r="BB48">
        <f t="shared" si="6"/>
        <v>0</v>
      </c>
      <c r="BC48">
        <f t="shared" si="7"/>
        <v>1</v>
      </c>
      <c r="BD48">
        <f t="shared" si="8"/>
        <v>0</v>
      </c>
      <c r="BE48">
        <f t="shared" si="4"/>
        <v>1</v>
      </c>
      <c r="BF48">
        <f t="shared" si="9"/>
        <v>0</v>
      </c>
      <c r="BG48" s="17">
        <f t="shared" si="10"/>
        <v>0</v>
      </c>
      <c r="BH48" s="17">
        <f t="shared" si="11"/>
        <v>0</v>
      </c>
      <c r="BI48" s="17">
        <f t="shared" si="12"/>
        <v>0</v>
      </c>
      <c r="BJ48" s="11">
        <f t="shared" si="13"/>
        <v>1.215524029734778E-2</v>
      </c>
      <c r="BL48" s="17"/>
      <c r="BN48">
        <f t="shared" si="14"/>
        <v>0</v>
      </c>
      <c r="BO48">
        <f t="shared" si="15"/>
        <v>0</v>
      </c>
      <c r="BP48">
        <f t="shared" si="16"/>
        <v>0</v>
      </c>
      <c r="BQ48">
        <f t="shared" si="5"/>
        <v>1</v>
      </c>
      <c r="BR48">
        <f t="shared" si="17"/>
        <v>0</v>
      </c>
      <c r="BS48" s="17">
        <f t="shared" si="18"/>
        <v>0</v>
      </c>
      <c r="BT48" s="17">
        <f t="shared" si="19"/>
        <v>0</v>
      </c>
      <c r="BU48" s="17">
        <f t="shared" si="20"/>
        <v>0</v>
      </c>
      <c r="BV48" s="11">
        <f t="shared" si="21"/>
        <v>0</v>
      </c>
      <c r="BX48" s="11">
        <f t="shared" si="22"/>
        <v>0</v>
      </c>
      <c r="BY48" s="11">
        <f t="shared" si="23"/>
        <v>1.215524029734778E-2</v>
      </c>
    </row>
    <row r="49" spans="1:77" x14ac:dyDescent="0.3">
      <c r="A49" s="1">
        <v>46093</v>
      </c>
      <c r="B49" s="21">
        <v>26.66</v>
      </c>
      <c r="C49" s="21">
        <v>23.58</v>
      </c>
      <c r="D49" s="22">
        <v>-2.8472990198949201E-2</v>
      </c>
      <c r="E49" s="22">
        <v>-2.7605266091888798E-2</v>
      </c>
      <c r="F49" s="21">
        <v>0</v>
      </c>
      <c r="G49" s="21">
        <v>0.1</v>
      </c>
      <c r="H49" s="21">
        <v>0</v>
      </c>
      <c r="I49" s="21">
        <v>0.1</v>
      </c>
      <c r="J49" s="21">
        <v>0</v>
      </c>
      <c r="K49" s="21">
        <v>0</v>
      </c>
      <c r="L49" s="21">
        <v>26.66</v>
      </c>
      <c r="M49" s="21">
        <v>23.58</v>
      </c>
      <c r="N49" s="23">
        <v>0.88447111777944398</v>
      </c>
      <c r="O49" s="23">
        <v>0.87815704628300895</v>
      </c>
      <c r="P49" s="23">
        <v>0.89497069992037004</v>
      </c>
      <c r="Q49" s="23">
        <v>0.89148812595957305</v>
      </c>
      <c r="R49" s="21">
        <v>23.411666853905</v>
      </c>
      <c r="S49" s="21">
        <v>23.908641948221501</v>
      </c>
      <c r="T49" s="21">
        <v>23.744734873059699</v>
      </c>
      <c r="U49" s="22">
        <v>-7.1644134968094301E-3</v>
      </c>
      <c r="V49" s="22">
        <v>1.38410862628255E-2</v>
      </c>
      <c r="W49" s="22">
        <v>6.9619212392866298E-3</v>
      </c>
      <c r="X49" s="23">
        <v>0.88447111777944398</v>
      </c>
      <c r="Y49" s="23">
        <v>0.87815704628300895</v>
      </c>
      <c r="Z49" s="23">
        <v>0.89497069992037004</v>
      </c>
      <c r="AA49" s="23">
        <v>0.89148812595957305</v>
      </c>
      <c r="AB49" s="21">
        <v>23.411666853905</v>
      </c>
      <c r="AC49" s="21">
        <v>23.908641948221501</v>
      </c>
      <c r="AD49" s="21">
        <v>23.744734873059699</v>
      </c>
      <c r="AE49" s="22">
        <v>-7.1644134968094301E-3</v>
      </c>
      <c r="AF49" s="22">
        <v>1.38410862628255E-2</v>
      </c>
      <c r="AG49" s="22">
        <v>6.9619212392866298E-3</v>
      </c>
      <c r="AZ49" s="17"/>
      <c r="BB49">
        <f t="shared" si="6"/>
        <v>0</v>
      </c>
      <c r="BC49">
        <f t="shared" si="7"/>
        <v>1</v>
      </c>
      <c r="BD49">
        <f t="shared" si="8"/>
        <v>0</v>
      </c>
      <c r="BE49">
        <f t="shared" si="4"/>
        <v>1</v>
      </c>
      <c r="BF49">
        <f t="shared" si="9"/>
        <v>0</v>
      </c>
      <c r="BG49" s="17">
        <f t="shared" si="10"/>
        <v>0</v>
      </c>
      <c r="BH49" s="17">
        <f t="shared" si="11"/>
        <v>0</v>
      </c>
      <c r="BI49" s="17">
        <f t="shared" si="12"/>
        <v>0</v>
      </c>
      <c r="BJ49" s="11">
        <f t="shared" si="13"/>
        <v>1.215524029734778E-2</v>
      </c>
      <c r="BL49" s="17"/>
      <c r="BN49">
        <f t="shared" si="14"/>
        <v>0</v>
      </c>
      <c r="BO49">
        <f t="shared" si="15"/>
        <v>0</v>
      </c>
      <c r="BP49">
        <f t="shared" si="16"/>
        <v>0</v>
      </c>
      <c r="BQ49">
        <f t="shared" si="5"/>
        <v>1</v>
      </c>
      <c r="BR49">
        <f t="shared" si="17"/>
        <v>0</v>
      </c>
      <c r="BS49" s="17">
        <f t="shared" si="18"/>
        <v>0</v>
      </c>
      <c r="BT49" s="17">
        <f t="shared" si="19"/>
        <v>0</v>
      </c>
      <c r="BU49" s="17">
        <f t="shared" si="20"/>
        <v>0</v>
      </c>
      <c r="BV49" s="11">
        <f t="shared" si="21"/>
        <v>0</v>
      </c>
      <c r="BX49" s="11">
        <f t="shared" si="22"/>
        <v>0</v>
      </c>
      <c r="BY49" s="11">
        <f t="shared" si="23"/>
        <v>1.215524029734778E-2</v>
      </c>
    </row>
    <row r="50" spans="1:77" x14ac:dyDescent="0.3">
      <c r="A50" s="1">
        <v>46094</v>
      </c>
      <c r="B50" s="21">
        <v>26.76</v>
      </c>
      <c r="C50" s="21">
        <v>23.7</v>
      </c>
      <c r="D50" s="22">
        <v>3.74392050946506E-3</v>
      </c>
      <c r="E50" s="22">
        <v>5.0761530318605601E-3</v>
      </c>
      <c r="F50" s="21">
        <v>0</v>
      </c>
      <c r="G50" s="21">
        <v>0.1</v>
      </c>
      <c r="H50" s="21">
        <v>0</v>
      </c>
      <c r="I50" s="21">
        <v>0.1</v>
      </c>
      <c r="J50" s="21">
        <v>0</v>
      </c>
      <c r="K50" s="21">
        <v>0</v>
      </c>
      <c r="L50" s="21">
        <v>26.76</v>
      </c>
      <c r="M50" s="21">
        <v>23.7</v>
      </c>
      <c r="N50" s="23">
        <v>0.88565022421524597</v>
      </c>
      <c r="O50" s="23">
        <v>0.87815704628300895</v>
      </c>
      <c r="P50" s="23">
        <v>0.89283370591172295</v>
      </c>
      <c r="Q50" s="23">
        <v>0.89212293646885399</v>
      </c>
      <c r="R50" s="21">
        <v>23.499482558533298</v>
      </c>
      <c r="S50" s="21">
        <v>23.949415929869101</v>
      </c>
      <c r="T50" s="21">
        <v>23.856222250678101</v>
      </c>
      <c r="U50" s="22">
        <v>-8.4966460192049606E-3</v>
      </c>
      <c r="V50" s="22">
        <v>1.04688883566372E-2</v>
      </c>
      <c r="W50" s="22">
        <v>6.57002618088215E-3</v>
      </c>
      <c r="X50" s="23">
        <v>0.88565022421524597</v>
      </c>
      <c r="Y50" s="23">
        <v>0.87815704628300895</v>
      </c>
      <c r="Z50" s="23">
        <v>0.89283370591172295</v>
      </c>
      <c r="AA50" s="23">
        <v>0.89212293646885399</v>
      </c>
      <c r="AB50" s="21">
        <v>23.499482558533298</v>
      </c>
      <c r="AC50" s="21">
        <v>23.949415929869101</v>
      </c>
      <c r="AD50" s="21">
        <v>23.856222250678101</v>
      </c>
      <c r="AE50" s="22">
        <v>-8.4966460192049606E-3</v>
      </c>
      <c r="AF50" s="22">
        <v>1.04688883566372E-2</v>
      </c>
      <c r="AG50" s="22">
        <v>6.57002618088215E-3</v>
      </c>
      <c r="AZ50" s="17"/>
      <c r="BB50">
        <f t="shared" si="6"/>
        <v>0</v>
      </c>
      <c r="BC50">
        <f t="shared" si="7"/>
        <v>1</v>
      </c>
      <c r="BD50">
        <f t="shared" si="8"/>
        <v>0</v>
      </c>
      <c r="BE50">
        <f t="shared" si="4"/>
        <v>1</v>
      </c>
      <c r="BF50">
        <f t="shared" si="9"/>
        <v>0</v>
      </c>
      <c r="BG50" s="17">
        <f t="shared" si="10"/>
        <v>0</v>
      </c>
      <c r="BH50" s="17">
        <f t="shared" si="11"/>
        <v>0</v>
      </c>
      <c r="BI50" s="17">
        <f t="shared" si="12"/>
        <v>0</v>
      </c>
      <c r="BJ50" s="11">
        <f t="shared" si="13"/>
        <v>1.215524029734778E-2</v>
      </c>
      <c r="BL50" s="17"/>
      <c r="BN50">
        <f t="shared" si="14"/>
        <v>0</v>
      </c>
      <c r="BO50">
        <f t="shared" si="15"/>
        <v>0</v>
      </c>
      <c r="BP50">
        <f t="shared" si="16"/>
        <v>0</v>
      </c>
      <c r="BQ50">
        <f t="shared" si="5"/>
        <v>1</v>
      </c>
      <c r="BR50">
        <f t="shared" si="17"/>
        <v>0</v>
      </c>
      <c r="BS50" s="17">
        <f t="shared" si="18"/>
        <v>0</v>
      </c>
      <c r="BT50" s="17">
        <f t="shared" si="19"/>
        <v>0</v>
      </c>
      <c r="BU50" s="17">
        <f t="shared" si="20"/>
        <v>0</v>
      </c>
      <c r="BV50" s="11">
        <f t="shared" si="21"/>
        <v>0</v>
      </c>
      <c r="BX50" s="11">
        <f t="shared" si="22"/>
        <v>0</v>
      </c>
      <c r="BY50" s="11">
        <f t="shared" si="23"/>
        <v>1.215524029734778E-2</v>
      </c>
    </row>
    <row r="51" spans="1:77" x14ac:dyDescent="0.3">
      <c r="A51" s="1">
        <v>46097</v>
      </c>
      <c r="B51" s="21">
        <v>27.36</v>
      </c>
      <c r="C51" s="21">
        <v>24.2</v>
      </c>
      <c r="D51" s="22">
        <v>2.21738574943218E-2</v>
      </c>
      <c r="E51" s="22">
        <v>2.0877585021555099E-2</v>
      </c>
      <c r="F51" s="21">
        <v>0</v>
      </c>
      <c r="G51" s="21">
        <v>0.1</v>
      </c>
      <c r="H51" s="21">
        <v>0</v>
      </c>
      <c r="I51" s="21">
        <v>0.1</v>
      </c>
      <c r="J51" s="21">
        <v>0</v>
      </c>
      <c r="K51" s="21">
        <v>0</v>
      </c>
      <c r="L51" s="21">
        <v>27.36</v>
      </c>
      <c r="M51" s="21">
        <v>24.2</v>
      </c>
      <c r="N51" s="23">
        <v>0.88450292397660801</v>
      </c>
      <c r="O51" s="23">
        <v>0.87815704628300895</v>
      </c>
      <c r="P51" s="23">
        <v>0.89052292295913804</v>
      </c>
      <c r="Q51" s="23">
        <v>0.89265577497537696</v>
      </c>
      <c r="R51" s="21">
        <v>24.0263767863031</v>
      </c>
      <c r="S51" s="21">
        <v>24.4279301937447</v>
      </c>
      <c r="T51" s="21">
        <v>24.408483541787799</v>
      </c>
      <c r="U51" s="22">
        <v>-7.2003735464383004E-3</v>
      </c>
      <c r="V51" s="22">
        <v>9.37452456131504E-3</v>
      </c>
      <c r="W51" s="22">
        <v>8.5781248465431701E-3</v>
      </c>
      <c r="X51" s="23">
        <v>0.88450292397660801</v>
      </c>
      <c r="Y51" s="23">
        <v>0.87815704628300895</v>
      </c>
      <c r="Z51" s="23">
        <v>0.89052292295913804</v>
      </c>
      <c r="AA51" s="23">
        <v>0.89265577497537696</v>
      </c>
      <c r="AB51" s="21">
        <v>24.0263767863031</v>
      </c>
      <c r="AC51" s="21">
        <v>24.4279301937447</v>
      </c>
      <c r="AD51" s="21">
        <v>24.408483541787799</v>
      </c>
      <c r="AE51" s="22">
        <v>-7.2003735464383004E-3</v>
      </c>
      <c r="AF51" s="22">
        <v>9.37452456131504E-3</v>
      </c>
      <c r="AG51" s="22">
        <v>8.5781248465431701E-3</v>
      </c>
      <c r="AZ51" s="17"/>
      <c r="BB51">
        <f t="shared" si="6"/>
        <v>0</v>
      </c>
      <c r="BC51">
        <f t="shared" si="7"/>
        <v>1</v>
      </c>
      <c r="BD51">
        <f t="shared" si="8"/>
        <v>0</v>
      </c>
      <c r="BE51">
        <f t="shared" si="4"/>
        <v>1</v>
      </c>
      <c r="BF51">
        <f t="shared" si="9"/>
        <v>0</v>
      </c>
      <c r="BG51" s="17">
        <f t="shared" si="10"/>
        <v>0</v>
      </c>
      <c r="BH51" s="17">
        <f t="shared" si="11"/>
        <v>0</v>
      </c>
      <c r="BI51" s="17">
        <f t="shared" si="12"/>
        <v>0</v>
      </c>
      <c r="BJ51" s="11">
        <f t="shared" si="13"/>
        <v>1.215524029734778E-2</v>
      </c>
      <c r="BL51" s="17"/>
      <c r="BN51">
        <f t="shared" si="14"/>
        <v>0</v>
      </c>
      <c r="BO51">
        <f t="shared" si="15"/>
        <v>0</v>
      </c>
      <c r="BP51">
        <f t="shared" si="16"/>
        <v>0</v>
      </c>
      <c r="BQ51">
        <f t="shared" si="5"/>
        <v>1</v>
      </c>
      <c r="BR51">
        <f t="shared" si="17"/>
        <v>0</v>
      </c>
      <c r="BS51" s="17">
        <f t="shared" si="18"/>
        <v>0</v>
      </c>
      <c r="BT51" s="17">
        <f t="shared" si="19"/>
        <v>0</v>
      </c>
      <c r="BU51" s="17">
        <f t="shared" si="20"/>
        <v>0</v>
      </c>
      <c r="BV51" s="11">
        <f t="shared" si="21"/>
        <v>0</v>
      </c>
      <c r="BX51" s="11">
        <f t="shared" si="22"/>
        <v>0</v>
      </c>
      <c r="BY51" s="11">
        <f t="shared" si="23"/>
        <v>1.215524029734778E-2</v>
      </c>
    </row>
    <row r="52" spans="1:77" x14ac:dyDescent="0.3">
      <c r="A52" s="1">
        <v>46098</v>
      </c>
      <c r="B52" s="21">
        <v>27.37</v>
      </c>
      <c r="C52" s="21">
        <v>24.34</v>
      </c>
      <c r="D52" s="22">
        <v>3.6543029823800599E-4</v>
      </c>
      <c r="E52" s="22">
        <v>5.7684543967404401E-3</v>
      </c>
      <c r="F52" s="21">
        <v>0</v>
      </c>
      <c r="G52" s="21">
        <v>0.1</v>
      </c>
      <c r="H52" s="21">
        <v>0</v>
      </c>
      <c r="I52" s="21">
        <v>0.1</v>
      </c>
      <c r="J52" s="21">
        <v>0</v>
      </c>
      <c r="K52" s="21">
        <v>0</v>
      </c>
      <c r="L52" s="21">
        <v>27.37</v>
      </c>
      <c r="M52" s="21">
        <v>24.34</v>
      </c>
      <c r="N52" s="23">
        <v>0.88929484837413197</v>
      </c>
      <c r="O52" s="23">
        <v>0.87815704628300895</v>
      </c>
      <c r="P52" s="23">
        <v>0.88864386469967804</v>
      </c>
      <c r="Q52" s="23">
        <v>0.89306656602630197</v>
      </c>
      <c r="R52" s="21">
        <v>24.035158356765901</v>
      </c>
      <c r="S52" s="21">
        <v>24.3736124013916</v>
      </c>
      <c r="T52" s="21">
        <v>24.431988561076</v>
      </c>
      <c r="U52" s="22">
        <v>-1.2603397644940499E-2</v>
      </c>
      <c r="V52" s="22">
        <v>1.3800005817240499E-3</v>
      </c>
      <c r="W52" s="22">
        <v>3.7721927224538499E-3</v>
      </c>
      <c r="X52" s="23">
        <v>0.88929484837413197</v>
      </c>
      <c r="Y52" s="23">
        <v>0.87815704628300895</v>
      </c>
      <c r="Z52" s="23">
        <v>0.88864386469967804</v>
      </c>
      <c r="AA52" s="23">
        <v>0.89306656602630197</v>
      </c>
      <c r="AB52" s="21">
        <v>24.035158356765901</v>
      </c>
      <c r="AC52" s="21">
        <v>24.3736124013916</v>
      </c>
      <c r="AD52" s="21">
        <v>24.431988561076</v>
      </c>
      <c r="AE52" s="22">
        <v>-1.2603397644940499E-2</v>
      </c>
      <c r="AF52" s="22">
        <v>1.3800005817240499E-3</v>
      </c>
      <c r="AG52" s="22">
        <v>3.7721927224538499E-3</v>
      </c>
      <c r="AZ52" s="17"/>
      <c r="BB52">
        <f t="shared" si="6"/>
        <v>0</v>
      </c>
      <c r="BC52">
        <f t="shared" si="7"/>
        <v>1</v>
      </c>
      <c r="BD52">
        <f t="shared" si="8"/>
        <v>0</v>
      </c>
      <c r="BE52">
        <f t="shared" si="4"/>
        <v>1</v>
      </c>
      <c r="BF52">
        <f t="shared" si="9"/>
        <v>0</v>
      </c>
      <c r="BG52" s="17">
        <f t="shared" si="10"/>
        <v>0</v>
      </c>
      <c r="BH52" s="17">
        <f t="shared" si="11"/>
        <v>0</v>
      </c>
      <c r="BI52" s="17">
        <f t="shared" si="12"/>
        <v>0</v>
      </c>
      <c r="BJ52" s="11">
        <f t="shared" si="13"/>
        <v>1.215524029734778E-2</v>
      </c>
      <c r="BL52" s="17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17">
        <f t="shared" si="18"/>
        <v>0</v>
      </c>
      <c r="BT52" s="17">
        <f t="shared" si="19"/>
        <v>0</v>
      </c>
      <c r="BU52" s="17">
        <f t="shared" si="20"/>
        <v>0</v>
      </c>
      <c r="BV52" s="11">
        <f t="shared" si="21"/>
        <v>0</v>
      </c>
      <c r="BX52" s="11">
        <f t="shared" si="22"/>
        <v>0</v>
      </c>
      <c r="BY52" s="11">
        <f t="shared" si="23"/>
        <v>1.215524029734778E-2</v>
      </c>
    </row>
    <row r="53" spans="1:77" x14ac:dyDescent="0.3">
      <c r="A53" s="1">
        <v>46099</v>
      </c>
      <c r="B53" s="21">
        <v>27.3</v>
      </c>
      <c r="C53" s="21">
        <v>24.1</v>
      </c>
      <c r="D53" s="22">
        <v>-2.5608208616737E-3</v>
      </c>
      <c r="E53" s="22">
        <v>-9.9092470627716901E-3</v>
      </c>
      <c r="F53" s="21">
        <v>0</v>
      </c>
      <c r="G53" s="21">
        <v>0.1</v>
      </c>
      <c r="H53" s="21">
        <v>0</v>
      </c>
      <c r="I53" s="21">
        <v>0.1</v>
      </c>
      <c r="J53" s="21">
        <v>0</v>
      </c>
      <c r="K53" s="21">
        <v>0</v>
      </c>
      <c r="L53" s="21">
        <v>27.3</v>
      </c>
      <c r="M53" s="21">
        <v>24.1</v>
      </c>
      <c r="N53" s="23">
        <v>0.88278388278388198</v>
      </c>
      <c r="O53" s="23">
        <v>0.87815704628300895</v>
      </c>
      <c r="P53" s="23">
        <v>0.88688853248349897</v>
      </c>
      <c r="Q53" s="23">
        <v>0.89278034159624198</v>
      </c>
      <c r="R53" s="21">
        <v>23.9736873635261</v>
      </c>
      <c r="S53" s="21">
        <v>24.259977506301201</v>
      </c>
      <c r="T53" s="21">
        <v>24.380717252518</v>
      </c>
      <c r="U53" s="22">
        <v>-5.2549714438425996E-3</v>
      </c>
      <c r="V53" s="22">
        <v>6.6161358260054199E-3</v>
      </c>
      <c r="W53" s="22">
        <v>1.15807028332836E-2</v>
      </c>
      <c r="X53" s="23">
        <v>0.88278388278388198</v>
      </c>
      <c r="Y53" s="23">
        <v>0.87815704628300895</v>
      </c>
      <c r="Z53" s="23">
        <v>0.88688853248349897</v>
      </c>
      <c r="AA53" s="23">
        <v>0.89278034159624198</v>
      </c>
      <c r="AB53" s="21">
        <v>23.9736873635261</v>
      </c>
      <c r="AC53" s="21">
        <v>24.259977506301201</v>
      </c>
      <c r="AD53" s="21">
        <v>24.380717252518</v>
      </c>
      <c r="AE53" s="22">
        <v>-5.2549714438425996E-3</v>
      </c>
      <c r="AF53" s="22">
        <v>6.6161358260054199E-3</v>
      </c>
      <c r="AG53" s="22">
        <v>1.15807028332836E-2</v>
      </c>
      <c r="AZ53" s="17"/>
      <c r="BB53">
        <f t="shared" si="6"/>
        <v>0</v>
      </c>
      <c r="BC53">
        <f t="shared" si="7"/>
        <v>1</v>
      </c>
      <c r="BD53">
        <f t="shared" si="8"/>
        <v>0</v>
      </c>
      <c r="BE53">
        <f t="shared" si="4"/>
        <v>1</v>
      </c>
      <c r="BF53">
        <f t="shared" si="9"/>
        <v>0</v>
      </c>
      <c r="BG53" s="17">
        <f t="shared" si="10"/>
        <v>0</v>
      </c>
      <c r="BH53" s="17">
        <f t="shared" si="11"/>
        <v>0</v>
      </c>
      <c r="BI53" s="17">
        <f t="shared" si="12"/>
        <v>0</v>
      </c>
      <c r="BJ53" s="11">
        <f t="shared" si="13"/>
        <v>1.215524029734778E-2</v>
      </c>
      <c r="BL53" s="17"/>
      <c r="BN53">
        <f t="shared" si="14"/>
        <v>0</v>
      </c>
      <c r="BO53">
        <f t="shared" si="15"/>
        <v>0</v>
      </c>
      <c r="BP53">
        <f t="shared" si="16"/>
        <v>0</v>
      </c>
      <c r="BQ53">
        <f t="shared" si="5"/>
        <v>1</v>
      </c>
      <c r="BR53">
        <f t="shared" si="17"/>
        <v>0</v>
      </c>
      <c r="BS53" s="17">
        <f t="shared" si="18"/>
        <v>0</v>
      </c>
      <c r="BT53" s="17">
        <f t="shared" si="19"/>
        <v>0</v>
      </c>
      <c r="BU53" s="17">
        <f t="shared" si="20"/>
        <v>0</v>
      </c>
      <c r="BV53" s="11">
        <f t="shared" si="21"/>
        <v>0</v>
      </c>
      <c r="BX53" s="11">
        <f t="shared" si="22"/>
        <v>0</v>
      </c>
      <c r="BY53" s="11">
        <f t="shared" si="23"/>
        <v>1.215524029734778E-2</v>
      </c>
    </row>
    <row r="54" spans="1:77" x14ac:dyDescent="0.3">
      <c r="A54" s="1">
        <v>46100</v>
      </c>
      <c r="B54" s="21">
        <v>27.24</v>
      </c>
      <c r="C54" s="21">
        <v>23.93</v>
      </c>
      <c r="D54" s="22">
        <v>-2.2002209096025301E-3</v>
      </c>
      <c r="E54" s="22">
        <v>-7.0789385763274397E-3</v>
      </c>
      <c r="F54" s="21">
        <v>0</v>
      </c>
      <c r="G54" s="21">
        <v>0.1</v>
      </c>
      <c r="H54" s="21">
        <v>0</v>
      </c>
      <c r="I54" s="21">
        <v>0.1</v>
      </c>
      <c r="J54" s="21">
        <v>0</v>
      </c>
      <c r="K54" s="21">
        <v>0</v>
      </c>
      <c r="L54" s="21">
        <v>27.24</v>
      </c>
      <c r="M54" s="21">
        <v>23.93</v>
      </c>
      <c r="N54" s="23">
        <v>0.87848751835535899</v>
      </c>
      <c r="O54" s="23">
        <v>0.87815704628300895</v>
      </c>
      <c r="P54" s="23">
        <v>0.88461107793447702</v>
      </c>
      <c r="Q54" s="23">
        <v>0.89210754301992901</v>
      </c>
      <c r="R54" s="21">
        <v>23.9209979407491</v>
      </c>
      <c r="S54" s="21">
        <v>24.158843624850501</v>
      </c>
      <c r="T54" s="21">
        <v>24.319336505081601</v>
      </c>
      <c r="U54" s="22">
        <v>-3.7625377711765902E-4</v>
      </c>
      <c r="V54" s="22">
        <v>9.5176067910231303E-3</v>
      </c>
      <c r="W54" s="22">
        <v>1.6138872942108601E-2</v>
      </c>
      <c r="X54" s="23">
        <v>0.87848751835535899</v>
      </c>
      <c r="Y54" s="23">
        <v>0.87815704628300895</v>
      </c>
      <c r="Z54" s="23">
        <v>0.88461107793447702</v>
      </c>
      <c r="AA54" s="23">
        <v>0.89210754301992901</v>
      </c>
      <c r="AB54" s="21">
        <v>23.9209979407491</v>
      </c>
      <c r="AC54" s="21">
        <v>24.158843624850501</v>
      </c>
      <c r="AD54" s="21">
        <v>24.319336505081601</v>
      </c>
      <c r="AE54" s="22">
        <v>-3.7625377711765902E-4</v>
      </c>
      <c r="AF54" s="22">
        <v>9.5176067910231303E-3</v>
      </c>
      <c r="AG54" s="22">
        <v>1.6138872942108601E-2</v>
      </c>
      <c r="AZ54" s="17"/>
      <c r="BB54">
        <f t="shared" si="6"/>
        <v>0</v>
      </c>
      <c r="BC54">
        <f t="shared" si="7"/>
        <v>1</v>
      </c>
      <c r="BD54">
        <f t="shared" si="8"/>
        <v>0</v>
      </c>
      <c r="BE54">
        <f t="shared" si="4"/>
        <v>1</v>
      </c>
      <c r="BF54">
        <f t="shared" si="9"/>
        <v>0</v>
      </c>
      <c r="BG54" s="17">
        <f t="shared" si="10"/>
        <v>0</v>
      </c>
      <c r="BH54" s="17">
        <f t="shared" si="11"/>
        <v>0</v>
      </c>
      <c r="BI54" s="17">
        <f t="shared" si="12"/>
        <v>0</v>
      </c>
      <c r="BJ54" s="11">
        <f t="shared" si="13"/>
        <v>1.215524029734778E-2</v>
      </c>
      <c r="BL54" s="17"/>
      <c r="BN54">
        <f t="shared" si="14"/>
        <v>1</v>
      </c>
      <c r="BO54">
        <f t="shared" si="15"/>
        <v>0</v>
      </c>
      <c r="BP54">
        <f t="shared" si="16"/>
        <v>0</v>
      </c>
      <c r="BQ54">
        <f t="shared" si="5"/>
        <v>1</v>
      </c>
      <c r="BR54">
        <f t="shared" si="17"/>
        <v>0</v>
      </c>
      <c r="BS54" s="17">
        <f t="shared" si="18"/>
        <v>0</v>
      </c>
      <c r="BT54" s="17">
        <f t="shared" si="19"/>
        <v>0</v>
      </c>
      <c r="BU54" s="17">
        <f t="shared" si="20"/>
        <v>0</v>
      </c>
      <c r="BV54" s="11">
        <f t="shared" si="21"/>
        <v>0</v>
      </c>
      <c r="BX54" s="11">
        <f t="shared" si="22"/>
        <v>0</v>
      </c>
      <c r="BY54" s="11">
        <f t="shared" si="23"/>
        <v>1.215524029734778E-2</v>
      </c>
    </row>
    <row r="55" spans="1:77" x14ac:dyDescent="0.3">
      <c r="A55" s="1">
        <v>46101</v>
      </c>
      <c r="B55" s="21">
        <v>27.39</v>
      </c>
      <c r="C55" s="21">
        <v>24.05</v>
      </c>
      <c r="D55" s="22">
        <v>5.4915019936751597E-3</v>
      </c>
      <c r="E55" s="22">
        <v>5.0020946314883203E-3</v>
      </c>
      <c r="F55" s="21">
        <v>0</v>
      </c>
      <c r="G55" s="21">
        <v>0.1</v>
      </c>
      <c r="H55" s="21">
        <v>0</v>
      </c>
      <c r="I55" s="21">
        <v>0.1</v>
      </c>
      <c r="J55" s="21">
        <v>0</v>
      </c>
      <c r="K55" s="21">
        <v>0</v>
      </c>
      <c r="L55" s="21">
        <v>27.39</v>
      </c>
      <c r="M55" s="21">
        <v>24.05</v>
      </c>
      <c r="N55" s="23">
        <v>0.878057685286601</v>
      </c>
      <c r="O55" s="23">
        <v>0.87815704628300895</v>
      </c>
      <c r="P55" s="23">
        <v>0.88353598003714395</v>
      </c>
      <c r="Q55" s="23">
        <v>0.89147182088124599</v>
      </c>
      <c r="R55" s="21">
        <v>24.0527214976916</v>
      </c>
      <c r="S55" s="21">
        <v>24.229497424625301</v>
      </c>
      <c r="T55" s="21">
        <v>24.434825603315801</v>
      </c>
      <c r="U55" s="22">
        <v>1.13153585069379E-4</v>
      </c>
      <c r="V55" s="22">
        <v>7.4357961971385196E-3</v>
      </c>
      <c r="W55" s="22">
        <v>1.58743969775305E-2</v>
      </c>
      <c r="X55" s="23">
        <v>0.878057685286601</v>
      </c>
      <c r="Y55" s="23">
        <v>0.87815704628300895</v>
      </c>
      <c r="Z55" s="23">
        <v>0.88353598003714395</v>
      </c>
      <c r="AA55" s="23">
        <v>0.89147182088124599</v>
      </c>
      <c r="AB55" s="21">
        <v>24.0527214976916</v>
      </c>
      <c r="AC55" s="21">
        <v>24.229497424625301</v>
      </c>
      <c r="AD55" s="21">
        <v>24.434825603315801</v>
      </c>
      <c r="AE55" s="22">
        <v>1.13153585069379E-4</v>
      </c>
      <c r="AF55" s="22">
        <v>7.4357961971385196E-3</v>
      </c>
      <c r="AG55" s="22">
        <v>1.58743969775305E-2</v>
      </c>
      <c r="AZ55" s="17"/>
      <c r="BB55">
        <f t="shared" si="6"/>
        <v>0</v>
      </c>
      <c r="BC55">
        <f t="shared" si="7"/>
        <v>1</v>
      </c>
      <c r="BD55">
        <f t="shared" si="8"/>
        <v>0</v>
      </c>
      <c r="BE55">
        <f t="shared" si="4"/>
        <v>1</v>
      </c>
      <c r="BF55">
        <f t="shared" si="9"/>
        <v>0</v>
      </c>
      <c r="BG55" s="17">
        <f t="shared" si="10"/>
        <v>0</v>
      </c>
      <c r="BH55" s="17">
        <f t="shared" si="11"/>
        <v>0</v>
      </c>
      <c r="BI55" s="17">
        <f t="shared" si="12"/>
        <v>0</v>
      </c>
      <c r="BJ55" s="11">
        <f t="shared" si="13"/>
        <v>1.215524029734778E-2</v>
      </c>
      <c r="BL55" s="17"/>
      <c r="BN55">
        <f t="shared" si="14"/>
        <v>1</v>
      </c>
      <c r="BO55">
        <f t="shared" si="15"/>
        <v>0</v>
      </c>
      <c r="BP55">
        <f t="shared" si="16"/>
        <v>1</v>
      </c>
      <c r="BQ55">
        <f t="shared" si="5"/>
        <v>1</v>
      </c>
      <c r="BR55">
        <f t="shared" si="17"/>
        <v>1</v>
      </c>
      <c r="BS55" s="17">
        <f t="shared" si="18"/>
        <v>-5.4915019936751597E-3</v>
      </c>
      <c r="BT55" s="17">
        <f t="shared" si="19"/>
        <v>5.0020946314883203E-3</v>
      </c>
      <c r="BU55" s="17">
        <f t="shared" si="20"/>
        <v>-4.8940736218683941E-4</v>
      </c>
      <c r="BV55" s="11">
        <f t="shared" si="21"/>
        <v>-4.8940736218683941E-4</v>
      </c>
      <c r="BX55" s="11">
        <f t="shared" si="22"/>
        <v>-4.8940736218683941E-4</v>
      </c>
      <c r="BY55" s="11">
        <f t="shared" si="23"/>
        <v>1.1665832935160939E-2</v>
      </c>
    </row>
    <row r="56" spans="1:77" x14ac:dyDescent="0.3">
      <c r="A56" s="1">
        <v>46104</v>
      </c>
      <c r="B56" s="21">
        <v>27.46</v>
      </c>
      <c r="C56" s="21">
        <v>24.26</v>
      </c>
      <c r="D56" s="22">
        <v>2.5524170648381301E-3</v>
      </c>
      <c r="E56" s="22">
        <v>8.6939069641338296E-3</v>
      </c>
      <c r="F56" s="21">
        <v>0</v>
      </c>
      <c r="G56" s="21">
        <v>0.1</v>
      </c>
      <c r="H56" s="21">
        <v>0</v>
      </c>
      <c r="I56" s="21">
        <v>0.1</v>
      </c>
      <c r="J56" s="21">
        <v>0</v>
      </c>
      <c r="K56" s="21">
        <v>0</v>
      </c>
      <c r="L56" s="21">
        <v>27.46</v>
      </c>
      <c r="M56" s="21">
        <v>24.26</v>
      </c>
      <c r="N56" s="23">
        <v>0.88346686088856496</v>
      </c>
      <c r="O56" s="23">
        <v>0.87815704628300895</v>
      </c>
      <c r="P56" s="23">
        <v>0.88332257951466897</v>
      </c>
      <c r="Q56" s="23">
        <v>0.89114051996282595</v>
      </c>
      <c r="R56" s="21">
        <v>24.114192490931401</v>
      </c>
      <c r="S56" s="21">
        <v>24.261898011819898</v>
      </c>
      <c r="T56" s="21">
        <v>24.479816201399</v>
      </c>
      <c r="U56" s="22">
        <v>-6.0283363142263104E-3</v>
      </c>
      <c r="V56" s="22">
        <v>7.8233205984608203E-5</v>
      </c>
      <c r="W56" s="22">
        <v>9.0200459872497394E-3</v>
      </c>
      <c r="X56" s="23">
        <v>0.88346686088856496</v>
      </c>
      <c r="Y56" s="23">
        <v>0.87815704628300895</v>
      </c>
      <c r="Z56" s="23">
        <v>0.88332257951466897</v>
      </c>
      <c r="AA56" s="23">
        <v>0.89114051996282595</v>
      </c>
      <c r="AB56" s="21">
        <v>24.114192490931401</v>
      </c>
      <c r="AC56" s="21">
        <v>24.261898011819898</v>
      </c>
      <c r="AD56" s="21">
        <v>24.479816201399</v>
      </c>
      <c r="AE56" s="22">
        <v>-6.0283363142263104E-3</v>
      </c>
      <c r="AF56" s="22">
        <v>7.8233205984608203E-5</v>
      </c>
      <c r="AG56" s="22">
        <v>9.0200459872497394E-3</v>
      </c>
      <c r="AZ56" s="17"/>
      <c r="BB56">
        <f t="shared" si="6"/>
        <v>0</v>
      </c>
      <c r="BC56">
        <f t="shared" si="7"/>
        <v>1</v>
      </c>
      <c r="BD56">
        <f t="shared" si="8"/>
        <v>0</v>
      </c>
      <c r="BE56">
        <f t="shared" si="4"/>
        <v>1</v>
      </c>
      <c r="BF56">
        <f t="shared" si="9"/>
        <v>0</v>
      </c>
      <c r="BG56" s="17">
        <f t="shared" si="10"/>
        <v>0</v>
      </c>
      <c r="BH56" s="17">
        <f t="shared" si="11"/>
        <v>0</v>
      </c>
      <c r="BI56" s="17">
        <f t="shared" si="12"/>
        <v>0</v>
      </c>
      <c r="BJ56" s="11">
        <f t="shared" si="13"/>
        <v>1.215524029734778E-2</v>
      </c>
      <c r="BL56" s="17"/>
      <c r="BN56">
        <f t="shared" si="14"/>
        <v>0</v>
      </c>
      <c r="BO56">
        <f t="shared" si="15"/>
        <v>0</v>
      </c>
      <c r="BP56">
        <f t="shared" si="16"/>
        <v>1</v>
      </c>
      <c r="BQ56">
        <f t="shared" si="5"/>
        <v>1</v>
      </c>
      <c r="BR56">
        <f t="shared" si="17"/>
        <v>1</v>
      </c>
      <c r="BS56" s="17">
        <f t="shared" si="18"/>
        <v>-2.5524170648381301E-3</v>
      </c>
      <c r="BT56" s="17">
        <f t="shared" si="19"/>
        <v>8.6939069641338296E-3</v>
      </c>
      <c r="BU56" s="17">
        <f t="shared" si="20"/>
        <v>6.1414898992956995E-3</v>
      </c>
      <c r="BV56" s="11">
        <f t="shared" si="21"/>
        <v>5.6520825371088601E-3</v>
      </c>
      <c r="BX56" s="11">
        <f t="shared" si="22"/>
        <v>6.1414898992956995E-3</v>
      </c>
      <c r="BY56" s="11">
        <f t="shared" si="23"/>
        <v>1.780732283445664E-2</v>
      </c>
    </row>
    <row r="57" spans="1:77" x14ac:dyDescent="0.3">
      <c r="A57" s="1">
        <v>46105</v>
      </c>
      <c r="B57" s="21">
        <v>27.17</v>
      </c>
      <c r="C57" s="21">
        <v>23.97</v>
      </c>
      <c r="D57" s="22">
        <v>-1.0616976901568599E-2</v>
      </c>
      <c r="E57" s="22">
        <v>-1.2025855069611201E-2</v>
      </c>
      <c r="F57" s="21">
        <v>0</v>
      </c>
      <c r="G57" s="21">
        <v>0.1</v>
      </c>
      <c r="H57" s="21">
        <v>0</v>
      </c>
      <c r="I57" s="21">
        <v>0.1</v>
      </c>
      <c r="J57" s="21">
        <v>0</v>
      </c>
      <c r="K57" s="21">
        <v>0</v>
      </c>
      <c r="L57" s="21">
        <v>27.17</v>
      </c>
      <c r="M57" s="21">
        <v>23.97</v>
      </c>
      <c r="N57" s="23">
        <v>0.88222304011777597</v>
      </c>
      <c r="O57" s="23">
        <v>0.87815704628300895</v>
      </c>
      <c r="P57" s="23">
        <v>0.88326420755289803</v>
      </c>
      <c r="Q57" s="23">
        <v>0.89074322342800705</v>
      </c>
      <c r="R57" s="21">
        <v>23.859526947509298</v>
      </c>
      <c r="S57" s="21">
        <v>23.9998744854135</v>
      </c>
      <c r="T57" s="21">
        <v>24.212287927389902</v>
      </c>
      <c r="U57" s="22">
        <v>-4.6194581461838601E-3</v>
      </c>
      <c r="V57" s="22">
        <v>1.2455521135427501E-3</v>
      </c>
      <c r="W57" s="22">
        <v>1.0057221441647401E-2</v>
      </c>
      <c r="X57" s="23">
        <v>0.88222304011777597</v>
      </c>
      <c r="Y57" s="23">
        <v>0.87815704628300895</v>
      </c>
      <c r="Z57" s="23">
        <v>0.88326420755289803</v>
      </c>
      <c r="AA57" s="23">
        <v>0.89074322342800705</v>
      </c>
      <c r="AB57" s="21">
        <v>23.859526947509298</v>
      </c>
      <c r="AC57" s="21">
        <v>23.9998744854135</v>
      </c>
      <c r="AD57" s="21">
        <v>24.212287927389902</v>
      </c>
      <c r="AE57" s="22">
        <v>-4.6194581461838601E-3</v>
      </c>
      <c r="AF57" s="22">
        <v>1.2455521135427501E-3</v>
      </c>
      <c r="AG57" s="22">
        <v>1.0057221441647401E-2</v>
      </c>
      <c r="AZ57" s="17"/>
      <c r="BB57">
        <f t="shared" si="6"/>
        <v>0</v>
      </c>
      <c r="BC57">
        <f t="shared" si="7"/>
        <v>1</v>
      </c>
      <c r="BD57">
        <f t="shared" si="8"/>
        <v>0</v>
      </c>
      <c r="BE57">
        <f t="shared" si="4"/>
        <v>1</v>
      </c>
      <c r="BF57">
        <f t="shared" si="9"/>
        <v>0</v>
      </c>
      <c r="BG57" s="17">
        <f t="shared" si="10"/>
        <v>0</v>
      </c>
      <c r="BH57" s="17">
        <f t="shared" si="11"/>
        <v>0</v>
      </c>
      <c r="BI57" s="17">
        <f t="shared" si="12"/>
        <v>0</v>
      </c>
      <c r="BJ57" s="11">
        <f t="shared" si="13"/>
        <v>1.215524029734778E-2</v>
      </c>
      <c r="BL57" s="17"/>
      <c r="BN57">
        <f t="shared" si="14"/>
        <v>0</v>
      </c>
      <c r="BO57">
        <f t="shared" si="15"/>
        <v>0</v>
      </c>
      <c r="BP57">
        <f t="shared" si="16"/>
        <v>1</v>
      </c>
      <c r="BQ57">
        <f t="shared" si="5"/>
        <v>1</v>
      </c>
      <c r="BR57">
        <f t="shared" si="17"/>
        <v>1</v>
      </c>
      <c r="BS57" s="17">
        <f t="shared" si="18"/>
        <v>1.0616976901568599E-2</v>
      </c>
      <c r="BT57" s="17">
        <f t="shared" si="19"/>
        <v>-1.2025855069611201E-2</v>
      </c>
      <c r="BU57" s="17">
        <f t="shared" si="20"/>
        <v>-1.4088781680426012E-3</v>
      </c>
      <c r="BV57" s="11">
        <f t="shared" si="21"/>
        <v>4.2432043690662589E-3</v>
      </c>
      <c r="BX57" s="11">
        <f t="shared" si="22"/>
        <v>-1.4088781680426012E-3</v>
      </c>
      <c r="BY57" s="11">
        <f t="shared" si="23"/>
        <v>1.639844466641404E-2</v>
      </c>
    </row>
    <row r="58" spans="1:77" x14ac:dyDescent="0.3">
      <c r="A58" s="1">
        <v>46106</v>
      </c>
      <c r="B58" s="21">
        <v>27.59</v>
      </c>
      <c r="C58" s="21">
        <v>24.27</v>
      </c>
      <c r="D58" s="22">
        <v>1.53399647909382E-2</v>
      </c>
      <c r="E58" s="22">
        <v>1.2437971292217E-2</v>
      </c>
      <c r="F58" s="21">
        <v>0</v>
      </c>
      <c r="G58" s="21">
        <v>0.1</v>
      </c>
      <c r="H58" s="21">
        <v>0</v>
      </c>
      <c r="I58" s="21">
        <v>0.1</v>
      </c>
      <c r="J58" s="21">
        <v>0</v>
      </c>
      <c r="K58" s="21">
        <v>0</v>
      </c>
      <c r="L58" s="21">
        <v>27.59</v>
      </c>
      <c r="M58" s="21">
        <v>24.27</v>
      </c>
      <c r="N58" s="23">
        <v>0.87966654584994497</v>
      </c>
      <c r="O58" s="23">
        <v>0.87815704628300895</v>
      </c>
      <c r="P58" s="23">
        <v>0.88286046476275604</v>
      </c>
      <c r="Q58" s="23">
        <v>0.88982936869461005</v>
      </c>
      <c r="R58" s="21">
        <v>24.228352906948199</v>
      </c>
      <c r="S58" s="21">
        <v>24.369259486384401</v>
      </c>
      <c r="T58" s="21">
        <v>24.575605534378699</v>
      </c>
      <c r="U58" s="22">
        <v>-1.7174646474626401E-3</v>
      </c>
      <c r="V58" s="22">
        <v>4.08146115808405E-3</v>
      </c>
      <c r="W58" s="22">
        <v>1.2513286250716E-2</v>
      </c>
      <c r="X58" s="23">
        <v>0.87966654584994497</v>
      </c>
      <c r="Y58" s="23">
        <v>0.87815704628300895</v>
      </c>
      <c r="Z58" s="23">
        <v>0.88286046476275604</v>
      </c>
      <c r="AA58" s="23">
        <v>0.88982936869461005</v>
      </c>
      <c r="AB58" s="21">
        <v>24.228352906948199</v>
      </c>
      <c r="AC58" s="21">
        <v>24.369259486384401</v>
      </c>
      <c r="AD58" s="21">
        <v>24.575605534378699</v>
      </c>
      <c r="AE58" s="22">
        <v>-1.7174646474626401E-3</v>
      </c>
      <c r="AF58" s="22">
        <v>4.08146115808405E-3</v>
      </c>
      <c r="AG58" s="22">
        <v>1.2513286250716E-2</v>
      </c>
      <c r="AZ58" s="17"/>
      <c r="BB58">
        <f t="shared" si="6"/>
        <v>0</v>
      </c>
      <c r="BC58">
        <f t="shared" si="7"/>
        <v>1</v>
      </c>
      <c r="BD58">
        <f t="shared" si="8"/>
        <v>0</v>
      </c>
      <c r="BE58">
        <f t="shared" si="4"/>
        <v>1</v>
      </c>
      <c r="BF58">
        <f t="shared" si="9"/>
        <v>0</v>
      </c>
      <c r="BG58" s="17">
        <f t="shared" si="10"/>
        <v>0</v>
      </c>
      <c r="BH58" s="17">
        <f t="shared" si="11"/>
        <v>0</v>
      </c>
      <c r="BI58" s="17">
        <f t="shared" si="12"/>
        <v>0</v>
      </c>
      <c r="BJ58" s="11">
        <f t="shared" si="13"/>
        <v>1.215524029734778E-2</v>
      </c>
      <c r="BL58" s="17"/>
      <c r="BN58">
        <f t="shared" si="14"/>
        <v>0</v>
      </c>
      <c r="BO58">
        <f t="shared" si="15"/>
        <v>0</v>
      </c>
      <c r="BP58">
        <f t="shared" si="16"/>
        <v>1</v>
      </c>
      <c r="BQ58">
        <f t="shared" si="5"/>
        <v>1</v>
      </c>
      <c r="BR58">
        <f t="shared" si="17"/>
        <v>1</v>
      </c>
      <c r="BS58" s="17">
        <f t="shared" si="18"/>
        <v>-1.53399647909382E-2</v>
      </c>
      <c r="BT58" s="17">
        <f t="shared" si="19"/>
        <v>1.2437971292217E-2</v>
      </c>
      <c r="BU58" s="17">
        <f t="shared" si="20"/>
        <v>-2.9019934987212E-3</v>
      </c>
      <c r="BV58" s="11">
        <f t="shared" si="21"/>
        <v>1.3412108703450588E-3</v>
      </c>
      <c r="BX58" s="11">
        <f t="shared" si="22"/>
        <v>-2.9019934987212E-3</v>
      </c>
      <c r="BY58" s="11">
        <f t="shared" si="23"/>
        <v>1.349645116769284E-2</v>
      </c>
    </row>
    <row r="59" spans="1:77" x14ac:dyDescent="0.3">
      <c r="A59" s="1">
        <v>46107</v>
      </c>
      <c r="B59" s="21">
        <v>27.55</v>
      </c>
      <c r="C59" s="21">
        <v>24.26</v>
      </c>
      <c r="D59" s="22">
        <v>-1.4508526302712201E-3</v>
      </c>
      <c r="E59" s="22">
        <v>-4.1211622260588199E-4</v>
      </c>
      <c r="F59" s="21">
        <v>0</v>
      </c>
      <c r="G59" s="21">
        <v>0.1</v>
      </c>
      <c r="H59" s="21">
        <v>0</v>
      </c>
      <c r="I59" s="21">
        <v>0.1</v>
      </c>
      <c r="J59" s="21">
        <v>0</v>
      </c>
      <c r="K59" s="21">
        <v>0</v>
      </c>
      <c r="L59" s="21">
        <v>27.55</v>
      </c>
      <c r="M59" s="21">
        <v>24.26</v>
      </c>
      <c r="N59" s="23">
        <v>0.88058076225045301</v>
      </c>
      <c r="O59" s="23">
        <v>0.87815704628300895</v>
      </c>
      <c r="P59" s="23">
        <v>0.88247142920985699</v>
      </c>
      <c r="Q59" s="23">
        <v>0.88872106456511302</v>
      </c>
      <c r="R59" s="21">
        <v>24.193226625096901</v>
      </c>
      <c r="S59" s="21">
        <v>24.3228058042139</v>
      </c>
      <c r="T59" s="21">
        <v>24.514799107536501</v>
      </c>
      <c r="U59" s="22">
        <v>-2.7562010551279601E-3</v>
      </c>
      <c r="V59" s="22">
        <v>2.5855171664877202E-3</v>
      </c>
      <c r="W59" s="22">
        <v>1.04480768784767E-2</v>
      </c>
      <c r="X59" s="23">
        <v>0.88058076225045301</v>
      </c>
      <c r="Y59" s="23">
        <v>0.87815704628300895</v>
      </c>
      <c r="Z59" s="23">
        <v>0.88247142920985699</v>
      </c>
      <c r="AA59" s="23">
        <v>0.88872106456511302</v>
      </c>
      <c r="AB59" s="21">
        <v>24.193226625096901</v>
      </c>
      <c r="AC59" s="21">
        <v>24.3228058042139</v>
      </c>
      <c r="AD59" s="21">
        <v>24.514799107536501</v>
      </c>
      <c r="AE59" s="22">
        <v>-2.7562010551279601E-3</v>
      </c>
      <c r="AF59" s="22">
        <v>2.5855171664877202E-3</v>
      </c>
      <c r="AG59" s="22">
        <v>1.04480768784767E-2</v>
      </c>
      <c r="AZ59" s="17"/>
      <c r="BB59">
        <f t="shared" si="6"/>
        <v>0</v>
      </c>
      <c r="BC59">
        <f t="shared" si="7"/>
        <v>1</v>
      </c>
      <c r="BD59">
        <f t="shared" si="8"/>
        <v>0</v>
      </c>
      <c r="BE59">
        <f t="shared" si="4"/>
        <v>1</v>
      </c>
      <c r="BF59">
        <f t="shared" si="9"/>
        <v>0</v>
      </c>
      <c r="BG59" s="17">
        <f t="shared" si="10"/>
        <v>0</v>
      </c>
      <c r="BH59" s="17">
        <f t="shared" si="11"/>
        <v>0</v>
      </c>
      <c r="BI59" s="17">
        <f t="shared" si="12"/>
        <v>0</v>
      </c>
      <c r="BJ59" s="11">
        <f t="shared" si="13"/>
        <v>1.215524029734778E-2</v>
      </c>
      <c r="BL59" s="17"/>
      <c r="BN59">
        <f t="shared" si="14"/>
        <v>0</v>
      </c>
      <c r="BO59">
        <f t="shared" si="15"/>
        <v>0</v>
      </c>
      <c r="BP59">
        <f t="shared" si="16"/>
        <v>1</v>
      </c>
      <c r="BQ59">
        <f t="shared" si="5"/>
        <v>1</v>
      </c>
      <c r="BR59">
        <f t="shared" si="17"/>
        <v>1</v>
      </c>
      <c r="BS59" s="17">
        <f t="shared" si="18"/>
        <v>1.4508526302712201E-3</v>
      </c>
      <c r="BT59" s="17">
        <f t="shared" si="19"/>
        <v>-4.1211622260588199E-4</v>
      </c>
      <c r="BU59" s="17">
        <f t="shared" si="20"/>
        <v>1.0387364076653381E-3</v>
      </c>
      <c r="BV59" s="11">
        <f t="shared" si="21"/>
        <v>2.3799472780103971E-3</v>
      </c>
      <c r="BX59" s="11">
        <f t="shared" si="22"/>
        <v>1.0387364076653381E-3</v>
      </c>
      <c r="BY59" s="11">
        <f t="shared" si="23"/>
        <v>1.4535187575358178E-2</v>
      </c>
    </row>
    <row r="60" spans="1:77" x14ac:dyDescent="0.3">
      <c r="A60" s="1">
        <v>46108</v>
      </c>
      <c r="B60" s="21">
        <v>27.79</v>
      </c>
      <c r="C60" s="21">
        <v>24.24</v>
      </c>
      <c r="D60" s="22">
        <v>8.6737081554887699E-3</v>
      </c>
      <c r="E60" s="22">
        <v>-8.2474231479049396E-4</v>
      </c>
      <c r="F60" s="21">
        <v>0</v>
      </c>
      <c r="G60" s="21">
        <v>0.1</v>
      </c>
      <c r="H60" s="21">
        <v>0</v>
      </c>
      <c r="I60" s="21">
        <v>0.1</v>
      </c>
      <c r="J60" s="21">
        <v>0</v>
      </c>
      <c r="K60" s="21">
        <v>0</v>
      </c>
      <c r="L60" s="21">
        <v>27.79</v>
      </c>
      <c r="M60" s="21">
        <v>24.24</v>
      </c>
      <c r="N60" s="23">
        <v>0.87225620726880104</v>
      </c>
      <c r="O60" s="23">
        <v>0.87815704628300895</v>
      </c>
      <c r="P60" s="23">
        <v>0.88113202751521202</v>
      </c>
      <c r="Q60" s="23">
        <v>0.88698286671346804</v>
      </c>
      <c r="R60" s="21">
        <v>24.403984316204799</v>
      </c>
      <c r="S60" s="21">
        <v>24.5238810177419</v>
      </c>
      <c r="T60" s="21">
        <v>24.6975583842645</v>
      </c>
      <c r="U60" s="22">
        <v>6.7422494151514901E-3</v>
      </c>
      <c r="V60" s="22">
        <v>1.1643217021514199E-2</v>
      </c>
      <c r="W60" s="22">
        <v>1.8700226707258301E-2</v>
      </c>
      <c r="X60" s="23">
        <v>0.87225620726880104</v>
      </c>
      <c r="Y60" s="23">
        <v>0.87815704628300895</v>
      </c>
      <c r="Z60" s="23">
        <v>0.88113202751521202</v>
      </c>
      <c r="AA60" s="23">
        <v>0.88698286671346804</v>
      </c>
      <c r="AB60" s="21">
        <v>24.403984316204799</v>
      </c>
      <c r="AC60" s="21">
        <v>24.5238810177419</v>
      </c>
      <c r="AD60" s="21">
        <v>24.6975583842645</v>
      </c>
      <c r="AE60" s="22">
        <v>6.7422494151514901E-3</v>
      </c>
      <c r="AF60" s="22">
        <v>1.1643217021514199E-2</v>
      </c>
      <c r="AG60" s="22">
        <v>1.8700226707258301E-2</v>
      </c>
      <c r="AZ60" s="17"/>
      <c r="BB60">
        <f t="shared" si="6"/>
        <v>0</v>
      </c>
      <c r="BC60">
        <f t="shared" si="7"/>
        <v>1</v>
      </c>
      <c r="BD60">
        <f t="shared" si="8"/>
        <v>0</v>
      </c>
      <c r="BE60">
        <f t="shared" si="4"/>
        <v>1</v>
      </c>
      <c r="BF60">
        <f t="shared" si="9"/>
        <v>0</v>
      </c>
      <c r="BG60" s="17">
        <f t="shared" si="10"/>
        <v>0</v>
      </c>
      <c r="BH60" s="17">
        <f t="shared" si="11"/>
        <v>0</v>
      </c>
      <c r="BI60" s="17">
        <f t="shared" si="12"/>
        <v>0</v>
      </c>
      <c r="BJ60" s="11">
        <f t="shared" si="13"/>
        <v>1.215524029734778E-2</v>
      </c>
      <c r="BL60" s="17"/>
      <c r="BN60">
        <f t="shared" si="14"/>
        <v>1</v>
      </c>
      <c r="BO60">
        <f t="shared" si="15"/>
        <v>0</v>
      </c>
      <c r="BP60">
        <f t="shared" si="16"/>
        <v>1</v>
      </c>
      <c r="BQ60">
        <f t="shared" si="5"/>
        <v>1</v>
      </c>
      <c r="BR60">
        <f t="shared" si="17"/>
        <v>1</v>
      </c>
      <c r="BS60" s="17">
        <f t="shared" si="18"/>
        <v>-8.6737081554887699E-3</v>
      </c>
      <c r="BT60" s="17">
        <f t="shared" si="19"/>
        <v>-8.2474231479049396E-4</v>
      </c>
      <c r="BU60" s="17">
        <f t="shared" si="20"/>
        <v>-9.4984504702792637E-3</v>
      </c>
      <c r="BV60" s="11">
        <f t="shared" si="21"/>
        <v>-7.1185031922688666E-3</v>
      </c>
      <c r="BX60" s="11">
        <f t="shared" si="22"/>
        <v>-9.4984504702792637E-3</v>
      </c>
      <c r="BY60" s="11">
        <f t="shared" si="23"/>
        <v>5.0367371050789138E-3</v>
      </c>
    </row>
    <row r="61" spans="1:77" x14ac:dyDescent="0.3">
      <c r="A61" s="1">
        <v>46111</v>
      </c>
      <c r="B61" s="21">
        <v>28.32</v>
      </c>
      <c r="C61" s="21">
        <v>24.78</v>
      </c>
      <c r="D61" s="22">
        <v>1.88920250711067E-2</v>
      </c>
      <c r="E61" s="22">
        <v>2.2032714999882699E-2</v>
      </c>
      <c r="F61" s="21">
        <v>0</v>
      </c>
      <c r="G61" s="21">
        <v>0.1</v>
      </c>
      <c r="H61" s="21">
        <v>0</v>
      </c>
      <c r="I61" s="21">
        <v>0.1</v>
      </c>
      <c r="J61" s="21">
        <v>0</v>
      </c>
      <c r="K61" s="21">
        <v>0</v>
      </c>
      <c r="L61" s="21">
        <v>28.32</v>
      </c>
      <c r="M61" s="21">
        <v>24.78</v>
      </c>
      <c r="N61" s="23">
        <v>0.875</v>
      </c>
      <c r="O61" s="23">
        <v>0.87815704628300895</v>
      </c>
      <c r="P61" s="23">
        <v>0.88018173511755105</v>
      </c>
      <c r="Q61" s="23">
        <v>0.88535232903834404</v>
      </c>
      <c r="R61" s="21">
        <v>24.869407550734799</v>
      </c>
      <c r="S61" s="21">
        <v>24.953659019230798</v>
      </c>
      <c r="T61" s="21">
        <v>25.119354785325399</v>
      </c>
      <c r="U61" s="22">
        <v>3.6015594863752602E-3</v>
      </c>
      <c r="V61" s="22">
        <v>6.9835893212609901E-3</v>
      </c>
      <c r="W61" s="22">
        <v>1.3601779771573499E-2</v>
      </c>
      <c r="X61" s="23">
        <v>0.875</v>
      </c>
      <c r="Y61" s="23">
        <v>0.87815704628300895</v>
      </c>
      <c r="Z61" s="23">
        <v>0.88018173511755105</v>
      </c>
      <c r="AA61" s="23">
        <v>0.88535232903834404</v>
      </c>
      <c r="AB61" s="21">
        <v>24.869407550734799</v>
      </c>
      <c r="AC61" s="21">
        <v>24.953659019230798</v>
      </c>
      <c r="AD61" s="21">
        <v>25.119354785325399</v>
      </c>
      <c r="AE61" s="22">
        <v>3.6015594863752602E-3</v>
      </c>
      <c r="AF61" s="22">
        <v>6.9835893212609901E-3</v>
      </c>
      <c r="AG61" s="22">
        <v>1.3601779771573499E-2</v>
      </c>
      <c r="AZ61" s="17"/>
      <c r="BB61">
        <f t="shared" si="6"/>
        <v>0</v>
      </c>
      <c r="BC61">
        <f t="shared" si="7"/>
        <v>1</v>
      </c>
      <c r="BD61">
        <f t="shared" si="8"/>
        <v>0</v>
      </c>
      <c r="BE61">
        <f t="shared" si="4"/>
        <v>1</v>
      </c>
      <c r="BF61">
        <f t="shared" si="9"/>
        <v>0</v>
      </c>
      <c r="BG61" s="17">
        <f t="shared" si="10"/>
        <v>0</v>
      </c>
      <c r="BH61" s="17">
        <f t="shared" si="11"/>
        <v>0</v>
      </c>
      <c r="BI61" s="17">
        <f t="shared" si="12"/>
        <v>0</v>
      </c>
      <c r="BJ61" s="11">
        <f t="shared" si="13"/>
        <v>1.215524029734778E-2</v>
      </c>
      <c r="BL61" s="17"/>
      <c r="BN61">
        <f t="shared" si="14"/>
        <v>0</v>
      </c>
      <c r="BO61">
        <f t="shared" si="15"/>
        <v>0</v>
      </c>
      <c r="BP61">
        <f t="shared" si="16"/>
        <v>1</v>
      </c>
      <c r="BQ61">
        <f t="shared" si="5"/>
        <v>1</v>
      </c>
      <c r="BR61">
        <f t="shared" si="17"/>
        <v>1</v>
      </c>
      <c r="BS61" s="17">
        <f t="shared" si="18"/>
        <v>-1.88920250711067E-2</v>
      </c>
      <c r="BT61" s="17">
        <f t="shared" si="19"/>
        <v>2.2032714999882699E-2</v>
      </c>
      <c r="BU61" s="17">
        <f t="shared" si="20"/>
        <v>3.1406899287759991E-3</v>
      </c>
      <c r="BV61" s="11">
        <f t="shared" si="21"/>
        <v>-3.9778132634928675E-3</v>
      </c>
      <c r="BX61" s="11">
        <f t="shared" si="22"/>
        <v>3.1406899287759991E-3</v>
      </c>
      <c r="BY61" s="11">
        <f t="shared" si="23"/>
        <v>8.1774270338549129E-3</v>
      </c>
    </row>
    <row r="62" spans="1:77" x14ac:dyDescent="0.3">
      <c r="A62" s="1">
        <v>46112</v>
      </c>
      <c r="B62" s="21">
        <v>28.51</v>
      </c>
      <c r="C62" s="21">
        <v>24.93</v>
      </c>
      <c r="D62" s="22">
        <v>6.6866340990617201E-3</v>
      </c>
      <c r="E62" s="22">
        <v>6.0350213344700704E-3</v>
      </c>
      <c r="F62" s="21">
        <v>0</v>
      </c>
      <c r="G62" s="21">
        <v>0.1</v>
      </c>
      <c r="H62" s="21">
        <v>0</v>
      </c>
      <c r="I62" s="21">
        <v>0.1</v>
      </c>
      <c r="J62" s="21">
        <v>0</v>
      </c>
      <c r="K62" s="21">
        <v>0</v>
      </c>
      <c r="L62" s="21">
        <v>28.51</v>
      </c>
      <c r="M62" s="21">
        <v>24.93</v>
      </c>
      <c r="N62" s="23">
        <v>0.87443002455278795</v>
      </c>
      <c r="O62" s="23">
        <v>0.87815704628300895</v>
      </c>
      <c r="P62" s="23">
        <v>0.87869525273541704</v>
      </c>
      <c r="Q62" s="23">
        <v>0.88366955871754804</v>
      </c>
      <c r="R62" s="21">
        <v>25.036257389528501</v>
      </c>
      <c r="S62" s="21">
        <v>25.0939812682014</v>
      </c>
      <c r="T62" s="21">
        <v>25.241394900883201</v>
      </c>
      <c r="U62" s="22">
        <v>4.2531722509668796E-3</v>
      </c>
      <c r="V62" s="22">
        <v>6.5561297365281899E-3</v>
      </c>
      <c r="W62" s="22">
        <v>1.2413404097121701E-2</v>
      </c>
      <c r="X62" s="23">
        <v>0.87443002455278795</v>
      </c>
      <c r="Y62" s="23">
        <v>0.87815704628300895</v>
      </c>
      <c r="Z62" s="23">
        <v>0.87869525273541704</v>
      </c>
      <c r="AA62" s="23">
        <v>0.88366955871754804</v>
      </c>
      <c r="AB62" s="21">
        <v>25.036257389528501</v>
      </c>
      <c r="AC62" s="21">
        <v>25.0939812682014</v>
      </c>
      <c r="AD62" s="21">
        <v>25.241394900883201</v>
      </c>
      <c r="AE62" s="22">
        <v>4.2531722509668796E-3</v>
      </c>
      <c r="AF62" s="22">
        <v>6.5561297365281899E-3</v>
      </c>
      <c r="AG62" s="22">
        <v>1.2413404097121701E-2</v>
      </c>
      <c r="AZ62" s="17"/>
      <c r="BB62">
        <f t="shared" si="6"/>
        <v>0</v>
      </c>
      <c r="BC62">
        <f t="shared" si="7"/>
        <v>1</v>
      </c>
      <c r="BD62">
        <f t="shared" si="8"/>
        <v>0</v>
      </c>
      <c r="BE62">
        <f t="shared" si="4"/>
        <v>1</v>
      </c>
      <c r="BF62">
        <f t="shared" si="9"/>
        <v>0</v>
      </c>
      <c r="BG62" s="17">
        <f t="shared" si="10"/>
        <v>0</v>
      </c>
      <c r="BH62" s="17">
        <f t="shared" si="11"/>
        <v>0</v>
      </c>
      <c r="BI62" s="17">
        <f t="shared" si="12"/>
        <v>0</v>
      </c>
      <c r="BJ62" s="11">
        <f t="shared" si="13"/>
        <v>1.215524029734778E-2</v>
      </c>
      <c r="BL62" s="17"/>
      <c r="BN62">
        <f t="shared" si="14"/>
        <v>0</v>
      </c>
      <c r="BO62">
        <f t="shared" si="15"/>
        <v>0</v>
      </c>
      <c r="BP62">
        <f t="shared" si="16"/>
        <v>1</v>
      </c>
      <c r="BQ62">
        <f t="shared" si="5"/>
        <v>1</v>
      </c>
      <c r="BR62">
        <f t="shared" si="17"/>
        <v>1</v>
      </c>
      <c r="BS62" s="17">
        <f t="shared" si="18"/>
        <v>-6.6866340990617201E-3</v>
      </c>
      <c r="BT62" s="17">
        <f t="shared" si="19"/>
        <v>6.0350213344700704E-3</v>
      </c>
      <c r="BU62" s="17">
        <f t="shared" si="20"/>
        <v>-6.5161276459164974E-4</v>
      </c>
      <c r="BV62" s="11">
        <f t="shared" si="21"/>
        <v>-4.6294260280845172E-3</v>
      </c>
      <c r="BX62" s="11">
        <f t="shared" si="22"/>
        <v>-6.5161276459164974E-4</v>
      </c>
      <c r="BY62" s="11">
        <f t="shared" si="23"/>
        <v>7.5258142692632632E-3</v>
      </c>
    </row>
    <row r="63" spans="1:77" x14ac:dyDescent="0.3">
      <c r="A63" s="1">
        <v>46113</v>
      </c>
      <c r="B63" s="21">
        <v>28.15</v>
      </c>
      <c r="C63" s="21">
        <v>24.71</v>
      </c>
      <c r="D63" s="22">
        <v>-1.2707548338881301E-2</v>
      </c>
      <c r="E63" s="22">
        <v>-8.8638775349477693E-3</v>
      </c>
      <c r="F63" s="21">
        <v>0</v>
      </c>
      <c r="G63" s="21">
        <v>0.1</v>
      </c>
      <c r="H63" s="21">
        <v>0</v>
      </c>
      <c r="I63" s="21">
        <v>0.1</v>
      </c>
      <c r="J63" s="21">
        <v>0</v>
      </c>
      <c r="K63" s="21">
        <v>0</v>
      </c>
      <c r="L63" s="21">
        <v>28.15</v>
      </c>
      <c r="M63" s="21">
        <v>24.71</v>
      </c>
      <c r="N63" s="23">
        <v>0.87779751332149203</v>
      </c>
      <c r="O63" s="23">
        <v>0.87815704628300895</v>
      </c>
      <c r="P63" s="23">
        <v>0.87819661578917796</v>
      </c>
      <c r="Q63" s="23">
        <v>0.88254257413633896</v>
      </c>
      <c r="R63" s="21">
        <v>24.7201208528667</v>
      </c>
      <c r="S63" s="21">
        <v>24.735271364502001</v>
      </c>
      <c r="T63" s="21">
        <v>24.875298077898901</v>
      </c>
      <c r="U63" s="22">
        <v>4.0950144703327698E-4</v>
      </c>
      <c r="V63" s="22">
        <v>1.02219549028984E-3</v>
      </c>
      <c r="W63" s="22">
        <v>6.6672460034565596E-3</v>
      </c>
      <c r="X63" s="23">
        <v>0.87779751332149203</v>
      </c>
      <c r="Y63" s="23">
        <v>0.87815704628300895</v>
      </c>
      <c r="Z63" s="23">
        <v>0.87819661578917796</v>
      </c>
      <c r="AA63" s="23">
        <v>0.88254257413633896</v>
      </c>
      <c r="AB63" s="21">
        <v>24.7201208528667</v>
      </c>
      <c r="AC63" s="21">
        <v>24.735271364502001</v>
      </c>
      <c r="AD63" s="21">
        <v>24.875298077898901</v>
      </c>
      <c r="AE63" s="22">
        <v>4.0950144703327698E-4</v>
      </c>
      <c r="AF63" s="22">
        <v>1.02219549028984E-3</v>
      </c>
      <c r="AG63" s="22">
        <v>6.6672460034565596E-3</v>
      </c>
      <c r="AZ63" s="17"/>
      <c r="BB63">
        <f t="shared" si="6"/>
        <v>0</v>
      </c>
      <c r="BC63">
        <f t="shared" si="7"/>
        <v>1</v>
      </c>
      <c r="BD63">
        <f t="shared" si="8"/>
        <v>0</v>
      </c>
      <c r="BE63">
        <f t="shared" si="4"/>
        <v>1</v>
      </c>
      <c r="BF63">
        <f t="shared" si="9"/>
        <v>0</v>
      </c>
      <c r="BG63" s="17">
        <f t="shared" si="10"/>
        <v>0</v>
      </c>
      <c r="BH63" s="17">
        <f t="shared" si="11"/>
        <v>0</v>
      </c>
      <c r="BI63" s="17">
        <f t="shared" si="12"/>
        <v>0</v>
      </c>
      <c r="BJ63" s="11">
        <f t="shared" si="13"/>
        <v>1.215524029734778E-2</v>
      </c>
      <c r="BL63" s="17"/>
      <c r="BN63">
        <f t="shared" si="14"/>
        <v>0</v>
      </c>
      <c r="BO63">
        <f t="shared" si="15"/>
        <v>0</v>
      </c>
      <c r="BP63">
        <f t="shared" si="16"/>
        <v>1</v>
      </c>
      <c r="BQ63">
        <f t="shared" si="5"/>
        <v>1</v>
      </c>
      <c r="BR63">
        <f t="shared" si="17"/>
        <v>1</v>
      </c>
      <c r="BS63" s="17">
        <f t="shared" si="18"/>
        <v>1.2707548338881301E-2</v>
      </c>
      <c r="BT63" s="17">
        <f t="shared" si="19"/>
        <v>-8.8638775349477693E-3</v>
      </c>
      <c r="BU63" s="17">
        <f t="shared" si="20"/>
        <v>3.8436708039335313E-3</v>
      </c>
      <c r="BV63" s="11">
        <f t="shared" si="21"/>
        <v>-7.8575522415098593E-4</v>
      </c>
      <c r="BX63" s="11">
        <f t="shared" si="22"/>
        <v>3.8436708039335313E-3</v>
      </c>
      <c r="BY63" s="11">
        <f t="shared" si="23"/>
        <v>1.1369485073196794E-2</v>
      </c>
    </row>
    <row r="64" spans="1:77" x14ac:dyDescent="0.3">
      <c r="A64" s="1">
        <v>46114</v>
      </c>
      <c r="B64" s="21">
        <v>28.11</v>
      </c>
      <c r="C64" s="21">
        <v>24.4</v>
      </c>
      <c r="D64" s="22">
        <v>-1.42196966725882E-3</v>
      </c>
      <c r="E64" s="22">
        <v>-1.26248877013626E-2</v>
      </c>
      <c r="F64" s="21">
        <v>0</v>
      </c>
      <c r="G64" s="21">
        <v>0.1</v>
      </c>
      <c r="H64" s="21">
        <v>0</v>
      </c>
      <c r="I64" s="21">
        <v>0.1</v>
      </c>
      <c r="J64" s="21">
        <v>0</v>
      </c>
      <c r="K64" s="21">
        <v>0</v>
      </c>
      <c r="L64" s="21">
        <v>28.11</v>
      </c>
      <c r="M64" s="21">
        <v>24.4</v>
      </c>
      <c r="N64" s="23">
        <v>0.86801849875489101</v>
      </c>
      <c r="O64" s="23">
        <v>0.87815704628300895</v>
      </c>
      <c r="P64" s="23">
        <v>0.87714971382913098</v>
      </c>
      <c r="Q64" s="23">
        <v>0.880880395881804</v>
      </c>
      <c r="R64" s="21">
        <v>24.684994571015299</v>
      </c>
      <c r="S64" s="21">
        <v>24.6861068698338</v>
      </c>
      <c r="T64" s="21">
        <v>24.808271758972399</v>
      </c>
      <c r="U64" s="22">
        <v>1.1612419481137099E-2</v>
      </c>
      <c r="V64" s="22">
        <v>1.1657478180908299E-2</v>
      </c>
      <c r="W64" s="22">
        <v>1.6594003928369901E-2</v>
      </c>
      <c r="X64" s="23">
        <v>0.86801849875489101</v>
      </c>
      <c r="Y64" s="23">
        <v>0.87815704628300895</v>
      </c>
      <c r="Z64" s="23">
        <v>0.87714971382913098</v>
      </c>
      <c r="AA64" s="23">
        <v>0.880880395881804</v>
      </c>
      <c r="AB64" s="21">
        <v>24.684994571015299</v>
      </c>
      <c r="AC64" s="21">
        <v>24.6861068698338</v>
      </c>
      <c r="AD64" s="21">
        <v>24.808271758972399</v>
      </c>
      <c r="AE64" s="22">
        <v>1.1612419481137099E-2</v>
      </c>
      <c r="AF64" s="22">
        <v>1.1657478180908299E-2</v>
      </c>
      <c r="AG64" s="22">
        <v>1.6594003928369901E-2</v>
      </c>
      <c r="AZ64" s="17"/>
      <c r="BB64">
        <f t="shared" si="6"/>
        <v>0</v>
      </c>
      <c r="BC64">
        <f t="shared" si="7"/>
        <v>1</v>
      </c>
      <c r="BD64">
        <f t="shared" si="8"/>
        <v>0</v>
      </c>
      <c r="BE64">
        <f t="shared" si="4"/>
        <v>1</v>
      </c>
      <c r="BF64">
        <f t="shared" si="9"/>
        <v>0</v>
      </c>
      <c r="BG64" s="17">
        <f t="shared" si="10"/>
        <v>0</v>
      </c>
      <c r="BH64" s="17">
        <f t="shared" si="11"/>
        <v>0</v>
      </c>
      <c r="BI64" s="17">
        <f t="shared" si="12"/>
        <v>0</v>
      </c>
      <c r="BJ64" s="11">
        <f t="shared" si="13"/>
        <v>1.215524029734778E-2</v>
      </c>
      <c r="BL64" s="17"/>
      <c r="BN64">
        <f t="shared" si="14"/>
        <v>1</v>
      </c>
      <c r="BO64">
        <f t="shared" si="15"/>
        <v>0</v>
      </c>
      <c r="BP64">
        <f t="shared" si="16"/>
        <v>1</v>
      </c>
      <c r="BQ64">
        <f t="shared" si="5"/>
        <v>1</v>
      </c>
      <c r="BR64">
        <f t="shared" si="17"/>
        <v>1</v>
      </c>
      <c r="BS64" s="17">
        <f t="shared" si="18"/>
        <v>1.42196966725882E-3</v>
      </c>
      <c r="BT64" s="17">
        <f t="shared" si="19"/>
        <v>-1.26248877013626E-2</v>
      </c>
      <c r="BU64" s="17">
        <f t="shared" si="20"/>
        <v>-1.120291803410378E-2</v>
      </c>
      <c r="BV64" s="11">
        <f t="shared" si="21"/>
        <v>-1.1988673258254767E-2</v>
      </c>
      <c r="BX64" s="11">
        <f t="shared" si="22"/>
        <v>-1.120291803410378E-2</v>
      </c>
      <c r="BY64" s="11">
        <f t="shared" si="23"/>
        <v>1.6656703909301469E-4</v>
      </c>
    </row>
    <row r="65" spans="1:77" x14ac:dyDescent="0.3">
      <c r="A65" s="1">
        <v>46118</v>
      </c>
      <c r="B65" s="21">
        <v>28.14</v>
      </c>
      <c r="C65" s="21">
        <v>24.47</v>
      </c>
      <c r="D65" s="22">
        <v>1.0666667678024401E-3</v>
      </c>
      <c r="E65" s="22">
        <v>2.86474515542407E-3</v>
      </c>
      <c r="F65" s="21">
        <v>0</v>
      </c>
      <c r="G65" s="21">
        <v>0.1</v>
      </c>
      <c r="H65" s="21">
        <v>0</v>
      </c>
      <c r="I65" s="21">
        <v>0.1</v>
      </c>
      <c r="J65" s="21">
        <v>0</v>
      </c>
      <c r="K65" s="21">
        <v>0</v>
      </c>
      <c r="L65" s="21">
        <v>28.14</v>
      </c>
      <c r="M65" s="21">
        <v>24.47</v>
      </c>
      <c r="N65" s="23">
        <v>0.86958066808812995</v>
      </c>
      <c r="O65" s="23">
        <v>0.87815704628300895</v>
      </c>
      <c r="P65" s="23">
        <v>0.87630201210928405</v>
      </c>
      <c r="Q65" s="23">
        <v>0.879918996073214</v>
      </c>
      <c r="R65" s="21">
        <v>24.711339282403799</v>
      </c>
      <c r="S65" s="21">
        <v>24.6829929471517</v>
      </c>
      <c r="T65" s="21">
        <v>24.787974340113902</v>
      </c>
      <c r="U65" s="22">
        <v>9.8143410935153698E-3</v>
      </c>
      <c r="V65" s="22">
        <v>8.6665843738900402E-3</v>
      </c>
      <c r="W65" s="22">
        <v>1.2910752471030899E-2</v>
      </c>
      <c r="X65" s="23">
        <v>0.86958066808812995</v>
      </c>
      <c r="Y65" s="23">
        <v>0.87815704628300895</v>
      </c>
      <c r="Z65" s="23">
        <v>0.87630201210928405</v>
      </c>
      <c r="AA65" s="23">
        <v>0.879918996073214</v>
      </c>
      <c r="AB65" s="21">
        <v>24.711339282403799</v>
      </c>
      <c r="AC65" s="21">
        <v>24.6829929471517</v>
      </c>
      <c r="AD65" s="21">
        <v>24.787974340113902</v>
      </c>
      <c r="AE65" s="22">
        <v>9.8143410935153698E-3</v>
      </c>
      <c r="AF65" s="22">
        <v>8.6665843738900402E-3</v>
      </c>
      <c r="AG65" s="22">
        <v>1.2910752471030899E-2</v>
      </c>
      <c r="AZ65" s="17"/>
      <c r="BB65">
        <f t="shared" si="6"/>
        <v>0</v>
      </c>
      <c r="BC65">
        <f t="shared" si="7"/>
        <v>1</v>
      </c>
      <c r="BD65">
        <f t="shared" si="8"/>
        <v>0</v>
      </c>
      <c r="BE65">
        <f t="shared" si="4"/>
        <v>1</v>
      </c>
      <c r="BF65">
        <f t="shared" si="9"/>
        <v>0</v>
      </c>
      <c r="BG65" s="17">
        <f t="shared" si="10"/>
        <v>0</v>
      </c>
      <c r="BH65" s="17">
        <f t="shared" si="11"/>
        <v>0</v>
      </c>
      <c r="BI65" s="17">
        <f t="shared" si="12"/>
        <v>0</v>
      </c>
      <c r="BJ65" s="11">
        <f t="shared" si="13"/>
        <v>1.215524029734778E-2</v>
      </c>
      <c r="BL65" s="17"/>
      <c r="BN65">
        <f t="shared" si="14"/>
        <v>0</v>
      </c>
      <c r="BO65">
        <f t="shared" si="15"/>
        <v>0</v>
      </c>
      <c r="BP65">
        <f t="shared" si="16"/>
        <v>1</v>
      </c>
      <c r="BQ65">
        <f t="shared" si="5"/>
        <v>1</v>
      </c>
      <c r="BR65">
        <f t="shared" si="17"/>
        <v>1</v>
      </c>
      <c r="BS65" s="17">
        <f t="shared" si="18"/>
        <v>-1.0666667678024401E-3</v>
      </c>
      <c r="BT65" s="17">
        <f t="shared" si="19"/>
        <v>2.86474515542407E-3</v>
      </c>
      <c r="BU65" s="17">
        <f t="shared" si="20"/>
        <v>1.7980783876216299E-3</v>
      </c>
      <c r="BV65" s="11">
        <f t="shared" si="21"/>
        <v>-1.0190594870633136E-2</v>
      </c>
      <c r="BX65" s="11">
        <f t="shared" si="22"/>
        <v>1.7980783876216299E-3</v>
      </c>
      <c r="BY65" s="11">
        <f t="shared" si="23"/>
        <v>1.9646454267146446E-3</v>
      </c>
    </row>
    <row r="66" spans="1:77" x14ac:dyDescent="0.3">
      <c r="A66" s="1">
        <v>46119</v>
      </c>
      <c r="B66" s="21">
        <v>28.1</v>
      </c>
      <c r="C66" s="21">
        <v>24.43</v>
      </c>
      <c r="D66" s="22">
        <v>-1.42247534654287E-3</v>
      </c>
      <c r="E66" s="22">
        <v>-1.63599218493116E-3</v>
      </c>
      <c r="F66" s="21">
        <v>0</v>
      </c>
      <c r="G66" s="21">
        <v>0.1</v>
      </c>
      <c r="H66" s="21">
        <v>0</v>
      </c>
      <c r="I66" s="21">
        <v>0.1</v>
      </c>
      <c r="J66" s="21">
        <v>0</v>
      </c>
      <c r="K66" s="21">
        <v>0</v>
      </c>
      <c r="L66" s="21">
        <v>28.1</v>
      </c>
      <c r="M66" s="21">
        <v>24.43</v>
      </c>
      <c r="N66" s="23">
        <v>0.86939501779359396</v>
      </c>
      <c r="O66" s="23">
        <v>0.87815704628300895</v>
      </c>
      <c r="P66" s="23">
        <v>0.874894827799787</v>
      </c>
      <c r="Q66" s="23">
        <v>0.87910870365722804</v>
      </c>
      <c r="R66" s="21">
        <v>24.676213000552501</v>
      </c>
      <c r="S66" s="21">
        <v>24.624086540270799</v>
      </c>
      <c r="T66" s="21">
        <v>24.725723789657302</v>
      </c>
      <c r="U66" s="22">
        <v>1.0027857931903699E-2</v>
      </c>
      <c r="V66" s="22">
        <v>7.9132062891398205E-3</v>
      </c>
      <c r="W66" s="22">
        <v>1.2032265406511001E-2</v>
      </c>
      <c r="X66" s="23">
        <v>0.86939501779359396</v>
      </c>
      <c r="Y66" s="23">
        <v>0.87815704628300895</v>
      </c>
      <c r="Z66" s="23">
        <v>0.874894827799787</v>
      </c>
      <c r="AA66" s="23">
        <v>0.87910870365722804</v>
      </c>
      <c r="AB66" s="21">
        <v>24.676213000552501</v>
      </c>
      <c r="AC66" s="21">
        <v>24.624086540270799</v>
      </c>
      <c r="AD66" s="21">
        <v>24.725723789657302</v>
      </c>
      <c r="AE66" s="22">
        <v>1.0027857931903699E-2</v>
      </c>
      <c r="AF66" s="22">
        <v>7.9132062891398205E-3</v>
      </c>
      <c r="AG66" s="22">
        <v>1.2032265406511001E-2</v>
      </c>
      <c r="AZ66" s="17"/>
      <c r="BB66">
        <f t="shared" si="6"/>
        <v>0</v>
      </c>
      <c r="BC66">
        <f t="shared" si="7"/>
        <v>1</v>
      </c>
      <c r="BD66">
        <f t="shared" si="8"/>
        <v>0</v>
      </c>
      <c r="BE66">
        <f t="shared" si="4"/>
        <v>1</v>
      </c>
      <c r="BF66">
        <f t="shared" si="9"/>
        <v>0</v>
      </c>
      <c r="BG66" s="17">
        <f t="shared" si="10"/>
        <v>0</v>
      </c>
      <c r="BH66" s="17">
        <f t="shared" si="11"/>
        <v>0</v>
      </c>
      <c r="BI66" s="17">
        <f t="shared" si="12"/>
        <v>0</v>
      </c>
      <c r="BJ66" s="11">
        <f t="shared" si="13"/>
        <v>1.215524029734778E-2</v>
      </c>
      <c r="BL66" s="17"/>
      <c r="BN66">
        <f t="shared" si="14"/>
        <v>0</v>
      </c>
      <c r="BO66">
        <f t="shared" si="15"/>
        <v>0</v>
      </c>
      <c r="BP66">
        <f t="shared" si="16"/>
        <v>1</v>
      </c>
      <c r="BQ66">
        <f t="shared" si="5"/>
        <v>1</v>
      </c>
      <c r="BR66">
        <f t="shared" si="17"/>
        <v>1</v>
      </c>
      <c r="BS66" s="17">
        <f t="shared" si="18"/>
        <v>1.42247534654287E-3</v>
      </c>
      <c r="BT66" s="17">
        <f t="shared" si="19"/>
        <v>-1.63599218493116E-3</v>
      </c>
      <c r="BU66" s="17">
        <f t="shared" si="20"/>
        <v>-2.1351683838828996E-4</v>
      </c>
      <c r="BV66" s="11">
        <f t="shared" si="21"/>
        <v>-1.0404111709021426E-2</v>
      </c>
      <c r="BX66" s="11">
        <f t="shared" si="22"/>
        <v>-2.1351683838828996E-4</v>
      </c>
      <c r="BY66" s="11">
        <f t="shared" si="23"/>
        <v>1.7511285883263547E-3</v>
      </c>
    </row>
    <row r="67" spans="1:77" x14ac:dyDescent="0.3">
      <c r="A67" s="1">
        <v>46120</v>
      </c>
      <c r="B67" s="21">
        <v>28.7</v>
      </c>
      <c r="C67" s="21">
        <v>24.89</v>
      </c>
      <c r="D67" s="22">
        <v>2.11275464258752E-2</v>
      </c>
      <c r="E67" s="22">
        <v>1.86542311098515E-2</v>
      </c>
      <c r="F67" s="21">
        <v>0</v>
      </c>
      <c r="G67" s="21">
        <v>0.1</v>
      </c>
      <c r="H67" s="21">
        <v>0</v>
      </c>
      <c r="I67" s="21">
        <v>0.1</v>
      </c>
      <c r="J67" s="21">
        <v>0</v>
      </c>
      <c r="K67" s="21">
        <v>0</v>
      </c>
      <c r="L67" s="21">
        <v>28.7</v>
      </c>
      <c r="M67" s="21">
        <v>24.89</v>
      </c>
      <c r="N67" s="23">
        <v>0.86724738675958102</v>
      </c>
      <c r="O67" s="23">
        <v>0.87815704628300895</v>
      </c>
      <c r="P67" s="23">
        <v>0.87339726246396798</v>
      </c>
      <c r="Q67" s="23">
        <v>0.87833073500843295</v>
      </c>
      <c r="R67" s="21">
        <v>25.203107228322299</v>
      </c>
      <c r="S67" s="21">
        <v>25.109481557853901</v>
      </c>
      <c r="T67" s="21">
        <v>25.230419794962401</v>
      </c>
      <c r="U67" s="22">
        <v>1.2501173247927599E-2</v>
      </c>
      <c r="V67" s="22">
        <v>8.7794097370950293E-3</v>
      </c>
      <c r="W67" s="22">
        <v>1.3584284857297501E-2</v>
      </c>
      <c r="X67" s="23">
        <v>0.86724738675958102</v>
      </c>
      <c r="Y67" s="23">
        <v>0.87815704628300895</v>
      </c>
      <c r="Z67" s="23">
        <v>0.87339726246396798</v>
      </c>
      <c r="AA67" s="23">
        <v>0.87833073500843295</v>
      </c>
      <c r="AB67" s="21">
        <v>25.203107228322299</v>
      </c>
      <c r="AC67" s="21">
        <v>25.109481557853901</v>
      </c>
      <c r="AD67" s="21">
        <v>25.230419794962401</v>
      </c>
      <c r="AE67" s="22">
        <v>1.2501173247927599E-2</v>
      </c>
      <c r="AF67" s="22">
        <v>8.7794097370950293E-3</v>
      </c>
      <c r="AG67" s="22">
        <v>1.3584284857297501E-2</v>
      </c>
      <c r="AZ67" s="17"/>
      <c r="BB67">
        <f t="shared" si="6"/>
        <v>0</v>
      </c>
      <c r="BC67">
        <f t="shared" si="7"/>
        <v>1</v>
      </c>
      <c r="BD67">
        <f t="shared" si="8"/>
        <v>0</v>
      </c>
      <c r="BE67">
        <f t="shared" si="4"/>
        <v>1</v>
      </c>
      <c r="BF67">
        <f t="shared" si="9"/>
        <v>0</v>
      </c>
      <c r="BG67" s="17">
        <f t="shared" si="10"/>
        <v>0</v>
      </c>
      <c r="BH67" s="17">
        <f t="shared" si="11"/>
        <v>0</v>
      </c>
      <c r="BI67" s="17">
        <f t="shared" si="12"/>
        <v>0</v>
      </c>
      <c r="BJ67" s="11">
        <f t="shared" si="13"/>
        <v>1.215524029734778E-2</v>
      </c>
      <c r="BL67" s="17"/>
      <c r="BN67">
        <f t="shared" si="14"/>
        <v>0</v>
      </c>
      <c r="BO67">
        <f t="shared" si="15"/>
        <v>0</v>
      </c>
      <c r="BP67">
        <f t="shared" si="16"/>
        <v>1</v>
      </c>
      <c r="BQ67">
        <f t="shared" si="5"/>
        <v>1</v>
      </c>
      <c r="BR67">
        <f t="shared" si="17"/>
        <v>1</v>
      </c>
      <c r="BS67" s="17">
        <f t="shared" si="18"/>
        <v>-2.11275464258752E-2</v>
      </c>
      <c r="BT67" s="17">
        <f t="shared" si="19"/>
        <v>1.86542311098515E-2</v>
      </c>
      <c r="BU67" s="17">
        <f t="shared" si="20"/>
        <v>-2.4733153160237005E-3</v>
      </c>
      <c r="BV67" s="11">
        <f t="shared" si="21"/>
        <v>-1.2877427025045126E-2</v>
      </c>
      <c r="BX67" s="11">
        <f t="shared" si="22"/>
        <v>-2.4733153160237005E-3</v>
      </c>
      <c r="BY67" s="11">
        <f t="shared" si="23"/>
        <v>-7.2218672769734584E-4</v>
      </c>
    </row>
    <row r="68" spans="1:77" x14ac:dyDescent="0.3">
      <c r="A68" s="1">
        <v>46121</v>
      </c>
      <c r="B68" s="21">
        <v>28.4</v>
      </c>
      <c r="C68" s="21">
        <v>24.59</v>
      </c>
      <c r="D68" s="22">
        <v>-1.0507977598415E-2</v>
      </c>
      <c r="E68" s="22">
        <v>-1.21262601513994E-2</v>
      </c>
      <c r="F68" s="21">
        <v>0</v>
      </c>
      <c r="G68" s="21">
        <v>0.1</v>
      </c>
      <c r="H68" s="21">
        <v>0</v>
      </c>
      <c r="I68" s="21">
        <v>0.1</v>
      </c>
      <c r="J68" s="21">
        <v>0</v>
      </c>
      <c r="K68" s="21">
        <v>0</v>
      </c>
      <c r="L68" s="21">
        <v>28.4</v>
      </c>
      <c r="M68" s="21">
        <v>24.59</v>
      </c>
      <c r="N68" s="23">
        <v>0.865845070422535</v>
      </c>
      <c r="O68" s="23">
        <v>0.87815704628300895</v>
      </c>
      <c r="P68" s="23">
        <v>0.87201511492122696</v>
      </c>
      <c r="Q68" s="23">
        <v>0.87743778984199094</v>
      </c>
      <c r="R68" s="21">
        <v>24.939660114437402</v>
      </c>
      <c r="S68" s="21">
        <v>24.804482253976602</v>
      </c>
      <c r="T68" s="21">
        <v>24.9445928742395</v>
      </c>
      <c r="U68" s="22">
        <v>1.4119455800911901E-2</v>
      </c>
      <c r="V68" s="22">
        <v>8.6845166594907396E-3</v>
      </c>
      <c r="W68" s="22">
        <v>1.43172240152312E-2</v>
      </c>
      <c r="X68" s="23">
        <v>0.865845070422535</v>
      </c>
      <c r="Y68" s="23">
        <v>0.87815704628300895</v>
      </c>
      <c r="Z68" s="23">
        <v>0.87201511492122696</v>
      </c>
      <c r="AA68" s="23">
        <v>0.87743778984199094</v>
      </c>
      <c r="AB68" s="21">
        <v>24.939660114437402</v>
      </c>
      <c r="AC68" s="21">
        <v>24.804482253976602</v>
      </c>
      <c r="AD68" s="21">
        <v>24.9445928742395</v>
      </c>
      <c r="AE68" s="22">
        <v>1.4119455800911901E-2</v>
      </c>
      <c r="AF68" s="22">
        <v>8.6845166594907396E-3</v>
      </c>
      <c r="AG68" s="22">
        <v>1.43172240152312E-2</v>
      </c>
      <c r="AZ68" s="17"/>
      <c r="BB68">
        <f t="shared" si="6"/>
        <v>0</v>
      </c>
      <c r="BC68">
        <f t="shared" si="7"/>
        <v>1</v>
      </c>
      <c r="BD68">
        <f t="shared" si="8"/>
        <v>0</v>
      </c>
      <c r="BE68">
        <f t="shared" si="4"/>
        <v>1</v>
      </c>
      <c r="BF68">
        <f t="shared" si="9"/>
        <v>0</v>
      </c>
      <c r="BG68" s="17">
        <f t="shared" si="10"/>
        <v>0</v>
      </c>
      <c r="BH68" s="17">
        <f t="shared" si="11"/>
        <v>0</v>
      </c>
      <c r="BI68" s="17">
        <f t="shared" si="12"/>
        <v>0</v>
      </c>
      <c r="BJ68" s="11">
        <f t="shared" si="13"/>
        <v>1.215524029734778E-2</v>
      </c>
      <c r="BL68" s="17"/>
      <c r="BN68">
        <f t="shared" si="14"/>
        <v>0</v>
      </c>
      <c r="BO68">
        <f t="shared" si="15"/>
        <v>0</v>
      </c>
      <c r="BP68">
        <f t="shared" si="16"/>
        <v>1</v>
      </c>
      <c r="BQ68">
        <f t="shared" si="5"/>
        <v>1</v>
      </c>
      <c r="BR68">
        <f t="shared" si="17"/>
        <v>1</v>
      </c>
      <c r="BS68" s="17">
        <f t="shared" si="18"/>
        <v>1.0507977598415E-2</v>
      </c>
      <c r="BT68" s="17">
        <f t="shared" si="19"/>
        <v>-1.21262601513994E-2</v>
      </c>
      <c r="BU68" s="17">
        <f t="shared" si="20"/>
        <v>-1.6182825529844E-3</v>
      </c>
      <c r="BV68" s="11">
        <f t="shared" si="21"/>
        <v>-1.4495709578029526E-2</v>
      </c>
      <c r="BX68" s="11">
        <f t="shared" si="22"/>
        <v>-1.6182825529844E-3</v>
      </c>
      <c r="BY68" s="11">
        <f t="shared" si="23"/>
        <v>-2.3404692806817456E-3</v>
      </c>
    </row>
    <row r="69" spans="1:77" x14ac:dyDescent="0.3">
      <c r="A69" s="1">
        <v>46122</v>
      </c>
      <c r="B69" s="21">
        <v>28.26</v>
      </c>
      <c r="C69" s="21">
        <v>24.48</v>
      </c>
      <c r="D69" s="22">
        <v>-4.9417679107788496E-3</v>
      </c>
      <c r="E69" s="22">
        <v>-4.48339858397579E-3</v>
      </c>
      <c r="F69" s="21">
        <v>0</v>
      </c>
      <c r="G69" s="21">
        <v>0.1</v>
      </c>
      <c r="H69" s="21">
        <v>0</v>
      </c>
      <c r="I69" s="21">
        <v>0.1</v>
      </c>
      <c r="J69" s="21">
        <v>0</v>
      </c>
      <c r="K69" s="21">
        <v>0</v>
      </c>
      <c r="L69" s="21">
        <v>28.26</v>
      </c>
      <c r="M69" s="21">
        <v>24.48</v>
      </c>
      <c r="N69" s="23">
        <v>0.86624203821655998</v>
      </c>
      <c r="O69" s="23">
        <v>0.87815704628300895</v>
      </c>
      <c r="P69" s="23">
        <v>0.87058124251783697</v>
      </c>
      <c r="Q69" s="23">
        <v>0.87652633586384698</v>
      </c>
      <c r="R69" s="21">
        <v>24.816718127957799</v>
      </c>
      <c r="S69" s="21">
        <v>24.643147147673801</v>
      </c>
      <c r="T69" s="21">
        <v>24.796391940934601</v>
      </c>
      <c r="U69" s="22">
        <v>1.3661086474108901E-2</v>
      </c>
      <c r="V69" s="22">
        <v>6.6423980141336204E-3</v>
      </c>
      <c r="W69" s="22">
        <v>1.2841698690026101E-2</v>
      </c>
      <c r="X69" s="23">
        <v>0.86624203821655998</v>
      </c>
      <c r="Y69" s="23">
        <v>0.87815704628300895</v>
      </c>
      <c r="Z69" s="23">
        <v>0.87058124251783697</v>
      </c>
      <c r="AA69" s="23">
        <v>0.87652633586384698</v>
      </c>
      <c r="AB69" s="21">
        <v>24.816718127957799</v>
      </c>
      <c r="AC69" s="21">
        <v>24.643147147673801</v>
      </c>
      <c r="AD69" s="21">
        <v>24.796391940934601</v>
      </c>
      <c r="AE69" s="22">
        <v>1.3661086474108901E-2</v>
      </c>
      <c r="AF69" s="22">
        <v>6.6423980141336204E-3</v>
      </c>
      <c r="AG69" s="22">
        <v>1.2841698690026101E-2</v>
      </c>
      <c r="AZ69" s="17"/>
      <c r="BB69">
        <f t="shared" si="6"/>
        <v>0</v>
      </c>
      <c r="BC69">
        <f t="shared" si="7"/>
        <v>1</v>
      </c>
      <c r="BD69">
        <f t="shared" si="8"/>
        <v>0</v>
      </c>
      <c r="BE69">
        <f t="shared" si="4"/>
        <v>1</v>
      </c>
      <c r="BF69">
        <f t="shared" si="9"/>
        <v>0</v>
      </c>
      <c r="BG69" s="17">
        <f t="shared" si="10"/>
        <v>0</v>
      </c>
      <c r="BH69" s="17">
        <f t="shared" si="11"/>
        <v>0</v>
      </c>
      <c r="BI69" s="17">
        <f t="shared" si="12"/>
        <v>0</v>
      </c>
      <c r="BJ69" s="11">
        <f t="shared" si="13"/>
        <v>1.215524029734778E-2</v>
      </c>
      <c r="BL69" s="17"/>
      <c r="BN69">
        <f t="shared" si="14"/>
        <v>0</v>
      </c>
      <c r="BO69">
        <f t="shared" si="15"/>
        <v>0</v>
      </c>
      <c r="BP69">
        <f t="shared" si="16"/>
        <v>1</v>
      </c>
      <c r="BQ69">
        <f t="shared" si="5"/>
        <v>1</v>
      </c>
      <c r="BR69">
        <f t="shared" si="17"/>
        <v>1</v>
      </c>
      <c r="BS69" s="17">
        <f t="shared" si="18"/>
        <v>4.9417679107788496E-3</v>
      </c>
      <c r="BT69" s="17">
        <f t="shared" si="19"/>
        <v>-4.48339858397579E-3</v>
      </c>
      <c r="BU69" s="17">
        <f t="shared" si="20"/>
        <v>4.5836932680305958E-4</v>
      </c>
      <c r="BV69" s="11">
        <f t="shared" si="21"/>
        <v>-1.4037340251226466E-2</v>
      </c>
      <c r="BX69" s="11">
        <f t="shared" si="22"/>
        <v>4.5836932680305958E-4</v>
      </c>
      <c r="BY69" s="11">
        <f t="shared" si="23"/>
        <v>-1.882099953878686E-3</v>
      </c>
    </row>
    <row r="70" spans="1:77" x14ac:dyDescent="0.3">
      <c r="A70" s="1">
        <v>46125</v>
      </c>
      <c r="B70" s="21">
        <v>28.83</v>
      </c>
      <c r="C70" s="21">
        <v>24.94</v>
      </c>
      <c r="D70" s="22">
        <v>1.9969134393929298E-2</v>
      </c>
      <c r="E70" s="22">
        <v>1.8616482607764901E-2</v>
      </c>
      <c r="F70" s="21">
        <v>0</v>
      </c>
      <c r="G70" s="21">
        <v>0.1</v>
      </c>
      <c r="H70" s="21">
        <v>0</v>
      </c>
      <c r="I70" s="21">
        <v>0.1</v>
      </c>
      <c r="J70" s="21">
        <v>0</v>
      </c>
      <c r="K70" s="21">
        <v>0</v>
      </c>
      <c r="L70" s="21">
        <v>28.83</v>
      </c>
      <c r="M70" s="21">
        <v>24.94</v>
      </c>
      <c r="N70" s="23">
        <v>0.86507110648629904</v>
      </c>
      <c r="O70" s="23">
        <v>0.87815704628300895</v>
      </c>
      <c r="P70" s="23">
        <v>0.86986273243958701</v>
      </c>
      <c r="Q70" s="23">
        <v>0.87549737997739996</v>
      </c>
      <c r="R70" s="21">
        <v>25.3172676443391</v>
      </c>
      <c r="S70" s="21">
        <v>25.098857221789199</v>
      </c>
      <c r="T70" s="21">
        <v>25.270254262954701</v>
      </c>
      <c r="U70" s="22">
        <v>1.5013738260273E-2</v>
      </c>
      <c r="V70" s="22">
        <v>6.3493758369905602E-3</v>
      </c>
      <c r="W70" s="22">
        <v>1.31550429477988E-2</v>
      </c>
      <c r="X70" s="23">
        <v>0.86507110648629904</v>
      </c>
      <c r="Y70" s="23">
        <v>0.87815704628300895</v>
      </c>
      <c r="Z70" s="23">
        <v>0.86986273243958701</v>
      </c>
      <c r="AA70" s="23">
        <v>0.87549737997739996</v>
      </c>
      <c r="AB70" s="21">
        <v>25.3172676443391</v>
      </c>
      <c r="AC70" s="21">
        <v>25.098857221789199</v>
      </c>
      <c r="AD70" s="21">
        <v>25.270254262954701</v>
      </c>
      <c r="AE70" s="22">
        <v>1.5013738260273E-2</v>
      </c>
      <c r="AF70" s="22">
        <v>6.3493758369905602E-3</v>
      </c>
      <c r="AG70" s="22">
        <v>1.31550429477988E-2</v>
      </c>
      <c r="AZ70" s="17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17">
        <f t="shared" si="10"/>
        <v>0</v>
      </c>
      <c r="BH70" s="17">
        <f t="shared" si="11"/>
        <v>0</v>
      </c>
      <c r="BI70" s="17">
        <f t="shared" si="12"/>
        <v>0</v>
      </c>
      <c r="BJ70" s="11">
        <f t="shared" si="13"/>
        <v>1.215524029734778E-2</v>
      </c>
      <c r="BL70" s="17"/>
      <c r="BN70">
        <f t="shared" si="14"/>
        <v>0</v>
      </c>
      <c r="BO70">
        <f t="shared" si="15"/>
        <v>0</v>
      </c>
      <c r="BP70">
        <f t="shared" si="16"/>
        <v>1</v>
      </c>
      <c r="BQ70">
        <f t="shared" si="5"/>
        <v>1</v>
      </c>
      <c r="BR70">
        <f t="shared" si="17"/>
        <v>1</v>
      </c>
      <c r="BS70" s="17">
        <f t="shared" si="18"/>
        <v>-1.9969134393929298E-2</v>
      </c>
      <c r="BT70" s="17">
        <f t="shared" si="19"/>
        <v>1.8616482607764901E-2</v>
      </c>
      <c r="BU70" s="17">
        <f t="shared" si="20"/>
        <v>-1.3526517861643973E-3</v>
      </c>
      <c r="BV70" s="11">
        <f t="shared" si="21"/>
        <v>-1.5389992037390863E-2</v>
      </c>
      <c r="BX70" s="11">
        <f t="shared" si="22"/>
        <v>-1.3526517861643973E-3</v>
      </c>
      <c r="BY70" s="11">
        <f t="shared" si="23"/>
        <v>-3.2347517400430834E-3</v>
      </c>
    </row>
    <row r="71" spans="1:77" x14ac:dyDescent="0.3">
      <c r="A71" s="1">
        <v>46126</v>
      </c>
      <c r="B71" s="21">
        <v>28.83</v>
      </c>
      <c r="C71" s="21">
        <v>25.03</v>
      </c>
      <c r="D71" s="22">
        <v>0</v>
      </c>
      <c r="E71" s="22">
        <v>3.6021651917923902E-3</v>
      </c>
      <c r="F71" s="21">
        <v>0</v>
      </c>
      <c r="G71" s="21">
        <v>0.1</v>
      </c>
      <c r="H71" s="21">
        <v>0</v>
      </c>
      <c r="I71" s="21">
        <v>0.1</v>
      </c>
      <c r="J71" s="21">
        <v>0</v>
      </c>
      <c r="K71" s="21">
        <v>0</v>
      </c>
      <c r="L71" s="21">
        <v>28.83</v>
      </c>
      <c r="M71" s="21">
        <v>25.03</v>
      </c>
      <c r="N71" s="23">
        <v>0.86819285466527896</v>
      </c>
      <c r="O71" s="23">
        <v>0.87815704628300895</v>
      </c>
      <c r="P71" s="23">
        <v>0.86918201790611505</v>
      </c>
      <c r="Q71" s="23">
        <v>0.87468187651183305</v>
      </c>
      <c r="R71" s="21">
        <v>25.3172676443391</v>
      </c>
      <c r="S71" s="21">
        <v>25.078142576233301</v>
      </c>
      <c r="T71" s="21">
        <v>25.2405894647484</v>
      </c>
      <c r="U71" s="22">
        <v>1.1411573068480599E-2</v>
      </c>
      <c r="V71" s="22">
        <v>1.9215476196631799E-3</v>
      </c>
      <c r="W71" s="22">
        <v>8.3782863444345507E-3</v>
      </c>
      <c r="X71" s="23">
        <v>0.86819285466527896</v>
      </c>
      <c r="Y71" s="23">
        <v>0.87815704628300895</v>
      </c>
      <c r="Z71" s="23">
        <v>0.86918201790611505</v>
      </c>
      <c r="AA71" s="23">
        <v>0.87468187651183305</v>
      </c>
      <c r="AB71" s="21">
        <v>25.3172676443391</v>
      </c>
      <c r="AC71" s="21">
        <v>25.078142576233301</v>
      </c>
      <c r="AD71" s="21">
        <v>25.2405894647484</v>
      </c>
      <c r="AE71" s="22">
        <v>1.1411573068480599E-2</v>
      </c>
      <c r="AF71" s="22">
        <v>1.9215476196631799E-3</v>
      </c>
      <c r="AG71" s="22">
        <v>8.3782863444345507E-3</v>
      </c>
      <c r="AZ71" s="17"/>
      <c r="BB71">
        <f t="shared" si="6"/>
        <v>0</v>
      </c>
      <c r="BC71">
        <f t="shared" si="7"/>
        <v>1</v>
      </c>
      <c r="BD71">
        <f t="shared" si="8"/>
        <v>0</v>
      </c>
      <c r="BE71">
        <f t="shared" si="4"/>
        <v>1</v>
      </c>
      <c r="BF71">
        <f t="shared" si="9"/>
        <v>0</v>
      </c>
      <c r="BG71" s="17">
        <f t="shared" si="10"/>
        <v>0</v>
      </c>
      <c r="BH71" s="17">
        <f t="shared" si="11"/>
        <v>0</v>
      </c>
      <c r="BI71" s="17">
        <f t="shared" si="12"/>
        <v>0</v>
      </c>
      <c r="BJ71" s="11">
        <f t="shared" si="13"/>
        <v>1.215524029734778E-2</v>
      </c>
      <c r="BL71" s="17"/>
      <c r="BN71">
        <f t="shared" si="14"/>
        <v>0</v>
      </c>
      <c r="BO71">
        <f t="shared" si="15"/>
        <v>0</v>
      </c>
      <c r="BP71">
        <f t="shared" si="16"/>
        <v>1</v>
      </c>
      <c r="BQ71">
        <f t="shared" si="5"/>
        <v>1</v>
      </c>
      <c r="BR71">
        <f t="shared" si="17"/>
        <v>1</v>
      </c>
      <c r="BS71" s="17">
        <f t="shared" si="18"/>
        <v>0</v>
      </c>
      <c r="BT71" s="17">
        <f t="shared" si="19"/>
        <v>3.6021651917923902E-3</v>
      </c>
      <c r="BU71" s="17">
        <f t="shared" si="20"/>
        <v>3.6021651917923902E-3</v>
      </c>
      <c r="BV71" s="11">
        <f t="shared" si="21"/>
        <v>-1.1787826845598473E-2</v>
      </c>
      <c r="BX71" s="11">
        <f t="shared" si="22"/>
        <v>3.6021651917923902E-3</v>
      </c>
      <c r="BY71" s="11">
        <f t="shared" si="23"/>
        <v>3.6741345174930683E-4</v>
      </c>
    </row>
    <row r="72" spans="1:77" x14ac:dyDescent="0.3">
      <c r="A72" s="1">
        <v>46127</v>
      </c>
      <c r="B72" s="21">
        <v>29.15</v>
      </c>
      <c r="C72" s="21">
        <v>25.33</v>
      </c>
      <c r="D72" s="22">
        <v>1.10384011461905E-2</v>
      </c>
      <c r="E72" s="22">
        <v>1.19143585699008E-2</v>
      </c>
      <c r="F72" s="21">
        <v>0</v>
      </c>
      <c r="G72" s="21">
        <v>0.1</v>
      </c>
      <c r="H72" s="21">
        <v>0</v>
      </c>
      <c r="I72" s="21">
        <v>0.1</v>
      </c>
      <c r="J72" s="21">
        <v>0</v>
      </c>
      <c r="K72" s="21">
        <v>0</v>
      </c>
      <c r="L72" s="21">
        <v>29.15</v>
      </c>
      <c r="M72" s="21">
        <v>25.33</v>
      </c>
      <c r="N72" s="23">
        <v>0.86895368782161198</v>
      </c>
      <c r="O72" s="23">
        <v>0.87815704628300895</v>
      </c>
      <c r="P72" s="23">
        <v>0.86863438423299699</v>
      </c>
      <c r="Q72" s="23">
        <v>0.87366481848420696</v>
      </c>
      <c r="R72" s="21">
        <v>25.5982778991497</v>
      </c>
      <c r="S72" s="21">
        <v>25.336655821963198</v>
      </c>
      <c r="T72" s="21">
        <v>25.496976700319902</v>
      </c>
      <c r="U72" s="22">
        <v>1.0535615644770201E-2</v>
      </c>
      <c r="V72" s="22">
        <v>2.6272987208544901E-4</v>
      </c>
      <c r="W72" s="22">
        <v>6.5704203501460601E-3</v>
      </c>
      <c r="X72" s="23">
        <v>0.86895368782161198</v>
      </c>
      <c r="Y72" s="23">
        <v>0.87815704628300895</v>
      </c>
      <c r="Z72" s="23">
        <v>0.86863438423299699</v>
      </c>
      <c r="AA72" s="23">
        <v>0.87366481848420696</v>
      </c>
      <c r="AB72" s="21">
        <v>25.5982778991497</v>
      </c>
      <c r="AC72" s="21">
        <v>25.336655821963198</v>
      </c>
      <c r="AD72" s="21">
        <v>25.496976700319902</v>
      </c>
      <c r="AE72" s="22">
        <v>1.0535615644770201E-2</v>
      </c>
      <c r="AF72" s="22">
        <v>2.6272987208544901E-4</v>
      </c>
      <c r="AG72" s="22">
        <v>6.5704203501460601E-3</v>
      </c>
      <c r="AZ72" s="17"/>
      <c r="BB72">
        <f t="shared" si="6"/>
        <v>0</v>
      </c>
      <c r="BC72">
        <f t="shared" si="7"/>
        <v>1</v>
      </c>
      <c r="BD72">
        <f t="shared" si="8"/>
        <v>0</v>
      </c>
      <c r="BE72">
        <f t="shared" si="4"/>
        <v>1</v>
      </c>
      <c r="BF72">
        <f t="shared" si="9"/>
        <v>0</v>
      </c>
      <c r="BG72" s="17">
        <f t="shared" si="10"/>
        <v>0</v>
      </c>
      <c r="BH72" s="17">
        <f t="shared" si="11"/>
        <v>0</v>
      </c>
      <c r="BI72" s="17">
        <f t="shared" si="12"/>
        <v>0</v>
      </c>
      <c r="BJ72" s="11">
        <f t="shared" si="13"/>
        <v>1.215524029734778E-2</v>
      </c>
      <c r="BL72" s="17"/>
      <c r="BN72">
        <f t="shared" si="14"/>
        <v>0</v>
      </c>
      <c r="BO72">
        <f t="shared" si="15"/>
        <v>0</v>
      </c>
      <c r="BP72">
        <f t="shared" si="16"/>
        <v>1</v>
      </c>
      <c r="BQ72">
        <f t="shared" si="5"/>
        <v>1</v>
      </c>
      <c r="BR72">
        <f t="shared" si="17"/>
        <v>1</v>
      </c>
      <c r="BS72" s="17">
        <f t="shared" si="18"/>
        <v>-1.10384011461905E-2</v>
      </c>
      <c r="BT72" s="17">
        <f t="shared" si="19"/>
        <v>1.19143585699008E-2</v>
      </c>
      <c r="BU72" s="17">
        <f t="shared" si="20"/>
        <v>8.7595742371029961E-4</v>
      </c>
      <c r="BV72" s="11">
        <f t="shared" si="21"/>
        <v>-1.0911869421888173E-2</v>
      </c>
      <c r="BX72" s="11">
        <f t="shared" si="22"/>
        <v>8.7595742371029961E-4</v>
      </c>
      <c r="BY72" s="11">
        <f t="shared" si="23"/>
        <v>1.2433708754596064E-3</v>
      </c>
    </row>
    <row r="73" spans="1:77" x14ac:dyDescent="0.3">
      <c r="A73" s="1">
        <v>46128</v>
      </c>
      <c r="B73" s="21">
        <v>29.65</v>
      </c>
      <c r="C73" s="21">
        <v>25.79</v>
      </c>
      <c r="D73" s="22">
        <v>1.7007212647233101E-2</v>
      </c>
      <c r="E73" s="22">
        <v>1.79973558796695E-2</v>
      </c>
      <c r="F73" s="21">
        <v>0</v>
      </c>
      <c r="G73" s="21">
        <v>0.1</v>
      </c>
      <c r="H73" s="21">
        <v>0</v>
      </c>
      <c r="I73" s="21">
        <v>0.1</v>
      </c>
      <c r="J73" s="21">
        <v>0</v>
      </c>
      <c r="K73" s="21">
        <v>0</v>
      </c>
      <c r="L73" s="21">
        <v>29.65</v>
      </c>
      <c r="M73" s="21">
        <v>25.79</v>
      </c>
      <c r="N73" s="23">
        <v>0.86981450252951098</v>
      </c>
      <c r="O73" s="23">
        <v>0.87815704628300895</v>
      </c>
      <c r="P73" s="23">
        <v>0.86783608315379901</v>
      </c>
      <c r="Q73" s="23">
        <v>0.87301634947148898</v>
      </c>
      <c r="R73" s="21">
        <v>26.0373564222912</v>
      </c>
      <c r="S73" s="21">
        <v>25.7550094925083</v>
      </c>
      <c r="T73" s="21">
        <v>25.904161868056701</v>
      </c>
      <c r="U73" s="22">
        <v>9.5454724123338799E-3</v>
      </c>
      <c r="V73" s="22">
        <v>-1.3576683062374701E-3</v>
      </c>
      <c r="W73" s="22">
        <v>4.4168257893629796E-3</v>
      </c>
      <c r="X73" s="23">
        <v>0.86981450252951098</v>
      </c>
      <c r="Y73" s="23">
        <v>0.87815704628300895</v>
      </c>
      <c r="Z73" s="23">
        <v>0.86783608315379901</v>
      </c>
      <c r="AA73" s="23">
        <v>0.87301634947148898</v>
      </c>
      <c r="AB73" s="21">
        <v>26.0373564222912</v>
      </c>
      <c r="AC73" s="21">
        <v>25.7550094925083</v>
      </c>
      <c r="AD73" s="21">
        <v>25.904161868056701</v>
      </c>
      <c r="AE73" s="22">
        <v>9.5454724123338799E-3</v>
      </c>
      <c r="AF73" s="22">
        <v>-1.3576683062374701E-3</v>
      </c>
      <c r="AG73" s="22">
        <v>4.4168257893629796E-3</v>
      </c>
      <c r="AZ73" s="17"/>
      <c r="BB73">
        <f t="shared" si="6"/>
        <v>0</v>
      </c>
      <c r="BC73">
        <f t="shared" si="7"/>
        <v>1</v>
      </c>
      <c r="BD73">
        <f t="shared" si="8"/>
        <v>0</v>
      </c>
      <c r="BE73">
        <f t="shared" si="4"/>
        <v>1</v>
      </c>
      <c r="BF73">
        <f t="shared" si="9"/>
        <v>0</v>
      </c>
      <c r="BG73" s="17">
        <f t="shared" si="10"/>
        <v>0</v>
      </c>
      <c r="BH73" s="17">
        <f t="shared" si="11"/>
        <v>0</v>
      </c>
      <c r="BI73" s="17">
        <f t="shared" si="12"/>
        <v>0</v>
      </c>
      <c r="BJ73" s="11">
        <f t="shared" si="13"/>
        <v>1.215524029734778E-2</v>
      </c>
      <c r="BL73" s="17"/>
      <c r="BN73">
        <f t="shared" si="14"/>
        <v>0</v>
      </c>
      <c r="BO73">
        <f t="shared" si="15"/>
        <v>1</v>
      </c>
      <c r="BP73">
        <f t="shared" si="16"/>
        <v>1</v>
      </c>
      <c r="BQ73">
        <f t="shared" si="5"/>
        <v>1</v>
      </c>
      <c r="BR73">
        <f t="shared" si="17"/>
        <v>1</v>
      </c>
      <c r="BS73" s="17">
        <f t="shared" si="18"/>
        <v>-1.7007212647233101E-2</v>
      </c>
      <c r="BT73" s="17">
        <f t="shared" si="19"/>
        <v>1.79973558796695E-2</v>
      </c>
      <c r="BU73" s="17">
        <f t="shared" si="20"/>
        <v>9.9014323243639887E-4</v>
      </c>
      <c r="BV73" s="11">
        <f t="shared" si="21"/>
        <v>-9.9217261894517742E-3</v>
      </c>
      <c r="BX73" s="11">
        <f t="shared" si="22"/>
        <v>9.9014323243639887E-4</v>
      </c>
      <c r="BY73" s="11">
        <f t="shared" si="23"/>
        <v>2.2335141078960053E-3</v>
      </c>
    </row>
    <row r="74" spans="1:77" x14ac:dyDescent="0.3">
      <c r="A74" s="1">
        <v>46129</v>
      </c>
      <c r="B74" s="21">
        <v>29.96</v>
      </c>
      <c r="C74" s="21">
        <v>26.01</v>
      </c>
      <c r="D74" s="22">
        <v>1.04010332052843E-2</v>
      </c>
      <c r="E74" s="22">
        <v>8.4942595673067993E-3</v>
      </c>
      <c r="F74" s="21">
        <v>0</v>
      </c>
      <c r="G74" s="21">
        <v>0.1</v>
      </c>
      <c r="H74" s="21">
        <v>0</v>
      </c>
      <c r="I74" s="21">
        <v>0.1</v>
      </c>
      <c r="J74" s="21">
        <v>0</v>
      </c>
      <c r="K74" s="21">
        <v>0</v>
      </c>
      <c r="L74" s="21">
        <v>29.96</v>
      </c>
      <c r="M74" s="21">
        <v>26.01</v>
      </c>
      <c r="N74" s="23">
        <v>0.868157543391188</v>
      </c>
      <c r="O74" s="23">
        <v>0.87815704628300895</v>
      </c>
      <c r="P74" s="23">
        <v>0.86784998761742904</v>
      </c>
      <c r="Q74" s="23">
        <v>0.87249985072327996</v>
      </c>
      <c r="R74" s="21">
        <v>26.309585106638899</v>
      </c>
      <c r="S74" s="21">
        <v>26.000369051287802</v>
      </c>
      <c r="T74" s="21">
        <v>26.155569830165799</v>
      </c>
      <c r="U74" s="22">
        <v>1.1452246050311201E-2</v>
      </c>
      <c r="V74" s="22">
        <v>-3.7034725951465102E-4</v>
      </c>
      <c r="W74" s="22">
        <v>5.58108378749905E-3</v>
      </c>
      <c r="X74" s="23">
        <v>0.868157543391188</v>
      </c>
      <c r="Y74" s="23">
        <v>0.87815704628300895</v>
      </c>
      <c r="Z74" s="23">
        <v>0.86784998761742904</v>
      </c>
      <c r="AA74" s="23">
        <v>0.87249985072327996</v>
      </c>
      <c r="AB74" s="21">
        <v>26.309585106638899</v>
      </c>
      <c r="AC74" s="21">
        <v>26.000369051287802</v>
      </c>
      <c r="AD74" s="21">
        <v>26.155569830165799</v>
      </c>
      <c r="AE74" s="22">
        <v>1.1452246050311201E-2</v>
      </c>
      <c r="AF74" s="22">
        <v>-3.7034725951465102E-4</v>
      </c>
      <c r="AG74" s="22">
        <v>5.58108378749905E-3</v>
      </c>
      <c r="AZ74" s="17"/>
      <c r="BB74">
        <f t="shared" si="6"/>
        <v>0</v>
      </c>
      <c r="BC74">
        <f t="shared" si="7"/>
        <v>1</v>
      </c>
      <c r="BD74">
        <f t="shared" si="8"/>
        <v>0</v>
      </c>
      <c r="BE74">
        <f t="shared" si="4"/>
        <v>1</v>
      </c>
      <c r="BF74">
        <f t="shared" si="9"/>
        <v>0</v>
      </c>
      <c r="BG74" s="17">
        <f t="shared" si="10"/>
        <v>0</v>
      </c>
      <c r="BH74" s="17">
        <f t="shared" si="11"/>
        <v>0</v>
      </c>
      <c r="BI74" s="17">
        <f t="shared" si="12"/>
        <v>0</v>
      </c>
      <c r="BJ74" s="11">
        <f t="shared" si="13"/>
        <v>1.215524029734778E-2</v>
      </c>
      <c r="BL74" s="17"/>
      <c r="BN74">
        <f t="shared" si="14"/>
        <v>0</v>
      </c>
      <c r="BO74">
        <f t="shared" si="15"/>
        <v>0</v>
      </c>
      <c r="BP74">
        <f t="shared" si="16"/>
        <v>0</v>
      </c>
      <c r="BQ74">
        <f t="shared" si="5"/>
        <v>1</v>
      </c>
      <c r="BR74">
        <f t="shared" si="17"/>
        <v>0</v>
      </c>
      <c r="BS74" s="17">
        <f t="shared" si="18"/>
        <v>0</v>
      </c>
      <c r="BT74" s="17">
        <f t="shared" si="19"/>
        <v>0</v>
      </c>
      <c r="BU74" s="17">
        <f t="shared" si="20"/>
        <v>0</v>
      </c>
      <c r="BV74" s="11">
        <f t="shared" si="21"/>
        <v>-9.9217261894517742E-3</v>
      </c>
      <c r="BX74" s="11">
        <f t="shared" si="22"/>
        <v>0</v>
      </c>
      <c r="BY74" s="11">
        <f t="shared" si="23"/>
        <v>2.2335141078960053E-3</v>
      </c>
    </row>
    <row r="75" spans="1:77" x14ac:dyDescent="0.3">
      <c r="A75" s="1">
        <v>46132</v>
      </c>
      <c r="B75" s="21">
        <v>29.98</v>
      </c>
      <c r="C75" s="21">
        <v>25.97</v>
      </c>
      <c r="D75" s="22">
        <v>6.67334025432924E-4</v>
      </c>
      <c r="E75" s="22">
        <v>-1.5390537859031701E-3</v>
      </c>
      <c r="F75" s="21">
        <v>0</v>
      </c>
      <c r="G75" s="21">
        <v>0.1</v>
      </c>
      <c r="H75" s="21">
        <v>0</v>
      </c>
      <c r="I75" s="21">
        <v>0.1</v>
      </c>
      <c r="J75" s="21">
        <v>0</v>
      </c>
      <c r="K75" s="21">
        <v>0</v>
      </c>
      <c r="L75" s="21">
        <v>29.98</v>
      </c>
      <c r="M75" s="21">
        <v>25.97</v>
      </c>
      <c r="N75" s="23">
        <v>0.86624416277518301</v>
      </c>
      <c r="O75" s="23">
        <v>0.87815704628300895</v>
      </c>
      <c r="P75" s="23">
        <v>0.86751633708613396</v>
      </c>
      <c r="Q75" s="23">
        <v>0.871909174597709</v>
      </c>
      <c r="R75" s="21">
        <v>26.327148247564601</v>
      </c>
      <c r="S75" s="21">
        <v>26.018142628770502</v>
      </c>
      <c r="T75" s="21">
        <v>26.157545524683901</v>
      </c>
      <c r="U75" s="22">
        <v>1.3658633861647399E-2</v>
      </c>
      <c r="V75" s="22">
        <v>1.8520624164479599E-3</v>
      </c>
      <c r="W75" s="22">
        <v>7.1956710034290798E-3</v>
      </c>
      <c r="X75" s="23">
        <v>0.86624416277518301</v>
      </c>
      <c r="Y75" s="23">
        <v>0.87815704628300895</v>
      </c>
      <c r="Z75" s="23">
        <v>0.86751633708613396</v>
      </c>
      <c r="AA75" s="23">
        <v>0.871909174597709</v>
      </c>
      <c r="AB75" s="21">
        <v>26.327148247564601</v>
      </c>
      <c r="AC75" s="21">
        <v>26.018142628770502</v>
      </c>
      <c r="AD75" s="21">
        <v>26.157545524683901</v>
      </c>
      <c r="AE75" s="22">
        <v>1.3658633861647399E-2</v>
      </c>
      <c r="AF75" s="22">
        <v>1.8520624164479599E-3</v>
      </c>
      <c r="AG75" s="22">
        <v>7.1956710034290798E-3</v>
      </c>
      <c r="AZ75" s="17"/>
      <c r="BB75">
        <f t="shared" si="6"/>
        <v>0</v>
      </c>
      <c r="BC75">
        <f t="shared" si="7"/>
        <v>1</v>
      </c>
      <c r="BD75">
        <f t="shared" si="8"/>
        <v>0</v>
      </c>
      <c r="BE75">
        <f t="shared" si="4"/>
        <v>1</v>
      </c>
      <c r="BF75">
        <f t="shared" si="9"/>
        <v>0</v>
      </c>
      <c r="BG75" s="17">
        <f t="shared" si="10"/>
        <v>0</v>
      </c>
      <c r="BH75" s="17">
        <f t="shared" si="11"/>
        <v>0</v>
      </c>
      <c r="BI75" s="17">
        <f t="shared" si="12"/>
        <v>0</v>
      </c>
      <c r="BJ75" s="11">
        <f t="shared" si="13"/>
        <v>1.215524029734778E-2</v>
      </c>
      <c r="BL75" s="17"/>
      <c r="BN75">
        <f t="shared" si="14"/>
        <v>0</v>
      </c>
      <c r="BO75">
        <f t="shared" si="15"/>
        <v>0</v>
      </c>
      <c r="BP75">
        <f t="shared" si="16"/>
        <v>0</v>
      </c>
      <c r="BQ75">
        <f t="shared" si="5"/>
        <v>1</v>
      </c>
      <c r="BR75">
        <f t="shared" si="17"/>
        <v>0</v>
      </c>
      <c r="BS75" s="17">
        <f t="shared" si="18"/>
        <v>0</v>
      </c>
      <c r="BT75" s="17">
        <f t="shared" si="19"/>
        <v>0</v>
      </c>
      <c r="BU75" s="17">
        <f t="shared" si="20"/>
        <v>0</v>
      </c>
      <c r="BV75" s="11">
        <f t="shared" si="21"/>
        <v>-9.9217261894517742E-3</v>
      </c>
      <c r="BX75" s="11">
        <f t="shared" si="22"/>
        <v>0</v>
      </c>
      <c r="BY75" s="11">
        <f t="shared" si="23"/>
        <v>2.2335141078960053E-3</v>
      </c>
    </row>
    <row r="76" spans="1:77" x14ac:dyDescent="0.3">
      <c r="A76" s="1">
        <v>46133</v>
      </c>
      <c r="B76" s="21">
        <v>30.42</v>
      </c>
      <c r="C76" s="21">
        <v>26.42</v>
      </c>
      <c r="D76" s="22">
        <v>1.4569794156695201E-2</v>
      </c>
      <c r="E76" s="22">
        <v>1.7179273419522301E-2</v>
      </c>
      <c r="F76" s="21">
        <v>0</v>
      </c>
      <c r="G76" s="21">
        <v>0.1</v>
      </c>
      <c r="H76" s="21">
        <v>0</v>
      </c>
      <c r="I76" s="21">
        <v>0.1</v>
      </c>
      <c r="J76" s="21">
        <v>0</v>
      </c>
      <c r="K76" s="21">
        <v>0</v>
      </c>
      <c r="L76" s="21">
        <v>30.42</v>
      </c>
      <c r="M76" s="21">
        <v>26.42</v>
      </c>
      <c r="N76" s="23">
        <v>0.86850756081525304</v>
      </c>
      <c r="O76" s="23">
        <v>0.87815704628300895</v>
      </c>
      <c r="P76" s="23">
        <v>0.86742759138829995</v>
      </c>
      <c r="Q76" s="23">
        <v>0.87116120959404297</v>
      </c>
      <c r="R76" s="21">
        <v>26.713537347929101</v>
      </c>
      <c r="S76" s="21">
        <v>26.3898469741602</v>
      </c>
      <c r="T76" s="21">
        <v>26.523477091262301</v>
      </c>
      <c r="U76" s="22">
        <v>1.1049154598820299E-2</v>
      </c>
      <c r="V76" s="22">
        <v>-1.1419472255346399E-3</v>
      </c>
      <c r="W76" s="22">
        <v>3.9089696675994401E-3</v>
      </c>
      <c r="X76" s="23">
        <v>0.86850756081525304</v>
      </c>
      <c r="Y76" s="23">
        <v>0.87815704628300895</v>
      </c>
      <c r="Z76" s="23">
        <v>0.86742759138829995</v>
      </c>
      <c r="AA76" s="23">
        <v>0.87116120959404297</v>
      </c>
      <c r="AB76" s="21">
        <v>26.713537347929101</v>
      </c>
      <c r="AC76" s="21">
        <v>26.3898469741602</v>
      </c>
      <c r="AD76" s="21">
        <v>26.523477091262301</v>
      </c>
      <c r="AE76" s="22">
        <v>1.1049154598820299E-2</v>
      </c>
      <c r="AF76" s="22">
        <v>-1.1419472255346399E-3</v>
      </c>
      <c r="AG76" s="22">
        <v>3.9089696675994401E-3</v>
      </c>
      <c r="AZ76" s="17"/>
      <c r="BB76">
        <f t="shared" si="6"/>
        <v>0</v>
      </c>
      <c r="BC76">
        <f t="shared" si="7"/>
        <v>1</v>
      </c>
      <c r="BD76">
        <f t="shared" si="8"/>
        <v>0</v>
      </c>
      <c r="BE76">
        <f t="shared" si="4"/>
        <v>1</v>
      </c>
      <c r="BF76">
        <f t="shared" si="9"/>
        <v>0</v>
      </c>
      <c r="BG76" s="17">
        <f t="shared" si="10"/>
        <v>0</v>
      </c>
      <c r="BH76" s="17">
        <f t="shared" si="11"/>
        <v>0</v>
      </c>
      <c r="BI76" s="17">
        <f t="shared" si="12"/>
        <v>0</v>
      </c>
      <c r="BJ76" s="11">
        <f t="shared" si="13"/>
        <v>1.215524029734778E-2</v>
      </c>
      <c r="BL76" s="17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17">
        <f t="shared" si="18"/>
        <v>0</v>
      </c>
      <c r="BT76" s="17">
        <f t="shared" si="19"/>
        <v>0</v>
      </c>
      <c r="BU76" s="17">
        <f t="shared" si="20"/>
        <v>0</v>
      </c>
      <c r="BV76" s="11">
        <f t="shared" si="21"/>
        <v>-9.9217261894517742E-3</v>
      </c>
      <c r="BX76" s="11">
        <f t="shared" si="22"/>
        <v>0</v>
      </c>
      <c r="BY76" s="11">
        <f t="shared" si="23"/>
        <v>2.2335141078960053E-3</v>
      </c>
    </row>
    <row r="77" spans="1:77" x14ac:dyDescent="0.3">
      <c r="A77" s="1">
        <v>46134</v>
      </c>
      <c r="B77" s="21">
        <v>30.74</v>
      </c>
      <c r="C77" s="21">
        <v>26.65</v>
      </c>
      <c r="D77" s="22">
        <v>1.04644512793029E-2</v>
      </c>
      <c r="E77" s="22">
        <v>8.6678515176741994E-3</v>
      </c>
      <c r="F77" s="21">
        <v>0</v>
      </c>
      <c r="G77" s="21">
        <v>0.1</v>
      </c>
      <c r="H77" s="21">
        <v>0</v>
      </c>
      <c r="I77" s="21">
        <v>0.1</v>
      </c>
      <c r="J77" s="21">
        <v>0</v>
      </c>
      <c r="K77" s="21">
        <v>0</v>
      </c>
      <c r="L77" s="21">
        <v>30.74</v>
      </c>
      <c r="M77" s="21">
        <v>26.65</v>
      </c>
      <c r="N77" s="23">
        <v>0.86694860117111205</v>
      </c>
      <c r="O77" s="23">
        <v>0.87815704628300895</v>
      </c>
      <c r="P77" s="23">
        <v>0.86739771282945299</v>
      </c>
      <c r="Q77" s="23">
        <v>0.87039748764670999</v>
      </c>
      <c r="R77" s="21">
        <v>26.994547602739701</v>
      </c>
      <c r="S77" s="21">
        <v>26.6647241592763</v>
      </c>
      <c r="T77" s="21">
        <v>26.779495582920902</v>
      </c>
      <c r="U77" s="22">
        <v>1.2845754360449E-2</v>
      </c>
      <c r="V77" s="22">
        <v>5.5234871352687499E-4</v>
      </c>
      <c r="W77" s="22">
        <v>4.8473538845691796E-3</v>
      </c>
      <c r="X77" s="23">
        <v>0.86694860117111205</v>
      </c>
      <c r="Y77" s="23">
        <v>0.87815704628300895</v>
      </c>
      <c r="Z77" s="23">
        <v>0.86739771282945299</v>
      </c>
      <c r="AA77" s="23">
        <v>0.87039748764670999</v>
      </c>
      <c r="AB77" s="21">
        <v>26.994547602739701</v>
      </c>
      <c r="AC77" s="21">
        <v>26.6647241592763</v>
      </c>
      <c r="AD77" s="21">
        <v>26.779495582920902</v>
      </c>
      <c r="AE77" s="22">
        <v>1.2845754360449E-2</v>
      </c>
      <c r="AF77" s="22">
        <v>5.5234871352687499E-4</v>
      </c>
      <c r="AG77" s="22">
        <v>4.8473538845691796E-3</v>
      </c>
      <c r="AZ77" s="17"/>
      <c r="BB77">
        <f t="shared" si="6"/>
        <v>0</v>
      </c>
      <c r="BC77">
        <f t="shared" si="7"/>
        <v>1</v>
      </c>
      <c r="BD77">
        <f t="shared" si="8"/>
        <v>0</v>
      </c>
      <c r="BE77">
        <f t="shared" si="4"/>
        <v>1</v>
      </c>
      <c r="BF77">
        <f t="shared" si="9"/>
        <v>0</v>
      </c>
      <c r="BG77" s="17">
        <f t="shared" si="10"/>
        <v>0</v>
      </c>
      <c r="BH77" s="17">
        <f t="shared" si="11"/>
        <v>0</v>
      </c>
      <c r="BI77" s="17">
        <f t="shared" si="12"/>
        <v>0</v>
      </c>
      <c r="BJ77" s="11">
        <f t="shared" si="13"/>
        <v>1.215524029734778E-2</v>
      </c>
      <c r="BL77" s="17"/>
      <c r="BN77">
        <f t="shared" si="14"/>
        <v>0</v>
      </c>
      <c r="BO77">
        <f t="shared" si="15"/>
        <v>1</v>
      </c>
      <c r="BP77">
        <f t="shared" si="16"/>
        <v>0</v>
      </c>
      <c r="BQ77">
        <f t="shared" si="5"/>
        <v>1</v>
      </c>
      <c r="BR77">
        <f t="shared" si="17"/>
        <v>0</v>
      </c>
      <c r="BS77" s="17">
        <f t="shared" si="18"/>
        <v>0</v>
      </c>
      <c r="BT77" s="17">
        <f t="shared" si="19"/>
        <v>0</v>
      </c>
      <c r="BU77" s="17">
        <f t="shared" si="20"/>
        <v>0</v>
      </c>
      <c r="BV77" s="11">
        <f t="shared" si="21"/>
        <v>-9.9217261894517742E-3</v>
      </c>
      <c r="BX77" s="11">
        <f t="shared" si="22"/>
        <v>0</v>
      </c>
      <c r="BY77" s="11">
        <f t="shared" si="23"/>
        <v>2.2335141078960053E-3</v>
      </c>
    </row>
    <row r="78" spans="1:77" x14ac:dyDescent="0.3">
      <c r="A78" s="1">
        <v>46135</v>
      </c>
      <c r="B78" s="21">
        <v>30.4</v>
      </c>
      <c r="C78" s="21">
        <v>26.31</v>
      </c>
      <c r="D78" s="22">
        <v>-1.1122129698273701E-2</v>
      </c>
      <c r="E78" s="22">
        <v>-1.28400555596521E-2</v>
      </c>
      <c r="F78" s="21">
        <v>0</v>
      </c>
      <c r="G78" s="21">
        <v>0.1</v>
      </c>
      <c r="H78" s="21">
        <v>0</v>
      </c>
      <c r="I78" s="21">
        <v>0.1</v>
      </c>
      <c r="J78" s="21">
        <v>0</v>
      </c>
      <c r="K78" s="21">
        <v>0</v>
      </c>
      <c r="L78" s="21">
        <v>30.4</v>
      </c>
      <c r="M78" s="21">
        <v>26.31</v>
      </c>
      <c r="N78" s="23">
        <v>0.86546052631578896</v>
      </c>
      <c r="O78" s="23">
        <v>0.87815704628300895</v>
      </c>
      <c r="P78" s="23">
        <v>0.86735925841877803</v>
      </c>
      <c r="Q78" s="23">
        <v>0.869687186670002</v>
      </c>
      <c r="R78" s="21">
        <v>26.695974207003399</v>
      </c>
      <c r="S78" s="21">
        <v>26.368890470015302</v>
      </c>
      <c r="T78" s="21">
        <v>26.460083624460001</v>
      </c>
      <c r="U78" s="22">
        <v>1.4563680221827399E-2</v>
      </c>
      <c r="V78" s="22">
        <v>2.2358289638371902E-3</v>
      </c>
      <c r="W78" s="22">
        <v>5.6882240400453398E-3</v>
      </c>
      <c r="X78" s="23">
        <v>0.86546052631578896</v>
      </c>
      <c r="Y78" s="23">
        <v>0.87815704628300895</v>
      </c>
      <c r="Z78" s="23">
        <v>0.86735925841877803</v>
      </c>
      <c r="AA78" s="23">
        <v>0.869687186670002</v>
      </c>
      <c r="AB78" s="21">
        <v>26.695974207003399</v>
      </c>
      <c r="AC78" s="21">
        <v>26.368890470015302</v>
      </c>
      <c r="AD78" s="21">
        <v>26.460083624460001</v>
      </c>
      <c r="AE78" s="22">
        <v>1.4563680221827399E-2</v>
      </c>
      <c r="AF78" s="22">
        <v>2.2358289638371902E-3</v>
      </c>
      <c r="AG78" s="22">
        <v>5.6882240400453398E-3</v>
      </c>
      <c r="AZ78" s="17"/>
      <c r="BB78">
        <f t="shared" si="6"/>
        <v>0</v>
      </c>
      <c r="BC78">
        <f t="shared" si="7"/>
        <v>1</v>
      </c>
      <c r="BD78">
        <f t="shared" si="8"/>
        <v>0</v>
      </c>
      <c r="BE78">
        <f t="shared" si="4"/>
        <v>1</v>
      </c>
      <c r="BF78">
        <f t="shared" si="9"/>
        <v>0</v>
      </c>
      <c r="BG78" s="17">
        <f t="shared" si="10"/>
        <v>0</v>
      </c>
      <c r="BH78" s="17">
        <f t="shared" si="11"/>
        <v>0</v>
      </c>
      <c r="BI78" s="17">
        <f t="shared" si="12"/>
        <v>0</v>
      </c>
      <c r="BJ78" s="11">
        <f t="shared" si="13"/>
        <v>1.215524029734778E-2</v>
      </c>
      <c r="BL78" s="17"/>
      <c r="BN78">
        <f t="shared" si="14"/>
        <v>0</v>
      </c>
      <c r="BO78">
        <f t="shared" si="15"/>
        <v>0</v>
      </c>
      <c r="BP78">
        <f t="shared" si="16"/>
        <v>0</v>
      </c>
      <c r="BQ78">
        <f t="shared" si="5"/>
        <v>1</v>
      </c>
      <c r="BR78">
        <f t="shared" si="17"/>
        <v>0</v>
      </c>
      <c r="BS78" s="17">
        <f t="shared" si="18"/>
        <v>0</v>
      </c>
      <c r="BT78" s="17">
        <f t="shared" si="19"/>
        <v>0</v>
      </c>
      <c r="BU78" s="17">
        <f t="shared" si="20"/>
        <v>0</v>
      </c>
      <c r="BV78" s="11">
        <f t="shared" si="21"/>
        <v>-9.9217261894517742E-3</v>
      </c>
      <c r="BX78" s="11">
        <f t="shared" si="22"/>
        <v>0</v>
      </c>
      <c r="BY78" s="11">
        <f t="shared" si="23"/>
        <v>2.2335141078960053E-3</v>
      </c>
    </row>
    <row r="79" spans="1:77" x14ac:dyDescent="0.3">
      <c r="A79" s="1">
        <v>46136</v>
      </c>
      <c r="B79" s="21">
        <v>30.24</v>
      </c>
      <c r="C79" s="21">
        <v>26.2</v>
      </c>
      <c r="D79" s="22">
        <v>-5.2770571008437803E-3</v>
      </c>
      <c r="E79" s="22">
        <v>-4.18968428515013E-3</v>
      </c>
      <c r="F79" s="21">
        <v>0</v>
      </c>
      <c r="G79" s="21">
        <v>0.1</v>
      </c>
      <c r="H79" s="21">
        <v>0</v>
      </c>
      <c r="I79" s="21">
        <v>0.1</v>
      </c>
      <c r="J79" s="21">
        <v>0</v>
      </c>
      <c r="K79" s="21">
        <v>0</v>
      </c>
      <c r="L79" s="21">
        <v>30.24</v>
      </c>
      <c r="M79" s="21">
        <v>26.2</v>
      </c>
      <c r="N79" s="23">
        <v>0.86640211640211595</v>
      </c>
      <c r="O79" s="23">
        <v>0.87815704628300895</v>
      </c>
      <c r="P79" s="23">
        <v>0.86737526623733396</v>
      </c>
      <c r="Q79" s="23">
        <v>0.86897825437758602</v>
      </c>
      <c r="R79" s="21">
        <v>26.5554690795982</v>
      </c>
      <c r="S79" s="21">
        <v>26.2289439745838</v>
      </c>
      <c r="T79" s="21">
        <v>26.299340524900799</v>
      </c>
      <c r="U79" s="22">
        <v>1.34763074061338E-2</v>
      </c>
      <c r="V79" s="22">
        <v>1.1041220871562799E-3</v>
      </c>
      <c r="W79" s="22">
        <v>3.7844530034565498E-3</v>
      </c>
      <c r="X79" s="23">
        <v>0.86640211640211595</v>
      </c>
      <c r="Y79" s="23">
        <v>0.87815704628300895</v>
      </c>
      <c r="Z79" s="23">
        <v>0.86737526623733396</v>
      </c>
      <c r="AA79" s="23">
        <v>0.86897825437758602</v>
      </c>
      <c r="AB79" s="21">
        <v>26.5554690795982</v>
      </c>
      <c r="AC79" s="21">
        <v>26.2289439745838</v>
      </c>
      <c r="AD79" s="21">
        <v>26.299340524900799</v>
      </c>
      <c r="AE79" s="22">
        <v>1.34763074061338E-2</v>
      </c>
      <c r="AF79" s="22">
        <v>1.1041220871562799E-3</v>
      </c>
      <c r="AG79" s="22">
        <v>3.7844530034565498E-3</v>
      </c>
      <c r="AZ79" s="17"/>
      <c r="BB79">
        <f t="shared" si="6"/>
        <v>0</v>
      </c>
      <c r="BC79">
        <f t="shared" si="7"/>
        <v>1</v>
      </c>
      <c r="BD79">
        <f t="shared" si="8"/>
        <v>0</v>
      </c>
      <c r="BE79">
        <f t="shared" si="4"/>
        <v>1</v>
      </c>
      <c r="BF79">
        <f t="shared" si="9"/>
        <v>0</v>
      </c>
      <c r="BG79" s="17">
        <f t="shared" si="10"/>
        <v>0</v>
      </c>
      <c r="BH79" s="17">
        <f t="shared" si="11"/>
        <v>0</v>
      </c>
      <c r="BI79" s="17">
        <f t="shared" si="12"/>
        <v>0</v>
      </c>
      <c r="BJ79" s="11">
        <f t="shared" si="13"/>
        <v>1.215524029734778E-2</v>
      </c>
      <c r="BL79" s="17"/>
      <c r="BN79">
        <f t="shared" si="14"/>
        <v>0</v>
      </c>
      <c r="BO79">
        <f t="shared" si="15"/>
        <v>1</v>
      </c>
      <c r="BP79">
        <f t="shared" si="16"/>
        <v>0</v>
      </c>
      <c r="BQ79">
        <f t="shared" si="5"/>
        <v>1</v>
      </c>
      <c r="BR79">
        <f t="shared" si="17"/>
        <v>0</v>
      </c>
      <c r="BS79" s="17">
        <f t="shared" si="18"/>
        <v>0</v>
      </c>
      <c r="BT79" s="17">
        <f t="shared" si="19"/>
        <v>0</v>
      </c>
      <c r="BU79" s="17">
        <f t="shared" si="20"/>
        <v>0</v>
      </c>
      <c r="BV79" s="11">
        <f t="shared" si="21"/>
        <v>-9.9217261894517742E-3</v>
      </c>
      <c r="BX79" s="11">
        <f t="shared" si="22"/>
        <v>0</v>
      </c>
      <c r="BY79" s="11">
        <f t="shared" si="23"/>
        <v>2.2335141078960053E-3</v>
      </c>
    </row>
    <row r="80" spans="1:77" x14ac:dyDescent="0.3">
      <c r="A80" s="1">
        <v>46139</v>
      </c>
      <c r="B80" s="21">
        <v>30.55</v>
      </c>
      <c r="C80" s="21">
        <v>26.41</v>
      </c>
      <c r="D80" s="22">
        <v>1.01991343062721E-2</v>
      </c>
      <c r="E80" s="22">
        <v>7.9833155419898102E-3</v>
      </c>
      <c r="F80" s="21">
        <v>0</v>
      </c>
      <c r="G80" s="21">
        <v>0.1</v>
      </c>
      <c r="H80" s="21">
        <v>0</v>
      </c>
      <c r="I80" s="21">
        <v>0.1</v>
      </c>
      <c r="J80" s="21">
        <v>0</v>
      </c>
      <c r="K80" s="21">
        <v>0</v>
      </c>
      <c r="L80" s="21">
        <v>30.55</v>
      </c>
      <c r="M80" s="21">
        <v>26.41</v>
      </c>
      <c r="N80" s="23">
        <v>0.86448445171849397</v>
      </c>
      <c r="O80" s="23">
        <v>0.87815704628300895</v>
      </c>
      <c r="P80" s="23">
        <v>0.86731660076055395</v>
      </c>
      <c r="Q80" s="23">
        <v>0.86858966660006998</v>
      </c>
      <c r="R80" s="21">
        <v>26.827697763945899</v>
      </c>
      <c r="S80" s="21">
        <v>26.4983143835505</v>
      </c>
      <c r="T80" s="21">
        <v>26.547285671235201</v>
      </c>
      <c r="U80" s="22">
        <v>1.56921261704163E-2</v>
      </c>
      <c r="V80" s="22">
        <v>3.3383964921474799E-3</v>
      </c>
      <c r="W80" s="22">
        <v>5.1847815475185698E-3</v>
      </c>
      <c r="X80" s="23">
        <v>0.86448445171849397</v>
      </c>
      <c r="Y80" s="23">
        <v>0.87815704628300895</v>
      </c>
      <c r="Z80" s="23">
        <v>0.86731660076055395</v>
      </c>
      <c r="AA80" s="23">
        <v>0.86858966660006998</v>
      </c>
      <c r="AB80" s="21">
        <v>26.827697763945899</v>
      </c>
      <c r="AC80" s="21">
        <v>26.4983143835505</v>
      </c>
      <c r="AD80" s="21">
        <v>26.547285671235201</v>
      </c>
      <c r="AE80" s="22">
        <v>1.56921261704163E-2</v>
      </c>
      <c r="AF80" s="22">
        <v>3.3383964921474799E-3</v>
      </c>
      <c r="AG80" s="22">
        <v>5.1847815475185698E-3</v>
      </c>
      <c r="AZ80" s="17"/>
      <c r="BB80">
        <f t="shared" si="6"/>
        <v>0</v>
      </c>
      <c r="BC80">
        <f t="shared" si="7"/>
        <v>1</v>
      </c>
      <c r="BD80">
        <f t="shared" si="8"/>
        <v>0</v>
      </c>
      <c r="BE80">
        <f t="shared" si="4"/>
        <v>1</v>
      </c>
      <c r="BF80">
        <f t="shared" si="9"/>
        <v>0</v>
      </c>
      <c r="BG80" s="17">
        <f t="shared" si="10"/>
        <v>0</v>
      </c>
      <c r="BH80" s="17">
        <f t="shared" si="11"/>
        <v>0</v>
      </c>
      <c r="BI80" s="17">
        <f t="shared" si="12"/>
        <v>0</v>
      </c>
      <c r="BJ80" s="11">
        <f t="shared" si="13"/>
        <v>1.215524029734778E-2</v>
      </c>
      <c r="BL80" s="17"/>
      <c r="BN80">
        <f t="shared" si="14"/>
        <v>0</v>
      </c>
      <c r="BO80">
        <f t="shared" si="15"/>
        <v>0</v>
      </c>
      <c r="BP80">
        <f t="shared" si="16"/>
        <v>0</v>
      </c>
      <c r="BQ80">
        <f t="shared" si="5"/>
        <v>1</v>
      </c>
      <c r="BR80">
        <f t="shared" si="17"/>
        <v>0</v>
      </c>
      <c r="BS80" s="17">
        <f t="shared" si="18"/>
        <v>0</v>
      </c>
      <c r="BT80" s="17">
        <f t="shared" si="19"/>
        <v>0</v>
      </c>
      <c r="BU80" s="17">
        <f t="shared" si="20"/>
        <v>0</v>
      </c>
      <c r="BV80" s="11">
        <f t="shared" si="21"/>
        <v>-9.9217261894517742E-3</v>
      </c>
      <c r="BX80" s="11">
        <f t="shared" si="22"/>
        <v>0</v>
      </c>
      <c r="BY80" s="11">
        <f t="shared" si="23"/>
        <v>2.2335141078960053E-3</v>
      </c>
    </row>
    <row r="81" spans="1:77" x14ac:dyDescent="0.3">
      <c r="A81" s="1">
        <v>46140</v>
      </c>
      <c r="B81" s="21">
        <v>30.14</v>
      </c>
      <c r="C81" s="21">
        <v>26.16</v>
      </c>
      <c r="D81" s="22">
        <v>-1.35114924192549E-2</v>
      </c>
      <c r="E81" s="22">
        <v>-9.5111997200428792E-3</v>
      </c>
      <c r="F81" s="21">
        <v>0</v>
      </c>
      <c r="G81" s="21">
        <v>0.1</v>
      </c>
      <c r="H81" s="21">
        <v>0</v>
      </c>
      <c r="I81" s="21">
        <v>0.1</v>
      </c>
      <c r="J81" s="21">
        <v>0</v>
      </c>
      <c r="K81" s="21">
        <v>0</v>
      </c>
      <c r="L81" s="21">
        <v>30.14</v>
      </c>
      <c r="M81" s="21">
        <v>26.16</v>
      </c>
      <c r="N81" s="23">
        <v>0.86794956867949502</v>
      </c>
      <c r="O81" s="23">
        <v>0.87815704628300895</v>
      </c>
      <c r="P81" s="23">
        <v>0.86729227216197502</v>
      </c>
      <c r="Q81" s="23">
        <v>0.86823714503404503</v>
      </c>
      <c r="R81" s="21">
        <v>26.467653374969899</v>
      </c>
      <c r="S81" s="21">
        <v>26.140922346922999</v>
      </c>
      <c r="T81" s="21">
        <v>26.1792925513261</v>
      </c>
      <c r="U81" s="22">
        <v>1.16918334712041E-2</v>
      </c>
      <c r="V81" s="22">
        <v>-7.2953412930203295E-4</v>
      </c>
      <c r="W81" s="22">
        <v>7.3721104200886501E-4</v>
      </c>
      <c r="X81" s="23">
        <v>0.86794956867949502</v>
      </c>
      <c r="Y81" s="23">
        <v>0.87815704628300895</v>
      </c>
      <c r="Z81" s="23">
        <v>0.86729227216197502</v>
      </c>
      <c r="AA81" s="23">
        <v>0.86823714503404503</v>
      </c>
      <c r="AB81" s="21">
        <v>26.467653374969899</v>
      </c>
      <c r="AC81" s="21">
        <v>26.140922346922999</v>
      </c>
      <c r="AD81" s="21">
        <v>26.1792925513261</v>
      </c>
      <c r="AE81" s="22">
        <v>1.16918334712041E-2</v>
      </c>
      <c r="AF81" s="22">
        <v>-7.2953412930203295E-4</v>
      </c>
      <c r="AG81" s="22">
        <v>7.3721104200886501E-4</v>
      </c>
      <c r="AZ81" s="17"/>
      <c r="BB81">
        <f t="shared" si="6"/>
        <v>0</v>
      </c>
      <c r="BC81">
        <f t="shared" si="7"/>
        <v>1</v>
      </c>
      <c r="BD81">
        <f t="shared" si="8"/>
        <v>0</v>
      </c>
      <c r="BE81">
        <f t="shared" si="4"/>
        <v>1</v>
      </c>
      <c r="BF81">
        <f t="shared" si="9"/>
        <v>0</v>
      </c>
      <c r="BG81" s="17">
        <f t="shared" si="10"/>
        <v>0</v>
      </c>
      <c r="BH81" s="17">
        <f t="shared" si="11"/>
        <v>0</v>
      </c>
      <c r="BI81" s="17">
        <f t="shared" si="12"/>
        <v>0</v>
      </c>
      <c r="BJ81" s="11">
        <f t="shared" si="13"/>
        <v>1.215524029734778E-2</v>
      </c>
      <c r="BL81" s="17"/>
      <c r="BN81">
        <f t="shared" si="14"/>
        <v>0</v>
      </c>
      <c r="BO81">
        <f t="shared" si="15"/>
        <v>1</v>
      </c>
      <c r="BP81">
        <f t="shared" si="16"/>
        <v>0</v>
      </c>
      <c r="BQ81">
        <f t="shared" si="5"/>
        <v>1</v>
      </c>
      <c r="BR81">
        <f t="shared" si="17"/>
        <v>0</v>
      </c>
      <c r="BS81" s="17">
        <f t="shared" si="18"/>
        <v>0</v>
      </c>
      <c r="BT81" s="17">
        <f t="shared" si="19"/>
        <v>0</v>
      </c>
      <c r="BU81" s="17">
        <f t="shared" si="20"/>
        <v>0</v>
      </c>
      <c r="BV81" s="11">
        <f t="shared" si="21"/>
        <v>-9.9217261894517742E-3</v>
      </c>
      <c r="BX81" s="11">
        <f t="shared" si="22"/>
        <v>0</v>
      </c>
      <c r="BY81" s="11">
        <f t="shared" si="23"/>
        <v>2.2335141078960053E-3</v>
      </c>
    </row>
    <row r="82" spans="1:77" x14ac:dyDescent="0.3">
      <c r="A82" s="1">
        <v>46141</v>
      </c>
      <c r="B82" s="21">
        <v>30.25</v>
      </c>
      <c r="C82" s="21">
        <v>26.24</v>
      </c>
      <c r="D82" s="22">
        <v>3.642991278501E-3</v>
      </c>
      <c r="E82" s="22">
        <v>3.0534374868902399E-3</v>
      </c>
      <c r="F82" s="21">
        <v>0</v>
      </c>
      <c r="G82" s="21">
        <v>0.1</v>
      </c>
      <c r="H82" s="21">
        <v>0</v>
      </c>
      <c r="I82" s="21">
        <v>0.1</v>
      </c>
      <c r="J82" s="21">
        <v>0</v>
      </c>
      <c r="K82" s="21">
        <v>0</v>
      </c>
      <c r="L82" s="21">
        <v>30.25</v>
      </c>
      <c r="M82" s="21">
        <v>26.24</v>
      </c>
      <c r="N82" s="23">
        <v>0.86743801652892505</v>
      </c>
      <c r="O82" s="23">
        <v>0.87815704628300895</v>
      </c>
      <c r="P82" s="23">
        <v>0.86714070503270602</v>
      </c>
      <c r="Q82" s="23">
        <v>0.867887544632852</v>
      </c>
      <c r="R82" s="21">
        <v>26.564250650060998</v>
      </c>
      <c r="S82" s="21">
        <v>26.235591232899701</v>
      </c>
      <c r="T82" s="21">
        <v>26.2641736372798</v>
      </c>
      <c r="U82" s="22">
        <v>1.2281387262815E-2</v>
      </c>
      <c r="V82" s="22">
        <v>-1.68031155324931E-4</v>
      </c>
      <c r="W82" s="22">
        <v>9.2082732908034797E-4</v>
      </c>
      <c r="X82" s="23">
        <v>0.86743801652892505</v>
      </c>
      <c r="Y82" s="23">
        <v>0.87815704628300895</v>
      </c>
      <c r="Z82" s="23">
        <v>0.86714070503270602</v>
      </c>
      <c r="AA82" s="23">
        <v>0.867887544632852</v>
      </c>
      <c r="AB82" s="21">
        <v>26.564250650060998</v>
      </c>
      <c r="AC82" s="21">
        <v>26.235591232899701</v>
      </c>
      <c r="AD82" s="21">
        <v>26.2641736372798</v>
      </c>
      <c r="AE82" s="22">
        <v>1.2281387262815E-2</v>
      </c>
      <c r="AF82" s="22">
        <v>-1.68031155324931E-4</v>
      </c>
      <c r="AG82" s="22">
        <v>9.2082732908034797E-4</v>
      </c>
      <c r="AZ82" s="17"/>
      <c r="BB82">
        <f t="shared" si="6"/>
        <v>0</v>
      </c>
      <c r="BC82">
        <f t="shared" si="7"/>
        <v>1</v>
      </c>
      <c r="BD82">
        <f t="shared" si="8"/>
        <v>0</v>
      </c>
      <c r="BE82">
        <f t="shared" si="4"/>
        <v>1</v>
      </c>
      <c r="BF82">
        <f t="shared" si="9"/>
        <v>0</v>
      </c>
      <c r="BG82" s="17">
        <f t="shared" si="10"/>
        <v>0</v>
      </c>
      <c r="BH82" s="17">
        <f t="shared" si="11"/>
        <v>0</v>
      </c>
      <c r="BI82" s="17">
        <f t="shared" si="12"/>
        <v>0</v>
      </c>
      <c r="BJ82" s="11">
        <f t="shared" si="13"/>
        <v>1.215524029734778E-2</v>
      </c>
      <c r="BL82" s="17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17">
        <f t="shared" si="18"/>
        <v>0</v>
      </c>
      <c r="BT82" s="17">
        <f t="shared" si="19"/>
        <v>0</v>
      </c>
      <c r="BU82" s="17">
        <f t="shared" si="20"/>
        <v>0</v>
      </c>
      <c r="BV82" s="11">
        <f t="shared" si="21"/>
        <v>-9.9217261894517742E-3</v>
      </c>
      <c r="BX82" s="11">
        <f t="shared" si="22"/>
        <v>0</v>
      </c>
      <c r="BY82" s="11">
        <f t="shared" si="23"/>
        <v>2.2335141078960053E-3</v>
      </c>
    </row>
    <row r="83" spans="1:77" x14ac:dyDescent="0.3">
      <c r="A83" s="1">
        <v>46142</v>
      </c>
      <c r="B83" s="21">
        <v>30.48</v>
      </c>
      <c r="C83" s="21">
        <v>26.32</v>
      </c>
      <c r="D83" s="22">
        <v>7.5745463415950003E-3</v>
      </c>
      <c r="E83" s="22">
        <v>3.04414238122827E-3</v>
      </c>
      <c r="F83" s="21">
        <v>0</v>
      </c>
      <c r="G83" s="21">
        <v>0.1</v>
      </c>
      <c r="H83" s="21">
        <v>0</v>
      </c>
      <c r="I83" s="21">
        <v>0.1</v>
      </c>
      <c r="J83" s="21">
        <v>0</v>
      </c>
      <c r="K83" s="21">
        <v>0</v>
      </c>
      <c r="L83" s="21">
        <v>30.48</v>
      </c>
      <c r="M83" s="21">
        <v>26.32</v>
      </c>
      <c r="N83" s="23">
        <v>0.86351706036745401</v>
      </c>
      <c r="O83" s="23">
        <v>0.87815704628300895</v>
      </c>
      <c r="P83" s="23">
        <v>0.86651096081650103</v>
      </c>
      <c r="Q83" s="23">
        <v>0.86717352198514996</v>
      </c>
      <c r="R83" s="21">
        <v>26.766226770706101</v>
      </c>
      <c r="S83" s="21">
        <v>26.430448689396901</v>
      </c>
      <c r="T83" s="21">
        <v>26.453212360409299</v>
      </c>
      <c r="U83" s="22">
        <v>1.6811791223181799E-2</v>
      </c>
      <c r="V83" s="22">
        <v>4.1875985339720001E-3</v>
      </c>
      <c r="W83" s="22">
        <v>5.0484947717310902E-3</v>
      </c>
      <c r="X83" s="23">
        <v>0.86351706036745401</v>
      </c>
      <c r="Y83" s="23">
        <v>0.87815704628300895</v>
      </c>
      <c r="Z83" s="23">
        <v>0.86651096081650103</v>
      </c>
      <c r="AA83" s="23">
        <v>0.86717352198514996</v>
      </c>
      <c r="AB83" s="21">
        <v>26.766226770706101</v>
      </c>
      <c r="AC83" s="21">
        <v>26.430448689396901</v>
      </c>
      <c r="AD83" s="21">
        <v>26.453212360409299</v>
      </c>
      <c r="AE83" s="22">
        <v>1.6811791223181799E-2</v>
      </c>
      <c r="AF83" s="22">
        <v>4.1875985339720001E-3</v>
      </c>
      <c r="AG83" s="22">
        <v>5.0484947717310902E-3</v>
      </c>
      <c r="AZ83" s="17"/>
      <c r="BB83">
        <f t="shared" si="6"/>
        <v>0</v>
      </c>
      <c r="BC83">
        <f t="shared" si="7"/>
        <v>1</v>
      </c>
      <c r="BD83">
        <f t="shared" si="8"/>
        <v>0</v>
      </c>
      <c r="BE83">
        <f t="shared" si="4"/>
        <v>1</v>
      </c>
      <c r="BF83">
        <f t="shared" si="9"/>
        <v>0</v>
      </c>
      <c r="BG83" s="17">
        <f t="shared" si="10"/>
        <v>0</v>
      </c>
      <c r="BH83" s="17">
        <f t="shared" si="11"/>
        <v>0</v>
      </c>
      <c r="BI83" s="17">
        <f t="shared" si="12"/>
        <v>0</v>
      </c>
      <c r="BJ83" s="11">
        <f t="shared" si="13"/>
        <v>1.215524029734778E-2</v>
      </c>
      <c r="BL83" s="17"/>
      <c r="BN83">
        <f t="shared" si="14"/>
        <v>0</v>
      </c>
      <c r="BO83">
        <f t="shared" si="15"/>
        <v>0</v>
      </c>
      <c r="BP83">
        <f t="shared" si="16"/>
        <v>0</v>
      </c>
      <c r="BQ83">
        <f t="shared" si="5"/>
        <v>1</v>
      </c>
      <c r="BR83">
        <f t="shared" si="17"/>
        <v>0</v>
      </c>
      <c r="BS83" s="17">
        <f t="shared" si="18"/>
        <v>0</v>
      </c>
      <c r="BT83" s="17">
        <f t="shared" si="19"/>
        <v>0</v>
      </c>
      <c r="BU83" s="17">
        <f t="shared" si="20"/>
        <v>0</v>
      </c>
      <c r="BV83" s="11">
        <f t="shared" si="21"/>
        <v>-9.9217261894517742E-3</v>
      </c>
      <c r="BX83" s="11">
        <f t="shared" si="22"/>
        <v>0</v>
      </c>
      <c r="BY83" s="11">
        <f t="shared" si="23"/>
        <v>2.2335141078960053E-3</v>
      </c>
    </row>
    <row r="84" spans="1:77" x14ac:dyDescent="0.3">
      <c r="A84" s="1">
        <v>46143</v>
      </c>
      <c r="B84" s="21">
        <v>30.41</v>
      </c>
      <c r="C84" s="21">
        <v>26.24</v>
      </c>
      <c r="D84" s="22">
        <v>-2.29922912917227E-3</v>
      </c>
      <c r="E84" s="22">
        <v>-3.0441423812282401E-3</v>
      </c>
      <c r="F84" s="21">
        <v>0</v>
      </c>
      <c r="G84" s="21">
        <v>0.1</v>
      </c>
      <c r="H84" s="21">
        <v>0</v>
      </c>
      <c r="I84" s="21">
        <v>0.1</v>
      </c>
      <c r="J84" s="21">
        <v>0</v>
      </c>
      <c r="K84" s="21">
        <v>0</v>
      </c>
      <c r="L84" s="21">
        <v>30.41</v>
      </c>
      <c r="M84" s="21">
        <v>26.24</v>
      </c>
      <c r="N84" s="23">
        <v>0.86287405458730604</v>
      </c>
      <c r="O84" s="23">
        <v>0.87815704628300895</v>
      </c>
      <c r="P84" s="23">
        <v>0.86598261193611303</v>
      </c>
      <c r="Q84" s="23">
        <v>0.86691629977677098</v>
      </c>
      <c r="R84" s="21">
        <v>26.7047557774663</v>
      </c>
      <c r="S84" s="21">
        <v>26.3505983184298</v>
      </c>
      <c r="T84" s="21">
        <v>26.370746803568402</v>
      </c>
      <c r="U84" s="22">
        <v>1.7556704475237699E-2</v>
      </c>
      <c r="V84" s="22">
        <v>4.2060172354688001E-3</v>
      </c>
      <c r="W84" s="22">
        <v>4.9703560842941702E-3</v>
      </c>
      <c r="X84" s="23">
        <v>0.86287405458730604</v>
      </c>
      <c r="Y84" s="23">
        <v>0.87815704628300895</v>
      </c>
      <c r="Z84" s="23">
        <v>0.86598261193611303</v>
      </c>
      <c r="AA84" s="23">
        <v>0.86691629977677098</v>
      </c>
      <c r="AB84" s="21">
        <v>26.7047557774663</v>
      </c>
      <c r="AC84" s="21">
        <v>26.3505983184298</v>
      </c>
      <c r="AD84" s="21">
        <v>26.370746803568402</v>
      </c>
      <c r="AE84" s="22">
        <v>1.7556704475237699E-2</v>
      </c>
      <c r="AF84" s="22">
        <v>4.2060172354688001E-3</v>
      </c>
      <c r="AG84" s="22">
        <v>4.9703560842941702E-3</v>
      </c>
      <c r="AZ84" s="17"/>
      <c r="BB84">
        <f t="shared" si="6"/>
        <v>0</v>
      </c>
      <c r="BC84">
        <f t="shared" si="7"/>
        <v>1</v>
      </c>
      <c r="BD84">
        <f t="shared" si="8"/>
        <v>0</v>
      </c>
      <c r="BE84">
        <f t="shared" si="4"/>
        <v>1</v>
      </c>
      <c r="BF84">
        <f t="shared" si="9"/>
        <v>0</v>
      </c>
      <c r="BG84" s="17">
        <f t="shared" si="10"/>
        <v>0</v>
      </c>
      <c r="BH84" s="17">
        <f t="shared" si="11"/>
        <v>0</v>
      </c>
      <c r="BI84" s="17">
        <f t="shared" si="12"/>
        <v>0</v>
      </c>
      <c r="BJ84" s="11">
        <f t="shared" si="13"/>
        <v>1.215524029734778E-2</v>
      </c>
      <c r="BL84" s="17"/>
      <c r="BN84">
        <f t="shared" si="14"/>
        <v>0</v>
      </c>
      <c r="BO84">
        <f t="shared" si="15"/>
        <v>1</v>
      </c>
      <c r="BP84">
        <f t="shared" si="16"/>
        <v>0</v>
      </c>
      <c r="BQ84">
        <f t="shared" si="5"/>
        <v>1</v>
      </c>
      <c r="BR84">
        <f t="shared" si="17"/>
        <v>0</v>
      </c>
      <c r="BS84" s="17">
        <f t="shared" si="18"/>
        <v>0</v>
      </c>
      <c r="BT84" s="17">
        <f t="shared" si="19"/>
        <v>0</v>
      </c>
      <c r="BU84" s="17">
        <f t="shared" si="20"/>
        <v>0</v>
      </c>
      <c r="BV84" s="11">
        <f t="shared" si="21"/>
        <v>-9.9217261894517742E-3</v>
      </c>
      <c r="BX84" s="11">
        <f t="shared" si="22"/>
        <v>0</v>
      </c>
      <c r="BY84" s="11">
        <f t="shared" si="23"/>
        <v>2.2335141078960053E-3</v>
      </c>
    </row>
    <row r="85" spans="1:77" x14ac:dyDescent="0.3">
      <c r="A85" s="1">
        <v>46146</v>
      </c>
      <c r="B85" s="21">
        <v>29.82</v>
      </c>
      <c r="C85" s="21">
        <v>25.8</v>
      </c>
      <c r="D85" s="22">
        <v>-1.95921923526809E-2</v>
      </c>
      <c r="E85" s="22">
        <v>-1.6910472148316501E-2</v>
      </c>
      <c r="F85" s="21">
        <v>0</v>
      </c>
      <c r="G85" s="21">
        <v>0.1</v>
      </c>
      <c r="H85" s="21">
        <v>0</v>
      </c>
      <c r="I85" s="21">
        <v>0.1</v>
      </c>
      <c r="J85" s="21">
        <v>0</v>
      </c>
      <c r="K85" s="21">
        <v>0</v>
      </c>
      <c r="L85" s="21">
        <v>29.82</v>
      </c>
      <c r="M85" s="21">
        <v>25.8</v>
      </c>
      <c r="N85" s="23">
        <v>0.86519114688128695</v>
      </c>
      <c r="O85" s="23">
        <v>0.87815704628300895</v>
      </c>
      <c r="P85" s="23">
        <v>0.86587731034672299</v>
      </c>
      <c r="Q85" s="23">
        <v>0.86669682371642898</v>
      </c>
      <c r="R85" s="21">
        <v>26.1866431201593</v>
      </c>
      <c r="S85" s="21">
        <v>25.823601487934798</v>
      </c>
      <c r="T85" s="21">
        <v>25.851444059343301</v>
      </c>
      <c r="U85" s="22">
        <v>1.48749842708733E-2</v>
      </c>
      <c r="V85" s="22">
        <v>9.1436819202878104E-4</v>
      </c>
      <c r="W85" s="22">
        <v>1.9919704972746902E-3</v>
      </c>
      <c r="X85" s="23">
        <v>0.86519114688128695</v>
      </c>
      <c r="Y85" s="23">
        <v>0.87815704628300895</v>
      </c>
      <c r="Z85" s="23">
        <v>0.86587731034672299</v>
      </c>
      <c r="AA85" s="23">
        <v>0.86669682371642898</v>
      </c>
      <c r="AB85" s="21">
        <v>26.1866431201593</v>
      </c>
      <c r="AC85" s="21">
        <v>25.823601487934798</v>
      </c>
      <c r="AD85" s="21">
        <v>25.851444059343301</v>
      </c>
      <c r="AE85" s="22">
        <v>1.48749842708733E-2</v>
      </c>
      <c r="AF85" s="22">
        <v>9.1436819202878104E-4</v>
      </c>
      <c r="AG85" s="22">
        <v>1.9919704972746902E-3</v>
      </c>
      <c r="AZ85" s="17"/>
      <c r="BB85">
        <f t="shared" si="6"/>
        <v>0</v>
      </c>
      <c r="BC85">
        <f t="shared" si="7"/>
        <v>1</v>
      </c>
      <c r="BD85">
        <f t="shared" si="8"/>
        <v>0</v>
      </c>
      <c r="BE85">
        <f t="shared" si="4"/>
        <v>1</v>
      </c>
      <c r="BF85">
        <f t="shared" si="9"/>
        <v>0</v>
      </c>
      <c r="BG85" s="17">
        <f t="shared" si="10"/>
        <v>0</v>
      </c>
      <c r="BH85" s="17">
        <f t="shared" si="11"/>
        <v>0</v>
      </c>
      <c r="BI85" s="17">
        <f t="shared" si="12"/>
        <v>0</v>
      </c>
      <c r="BJ85" s="11">
        <f t="shared" si="13"/>
        <v>1.215524029734778E-2</v>
      </c>
      <c r="BL85" s="17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17">
        <f t="shared" si="18"/>
        <v>0</v>
      </c>
      <c r="BT85" s="17">
        <f t="shared" si="19"/>
        <v>0</v>
      </c>
      <c r="BU85" s="17">
        <f t="shared" si="20"/>
        <v>0</v>
      </c>
      <c r="BV85" s="11">
        <f t="shared" si="21"/>
        <v>-9.9217261894517742E-3</v>
      </c>
      <c r="BX85" s="11">
        <f t="shared" si="22"/>
        <v>0</v>
      </c>
      <c r="BY85" s="11">
        <f t="shared" si="23"/>
        <v>2.2335141078960053E-3</v>
      </c>
    </row>
    <row r="86" spans="1:77" x14ac:dyDescent="0.3">
      <c r="A86" s="1">
        <v>46147</v>
      </c>
      <c r="B86" s="21">
        <v>29.38</v>
      </c>
      <c r="C86" s="21">
        <v>25.44</v>
      </c>
      <c r="D86" s="22">
        <v>-1.48651385908611E-2</v>
      </c>
      <c r="E86" s="22">
        <v>-1.4051753455650301E-2</v>
      </c>
      <c r="F86" s="21">
        <v>0</v>
      </c>
      <c r="G86" s="21">
        <v>0.1</v>
      </c>
      <c r="H86" s="21">
        <v>0</v>
      </c>
      <c r="I86" s="21">
        <v>0.1</v>
      </c>
      <c r="J86" s="21">
        <v>0</v>
      </c>
      <c r="K86" s="21">
        <v>0</v>
      </c>
      <c r="L86" s="21">
        <v>29.38</v>
      </c>
      <c r="M86" s="21">
        <v>25.44</v>
      </c>
      <c r="N86" s="23">
        <v>0.86589516678012202</v>
      </c>
      <c r="O86" s="23">
        <v>0.87815704628300895</v>
      </c>
      <c r="P86" s="23">
        <v>0.86561607094321003</v>
      </c>
      <c r="Q86" s="23">
        <v>0.86652183116575499</v>
      </c>
      <c r="R86" s="21">
        <v>25.800254019794799</v>
      </c>
      <c r="S86" s="21">
        <v>25.4394753779867</v>
      </c>
      <c r="T86" s="21">
        <v>25.463552680788599</v>
      </c>
      <c r="U86" s="22">
        <v>1.4061599135662401E-2</v>
      </c>
      <c r="V86" s="22">
        <v>-2.06221471186142E-5</v>
      </c>
      <c r="W86" s="22">
        <v>9.2538462362859203E-4</v>
      </c>
      <c r="X86" s="23">
        <v>0.86589516678012202</v>
      </c>
      <c r="Y86" s="23">
        <v>0.87815704628300895</v>
      </c>
      <c r="Z86" s="23">
        <v>0.86561607094321003</v>
      </c>
      <c r="AA86" s="23">
        <v>0.86652183116575499</v>
      </c>
      <c r="AB86" s="21">
        <v>25.800254019794799</v>
      </c>
      <c r="AC86" s="21">
        <v>25.4394753779867</v>
      </c>
      <c r="AD86" s="21">
        <v>25.463552680788599</v>
      </c>
      <c r="AE86" s="22">
        <v>1.4061599135662401E-2</v>
      </c>
      <c r="AF86" s="22">
        <v>-2.06221471186142E-5</v>
      </c>
      <c r="AG86" s="22">
        <v>9.2538462362859203E-4</v>
      </c>
      <c r="AZ86" s="17"/>
      <c r="BB86">
        <f t="shared" si="6"/>
        <v>0</v>
      </c>
      <c r="BC86">
        <f t="shared" si="7"/>
        <v>1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17">
        <f t="shared" si="10"/>
        <v>0</v>
      </c>
      <c r="BH86" s="17">
        <f t="shared" si="11"/>
        <v>0</v>
      </c>
      <c r="BI86" s="17">
        <f t="shared" si="12"/>
        <v>0</v>
      </c>
      <c r="BJ86" s="11">
        <f t="shared" si="13"/>
        <v>1.215524029734778E-2</v>
      </c>
      <c r="BL86" s="17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17">
        <f t="shared" si="18"/>
        <v>0</v>
      </c>
      <c r="BT86" s="17">
        <f t="shared" si="19"/>
        <v>0</v>
      </c>
      <c r="BU86" s="17">
        <f t="shared" si="20"/>
        <v>0</v>
      </c>
      <c r="BV86" s="11">
        <f t="shared" si="21"/>
        <v>-9.9217261894517742E-3</v>
      </c>
      <c r="BX86" s="11">
        <f t="shared" si="22"/>
        <v>0</v>
      </c>
      <c r="BY86" s="11">
        <f t="shared" si="23"/>
        <v>2.2335141078960053E-3</v>
      </c>
    </row>
    <row r="87" spans="1:77" x14ac:dyDescent="0.3">
      <c r="A87" s="1">
        <v>46148</v>
      </c>
      <c r="B87" s="21">
        <v>30.23</v>
      </c>
      <c r="C87" s="21">
        <v>26.2</v>
      </c>
      <c r="D87" s="22">
        <v>2.85206380456355E-2</v>
      </c>
      <c r="E87" s="22">
        <v>2.9436672295129598E-2</v>
      </c>
      <c r="F87" s="21">
        <v>0</v>
      </c>
      <c r="G87" s="21">
        <v>0.1</v>
      </c>
      <c r="H87" s="21">
        <v>0</v>
      </c>
      <c r="I87" s="21">
        <v>0.1</v>
      </c>
      <c r="J87" s="21">
        <v>0</v>
      </c>
      <c r="K87" s="21">
        <v>0</v>
      </c>
      <c r="L87" s="21">
        <v>30.23</v>
      </c>
      <c r="M87" s="21">
        <v>26.2</v>
      </c>
      <c r="N87" s="23">
        <v>0.86668871981475304</v>
      </c>
      <c r="O87" s="23">
        <v>0.87815704628300895</v>
      </c>
      <c r="P87" s="23">
        <v>0.86559008280757399</v>
      </c>
      <c r="Q87" s="23">
        <v>0.86649389781851405</v>
      </c>
      <c r="R87" s="21">
        <v>26.5466875091353</v>
      </c>
      <c r="S87" s="21">
        <v>26.1675738246132</v>
      </c>
      <c r="T87" s="21">
        <v>26.194954956140698</v>
      </c>
      <c r="U87" s="22">
        <v>1.31455648861682E-2</v>
      </c>
      <c r="V87" s="22">
        <v>-1.23840679117755E-3</v>
      </c>
      <c r="W87" s="22">
        <v>-1.9257746777412701E-4</v>
      </c>
      <c r="X87" s="23">
        <v>0.86668871981475304</v>
      </c>
      <c r="Y87" s="23">
        <v>0.87815704628300895</v>
      </c>
      <c r="Z87" s="23">
        <v>0.86559008280757399</v>
      </c>
      <c r="AA87" s="23">
        <v>0.86649389781851405</v>
      </c>
      <c r="AB87" s="21">
        <v>26.5466875091353</v>
      </c>
      <c r="AC87" s="21">
        <v>26.1675738246132</v>
      </c>
      <c r="AD87" s="21">
        <v>26.194954956140698</v>
      </c>
      <c r="AE87" s="22">
        <v>1.31455648861682E-2</v>
      </c>
      <c r="AF87" s="22">
        <v>-1.23840679117755E-3</v>
      </c>
      <c r="AG87" s="22">
        <v>-1.9257746777412701E-4</v>
      </c>
      <c r="AZ87" s="17"/>
      <c r="BB87">
        <f t="shared" ref="BB87:BB150" si="26">IF($AG87&lt;BA$20,1,0)</f>
        <v>0</v>
      </c>
      <c r="BC87">
        <f t="shared" ref="BC87:BC150" si="27">IF($AG87&gt;BA$21,1,0)</f>
        <v>1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17">
        <f t="shared" ref="BG87:BG150" si="30">BF87*D87</f>
        <v>0</v>
      </c>
      <c r="BH87" s="17">
        <f t="shared" ref="BH87:BH150" si="31">-BF87*$E87</f>
        <v>0</v>
      </c>
      <c r="BI87" s="17">
        <f t="shared" ref="BI87:BI150" si="32">BG87+BH87</f>
        <v>0</v>
      </c>
      <c r="BJ87" s="11">
        <f t="shared" ref="BJ87:BJ150" si="33">BJ86+BI87</f>
        <v>1.215524029734778E-2</v>
      </c>
      <c r="BL87" s="17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17">
        <f t="shared" ref="BS87:BS150" si="38">-BR87*D87</f>
        <v>0</v>
      </c>
      <c r="BT87" s="17">
        <f t="shared" ref="BT87:BT150" si="39">BR87*$E87</f>
        <v>0</v>
      </c>
      <c r="BU87" s="17">
        <f t="shared" ref="BU87:BU150" si="40">BS87+BT87</f>
        <v>0</v>
      </c>
      <c r="BV87" s="11">
        <f t="shared" ref="BV87:BV150" si="41">BV86+BU87</f>
        <v>-9.9217261894517742E-3</v>
      </c>
      <c r="BX87" s="11">
        <f t="shared" ref="BX87:BX150" si="42">BI87+BU87</f>
        <v>0</v>
      </c>
      <c r="BY87" s="11">
        <f t="shared" ref="BY87:BY150" si="43">BY86+BX87</f>
        <v>2.2335141078960053E-3</v>
      </c>
    </row>
    <row r="88" spans="1:77" x14ac:dyDescent="0.3">
      <c r="A88" s="1">
        <v>46149</v>
      </c>
      <c r="B88" s="21">
        <v>30.85</v>
      </c>
      <c r="C88" s="21">
        <v>27.04</v>
      </c>
      <c r="D88" s="22">
        <v>2.0301941560029999E-2</v>
      </c>
      <c r="E88" s="22">
        <v>3.1557840407712E-2</v>
      </c>
      <c r="F88" s="21">
        <v>0</v>
      </c>
      <c r="G88" s="21">
        <v>0.1</v>
      </c>
      <c r="H88" s="21">
        <v>0</v>
      </c>
      <c r="I88" s="21">
        <v>0.1</v>
      </c>
      <c r="J88" s="21">
        <v>0</v>
      </c>
      <c r="K88" s="21">
        <v>0</v>
      </c>
      <c r="L88" s="21">
        <v>30.85</v>
      </c>
      <c r="M88" s="21">
        <v>27.04</v>
      </c>
      <c r="N88" s="23">
        <v>0.87649918962722795</v>
      </c>
      <c r="O88" s="23">
        <v>0.87815704628300895</v>
      </c>
      <c r="P88" s="23">
        <v>0.866693949138718</v>
      </c>
      <c r="Q88" s="23">
        <v>0.86702660377874796</v>
      </c>
      <c r="R88" s="21">
        <v>27.0911448778308</v>
      </c>
      <c r="S88" s="21">
        <v>26.703454054613601</v>
      </c>
      <c r="T88" s="21">
        <v>26.7313367477011</v>
      </c>
      <c r="U88" s="22">
        <v>1.8896660384864301E-3</v>
      </c>
      <c r="V88" s="22">
        <v>-1.2524328794197501E-2</v>
      </c>
      <c r="W88" s="22">
        <v>-1.14807130075723E-2</v>
      </c>
      <c r="X88" s="23">
        <v>0.87649918962722795</v>
      </c>
      <c r="Y88" s="23">
        <v>0.87815704628300895</v>
      </c>
      <c r="Z88" s="23">
        <v>0.866693949138718</v>
      </c>
      <c r="AA88" s="23">
        <v>0.86702660377874796</v>
      </c>
      <c r="AB88" s="21">
        <v>27.0911448778308</v>
      </c>
      <c r="AC88" s="21">
        <v>26.703454054613601</v>
      </c>
      <c r="AD88" s="21">
        <v>26.7313367477011</v>
      </c>
      <c r="AE88" s="22">
        <v>1.8896660384864301E-3</v>
      </c>
      <c r="AF88" s="22">
        <v>-1.2524328794197501E-2</v>
      </c>
      <c r="AG88" s="22">
        <v>-1.14807130075723E-2</v>
      </c>
      <c r="AZ88" s="17"/>
      <c r="BB88">
        <f t="shared" si="26"/>
        <v>0</v>
      </c>
      <c r="BC88">
        <f t="shared" si="27"/>
        <v>0</v>
      </c>
      <c r="BD88">
        <f t="shared" si="28"/>
        <v>0</v>
      </c>
      <c r="BE88">
        <f t="shared" si="24"/>
        <v>1</v>
      </c>
      <c r="BF88">
        <f t="shared" si="29"/>
        <v>0</v>
      </c>
      <c r="BG88" s="17">
        <f t="shared" si="30"/>
        <v>0</v>
      </c>
      <c r="BH88" s="17">
        <f t="shared" si="31"/>
        <v>0</v>
      </c>
      <c r="BI88" s="17">
        <f t="shared" si="32"/>
        <v>0</v>
      </c>
      <c r="BJ88" s="11">
        <f t="shared" si="33"/>
        <v>1.215524029734778E-2</v>
      </c>
      <c r="BL88" s="17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17">
        <f t="shared" si="38"/>
        <v>0</v>
      </c>
      <c r="BT88" s="17">
        <f t="shared" si="39"/>
        <v>0</v>
      </c>
      <c r="BU88" s="17">
        <f t="shared" si="40"/>
        <v>0</v>
      </c>
      <c r="BV88" s="11">
        <f t="shared" si="41"/>
        <v>-9.9217261894517742E-3</v>
      </c>
      <c r="BX88" s="11">
        <f t="shared" si="42"/>
        <v>0</v>
      </c>
      <c r="BY88" s="11">
        <f t="shared" si="43"/>
        <v>2.2335141078960053E-3</v>
      </c>
    </row>
    <row r="89" spans="1:77" x14ac:dyDescent="0.3">
      <c r="A89" s="1">
        <v>46150</v>
      </c>
      <c r="B89" s="21">
        <v>31.31</v>
      </c>
      <c r="C89" s="21">
        <v>27.02</v>
      </c>
      <c r="D89" s="22">
        <v>1.4800784986917399E-2</v>
      </c>
      <c r="E89" s="22">
        <v>-7.3991864271057497E-4</v>
      </c>
      <c r="F89" s="21">
        <v>0</v>
      </c>
      <c r="G89" s="21">
        <v>0.1</v>
      </c>
      <c r="H89" s="21">
        <v>0</v>
      </c>
      <c r="I89" s="21">
        <v>0.1</v>
      </c>
      <c r="J89" s="21">
        <v>0</v>
      </c>
      <c r="K89" s="21">
        <v>0</v>
      </c>
      <c r="L89" s="21">
        <v>31.31</v>
      </c>
      <c r="M89" s="21">
        <v>27.02</v>
      </c>
      <c r="N89" s="23">
        <v>0.86298307250079798</v>
      </c>
      <c r="O89" s="23">
        <v>0.87815704628300895</v>
      </c>
      <c r="P89" s="23">
        <v>0.86635204474858596</v>
      </c>
      <c r="Q89" s="23">
        <v>0.86686365549295996</v>
      </c>
      <c r="R89" s="21">
        <v>27.495097119120999</v>
      </c>
      <c r="S89" s="21">
        <v>27.136187547533201</v>
      </c>
      <c r="T89" s="21">
        <v>27.146602964312599</v>
      </c>
      <c r="U89" s="22">
        <v>1.7430369668114301E-2</v>
      </c>
      <c r="V89" s="22">
        <v>4.2908384455547796E-3</v>
      </c>
      <c r="W89" s="22">
        <v>4.6745849998107297E-3</v>
      </c>
      <c r="X89" s="23">
        <v>0.86298307250079798</v>
      </c>
      <c r="Y89" s="23">
        <v>0.87815704628300895</v>
      </c>
      <c r="Z89" s="23">
        <v>0.86635204474858596</v>
      </c>
      <c r="AA89" s="23">
        <v>0.86686365549295996</v>
      </c>
      <c r="AB89" s="21">
        <v>27.495097119120999</v>
      </c>
      <c r="AC89" s="21">
        <v>27.136187547533201</v>
      </c>
      <c r="AD89" s="21">
        <v>27.146602964312599</v>
      </c>
      <c r="AE89" s="22">
        <v>1.7430369668114301E-2</v>
      </c>
      <c r="AF89" s="22">
        <v>4.2908384455547796E-3</v>
      </c>
      <c r="AG89" s="22">
        <v>4.6745849998107297E-3</v>
      </c>
      <c r="AZ89" s="17"/>
      <c r="BB89">
        <f t="shared" si="26"/>
        <v>0</v>
      </c>
      <c r="BC89">
        <f t="shared" si="27"/>
        <v>1</v>
      </c>
      <c r="BD89">
        <f t="shared" si="28"/>
        <v>0</v>
      </c>
      <c r="BE89">
        <f t="shared" si="24"/>
        <v>1</v>
      </c>
      <c r="BF89">
        <f t="shared" si="29"/>
        <v>0</v>
      </c>
      <c r="BG89" s="17">
        <f t="shared" si="30"/>
        <v>0</v>
      </c>
      <c r="BH89" s="17">
        <f t="shared" si="31"/>
        <v>0</v>
      </c>
      <c r="BI89" s="17">
        <f t="shared" si="32"/>
        <v>0</v>
      </c>
      <c r="BJ89" s="11">
        <f t="shared" si="33"/>
        <v>1.215524029734778E-2</v>
      </c>
      <c r="BL89" s="17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17">
        <f t="shared" si="38"/>
        <v>0</v>
      </c>
      <c r="BT89" s="17">
        <f t="shared" si="39"/>
        <v>0</v>
      </c>
      <c r="BU89" s="17">
        <f t="shared" si="40"/>
        <v>0</v>
      </c>
      <c r="BV89" s="11">
        <f t="shared" si="41"/>
        <v>-9.9217261894517742E-3</v>
      </c>
      <c r="BX89" s="11">
        <f t="shared" si="42"/>
        <v>0</v>
      </c>
      <c r="BY89" s="11">
        <f t="shared" si="43"/>
        <v>2.2335141078960053E-3</v>
      </c>
    </row>
    <row r="90" spans="1:77" x14ac:dyDescent="0.3">
      <c r="A90" s="1">
        <v>46153</v>
      </c>
      <c r="B90" s="21">
        <v>31.17</v>
      </c>
      <c r="C90" s="21">
        <v>27.01</v>
      </c>
      <c r="D90" s="22">
        <v>-4.4814415590685103E-3</v>
      </c>
      <c r="E90" s="22">
        <v>-3.7016472752846702E-4</v>
      </c>
      <c r="F90" s="21">
        <v>0</v>
      </c>
      <c r="G90" s="21">
        <v>0.1</v>
      </c>
      <c r="H90" s="21">
        <v>0</v>
      </c>
      <c r="I90" s="21">
        <v>0.1</v>
      </c>
      <c r="J90" s="21">
        <v>0</v>
      </c>
      <c r="K90" s="21">
        <v>0</v>
      </c>
      <c r="L90" s="21">
        <v>31.17</v>
      </c>
      <c r="M90" s="21">
        <v>27.01</v>
      </c>
      <c r="N90" s="23">
        <v>0.86653833814565195</v>
      </c>
      <c r="O90" s="23">
        <v>0.87815704628300895</v>
      </c>
      <c r="P90" s="23">
        <v>0.86655743339130198</v>
      </c>
      <c r="Q90" s="23">
        <v>0.86693701707592796</v>
      </c>
      <c r="R90" s="21">
        <v>27.372155132641399</v>
      </c>
      <c r="S90" s="21">
        <v>27.0041932348134</v>
      </c>
      <c r="T90" s="21">
        <v>27.020140141715501</v>
      </c>
      <c r="U90" s="22">
        <v>1.33190928365742E-2</v>
      </c>
      <c r="V90" s="22">
        <v>-2.1500886567642501E-4</v>
      </c>
      <c r="W90" s="22">
        <v>3.7535130606860401E-4</v>
      </c>
      <c r="X90" s="23">
        <v>0.86653833814565195</v>
      </c>
      <c r="Y90" s="23">
        <v>0.87815704628300895</v>
      </c>
      <c r="Z90" s="23">
        <v>0.86655743339130198</v>
      </c>
      <c r="AA90" s="23">
        <v>0.86693701707592796</v>
      </c>
      <c r="AB90" s="21">
        <v>27.372155132641399</v>
      </c>
      <c r="AC90" s="21">
        <v>27.0041932348134</v>
      </c>
      <c r="AD90" s="21">
        <v>27.020140141715501</v>
      </c>
      <c r="AE90" s="22">
        <v>1.33190928365742E-2</v>
      </c>
      <c r="AF90" s="22">
        <v>-2.1500886567642501E-4</v>
      </c>
      <c r="AG90" s="22">
        <v>3.7535130606860401E-4</v>
      </c>
      <c r="AZ90" s="17"/>
      <c r="BB90">
        <f t="shared" si="26"/>
        <v>0</v>
      </c>
      <c r="BC90">
        <f t="shared" si="27"/>
        <v>1</v>
      </c>
      <c r="BD90">
        <f t="shared" si="28"/>
        <v>0</v>
      </c>
      <c r="BE90">
        <f t="shared" si="24"/>
        <v>1</v>
      </c>
      <c r="BF90">
        <f t="shared" si="29"/>
        <v>0</v>
      </c>
      <c r="BG90" s="17">
        <f t="shared" si="30"/>
        <v>0</v>
      </c>
      <c r="BH90" s="17">
        <f t="shared" si="31"/>
        <v>0</v>
      </c>
      <c r="BI90" s="17">
        <f t="shared" si="32"/>
        <v>0</v>
      </c>
      <c r="BJ90" s="11">
        <f t="shared" si="33"/>
        <v>1.215524029734778E-2</v>
      </c>
      <c r="BL90" s="17"/>
      <c r="BN90">
        <f t="shared" si="34"/>
        <v>0</v>
      </c>
      <c r="BO90">
        <f t="shared" si="35"/>
        <v>1</v>
      </c>
      <c r="BP90">
        <f t="shared" si="36"/>
        <v>0</v>
      </c>
      <c r="BQ90">
        <f t="shared" si="25"/>
        <v>1</v>
      </c>
      <c r="BR90">
        <f t="shared" si="37"/>
        <v>0</v>
      </c>
      <c r="BS90" s="17">
        <f t="shared" si="38"/>
        <v>0</v>
      </c>
      <c r="BT90" s="17">
        <f t="shared" si="39"/>
        <v>0</v>
      </c>
      <c r="BU90" s="17">
        <f t="shared" si="40"/>
        <v>0</v>
      </c>
      <c r="BV90" s="11">
        <f t="shared" si="41"/>
        <v>-9.9217261894517742E-3</v>
      </c>
      <c r="BX90" s="11">
        <f t="shared" si="42"/>
        <v>0</v>
      </c>
      <c r="BY90" s="11">
        <f t="shared" si="43"/>
        <v>2.2335141078960053E-3</v>
      </c>
    </row>
    <row r="91" spans="1:77" x14ac:dyDescent="0.3">
      <c r="A91" s="1">
        <v>46154</v>
      </c>
      <c r="B91" s="21">
        <v>30.41</v>
      </c>
      <c r="C91" s="21">
        <v>26.54</v>
      </c>
      <c r="D91" s="22">
        <v>-2.46845920899725E-2</v>
      </c>
      <c r="E91" s="22">
        <v>-1.7554138900462798E-2</v>
      </c>
      <c r="F91" s="21">
        <v>0</v>
      </c>
      <c r="G91" s="21">
        <v>0.1</v>
      </c>
      <c r="H91" s="21">
        <v>0</v>
      </c>
      <c r="I91" s="21">
        <v>0.1</v>
      </c>
      <c r="J91" s="21">
        <v>0</v>
      </c>
      <c r="K91" s="21">
        <v>0</v>
      </c>
      <c r="L91" s="21">
        <v>30.41</v>
      </c>
      <c r="M91" s="21">
        <v>26.54</v>
      </c>
      <c r="N91" s="23">
        <v>0.872739230516277</v>
      </c>
      <c r="O91" s="23">
        <v>0.87815704628300895</v>
      </c>
      <c r="P91" s="23">
        <v>0.86703639957498002</v>
      </c>
      <c r="Q91" s="23">
        <v>0.86716433586847796</v>
      </c>
      <c r="R91" s="21">
        <v>26.7047557774663</v>
      </c>
      <c r="S91" s="21">
        <v>26.352011549429498</v>
      </c>
      <c r="T91" s="21">
        <v>26.363554689278899</v>
      </c>
      <c r="U91" s="22">
        <v>6.1886396470646502E-3</v>
      </c>
      <c r="V91" s="22">
        <v>-7.1084171936185402E-3</v>
      </c>
      <c r="W91" s="22">
        <v>-6.6704767195772596E-3</v>
      </c>
      <c r="X91" s="23">
        <v>0.872739230516277</v>
      </c>
      <c r="Y91" s="23">
        <v>0.87815704628300895</v>
      </c>
      <c r="Z91" s="23">
        <v>0.86703639957498002</v>
      </c>
      <c r="AA91" s="23">
        <v>0.86716433586847796</v>
      </c>
      <c r="AB91" s="21">
        <v>26.7047557774663</v>
      </c>
      <c r="AC91" s="21">
        <v>26.352011549429498</v>
      </c>
      <c r="AD91" s="21">
        <v>26.363554689278899</v>
      </c>
      <c r="AE91" s="22">
        <v>6.1886396470646502E-3</v>
      </c>
      <c r="AF91" s="22">
        <v>-7.1084171936185402E-3</v>
      </c>
      <c r="AG91" s="22">
        <v>-6.6704767195772596E-3</v>
      </c>
      <c r="AZ91" s="17"/>
      <c r="BB91">
        <f t="shared" si="26"/>
        <v>0</v>
      </c>
      <c r="BC91">
        <f t="shared" si="27"/>
        <v>0</v>
      </c>
      <c r="BD91">
        <f t="shared" si="28"/>
        <v>0</v>
      </c>
      <c r="BE91">
        <f t="shared" si="24"/>
        <v>1</v>
      </c>
      <c r="BF91">
        <f t="shared" si="29"/>
        <v>0</v>
      </c>
      <c r="BG91" s="17">
        <f t="shared" si="30"/>
        <v>0</v>
      </c>
      <c r="BH91" s="17">
        <f t="shared" si="31"/>
        <v>0</v>
      </c>
      <c r="BI91" s="17">
        <f t="shared" si="32"/>
        <v>0</v>
      </c>
      <c r="BJ91" s="11">
        <f t="shared" si="33"/>
        <v>1.215524029734778E-2</v>
      </c>
      <c r="BL91" s="17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17">
        <f t="shared" si="38"/>
        <v>0</v>
      </c>
      <c r="BT91" s="17">
        <f t="shared" si="39"/>
        <v>0</v>
      </c>
      <c r="BU91" s="17">
        <f t="shared" si="40"/>
        <v>0</v>
      </c>
      <c r="BV91" s="11">
        <f t="shared" si="41"/>
        <v>-9.9217261894517742E-3</v>
      </c>
      <c r="BX91" s="11">
        <f t="shared" si="42"/>
        <v>0</v>
      </c>
      <c r="BY91" s="11">
        <f t="shared" si="43"/>
        <v>2.2335141078960053E-3</v>
      </c>
    </row>
    <row r="92" spans="1:77" x14ac:dyDescent="0.3">
      <c r="A92" s="1">
        <v>46155</v>
      </c>
      <c r="B92" s="21">
        <v>30.68</v>
      </c>
      <c r="C92" s="21">
        <v>26.66</v>
      </c>
      <c r="D92" s="22">
        <v>8.8394748097820903E-3</v>
      </c>
      <c r="E92" s="22">
        <v>4.5112858465012704E-3</v>
      </c>
      <c r="F92" s="21">
        <v>0</v>
      </c>
      <c r="G92" s="21">
        <v>0.1</v>
      </c>
      <c r="H92" s="21">
        <v>0</v>
      </c>
      <c r="I92" s="21">
        <v>0.1</v>
      </c>
      <c r="J92" s="21">
        <v>0</v>
      </c>
      <c r="K92" s="21">
        <v>0</v>
      </c>
      <c r="L92" s="21">
        <v>30.68</v>
      </c>
      <c r="M92" s="21">
        <v>26.66</v>
      </c>
      <c r="N92" s="23">
        <v>0.86897001303780896</v>
      </c>
      <c r="O92" s="23">
        <v>0.87815704628300895</v>
      </c>
      <c r="P92" s="23">
        <v>0.86718959922586902</v>
      </c>
      <c r="Q92" s="23">
        <v>0.86716515212928802</v>
      </c>
      <c r="R92" s="21">
        <v>26.941858179962701</v>
      </c>
      <c r="S92" s="21">
        <v>26.600676738960399</v>
      </c>
      <c r="T92" s="21">
        <v>26.604601824444899</v>
      </c>
      <c r="U92" s="22">
        <v>1.0516828610345599E-2</v>
      </c>
      <c r="V92" s="22">
        <v>-2.2276579722328902E-3</v>
      </c>
      <c r="W92" s="22">
        <v>-2.0801130068608198E-3</v>
      </c>
      <c r="X92" s="23">
        <v>0.86897001303780896</v>
      </c>
      <c r="Y92" s="23">
        <v>0.87815704628300895</v>
      </c>
      <c r="Z92" s="23">
        <v>0.86718959922586902</v>
      </c>
      <c r="AA92" s="23">
        <v>0.86716515212928802</v>
      </c>
      <c r="AB92" s="21">
        <v>26.941858179962701</v>
      </c>
      <c r="AC92" s="21">
        <v>26.600676738960399</v>
      </c>
      <c r="AD92" s="21">
        <v>26.604601824444899</v>
      </c>
      <c r="AE92" s="22">
        <v>1.0516828610345599E-2</v>
      </c>
      <c r="AF92" s="22">
        <v>-2.2276579722328902E-3</v>
      </c>
      <c r="AG92" s="22">
        <v>-2.0801130068608198E-3</v>
      </c>
      <c r="AZ92" s="17"/>
      <c r="BB92">
        <f t="shared" si="26"/>
        <v>0</v>
      </c>
      <c r="BC92">
        <f t="shared" si="27"/>
        <v>1</v>
      </c>
      <c r="BD92">
        <f t="shared" si="28"/>
        <v>0</v>
      </c>
      <c r="BE92">
        <f t="shared" si="24"/>
        <v>1</v>
      </c>
      <c r="BF92">
        <f t="shared" si="29"/>
        <v>0</v>
      </c>
      <c r="BG92" s="17">
        <f t="shared" si="30"/>
        <v>0</v>
      </c>
      <c r="BH92" s="17">
        <f t="shared" si="31"/>
        <v>0</v>
      </c>
      <c r="BI92" s="17">
        <f t="shared" si="32"/>
        <v>0</v>
      </c>
      <c r="BJ92" s="11">
        <f t="shared" si="33"/>
        <v>1.215524029734778E-2</v>
      </c>
      <c r="BL92" s="17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17">
        <f t="shared" si="38"/>
        <v>0</v>
      </c>
      <c r="BT92" s="17">
        <f t="shared" si="39"/>
        <v>0</v>
      </c>
      <c r="BU92" s="17">
        <f t="shared" si="40"/>
        <v>0</v>
      </c>
      <c r="BV92" s="11">
        <f t="shared" si="41"/>
        <v>-9.9217261894517742E-3</v>
      </c>
      <c r="BX92" s="11">
        <f t="shared" si="42"/>
        <v>0</v>
      </c>
      <c r="BY92" s="11">
        <f t="shared" si="43"/>
        <v>2.2335141078960053E-3</v>
      </c>
    </row>
    <row r="93" spans="1:77" x14ac:dyDescent="0.3">
      <c r="A93" s="1">
        <v>46156</v>
      </c>
      <c r="B93" s="21">
        <v>30.08</v>
      </c>
      <c r="C93" s="21">
        <v>26.25</v>
      </c>
      <c r="D93" s="22">
        <v>-1.9750477417416298E-2</v>
      </c>
      <c r="E93" s="22">
        <v>-1.5498325712929801E-2</v>
      </c>
      <c r="F93" s="21">
        <v>0</v>
      </c>
      <c r="G93" s="21">
        <v>0.1</v>
      </c>
      <c r="H93" s="21">
        <v>0</v>
      </c>
      <c r="I93" s="21">
        <v>0.1</v>
      </c>
      <c r="J93" s="21">
        <v>0</v>
      </c>
      <c r="K93" s="21">
        <v>0</v>
      </c>
      <c r="L93" s="21">
        <v>30.08</v>
      </c>
      <c r="M93" s="21">
        <v>26.25</v>
      </c>
      <c r="N93" s="23">
        <v>0.87267287234042501</v>
      </c>
      <c r="O93" s="23">
        <v>0.87815704628300895</v>
      </c>
      <c r="P93" s="23">
        <v>0.86810518042316598</v>
      </c>
      <c r="Q93" s="23">
        <v>0.86730807061983295</v>
      </c>
      <c r="R93" s="21">
        <v>26.414963952192899</v>
      </c>
      <c r="S93" s="21">
        <v>26.085063144714098</v>
      </c>
      <c r="T93" s="21">
        <v>26.084327776048902</v>
      </c>
      <c r="U93" s="22">
        <v>6.2646769058589003E-3</v>
      </c>
      <c r="V93" s="22">
        <v>-6.30313183727678E-3</v>
      </c>
      <c r="W93" s="22">
        <v>-6.3313234129200096E-3</v>
      </c>
      <c r="X93" s="23">
        <v>0.87267287234042501</v>
      </c>
      <c r="Y93" s="23">
        <v>0.87815704628300895</v>
      </c>
      <c r="Z93" s="23">
        <v>0.86810518042316598</v>
      </c>
      <c r="AA93" s="23">
        <v>0.86730807061983295</v>
      </c>
      <c r="AB93" s="21">
        <v>26.414963952192899</v>
      </c>
      <c r="AC93" s="21">
        <v>26.085063144714098</v>
      </c>
      <c r="AD93" s="21">
        <v>26.084327776048902</v>
      </c>
      <c r="AE93" s="22">
        <v>6.2646769058589003E-3</v>
      </c>
      <c r="AF93" s="22">
        <v>-6.30313183727678E-3</v>
      </c>
      <c r="AG93" s="22">
        <v>-6.3313234129200096E-3</v>
      </c>
      <c r="AZ93" s="17"/>
      <c r="BB93">
        <f t="shared" si="26"/>
        <v>0</v>
      </c>
      <c r="BC93">
        <f t="shared" si="27"/>
        <v>0</v>
      </c>
      <c r="BD93">
        <f t="shared" si="28"/>
        <v>0</v>
      </c>
      <c r="BE93">
        <f t="shared" si="24"/>
        <v>1</v>
      </c>
      <c r="BF93">
        <f t="shared" si="29"/>
        <v>0</v>
      </c>
      <c r="BG93" s="17">
        <f t="shared" si="30"/>
        <v>0</v>
      </c>
      <c r="BH93" s="17">
        <f t="shared" si="31"/>
        <v>0</v>
      </c>
      <c r="BI93" s="17">
        <f t="shared" si="32"/>
        <v>0</v>
      </c>
      <c r="BJ93" s="11">
        <f t="shared" si="33"/>
        <v>1.215524029734778E-2</v>
      </c>
      <c r="BL93" s="17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17">
        <f t="shared" si="38"/>
        <v>0</v>
      </c>
      <c r="BT93" s="17">
        <f t="shared" si="39"/>
        <v>0</v>
      </c>
      <c r="BU93" s="17">
        <f t="shared" si="40"/>
        <v>0</v>
      </c>
      <c r="BV93" s="11">
        <f t="shared" si="41"/>
        <v>-9.9217261894517742E-3</v>
      </c>
      <c r="BX93" s="11">
        <f t="shared" si="42"/>
        <v>0</v>
      </c>
      <c r="BY93" s="11">
        <f t="shared" si="43"/>
        <v>2.2335141078960053E-3</v>
      </c>
    </row>
    <row r="94" spans="1:77" x14ac:dyDescent="0.3">
      <c r="A94" s="1">
        <v>46157</v>
      </c>
      <c r="B94" s="21">
        <v>29.74</v>
      </c>
      <c r="C94" s="21">
        <v>25.92</v>
      </c>
      <c r="D94" s="22">
        <v>-1.136755804963E-2</v>
      </c>
      <c r="E94" s="22">
        <v>-1.26511175535586E-2</v>
      </c>
      <c r="F94" s="21">
        <v>0</v>
      </c>
      <c r="G94" s="21">
        <v>0.1</v>
      </c>
      <c r="H94" s="21">
        <v>0</v>
      </c>
      <c r="I94" s="21">
        <v>0.1</v>
      </c>
      <c r="J94" s="21">
        <v>0</v>
      </c>
      <c r="K94" s="21">
        <v>0</v>
      </c>
      <c r="L94" s="21">
        <v>29.74</v>
      </c>
      <c r="M94" s="21">
        <v>25.92</v>
      </c>
      <c r="N94" s="23">
        <v>0.87155346334902495</v>
      </c>
      <c r="O94" s="23">
        <v>0.87815704628300895</v>
      </c>
      <c r="P94" s="23">
        <v>0.86897312129933801</v>
      </c>
      <c r="Q94" s="23">
        <v>0.86747786661772497</v>
      </c>
      <c r="R94" s="21">
        <v>26.116390556456601</v>
      </c>
      <c r="S94" s="21">
        <v>25.817448065784902</v>
      </c>
      <c r="T94" s="21">
        <v>25.7937420202338</v>
      </c>
      <c r="U94" s="22">
        <v>7.5482364097875501E-3</v>
      </c>
      <c r="V94" s="22">
        <v>-3.9643265122958696E-3</v>
      </c>
      <c r="W94" s="22">
        <v>-4.8829663335722903E-3</v>
      </c>
      <c r="X94" s="23">
        <v>0.87155346334902495</v>
      </c>
      <c r="Y94" s="23">
        <v>0.87815704628300895</v>
      </c>
      <c r="Z94" s="23">
        <v>0.86897312129933801</v>
      </c>
      <c r="AA94" s="23">
        <v>0.86747786661772497</v>
      </c>
      <c r="AB94" s="21">
        <v>26.116390556456601</v>
      </c>
      <c r="AC94" s="21">
        <v>25.817448065784902</v>
      </c>
      <c r="AD94" s="21">
        <v>25.7937420202338</v>
      </c>
      <c r="AE94" s="22">
        <v>7.5482364097875501E-3</v>
      </c>
      <c r="AF94" s="22">
        <v>-3.9643265122958696E-3</v>
      </c>
      <c r="AG94" s="22">
        <v>-4.8829663335722903E-3</v>
      </c>
      <c r="AZ94" s="17"/>
      <c r="BB94">
        <f t="shared" si="26"/>
        <v>0</v>
      </c>
      <c r="BC94">
        <f t="shared" si="27"/>
        <v>0</v>
      </c>
      <c r="BD94">
        <f t="shared" si="28"/>
        <v>0</v>
      </c>
      <c r="BE94">
        <f t="shared" si="24"/>
        <v>1</v>
      </c>
      <c r="BF94">
        <f t="shared" si="29"/>
        <v>0</v>
      </c>
      <c r="BG94" s="17">
        <f t="shared" si="30"/>
        <v>0</v>
      </c>
      <c r="BH94" s="17">
        <f t="shared" si="31"/>
        <v>0</v>
      </c>
      <c r="BI94" s="17">
        <f t="shared" si="32"/>
        <v>0</v>
      </c>
      <c r="BJ94" s="11">
        <f t="shared" si="33"/>
        <v>1.215524029734778E-2</v>
      </c>
      <c r="BL94" s="17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17">
        <f t="shared" si="38"/>
        <v>0</v>
      </c>
      <c r="BT94" s="17">
        <f t="shared" si="39"/>
        <v>0</v>
      </c>
      <c r="BU94" s="17">
        <f t="shared" si="40"/>
        <v>0</v>
      </c>
      <c r="BV94" s="11">
        <f t="shared" si="41"/>
        <v>-9.9217261894517742E-3</v>
      </c>
      <c r="BX94" s="11">
        <f t="shared" si="42"/>
        <v>0</v>
      </c>
      <c r="BY94" s="11">
        <f t="shared" si="43"/>
        <v>2.2335141078960053E-3</v>
      </c>
    </row>
    <row r="95" spans="1:77" x14ac:dyDescent="0.3">
      <c r="A95" s="1">
        <v>46160</v>
      </c>
      <c r="B95" s="21">
        <v>30.23</v>
      </c>
      <c r="C95" s="21">
        <v>26.27</v>
      </c>
      <c r="D95" s="22">
        <v>1.6341867759357701E-2</v>
      </c>
      <c r="E95" s="22">
        <v>1.34127322133744E-2</v>
      </c>
      <c r="F95" s="21">
        <v>0</v>
      </c>
      <c r="G95" s="21">
        <v>0.1</v>
      </c>
      <c r="H95" s="21">
        <v>0</v>
      </c>
      <c r="I95" s="21">
        <v>0.1</v>
      </c>
      <c r="J95" s="21">
        <v>0</v>
      </c>
      <c r="K95" s="21">
        <v>0</v>
      </c>
      <c r="L95" s="21">
        <v>30.23</v>
      </c>
      <c r="M95" s="21">
        <v>26.27</v>
      </c>
      <c r="N95" s="23">
        <v>0.86900430036387599</v>
      </c>
      <c r="O95" s="23">
        <v>0.87815704628300895</v>
      </c>
      <c r="P95" s="23">
        <v>0.86935443664759704</v>
      </c>
      <c r="Q95" s="23">
        <v>0.86761587349715996</v>
      </c>
      <c r="R95" s="21">
        <v>26.5466875091353</v>
      </c>
      <c r="S95" s="21">
        <v>26.269057456878901</v>
      </c>
      <c r="T95" s="21">
        <v>26.2238559078538</v>
      </c>
      <c r="U95" s="22">
        <v>1.0477371955770899E-2</v>
      </c>
      <c r="V95" s="22">
        <v>-3.5879711845976797E-5</v>
      </c>
      <c r="W95" s="22">
        <v>-1.75807637802264E-3</v>
      </c>
      <c r="X95" s="23">
        <v>0.86900430036387599</v>
      </c>
      <c r="Y95" s="23">
        <v>0.87815704628300895</v>
      </c>
      <c r="Z95" s="23">
        <v>0.86935443664759704</v>
      </c>
      <c r="AA95" s="23">
        <v>0.86761587349715996</v>
      </c>
      <c r="AB95" s="21">
        <v>26.5466875091353</v>
      </c>
      <c r="AC95" s="21">
        <v>26.269057456878901</v>
      </c>
      <c r="AD95" s="21">
        <v>26.2238559078538</v>
      </c>
      <c r="AE95" s="22">
        <v>1.0477371955770899E-2</v>
      </c>
      <c r="AF95" s="22">
        <v>-3.5879711845976797E-5</v>
      </c>
      <c r="AG95" s="22">
        <v>-1.75807637802264E-3</v>
      </c>
      <c r="AZ95" s="17"/>
      <c r="BB95">
        <f t="shared" si="26"/>
        <v>0</v>
      </c>
      <c r="BC95">
        <f t="shared" si="27"/>
        <v>1</v>
      </c>
      <c r="BD95">
        <f t="shared" si="28"/>
        <v>0</v>
      </c>
      <c r="BE95">
        <f t="shared" si="24"/>
        <v>1</v>
      </c>
      <c r="BF95">
        <f t="shared" si="29"/>
        <v>0</v>
      </c>
      <c r="BG95" s="17">
        <f t="shared" si="30"/>
        <v>0</v>
      </c>
      <c r="BH95" s="17">
        <f t="shared" si="31"/>
        <v>0</v>
      </c>
      <c r="BI95" s="17">
        <f t="shared" si="32"/>
        <v>0</v>
      </c>
      <c r="BJ95" s="11">
        <f t="shared" si="33"/>
        <v>1.215524029734778E-2</v>
      </c>
      <c r="BL95" s="17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17">
        <f t="shared" si="38"/>
        <v>0</v>
      </c>
      <c r="BT95" s="17">
        <f t="shared" si="39"/>
        <v>0</v>
      </c>
      <c r="BU95" s="17">
        <f t="shared" si="40"/>
        <v>0</v>
      </c>
      <c r="BV95" s="11">
        <f t="shared" si="41"/>
        <v>-9.9217261894517742E-3</v>
      </c>
      <c r="BX95" s="11">
        <f t="shared" si="42"/>
        <v>0</v>
      </c>
      <c r="BY95" s="11">
        <f t="shared" si="43"/>
        <v>2.2335141078960053E-3</v>
      </c>
    </row>
    <row r="96" spans="1:77" x14ac:dyDescent="0.3">
      <c r="A96" s="1">
        <v>46161</v>
      </c>
      <c r="B96" s="21">
        <v>30.11</v>
      </c>
      <c r="C96" s="21">
        <v>26.24</v>
      </c>
      <c r="D96" s="22">
        <v>-3.9774662977242001E-3</v>
      </c>
      <c r="E96" s="22">
        <v>-1.1426396215602199E-3</v>
      </c>
      <c r="F96" s="21">
        <v>0</v>
      </c>
      <c r="G96" s="21">
        <v>0.1</v>
      </c>
      <c r="H96" s="21">
        <v>0</v>
      </c>
      <c r="I96" s="21">
        <v>0.1</v>
      </c>
      <c r="J96" s="21">
        <v>0</v>
      </c>
      <c r="K96" s="21">
        <v>0</v>
      </c>
      <c r="L96" s="21">
        <v>30.11</v>
      </c>
      <c r="M96" s="21">
        <v>26.24</v>
      </c>
      <c r="N96" s="23">
        <v>0.87147127200265595</v>
      </c>
      <c r="O96" s="23">
        <v>0.87815704628300895</v>
      </c>
      <c r="P96" s="23">
        <v>0.86991204716985004</v>
      </c>
      <c r="Q96" s="23">
        <v>0.86776405905652998</v>
      </c>
      <c r="R96" s="21">
        <v>26.441308663581399</v>
      </c>
      <c r="S96" s="21">
        <v>26.176262087459101</v>
      </c>
      <c r="T96" s="21">
        <v>26.123913950999398</v>
      </c>
      <c r="U96" s="22">
        <v>7.64254527960701E-3</v>
      </c>
      <c r="V96" s="22">
        <v>-2.4319911957762998E-3</v>
      </c>
      <c r="W96" s="22">
        <v>-4.4338259086293798E-3</v>
      </c>
      <c r="X96" s="23">
        <v>0.87147127200265595</v>
      </c>
      <c r="Y96" s="23">
        <v>0.87815704628300895</v>
      </c>
      <c r="Z96" s="23">
        <v>0.86991204716985004</v>
      </c>
      <c r="AA96" s="23">
        <v>0.86776405905652998</v>
      </c>
      <c r="AB96" s="21">
        <v>26.441308663581399</v>
      </c>
      <c r="AC96" s="21">
        <v>26.176262087459101</v>
      </c>
      <c r="AD96" s="21">
        <v>26.123913950999398</v>
      </c>
      <c r="AE96" s="22">
        <v>7.64254527960701E-3</v>
      </c>
      <c r="AF96" s="22">
        <v>-2.4319911957762998E-3</v>
      </c>
      <c r="AG96" s="22">
        <v>-4.4338259086293798E-3</v>
      </c>
      <c r="AZ96" s="17"/>
      <c r="BB96">
        <f t="shared" si="26"/>
        <v>0</v>
      </c>
      <c r="BC96">
        <f t="shared" si="27"/>
        <v>0</v>
      </c>
      <c r="BD96">
        <f t="shared" si="28"/>
        <v>0</v>
      </c>
      <c r="BE96">
        <f t="shared" si="24"/>
        <v>1</v>
      </c>
      <c r="BF96">
        <f t="shared" si="29"/>
        <v>0</v>
      </c>
      <c r="BG96" s="17">
        <f t="shared" si="30"/>
        <v>0</v>
      </c>
      <c r="BH96" s="17">
        <f t="shared" si="31"/>
        <v>0</v>
      </c>
      <c r="BI96" s="17">
        <f t="shared" si="32"/>
        <v>0</v>
      </c>
      <c r="BJ96" s="11">
        <f t="shared" si="33"/>
        <v>1.215524029734778E-2</v>
      </c>
      <c r="BL96" s="17"/>
      <c r="BN96">
        <f t="shared" si="34"/>
        <v>0</v>
      </c>
      <c r="BO96">
        <f t="shared" si="35"/>
        <v>1</v>
      </c>
      <c r="BP96">
        <f t="shared" si="36"/>
        <v>0</v>
      </c>
      <c r="BQ96">
        <f t="shared" si="25"/>
        <v>1</v>
      </c>
      <c r="BR96">
        <f t="shared" si="37"/>
        <v>0</v>
      </c>
      <c r="BS96" s="17">
        <f t="shared" si="38"/>
        <v>0</v>
      </c>
      <c r="BT96" s="17">
        <f t="shared" si="39"/>
        <v>0</v>
      </c>
      <c r="BU96" s="17">
        <f t="shared" si="40"/>
        <v>0</v>
      </c>
      <c r="BV96" s="11">
        <f t="shared" si="41"/>
        <v>-9.9217261894517742E-3</v>
      </c>
      <c r="BX96" s="11">
        <f t="shared" si="42"/>
        <v>0</v>
      </c>
      <c r="BY96" s="11">
        <f t="shared" si="43"/>
        <v>2.2335141078960053E-3</v>
      </c>
    </row>
    <row r="97" spans="1:77" x14ac:dyDescent="0.3">
      <c r="A97" s="1">
        <v>46162</v>
      </c>
      <c r="B97" s="21">
        <v>29.7</v>
      </c>
      <c r="C97" s="21">
        <v>25.77</v>
      </c>
      <c r="D97" s="22">
        <v>-1.37102966849885E-2</v>
      </c>
      <c r="E97" s="22">
        <v>-1.80739394116145E-2</v>
      </c>
      <c r="F97" s="21">
        <v>0</v>
      </c>
      <c r="G97" s="21">
        <v>0.1</v>
      </c>
      <c r="H97" s="21">
        <v>0</v>
      </c>
      <c r="I97" s="21">
        <v>0.1</v>
      </c>
      <c r="J97" s="21">
        <v>0</v>
      </c>
      <c r="K97" s="21">
        <v>0</v>
      </c>
      <c r="L97" s="21">
        <v>29.7</v>
      </c>
      <c r="M97" s="21">
        <v>25.77</v>
      </c>
      <c r="N97" s="23">
        <v>0.86767676767676705</v>
      </c>
      <c r="O97" s="23">
        <v>0.87815704628300895</v>
      </c>
      <c r="P97" s="23">
        <v>0.87001085195605099</v>
      </c>
      <c r="Q97" s="23">
        <v>0.86780046738181305</v>
      </c>
      <c r="R97" s="21">
        <v>26.081264274605299</v>
      </c>
      <c r="S97" s="21">
        <v>25.8363878009445</v>
      </c>
      <c r="T97" s="21">
        <v>25.7725925539789</v>
      </c>
      <c r="U97" s="22">
        <v>1.2006188006232901E-2</v>
      </c>
      <c r="V97" s="22">
        <v>2.5728534933393602E-3</v>
      </c>
      <c r="W97" s="22">
        <v>1.00598509026452E-4</v>
      </c>
      <c r="X97" s="23">
        <v>0.86767676767676705</v>
      </c>
      <c r="Y97" s="23">
        <v>0.87815704628300895</v>
      </c>
      <c r="Z97" s="23">
        <v>0.87001085195605099</v>
      </c>
      <c r="AA97" s="23">
        <v>0.86780046738181305</v>
      </c>
      <c r="AB97" s="21">
        <v>26.081264274605299</v>
      </c>
      <c r="AC97" s="21">
        <v>25.8363878009445</v>
      </c>
      <c r="AD97" s="21">
        <v>25.7725925539789</v>
      </c>
      <c r="AE97" s="22">
        <v>1.2006188006232901E-2</v>
      </c>
      <c r="AF97" s="22">
        <v>2.5728534933393602E-3</v>
      </c>
      <c r="AG97" s="22">
        <v>1.00598509026452E-4</v>
      </c>
      <c r="AZ97" s="17"/>
      <c r="BB97">
        <f t="shared" si="26"/>
        <v>0</v>
      </c>
      <c r="BC97">
        <f t="shared" si="27"/>
        <v>1</v>
      </c>
      <c r="BD97">
        <f t="shared" si="28"/>
        <v>0</v>
      </c>
      <c r="BE97">
        <f t="shared" si="24"/>
        <v>1</v>
      </c>
      <c r="BF97">
        <f t="shared" si="29"/>
        <v>0</v>
      </c>
      <c r="BG97" s="17">
        <f t="shared" si="30"/>
        <v>0</v>
      </c>
      <c r="BH97" s="17">
        <f t="shared" si="31"/>
        <v>0</v>
      </c>
      <c r="BI97" s="17">
        <f t="shared" si="32"/>
        <v>0</v>
      </c>
      <c r="BJ97" s="11">
        <f t="shared" si="33"/>
        <v>1.215524029734778E-2</v>
      </c>
      <c r="BL97" s="17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17">
        <f t="shared" si="38"/>
        <v>0</v>
      </c>
      <c r="BT97" s="17">
        <f t="shared" si="39"/>
        <v>0</v>
      </c>
      <c r="BU97" s="17">
        <f t="shared" si="40"/>
        <v>0</v>
      </c>
      <c r="BV97" s="11">
        <f t="shared" si="41"/>
        <v>-9.9217261894517742E-3</v>
      </c>
      <c r="BX97" s="11">
        <f t="shared" si="42"/>
        <v>0</v>
      </c>
      <c r="BY97" s="11">
        <f t="shared" si="43"/>
        <v>2.2335141078960053E-3</v>
      </c>
    </row>
    <row r="98" spans="1:77" x14ac:dyDescent="0.3">
      <c r="A98" s="1">
        <v>46163</v>
      </c>
      <c r="B98" s="21">
        <v>30.08</v>
      </c>
      <c r="C98" s="21">
        <v>26.26</v>
      </c>
      <c r="D98" s="22">
        <v>1.2713453272985099E-2</v>
      </c>
      <c r="E98" s="22">
        <v>1.8835844210376401E-2</v>
      </c>
      <c r="F98" s="21">
        <v>0</v>
      </c>
      <c r="G98" s="21">
        <v>0.1</v>
      </c>
      <c r="H98" s="21">
        <v>0</v>
      </c>
      <c r="I98" s="21">
        <v>0.1</v>
      </c>
      <c r="J98" s="21">
        <v>0</v>
      </c>
      <c r="K98" s="21">
        <v>0</v>
      </c>
      <c r="L98" s="21">
        <v>30.08</v>
      </c>
      <c r="M98" s="21">
        <v>26.26</v>
      </c>
      <c r="N98" s="23">
        <v>0.87300531914893598</v>
      </c>
      <c r="O98" s="23">
        <v>0.87815704628300895</v>
      </c>
      <c r="P98" s="23">
        <v>0.86966146490822205</v>
      </c>
      <c r="Q98" s="23">
        <v>0.86817770702346997</v>
      </c>
      <c r="R98" s="21">
        <v>26.414963952192899</v>
      </c>
      <c r="S98" s="21">
        <v>26.169926426838</v>
      </c>
      <c r="T98" s="21">
        <v>26.103438058844901</v>
      </c>
      <c r="U98" s="22">
        <v>5.8837970688415597E-3</v>
      </c>
      <c r="V98" s="22">
        <v>-3.43596369160913E-3</v>
      </c>
      <c r="W98" s="22">
        <v>-5.9798368286352399E-3</v>
      </c>
      <c r="X98" s="23">
        <v>0.87300531914893598</v>
      </c>
      <c r="Y98" s="23">
        <v>0.87815704628300895</v>
      </c>
      <c r="Z98" s="23">
        <v>0.86966146490822205</v>
      </c>
      <c r="AA98" s="23">
        <v>0.86817770702346997</v>
      </c>
      <c r="AB98" s="21">
        <v>26.414963952192899</v>
      </c>
      <c r="AC98" s="21">
        <v>26.169926426838</v>
      </c>
      <c r="AD98" s="21">
        <v>26.103438058844901</v>
      </c>
      <c r="AE98" s="22">
        <v>5.8837970688415597E-3</v>
      </c>
      <c r="AF98" s="22">
        <v>-3.43596369160913E-3</v>
      </c>
      <c r="AG98" s="22">
        <v>-5.9798368286352399E-3</v>
      </c>
      <c r="AZ98" s="17"/>
      <c r="BB98">
        <f t="shared" si="26"/>
        <v>0</v>
      </c>
      <c r="BC98">
        <f t="shared" si="27"/>
        <v>0</v>
      </c>
      <c r="BD98">
        <f t="shared" si="28"/>
        <v>0</v>
      </c>
      <c r="BE98">
        <f t="shared" si="24"/>
        <v>1</v>
      </c>
      <c r="BF98">
        <f t="shared" si="29"/>
        <v>0</v>
      </c>
      <c r="BG98" s="17">
        <f t="shared" si="30"/>
        <v>0</v>
      </c>
      <c r="BH98" s="17">
        <f t="shared" si="31"/>
        <v>0</v>
      </c>
      <c r="BI98" s="17">
        <f t="shared" si="32"/>
        <v>0</v>
      </c>
      <c r="BJ98" s="11">
        <f t="shared" si="33"/>
        <v>1.215524029734778E-2</v>
      </c>
      <c r="BL98" s="17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17">
        <f t="shared" si="38"/>
        <v>0</v>
      </c>
      <c r="BT98" s="17">
        <f t="shared" si="39"/>
        <v>0</v>
      </c>
      <c r="BU98" s="17">
        <f t="shared" si="40"/>
        <v>0</v>
      </c>
      <c r="BV98" s="11">
        <f t="shared" si="41"/>
        <v>-9.9217261894517742E-3</v>
      </c>
      <c r="BX98" s="11">
        <f t="shared" si="42"/>
        <v>0</v>
      </c>
      <c r="BY98" s="11">
        <f t="shared" si="43"/>
        <v>2.2335141078960053E-3</v>
      </c>
    </row>
    <row r="99" spans="1:77" x14ac:dyDescent="0.3">
      <c r="A99" s="1">
        <v>46164</v>
      </c>
      <c r="B99" s="21">
        <v>29.68</v>
      </c>
      <c r="C99" s="21">
        <v>25.89</v>
      </c>
      <c r="D99" s="22">
        <v>-1.3387080782459201E-2</v>
      </c>
      <c r="E99" s="22">
        <v>-1.41900751112039E-2</v>
      </c>
      <c r="F99" s="21">
        <v>0</v>
      </c>
      <c r="G99" s="21">
        <v>0.1</v>
      </c>
      <c r="H99" s="21">
        <v>0</v>
      </c>
      <c r="I99" s="21">
        <v>0.1</v>
      </c>
      <c r="J99" s="21">
        <v>0</v>
      </c>
      <c r="K99" s="21">
        <v>0</v>
      </c>
      <c r="L99" s="21">
        <v>29.68</v>
      </c>
      <c r="M99" s="21">
        <v>25.89</v>
      </c>
      <c r="N99" s="23">
        <v>0.87230458221024199</v>
      </c>
      <c r="O99" s="23">
        <v>0.87815704628300895</v>
      </c>
      <c r="P99" s="23">
        <v>0.87059361587916695</v>
      </c>
      <c r="Q99" s="23">
        <v>0.86847283031387601</v>
      </c>
      <c r="R99" s="21">
        <v>26.0637011336797</v>
      </c>
      <c r="S99" s="21">
        <v>25.811552278476</v>
      </c>
      <c r="T99" s="21">
        <v>25.7675143444566</v>
      </c>
      <c r="U99" s="22">
        <v>6.6867913975861603E-3</v>
      </c>
      <c r="V99" s="22">
        <v>-3.0346393200626101E-3</v>
      </c>
      <c r="W99" s="22">
        <v>-4.7422291468462103E-3</v>
      </c>
      <c r="X99" s="23">
        <v>0.87230458221024199</v>
      </c>
      <c r="Y99" s="23">
        <v>0.87815704628300895</v>
      </c>
      <c r="Z99" s="23">
        <v>0.87059361587916695</v>
      </c>
      <c r="AA99" s="23">
        <v>0.86847283031387601</v>
      </c>
      <c r="AB99" s="21">
        <v>26.0637011336797</v>
      </c>
      <c r="AC99" s="21">
        <v>25.811552278476</v>
      </c>
      <c r="AD99" s="21">
        <v>25.7675143444566</v>
      </c>
      <c r="AE99" s="22">
        <v>6.6867913975861603E-3</v>
      </c>
      <c r="AF99" s="22">
        <v>-3.0346393200626101E-3</v>
      </c>
      <c r="AG99" s="22">
        <v>-4.7422291468462103E-3</v>
      </c>
      <c r="AZ99" s="17"/>
      <c r="BB99">
        <f t="shared" si="26"/>
        <v>0</v>
      </c>
      <c r="BC99">
        <f t="shared" si="27"/>
        <v>0</v>
      </c>
      <c r="BD99">
        <f t="shared" si="28"/>
        <v>0</v>
      </c>
      <c r="BE99">
        <f t="shared" si="24"/>
        <v>1</v>
      </c>
      <c r="BF99">
        <f t="shared" si="29"/>
        <v>0</v>
      </c>
      <c r="BG99" s="17">
        <f t="shared" si="30"/>
        <v>0</v>
      </c>
      <c r="BH99" s="17">
        <f t="shared" si="31"/>
        <v>0</v>
      </c>
      <c r="BI99" s="17">
        <f t="shared" si="32"/>
        <v>0</v>
      </c>
      <c r="BJ99" s="11">
        <f t="shared" si="33"/>
        <v>1.215524029734778E-2</v>
      </c>
      <c r="BL99" s="17"/>
      <c r="BN99">
        <f t="shared" si="34"/>
        <v>0</v>
      </c>
      <c r="BO99">
        <f t="shared" si="35"/>
        <v>1</v>
      </c>
      <c r="BP99">
        <f t="shared" si="36"/>
        <v>0</v>
      </c>
      <c r="BQ99">
        <f t="shared" si="25"/>
        <v>1</v>
      </c>
      <c r="BR99">
        <f t="shared" si="37"/>
        <v>0</v>
      </c>
      <c r="BS99" s="17">
        <f t="shared" si="38"/>
        <v>0</v>
      </c>
      <c r="BT99" s="17">
        <f t="shared" si="39"/>
        <v>0</v>
      </c>
      <c r="BU99" s="17">
        <f t="shared" si="40"/>
        <v>0</v>
      </c>
      <c r="BV99" s="11">
        <f t="shared" si="41"/>
        <v>-9.9217261894517742E-3</v>
      </c>
      <c r="BX99" s="11">
        <f t="shared" si="42"/>
        <v>0</v>
      </c>
      <c r="BY99" s="11">
        <f t="shared" si="43"/>
        <v>2.2335141078960053E-3</v>
      </c>
    </row>
    <row r="100" spans="1:77" x14ac:dyDescent="0.3">
      <c r="A100" s="1">
        <v>46168</v>
      </c>
      <c r="B100" s="21">
        <v>29.95</v>
      </c>
      <c r="C100" s="21">
        <v>26.2</v>
      </c>
      <c r="D100" s="22">
        <v>9.0559062622787394E-3</v>
      </c>
      <c r="E100" s="22">
        <v>1.1902617003604701E-2</v>
      </c>
      <c r="F100" s="21">
        <v>0</v>
      </c>
      <c r="G100" s="21">
        <v>0.1</v>
      </c>
      <c r="H100" s="21">
        <v>0</v>
      </c>
      <c r="I100" s="21">
        <v>0.1</v>
      </c>
      <c r="J100" s="21">
        <v>0</v>
      </c>
      <c r="K100" s="21">
        <v>0</v>
      </c>
      <c r="L100" s="21">
        <v>29.95</v>
      </c>
      <c r="M100" s="21">
        <v>26.2</v>
      </c>
      <c r="N100" s="23">
        <v>0.87479131886477401</v>
      </c>
      <c r="O100" s="23">
        <v>0.87815704628300895</v>
      </c>
      <c r="P100" s="23">
        <v>0.87141891395107896</v>
      </c>
      <c r="Q100" s="23">
        <v>0.86898817367118997</v>
      </c>
      <c r="R100" s="21">
        <v>26.300803536176101</v>
      </c>
      <c r="S100" s="21">
        <v>26.074278795581002</v>
      </c>
      <c r="T100" s="21">
        <v>26.010761267900602</v>
      </c>
      <c r="U100" s="22">
        <v>3.84008065625997E-3</v>
      </c>
      <c r="V100" s="22">
        <v>-4.8100691090922597E-3</v>
      </c>
      <c r="W100" s="22">
        <v>-7.2490634571895397E-3</v>
      </c>
      <c r="X100" s="23">
        <v>0.87479131886477401</v>
      </c>
      <c r="Y100" s="23">
        <v>0.87815704628300895</v>
      </c>
      <c r="Z100" s="23">
        <v>0.87141891395107896</v>
      </c>
      <c r="AA100" s="23">
        <v>0.86898817367118997</v>
      </c>
      <c r="AB100" s="21">
        <v>26.300803536176101</v>
      </c>
      <c r="AC100" s="21">
        <v>26.074278795581002</v>
      </c>
      <c r="AD100" s="21">
        <v>26.010761267900602</v>
      </c>
      <c r="AE100" s="22">
        <v>3.84008065625997E-3</v>
      </c>
      <c r="AF100" s="22">
        <v>-4.8100691090922597E-3</v>
      </c>
      <c r="AG100" s="22">
        <v>-7.2490634571895397E-3</v>
      </c>
      <c r="AZ100" s="17"/>
      <c r="BB100">
        <f t="shared" si="26"/>
        <v>0</v>
      </c>
      <c r="BC100">
        <f t="shared" si="27"/>
        <v>0</v>
      </c>
      <c r="BD100">
        <f t="shared" si="28"/>
        <v>0</v>
      </c>
      <c r="BE100">
        <f t="shared" si="24"/>
        <v>1</v>
      </c>
      <c r="BF100">
        <f t="shared" si="29"/>
        <v>0</v>
      </c>
      <c r="BG100" s="17">
        <f t="shared" si="30"/>
        <v>0</v>
      </c>
      <c r="BH100" s="17">
        <f t="shared" si="31"/>
        <v>0</v>
      </c>
      <c r="BI100" s="17">
        <f t="shared" si="32"/>
        <v>0</v>
      </c>
      <c r="BJ100" s="11">
        <f t="shared" si="33"/>
        <v>1.215524029734778E-2</v>
      </c>
      <c r="BL100" s="17"/>
      <c r="BN100">
        <f t="shared" si="34"/>
        <v>0</v>
      </c>
      <c r="BO100">
        <f t="shared" si="35"/>
        <v>1</v>
      </c>
      <c r="BP100">
        <f t="shared" si="36"/>
        <v>0</v>
      </c>
      <c r="BQ100">
        <f t="shared" si="25"/>
        <v>1</v>
      </c>
      <c r="BR100">
        <f t="shared" si="37"/>
        <v>0</v>
      </c>
      <c r="BS100" s="17">
        <f t="shared" si="38"/>
        <v>0</v>
      </c>
      <c r="BT100" s="17">
        <f t="shared" si="39"/>
        <v>0</v>
      </c>
      <c r="BU100" s="17">
        <f t="shared" si="40"/>
        <v>0</v>
      </c>
      <c r="BV100" s="11">
        <f t="shared" si="41"/>
        <v>-9.9217261894517742E-3</v>
      </c>
      <c r="BX100" s="11">
        <f t="shared" si="42"/>
        <v>0</v>
      </c>
      <c r="BY100" s="11">
        <f t="shared" si="43"/>
        <v>2.2335141078960053E-3</v>
      </c>
    </row>
    <row r="101" spans="1:77" x14ac:dyDescent="0.3">
      <c r="A101" s="1">
        <v>46169</v>
      </c>
      <c r="B101" s="21">
        <v>30.47</v>
      </c>
      <c r="C101" s="21">
        <v>26.61</v>
      </c>
      <c r="D101" s="22">
        <v>1.7213268436159199E-2</v>
      </c>
      <c r="E101" s="22">
        <v>1.5527674222546599E-2</v>
      </c>
      <c r="F101" s="21">
        <v>0</v>
      </c>
      <c r="G101" s="21">
        <v>0.1</v>
      </c>
      <c r="H101" s="21">
        <v>0</v>
      </c>
      <c r="I101" s="21">
        <v>0.1</v>
      </c>
      <c r="J101" s="21">
        <v>0</v>
      </c>
      <c r="K101" s="21">
        <v>0</v>
      </c>
      <c r="L101" s="21">
        <v>30.47</v>
      </c>
      <c r="M101" s="21">
        <v>26.61</v>
      </c>
      <c r="N101" s="23">
        <v>0.87331801772234896</v>
      </c>
      <c r="O101" s="23">
        <v>0.87815704628300895</v>
      </c>
      <c r="P101" s="23">
        <v>0.87147679267168598</v>
      </c>
      <c r="Q101" s="23">
        <v>0.86925659612333295</v>
      </c>
      <c r="R101" s="21">
        <v>26.7574452002432</v>
      </c>
      <c r="S101" s="21">
        <v>26.5521343080893</v>
      </c>
      <c r="T101" s="21">
        <v>26.4780696517611</v>
      </c>
      <c r="U101" s="22">
        <v>5.5256748698726196E-3</v>
      </c>
      <c r="V101" s="22">
        <v>-2.17695228065804E-3</v>
      </c>
      <c r="W101" s="22">
        <v>-4.9702549253912501E-3</v>
      </c>
      <c r="X101" s="23">
        <v>0.87331801772234896</v>
      </c>
      <c r="Y101" s="23">
        <v>0.87815704628300895</v>
      </c>
      <c r="Z101" s="23">
        <v>0.87147679267168598</v>
      </c>
      <c r="AA101" s="23">
        <v>0.86925659612333295</v>
      </c>
      <c r="AB101" s="21">
        <v>26.7574452002432</v>
      </c>
      <c r="AC101" s="21">
        <v>26.5521343080893</v>
      </c>
      <c r="AD101" s="21">
        <v>26.4780696517611</v>
      </c>
      <c r="AE101" s="22">
        <v>5.5256748698726196E-3</v>
      </c>
      <c r="AF101" s="22">
        <v>-2.17695228065804E-3</v>
      </c>
      <c r="AG101" s="22">
        <v>-4.9702549253912501E-3</v>
      </c>
      <c r="AZ101" s="17"/>
      <c r="BB101">
        <f t="shared" si="26"/>
        <v>0</v>
      </c>
      <c r="BC101">
        <f t="shared" si="27"/>
        <v>0</v>
      </c>
      <c r="BD101">
        <f t="shared" si="28"/>
        <v>0</v>
      </c>
      <c r="BE101">
        <f t="shared" si="24"/>
        <v>1</v>
      </c>
      <c r="BF101">
        <f t="shared" si="29"/>
        <v>0</v>
      </c>
      <c r="BG101" s="17">
        <f t="shared" si="30"/>
        <v>0</v>
      </c>
      <c r="BH101" s="17">
        <f t="shared" si="31"/>
        <v>0</v>
      </c>
      <c r="BI101" s="17">
        <f t="shared" si="32"/>
        <v>0</v>
      </c>
      <c r="BJ101" s="11">
        <f t="shared" si="33"/>
        <v>1.215524029734778E-2</v>
      </c>
      <c r="BL101" s="17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17">
        <f t="shared" si="38"/>
        <v>0</v>
      </c>
      <c r="BT101" s="17">
        <f t="shared" si="39"/>
        <v>0</v>
      </c>
      <c r="BU101" s="17">
        <f t="shared" si="40"/>
        <v>0</v>
      </c>
      <c r="BV101" s="11">
        <f t="shared" si="41"/>
        <v>-9.9217261894517742E-3</v>
      </c>
      <c r="BX101" s="11">
        <f t="shared" si="42"/>
        <v>0</v>
      </c>
      <c r="BY101" s="11">
        <f t="shared" si="43"/>
        <v>2.2335141078960053E-3</v>
      </c>
    </row>
    <row r="102" spans="1:77" x14ac:dyDescent="0.3">
      <c r="A102" s="1">
        <v>46170</v>
      </c>
      <c r="B102" s="21">
        <v>30.34</v>
      </c>
      <c r="C102" s="21">
        <v>26.52</v>
      </c>
      <c r="D102" s="22">
        <v>-4.2756190772315003E-3</v>
      </c>
      <c r="E102" s="22">
        <v>-3.387919671936E-3</v>
      </c>
      <c r="F102" s="21">
        <v>0</v>
      </c>
      <c r="G102" s="21">
        <v>0.1</v>
      </c>
      <c r="H102" s="21">
        <v>0</v>
      </c>
      <c r="I102" s="21">
        <v>0.1</v>
      </c>
      <c r="J102" s="21">
        <v>0</v>
      </c>
      <c r="K102" s="21">
        <v>0</v>
      </c>
      <c r="L102" s="21">
        <v>30.34</v>
      </c>
      <c r="M102" s="21">
        <v>26.52</v>
      </c>
      <c r="N102" s="23">
        <v>0.87409360580092199</v>
      </c>
      <c r="O102" s="23">
        <v>0.87815704628300895</v>
      </c>
      <c r="P102" s="23">
        <v>0.87198915194799698</v>
      </c>
      <c r="Q102" s="23">
        <v>0.86958937558693306</v>
      </c>
      <c r="R102" s="21">
        <v>26.643284784226498</v>
      </c>
      <c r="S102" s="21">
        <v>26.440605889658901</v>
      </c>
      <c r="T102" s="21">
        <v>26.373245126381899</v>
      </c>
      <c r="U102" s="22">
        <v>4.6379754645772802E-3</v>
      </c>
      <c r="V102" s="22">
        <v>-2.9982349515401499E-3</v>
      </c>
      <c r="W102" s="22">
        <v>-5.5491112276430197E-3</v>
      </c>
      <c r="X102" s="23">
        <v>0.87409360580092199</v>
      </c>
      <c r="Y102" s="23">
        <v>0.87815704628300895</v>
      </c>
      <c r="Z102" s="23">
        <v>0.87198915194799698</v>
      </c>
      <c r="AA102" s="23">
        <v>0.86958937558693306</v>
      </c>
      <c r="AB102" s="21">
        <v>26.643284784226498</v>
      </c>
      <c r="AC102" s="21">
        <v>26.440605889658901</v>
      </c>
      <c r="AD102" s="21">
        <v>26.373245126381899</v>
      </c>
      <c r="AE102" s="22">
        <v>4.6379754645772802E-3</v>
      </c>
      <c r="AF102" s="22">
        <v>-2.9982349515401499E-3</v>
      </c>
      <c r="AG102" s="22">
        <v>-5.5491112276430197E-3</v>
      </c>
      <c r="AZ102" s="17"/>
      <c r="BB102">
        <f t="shared" si="26"/>
        <v>0</v>
      </c>
      <c r="BC102">
        <f t="shared" si="27"/>
        <v>0</v>
      </c>
      <c r="BD102">
        <f t="shared" si="28"/>
        <v>0</v>
      </c>
      <c r="BE102">
        <f t="shared" si="24"/>
        <v>1</v>
      </c>
      <c r="BF102">
        <f t="shared" si="29"/>
        <v>0</v>
      </c>
      <c r="BG102" s="17">
        <f t="shared" si="30"/>
        <v>0</v>
      </c>
      <c r="BH102" s="17">
        <f t="shared" si="31"/>
        <v>0</v>
      </c>
      <c r="BI102" s="17">
        <f t="shared" si="32"/>
        <v>0</v>
      </c>
      <c r="BJ102" s="11">
        <f t="shared" si="33"/>
        <v>1.215524029734778E-2</v>
      </c>
      <c r="BL102" s="17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17">
        <f t="shared" si="38"/>
        <v>0</v>
      </c>
      <c r="BT102" s="17">
        <f t="shared" si="39"/>
        <v>0</v>
      </c>
      <c r="BU102" s="17">
        <f t="shared" si="40"/>
        <v>0</v>
      </c>
      <c r="BV102" s="11">
        <f t="shared" si="41"/>
        <v>-9.9217261894517742E-3</v>
      </c>
      <c r="BX102" s="11">
        <f t="shared" si="42"/>
        <v>0</v>
      </c>
      <c r="BY102" s="11">
        <f t="shared" si="43"/>
        <v>2.2335141078960053E-3</v>
      </c>
    </row>
    <row r="103" spans="1:77" x14ac:dyDescent="0.3">
      <c r="A103" s="1">
        <v>46171</v>
      </c>
      <c r="B103" s="21">
        <v>29.82</v>
      </c>
      <c r="C103" s="21">
        <v>26.1</v>
      </c>
      <c r="D103" s="22">
        <v>-1.7287664583793699E-2</v>
      </c>
      <c r="E103" s="22">
        <v>-1.59638509890139E-2</v>
      </c>
      <c r="F103" s="21">
        <v>0</v>
      </c>
      <c r="G103" s="21">
        <v>0.1</v>
      </c>
      <c r="H103" s="21">
        <v>0</v>
      </c>
      <c r="I103" s="21">
        <v>0.1</v>
      </c>
      <c r="J103" s="21">
        <v>0</v>
      </c>
      <c r="K103" s="21">
        <v>0</v>
      </c>
      <c r="L103" s="21">
        <v>29.82</v>
      </c>
      <c r="M103" s="21">
        <v>26.1</v>
      </c>
      <c r="N103" s="23">
        <v>0.87525150905432603</v>
      </c>
      <c r="O103" s="23">
        <v>0.87815704628300895</v>
      </c>
      <c r="P103" s="23">
        <v>0.872247015619387</v>
      </c>
      <c r="Q103" s="23">
        <v>0.87017609802127704</v>
      </c>
      <c r="R103" s="21">
        <v>26.1866431201593</v>
      </c>
      <c r="S103" s="21">
        <v>26.002716511089201</v>
      </c>
      <c r="T103" s="21">
        <v>25.9311551800023</v>
      </c>
      <c r="U103" s="22">
        <v>3.3141618697973001E-3</v>
      </c>
      <c r="V103" s="22">
        <v>-3.7343005692036901E-3</v>
      </c>
      <c r="W103" s="22">
        <v>-6.4901658281511301E-3</v>
      </c>
      <c r="X103" s="23">
        <v>0.87525150905432603</v>
      </c>
      <c r="Y103" s="23">
        <v>0.87815704628300895</v>
      </c>
      <c r="Z103" s="23">
        <v>0.872247015619387</v>
      </c>
      <c r="AA103" s="23">
        <v>0.87017609802127704</v>
      </c>
      <c r="AB103" s="21">
        <v>26.1866431201593</v>
      </c>
      <c r="AC103" s="21">
        <v>26.002716511089201</v>
      </c>
      <c r="AD103" s="21">
        <v>25.9311551800023</v>
      </c>
      <c r="AE103" s="22">
        <v>3.3141618697973001E-3</v>
      </c>
      <c r="AF103" s="22">
        <v>-3.7343005692036901E-3</v>
      </c>
      <c r="AG103" s="22">
        <v>-6.4901658281511301E-3</v>
      </c>
      <c r="AZ103" s="17"/>
      <c r="BB103">
        <f t="shared" si="26"/>
        <v>0</v>
      </c>
      <c r="BC103">
        <f t="shared" si="27"/>
        <v>0</v>
      </c>
      <c r="BD103">
        <f t="shared" si="28"/>
        <v>0</v>
      </c>
      <c r="BE103">
        <f t="shared" si="24"/>
        <v>1</v>
      </c>
      <c r="BF103">
        <f t="shared" si="29"/>
        <v>0</v>
      </c>
      <c r="BG103" s="17">
        <f t="shared" si="30"/>
        <v>0</v>
      </c>
      <c r="BH103" s="17">
        <f t="shared" si="31"/>
        <v>0</v>
      </c>
      <c r="BI103" s="17">
        <f t="shared" si="32"/>
        <v>0</v>
      </c>
      <c r="BJ103" s="11">
        <f t="shared" si="33"/>
        <v>1.215524029734778E-2</v>
      </c>
      <c r="BL103" s="17"/>
      <c r="BN103">
        <f t="shared" si="34"/>
        <v>0</v>
      </c>
      <c r="BO103">
        <f t="shared" si="35"/>
        <v>1</v>
      </c>
      <c r="BP103">
        <f t="shared" si="36"/>
        <v>0</v>
      </c>
      <c r="BQ103">
        <f t="shared" si="25"/>
        <v>1</v>
      </c>
      <c r="BR103">
        <f t="shared" si="37"/>
        <v>0</v>
      </c>
      <c r="BS103" s="17">
        <f t="shared" si="38"/>
        <v>0</v>
      </c>
      <c r="BT103" s="17">
        <f t="shared" si="39"/>
        <v>0</v>
      </c>
      <c r="BU103" s="17">
        <f t="shared" si="40"/>
        <v>0</v>
      </c>
      <c r="BV103" s="11">
        <f t="shared" si="41"/>
        <v>-9.9217261894517742E-3</v>
      </c>
      <c r="BX103" s="11">
        <f t="shared" si="42"/>
        <v>0</v>
      </c>
      <c r="BY103" s="11">
        <f t="shared" si="43"/>
        <v>2.2335141078960053E-3</v>
      </c>
    </row>
    <row r="104" spans="1:77" x14ac:dyDescent="0.3">
      <c r="A104" s="1">
        <v>46174</v>
      </c>
      <c r="B104" s="21">
        <v>30.68</v>
      </c>
      <c r="C104" s="21">
        <v>26.8</v>
      </c>
      <c r="D104" s="22">
        <v>2.8431667162462999E-2</v>
      </c>
      <c r="E104" s="22">
        <v>2.64665731881632E-2</v>
      </c>
      <c r="F104" s="21">
        <v>0</v>
      </c>
      <c r="G104" s="21">
        <v>0.1</v>
      </c>
      <c r="H104" s="21">
        <v>0</v>
      </c>
      <c r="I104" s="21">
        <v>0.1</v>
      </c>
      <c r="J104" s="21">
        <v>0</v>
      </c>
      <c r="K104" s="21">
        <v>0</v>
      </c>
      <c r="L104" s="21">
        <v>30.68</v>
      </c>
      <c r="M104" s="21">
        <v>26.8</v>
      </c>
      <c r="N104" s="23">
        <v>0.87353324641460195</v>
      </c>
      <c r="O104" s="23">
        <v>0.87815704628300895</v>
      </c>
      <c r="P104" s="23">
        <v>0.87244499392594499</v>
      </c>
      <c r="Q104" s="23">
        <v>0.87070905761264095</v>
      </c>
      <c r="R104" s="21">
        <v>26.941858179962701</v>
      </c>
      <c r="S104" s="21">
        <v>26.760538439202801</v>
      </c>
      <c r="T104" s="21">
        <v>26.697002687292699</v>
      </c>
      <c r="U104" s="22">
        <v>5.2792558440972401E-3</v>
      </c>
      <c r="V104" s="22">
        <v>-1.4735314127657701E-3</v>
      </c>
      <c r="W104" s="22">
        <v>-3.8505873150014298E-3</v>
      </c>
      <c r="X104" s="23">
        <v>0.87353324641460195</v>
      </c>
      <c r="Y104" s="23">
        <v>0.87815704628300895</v>
      </c>
      <c r="Z104" s="23">
        <v>0.87244499392594499</v>
      </c>
      <c r="AA104" s="23">
        <v>0.87070905761264095</v>
      </c>
      <c r="AB104" s="21">
        <v>26.941858179962701</v>
      </c>
      <c r="AC104" s="21">
        <v>26.760538439202801</v>
      </c>
      <c r="AD104" s="21">
        <v>26.697002687292699</v>
      </c>
      <c r="AE104" s="22">
        <v>5.2792558440972401E-3</v>
      </c>
      <c r="AF104" s="22">
        <v>-1.4735314127657701E-3</v>
      </c>
      <c r="AG104" s="22">
        <v>-3.8505873150014298E-3</v>
      </c>
      <c r="AZ104" s="17"/>
      <c r="BB104">
        <f t="shared" si="26"/>
        <v>0</v>
      </c>
      <c r="BC104">
        <f t="shared" si="27"/>
        <v>0</v>
      </c>
      <c r="BD104">
        <f t="shared" si="28"/>
        <v>0</v>
      </c>
      <c r="BE104">
        <f t="shared" si="24"/>
        <v>1</v>
      </c>
      <c r="BF104">
        <f t="shared" si="29"/>
        <v>0</v>
      </c>
      <c r="BG104" s="17">
        <f t="shared" si="30"/>
        <v>0</v>
      </c>
      <c r="BH104" s="17">
        <f t="shared" si="31"/>
        <v>0</v>
      </c>
      <c r="BI104" s="17">
        <f t="shared" si="32"/>
        <v>0</v>
      </c>
      <c r="BJ104" s="11">
        <f t="shared" si="33"/>
        <v>1.215524029734778E-2</v>
      </c>
      <c r="BL104" s="17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17">
        <f t="shared" si="38"/>
        <v>0</v>
      </c>
      <c r="BT104" s="17">
        <f t="shared" si="39"/>
        <v>0</v>
      </c>
      <c r="BU104" s="17">
        <f t="shared" si="40"/>
        <v>0</v>
      </c>
      <c r="BV104" s="11">
        <f t="shared" si="41"/>
        <v>-9.9217261894517742E-3</v>
      </c>
      <c r="BX104" s="11">
        <f t="shared" si="42"/>
        <v>0</v>
      </c>
      <c r="BY104" s="11">
        <f t="shared" si="43"/>
        <v>2.2335141078960053E-3</v>
      </c>
    </row>
    <row r="105" spans="1:77" x14ac:dyDescent="0.3">
      <c r="A105" s="1">
        <v>46175</v>
      </c>
      <c r="B105" s="21">
        <v>30.18</v>
      </c>
      <c r="C105" s="21">
        <v>26.41</v>
      </c>
      <c r="D105" s="22">
        <v>-1.6431523159352601E-2</v>
      </c>
      <c r="E105" s="22">
        <v>-1.46591612077701E-2</v>
      </c>
      <c r="F105" s="21">
        <v>0</v>
      </c>
      <c r="G105" s="21">
        <v>0.1</v>
      </c>
      <c r="H105" s="21">
        <v>0</v>
      </c>
      <c r="I105" s="21">
        <v>0.1</v>
      </c>
      <c r="J105" s="21">
        <v>0</v>
      </c>
      <c r="K105" s="21">
        <v>0</v>
      </c>
      <c r="L105" s="21">
        <v>30.18</v>
      </c>
      <c r="M105" s="21">
        <v>26.41</v>
      </c>
      <c r="N105" s="23">
        <v>0.87508283631544004</v>
      </c>
      <c r="O105" s="23">
        <v>0.87815704628300895</v>
      </c>
      <c r="P105" s="23">
        <v>0.87305284752110202</v>
      </c>
      <c r="Q105" s="23">
        <v>0.87120364208434897</v>
      </c>
      <c r="R105" s="21">
        <v>26.5027796568212</v>
      </c>
      <c r="S105" s="21">
        <v>26.330389916685</v>
      </c>
      <c r="T105" s="21">
        <v>26.277999358749501</v>
      </c>
      <c r="U105" s="22">
        <v>3.5068938925146799E-3</v>
      </c>
      <c r="V105" s="22">
        <v>-3.01894407321329E-3</v>
      </c>
      <c r="W105" s="22">
        <v>-5.0106634919707899E-3</v>
      </c>
      <c r="X105" s="23">
        <v>0.87508283631544004</v>
      </c>
      <c r="Y105" s="23">
        <v>0.87815704628300895</v>
      </c>
      <c r="Z105" s="23">
        <v>0.87305284752110202</v>
      </c>
      <c r="AA105" s="23">
        <v>0.87120364208434897</v>
      </c>
      <c r="AB105" s="21">
        <v>26.5027796568212</v>
      </c>
      <c r="AC105" s="21">
        <v>26.330389916685</v>
      </c>
      <c r="AD105" s="21">
        <v>26.277999358749501</v>
      </c>
      <c r="AE105" s="22">
        <v>3.5068938925146799E-3</v>
      </c>
      <c r="AF105" s="22">
        <v>-3.01894407321329E-3</v>
      </c>
      <c r="AG105" s="22">
        <v>-5.0106634919707899E-3</v>
      </c>
      <c r="AZ105" s="17"/>
      <c r="BB105">
        <f t="shared" si="26"/>
        <v>0</v>
      </c>
      <c r="BC105">
        <f t="shared" si="27"/>
        <v>0</v>
      </c>
      <c r="BD105">
        <f t="shared" si="28"/>
        <v>0</v>
      </c>
      <c r="BE105">
        <f t="shared" si="24"/>
        <v>1</v>
      </c>
      <c r="BF105">
        <f t="shared" si="29"/>
        <v>0</v>
      </c>
      <c r="BG105" s="17">
        <f t="shared" si="30"/>
        <v>0</v>
      </c>
      <c r="BH105" s="17">
        <f t="shared" si="31"/>
        <v>0</v>
      </c>
      <c r="BI105" s="17">
        <f t="shared" si="32"/>
        <v>0</v>
      </c>
      <c r="BJ105" s="11">
        <f t="shared" si="33"/>
        <v>1.215524029734778E-2</v>
      </c>
      <c r="BL105" s="17"/>
      <c r="BN105">
        <f t="shared" si="34"/>
        <v>0</v>
      </c>
      <c r="BO105">
        <f t="shared" si="35"/>
        <v>1</v>
      </c>
      <c r="BP105">
        <f t="shared" si="36"/>
        <v>0</v>
      </c>
      <c r="BQ105">
        <f t="shared" si="25"/>
        <v>1</v>
      </c>
      <c r="BR105">
        <f t="shared" si="37"/>
        <v>0</v>
      </c>
      <c r="BS105" s="17">
        <f t="shared" si="38"/>
        <v>0</v>
      </c>
      <c r="BT105" s="17">
        <f t="shared" si="39"/>
        <v>0</v>
      </c>
      <c r="BU105" s="17">
        <f t="shared" si="40"/>
        <v>0</v>
      </c>
      <c r="BV105" s="11">
        <f t="shared" si="41"/>
        <v>-9.9217261894517742E-3</v>
      </c>
      <c r="BX105" s="11">
        <f t="shared" si="42"/>
        <v>0</v>
      </c>
      <c r="BY105" s="11">
        <f t="shared" si="43"/>
        <v>2.2335141078960053E-3</v>
      </c>
    </row>
    <row r="106" spans="1:77" x14ac:dyDescent="0.3">
      <c r="A106" s="1">
        <v>46176</v>
      </c>
      <c r="B106" s="21">
        <v>29.82</v>
      </c>
      <c r="C106" s="21">
        <v>26.05</v>
      </c>
      <c r="D106" s="22">
        <v>-1.20001440031104E-2</v>
      </c>
      <c r="E106" s="22">
        <v>-1.37249581096648E-2</v>
      </c>
      <c r="F106" s="21">
        <v>0</v>
      </c>
      <c r="G106" s="21">
        <v>0.1</v>
      </c>
      <c r="H106" s="21">
        <v>0</v>
      </c>
      <c r="I106" s="21">
        <v>0.1</v>
      </c>
      <c r="J106" s="21">
        <v>0</v>
      </c>
      <c r="K106" s="21">
        <v>0</v>
      </c>
      <c r="L106" s="21">
        <v>29.82</v>
      </c>
      <c r="M106" s="21">
        <v>26.05</v>
      </c>
      <c r="N106" s="23">
        <v>0.873574782025486</v>
      </c>
      <c r="O106" s="23">
        <v>0.87815704628300895</v>
      </c>
      <c r="P106" s="23">
        <v>0.87326319852338496</v>
      </c>
      <c r="Q106" s="23">
        <v>0.87158762284661695</v>
      </c>
      <c r="R106" s="21">
        <v>26.1866431201593</v>
      </c>
      <c r="S106" s="21">
        <v>26.0344359130792</v>
      </c>
      <c r="T106" s="21">
        <v>25.979292606955301</v>
      </c>
      <c r="U106" s="22">
        <v>5.2317079990691203E-3</v>
      </c>
      <c r="V106" s="22">
        <v>-5.9764830361149705E-4</v>
      </c>
      <c r="W106" s="22">
        <v>-2.7179856973171702E-3</v>
      </c>
      <c r="X106" s="23">
        <v>0.873574782025486</v>
      </c>
      <c r="Y106" s="23">
        <v>0.87815704628300895</v>
      </c>
      <c r="Z106" s="23">
        <v>0.87326319852338496</v>
      </c>
      <c r="AA106" s="23">
        <v>0.87158762284661695</v>
      </c>
      <c r="AB106" s="21">
        <v>26.1866431201593</v>
      </c>
      <c r="AC106" s="21">
        <v>26.0344359130792</v>
      </c>
      <c r="AD106" s="21">
        <v>25.979292606955301</v>
      </c>
      <c r="AE106" s="22">
        <v>5.2317079990691203E-3</v>
      </c>
      <c r="AF106" s="22">
        <v>-5.9764830361149705E-4</v>
      </c>
      <c r="AG106" s="22">
        <v>-2.7179856973171702E-3</v>
      </c>
      <c r="AZ106" s="17"/>
      <c r="BB106">
        <f t="shared" si="26"/>
        <v>0</v>
      </c>
      <c r="BC106">
        <f t="shared" si="27"/>
        <v>0</v>
      </c>
      <c r="BD106">
        <f t="shared" si="28"/>
        <v>0</v>
      </c>
      <c r="BE106">
        <f t="shared" si="24"/>
        <v>1</v>
      </c>
      <c r="BF106">
        <f t="shared" si="29"/>
        <v>0</v>
      </c>
      <c r="BG106" s="17">
        <f t="shared" si="30"/>
        <v>0</v>
      </c>
      <c r="BH106" s="17">
        <f t="shared" si="31"/>
        <v>0</v>
      </c>
      <c r="BI106" s="17">
        <f t="shared" si="32"/>
        <v>0</v>
      </c>
      <c r="BJ106" s="11">
        <f t="shared" si="33"/>
        <v>1.215524029734778E-2</v>
      </c>
      <c r="BL106" s="17"/>
      <c r="BN106">
        <f t="shared" si="34"/>
        <v>0</v>
      </c>
      <c r="BO106">
        <f t="shared" si="35"/>
        <v>1</v>
      </c>
      <c r="BP106">
        <f t="shared" si="36"/>
        <v>0</v>
      </c>
      <c r="BQ106">
        <f t="shared" si="25"/>
        <v>1</v>
      </c>
      <c r="BR106">
        <f t="shared" si="37"/>
        <v>0</v>
      </c>
      <c r="BS106" s="17">
        <f t="shared" si="38"/>
        <v>0</v>
      </c>
      <c r="BT106" s="17">
        <f t="shared" si="39"/>
        <v>0</v>
      </c>
      <c r="BU106" s="17">
        <f t="shared" si="40"/>
        <v>0</v>
      </c>
      <c r="BV106" s="11">
        <f t="shared" si="41"/>
        <v>-9.9217261894517742E-3</v>
      </c>
      <c r="BX106" s="11">
        <f t="shared" si="42"/>
        <v>0</v>
      </c>
      <c r="BY106" s="11">
        <f t="shared" si="43"/>
        <v>2.2335141078960053E-3</v>
      </c>
    </row>
    <row r="107" spans="1:77" x14ac:dyDescent="0.3">
      <c r="A107" s="1">
        <v>46177</v>
      </c>
      <c r="B107" s="21">
        <v>30.78</v>
      </c>
      <c r="C107" s="21">
        <v>26.84</v>
      </c>
      <c r="D107" s="22">
        <v>3.1685819074140698E-2</v>
      </c>
      <c r="E107" s="22">
        <v>2.9875543904105101E-2</v>
      </c>
      <c r="F107" s="21">
        <v>0</v>
      </c>
      <c r="G107" s="21">
        <v>0.1</v>
      </c>
      <c r="H107" s="21">
        <v>0</v>
      </c>
      <c r="I107" s="21">
        <v>0.1</v>
      </c>
      <c r="J107" s="21">
        <v>0</v>
      </c>
      <c r="K107" s="21">
        <v>0</v>
      </c>
      <c r="L107" s="21">
        <v>30.78</v>
      </c>
      <c r="M107" s="21">
        <v>26.84</v>
      </c>
      <c r="N107" s="23">
        <v>0.87199480181936295</v>
      </c>
      <c r="O107" s="23">
        <v>0.87815704628300895</v>
      </c>
      <c r="P107" s="23">
        <v>0.87369500193764404</v>
      </c>
      <c r="Q107" s="23">
        <v>0.87185292694684802</v>
      </c>
      <c r="R107" s="21">
        <v>27.029673884590999</v>
      </c>
      <c r="S107" s="21">
        <v>26.879041250549701</v>
      </c>
      <c r="T107" s="21">
        <v>26.827467031218799</v>
      </c>
      <c r="U107" s="22">
        <v>7.0419831691049799E-3</v>
      </c>
      <c r="V107" s="22">
        <v>1.4535351530734601E-3</v>
      </c>
      <c r="W107" s="22">
        <v>-4.6706020247422602E-4</v>
      </c>
      <c r="X107" s="23">
        <v>0.87199480181936295</v>
      </c>
      <c r="Y107" s="23">
        <v>0.87815704628300895</v>
      </c>
      <c r="Z107" s="23">
        <v>0.87369500193764404</v>
      </c>
      <c r="AA107" s="23">
        <v>0.87185292694684802</v>
      </c>
      <c r="AB107" s="21">
        <v>27.029673884590999</v>
      </c>
      <c r="AC107" s="21">
        <v>26.879041250549701</v>
      </c>
      <c r="AD107" s="21">
        <v>26.827467031218799</v>
      </c>
      <c r="AE107" s="22">
        <v>7.0419831691049799E-3</v>
      </c>
      <c r="AF107" s="22">
        <v>1.4535351530734601E-3</v>
      </c>
      <c r="AG107" s="22">
        <v>-4.6706020247422602E-4</v>
      </c>
      <c r="AZ107" s="17"/>
      <c r="BB107">
        <f t="shared" si="26"/>
        <v>0</v>
      </c>
      <c r="BC107">
        <f t="shared" si="27"/>
        <v>1</v>
      </c>
      <c r="BD107">
        <f t="shared" si="28"/>
        <v>0</v>
      </c>
      <c r="BE107">
        <f t="shared" si="24"/>
        <v>1</v>
      </c>
      <c r="BF107">
        <f t="shared" si="29"/>
        <v>0</v>
      </c>
      <c r="BG107" s="17">
        <f t="shared" si="30"/>
        <v>0</v>
      </c>
      <c r="BH107" s="17">
        <f t="shared" si="31"/>
        <v>0</v>
      </c>
      <c r="BI107" s="17">
        <f t="shared" si="32"/>
        <v>0</v>
      </c>
      <c r="BJ107" s="11">
        <f t="shared" si="33"/>
        <v>1.215524029734778E-2</v>
      </c>
      <c r="BL107" s="17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17">
        <f t="shared" si="38"/>
        <v>0</v>
      </c>
      <c r="BT107" s="17">
        <f t="shared" si="39"/>
        <v>0</v>
      </c>
      <c r="BU107" s="17">
        <f t="shared" si="40"/>
        <v>0</v>
      </c>
      <c r="BV107" s="11">
        <f t="shared" si="41"/>
        <v>-9.9217261894517742E-3</v>
      </c>
      <c r="BX107" s="11">
        <f t="shared" si="42"/>
        <v>0</v>
      </c>
      <c r="BY107" s="11">
        <f t="shared" si="43"/>
        <v>2.2335141078960053E-3</v>
      </c>
    </row>
    <row r="108" spans="1:77" x14ac:dyDescent="0.3">
      <c r="A108" s="1">
        <v>46178</v>
      </c>
      <c r="B108" s="21">
        <v>31.19</v>
      </c>
      <c r="C108" s="21">
        <v>27.26</v>
      </c>
      <c r="D108" s="22">
        <v>1.32324022089788E-2</v>
      </c>
      <c r="E108" s="22">
        <v>1.5527114164905501E-2</v>
      </c>
      <c r="F108" s="21">
        <v>0</v>
      </c>
      <c r="G108" s="21">
        <v>0.1</v>
      </c>
      <c r="H108" s="21">
        <v>0</v>
      </c>
      <c r="I108" s="21">
        <v>0.1</v>
      </c>
      <c r="J108" s="21">
        <v>0</v>
      </c>
      <c r="K108" s="21">
        <v>0</v>
      </c>
      <c r="L108" s="21">
        <v>31.19</v>
      </c>
      <c r="M108" s="21">
        <v>27.26</v>
      </c>
      <c r="N108" s="23">
        <v>0.87399807630650805</v>
      </c>
      <c r="O108" s="23">
        <v>0.87815704628300895</v>
      </c>
      <c r="P108" s="23">
        <v>0.87379427765340101</v>
      </c>
      <c r="Q108" s="23">
        <v>0.87172787128081197</v>
      </c>
      <c r="R108" s="21">
        <v>27.389718273566999</v>
      </c>
      <c r="S108" s="21">
        <v>27.2505471104351</v>
      </c>
      <c r="T108" s="21">
        <v>27.1930927914721</v>
      </c>
      <c r="U108" s="22">
        <v>4.7472712131780602E-3</v>
      </c>
      <c r="V108" s="22">
        <v>-3.46827913521876E-4</v>
      </c>
      <c r="W108" s="22">
        <v>-2.4574267050276499E-3</v>
      </c>
      <c r="X108" s="23">
        <v>0.87399807630650805</v>
      </c>
      <c r="Y108" s="23">
        <v>0.87815704628300895</v>
      </c>
      <c r="Z108" s="23">
        <v>0.87379427765340101</v>
      </c>
      <c r="AA108" s="23">
        <v>0.87172787128081197</v>
      </c>
      <c r="AB108" s="21">
        <v>27.389718273566999</v>
      </c>
      <c r="AC108" s="21">
        <v>27.2505471104351</v>
      </c>
      <c r="AD108" s="21">
        <v>27.1930927914721</v>
      </c>
      <c r="AE108" s="22">
        <v>4.7472712131780602E-3</v>
      </c>
      <c r="AF108" s="22">
        <v>-3.46827913521876E-4</v>
      </c>
      <c r="AG108" s="22">
        <v>-2.4574267050276499E-3</v>
      </c>
      <c r="AZ108" s="17"/>
      <c r="BB108">
        <f t="shared" si="26"/>
        <v>0</v>
      </c>
      <c r="BC108">
        <f t="shared" si="27"/>
        <v>1</v>
      </c>
      <c r="BD108">
        <f t="shared" si="28"/>
        <v>0</v>
      </c>
      <c r="BE108">
        <f t="shared" si="24"/>
        <v>1</v>
      </c>
      <c r="BF108">
        <f t="shared" si="29"/>
        <v>0</v>
      </c>
      <c r="BG108" s="17">
        <f t="shared" si="30"/>
        <v>0</v>
      </c>
      <c r="BH108" s="17">
        <f t="shared" si="31"/>
        <v>0</v>
      </c>
      <c r="BI108" s="17">
        <f t="shared" si="32"/>
        <v>0</v>
      </c>
      <c r="BJ108" s="11">
        <f t="shared" si="33"/>
        <v>1.215524029734778E-2</v>
      </c>
      <c r="BL108" s="17"/>
      <c r="BN108">
        <f t="shared" si="34"/>
        <v>0</v>
      </c>
      <c r="BO108">
        <f t="shared" si="35"/>
        <v>1</v>
      </c>
      <c r="BP108">
        <f t="shared" si="36"/>
        <v>0</v>
      </c>
      <c r="BQ108">
        <f t="shared" si="25"/>
        <v>1</v>
      </c>
      <c r="BR108">
        <f t="shared" si="37"/>
        <v>0</v>
      </c>
      <c r="BS108" s="17">
        <f t="shared" si="38"/>
        <v>0</v>
      </c>
      <c r="BT108" s="17">
        <f t="shared" si="39"/>
        <v>0</v>
      </c>
      <c r="BU108" s="17">
        <f t="shared" si="40"/>
        <v>0</v>
      </c>
      <c r="BV108" s="11">
        <f t="shared" si="41"/>
        <v>-9.9217261894517742E-3</v>
      </c>
      <c r="BX108" s="11">
        <f t="shared" si="42"/>
        <v>0</v>
      </c>
      <c r="BY108" s="11">
        <f t="shared" si="43"/>
        <v>2.2335141078960053E-3</v>
      </c>
    </row>
    <row r="109" spans="1:77" x14ac:dyDescent="0.3">
      <c r="A109" s="1">
        <v>46181</v>
      </c>
      <c r="B109" s="21">
        <v>31.03</v>
      </c>
      <c r="C109" s="21">
        <v>27.06</v>
      </c>
      <c r="D109" s="22">
        <v>-5.1430521594230602E-3</v>
      </c>
      <c r="E109" s="22">
        <v>-7.3638035257447198E-3</v>
      </c>
      <c r="F109" s="21">
        <v>0</v>
      </c>
      <c r="G109" s="21">
        <v>0.1</v>
      </c>
      <c r="H109" s="21">
        <v>0</v>
      </c>
      <c r="I109" s="21">
        <v>0.1</v>
      </c>
      <c r="J109" s="21">
        <v>0</v>
      </c>
      <c r="K109" s="21">
        <v>0</v>
      </c>
      <c r="L109" s="21">
        <v>31.03</v>
      </c>
      <c r="M109" s="21">
        <v>27.06</v>
      </c>
      <c r="N109" s="23">
        <v>0.87205929745407595</v>
      </c>
      <c r="O109" s="23">
        <v>0.87815704628300895</v>
      </c>
      <c r="P109" s="23">
        <v>0.87376974917778505</v>
      </c>
      <c r="Q109" s="23">
        <v>0.87218168252847605</v>
      </c>
      <c r="R109" s="21">
        <v>27.249213146161701</v>
      </c>
      <c r="S109" s="21">
        <v>27.113836435585</v>
      </c>
      <c r="T109" s="21">
        <v>27.0497158458436</v>
      </c>
      <c r="U109" s="22">
        <v>6.96802257949964E-3</v>
      </c>
      <c r="V109" s="22">
        <v>1.9875444254984199E-3</v>
      </c>
      <c r="W109" s="22">
        <v>-3.8012228005516102E-4</v>
      </c>
      <c r="X109" s="23">
        <v>0.87205929745407595</v>
      </c>
      <c r="Y109" s="23">
        <v>0.87815704628300895</v>
      </c>
      <c r="Z109" s="23">
        <v>0.87376974917778505</v>
      </c>
      <c r="AA109" s="23">
        <v>0.87218168252847605</v>
      </c>
      <c r="AB109" s="21">
        <v>27.249213146161701</v>
      </c>
      <c r="AC109" s="21">
        <v>27.113836435585</v>
      </c>
      <c r="AD109" s="21">
        <v>27.0497158458436</v>
      </c>
      <c r="AE109" s="22">
        <v>6.96802257949964E-3</v>
      </c>
      <c r="AF109" s="22">
        <v>1.9875444254984199E-3</v>
      </c>
      <c r="AG109" s="22">
        <v>-3.8012228005516102E-4</v>
      </c>
      <c r="AZ109" s="17"/>
      <c r="BB109">
        <f t="shared" si="26"/>
        <v>0</v>
      </c>
      <c r="BC109">
        <f t="shared" si="27"/>
        <v>1</v>
      </c>
      <c r="BD109">
        <f t="shared" si="28"/>
        <v>0</v>
      </c>
      <c r="BE109">
        <f t="shared" si="24"/>
        <v>1</v>
      </c>
      <c r="BF109">
        <f t="shared" si="29"/>
        <v>0</v>
      </c>
      <c r="BG109" s="17">
        <f t="shared" si="30"/>
        <v>0</v>
      </c>
      <c r="BH109" s="17">
        <f t="shared" si="31"/>
        <v>0</v>
      </c>
      <c r="BI109" s="17">
        <f t="shared" si="32"/>
        <v>0</v>
      </c>
      <c r="BJ109" s="11">
        <f t="shared" si="33"/>
        <v>1.215524029734778E-2</v>
      </c>
      <c r="BL109" s="17"/>
      <c r="BN109">
        <f t="shared" si="34"/>
        <v>0</v>
      </c>
      <c r="BO109">
        <f t="shared" si="35"/>
        <v>1</v>
      </c>
      <c r="BP109">
        <f t="shared" si="36"/>
        <v>0</v>
      </c>
      <c r="BQ109">
        <f t="shared" si="25"/>
        <v>1</v>
      </c>
      <c r="BR109">
        <f t="shared" si="37"/>
        <v>0</v>
      </c>
      <c r="BS109" s="17">
        <f t="shared" si="38"/>
        <v>0</v>
      </c>
      <c r="BT109" s="17">
        <f t="shared" si="39"/>
        <v>0</v>
      </c>
      <c r="BU109" s="17">
        <f t="shared" si="40"/>
        <v>0</v>
      </c>
      <c r="BV109" s="11">
        <f t="shared" si="41"/>
        <v>-9.9217261894517742E-3</v>
      </c>
      <c r="BX109" s="11">
        <f t="shared" si="42"/>
        <v>0</v>
      </c>
      <c r="BY109" s="11">
        <f t="shared" si="43"/>
        <v>2.2335141078960053E-3</v>
      </c>
    </row>
    <row r="110" spans="1:77" x14ac:dyDescent="0.3">
      <c r="A110" s="1">
        <v>46182</v>
      </c>
      <c r="B110" s="21">
        <v>31.06</v>
      </c>
      <c r="C110" s="21">
        <v>27.2</v>
      </c>
      <c r="D110" s="22">
        <v>9.6633926025208202E-4</v>
      </c>
      <c r="E110" s="22">
        <v>5.1603505593096101E-3</v>
      </c>
      <c r="F110" s="21">
        <v>0</v>
      </c>
      <c r="G110" s="21">
        <v>0.1</v>
      </c>
      <c r="H110" s="21">
        <v>0</v>
      </c>
      <c r="I110" s="21">
        <v>0.1</v>
      </c>
      <c r="J110" s="21">
        <v>0</v>
      </c>
      <c r="K110" s="21">
        <v>0</v>
      </c>
      <c r="L110" s="21">
        <v>31.06</v>
      </c>
      <c r="M110" s="21">
        <v>27.2</v>
      </c>
      <c r="N110" s="23">
        <v>0.87572440437862198</v>
      </c>
      <c r="O110" s="23">
        <v>0.87815704628300895</v>
      </c>
      <c r="P110" s="23">
        <v>0.87386305772916895</v>
      </c>
      <c r="Q110" s="23">
        <v>0.87264098584012395</v>
      </c>
      <c r="R110" s="21">
        <v>27.275557857550201</v>
      </c>
      <c r="S110" s="21">
        <v>27.139288409462001</v>
      </c>
      <c r="T110" s="21">
        <v>27.089963059334401</v>
      </c>
      <c r="U110" s="22">
        <v>2.7740112804421598E-3</v>
      </c>
      <c r="V110" s="22">
        <v>-2.2345384923856998E-3</v>
      </c>
      <c r="W110" s="22">
        <v>-4.0536808332504301E-3</v>
      </c>
      <c r="X110" s="23">
        <v>0.87572440437862198</v>
      </c>
      <c r="Y110" s="23">
        <v>0.87815704628300895</v>
      </c>
      <c r="Z110" s="23">
        <v>0.87386305772916895</v>
      </c>
      <c r="AA110" s="23">
        <v>0.87264098584012395</v>
      </c>
      <c r="AB110" s="21">
        <v>27.275557857550201</v>
      </c>
      <c r="AC110" s="21">
        <v>27.139288409462001</v>
      </c>
      <c r="AD110" s="21">
        <v>27.089963059334401</v>
      </c>
      <c r="AE110" s="22">
        <v>2.7740112804421598E-3</v>
      </c>
      <c r="AF110" s="22">
        <v>-2.2345384923856998E-3</v>
      </c>
      <c r="AG110" s="22">
        <v>-4.0536808332504301E-3</v>
      </c>
      <c r="AZ110" s="17"/>
      <c r="BB110">
        <f t="shared" si="26"/>
        <v>0</v>
      </c>
      <c r="BC110">
        <f t="shared" si="27"/>
        <v>0</v>
      </c>
      <c r="BD110">
        <f t="shared" si="28"/>
        <v>0</v>
      </c>
      <c r="BE110">
        <f t="shared" si="24"/>
        <v>1</v>
      </c>
      <c r="BF110">
        <f t="shared" si="29"/>
        <v>0</v>
      </c>
      <c r="BG110" s="17">
        <f t="shared" si="30"/>
        <v>0</v>
      </c>
      <c r="BH110" s="17">
        <f t="shared" si="31"/>
        <v>0</v>
      </c>
      <c r="BI110" s="17">
        <f t="shared" si="32"/>
        <v>0</v>
      </c>
      <c r="BJ110" s="11">
        <f t="shared" si="33"/>
        <v>1.215524029734778E-2</v>
      </c>
      <c r="BL110" s="17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17">
        <f t="shared" si="38"/>
        <v>0</v>
      </c>
      <c r="BT110" s="17">
        <f t="shared" si="39"/>
        <v>0</v>
      </c>
      <c r="BU110" s="17">
        <f t="shared" si="40"/>
        <v>0</v>
      </c>
      <c r="BV110" s="11">
        <f t="shared" si="41"/>
        <v>-9.9217261894517742E-3</v>
      </c>
      <c r="BX110" s="11">
        <f t="shared" si="42"/>
        <v>0</v>
      </c>
      <c r="BY110" s="11">
        <f t="shared" si="43"/>
        <v>2.2335141078960053E-3</v>
      </c>
    </row>
    <row r="111" spans="1:77" x14ac:dyDescent="0.3">
      <c r="A111" s="1">
        <v>46183</v>
      </c>
      <c r="B111" s="21">
        <v>30.9</v>
      </c>
      <c r="C111" s="21">
        <v>26.97</v>
      </c>
      <c r="D111" s="22">
        <v>-5.1646338168412102E-3</v>
      </c>
      <c r="E111" s="22">
        <v>-8.4918361503130008E-3</v>
      </c>
      <c r="F111" s="21">
        <v>0</v>
      </c>
      <c r="G111" s="21">
        <v>0.1</v>
      </c>
      <c r="H111" s="21">
        <v>0</v>
      </c>
      <c r="I111" s="21">
        <v>0.1</v>
      </c>
      <c r="J111" s="21">
        <v>0</v>
      </c>
      <c r="K111" s="21">
        <v>0</v>
      </c>
      <c r="L111" s="21">
        <v>30.9</v>
      </c>
      <c r="M111" s="21">
        <v>26.97</v>
      </c>
      <c r="N111" s="23">
        <v>0.87281553398058198</v>
      </c>
      <c r="O111" s="23">
        <v>0.87815704628300895</v>
      </c>
      <c r="P111" s="23">
        <v>0.87381280935499295</v>
      </c>
      <c r="Q111" s="23">
        <v>0.87264480101333897</v>
      </c>
      <c r="R111" s="21">
        <v>27.135052730144899</v>
      </c>
      <c r="S111" s="21">
        <v>27.002368483831301</v>
      </c>
      <c r="T111" s="21">
        <v>26.964606462459798</v>
      </c>
      <c r="U111" s="22">
        <v>6.1012136139139399E-3</v>
      </c>
      <c r="V111" s="22">
        <v>1.1994466287570599E-3</v>
      </c>
      <c r="W111" s="22">
        <v>-2.00002852041958E-4</v>
      </c>
      <c r="X111" s="23">
        <v>0.87281553398058198</v>
      </c>
      <c r="Y111" s="23">
        <v>0.87815704628300895</v>
      </c>
      <c r="Z111" s="23">
        <v>0.87381280935499295</v>
      </c>
      <c r="AA111" s="23">
        <v>0.87264480101333897</v>
      </c>
      <c r="AB111" s="21">
        <v>27.135052730144899</v>
      </c>
      <c r="AC111" s="21">
        <v>27.002368483831301</v>
      </c>
      <c r="AD111" s="21">
        <v>26.964606462459798</v>
      </c>
      <c r="AE111" s="22">
        <v>6.1012136139139399E-3</v>
      </c>
      <c r="AF111" s="22">
        <v>1.1994466287570599E-3</v>
      </c>
      <c r="AG111" s="22">
        <v>-2.00002852041958E-4</v>
      </c>
      <c r="AZ111" s="17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17">
        <f t="shared" si="30"/>
        <v>0</v>
      </c>
      <c r="BH111" s="17">
        <f t="shared" si="31"/>
        <v>0</v>
      </c>
      <c r="BI111" s="17">
        <f t="shared" si="32"/>
        <v>0</v>
      </c>
      <c r="BJ111" s="11">
        <f t="shared" si="33"/>
        <v>1.215524029734778E-2</v>
      </c>
      <c r="BL111" s="17"/>
      <c r="BN111">
        <f t="shared" si="34"/>
        <v>0</v>
      </c>
      <c r="BO111">
        <f t="shared" si="35"/>
        <v>1</v>
      </c>
      <c r="BP111">
        <f t="shared" si="36"/>
        <v>0</v>
      </c>
      <c r="BQ111">
        <f t="shared" si="25"/>
        <v>1</v>
      </c>
      <c r="BR111">
        <f t="shared" si="37"/>
        <v>0</v>
      </c>
      <c r="BS111" s="17">
        <f t="shared" si="38"/>
        <v>0</v>
      </c>
      <c r="BT111" s="17">
        <f t="shared" si="39"/>
        <v>0</v>
      </c>
      <c r="BU111" s="17">
        <f t="shared" si="40"/>
        <v>0</v>
      </c>
      <c r="BV111" s="11">
        <f t="shared" si="41"/>
        <v>-9.9217261894517742E-3</v>
      </c>
      <c r="BX111" s="11">
        <f t="shared" si="42"/>
        <v>0</v>
      </c>
      <c r="BY111" s="11">
        <f t="shared" si="43"/>
        <v>2.2335141078960053E-3</v>
      </c>
    </row>
    <row r="112" spans="1:77" x14ac:dyDescent="0.3">
      <c r="A112" s="1">
        <v>46184</v>
      </c>
      <c r="B112" s="21">
        <v>30.13</v>
      </c>
      <c r="C112" s="21">
        <v>26.3</v>
      </c>
      <c r="D112" s="22">
        <v>-2.5234830761489802E-2</v>
      </c>
      <c r="E112" s="22">
        <v>-2.51561979679196E-2</v>
      </c>
      <c r="F112" s="21">
        <v>0</v>
      </c>
      <c r="G112" s="21">
        <v>0.1</v>
      </c>
      <c r="H112" s="21">
        <v>0</v>
      </c>
      <c r="I112" s="21">
        <v>0.1</v>
      </c>
      <c r="J112" s="21">
        <v>0</v>
      </c>
      <c r="K112" s="21">
        <v>0</v>
      </c>
      <c r="L112" s="21">
        <v>30.13</v>
      </c>
      <c r="M112" s="21">
        <v>26.3</v>
      </c>
      <c r="N112" s="23">
        <v>0.872884168602721</v>
      </c>
      <c r="O112" s="23">
        <v>0.87815704628300895</v>
      </c>
      <c r="P112" s="23">
        <v>0.87369186563517298</v>
      </c>
      <c r="Q112" s="23">
        <v>0.87284050879158503</v>
      </c>
      <c r="R112" s="21">
        <v>26.458871804507002</v>
      </c>
      <c r="S112" s="21">
        <v>26.327979945865899</v>
      </c>
      <c r="T112" s="21">
        <v>26.292787854531898</v>
      </c>
      <c r="U112" s="22">
        <v>6.0225808203436199E-3</v>
      </c>
      <c r="V112" s="22">
        <v>1.0633107533661399E-3</v>
      </c>
      <c r="W112" s="22">
        <v>-2.74263670267137E-4</v>
      </c>
      <c r="X112" s="23">
        <v>0.872884168602721</v>
      </c>
      <c r="Y112" s="23">
        <v>0.87815704628300895</v>
      </c>
      <c r="Z112" s="23">
        <v>0.87369186563517298</v>
      </c>
      <c r="AA112" s="23">
        <v>0.87284050879158503</v>
      </c>
      <c r="AB112" s="21">
        <v>26.458871804507002</v>
      </c>
      <c r="AC112" s="21">
        <v>26.327979945865899</v>
      </c>
      <c r="AD112" s="21">
        <v>26.292787854531898</v>
      </c>
      <c r="AE112" s="22">
        <v>6.0225808203436199E-3</v>
      </c>
      <c r="AF112" s="22">
        <v>1.0633107533661399E-3</v>
      </c>
      <c r="AG112" s="22">
        <v>-2.74263670267137E-4</v>
      </c>
      <c r="AZ112" s="17"/>
      <c r="BB112">
        <f t="shared" si="26"/>
        <v>0</v>
      </c>
      <c r="BC112">
        <f t="shared" si="27"/>
        <v>1</v>
      </c>
      <c r="BD112">
        <f t="shared" si="28"/>
        <v>0</v>
      </c>
      <c r="BE112">
        <f t="shared" si="24"/>
        <v>1</v>
      </c>
      <c r="BF112">
        <f t="shared" si="29"/>
        <v>0</v>
      </c>
      <c r="BG112" s="17">
        <f t="shared" si="30"/>
        <v>0</v>
      </c>
      <c r="BH112" s="17">
        <f t="shared" si="31"/>
        <v>0</v>
      </c>
      <c r="BI112" s="17">
        <f t="shared" si="32"/>
        <v>0</v>
      </c>
      <c r="BJ112" s="11">
        <f t="shared" si="33"/>
        <v>1.215524029734778E-2</v>
      </c>
      <c r="BL112" s="17"/>
      <c r="BN112">
        <f t="shared" si="34"/>
        <v>0</v>
      </c>
      <c r="BO112">
        <f t="shared" si="35"/>
        <v>1</v>
      </c>
      <c r="BP112">
        <f t="shared" si="36"/>
        <v>0</v>
      </c>
      <c r="BQ112">
        <f t="shared" si="25"/>
        <v>1</v>
      </c>
      <c r="BR112">
        <f t="shared" si="37"/>
        <v>0</v>
      </c>
      <c r="BS112" s="17">
        <f t="shared" si="38"/>
        <v>0</v>
      </c>
      <c r="BT112" s="17">
        <f t="shared" si="39"/>
        <v>0</v>
      </c>
      <c r="BU112" s="17">
        <f t="shared" si="40"/>
        <v>0</v>
      </c>
      <c r="BV112" s="11">
        <f t="shared" si="41"/>
        <v>-9.9217261894517742E-3</v>
      </c>
      <c r="BX112" s="11">
        <f t="shared" si="42"/>
        <v>0</v>
      </c>
      <c r="BY112" s="11">
        <f t="shared" si="43"/>
        <v>2.2335141078960053E-3</v>
      </c>
    </row>
    <row r="113" spans="1:77" x14ac:dyDescent="0.3">
      <c r="A113" s="1">
        <v>46185</v>
      </c>
      <c r="B113" s="21">
        <v>29.26</v>
      </c>
      <c r="C113" s="21">
        <v>25.68</v>
      </c>
      <c r="D113" s="22">
        <v>-2.92999575502314E-2</v>
      </c>
      <c r="E113" s="22">
        <v>-2.38564603619584E-2</v>
      </c>
      <c r="F113" s="21">
        <v>0</v>
      </c>
      <c r="G113" s="21">
        <v>0.1</v>
      </c>
      <c r="H113" s="21">
        <v>0</v>
      </c>
      <c r="I113" s="21">
        <v>0.1</v>
      </c>
      <c r="J113" s="21">
        <v>0</v>
      </c>
      <c r="K113" s="21">
        <v>0</v>
      </c>
      <c r="L113" s="21">
        <v>29.26</v>
      </c>
      <c r="M113" s="21">
        <v>25.68</v>
      </c>
      <c r="N113" s="23">
        <v>0.87764866712235101</v>
      </c>
      <c r="O113" s="23">
        <v>0.87815704628300895</v>
      </c>
      <c r="P113" s="23">
        <v>0.87393158144197503</v>
      </c>
      <c r="Q113" s="23">
        <v>0.87308929853068096</v>
      </c>
      <c r="R113" s="21">
        <v>25.694875174240799</v>
      </c>
      <c r="S113" s="21">
        <v>25.5642239884851</v>
      </c>
      <c r="T113" s="21">
        <v>25.539313287241701</v>
      </c>
      <c r="U113" s="22">
        <v>5.7908363207051896E-4</v>
      </c>
      <c r="V113" s="22">
        <v>-4.5186052005263596E-3</v>
      </c>
      <c r="W113" s="22">
        <v>-5.4935163140958001E-3</v>
      </c>
      <c r="X113" s="23">
        <v>0.87764866712235101</v>
      </c>
      <c r="Y113" s="23">
        <v>0.87815704628300895</v>
      </c>
      <c r="Z113" s="23">
        <v>0.87393158144197503</v>
      </c>
      <c r="AA113" s="23">
        <v>0.87308929853068096</v>
      </c>
      <c r="AB113" s="21">
        <v>25.694875174240799</v>
      </c>
      <c r="AC113" s="21">
        <v>25.5642239884851</v>
      </c>
      <c r="AD113" s="21">
        <v>25.539313287241701</v>
      </c>
      <c r="AE113" s="22">
        <v>5.7908363207051896E-4</v>
      </c>
      <c r="AF113" s="22">
        <v>-4.5186052005263596E-3</v>
      </c>
      <c r="AG113" s="22">
        <v>-5.4935163140958001E-3</v>
      </c>
      <c r="AZ113" s="17"/>
      <c r="BB113">
        <f t="shared" si="26"/>
        <v>0</v>
      </c>
      <c r="BC113">
        <f t="shared" si="27"/>
        <v>0</v>
      </c>
      <c r="BD113">
        <f t="shared" si="28"/>
        <v>0</v>
      </c>
      <c r="BE113">
        <f t="shared" si="24"/>
        <v>1</v>
      </c>
      <c r="BF113">
        <f t="shared" si="29"/>
        <v>0</v>
      </c>
      <c r="BG113" s="17">
        <f t="shared" si="30"/>
        <v>0</v>
      </c>
      <c r="BH113" s="17">
        <f t="shared" si="31"/>
        <v>0</v>
      </c>
      <c r="BI113" s="17">
        <f t="shared" si="32"/>
        <v>0</v>
      </c>
      <c r="BJ113" s="11">
        <f t="shared" si="33"/>
        <v>1.215524029734778E-2</v>
      </c>
      <c r="BL113" s="17"/>
      <c r="BN113">
        <f t="shared" si="34"/>
        <v>0</v>
      </c>
      <c r="BO113">
        <f t="shared" si="35"/>
        <v>1</v>
      </c>
      <c r="BP113">
        <f t="shared" si="36"/>
        <v>0</v>
      </c>
      <c r="BQ113">
        <f t="shared" si="25"/>
        <v>1</v>
      </c>
      <c r="BR113">
        <f t="shared" si="37"/>
        <v>0</v>
      </c>
      <c r="BS113" s="17">
        <f t="shared" si="38"/>
        <v>0</v>
      </c>
      <c r="BT113" s="17">
        <f t="shared" si="39"/>
        <v>0</v>
      </c>
      <c r="BU113" s="17">
        <f t="shared" si="40"/>
        <v>0</v>
      </c>
      <c r="BV113" s="11">
        <f t="shared" si="41"/>
        <v>-9.9217261894517742E-3</v>
      </c>
      <c r="BX113" s="11">
        <f t="shared" si="42"/>
        <v>0</v>
      </c>
      <c r="BY113" s="11">
        <f t="shared" si="43"/>
        <v>2.2335141078960053E-3</v>
      </c>
    </row>
    <row r="114" spans="1:77" x14ac:dyDescent="0.3">
      <c r="A114" s="1">
        <v>46188</v>
      </c>
      <c r="B114" s="21">
        <v>29.25</v>
      </c>
      <c r="C114" s="21">
        <v>25.7</v>
      </c>
      <c r="D114" s="22">
        <v>-3.41821914112823E-4</v>
      </c>
      <c r="E114" s="22">
        <v>7.7851307941366097E-4</v>
      </c>
      <c r="F114" s="21">
        <v>0</v>
      </c>
      <c r="G114" s="21">
        <v>0.1</v>
      </c>
      <c r="H114" s="21">
        <v>0</v>
      </c>
      <c r="I114" s="21">
        <v>0.1</v>
      </c>
      <c r="J114" s="21">
        <v>0</v>
      </c>
      <c r="K114" s="21">
        <v>0</v>
      </c>
      <c r="L114" s="21">
        <v>29.25</v>
      </c>
      <c r="M114" s="21">
        <v>25.7</v>
      </c>
      <c r="N114" s="23">
        <v>0.87863247863247795</v>
      </c>
      <c r="O114" s="23">
        <v>0.87815704628300895</v>
      </c>
      <c r="P114" s="23">
        <v>0.87444150466376303</v>
      </c>
      <c r="Q114" s="23">
        <v>0.87344324929485395</v>
      </c>
      <c r="R114" s="21">
        <v>25.686093603778001</v>
      </c>
      <c r="S114" s="21">
        <v>25.5624987571777</v>
      </c>
      <c r="T114" s="21">
        <v>25.537861982022399</v>
      </c>
      <c r="U114" s="22">
        <v>-5.4125136145578802E-4</v>
      </c>
      <c r="V114" s="22">
        <v>-5.36460671711682E-3</v>
      </c>
      <c r="W114" s="22">
        <v>-6.3288573293573099E-3</v>
      </c>
      <c r="X114" s="23">
        <v>0.87863247863247795</v>
      </c>
      <c r="Y114" s="23">
        <v>0.87815704628300895</v>
      </c>
      <c r="Z114" s="23">
        <v>0.87444150466376303</v>
      </c>
      <c r="AA114" s="23">
        <v>0.87344324929485395</v>
      </c>
      <c r="AB114" s="21">
        <v>25.686093603778001</v>
      </c>
      <c r="AC114" s="21">
        <v>25.5624987571777</v>
      </c>
      <c r="AD114" s="21">
        <v>25.537861982022399</v>
      </c>
      <c r="AE114" s="22">
        <v>-5.4125136145578802E-4</v>
      </c>
      <c r="AF114" s="22">
        <v>-5.36460671711682E-3</v>
      </c>
      <c r="AG114" s="22">
        <v>-6.3288573293573099E-3</v>
      </c>
      <c r="AZ114" s="17"/>
      <c r="BB114">
        <f t="shared" si="26"/>
        <v>0</v>
      </c>
      <c r="BC114">
        <f t="shared" si="27"/>
        <v>0</v>
      </c>
      <c r="BD114">
        <f t="shared" si="28"/>
        <v>0</v>
      </c>
      <c r="BE114">
        <f t="shared" si="24"/>
        <v>1</v>
      </c>
      <c r="BF114">
        <f t="shared" si="29"/>
        <v>0</v>
      </c>
      <c r="BG114" s="17">
        <f t="shared" si="30"/>
        <v>0</v>
      </c>
      <c r="BH114" s="17">
        <f t="shared" si="31"/>
        <v>0</v>
      </c>
      <c r="BI114" s="17">
        <f t="shared" si="32"/>
        <v>0</v>
      </c>
      <c r="BJ114" s="11">
        <f t="shared" si="33"/>
        <v>1.215524029734778E-2</v>
      </c>
      <c r="BL114" s="17"/>
      <c r="BN114">
        <f t="shared" si="34"/>
        <v>0</v>
      </c>
      <c r="BO114">
        <f t="shared" si="35"/>
        <v>1</v>
      </c>
      <c r="BP114">
        <f t="shared" si="36"/>
        <v>0</v>
      </c>
      <c r="BQ114">
        <f t="shared" si="25"/>
        <v>1</v>
      </c>
      <c r="BR114">
        <f t="shared" si="37"/>
        <v>0</v>
      </c>
      <c r="BS114" s="17">
        <f t="shared" si="38"/>
        <v>0</v>
      </c>
      <c r="BT114" s="17">
        <f t="shared" si="39"/>
        <v>0</v>
      </c>
      <c r="BU114" s="17">
        <f t="shared" si="40"/>
        <v>0</v>
      </c>
      <c r="BV114" s="11">
        <f t="shared" si="41"/>
        <v>-9.9217261894517742E-3</v>
      </c>
      <c r="BX114" s="11">
        <f t="shared" si="42"/>
        <v>0</v>
      </c>
      <c r="BY114" s="11">
        <f t="shared" si="43"/>
        <v>2.2335141078960053E-3</v>
      </c>
    </row>
    <row r="115" spans="1:77" x14ac:dyDescent="0.3">
      <c r="A115" s="1">
        <v>46189</v>
      </c>
      <c r="B115" s="21">
        <v>29.55</v>
      </c>
      <c r="C115" s="21">
        <v>25.93</v>
      </c>
      <c r="D115" s="22">
        <v>1.0204170174241601E-2</v>
      </c>
      <c r="E115" s="22">
        <v>8.9096076493988697E-3</v>
      </c>
      <c r="F115" s="21">
        <v>0</v>
      </c>
      <c r="G115" s="21">
        <v>0.1</v>
      </c>
      <c r="H115" s="21">
        <v>0</v>
      </c>
      <c r="I115" s="21">
        <v>0.1</v>
      </c>
      <c r="J115" s="21">
        <v>0</v>
      </c>
      <c r="K115" s="21">
        <v>0</v>
      </c>
      <c r="L115" s="21">
        <v>29.55</v>
      </c>
      <c r="M115" s="21">
        <v>25.93</v>
      </c>
      <c r="N115" s="23">
        <v>0.87749576988155598</v>
      </c>
      <c r="O115" s="23">
        <v>0.87815704628300895</v>
      </c>
      <c r="P115" s="23">
        <v>0.87468279802037396</v>
      </c>
      <c r="Q115" s="23">
        <v>0.87386782277073805</v>
      </c>
      <c r="R115" s="21">
        <v>25.949540717662899</v>
      </c>
      <c r="S115" s="21">
        <v>25.839746462814102</v>
      </c>
      <c r="T115" s="21">
        <v>25.8102480166629</v>
      </c>
      <c r="U115" s="22">
        <v>7.5331116338694698E-4</v>
      </c>
      <c r="V115" s="22">
        <v>-3.4867324949040602E-3</v>
      </c>
      <c r="W115" s="22">
        <v>-4.6289765418125401E-3</v>
      </c>
      <c r="X115" s="23">
        <v>0.87749576988155598</v>
      </c>
      <c r="Y115" s="23">
        <v>0.87815704628300895</v>
      </c>
      <c r="Z115" s="23">
        <v>0.87468279802037396</v>
      </c>
      <c r="AA115" s="23">
        <v>0.87386782277073805</v>
      </c>
      <c r="AB115" s="21">
        <v>25.949540717662899</v>
      </c>
      <c r="AC115" s="21">
        <v>25.839746462814102</v>
      </c>
      <c r="AD115" s="21">
        <v>25.8102480166629</v>
      </c>
      <c r="AE115" s="22">
        <v>7.5331116338694698E-4</v>
      </c>
      <c r="AF115" s="22">
        <v>-3.4867324949040602E-3</v>
      </c>
      <c r="AG115" s="22">
        <v>-4.6289765418125401E-3</v>
      </c>
      <c r="AZ115" s="17"/>
      <c r="BB115">
        <f t="shared" si="26"/>
        <v>0</v>
      </c>
      <c r="BC115">
        <f t="shared" si="27"/>
        <v>0</v>
      </c>
      <c r="BD115">
        <f t="shared" si="28"/>
        <v>0</v>
      </c>
      <c r="BE115">
        <f t="shared" si="24"/>
        <v>1</v>
      </c>
      <c r="BF115">
        <f t="shared" si="29"/>
        <v>0</v>
      </c>
      <c r="BG115" s="17">
        <f t="shared" si="30"/>
        <v>0</v>
      </c>
      <c r="BH115" s="17">
        <f t="shared" si="31"/>
        <v>0</v>
      </c>
      <c r="BI115" s="17">
        <f t="shared" si="32"/>
        <v>0</v>
      </c>
      <c r="BJ115" s="11">
        <f t="shared" si="33"/>
        <v>1.215524029734778E-2</v>
      </c>
      <c r="BL115" s="17"/>
      <c r="BN115">
        <f t="shared" si="34"/>
        <v>0</v>
      </c>
      <c r="BO115">
        <f t="shared" si="35"/>
        <v>1</v>
      </c>
      <c r="BP115">
        <f t="shared" si="36"/>
        <v>0</v>
      </c>
      <c r="BQ115">
        <f t="shared" si="25"/>
        <v>1</v>
      </c>
      <c r="BR115">
        <f t="shared" si="37"/>
        <v>0</v>
      </c>
      <c r="BS115" s="17">
        <f t="shared" si="38"/>
        <v>0</v>
      </c>
      <c r="BT115" s="17">
        <f t="shared" si="39"/>
        <v>0</v>
      </c>
      <c r="BU115" s="17">
        <f t="shared" si="40"/>
        <v>0</v>
      </c>
      <c r="BV115" s="11">
        <f t="shared" si="41"/>
        <v>-9.9217261894517742E-3</v>
      </c>
      <c r="BX115" s="11">
        <f t="shared" si="42"/>
        <v>0</v>
      </c>
      <c r="BY115" s="11">
        <f t="shared" si="43"/>
        <v>2.2335141078960053E-3</v>
      </c>
    </row>
    <row r="116" spans="1:77" x14ac:dyDescent="0.3">
      <c r="A116" s="1">
        <v>46190</v>
      </c>
      <c r="B116" s="21">
        <v>29.6</v>
      </c>
      <c r="C116" s="21">
        <v>25.98</v>
      </c>
      <c r="D116" s="22">
        <v>1.6906174779074501E-3</v>
      </c>
      <c r="E116" s="22">
        <v>1.9264116918803901E-3</v>
      </c>
      <c r="F116" s="21">
        <v>0</v>
      </c>
      <c r="G116" s="21">
        <v>0.1</v>
      </c>
      <c r="H116" s="21">
        <v>0</v>
      </c>
      <c r="I116" s="21">
        <v>0.1</v>
      </c>
      <c r="J116" s="21">
        <v>0</v>
      </c>
      <c r="K116" s="21">
        <v>0</v>
      </c>
      <c r="L116" s="21">
        <v>29.6</v>
      </c>
      <c r="M116" s="21">
        <v>25.98</v>
      </c>
      <c r="N116" s="23">
        <v>0.87770270270270201</v>
      </c>
      <c r="O116" s="23">
        <v>0.87815704628300895</v>
      </c>
      <c r="P116" s="23">
        <v>0.87509559008809601</v>
      </c>
      <c r="Q116" s="23">
        <v>0.87417939430573999</v>
      </c>
      <c r="R116" s="21">
        <v>25.993448569977001</v>
      </c>
      <c r="S116" s="21">
        <v>25.890610821403001</v>
      </c>
      <c r="T116" s="21">
        <v>25.866487554013801</v>
      </c>
      <c r="U116" s="22">
        <v>5.1751694941400898E-4</v>
      </c>
      <c r="V116" s="22">
        <v>-3.4466248101131399E-3</v>
      </c>
      <c r="W116" s="22">
        <v>-4.3787972035917097E-3</v>
      </c>
      <c r="X116" s="23">
        <v>0.87770270270270201</v>
      </c>
      <c r="Y116" s="23">
        <v>0.87815704628300895</v>
      </c>
      <c r="Z116" s="23">
        <v>0.87509559008809601</v>
      </c>
      <c r="AA116" s="23">
        <v>0.87417939430573999</v>
      </c>
      <c r="AB116" s="21">
        <v>25.993448569977001</v>
      </c>
      <c r="AC116" s="21">
        <v>25.890610821403001</v>
      </c>
      <c r="AD116" s="21">
        <v>25.866487554013801</v>
      </c>
      <c r="AE116" s="22">
        <v>5.1751694941400898E-4</v>
      </c>
      <c r="AF116" s="22">
        <v>-3.4466248101131399E-3</v>
      </c>
      <c r="AG116" s="22">
        <v>-4.3787972035917097E-3</v>
      </c>
      <c r="AZ116" s="17"/>
      <c r="BB116">
        <f t="shared" si="26"/>
        <v>0</v>
      </c>
      <c r="BC116">
        <f t="shared" si="27"/>
        <v>0</v>
      </c>
      <c r="BD116">
        <f t="shared" si="28"/>
        <v>0</v>
      </c>
      <c r="BE116">
        <f t="shared" si="24"/>
        <v>1</v>
      </c>
      <c r="BF116">
        <f t="shared" si="29"/>
        <v>0</v>
      </c>
      <c r="BG116" s="17">
        <f t="shared" si="30"/>
        <v>0</v>
      </c>
      <c r="BH116" s="17">
        <f t="shared" si="31"/>
        <v>0</v>
      </c>
      <c r="BI116" s="17">
        <f t="shared" si="32"/>
        <v>0</v>
      </c>
      <c r="BJ116" s="11">
        <f t="shared" si="33"/>
        <v>1.215524029734778E-2</v>
      </c>
      <c r="BL116" s="17"/>
      <c r="BN116">
        <f t="shared" si="34"/>
        <v>0</v>
      </c>
      <c r="BO116">
        <f t="shared" si="35"/>
        <v>1</v>
      </c>
      <c r="BP116">
        <f t="shared" si="36"/>
        <v>0</v>
      </c>
      <c r="BQ116">
        <f t="shared" si="25"/>
        <v>1</v>
      </c>
      <c r="BR116">
        <f t="shared" si="37"/>
        <v>0</v>
      </c>
      <c r="BS116" s="17">
        <f t="shared" si="38"/>
        <v>0</v>
      </c>
      <c r="BT116" s="17">
        <f t="shared" si="39"/>
        <v>0</v>
      </c>
      <c r="BU116" s="17">
        <f t="shared" si="40"/>
        <v>0</v>
      </c>
      <c r="BV116" s="11">
        <f t="shared" si="41"/>
        <v>-9.9217261894517742E-3</v>
      </c>
      <c r="BX116" s="11">
        <f t="shared" si="42"/>
        <v>0</v>
      </c>
      <c r="BY116" s="11">
        <f t="shared" si="43"/>
        <v>2.2335141078960053E-3</v>
      </c>
    </row>
    <row r="117" spans="1:77" x14ac:dyDescent="0.3">
      <c r="A117" s="1">
        <v>46191</v>
      </c>
      <c r="B117" s="21">
        <v>28.75</v>
      </c>
      <c r="C117" s="21">
        <v>25.28</v>
      </c>
      <c r="D117" s="22">
        <v>-2.9136594086655199E-2</v>
      </c>
      <c r="E117" s="22">
        <v>-2.73134419637967E-2</v>
      </c>
      <c r="F117" s="21">
        <v>0</v>
      </c>
      <c r="G117" s="21">
        <v>0.1</v>
      </c>
      <c r="H117" s="21">
        <v>0</v>
      </c>
      <c r="I117" s="21">
        <v>0.1</v>
      </c>
      <c r="J117" s="21">
        <v>0</v>
      </c>
      <c r="K117" s="21">
        <v>0</v>
      </c>
      <c r="L117" s="21">
        <v>28.75</v>
      </c>
      <c r="M117" s="21">
        <v>25.28</v>
      </c>
      <c r="N117" s="23">
        <v>0.87930434782608702</v>
      </c>
      <c r="O117" s="23">
        <v>0.87815704628300895</v>
      </c>
      <c r="P117" s="23">
        <v>0.87582654468876797</v>
      </c>
      <c r="Q117" s="23">
        <v>0.87476077331320601</v>
      </c>
      <c r="R117" s="21">
        <v>25.247015080636501</v>
      </c>
      <c r="S117" s="21">
        <v>25.1589982150327</v>
      </c>
      <c r="T117" s="21">
        <v>25.132657586290001</v>
      </c>
      <c r="U117" s="22">
        <v>-1.3056351734446301E-3</v>
      </c>
      <c r="V117" s="22">
        <v>-4.7979548117421198E-3</v>
      </c>
      <c r="W117" s="22">
        <v>-5.8454697814377702E-3</v>
      </c>
      <c r="X117" s="23">
        <v>0.87930434782608702</v>
      </c>
      <c r="Y117" s="23">
        <v>0.87815704628300895</v>
      </c>
      <c r="Z117" s="23">
        <v>0.87582654468876797</v>
      </c>
      <c r="AA117" s="23">
        <v>0.87476077331320601</v>
      </c>
      <c r="AB117" s="21">
        <v>25.247015080636501</v>
      </c>
      <c r="AC117" s="21">
        <v>25.1589982150327</v>
      </c>
      <c r="AD117" s="21">
        <v>25.132657586290001</v>
      </c>
      <c r="AE117" s="22">
        <v>-1.3056351734446301E-3</v>
      </c>
      <c r="AF117" s="22">
        <v>-4.7979548117421198E-3</v>
      </c>
      <c r="AG117" s="22">
        <v>-5.8454697814377702E-3</v>
      </c>
      <c r="AZ117" s="17"/>
      <c r="BB117">
        <f t="shared" si="26"/>
        <v>0</v>
      </c>
      <c r="BC117">
        <f t="shared" si="27"/>
        <v>0</v>
      </c>
      <c r="BD117">
        <f t="shared" si="28"/>
        <v>0</v>
      </c>
      <c r="BE117">
        <f t="shared" si="24"/>
        <v>1</v>
      </c>
      <c r="BF117">
        <f t="shared" si="29"/>
        <v>0</v>
      </c>
      <c r="BG117" s="17">
        <f t="shared" si="30"/>
        <v>0</v>
      </c>
      <c r="BH117" s="17">
        <f t="shared" si="31"/>
        <v>0</v>
      </c>
      <c r="BI117" s="17">
        <f t="shared" si="32"/>
        <v>0</v>
      </c>
      <c r="BJ117" s="11">
        <f t="shared" si="33"/>
        <v>1.215524029734778E-2</v>
      </c>
      <c r="BL117" s="17"/>
      <c r="BN117">
        <f t="shared" si="34"/>
        <v>0</v>
      </c>
      <c r="BO117">
        <f t="shared" si="35"/>
        <v>1</v>
      </c>
      <c r="BP117">
        <f t="shared" si="36"/>
        <v>0</v>
      </c>
      <c r="BQ117">
        <f t="shared" si="25"/>
        <v>1</v>
      </c>
      <c r="BR117">
        <f t="shared" si="37"/>
        <v>0</v>
      </c>
      <c r="BS117" s="17">
        <f t="shared" si="38"/>
        <v>0</v>
      </c>
      <c r="BT117" s="17">
        <f t="shared" si="39"/>
        <v>0</v>
      </c>
      <c r="BU117" s="17">
        <f t="shared" si="40"/>
        <v>0</v>
      </c>
      <c r="BV117" s="11">
        <f t="shared" si="41"/>
        <v>-9.9217261894517742E-3</v>
      </c>
      <c r="BX117" s="11">
        <f t="shared" si="42"/>
        <v>0</v>
      </c>
      <c r="BY117" s="11">
        <f t="shared" si="43"/>
        <v>2.2335141078960053E-3</v>
      </c>
    </row>
    <row r="118" spans="1:77" x14ac:dyDescent="0.3">
      <c r="A118" s="1">
        <v>46195</v>
      </c>
      <c r="B118" s="21">
        <v>27.92</v>
      </c>
      <c r="C118" s="21">
        <v>24.61</v>
      </c>
      <c r="D118" s="22">
        <v>-2.9294489349187599E-2</v>
      </c>
      <c r="E118" s="22">
        <v>-2.6860704875692198E-2</v>
      </c>
      <c r="F118" s="21">
        <v>0</v>
      </c>
      <c r="G118" s="21">
        <v>0.1</v>
      </c>
      <c r="H118" s="21">
        <v>0</v>
      </c>
      <c r="I118" s="21">
        <v>0.1</v>
      </c>
      <c r="J118" s="21">
        <v>0</v>
      </c>
      <c r="K118" s="21">
        <v>0</v>
      </c>
      <c r="L118" s="21">
        <v>27.92</v>
      </c>
      <c r="M118" s="21">
        <v>24.61</v>
      </c>
      <c r="N118" s="23">
        <v>0.88144699140401095</v>
      </c>
      <c r="O118" s="23">
        <v>0.87815704628300895</v>
      </c>
      <c r="P118" s="23">
        <v>0.87657143619851896</v>
      </c>
      <c r="Q118" s="23">
        <v>0.87518285692595998</v>
      </c>
      <c r="R118" s="21">
        <v>24.5181447322216</v>
      </c>
      <c r="S118" s="21">
        <v>24.453077127710401</v>
      </c>
      <c r="T118" s="21">
        <v>24.4233207909047</v>
      </c>
      <c r="U118" s="22">
        <v>-3.7394196469399299E-3</v>
      </c>
      <c r="V118" s="22">
        <v>-6.3968025069333903E-3</v>
      </c>
      <c r="W118" s="22">
        <v>-7.6144184421997798E-3</v>
      </c>
      <c r="X118" s="23">
        <v>0.88144699140401095</v>
      </c>
      <c r="Y118" s="23">
        <v>0.87815704628300895</v>
      </c>
      <c r="Z118" s="23">
        <v>0.87657143619851896</v>
      </c>
      <c r="AA118" s="23">
        <v>0.87518285692595998</v>
      </c>
      <c r="AB118" s="21">
        <v>24.5181447322216</v>
      </c>
      <c r="AC118" s="21">
        <v>24.453077127710401</v>
      </c>
      <c r="AD118" s="21">
        <v>24.4233207909047</v>
      </c>
      <c r="AE118" s="22">
        <v>-3.7394196469399299E-3</v>
      </c>
      <c r="AF118" s="22">
        <v>-6.3968025069333903E-3</v>
      </c>
      <c r="AG118" s="22">
        <v>-7.6144184421997798E-3</v>
      </c>
      <c r="AZ118" s="17"/>
      <c r="BB118">
        <f t="shared" si="26"/>
        <v>0</v>
      </c>
      <c r="BC118">
        <f t="shared" si="27"/>
        <v>0</v>
      </c>
      <c r="BD118">
        <f t="shared" si="28"/>
        <v>0</v>
      </c>
      <c r="BE118">
        <f t="shared" si="24"/>
        <v>1</v>
      </c>
      <c r="BF118">
        <f t="shared" si="29"/>
        <v>0</v>
      </c>
      <c r="BG118" s="17">
        <f t="shared" si="30"/>
        <v>0</v>
      </c>
      <c r="BH118" s="17">
        <f t="shared" si="31"/>
        <v>0</v>
      </c>
      <c r="BI118" s="17">
        <f t="shared" si="32"/>
        <v>0</v>
      </c>
      <c r="BJ118" s="11">
        <f t="shared" si="33"/>
        <v>1.215524029734778E-2</v>
      </c>
      <c r="BL118" s="17"/>
      <c r="BN118">
        <f t="shared" si="34"/>
        <v>0</v>
      </c>
      <c r="BO118">
        <f t="shared" si="35"/>
        <v>1</v>
      </c>
      <c r="BP118">
        <f t="shared" si="36"/>
        <v>0</v>
      </c>
      <c r="BQ118">
        <f t="shared" si="25"/>
        <v>1</v>
      </c>
      <c r="BR118">
        <f t="shared" si="37"/>
        <v>0</v>
      </c>
      <c r="BS118" s="17">
        <f t="shared" si="38"/>
        <v>0</v>
      </c>
      <c r="BT118" s="17">
        <f t="shared" si="39"/>
        <v>0</v>
      </c>
      <c r="BU118" s="17">
        <f t="shared" si="40"/>
        <v>0</v>
      </c>
      <c r="BV118" s="11">
        <f t="shared" si="41"/>
        <v>-9.9217261894517742E-3</v>
      </c>
      <c r="BX118" s="11">
        <f t="shared" si="42"/>
        <v>0</v>
      </c>
      <c r="BY118" s="11">
        <f t="shared" si="43"/>
        <v>2.2335141078960053E-3</v>
      </c>
    </row>
    <row r="119" spans="1:77" x14ac:dyDescent="0.3">
      <c r="A119" s="1">
        <v>46196</v>
      </c>
      <c r="B119" s="21">
        <v>28.3</v>
      </c>
      <c r="C119" s="21">
        <v>24.98</v>
      </c>
      <c r="D119" s="22">
        <v>1.35185267550201E-2</v>
      </c>
      <c r="E119" s="22">
        <v>1.4922640294467099E-2</v>
      </c>
      <c r="F119" s="21">
        <v>0</v>
      </c>
      <c r="G119" s="21">
        <v>0.1</v>
      </c>
      <c r="H119" s="21">
        <v>0</v>
      </c>
      <c r="I119" s="21">
        <v>0.1</v>
      </c>
      <c r="J119" s="21">
        <v>0</v>
      </c>
      <c r="K119" s="21">
        <v>0</v>
      </c>
      <c r="L119" s="21">
        <v>28.3</v>
      </c>
      <c r="M119" s="21">
        <v>24.98</v>
      </c>
      <c r="N119" s="23">
        <v>0.88268551236749104</v>
      </c>
      <c r="O119" s="23">
        <v>0.87815704628300895</v>
      </c>
      <c r="P119" s="23">
        <v>0.87763405768986003</v>
      </c>
      <c r="Q119" s="23">
        <v>0.87570190343382204</v>
      </c>
      <c r="R119" s="21">
        <v>24.8518444098091</v>
      </c>
      <c r="S119" s="21">
        <v>24.806971644417999</v>
      </c>
      <c r="T119" s="21">
        <v>24.7676748510046</v>
      </c>
      <c r="U119" s="22">
        <v>-5.1435331863868899E-3</v>
      </c>
      <c r="V119" s="22">
        <v>-6.9507763375494698E-3</v>
      </c>
      <c r="W119" s="22">
        <v>-8.5361351619488296E-3</v>
      </c>
      <c r="X119" s="23">
        <v>0.88268551236749104</v>
      </c>
      <c r="Y119" s="23">
        <v>0.87815704628300895</v>
      </c>
      <c r="Z119" s="23">
        <v>0.87763405768986003</v>
      </c>
      <c r="AA119" s="23">
        <v>0.87570190343382204</v>
      </c>
      <c r="AB119" s="21">
        <v>24.8518444098091</v>
      </c>
      <c r="AC119" s="21">
        <v>24.806971644417999</v>
      </c>
      <c r="AD119" s="21">
        <v>24.7676748510046</v>
      </c>
      <c r="AE119" s="22">
        <v>-5.1435331863868899E-3</v>
      </c>
      <c r="AF119" s="22">
        <v>-6.9507763375494698E-3</v>
      </c>
      <c r="AG119" s="22">
        <v>-8.5361351619488296E-3</v>
      </c>
      <c r="AZ119" s="17"/>
      <c r="BB119">
        <f t="shared" si="26"/>
        <v>0</v>
      </c>
      <c r="BC119">
        <f t="shared" si="27"/>
        <v>0</v>
      </c>
      <c r="BD119">
        <f t="shared" si="28"/>
        <v>0</v>
      </c>
      <c r="BE119">
        <f t="shared" si="24"/>
        <v>1</v>
      </c>
      <c r="BF119">
        <f t="shared" si="29"/>
        <v>0</v>
      </c>
      <c r="BG119" s="17">
        <f t="shared" si="30"/>
        <v>0</v>
      </c>
      <c r="BH119" s="17">
        <f t="shared" si="31"/>
        <v>0</v>
      </c>
      <c r="BI119" s="17">
        <f t="shared" si="32"/>
        <v>0</v>
      </c>
      <c r="BJ119" s="11">
        <f t="shared" si="33"/>
        <v>1.215524029734778E-2</v>
      </c>
      <c r="BL119" s="17"/>
      <c r="BN119">
        <f t="shared" si="34"/>
        <v>0</v>
      </c>
      <c r="BO119">
        <f t="shared" si="35"/>
        <v>1</v>
      </c>
      <c r="BP119">
        <f t="shared" si="36"/>
        <v>0</v>
      </c>
      <c r="BQ119">
        <f t="shared" si="25"/>
        <v>1</v>
      </c>
      <c r="BR119">
        <f t="shared" si="37"/>
        <v>0</v>
      </c>
      <c r="BS119" s="17">
        <f t="shared" si="38"/>
        <v>0</v>
      </c>
      <c r="BT119" s="17">
        <f t="shared" si="39"/>
        <v>0</v>
      </c>
      <c r="BU119" s="17">
        <f t="shared" si="40"/>
        <v>0</v>
      </c>
      <c r="BV119" s="11">
        <f t="shared" si="41"/>
        <v>-9.9217261894517742E-3</v>
      </c>
      <c r="BX119" s="11">
        <f t="shared" si="42"/>
        <v>0</v>
      </c>
      <c r="BY119" s="11">
        <f t="shared" si="43"/>
        <v>2.2335141078960053E-3</v>
      </c>
    </row>
    <row r="120" spans="1:77" x14ac:dyDescent="0.3">
      <c r="A120" s="1">
        <v>46197</v>
      </c>
      <c r="B120" s="21">
        <v>28.53</v>
      </c>
      <c r="C120" s="21">
        <v>25.23</v>
      </c>
      <c r="D120" s="22">
        <v>8.0943605762167897E-3</v>
      </c>
      <c r="E120" s="22">
        <v>9.9582579555346599E-3</v>
      </c>
      <c r="F120" s="21">
        <v>0</v>
      </c>
      <c r="G120" s="21">
        <v>0.1</v>
      </c>
      <c r="H120" s="21">
        <v>0</v>
      </c>
      <c r="I120" s="21">
        <v>0.1</v>
      </c>
      <c r="J120" s="21">
        <v>0</v>
      </c>
      <c r="K120" s="21">
        <v>0</v>
      </c>
      <c r="L120" s="21">
        <v>28.53</v>
      </c>
      <c r="M120" s="21">
        <v>25.23</v>
      </c>
      <c r="N120" s="23">
        <v>0.884332281808622</v>
      </c>
      <c r="O120" s="23">
        <v>0.87815704628300895</v>
      </c>
      <c r="P120" s="23">
        <v>0.87849484543286005</v>
      </c>
      <c r="Q120" s="23">
        <v>0.876178951581015</v>
      </c>
      <c r="R120" s="21">
        <v>25.0538205304542</v>
      </c>
      <c r="S120" s="21">
        <v>25.038899665891702</v>
      </c>
      <c r="T120" s="21">
        <v>24.983775304966901</v>
      </c>
      <c r="U120" s="22">
        <v>-7.0074305657049198E-3</v>
      </c>
      <c r="V120" s="22">
        <v>-7.6031604420354797E-3</v>
      </c>
      <c r="W120" s="22">
        <v>-9.80713626982916E-3</v>
      </c>
      <c r="X120" s="23">
        <v>0.884332281808622</v>
      </c>
      <c r="Y120" s="23">
        <v>0.87815704628300895</v>
      </c>
      <c r="Z120" s="23">
        <v>0.87849484543286005</v>
      </c>
      <c r="AA120" s="23">
        <v>0.876178951581015</v>
      </c>
      <c r="AB120" s="21">
        <v>25.0538205304542</v>
      </c>
      <c r="AC120" s="21">
        <v>25.038899665891702</v>
      </c>
      <c r="AD120" s="21">
        <v>24.983775304966901</v>
      </c>
      <c r="AE120" s="22">
        <v>-7.0074305657049198E-3</v>
      </c>
      <c r="AF120" s="22">
        <v>-7.6031604420354797E-3</v>
      </c>
      <c r="AG120" s="22">
        <v>-9.80713626982916E-3</v>
      </c>
      <c r="AZ120" s="17"/>
      <c r="BB120">
        <f t="shared" si="26"/>
        <v>0</v>
      </c>
      <c r="BC120">
        <f t="shared" si="27"/>
        <v>0</v>
      </c>
      <c r="BD120">
        <f t="shared" si="28"/>
        <v>0</v>
      </c>
      <c r="BE120">
        <f t="shared" si="24"/>
        <v>1</v>
      </c>
      <c r="BF120">
        <f t="shared" si="29"/>
        <v>0</v>
      </c>
      <c r="BG120" s="17">
        <f t="shared" si="30"/>
        <v>0</v>
      </c>
      <c r="BH120" s="17">
        <f t="shared" si="31"/>
        <v>0</v>
      </c>
      <c r="BI120" s="17">
        <f t="shared" si="32"/>
        <v>0</v>
      </c>
      <c r="BJ120" s="11">
        <f t="shared" si="33"/>
        <v>1.215524029734778E-2</v>
      </c>
      <c r="BL120" s="17"/>
      <c r="BN120">
        <f t="shared" si="34"/>
        <v>0</v>
      </c>
      <c r="BO120">
        <f t="shared" si="35"/>
        <v>1</v>
      </c>
      <c r="BP120">
        <f t="shared" si="36"/>
        <v>0</v>
      </c>
      <c r="BQ120">
        <f t="shared" si="25"/>
        <v>1</v>
      </c>
      <c r="BR120">
        <f t="shared" si="37"/>
        <v>0</v>
      </c>
      <c r="BS120" s="17">
        <f t="shared" si="38"/>
        <v>0</v>
      </c>
      <c r="BT120" s="17">
        <f t="shared" si="39"/>
        <v>0</v>
      </c>
      <c r="BU120" s="17">
        <f t="shared" si="40"/>
        <v>0</v>
      </c>
      <c r="BV120" s="11">
        <f t="shared" si="41"/>
        <v>-9.9217261894517742E-3</v>
      </c>
      <c r="BX120" s="11">
        <f t="shared" si="42"/>
        <v>0</v>
      </c>
      <c r="BY120" s="11">
        <f t="shared" si="43"/>
        <v>2.2335141078960053E-3</v>
      </c>
    </row>
    <row r="121" spans="1:77" x14ac:dyDescent="0.3">
      <c r="A121" s="1">
        <v>46198</v>
      </c>
      <c r="B121" s="21">
        <v>28.34</v>
      </c>
      <c r="C121" s="21">
        <v>25.03</v>
      </c>
      <c r="D121" s="22">
        <v>-6.6819309628742404E-3</v>
      </c>
      <c r="E121" s="22">
        <v>-7.9586572092834994E-3</v>
      </c>
      <c r="F121" s="21">
        <v>0</v>
      </c>
      <c r="G121" s="21">
        <v>0.1</v>
      </c>
      <c r="H121" s="21">
        <v>0</v>
      </c>
      <c r="I121" s="21">
        <v>0.1</v>
      </c>
      <c r="J121" s="21">
        <v>0</v>
      </c>
      <c r="K121" s="21">
        <v>0</v>
      </c>
      <c r="L121" s="21">
        <v>28.34</v>
      </c>
      <c r="M121" s="21">
        <v>25.03</v>
      </c>
      <c r="N121" s="23">
        <v>0.88320395201129098</v>
      </c>
      <c r="O121" s="23">
        <v>0.87815704628300895</v>
      </c>
      <c r="P121" s="23">
        <v>0.87953368723593095</v>
      </c>
      <c r="Q121" s="23">
        <v>0.876673248295462</v>
      </c>
      <c r="R121" s="21">
        <v>24.886970691660402</v>
      </c>
      <c r="S121" s="21">
        <v>24.8965439195672</v>
      </c>
      <c r="T121" s="21">
        <v>24.830911487805899</v>
      </c>
      <c r="U121" s="22">
        <v>-5.7307043192957397E-3</v>
      </c>
      <c r="V121" s="22">
        <v>-5.3461100173649596E-3</v>
      </c>
      <c r="W121" s="22">
        <v>-7.9857974630190703E-3</v>
      </c>
      <c r="X121" s="23">
        <v>0.88320395201129098</v>
      </c>
      <c r="Y121" s="23">
        <v>0.87815704628300895</v>
      </c>
      <c r="Z121" s="23">
        <v>0.87953368723593095</v>
      </c>
      <c r="AA121" s="23">
        <v>0.876673248295462</v>
      </c>
      <c r="AB121" s="21">
        <v>24.886970691660402</v>
      </c>
      <c r="AC121" s="21">
        <v>24.8965439195672</v>
      </c>
      <c r="AD121" s="21">
        <v>24.830911487805899</v>
      </c>
      <c r="AE121" s="22">
        <v>-5.7307043192957397E-3</v>
      </c>
      <c r="AF121" s="22">
        <v>-5.3461100173649596E-3</v>
      </c>
      <c r="AG121" s="22">
        <v>-7.9857974630190703E-3</v>
      </c>
      <c r="AZ121" s="17"/>
      <c r="BB121">
        <f t="shared" si="26"/>
        <v>0</v>
      </c>
      <c r="BC121">
        <f t="shared" si="27"/>
        <v>0</v>
      </c>
      <c r="BD121">
        <f t="shared" si="28"/>
        <v>0</v>
      </c>
      <c r="BE121">
        <f t="shared" si="24"/>
        <v>1</v>
      </c>
      <c r="BF121">
        <f t="shared" si="29"/>
        <v>0</v>
      </c>
      <c r="BG121" s="17">
        <f t="shared" si="30"/>
        <v>0</v>
      </c>
      <c r="BH121" s="17">
        <f t="shared" si="31"/>
        <v>0</v>
      </c>
      <c r="BI121" s="17">
        <f t="shared" si="32"/>
        <v>0</v>
      </c>
      <c r="BJ121" s="11">
        <f t="shared" si="33"/>
        <v>1.215524029734778E-2</v>
      </c>
      <c r="BL121" s="17"/>
      <c r="BN121">
        <f t="shared" si="34"/>
        <v>0</v>
      </c>
      <c r="BO121">
        <f t="shared" si="35"/>
        <v>1</v>
      </c>
      <c r="BP121">
        <f t="shared" si="36"/>
        <v>0</v>
      </c>
      <c r="BQ121">
        <f t="shared" si="25"/>
        <v>1</v>
      </c>
      <c r="BR121">
        <f t="shared" si="37"/>
        <v>0</v>
      </c>
      <c r="BS121" s="17">
        <f t="shared" si="38"/>
        <v>0</v>
      </c>
      <c r="BT121" s="17">
        <f t="shared" si="39"/>
        <v>0</v>
      </c>
      <c r="BU121" s="17">
        <f t="shared" si="40"/>
        <v>0</v>
      </c>
      <c r="BV121" s="11">
        <f t="shared" si="41"/>
        <v>-9.9217261894517742E-3</v>
      </c>
      <c r="BX121" s="11">
        <f t="shared" si="42"/>
        <v>0</v>
      </c>
      <c r="BY121" s="11">
        <f t="shared" si="43"/>
        <v>2.2335141078960053E-3</v>
      </c>
    </row>
    <row r="122" spans="1:77" x14ac:dyDescent="0.3">
      <c r="A122" s="1">
        <v>46199</v>
      </c>
      <c r="B122" s="21">
        <v>28.73</v>
      </c>
      <c r="C122" s="21">
        <v>25.41</v>
      </c>
      <c r="D122" s="22">
        <v>1.36676387286638E-2</v>
      </c>
      <c r="E122" s="22">
        <v>1.50676918883898E-2</v>
      </c>
      <c r="F122" s="21">
        <v>0</v>
      </c>
      <c r="G122" s="21">
        <v>0.1</v>
      </c>
      <c r="H122" s="21">
        <v>0</v>
      </c>
      <c r="I122" s="21">
        <v>0.1</v>
      </c>
      <c r="J122" s="21">
        <v>0</v>
      </c>
      <c r="K122" s="21">
        <v>0</v>
      </c>
      <c r="L122" s="21">
        <v>28.73</v>
      </c>
      <c r="M122" s="21">
        <v>25.41</v>
      </c>
      <c r="N122" s="23">
        <v>0.88444135050469896</v>
      </c>
      <c r="O122" s="23">
        <v>0.87815704628300895</v>
      </c>
      <c r="P122" s="23">
        <v>0.88068940542612895</v>
      </c>
      <c r="Q122" s="23">
        <v>0.87719063553065102</v>
      </c>
      <c r="R122" s="21">
        <v>25.229451939710799</v>
      </c>
      <c r="S122" s="21">
        <v>25.269002834288301</v>
      </c>
      <c r="T122" s="21">
        <v>25.1868224235286</v>
      </c>
      <c r="U122" s="22">
        <v>-7.13075747902188E-3</v>
      </c>
      <c r="V122" s="22">
        <v>-5.5643371661019203E-3</v>
      </c>
      <c r="W122" s="22">
        <v>-8.8218592861288407E-3</v>
      </c>
      <c r="X122" s="23">
        <v>0.88444135050469896</v>
      </c>
      <c r="Y122" s="23">
        <v>0.87815704628300895</v>
      </c>
      <c r="Z122" s="23">
        <v>0.88068940542612895</v>
      </c>
      <c r="AA122" s="23">
        <v>0.87719063553065102</v>
      </c>
      <c r="AB122" s="21">
        <v>25.229451939710799</v>
      </c>
      <c r="AC122" s="21">
        <v>25.269002834288301</v>
      </c>
      <c r="AD122" s="21">
        <v>25.1868224235286</v>
      </c>
      <c r="AE122" s="22">
        <v>-7.13075747902188E-3</v>
      </c>
      <c r="AF122" s="22">
        <v>-5.5643371661019203E-3</v>
      </c>
      <c r="AG122" s="22">
        <v>-8.8218592861288407E-3</v>
      </c>
      <c r="AZ122" s="17"/>
      <c r="BB122">
        <f t="shared" si="26"/>
        <v>0</v>
      </c>
      <c r="BC122">
        <f t="shared" si="27"/>
        <v>0</v>
      </c>
      <c r="BD122">
        <f t="shared" si="28"/>
        <v>0</v>
      </c>
      <c r="BE122">
        <f t="shared" si="24"/>
        <v>1</v>
      </c>
      <c r="BF122">
        <f t="shared" si="29"/>
        <v>0</v>
      </c>
      <c r="BG122" s="17">
        <f t="shared" si="30"/>
        <v>0</v>
      </c>
      <c r="BH122" s="17">
        <f t="shared" si="31"/>
        <v>0</v>
      </c>
      <c r="BI122" s="17">
        <f t="shared" si="32"/>
        <v>0</v>
      </c>
      <c r="BJ122" s="11">
        <f t="shared" si="33"/>
        <v>1.215524029734778E-2</v>
      </c>
      <c r="BL122" s="17"/>
      <c r="BN122">
        <f t="shared" si="34"/>
        <v>0</v>
      </c>
      <c r="BO122">
        <f t="shared" si="35"/>
        <v>1</v>
      </c>
      <c r="BP122">
        <f t="shared" si="36"/>
        <v>0</v>
      </c>
      <c r="BQ122">
        <f t="shared" si="25"/>
        <v>1</v>
      </c>
      <c r="BR122">
        <f t="shared" si="37"/>
        <v>0</v>
      </c>
      <c r="BS122" s="17">
        <f t="shared" si="38"/>
        <v>0</v>
      </c>
      <c r="BT122" s="17">
        <f t="shared" si="39"/>
        <v>0</v>
      </c>
      <c r="BU122" s="17">
        <f t="shared" si="40"/>
        <v>0</v>
      </c>
      <c r="BV122" s="11">
        <f t="shared" si="41"/>
        <v>-9.9217261894517742E-3</v>
      </c>
      <c r="BX122" s="11">
        <f t="shared" si="42"/>
        <v>0</v>
      </c>
      <c r="BY122" s="11">
        <f t="shared" si="43"/>
        <v>2.2335141078960053E-3</v>
      </c>
    </row>
    <row r="123" spans="1:77" x14ac:dyDescent="0.3">
      <c r="A123" s="1">
        <v>46202</v>
      </c>
      <c r="B123" s="21">
        <v>28.55</v>
      </c>
      <c r="C123" s="21">
        <v>25.26</v>
      </c>
      <c r="D123" s="22">
        <v>-6.2849368891789402E-3</v>
      </c>
      <c r="E123" s="22">
        <v>-5.9206804097275603E-3</v>
      </c>
      <c r="F123" s="21">
        <v>0</v>
      </c>
      <c r="G123" s="21">
        <v>0.1</v>
      </c>
      <c r="H123" s="21">
        <v>0</v>
      </c>
      <c r="I123" s="21">
        <v>0.1</v>
      </c>
      <c r="J123" s="21">
        <v>0</v>
      </c>
      <c r="K123" s="21">
        <v>0</v>
      </c>
      <c r="L123" s="21">
        <v>28.55</v>
      </c>
      <c r="M123" s="21">
        <v>25.26</v>
      </c>
      <c r="N123" s="23">
        <v>0.884763572679509</v>
      </c>
      <c r="O123" s="23">
        <v>0.87815704628300895</v>
      </c>
      <c r="P123" s="23">
        <v>0.88140089598184501</v>
      </c>
      <c r="Q123" s="23">
        <v>0.87766623871190996</v>
      </c>
      <c r="R123" s="21">
        <v>25.071383671379898</v>
      </c>
      <c r="S123" s="21">
        <v>25.143682524915899</v>
      </c>
      <c r="T123" s="21">
        <v>25.0437926444</v>
      </c>
      <c r="U123" s="22">
        <v>-7.4950139584731203E-3</v>
      </c>
      <c r="V123" s="22">
        <v>-4.6154437828013796E-3</v>
      </c>
      <c r="W123" s="22">
        <v>-8.5961187253669295E-3</v>
      </c>
      <c r="X123" s="23">
        <v>0.884763572679509</v>
      </c>
      <c r="Y123" s="23">
        <v>0.87815704628300895</v>
      </c>
      <c r="Z123" s="23">
        <v>0.88140089598184501</v>
      </c>
      <c r="AA123" s="23">
        <v>0.87766623871190996</v>
      </c>
      <c r="AB123" s="21">
        <v>25.071383671379898</v>
      </c>
      <c r="AC123" s="21">
        <v>25.143682524915899</v>
      </c>
      <c r="AD123" s="21">
        <v>25.0437926444</v>
      </c>
      <c r="AE123" s="22">
        <v>-7.4950139584731203E-3</v>
      </c>
      <c r="AF123" s="22">
        <v>-4.6154437828013796E-3</v>
      </c>
      <c r="AG123" s="22">
        <v>-8.5961187253669295E-3</v>
      </c>
      <c r="AZ123" s="17"/>
      <c r="BB123">
        <f t="shared" si="26"/>
        <v>0</v>
      </c>
      <c r="BC123">
        <f t="shared" si="27"/>
        <v>0</v>
      </c>
      <c r="BD123">
        <f t="shared" si="28"/>
        <v>0</v>
      </c>
      <c r="BE123">
        <f t="shared" si="24"/>
        <v>1</v>
      </c>
      <c r="BF123">
        <f t="shared" si="29"/>
        <v>0</v>
      </c>
      <c r="BG123" s="17">
        <f t="shared" si="30"/>
        <v>0</v>
      </c>
      <c r="BH123" s="17">
        <f t="shared" si="31"/>
        <v>0</v>
      </c>
      <c r="BI123" s="17">
        <f t="shared" si="32"/>
        <v>0</v>
      </c>
      <c r="BJ123" s="11">
        <f t="shared" si="33"/>
        <v>1.215524029734778E-2</v>
      </c>
      <c r="BL123" s="17"/>
      <c r="BN123">
        <f t="shared" si="34"/>
        <v>0</v>
      </c>
      <c r="BO123">
        <f t="shared" si="35"/>
        <v>1</v>
      </c>
      <c r="BP123">
        <f t="shared" si="36"/>
        <v>0</v>
      </c>
      <c r="BQ123">
        <f t="shared" si="25"/>
        <v>1</v>
      </c>
      <c r="BR123">
        <f t="shared" si="37"/>
        <v>0</v>
      </c>
      <c r="BS123" s="17">
        <f t="shared" si="38"/>
        <v>0</v>
      </c>
      <c r="BT123" s="17">
        <f t="shared" si="39"/>
        <v>0</v>
      </c>
      <c r="BU123" s="17">
        <f t="shared" si="40"/>
        <v>0</v>
      </c>
      <c r="BV123" s="11">
        <f t="shared" si="41"/>
        <v>-9.9217261894517742E-3</v>
      </c>
      <c r="BX123" s="11">
        <f t="shared" si="42"/>
        <v>0</v>
      </c>
      <c r="BY123" s="11">
        <f t="shared" si="43"/>
        <v>2.2335141078960053E-3</v>
      </c>
    </row>
    <row r="124" spans="1:77" x14ac:dyDescent="0.3">
      <c r="A124" s="1">
        <v>46203</v>
      </c>
      <c r="B124" s="21">
        <v>28.06</v>
      </c>
      <c r="C124" s="21">
        <v>24.83</v>
      </c>
      <c r="D124" s="22">
        <v>-1.73118614277043E-2</v>
      </c>
      <c r="E124" s="22">
        <v>-1.71695174022699E-2</v>
      </c>
      <c r="F124" s="21">
        <v>0</v>
      </c>
      <c r="G124" s="21">
        <v>0.1</v>
      </c>
      <c r="H124" s="21">
        <v>0</v>
      </c>
      <c r="I124" s="21">
        <v>0.1</v>
      </c>
      <c r="J124" s="21">
        <v>0</v>
      </c>
      <c r="K124" s="21">
        <v>0</v>
      </c>
      <c r="L124" s="21">
        <v>28.06</v>
      </c>
      <c r="M124" s="21">
        <v>24.83</v>
      </c>
      <c r="N124" s="23">
        <v>0.88488952245188801</v>
      </c>
      <c r="O124" s="23">
        <v>0.87815704628300895</v>
      </c>
      <c r="P124" s="23">
        <v>0.882026600363786</v>
      </c>
      <c r="Q124" s="23">
        <v>0.87823405251377396</v>
      </c>
      <c r="R124" s="21">
        <v>24.641086718701199</v>
      </c>
      <c r="S124" s="21">
        <v>24.732109141250501</v>
      </c>
      <c r="T124" s="21">
        <v>24.6273146582562</v>
      </c>
      <c r="U124" s="22">
        <v>-7.6373579839076203E-3</v>
      </c>
      <c r="V124" s="22">
        <v>-3.9502348765688396E-3</v>
      </c>
      <c r="W124" s="22">
        <v>-8.1964206049319494E-3</v>
      </c>
      <c r="X124" s="23">
        <v>0.88488952245188801</v>
      </c>
      <c r="Y124" s="23">
        <v>0.87815704628300895</v>
      </c>
      <c r="Z124" s="23">
        <v>0.882026600363786</v>
      </c>
      <c r="AA124" s="23">
        <v>0.87823405251377396</v>
      </c>
      <c r="AB124" s="21">
        <v>24.641086718701199</v>
      </c>
      <c r="AC124" s="21">
        <v>24.732109141250501</v>
      </c>
      <c r="AD124" s="21">
        <v>24.6273146582562</v>
      </c>
      <c r="AE124" s="22">
        <v>-7.6373579839076203E-3</v>
      </c>
      <c r="AF124" s="22">
        <v>-3.9502348765688396E-3</v>
      </c>
      <c r="AG124" s="22">
        <v>-8.1964206049319494E-3</v>
      </c>
      <c r="AZ124" s="17"/>
      <c r="BB124">
        <f t="shared" si="26"/>
        <v>0</v>
      </c>
      <c r="BC124">
        <f t="shared" si="27"/>
        <v>0</v>
      </c>
      <c r="BD124">
        <f t="shared" si="28"/>
        <v>0</v>
      </c>
      <c r="BE124">
        <f t="shared" si="24"/>
        <v>1</v>
      </c>
      <c r="BF124">
        <f t="shared" si="29"/>
        <v>0</v>
      </c>
      <c r="BG124" s="17">
        <f t="shared" si="30"/>
        <v>0</v>
      </c>
      <c r="BH124" s="17">
        <f t="shared" si="31"/>
        <v>0</v>
      </c>
      <c r="BI124" s="17">
        <f t="shared" si="32"/>
        <v>0</v>
      </c>
      <c r="BJ124" s="11">
        <f t="shared" si="33"/>
        <v>1.215524029734778E-2</v>
      </c>
      <c r="BL124" s="17"/>
      <c r="BN124">
        <f t="shared" si="34"/>
        <v>0</v>
      </c>
      <c r="BO124">
        <f t="shared" si="35"/>
        <v>1</v>
      </c>
      <c r="BP124">
        <f t="shared" si="36"/>
        <v>0</v>
      </c>
      <c r="BQ124">
        <f t="shared" si="25"/>
        <v>1</v>
      </c>
      <c r="BR124">
        <f t="shared" si="37"/>
        <v>0</v>
      </c>
      <c r="BS124" s="17">
        <f t="shared" si="38"/>
        <v>0</v>
      </c>
      <c r="BT124" s="17">
        <f t="shared" si="39"/>
        <v>0</v>
      </c>
      <c r="BU124" s="17">
        <f t="shared" si="40"/>
        <v>0</v>
      </c>
      <c r="BV124" s="11">
        <f t="shared" si="41"/>
        <v>-9.9217261894517742E-3</v>
      </c>
      <c r="BX124" s="11">
        <f t="shared" si="42"/>
        <v>0</v>
      </c>
      <c r="BY124" s="11">
        <f t="shared" si="43"/>
        <v>2.2335141078960053E-3</v>
      </c>
    </row>
    <row r="125" spans="1:77" x14ac:dyDescent="0.3">
      <c r="A125" s="1">
        <v>46204</v>
      </c>
      <c r="B125" s="21">
        <v>29.25</v>
      </c>
      <c r="C125" s="21">
        <v>25.78</v>
      </c>
      <c r="D125" s="22">
        <v>4.1534499003550503E-2</v>
      </c>
      <c r="E125" s="22">
        <v>3.7546397990966103E-2</v>
      </c>
      <c r="F125" s="21">
        <v>0</v>
      </c>
      <c r="G125" s="21">
        <v>0.1</v>
      </c>
      <c r="H125" s="21">
        <v>0</v>
      </c>
      <c r="I125" s="21">
        <v>0.1</v>
      </c>
      <c r="J125" s="21">
        <v>0</v>
      </c>
      <c r="K125" s="21">
        <v>0</v>
      </c>
      <c r="L125" s="21">
        <v>29.25</v>
      </c>
      <c r="M125" s="21">
        <v>25.78</v>
      </c>
      <c r="N125" s="23">
        <v>0.88136752136752095</v>
      </c>
      <c r="O125" s="23">
        <v>0.87815704628300895</v>
      </c>
      <c r="P125" s="23">
        <v>0.88241377551238198</v>
      </c>
      <c r="Q125" s="23">
        <v>0.87854828676637797</v>
      </c>
      <c r="R125" s="21">
        <v>25.686093603778001</v>
      </c>
      <c r="S125" s="21">
        <v>25.799278060640699</v>
      </c>
      <c r="T125" s="21">
        <v>25.688346036027902</v>
      </c>
      <c r="U125" s="22">
        <v>-3.64925697132313E-3</v>
      </c>
      <c r="V125" s="22">
        <v>7.4751187931502798E-4</v>
      </c>
      <c r="W125" s="22">
        <v>-3.56157008784089E-3</v>
      </c>
      <c r="X125" s="23">
        <v>0.88136752136752095</v>
      </c>
      <c r="Y125" s="23">
        <v>0.87815704628300895</v>
      </c>
      <c r="Z125" s="23">
        <v>0.88241377551238198</v>
      </c>
      <c r="AA125" s="23">
        <v>0.87854828676637797</v>
      </c>
      <c r="AB125" s="21">
        <v>25.686093603778001</v>
      </c>
      <c r="AC125" s="21">
        <v>25.799278060640699</v>
      </c>
      <c r="AD125" s="21">
        <v>25.688346036027902</v>
      </c>
      <c r="AE125" s="22">
        <v>-3.64925697132313E-3</v>
      </c>
      <c r="AF125" s="22">
        <v>7.4751187931502798E-4</v>
      </c>
      <c r="AG125" s="22">
        <v>-3.56157008784089E-3</v>
      </c>
      <c r="AZ125" s="17"/>
      <c r="BB125">
        <f t="shared" si="26"/>
        <v>0</v>
      </c>
      <c r="BC125">
        <f t="shared" si="27"/>
        <v>0</v>
      </c>
      <c r="BD125">
        <f t="shared" si="28"/>
        <v>0</v>
      </c>
      <c r="BE125">
        <f t="shared" si="24"/>
        <v>1</v>
      </c>
      <c r="BF125">
        <f t="shared" si="29"/>
        <v>0</v>
      </c>
      <c r="BG125" s="17">
        <f t="shared" si="30"/>
        <v>0</v>
      </c>
      <c r="BH125" s="17">
        <f t="shared" si="31"/>
        <v>0</v>
      </c>
      <c r="BI125" s="17">
        <f t="shared" si="32"/>
        <v>0</v>
      </c>
      <c r="BJ125" s="11">
        <f t="shared" si="33"/>
        <v>1.215524029734778E-2</v>
      </c>
      <c r="BL125" s="17"/>
      <c r="BN125">
        <f t="shared" si="34"/>
        <v>0</v>
      </c>
      <c r="BO125">
        <f t="shared" si="35"/>
        <v>1</v>
      </c>
      <c r="BP125">
        <f t="shared" si="36"/>
        <v>0</v>
      </c>
      <c r="BQ125">
        <f t="shared" si="25"/>
        <v>1</v>
      </c>
      <c r="BR125">
        <f t="shared" si="37"/>
        <v>0</v>
      </c>
      <c r="BS125" s="17">
        <f t="shared" si="38"/>
        <v>0</v>
      </c>
      <c r="BT125" s="17">
        <f t="shared" si="39"/>
        <v>0</v>
      </c>
      <c r="BU125" s="17">
        <f t="shared" si="40"/>
        <v>0</v>
      </c>
      <c r="BV125" s="11">
        <f t="shared" si="41"/>
        <v>-9.9217261894517742E-3</v>
      </c>
      <c r="BX125" s="11">
        <f t="shared" si="42"/>
        <v>0</v>
      </c>
      <c r="BY125" s="11">
        <f t="shared" si="43"/>
        <v>2.2335141078960053E-3</v>
      </c>
    </row>
    <row r="126" spans="1:77" x14ac:dyDescent="0.3">
      <c r="A126" s="1">
        <v>46205</v>
      </c>
      <c r="B126" s="21">
        <v>30.17</v>
      </c>
      <c r="C126" s="21">
        <v>26.64</v>
      </c>
      <c r="D126" s="22">
        <v>3.09684794931042E-2</v>
      </c>
      <c r="E126" s="22">
        <v>3.2814848161147103E-2</v>
      </c>
      <c r="F126" s="21">
        <v>0</v>
      </c>
      <c r="G126" s="21">
        <v>0.1</v>
      </c>
      <c r="H126" s="21">
        <v>0</v>
      </c>
      <c r="I126" s="21">
        <v>0.1</v>
      </c>
      <c r="J126" s="21">
        <v>0</v>
      </c>
      <c r="K126" s="21">
        <v>0</v>
      </c>
      <c r="L126" s="21">
        <v>30.17</v>
      </c>
      <c r="M126" s="21">
        <v>26.64</v>
      </c>
      <c r="N126" s="23">
        <v>0.88299635399403298</v>
      </c>
      <c r="O126" s="23">
        <v>0.87815704628300895</v>
      </c>
      <c r="P126" s="23">
        <v>0.88294314064151502</v>
      </c>
      <c r="Q126" s="23">
        <v>0.87901936536480496</v>
      </c>
      <c r="R126" s="21">
        <v>26.4939980863583</v>
      </c>
      <c r="S126" s="21">
        <v>26.6224236072085</v>
      </c>
      <c r="T126" s="21">
        <v>26.505801811741598</v>
      </c>
      <c r="U126" s="22">
        <v>-5.4956256393659001E-3</v>
      </c>
      <c r="V126" s="22">
        <v>-6.5999225116180899E-4</v>
      </c>
      <c r="W126" s="22">
        <v>-5.05020035092684E-3</v>
      </c>
      <c r="X126" s="23">
        <v>0.88299635399403298</v>
      </c>
      <c r="Y126" s="23">
        <v>0.87815704628300895</v>
      </c>
      <c r="Z126" s="23">
        <v>0.88294314064151502</v>
      </c>
      <c r="AA126" s="23">
        <v>0.87901936536480496</v>
      </c>
      <c r="AB126" s="21">
        <v>26.4939980863583</v>
      </c>
      <c r="AC126" s="21">
        <v>26.6224236072085</v>
      </c>
      <c r="AD126" s="21">
        <v>26.505801811741598</v>
      </c>
      <c r="AE126" s="22">
        <v>-5.4956256393659001E-3</v>
      </c>
      <c r="AF126" s="22">
        <v>-6.5999225116180899E-4</v>
      </c>
      <c r="AG126" s="22">
        <v>-5.05020035092684E-3</v>
      </c>
      <c r="AZ126" s="17"/>
      <c r="BB126">
        <f t="shared" si="26"/>
        <v>0</v>
      </c>
      <c r="BC126">
        <f t="shared" si="27"/>
        <v>0</v>
      </c>
      <c r="BD126">
        <f t="shared" si="28"/>
        <v>0</v>
      </c>
      <c r="BE126">
        <f t="shared" si="24"/>
        <v>1</v>
      </c>
      <c r="BF126">
        <f t="shared" si="29"/>
        <v>0</v>
      </c>
      <c r="BG126" s="17">
        <f t="shared" si="30"/>
        <v>0</v>
      </c>
      <c r="BH126" s="17">
        <f t="shared" si="31"/>
        <v>0</v>
      </c>
      <c r="BI126" s="17">
        <f t="shared" si="32"/>
        <v>0</v>
      </c>
      <c r="BJ126" s="11">
        <f t="shared" si="33"/>
        <v>1.215524029734778E-2</v>
      </c>
      <c r="BL126" s="17"/>
      <c r="BN126">
        <f t="shared" si="34"/>
        <v>0</v>
      </c>
      <c r="BO126">
        <f t="shared" si="35"/>
        <v>1</v>
      </c>
      <c r="BP126">
        <f t="shared" si="36"/>
        <v>0</v>
      </c>
      <c r="BQ126">
        <f t="shared" si="25"/>
        <v>1</v>
      </c>
      <c r="BR126">
        <f t="shared" si="37"/>
        <v>0</v>
      </c>
      <c r="BS126" s="17">
        <f t="shared" si="38"/>
        <v>0</v>
      </c>
      <c r="BT126" s="17">
        <f t="shared" si="39"/>
        <v>0</v>
      </c>
      <c r="BU126" s="17">
        <f t="shared" si="40"/>
        <v>0</v>
      </c>
      <c r="BV126" s="11">
        <f t="shared" si="41"/>
        <v>-9.9217261894517742E-3</v>
      </c>
      <c r="BX126" s="11">
        <f t="shared" si="42"/>
        <v>0</v>
      </c>
      <c r="BY126" s="11">
        <f t="shared" si="43"/>
        <v>2.2335141078960053E-3</v>
      </c>
    </row>
    <row r="127" spans="1:77" x14ac:dyDescent="0.3">
      <c r="A127" s="1">
        <v>46209</v>
      </c>
      <c r="B127" s="21">
        <v>30.02</v>
      </c>
      <c r="C127" s="21">
        <v>26.64</v>
      </c>
      <c r="D127" s="22">
        <v>-4.9842269656538603E-3</v>
      </c>
      <c r="E127" s="22">
        <v>0</v>
      </c>
      <c r="F127" s="21">
        <v>0</v>
      </c>
      <c r="G127" s="21">
        <v>0.1</v>
      </c>
      <c r="H127" s="21">
        <v>0</v>
      </c>
      <c r="I127" s="21">
        <v>0.1</v>
      </c>
      <c r="J127" s="21">
        <v>0</v>
      </c>
      <c r="K127" s="21">
        <v>0</v>
      </c>
      <c r="L127" s="21">
        <v>30.02</v>
      </c>
      <c r="M127" s="21">
        <v>26.64</v>
      </c>
      <c r="N127" s="23">
        <v>0.88740839440372998</v>
      </c>
      <c r="O127" s="23">
        <v>0.87815704628300895</v>
      </c>
      <c r="P127" s="23">
        <v>0.88375354529927996</v>
      </c>
      <c r="Q127" s="23">
        <v>0.87979004499402402</v>
      </c>
      <c r="R127" s="21">
        <v>26.362274529415899</v>
      </c>
      <c r="S127" s="21">
        <v>26.505953082058198</v>
      </c>
      <c r="T127" s="21">
        <v>26.388161348251401</v>
      </c>
      <c r="U127" s="22">
        <v>-1.0479852605019701E-2</v>
      </c>
      <c r="V127" s="22">
        <v>-5.04449330285958E-3</v>
      </c>
      <c r="W127" s="22">
        <v>-9.4983698747670899E-3</v>
      </c>
      <c r="X127" s="23">
        <v>0.88740839440372998</v>
      </c>
      <c r="Y127" s="23">
        <v>0.87815704628300895</v>
      </c>
      <c r="Z127" s="23">
        <v>0.88375354529927996</v>
      </c>
      <c r="AA127" s="23">
        <v>0.87979004499402402</v>
      </c>
      <c r="AB127" s="21">
        <v>26.362274529415899</v>
      </c>
      <c r="AC127" s="21">
        <v>26.505953082058198</v>
      </c>
      <c r="AD127" s="21">
        <v>26.388161348251401</v>
      </c>
      <c r="AE127" s="22">
        <v>-1.0479852605019701E-2</v>
      </c>
      <c r="AF127" s="22">
        <v>-5.04449330285958E-3</v>
      </c>
      <c r="AG127" s="22">
        <v>-9.4983698747670899E-3</v>
      </c>
      <c r="AZ127" s="17"/>
      <c r="BB127">
        <f t="shared" si="26"/>
        <v>0</v>
      </c>
      <c r="BC127">
        <f t="shared" si="27"/>
        <v>0</v>
      </c>
      <c r="BD127">
        <f t="shared" si="28"/>
        <v>0</v>
      </c>
      <c r="BE127">
        <f t="shared" si="24"/>
        <v>1</v>
      </c>
      <c r="BF127">
        <f t="shared" si="29"/>
        <v>0</v>
      </c>
      <c r="BG127" s="17">
        <f t="shared" si="30"/>
        <v>0</v>
      </c>
      <c r="BH127" s="17">
        <f t="shared" si="31"/>
        <v>0</v>
      </c>
      <c r="BI127" s="17">
        <f t="shared" si="32"/>
        <v>0</v>
      </c>
      <c r="BJ127" s="11">
        <f t="shared" si="33"/>
        <v>1.215524029734778E-2</v>
      </c>
      <c r="BL127" s="17"/>
      <c r="BN127">
        <f t="shared" si="34"/>
        <v>0</v>
      </c>
      <c r="BO127">
        <f t="shared" si="35"/>
        <v>1</v>
      </c>
      <c r="BP127">
        <f t="shared" si="36"/>
        <v>0</v>
      </c>
      <c r="BQ127">
        <f t="shared" si="25"/>
        <v>1</v>
      </c>
      <c r="BR127">
        <f t="shared" si="37"/>
        <v>0</v>
      </c>
      <c r="BS127" s="17">
        <f t="shared" si="38"/>
        <v>0</v>
      </c>
      <c r="BT127" s="17">
        <f t="shared" si="39"/>
        <v>0</v>
      </c>
      <c r="BU127" s="17">
        <f t="shared" si="40"/>
        <v>0</v>
      </c>
      <c r="BV127" s="11">
        <f t="shared" si="41"/>
        <v>-9.9217261894517742E-3</v>
      </c>
      <c r="BX127" s="11">
        <f t="shared" si="42"/>
        <v>0</v>
      </c>
      <c r="BY127" s="11">
        <f t="shared" si="43"/>
        <v>2.2335141078960053E-3</v>
      </c>
    </row>
    <row r="128" spans="1:77" x14ac:dyDescent="0.3">
      <c r="A128" s="1">
        <v>46210</v>
      </c>
      <c r="B128" s="21">
        <v>30.47</v>
      </c>
      <c r="C128" s="21">
        <v>26.92</v>
      </c>
      <c r="D128" s="22">
        <v>1.4878766792301599E-2</v>
      </c>
      <c r="E128" s="22">
        <v>1.04556591043387E-2</v>
      </c>
      <c r="F128" s="21">
        <v>0</v>
      </c>
      <c r="G128" s="21">
        <v>0.1</v>
      </c>
      <c r="H128" s="21">
        <v>0</v>
      </c>
      <c r="I128" s="21">
        <v>0.1</v>
      </c>
      <c r="J128" s="21">
        <v>0</v>
      </c>
      <c r="K128" s="21">
        <v>0</v>
      </c>
      <c r="L128" s="21">
        <v>30.47</v>
      </c>
      <c r="M128" s="21">
        <v>26.92</v>
      </c>
      <c r="N128" s="23">
        <v>0.88349195930423297</v>
      </c>
      <c r="O128" s="23">
        <v>0.87815704628300895</v>
      </c>
      <c r="P128" s="23">
        <v>0.88395804208930195</v>
      </c>
      <c r="Q128" s="23">
        <v>0.88026473914391001</v>
      </c>
      <c r="R128" s="21">
        <v>26.7574452002432</v>
      </c>
      <c r="S128" s="21">
        <v>26.927970525269</v>
      </c>
      <c r="T128" s="21">
        <v>26.8072026709679</v>
      </c>
      <c r="U128" s="22">
        <v>-6.0567449170567398E-3</v>
      </c>
      <c r="V128" s="22">
        <v>2.9603809575436899E-4</v>
      </c>
      <c r="W128" s="22">
        <v>-4.1988969888423202E-3</v>
      </c>
      <c r="X128" s="23">
        <v>0.88349195930423297</v>
      </c>
      <c r="Y128" s="23">
        <v>0.87815704628300895</v>
      </c>
      <c r="Z128" s="23">
        <v>0.88395804208930195</v>
      </c>
      <c r="AA128" s="23">
        <v>0.88026473914391001</v>
      </c>
      <c r="AB128" s="21">
        <v>26.7574452002432</v>
      </c>
      <c r="AC128" s="21">
        <v>26.927970525269</v>
      </c>
      <c r="AD128" s="21">
        <v>26.8072026709679</v>
      </c>
      <c r="AE128" s="22">
        <v>-6.0567449170567398E-3</v>
      </c>
      <c r="AF128" s="22">
        <v>2.9603809575436899E-4</v>
      </c>
      <c r="AG128" s="22">
        <v>-4.1988969888423202E-3</v>
      </c>
      <c r="AZ128" s="17"/>
      <c r="BB128">
        <f t="shared" si="26"/>
        <v>0</v>
      </c>
      <c r="BC128">
        <f t="shared" si="27"/>
        <v>0</v>
      </c>
      <c r="BD128">
        <f t="shared" si="28"/>
        <v>0</v>
      </c>
      <c r="BE128">
        <f t="shared" si="24"/>
        <v>1</v>
      </c>
      <c r="BF128">
        <f t="shared" si="29"/>
        <v>0</v>
      </c>
      <c r="BG128" s="17">
        <f t="shared" si="30"/>
        <v>0</v>
      </c>
      <c r="BH128" s="17">
        <f t="shared" si="31"/>
        <v>0</v>
      </c>
      <c r="BI128" s="17">
        <f t="shared" si="32"/>
        <v>0</v>
      </c>
      <c r="BJ128" s="11">
        <f t="shared" si="33"/>
        <v>1.215524029734778E-2</v>
      </c>
      <c r="BL128" s="17"/>
      <c r="BN128">
        <f t="shared" si="34"/>
        <v>0</v>
      </c>
      <c r="BO128">
        <f t="shared" si="35"/>
        <v>1</v>
      </c>
      <c r="BP128">
        <f t="shared" si="36"/>
        <v>0</v>
      </c>
      <c r="BQ128">
        <f t="shared" si="25"/>
        <v>1</v>
      </c>
      <c r="BR128">
        <f t="shared" si="37"/>
        <v>0</v>
      </c>
      <c r="BS128" s="17">
        <f t="shared" si="38"/>
        <v>0</v>
      </c>
      <c r="BT128" s="17">
        <f t="shared" si="39"/>
        <v>0</v>
      </c>
      <c r="BU128" s="17">
        <f t="shared" si="40"/>
        <v>0</v>
      </c>
      <c r="BV128" s="11">
        <f t="shared" si="41"/>
        <v>-9.9217261894517742E-3</v>
      </c>
      <c r="BX128" s="11">
        <f t="shared" si="42"/>
        <v>0</v>
      </c>
      <c r="BY128" s="11">
        <f t="shared" si="43"/>
        <v>2.2335141078960053E-3</v>
      </c>
    </row>
    <row r="129" spans="1:77" x14ac:dyDescent="0.3">
      <c r="A129" s="1">
        <v>46211</v>
      </c>
      <c r="B129" s="21">
        <v>30.1</v>
      </c>
      <c r="C129" s="21">
        <v>26.72</v>
      </c>
      <c r="D129" s="22">
        <v>-1.2217421242787499E-2</v>
      </c>
      <c r="E129" s="22">
        <v>-7.4571561080821599E-3</v>
      </c>
      <c r="F129" s="21">
        <v>0</v>
      </c>
      <c r="G129" s="21">
        <v>0.1</v>
      </c>
      <c r="H129" s="21">
        <v>0</v>
      </c>
      <c r="I129" s="21">
        <v>0.1</v>
      </c>
      <c r="J129" s="21">
        <v>0</v>
      </c>
      <c r="K129" s="21">
        <v>0</v>
      </c>
      <c r="L129" s="21">
        <v>30.1</v>
      </c>
      <c r="M129" s="21">
        <v>26.72</v>
      </c>
      <c r="N129" s="23">
        <v>0.88770764119601298</v>
      </c>
      <c r="O129" s="23">
        <v>0.87815704628300895</v>
      </c>
      <c r="P129" s="23">
        <v>0.88446025497215397</v>
      </c>
      <c r="Q129" s="23">
        <v>0.88104715633100705</v>
      </c>
      <c r="R129" s="21">
        <v>26.432527093118502</v>
      </c>
      <c r="S129" s="21">
        <v>26.607137066887901</v>
      </c>
      <c r="T129" s="21">
        <v>26.495968648231699</v>
      </c>
      <c r="U129" s="22">
        <v>-1.08170100517621E-2</v>
      </c>
      <c r="V129" s="22">
        <v>-4.2328580844298502E-3</v>
      </c>
      <c r="W129" s="22">
        <v>-8.4197537304974406E-3</v>
      </c>
      <c r="X129" s="23">
        <v>0.88770764119601298</v>
      </c>
      <c r="Y129" s="23">
        <v>0.87815704628300895</v>
      </c>
      <c r="Z129" s="23">
        <v>0.88446025497215397</v>
      </c>
      <c r="AA129" s="23">
        <v>0.88104715633100705</v>
      </c>
      <c r="AB129" s="21">
        <v>26.432527093118502</v>
      </c>
      <c r="AC129" s="21">
        <v>26.607137066887901</v>
      </c>
      <c r="AD129" s="21">
        <v>26.495968648231699</v>
      </c>
      <c r="AE129" s="22">
        <v>-1.08170100517621E-2</v>
      </c>
      <c r="AF129" s="22">
        <v>-4.2328580844298502E-3</v>
      </c>
      <c r="AG129" s="22">
        <v>-8.4197537304974406E-3</v>
      </c>
      <c r="AZ129" s="17"/>
      <c r="BB129">
        <f t="shared" si="26"/>
        <v>0</v>
      </c>
      <c r="BC129">
        <f t="shared" si="27"/>
        <v>0</v>
      </c>
      <c r="BD129">
        <f t="shared" si="28"/>
        <v>0</v>
      </c>
      <c r="BE129">
        <f t="shared" si="24"/>
        <v>1</v>
      </c>
      <c r="BF129">
        <f t="shared" si="29"/>
        <v>0</v>
      </c>
      <c r="BG129" s="17">
        <f t="shared" si="30"/>
        <v>0</v>
      </c>
      <c r="BH129" s="17">
        <f t="shared" si="31"/>
        <v>0</v>
      </c>
      <c r="BI129" s="17">
        <f t="shared" si="32"/>
        <v>0</v>
      </c>
      <c r="BJ129" s="11">
        <f t="shared" si="33"/>
        <v>1.215524029734778E-2</v>
      </c>
      <c r="BL129" s="17"/>
      <c r="BN129">
        <f t="shared" si="34"/>
        <v>0</v>
      </c>
      <c r="BO129">
        <f t="shared" si="35"/>
        <v>1</v>
      </c>
      <c r="BP129">
        <f t="shared" si="36"/>
        <v>0</v>
      </c>
      <c r="BQ129">
        <f t="shared" si="25"/>
        <v>1</v>
      </c>
      <c r="BR129">
        <f t="shared" si="37"/>
        <v>0</v>
      </c>
      <c r="BS129" s="17">
        <f t="shared" si="38"/>
        <v>0</v>
      </c>
      <c r="BT129" s="17">
        <f t="shared" si="39"/>
        <v>0</v>
      </c>
      <c r="BU129" s="17">
        <f t="shared" si="40"/>
        <v>0</v>
      </c>
      <c r="BV129" s="11">
        <f t="shared" si="41"/>
        <v>-9.9217261894517742E-3</v>
      </c>
      <c r="BX129" s="11">
        <f t="shared" si="42"/>
        <v>0</v>
      </c>
      <c r="BY129" s="11">
        <f t="shared" si="43"/>
        <v>2.2335141078960053E-3</v>
      </c>
    </row>
    <row r="130" spans="1:77" x14ac:dyDescent="0.3">
      <c r="A130" s="1">
        <v>46212</v>
      </c>
      <c r="B130" s="21">
        <v>31.13</v>
      </c>
      <c r="C130" s="21">
        <v>27.49</v>
      </c>
      <c r="D130" s="22">
        <v>3.36468126986866E-2</v>
      </c>
      <c r="E130" s="22">
        <v>2.8409953508709201E-2</v>
      </c>
      <c r="F130" s="21">
        <v>0</v>
      </c>
      <c r="G130" s="21">
        <v>0.1</v>
      </c>
      <c r="H130" s="21">
        <v>0</v>
      </c>
      <c r="I130" s="21">
        <v>0.1</v>
      </c>
      <c r="J130" s="21">
        <v>0</v>
      </c>
      <c r="K130" s="21">
        <v>0</v>
      </c>
      <c r="L130" s="21">
        <v>31.13</v>
      </c>
      <c r="M130" s="21">
        <v>27.49</v>
      </c>
      <c r="N130" s="23">
        <v>0.88307099261162803</v>
      </c>
      <c r="O130" s="23">
        <v>0.87815704628300895</v>
      </c>
      <c r="P130" s="23">
        <v>0.88433412605245498</v>
      </c>
      <c r="Q130" s="23">
        <v>0.88141448574265702</v>
      </c>
      <c r="R130" s="21">
        <v>27.337028850789999</v>
      </c>
      <c r="S130" s="21">
        <v>27.533247737283101</v>
      </c>
      <c r="T130" s="21">
        <v>27.4269979765842</v>
      </c>
      <c r="U130" s="22">
        <v>-5.5801508617848699E-3</v>
      </c>
      <c r="V130" s="22">
        <v>1.57198086145482E-3</v>
      </c>
      <c r="W130" s="22">
        <v>-2.29444628717784E-3</v>
      </c>
      <c r="X130" s="23">
        <v>0.88307099261162803</v>
      </c>
      <c r="Y130" s="23">
        <v>0.87815704628300895</v>
      </c>
      <c r="Z130" s="23">
        <v>0.88433412605245498</v>
      </c>
      <c r="AA130" s="23">
        <v>0.88141448574265702</v>
      </c>
      <c r="AB130" s="21">
        <v>27.337028850789999</v>
      </c>
      <c r="AC130" s="21">
        <v>27.533247737283101</v>
      </c>
      <c r="AD130" s="21">
        <v>27.4269979765842</v>
      </c>
      <c r="AE130" s="22">
        <v>-5.5801508617848699E-3</v>
      </c>
      <c r="AF130" s="22">
        <v>1.57198086145482E-3</v>
      </c>
      <c r="AG130" s="22">
        <v>-2.29444628717784E-3</v>
      </c>
      <c r="AZ130" s="17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17">
        <f t="shared" si="30"/>
        <v>0</v>
      </c>
      <c r="BH130" s="17">
        <f t="shared" si="31"/>
        <v>0</v>
      </c>
      <c r="BI130" s="17">
        <f t="shared" si="32"/>
        <v>0</v>
      </c>
      <c r="BJ130" s="11">
        <f t="shared" si="33"/>
        <v>1.215524029734778E-2</v>
      </c>
      <c r="BL130" s="17"/>
      <c r="BN130">
        <f t="shared" si="34"/>
        <v>0</v>
      </c>
      <c r="BO130">
        <f t="shared" si="35"/>
        <v>1</v>
      </c>
      <c r="BP130">
        <f t="shared" si="36"/>
        <v>0</v>
      </c>
      <c r="BQ130">
        <f t="shared" si="25"/>
        <v>1</v>
      </c>
      <c r="BR130">
        <f t="shared" si="37"/>
        <v>0</v>
      </c>
      <c r="BS130" s="17">
        <f t="shared" si="38"/>
        <v>0</v>
      </c>
      <c r="BT130" s="17">
        <f t="shared" si="39"/>
        <v>0</v>
      </c>
      <c r="BU130" s="17">
        <f t="shared" si="40"/>
        <v>0</v>
      </c>
      <c r="BV130" s="11">
        <f t="shared" si="41"/>
        <v>-9.9217261894517742E-3</v>
      </c>
      <c r="BX130" s="11">
        <f t="shared" si="42"/>
        <v>0</v>
      </c>
      <c r="BY130" s="11">
        <f t="shared" si="43"/>
        <v>2.2335141078960053E-3</v>
      </c>
    </row>
    <row r="131" spans="1:77" x14ac:dyDescent="0.3">
      <c r="A131" s="1">
        <v>46213</v>
      </c>
      <c r="B131" s="21">
        <v>30.93</v>
      </c>
      <c r="C131" s="21">
        <v>27.37</v>
      </c>
      <c r="D131" s="22">
        <v>-6.44539775653855E-3</v>
      </c>
      <c r="E131" s="22">
        <v>-4.3747791245665104E-3</v>
      </c>
      <c r="F131" s="21">
        <v>0</v>
      </c>
      <c r="G131" s="21">
        <v>0.1</v>
      </c>
      <c r="H131" s="21">
        <v>0</v>
      </c>
      <c r="I131" s="21">
        <v>0.1</v>
      </c>
      <c r="J131" s="21">
        <v>0</v>
      </c>
      <c r="K131" s="21">
        <v>0</v>
      </c>
      <c r="L131" s="21">
        <v>30.93</v>
      </c>
      <c r="M131" s="21">
        <v>27.37</v>
      </c>
      <c r="N131" s="23">
        <v>0.88490139023601599</v>
      </c>
      <c r="O131" s="23">
        <v>0.87815704628300895</v>
      </c>
      <c r="P131" s="23">
        <v>0.88450386987492702</v>
      </c>
      <c r="Q131" s="23">
        <v>0.88201877855542898</v>
      </c>
      <c r="R131" s="21">
        <v>27.161397441533399</v>
      </c>
      <c r="S131" s="21">
        <v>27.3524545188024</v>
      </c>
      <c r="T131" s="21">
        <v>27.262150044020402</v>
      </c>
      <c r="U131" s="22">
        <v>-7.6507694937567004E-3</v>
      </c>
      <c r="V131" s="22">
        <v>-6.4125346544072399E-4</v>
      </c>
      <c r="W131" s="22">
        <v>-3.9482281401811304E-3</v>
      </c>
      <c r="X131" s="23">
        <v>0.88490139023601599</v>
      </c>
      <c r="Y131" s="23">
        <v>0.87815704628300895</v>
      </c>
      <c r="Z131" s="23">
        <v>0.88450386987492702</v>
      </c>
      <c r="AA131" s="23">
        <v>0.88201877855542898</v>
      </c>
      <c r="AB131" s="21">
        <v>27.161397441533399</v>
      </c>
      <c r="AC131" s="21">
        <v>27.3524545188024</v>
      </c>
      <c r="AD131" s="21">
        <v>27.262150044020402</v>
      </c>
      <c r="AE131" s="22">
        <v>-7.6507694937567004E-3</v>
      </c>
      <c r="AF131" s="22">
        <v>-6.4125346544072399E-4</v>
      </c>
      <c r="AG131" s="22">
        <v>-3.9482281401811304E-3</v>
      </c>
      <c r="AZ131" s="17"/>
      <c r="BB131">
        <f t="shared" si="26"/>
        <v>0</v>
      </c>
      <c r="BC131">
        <f t="shared" si="27"/>
        <v>0</v>
      </c>
      <c r="BD131">
        <f t="shared" si="28"/>
        <v>0</v>
      </c>
      <c r="BE131">
        <f t="shared" si="24"/>
        <v>1</v>
      </c>
      <c r="BF131">
        <f t="shared" si="29"/>
        <v>0</v>
      </c>
      <c r="BG131" s="17">
        <f t="shared" si="30"/>
        <v>0</v>
      </c>
      <c r="BH131" s="17">
        <f t="shared" si="31"/>
        <v>0</v>
      </c>
      <c r="BI131" s="17">
        <f t="shared" si="32"/>
        <v>0</v>
      </c>
      <c r="BJ131" s="11">
        <f t="shared" si="33"/>
        <v>1.215524029734778E-2</v>
      </c>
      <c r="BL131" s="17"/>
      <c r="BN131">
        <f t="shared" si="34"/>
        <v>0</v>
      </c>
      <c r="BO131">
        <f t="shared" si="35"/>
        <v>1</v>
      </c>
      <c r="BP131">
        <f t="shared" si="36"/>
        <v>0</v>
      </c>
      <c r="BQ131">
        <f t="shared" si="25"/>
        <v>1</v>
      </c>
      <c r="BR131">
        <f t="shared" si="37"/>
        <v>0</v>
      </c>
      <c r="BS131" s="17">
        <f t="shared" si="38"/>
        <v>0</v>
      </c>
      <c r="BT131" s="17">
        <f t="shared" si="39"/>
        <v>0</v>
      </c>
      <c r="BU131" s="17">
        <f t="shared" si="40"/>
        <v>0</v>
      </c>
      <c r="BV131" s="11">
        <f t="shared" si="41"/>
        <v>-9.9217261894517742E-3</v>
      </c>
      <c r="BX131" s="11">
        <f t="shared" si="42"/>
        <v>0</v>
      </c>
      <c r="BY131" s="11">
        <f t="shared" si="43"/>
        <v>2.2335141078960053E-3</v>
      </c>
    </row>
    <row r="132" spans="1:77" x14ac:dyDescent="0.3">
      <c r="A132" s="1">
        <v>46216</v>
      </c>
      <c r="B132" s="21">
        <v>31.41</v>
      </c>
      <c r="C132" s="21">
        <v>27.73</v>
      </c>
      <c r="D132" s="22">
        <v>1.5399726853576899E-2</v>
      </c>
      <c r="E132" s="22">
        <v>1.30673365750989E-2</v>
      </c>
      <c r="F132" s="21">
        <v>0</v>
      </c>
      <c r="G132" s="21">
        <v>0.1</v>
      </c>
      <c r="H132" s="21">
        <v>0</v>
      </c>
      <c r="I132" s="21">
        <v>0.1</v>
      </c>
      <c r="J132" s="21">
        <v>0</v>
      </c>
      <c r="K132" s="21">
        <v>0</v>
      </c>
      <c r="L132" s="21">
        <v>31.41</v>
      </c>
      <c r="M132" s="21">
        <v>27.73</v>
      </c>
      <c r="N132" s="23">
        <v>0.88283985991722302</v>
      </c>
      <c r="O132" s="23">
        <v>0.87815704628300895</v>
      </c>
      <c r="P132" s="23">
        <v>0.88434372081617996</v>
      </c>
      <c r="Q132" s="23">
        <v>0.88251656312115401</v>
      </c>
      <c r="R132" s="21">
        <v>27.5829128237493</v>
      </c>
      <c r="S132" s="21">
        <v>27.7822665527714</v>
      </c>
      <c r="T132" s="21">
        <v>27.704209834425999</v>
      </c>
      <c r="U132" s="22">
        <v>-5.3183792152788102E-3</v>
      </c>
      <c r="V132" s="22">
        <v>1.88306374290251E-3</v>
      </c>
      <c r="W132" s="22">
        <v>-9.3047839995311695E-4</v>
      </c>
      <c r="X132" s="23">
        <v>0.88283985991722302</v>
      </c>
      <c r="Y132" s="23">
        <v>0.87815704628300895</v>
      </c>
      <c r="Z132" s="23">
        <v>0.88434372081617996</v>
      </c>
      <c r="AA132" s="23">
        <v>0.88251656312115401</v>
      </c>
      <c r="AB132" s="21">
        <v>27.5829128237493</v>
      </c>
      <c r="AC132" s="21">
        <v>27.7822665527714</v>
      </c>
      <c r="AD132" s="21">
        <v>27.704209834425999</v>
      </c>
      <c r="AE132" s="22">
        <v>-5.3183792152788102E-3</v>
      </c>
      <c r="AF132" s="22">
        <v>1.88306374290251E-3</v>
      </c>
      <c r="AG132" s="22">
        <v>-9.3047839995311695E-4</v>
      </c>
      <c r="AZ132" s="17"/>
      <c r="BB132">
        <f t="shared" si="26"/>
        <v>0</v>
      </c>
      <c r="BC132">
        <f t="shared" si="27"/>
        <v>1</v>
      </c>
      <c r="BD132">
        <f t="shared" si="28"/>
        <v>0</v>
      </c>
      <c r="BE132">
        <f t="shared" si="24"/>
        <v>1</v>
      </c>
      <c r="BF132">
        <f t="shared" si="29"/>
        <v>0</v>
      </c>
      <c r="BG132" s="17">
        <f t="shared" si="30"/>
        <v>0</v>
      </c>
      <c r="BH132" s="17">
        <f t="shared" si="31"/>
        <v>0</v>
      </c>
      <c r="BI132" s="17">
        <f t="shared" si="32"/>
        <v>0</v>
      </c>
      <c r="BJ132" s="11">
        <f t="shared" si="33"/>
        <v>1.215524029734778E-2</v>
      </c>
      <c r="BL132" s="17"/>
      <c r="BN132">
        <f t="shared" si="34"/>
        <v>0</v>
      </c>
      <c r="BO132">
        <f t="shared" si="35"/>
        <v>1</v>
      </c>
      <c r="BP132">
        <f t="shared" si="36"/>
        <v>0</v>
      </c>
      <c r="BQ132">
        <f t="shared" si="25"/>
        <v>1</v>
      </c>
      <c r="BR132">
        <f t="shared" si="37"/>
        <v>0</v>
      </c>
      <c r="BS132" s="17">
        <f t="shared" si="38"/>
        <v>0</v>
      </c>
      <c r="BT132" s="17">
        <f t="shared" si="39"/>
        <v>0</v>
      </c>
      <c r="BU132" s="17">
        <f t="shared" si="40"/>
        <v>0</v>
      </c>
      <c r="BV132" s="11">
        <f t="shared" si="41"/>
        <v>-9.9217261894517742E-3</v>
      </c>
      <c r="BX132" s="11">
        <f t="shared" si="42"/>
        <v>0</v>
      </c>
      <c r="BY132" s="11">
        <f t="shared" si="43"/>
        <v>2.2335141078960053E-3</v>
      </c>
    </row>
    <row r="133" spans="1:77" x14ac:dyDescent="0.3">
      <c r="A133" s="1">
        <v>46217</v>
      </c>
      <c r="B133" s="21">
        <v>31.15</v>
      </c>
      <c r="C133" s="21">
        <v>27.6</v>
      </c>
      <c r="D133" s="22">
        <v>-8.3120683170930295E-3</v>
      </c>
      <c r="E133" s="22">
        <v>-4.6990869045823299E-3</v>
      </c>
      <c r="F133" s="21">
        <v>0</v>
      </c>
      <c r="G133" s="21">
        <v>0.1</v>
      </c>
      <c r="H133" s="21">
        <v>0</v>
      </c>
      <c r="I133" s="21">
        <v>0.1</v>
      </c>
      <c r="J133" s="21">
        <v>0</v>
      </c>
      <c r="K133" s="21">
        <v>0</v>
      </c>
      <c r="L133" s="21">
        <v>31.15</v>
      </c>
      <c r="M133" s="21">
        <v>27.6</v>
      </c>
      <c r="N133" s="23">
        <v>0.88603531300160498</v>
      </c>
      <c r="O133" s="23">
        <v>0.87815704628300895</v>
      </c>
      <c r="P133" s="23">
        <v>0.88447089484838903</v>
      </c>
      <c r="Q133" s="23">
        <v>0.88293589541511697</v>
      </c>
      <c r="R133" s="21">
        <v>27.354591991715701</v>
      </c>
      <c r="S133" s="21">
        <v>27.547306903424001</v>
      </c>
      <c r="T133" s="21">
        <v>27.4903909412239</v>
      </c>
      <c r="U133" s="22">
        <v>-8.9313606277896009E-3</v>
      </c>
      <c r="V133" s="22">
        <v>-1.91099495408194E-3</v>
      </c>
      <c r="W133" s="22">
        <v>-3.9792494312113997E-3</v>
      </c>
      <c r="X133" s="23">
        <v>0.88603531300160498</v>
      </c>
      <c r="Y133" s="23">
        <v>0.87815704628300895</v>
      </c>
      <c r="Z133" s="23">
        <v>0.88447089484838903</v>
      </c>
      <c r="AA133" s="23">
        <v>0.88293589541511697</v>
      </c>
      <c r="AB133" s="21">
        <v>27.354591991715701</v>
      </c>
      <c r="AC133" s="21">
        <v>27.547306903424001</v>
      </c>
      <c r="AD133" s="21">
        <v>27.4903909412239</v>
      </c>
      <c r="AE133" s="22">
        <v>-8.9313606277896009E-3</v>
      </c>
      <c r="AF133" s="22">
        <v>-1.91099495408194E-3</v>
      </c>
      <c r="AG133" s="22">
        <v>-3.9792494312113997E-3</v>
      </c>
      <c r="AZ133" s="17"/>
      <c r="BB133">
        <f t="shared" si="26"/>
        <v>0</v>
      </c>
      <c r="BC133">
        <f t="shared" si="27"/>
        <v>0</v>
      </c>
      <c r="BD133">
        <f t="shared" si="28"/>
        <v>0</v>
      </c>
      <c r="BE133">
        <f t="shared" si="24"/>
        <v>1</v>
      </c>
      <c r="BF133">
        <f t="shared" si="29"/>
        <v>0</v>
      </c>
      <c r="BG133" s="17">
        <f t="shared" si="30"/>
        <v>0</v>
      </c>
      <c r="BH133" s="17">
        <f t="shared" si="31"/>
        <v>0</v>
      </c>
      <c r="BI133" s="17">
        <f t="shared" si="32"/>
        <v>0</v>
      </c>
      <c r="BJ133" s="11">
        <f t="shared" si="33"/>
        <v>1.215524029734778E-2</v>
      </c>
      <c r="BL133" s="17"/>
      <c r="BN133">
        <f t="shared" si="34"/>
        <v>0</v>
      </c>
      <c r="BO133">
        <f t="shared" si="35"/>
        <v>1</v>
      </c>
      <c r="BP133">
        <f t="shared" si="36"/>
        <v>0</v>
      </c>
      <c r="BQ133">
        <f t="shared" si="25"/>
        <v>1</v>
      </c>
      <c r="BR133">
        <f t="shared" si="37"/>
        <v>0</v>
      </c>
      <c r="BS133" s="17">
        <f t="shared" si="38"/>
        <v>0</v>
      </c>
      <c r="BT133" s="17">
        <f t="shared" si="39"/>
        <v>0</v>
      </c>
      <c r="BU133" s="17">
        <f t="shared" si="40"/>
        <v>0</v>
      </c>
      <c r="BV133" s="11">
        <f t="shared" si="41"/>
        <v>-9.9217261894517742E-3</v>
      </c>
      <c r="BX133" s="11">
        <f t="shared" si="42"/>
        <v>0</v>
      </c>
      <c r="BY133" s="11">
        <f t="shared" si="43"/>
        <v>2.2335141078960053E-3</v>
      </c>
    </row>
    <row r="134" spans="1:77" x14ac:dyDescent="0.3">
      <c r="A134" s="1">
        <v>46218</v>
      </c>
      <c r="B134" s="21">
        <v>31.66</v>
      </c>
      <c r="C134" s="21">
        <v>27.98</v>
      </c>
      <c r="D134" s="22">
        <v>1.6239809219403899E-2</v>
      </c>
      <c r="E134" s="22">
        <v>1.36741965142306E-2</v>
      </c>
      <c r="F134" s="21">
        <v>0</v>
      </c>
      <c r="G134" s="21">
        <v>0.1</v>
      </c>
      <c r="H134" s="21">
        <v>0</v>
      </c>
      <c r="I134" s="21">
        <v>0.1</v>
      </c>
      <c r="J134" s="21">
        <v>0</v>
      </c>
      <c r="K134" s="21">
        <v>0</v>
      </c>
      <c r="L134" s="21">
        <v>31.66</v>
      </c>
      <c r="M134" s="21">
        <v>27.98</v>
      </c>
      <c r="N134" s="23">
        <v>0.88376500315855899</v>
      </c>
      <c r="O134" s="23">
        <v>0.87815704628300895</v>
      </c>
      <c r="P134" s="23">
        <v>0.88435844291905596</v>
      </c>
      <c r="Q134" s="23">
        <v>0.88319252164142104</v>
      </c>
      <c r="R134" s="21">
        <v>27.802452085319999</v>
      </c>
      <c r="S134" s="21">
        <v>28.002348530900001</v>
      </c>
      <c r="T134" s="21">
        <v>27.953750448842602</v>
      </c>
      <c r="U134" s="22">
        <v>-6.3657479226163103E-3</v>
      </c>
      <c r="V134" s="22">
        <v>7.9841352403711198E-4</v>
      </c>
      <c r="W134" s="22">
        <v>-9.3859442192994102E-4</v>
      </c>
      <c r="X134" s="23">
        <v>0.88376500315855899</v>
      </c>
      <c r="Y134" s="23">
        <v>0.87815704628300895</v>
      </c>
      <c r="Z134" s="23">
        <v>0.88435844291905596</v>
      </c>
      <c r="AA134" s="23">
        <v>0.88319252164142104</v>
      </c>
      <c r="AB134" s="21">
        <v>27.802452085319999</v>
      </c>
      <c r="AC134" s="21">
        <v>28.002348530900001</v>
      </c>
      <c r="AD134" s="21">
        <v>27.953750448842602</v>
      </c>
      <c r="AE134" s="22">
        <v>-6.3657479226163103E-3</v>
      </c>
      <c r="AF134" s="22">
        <v>7.9841352403711198E-4</v>
      </c>
      <c r="AG134" s="22">
        <v>-9.3859442192994102E-4</v>
      </c>
      <c r="AZ134" s="17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17">
        <f t="shared" si="30"/>
        <v>0</v>
      </c>
      <c r="BH134" s="17">
        <f t="shared" si="31"/>
        <v>0</v>
      </c>
      <c r="BI134" s="17">
        <f t="shared" si="32"/>
        <v>0</v>
      </c>
      <c r="BJ134" s="11">
        <f t="shared" si="33"/>
        <v>1.215524029734778E-2</v>
      </c>
      <c r="BL134" s="17"/>
      <c r="BN134">
        <f t="shared" si="34"/>
        <v>0</v>
      </c>
      <c r="BO134">
        <f t="shared" si="35"/>
        <v>1</v>
      </c>
      <c r="BP134">
        <f t="shared" si="36"/>
        <v>0</v>
      </c>
      <c r="BQ134">
        <f t="shared" si="25"/>
        <v>1</v>
      </c>
      <c r="BR134">
        <f t="shared" si="37"/>
        <v>0</v>
      </c>
      <c r="BS134" s="17">
        <f t="shared" si="38"/>
        <v>0</v>
      </c>
      <c r="BT134" s="17">
        <f t="shared" si="39"/>
        <v>0</v>
      </c>
      <c r="BU134" s="17">
        <f t="shared" si="40"/>
        <v>0</v>
      </c>
      <c r="BV134" s="11">
        <f t="shared" si="41"/>
        <v>-9.9217261894517742E-3</v>
      </c>
      <c r="BX134" s="11">
        <f t="shared" si="42"/>
        <v>0</v>
      </c>
      <c r="BY134" s="11">
        <f t="shared" si="43"/>
        <v>2.2335141078960053E-3</v>
      </c>
    </row>
    <row r="135" spans="1:77" x14ac:dyDescent="0.3">
      <c r="A135" s="1">
        <v>46219</v>
      </c>
      <c r="B135" s="21">
        <v>32.54</v>
      </c>
      <c r="C135" s="21">
        <v>28.69</v>
      </c>
      <c r="D135" s="22">
        <v>2.74160473380256E-2</v>
      </c>
      <c r="E135" s="22">
        <v>2.5058660755938201E-2</v>
      </c>
      <c r="F135" s="21">
        <v>0</v>
      </c>
      <c r="G135" s="21">
        <v>0.1</v>
      </c>
      <c r="H135" s="21">
        <v>0</v>
      </c>
      <c r="I135" s="21">
        <v>0.1</v>
      </c>
      <c r="J135" s="21">
        <v>0</v>
      </c>
      <c r="K135" s="21">
        <v>0</v>
      </c>
      <c r="L135" s="21">
        <v>32.54</v>
      </c>
      <c r="M135" s="21">
        <v>28.69</v>
      </c>
      <c r="N135" s="23">
        <v>0.88168408113091501</v>
      </c>
      <c r="O135" s="23">
        <v>0.87815704628300895</v>
      </c>
      <c r="P135" s="23">
        <v>0.88439009889539599</v>
      </c>
      <c r="Q135" s="23">
        <v>0.88340193720388904</v>
      </c>
      <c r="R135" s="21">
        <v>28.575230286049099</v>
      </c>
      <c r="S135" s="21">
        <v>28.777023732586098</v>
      </c>
      <c r="T135" s="21">
        <v>28.739084654211801</v>
      </c>
      <c r="U135" s="22">
        <v>-4.00836134052906E-3</v>
      </c>
      <c r="V135" s="22">
        <v>3.0286516841898101E-3</v>
      </c>
      <c r="W135" s="22">
        <v>1.70940095805892E-3</v>
      </c>
      <c r="X135" s="23">
        <v>0.88168408113091501</v>
      </c>
      <c r="Y135" s="23">
        <v>0.87815704628300895</v>
      </c>
      <c r="Z135" s="23">
        <v>0.88439009889539599</v>
      </c>
      <c r="AA135" s="23">
        <v>0.88340193720388904</v>
      </c>
      <c r="AB135" s="21">
        <v>28.575230286049099</v>
      </c>
      <c r="AC135" s="21">
        <v>28.777023732586098</v>
      </c>
      <c r="AD135" s="21">
        <v>28.739084654211801</v>
      </c>
      <c r="AE135" s="22">
        <v>-4.00836134052906E-3</v>
      </c>
      <c r="AF135" s="22">
        <v>3.0286516841898101E-3</v>
      </c>
      <c r="AG135" s="22">
        <v>1.70940095805892E-3</v>
      </c>
      <c r="AZ135" s="17"/>
      <c r="BB135">
        <f t="shared" si="26"/>
        <v>0</v>
      </c>
      <c r="BC135">
        <f t="shared" si="27"/>
        <v>1</v>
      </c>
      <c r="BD135">
        <f t="shared" si="28"/>
        <v>0</v>
      </c>
      <c r="BE135">
        <f t="shared" si="24"/>
        <v>1</v>
      </c>
      <c r="BF135">
        <f t="shared" si="29"/>
        <v>0</v>
      </c>
      <c r="BG135" s="17">
        <f t="shared" si="30"/>
        <v>0</v>
      </c>
      <c r="BH135" s="17">
        <f t="shared" si="31"/>
        <v>0</v>
      </c>
      <c r="BI135" s="17">
        <f t="shared" si="32"/>
        <v>0</v>
      </c>
      <c r="BJ135" s="11">
        <f t="shared" si="33"/>
        <v>1.215524029734778E-2</v>
      </c>
      <c r="BL135" s="17"/>
      <c r="BN135">
        <f t="shared" si="34"/>
        <v>0</v>
      </c>
      <c r="BO135">
        <f t="shared" si="35"/>
        <v>1</v>
      </c>
      <c r="BP135">
        <f t="shared" si="36"/>
        <v>0</v>
      </c>
      <c r="BQ135">
        <f t="shared" si="25"/>
        <v>1</v>
      </c>
      <c r="BR135">
        <f t="shared" si="37"/>
        <v>0</v>
      </c>
      <c r="BS135" s="17">
        <f t="shared" si="38"/>
        <v>0</v>
      </c>
      <c r="BT135" s="17">
        <f t="shared" si="39"/>
        <v>0</v>
      </c>
      <c r="BU135" s="17">
        <f t="shared" si="40"/>
        <v>0</v>
      </c>
      <c r="BV135" s="11">
        <f t="shared" si="41"/>
        <v>-9.9217261894517742E-3</v>
      </c>
      <c r="BX135" s="11">
        <f t="shared" si="42"/>
        <v>0</v>
      </c>
      <c r="BY135" s="11">
        <f t="shared" si="43"/>
        <v>2.2335141078960053E-3</v>
      </c>
    </row>
    <row r="136" spans="1:77" x14ac:dyDescent="0.3">
      <c r="A136" s="1">
        <v>46220</v>
      </c>
      <c r="B136" s="21">
        <v>32.42</v>
      </c>
      <c r="C136" s="21">
        <v>28.43</v>
      </c>
      <c r="D136" s="22">
        <v>-3.6945854833615602E-3</v>
      </c>
      <c r="E136" s="22">
        <v>-9.1037043303650103E-3</v>
      </c>
      <c r="F136" s="21">
        <v>0</v>
      </c>
      <c r="G136" s="21">
        <v>0.1</v>
      </c>
      <c r="H136" s="21">
        <v>0</v>
      </c>
      <c r="I136" s="21">
        <v>0.1</v>
      </c>
      <c r="J136" s="21">
        <v>0</v>
      </c>
      <c r="K136" s="21">
        <v>0</v>
      </c>
      <c r="L136" s="21">
        <v>32.42</v>
      </c>
      <c r="M136" s="21">
        <v>28.43</v>
      </c>
      <c r="N136" s="23">
        <v>0.87692782233189304</v>
      </c>
      <c r="O136" s="23">
        <v>0.87815704628300895</v>
      </c>
      <c r="P136" s="23">
        <v>0.88378324572918199</v>
      </c>
      <c r="Q136" s="23">
        <v>0.88336319318534895</v>
      </c>
      <c r="R136" s="21">
        <v>28.469851440495098</v>
      </c>
      <c r="S136" s="21">
        <v>28.671927006188699</v>
      </c>
      <c r="T136" s="21">
        <v>28.639890804149999</v>
      </c>
      <c r="U136" s="22">
        <v>1.4007575064744701E-3</v>
      </c>
      <c r="V136" s="22">
        <v>8.4735653042707602E-3</v>
      </c>
      <c r="W136" s="22">
        <v>7.3556037180116203E-3</v>
      </c>
      <c r="X136" s="23">
        <v>0.87692782233189304</v>
      </c>
      <c r="Y136" s="23">
        <v>0.87815704628300895</v>
      </c>
      <c r="Z136" s="23">
        <v>0.88378324572918199</v>
      </c>
      <c r="AA136" s="23">
        <v>0.88336319318534895</v>
      </c>
      <c r="AB136" s="21">
        <v>28.469851440495098</v>
      </c>
      <c r="AC136" s="21">
        <v>28.671927006188699</v>
      </c>
      <c r="AD136" s="21">
        <v>28.639890804149999</v>
      </c>
      <c r="AE136" s="22">
        <v>1.4007575064744701E-3</v>
      </c>
      <c r="AF136" s="22">
        <v>8.4735653042707602E-3</v>
      </c>
      <c r="AG136" s="22">
        <v>7.3556037180116203E-3</v>
      </c>
      <c r="AZ136" s="17"/>
      <c r="BB136">
        <f t="shared" si="26"/>
        <v>0</v>
      </c>
      <c r="BC136">
        <f t="shared" si="27"/>
        <v>1</v>
      </c>
      <c r="BD136">
        <f t="shared" si="28"/>
        <v>0</v>
      </c>
      <c r="BE136">
        <f t="shared" si="24"/>
        <v>1</v>
      </c>
      <c r="BF136">
        <f t="shared" si="29"/>
        <v>0</v>
      </c>
      <c r="BG136" s="17">
        <f t="shared" si="30"/>
        <v>0</v>
      </c>
      <c r="BH136" s="17">
        <f t="shared" si="31"/>
        <v>0</v>
      </c>
      <c r="BI136" s="17">
        <f t="shared" si="32"/>
        <v>0</v>
      </c>
      <c r="BJ136" s="11">
        <f t="shared" si="33"/>
        <v>1.215524029734778E-2</v>
      </c>
      <c r="BL136" s="17"/>
      <c r="BN136">
        <f t="shared" si="34"/>
        <v>0</v>
      </c>
      <c r="BO136">
        <f t="shared" si="35"/>
        <v>0</v>
      </c>
      <c r="BP136">
        <f t="shared" si="36"/>
        <v>0</v>
      </c>
      <c r="BQ136">
        <f t="shared" si="25"/>
        <v>1</v>
      </c>
      <c r="BR136">
        <f t="shared" si="37"/>
        <v>0</v>
      </c>
      <c r="BS136" s="17">
        <f t="shared" si="38"/>
        <v>0</v>
      </c>
      <c r="BT136" s="17">
        <f t="shared" si="39"/>
        <v>0</v>
      </c>
      <c r="BU136" s="17">
        <f t="shared" si="40"/>
        <v>0</v>
      </c>
      <c r="BV136" s="11">
        <f t="shared" si="41"/>
        <v>-9.9217261894517742E-3</v>
      </c>
      <c r="BX136" s="11">
        <f t="shared" si="42"/>
        <v>0</v>
      </c>
      <c r="BY136" s="11">
        <f t="shared" si="43"/>
        <v>2.2335141078960053E-3</v>
      </c>
    </row>
    <row r="137" spans="1:77" x14ac:dyDescent="0.3">
      <c r="A137" s="1">
        <v>46223</v>
      </c>
      <c r="B137" s="21">
        <v>32.21</v>
      </c>
      <c r="C137" s="21">
        <v>28.29</v>
      </c>
      <c r="D137" s="22">
        <v>-6.4985529644225899E-3</v>
      </c>
      <c r="E137" s="22">
        <v>-4.9365403494326396E-3</v>
      </c>
      <c r="F137" s="21">
        <v>0</v>
      </c>
      <c r="G137" s="21">
        <v>0.1</v>
      </c>
      <c r="H137" s="21">
        <v>0</v>
      </c>
      <c r="I137" s="21">
        <v>0.1</v>
      </c>
      <c r="J137" s="21">
        <v>0</v>
      </c>
      <c r="K137" s="21">
        <v>0</v>
      </c>
      <c r="L137" s="21">
        <v>32.21</v>
      </c>
      <c r="M137" s="21">
        <v>28.29</v>
      </c>
      <c r="N137" s="23">
        <v>0.87829866501086595</v>
      </c>
      <c r="O137" s="23">
        <v>0.87815704628300895</v>
      </c>
      <c r="P137" s="23">
        <v>0.882872272789895</v>
      </c>
      <c r="Q137" s="23">
        <v>0.88331290904458704</v>
      </c>
      <c r="R137" s="21">
        <v>28.285438460775701</v>
      </c>
      <c r="S137" s="21">
        <v>28.466658344936899</v>
      </c>
      <c r="T137" s="21">
        <v>28.4531284525</v>
      </c>
      <c r="U137" s="22">
        <v>-1.61255108515552E-4</v>
      </c>
      <c r="V137" s="22">
        <v>6.2251344804706297E-3</v>
      </c>
      <c r="W137" s="22">
        <v>5.74973239437933E-3</v>
      </c>
      <c r="X137" s="23">
        <v>0.87829866501086595</v>
      </c>
      <c r="Y137" s="23">
        <v>0.87815704628300895</v>
      </c>
      <c r="Z137" s="23">
        <v>0.882872272789895</v>
      </c>
      <c r="AA137" s="23">
        <v>0.88331290904458704</v>
      </c>
      <c r="AB137" s="21">
        <v>28.285438460775701</v>
      </c>
      <c r="AC137" s="21">
        <v>28.466658344936899</v>
      </c>
      <c r="AD137" s="21">
        <v>28.4531284525</v>
      </c>
      <c r="AE137" s="22">
        <v>-1.61255108515552E-4</v>
      </c>
      <c r="AF137" s="22">
        <v>6.2251344804706297E-3</v>
      </c>
      <c r="AG137" s="22">
        <v>5.74973239437933E-3</v>
      </c>
      <c r="AZ137" s="17"/>
      <c r="BB137">
        <f t="shared" si="26"/>
        <v>0</v>
      </c>
      <c r="BC137">
        <f t="shared" si="27"/>
        <v>1</v>
      </c>
      <c r="BD137">
        <f t="shared" si="28"/>
        <v>0</v>
      </c>
      <c r="BE137">
        <f t="shared" si="24"/>
        <v>1</v>
      </c>
      <c r="BF137">
        <f t="shared" si="29"/>
        <v>0</v>
      </c>
      <c r="BG137" s="17">
        <f t="shared" si="30"/>
        <v>0</v>
      </c>
      <c r="BH137" s="17">
        <f t="shared" si="31"/>
        <v>0</v>
      </c>
      <c r="BI137" s="17">
        <f t="shared" si="32"/>
        <v>0</v>
      </c>
      <c r="BJ137" s="11">
        <f t="shared" si="33"/>
        <v>1.215524029734778E-2</v>
      </c>
      <c r="BL137" s="17"/>
      <c r="BN137">
        <f t="shared" si="34"/>
        <v>0</v>
      </c>
      <c r="BO137">
        <f t="shared" si="35"/>
        <v>0</v>
      </c>
      <c r="BP137">
        <f t="shared" si="36"/>
        <v>0</v>
      </c>
      <c r="BQ137">
        <f t="shared" si="25"/>
        <v>1</v>
      </c>
      <c r="BR137">
        <f t="shared" si="37"/>
        <v>0</v>
      </c>
      <c r="BS137" s="17">
        <f t="shared" si="38"/>
        <v>0</v>
      </c>
      <c r="BT137" s="17">
        <f t="shared" si="39"/>
        <v>0</v>
      </c>
      <c r="BU137" s="17">
        <f t="shared" si="40"/>
        <v>0</v>
      </c>
      <c r="BV137" s="11">
        <f t="shared" si="41"/>
        <v>-9.9217261894517742E-3</v>
      </c>
      <c r="BX137" s="11">
        <f t="shared" si="42"/>
        <v>0</v>
      </c>
      <c r="BY137" s="11">
        <f t="shared" si="43"/>
        <v>2.2335141078960053E-3</v>
      </c>
    </row>
    <row r="138" spans="1:77" x14ac:dyDescent="0.3">
      <c r="A138" s="1">
        <v>46224</v>
      </c>
      <c r="B138" s="21">
        <v>31.21</v>
      </c>
      <c r="C138" s="21">
        <v>27.53</v>
      </c>
      <c r="D138" s="22">
        <v>-3.1538407060419403E-2</v>
      </c>
      <c r="E138" s="22">
        <v>-2.7232066158959699E-2</v>
      </c>
      <c r="F138" s="21">
        <v>0</v>
      </c>
      <c r="G138" s="21">
        <v>0.1</v>
      </c>
      <c r="H138" s="21">
        <v>0</v>
      </c>
      <c r="I138" s="21">
        <v>0.1</v>
      </c>
      <c r="J138" s="21">
        <v>0</v>
      </c>
      <c r="K138" s="21">
        <v>0</v>
      </c>
      <c r="L138" s="21">
        <v>31.21</v>
      </c>
      <c r="M138" s="21">
        <v>27.53</v>
      </c>
      <c r="N138" s="23">
        <v>0.88208907401473802</v>
      </c>
      <c r="O138" s="23">
        <v>0.87815704628300895</v>
      </c>
      <c r="P138" s="23">
        <v>0.88273198426094601</v>
      </c>
      <c r="Q138" s="23">
        <v>0.88334501317512404</v>
      </c>
      <c r="R138" s="21">
        <v>27.407281414492701</v>
      </c>
      <c r="S138" s="21">
        <v>27.5544436337726</v>
      </c>
      <c r="T138" s="21">
        <v>27.568195891281501</v>
      </c>
      <c r="U138" s="22">
        <v>-4.4675960099752401E-3</v>
      </c>
      <c r="V138" s="22">
        <v>8.8749685989660898E-4</v>
      </c>
      <c r="W138" s="22">
        <v>1.38646635456374E-3</v>
      </c>
      <c r="X138" s="23">
        <v>0.88208907401473802</v>
      </c>
      <c r="Y138" s="23">
        <v>0.87815704628300895</v>
      </c>
      <c r="Z138" s="23">
        <v>0.88273198426094601</v>
      </c>
      <c r="AA138" s="23">
        <v>0.88334501317512404</v>
      </c>
      <c r="AB138" s="21">
        <v>27.407281414492701</v>
      </c>
      <c r="AC138" s="21">
        <v>27.5544436337726</v>
      </c>
      <c r="AD138" s="21">
        <v>27.568195891281501</v>
      </c>
      <c r="AE138" s="22">
        <v>-4.4675960099752401E-3</v>
      </c>
      <c r="AF138" s="22">
        <v>8.8749685989660898E-4</v>
      </c>
      <c r="AG138" s="22">
        <v>1.38646635456374E-3</v>
      </c>
      <c r="AZ138" s="17"/>
      <c r="BB138">
        <f t="shared" si="26"/>
        <v>0</v>
      </c>
      <c r="BC138">
        <f t="shared" si="27"/>
        <v>1</v>
      </c>
      <c r="BD138">
        <f t="shared" si="28"/>
        <v>0</v>
      </c>
      <c r="BE138">
        <f t="shared" si="24"/>
        <v>1</v>
      </c>
      <c r="BF138">
        <f t="shared" si="29"/>
        <v>0</v>
      </c>
      <c r="BG138" s="17">
        <f t="shared" si="30"/>
        <v>0</v>
      </c>
      <c r="BH138" s="17">
        <f t="shared" si="31"/>
        <v>0</v>
      </c>
      <c r="BI138" s="17">
        <f t="shared" si="32"/>
        <v>0</v>
      </c>
      <c r="BJ138" s="11">
        <f t="shared" si="33"/>
        <v>1.215524029734778E-2</v>
      </c>
      <c r="BL138" s="17"/>
      <c r="BN138">
        <f t="shared" si="34"/>
        <v>0</v>
      </c>
      <c r="BO138">
        <f t="shared" si="35"/>
        <v>1</v>
      </c>
      <c r="BP138">
        <f t="shared" si="36"/>
        <v>0</v>
      </c>
      <c r="BQ138">
        <f t="shared" si="25"/>
        <v>1</v>
      </c>
      <c r="BR138">
        <f t="shared" si="37"/>
        <v>0</v>
      </c>
      <c r="BS138" s="17">
        <f t="shared" si="38"/>
        <v>0</v>
      </c>
      <c r="BT138" s="17">
        <f t="shared" si="39"/>
        <v>0</v>
      </c>
      <c r="BU138" s="17">
        <f t="shared" si="40"/>
        <v>0</v>
      </c>
      <c r="BV138" s="11">
        <f t="shared" si="41"/>
        <v>-9.9217261894517742E-3</v>
      </c>
      <c r="BX138" s="11">
        <f t="shared" si="42"/>
        <v>0</v>
      </c>
      <c r="BY138" s="11">
        <f t="shared" si="43"/>
        <v>2.2335141078960053E-3</v>
      </c>
    </row>
    <row r="139" spans="1:77" x14ac:dyDescent="0.3">
      <c r="A139" s="1">
        <v>46225</v>
      </c>
      <c r="B139" s="21">
        <v>30.95</v>
      </c>
      <c r="C139" s="21">
        <v>27.34</v>
      </c>
      <c r="D139" s="22">
        <v>-8.3655571520829895E-3</v>
      </c>
      <c r="E139" s="22">
        <v>-6.9254878587124997E-3</v>
      </c>
      <c r="F139" s="21">
        <v>0</v>
      </c>
      <c r="G139" s="21">
        <v>0.1</v>
      </c>
      <c r="H139" s="21">
        <v>0</v>
      </c>
      <c r="I139" s="21">
        <v>0.1</v>
      </c>
      <c r="J139" s="21">
        <v>0</v>
      </c>
      <c r="K139" s="21">
        <v>0</v>
      </c>
      <c r="L139" s="21">
        <v>30.95</v>
      </c>
      <c r="M139" s="21">
        <v>27.34</v>
      </c>
      <c r="N139" s="23">
        <v>0.88336025848142097</v>
      </c>
      <c r="O139" s="23">
        <v>0.87815704628300895</v>
      </c>
      <c r="P139" s="23">
        <v>0.882297245989487</v>
      </c>
      <c r="Q139" s="23">
        <v>0.88337875048082004</v>
      </c>
      <c r="R139" s="21">
        <v>27.178960582459101</v>
      </c>
      <c r="S139" s="21">
        <v>27.320554912876201</v>
      </c>
      <c r="T139" s="21">
        <v>27.339528157770001</v>
      </c>
      <c r="U139" s="22">
        <v>-5.9076653033456302E-3</v>
      </c>
      <c r="V139" s="22">
        <v>-7.1148520079914596E-4</v>
      </c>
      <c r="W139" s="22">
        <v>-1.72584601884589E-5</v>
      </c>
      <c r="X139" s="23">
        <v>0.88336025848142097</v>
      </c>
      <c r="Y139" s="23">
        <v>0.87815704628300895</v>
      </c>
      <c r="Z139" s="23">
        <v>0.882297245989487</v>
      </c>
      <c r="AA139" s="23">
        <v>0.88337875048082004</v>
      </c>
      <c r="AB139" s="21">
        <v>27.178960582459101</v>
      </c>
      <c r="AC139" s="21">
        <v>27.320554912876201</v>
      </c>
      <c r="AD139" s="21">
        <v>27.339528157770001</v>
      </c>
      <c r="AE139" s="22">
        <v>-5.9076653033456302E-3</v>
      </c>
      <c r="AF139" s="22">
        <v>-7.1148520079914596E-4</v>
      </c>
      <c r="AG139" s="22">
        <v>-1.72584601884589E-5</v>
      </c>
      <c r="AZ139" s="17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17">
        <f t="shared" si="30"/>
        <v>0</v>
      </c>
      <c r="BH139" s="17">
        <f t="shared" si="31"/>
        <v>0</v>
      </c>
      <c r="BI139" s="17">
        <f t="shared" si="32"/>
        <v>0</v>
      </c>
      <c r="BJ139" s="11">
        <f t="shared" si="33"/>
        <v>1.215524029734778E-2</v>
      </c>
      <c r="BL139" s="17"/>
      <c r="BN139">
        <f t="shared" si="34"/>
        <v>0</v>
      </c>
      <c r="BO139">
        <f t="shared" si="35"/>
        <v>1</v>
      </c>
      <c r="BP139">
        <f t="shared" si="36"/>
        <v>0</v>
      </c>
      <c r="BQ139">
        <f t="shared" si="25"/>
        <v>1</v>
      </c>
      <c r="BR139">
        <f t="shared" si="37"/>
        <v>0</v>
      </c>
      <c r="BS139" s="17">
        <f t="shared" si="38"/>
        <v>0</v>
      </c>
      <c r="BT139" s="17">
        <f t="shared" si="39"/>
        <v>0</v>
      </c>
      <c r="BU139" s="17">
        <f t="shared" si="40"/>
        <v>0</v>
      </c>
      <c r="BV139" s="11">
        <f t="shared" si="41"/>
        <v>-9.9217261894517742E-3</v>
      </c>
      <c r="BX139" s="11">
        <f t="shared" si="42"/>
        <v>0</v>
      </c>
      <c r="BY139" s="11">
        <f t="shared" si="43"/>
        <v>2.2335141078960053E-3</v>
      </c>
    </row>
    <row r="140" spans="1:77" x14ac:dyDescent="0.3">
      <c r="A140" s="1">
        <v>46226</v>
      </c>
      <c r="B140" s="21">
        <v>29.75</v>
      </c>
      <c r="C140" s="21">
        <v>26.33</v>
      </c>
      <c r="D140" s="22">
        <v>-3.95438671389663E-2</v>
      </c>
      <c r="E140" s="22">
        <v>-3.76418577875854E-2</v>
      </c>
      <c r="F140" s="21">
        <v>0</v>
      </c>
      <c r="G140" s="21">
        <v>0.1</v>
      </c>
      <c r="H140" s="21">
        <v>0</v>
      </c>
      <c r="I140" s="21">
        <v>0.1</v>
      </c>
      <c r="J140" s="21">
        <v>0</v>
      </c>
      <c r="K140" s="21">
        <v>0</v>
      </c>
      <c r="L140" s="21">
        <v>29.75</v>
      </c>
      <c r="M140" s="21">
        <v>26.33</v>
      </c>
      <c r="N140" s="23">
        <v>0.88504201680672201</v>
      </c>
      <c r="O140" s="23">
        <v>0.87815704628300895</v>
      </c>
      <c r="P140" s="23">
        <v>0.88249434840899599</v>
      </c>
      <c r="Q140" s="23">
        <v>0.88341423723072499</v>
      </c>
      <c r="R140" s="21">
        <v>26.125172126919502</v>
      </c>
      <c r="S140" s="21">
        <v>26.2483430681872</v>
      </c>
      <c r="T140" s="21">
        <v>26.280517826804399</v>
      </c>
      <c r="U140" s="22">
        <v>-7.8096746547263998E-3</v>
      </c>
      <c r="V140" s="22">
        <v>-3.1061076747272601E-3</v>
      </c>
      <c r="W140" s="22">
        <v>-1.8810758696317E-3</v>
      </c>
      <c r="X140" s="23">
        <v>0.88504201680672201</v>
      </c>
      <c r="Y140" s="23">
        <v>0.87815704628300895</v>
      </c>
      <c r="Z140" s="23">
        <v>0.88249434840899599</v>
      </c>
      <c r="AA140" s="23">
        <v>0.88341423723072499</v>
      </c>
      <c r="AB140" s="21">
        <v>26.125172126919502</v>
      </c>
      <c r="AC140" s="21">
        <v>26.2483430681872</v>
      </c>
      <c r="AD140" s="21">
        <v>26.280517826804399</v>
      </c>
      <c r="AE140" s="22">
        <v>-7.8096746547263998E-3</v>
      </c>
      <c r="AF140" s="22">
        <v>-3.1061076747272601E-3</v>
      </c>
      <c r="AG140" s="22">
        <v>-1.8810758696317E-3</v>
      </c>
      <c r="AZ140" s="17"/>
      <c r="BB140">
        <f t="shared" si="26"/>
        <v>0</v>
      </c>
      <c r="BC140">
        <f t="shared" si="27"/>
        <v>1</v>
      </c>
      <c r="BD140">
        <f t="shared" si="28"/>
        <v>0</v>
      </c>
      <c r="BE140">
        <f t="shared" si="24"/>
        <v>1</v>
      </c>
      <c r="BF140">
        <f t="shared" si="29"/>
        <v>0</v>
      </c>
      <c r="BG140" s="17">
        <f t="shared" si="30"/>
        <v>0</v>
      </c>
      <c r="BH140" s="17">
        <f t="shared" si="31"/>
        <v>0</v>
      </c>
      <c r="BI140" s="17">
        <f t="shared" si="32"/>
        <v>0</v>
      </c>
      <c r="BJ140" s="11">
        <f t="shared" si="33"/>
        <v>1.215524029734778E-2</v>
      </c>
      <c r="BL140" s="17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17">
        <f t="shared" si="38"/>
        <v>0</v>
      </c>
      <c r="BT140" s="17">
        <f t="shared" si="39"/>
        <v>0</v>
      </c>
      <c r="BU140" s="17">
        <f t="shared" si="40"/>
        <v>0</v>
      </c>
      <c r="BV140" s="11">
        <f t="shared" si="41"/>
        <v>-9.9217261894517742E-3</v>
      </c>
      <c r="BX140" s="11">
        <f t="shared" si="42"/>
        <v>0</v>
      </c>
      <c r="BY140" s="11">
        <f t="shared" si="43"/>
        <v>2.2335141078960053E-3</v>
      </c>
    </row>
    <row r="141" spans="1:77" x14ac:dyDescent="0.3">
      <c r="A141" s="1">
        <v>46227</v>
      </c>
      <c r="B141" s="21">
        <v>30.19</v>
      </c>
      <c r="C141" s="21">
        <v>26.76</v>
      </c>
      <c r="D141" s="22">
        <v>1.46816117271087E-2</v>
      </c>
      <c r="E141" s="22">
        <v>1.6199261751809701E-2</v>
      </c>
      <c r="F141" s="21">
        <v>0</v>
      </c>
      <c r="G141" s="21">
        <v>0.1</v>
      </c>
      <c r="H141" s="21">
        <v>0</v>
      </c>
      <c r="I141" s="21">
        <v>0.1</v>
      </c>
      <c r="J141" s="21">
        <v>0</v>
      </c>
      <c r="K141" s="21">
        <v>0</v>
      </c>
      <c r="L141" s="21">
        <v>30.19</v>
      </c>
      <c r="M141" s="21">
        <v>26.76</v>
      </c>
      <c r="N141" s="23">
        <v>0.886386220602848</v>
      </c>
      <c r="O141" s="23">
        <v>0.87815704628300895</v>
      </c>
      <c r="P141" s="23">
        <v>0.88264283144567901</v>
      </c>
      <c r="Q141" s="23">
        <v>0.88357335066030296</v>
      </c>
      <c r="R141" s="21">
        <v>26.511561227284002</v>
      </c>
      <c r="S141" s="21">
        <v>26.642504378467599</v>
      </c>
      <c r="T141" s="21">
        <v>26.670275821995599</v>
      </c>
      <c r="U141" s="22">
        <v>-9.3273246794275608E-3</v>
      </c>
      <c r="V141" s="22">
        <v>-4.4003858055975502E-3</v>
      </c>
      <c r="W141" s="22">
        <v>-3.3585550875019298E-3</v>
      </c>
      <c r="X141" s="23">
        <v>0.886386220602848</v>
      </c>
      <c r="Y141" s="23">
        <v>0.87815704628300895</v>
      </c>
      <c r="Z141" s="23">
        <v>0.88264283144567901</v>
      </c>
      <c r="AA141" s="23">
        <v>0.88357335066030296</v>
      </c>
      <c r="AB141" s="21">
        <v>26.511561227284002</v>
      </c>
      <c r="AC141" s="21">
        <v>26.642504378467599</v>
      </c>
      <c r="AD141" s="21">
        <v>26.670275821995599</v>
      </c>
      <c r="AE141" s="22">
        <v>-9.3273246794275608E-3</v>
      </c>
      <c r="AF141" s="22">
        <v>-4.4003858055975502E-3</v>
      </c>
      <c r="AG141" s="22">
        <v>-3.3585550875019298E-3</v>
      </c>
      <c r="AZ141" s="17"/>
      <c r="BB141">
        <f t="shared" si="26"/>
        <v>0</v>
      </c>
      <c r="BC141">
        <f t="shared" si="27"/>
        <v>0</v>
      </c>
      <c r="BD141">
        <f t="shared" si="28"/>
        <v>0</v>
      </c>
      <c r="BE141">
        <f t="shared" si="24"/>
        <v>1</v>
      </c>
      <c r="BF141">
        <f t="shared" si="29"/>
        <v>0</v>
      </c>
      <c r="BG141" s="17">
        <f t="shared" si="30"/>
        <v>0</v>
      </c>
      <c r="BH141" s="17">
        <f t="shared" si="31"/>
        <v>0</v>
      </c>
      <c r="BI141" s="17">
        <f t="shared" si="32"/>
        <v>0</v>
      </c>
      <c r="BJ141" s="11">
        <f t="shared" si="33"/>
        <v>1.215524029734778E-2</v>
      </c>
      <c r="BL141" s="17"/>
      <c r="BN141">
        <f t="shared" si="34"/>
        <v>0</v>
      </c>
      <c r="BO141">
        <f t="shared" si="35"/>
        <v>1</v>
      </c>
      <c r="BP141">
        <f t="shared" si="36"/>
        <v>0</v>
      </c>
      <c r="BQ141">
        <f t="shared" si="25"/>
        <v>1</v>
      </c>
      <c r="BR141">
        <f t="shared" si="37"/>
        <v>0</v>
      </c>
      <c r="BS141" s="17">
        <f t="shared" si="38"/>
        <v>0</v>
      </c>
      <c r="BT141" s="17">
        <f t="shared" si="39"/>
        <v>0</v>
      </c>
      <c r="BU141" s="17">
        <f t="shared" si="40"/>
        <v>0</v>
      </c>
      <c r="BV141" s="11">
        <f t="shared" si="41"/>
        <v>-9.9217261894517742E-3</v>
      </c>
      <c r="BX141" s="11">
        <f t="shared" si="42"/>
        <v>0</v>
      </c>
      <c r="BY141" s="11">
        <f t="shared" si="43"/>
        <v>2.2335141078960053E-3</v>
      </c>
    </row>
    <row r="142" spans="1:77" x14ac:dyDescent="0.3">
      <c r="A142" s="1">
        <v>46230</v>
      </c>
      <c r="B142" s="21">
        <v>30.92</v>
      </c>
      <c r="C142" s="21">
        <v>27.29</v>
      </c>
      <c r="D142" s="22">
        <v>2.3892480000473799E-2</v>
      </c>
      <c r="E142" s="22">
        <v>1.9612099460219301E-2</v>
      </c>
      <c r="F142" s="21">
        <v>0</v>
      </c>
      <c r="G142" s="21">
        <v>0.1</v>
      </c>
      <c r="H142" s="21">
        <v>0</v>
      </c>
      <c r="I142" s="21">
        <v>0.1</v>
      </c>
      <c r="J142" s="21">
        <v>0</v>
      </c>
      <c r="K142" s="21">
        <v>0</v>
      </c>
      <c r="L142" s="21">
        <v>30.92</v>
      </c>
      <c r="M142" s="21">
        <v>27.29</v>
      </c>
      <c r="N142" s="23">
        <v>0.88260025873221204</v>
      </c>
      <c r="O142" s="23">
        <v>0.87815704628300895</v>
      </c>
      <c r="P142" s="23">
        <v>0.88261887132717798</v>
      </c>
      <c r="Q142" s="23">
        <v>0.88348129607167902</v>
      </c>
      <c r="R142" s="21">
        <v>27.152615871070601</v>
      </c>
      <c r="S142" s="21">
        <v>27.291316348300398</v>
      </c>
      <c r="T142" s="21">
        <v>27.320088002416501</v>
      </c>
      <c r="U142" s="22">
        <v>-5.0469441391731099E-3</v>
      </c>
      <c r="V142" s="22">
        <v>4.8234391866661901E-5</v>
      </c>
      <c r="W142" s="22">
        <v>1.1019211490645401E-3</v>
      </c>
      <c r="X142" s="23">
        <v>0.88260025873221204</v>
      </c>
      <c r="Y142" s="23">
        <v>0.87815704628300895</v>
      </c>
      <c r="Z142" s="23">
        <v>0.88261887132717798</v>
      </c>
      <c r="AA142" s="23">
        <v>0.88348129607167902</v>
      </c>
      <c r="AB142" s="21">
        <v>27.152615871070601</v>
      </c>
      <c r="AC142" s="21">
        <v>27.291316348300398</v>
      </c>
      <c r="AD142" s="21">
        <v>27.320088002416501</v>
      </c>
      <c r="AE142" s="22">
        <v>-5.0469441391731099E-3</v>
      </c>
      <c r="AF142" s="22">
        <v>4.8234391866661901E-5</v>
      </c>
      <c r="AG142" s="22">
        <v>1.1019211490645401E-3</v>
      </c>
      <c r="AZ142" s="17"/>
      <c r="BB142">
        <f t="shared" si="26"/>
        <v>0</v>
      </c>
      <c r="BC142">
        <f t="shared" si="27"/>
        <v>1</v>
      </c>
      <c r="BD142">
        <f t="shared" si="28"/>
        <v>0</v>
      </c>
      <c r="BE142">
        <f t="shared" si="24"/>
        <v>1</v>
      </c>
      <c r="BF142">
        <f t="shared" si="29"/>
        <v>0</v>
      </c>
      <c r="BG142" s="17">
        <f t="shared" si="30"/>
        <v>0</v>
      </c>
      <c r="BH142" s="17">
        <f t="shared" si="31"/>
        <v>0</v>
      </c>
      <c r="BI142" s="17">
        <f t="shared" si="32"/>
        <v>0</v>
      </c>
      <c r="BJ142" s="11">
        <f t="shared" si="33"/>
        <v>1.215524029734778E-2</v>
      </c>
      <c r="BL142" s="17"/>
      <c r="BN142">
        <f t="shared" si="34"/>
        <v>0</v>
      </c>
      <c r="BO142">
        <f t="shared" si="35"/>
        <v>1</v>
      </c>
      <c r="BP142">
        <f t="shared" si="36"/>
        <v>0</v>
      </c>
      <c r="BQ142">
        <f t="shared" si="25"/>
        <v>1</v>
      </c>
      <c r="BR142">
        <f t="shared" si="37"/>
        <v>0</v>
      </c>
      <c r="BS142" s="17">
        <f t="shared" si="38"/>
        <v>0</v>
      </c>
      <c r="BT142" s="17">
        <f t="shared" si="39"/>
        <v>0</v>
      </c>
      <c r="BU142" s="17">
        <f t="shared" si="40"/>
        <v>0</v>
      </c>
      <c r="BV142" s="11">
        <f t="shared" si="41"/>
        <v>-9.9217261894517742E-3</v>
      </c>
      <c r="BX142" s="11">
        <f t="shared" si="42"/>
        <v>0</v>
      </c>
      <c r="BY142" s="11">
        <f t="shared" si="43"/>
        <v>2.2335141078960053E-3</v>
      </c>
    </row>
    <row r="143" spans="1:77" x14ac:dyDescent="0.3">
      <c r="A143" s="1">
        <v>46231</v>
      </c>
      <c r="B143" s="21">
        <v>31.81</v>
      </c>
      <c r="C143" s="21">
        <v>28.18</v>
      </c>
      <c r="D143" s="22">
        <v>2.8377482041831398E-2</v>
      </c>
      <c r="E143" s="22">
        <v>3.2092171750286898E-2</v>
      </c>
      <c r="F143" s="21">
        <v>0</v>
      </c>
      <c r="G143" s="21">
        <v>0.1</v>
      </c>
      <c r="H143" s="21">
        <v>0</v>
      </c>
      <c r="I143" s="21">
        <v>0.1</v>
      </c>
      <c r="J143" s="21">
        <v>0</v>
      </c>
      <c r="K143" s="21">
        <v>0</v>
      </c>
      <c r="L143" s="21">
        <v>31.81</v>
      </c>
      <c r="M143" s="21">
        <v>28.18</v>
      </c>
      <c r="N143" s="23">
        <v>0.88588494184218802</v>
      </c>
      <c r="O143" s="23">
        <v>0.87815704628300895</v>
      </c>
      <c r="P143" s="23">
        <v>0.882603834211236</v>
      </c>
      <c r="Q143" s="23">
        <v>0.88353736452981302</v>
      </c>
      <c r="R143" s="21">
        <v>27.934175642262499</v>
      </c>
      <c r="S143" s="21">
        <v>28.076106296917501</v>
      </c>
      <c r="T143" s="21">
        <v>28.103540028040101</v>
      </c>
      <c r="U143" s="22">
        <v>-8.7616338476287497E-3</v>
      </c>
      <c r="V143" s="22">
        <v>-3.6936015674422498E-3</v>
      </c>
      <c r="W143" s="22">
        <v>-2.7169584200475699E-3</v>
      </c>
      <c r="X143" s="23">
        <v>0.88588494184218802</v>
      </c>
      <c r="Y143" s="23">
        <v>0.87815704628300895</v>
      </c>
      <c r="Z143" s="23">
        <v>0.882603834211236</v>
      </c>
      <c r="AA143" s="23">
        <v>0.88353736452981302</v>
      </c>
      <c r="AB143" s="21">
        <v>27.934175642262499</v>
      </c>
      <c r="AC143" s="21">
        <v>28.076106296917501</v>
      </c>
      <c r="AD143" s="21">
        <v>28.103540028040101</v>
      </c>
      <c r="AE143" s="22">
        <v>-8.7616338476287497E-3</v>
      </c>
      <c r="AF143" s="22">
        <v>-3.6936015674422498E-3</v>
      </c>
      <c r="AG143" s="22">
        <v>-2.7169584200475699E-3</v>
      </c>
      <c r="AZ143" s="17"/>
      <c r="BB143">
        <f t="shared" si="26"/>
        <v>0</v>
      </c>
      <c r="BC143">
        <f t="shared" si="27"/>
        <v>0</v>
      </c>
      <c r="BD143">
        <f t="shared" si="28"/>
        <v>0</v>
      </c>
      <c r="BE143">
        <f t="shared" si="24"/>
        <v>1</v>
      </c>
      <c r="BF143">
        <f t="shared" si="29"/>
        <v>0</v>
      </c>
      <c r="BG143" s="17">
        <f t="shared" si="30"/>
        <v>0</v>
      </c>
      <c r="BH143" s="17">
        <f t="shared" si="31"/>
        <v>0</v>
      </c>
      <c r="BI143" s="17">
        <f t="shared" si="32"/>
        <v>0</v>
      </c>
      <c r="BJ143" s="11">
        <f t="shared" si="33"/>
        <v>1.215524029734778E-2</v>
      </c>
      <c r="BL143" s="17"/>
      <c r="BN143">
        <f t="shared" si="34"/>
        <v>0</v>
      </c>
      <c r="BO143">
        <f t="shared" si="35"/>
        <v>1</v>
      </c>
      <c r="BP143">
        <f t="shared" si="36"/>
        <v>0</v>
      </c>
      <c r="BQ143">
        <f t="shared" si="25"/>
        <v>1</v>
      </c>
      <c r="BR143">
        <f t="shared" si="37"/>
        <v>0</v>
      </c>
      <c r="BS143" s="17">
        <f t="shared" si="38"/>
        <v>0</v>
      </c>
      <c r="BT143" s="17">
        <f t="shared" si="39"/>
        <v>0</v>
      </c>
      <c r="BU143" s="17">
        <f t="shared" si="40"/>
        <v>0</v>
      </c>
      <c r="BV143" s="11">
        <f t="shared" si="41"/>
        <v>-9.9217261894517742E-3</v>
      </c>
      <c r="BX143" s="11">
        <f t="shared" si="42"/>
        <v>0</v>
      </c>
      <c r="BY143" s="11">
        <f t="shared" si="43"/>
        <v>2.2335141078960053E-3</v>
      </c>
    </row>
    <row r="144" spans="1:77" x14ac:dyDescent="0.3">
      <c r="A144" s="1">
        <v>46232</v>
      </c>
      <c r="B144" s="21">
        <v>32.64</v>
      </c>
      <c r="C144" s="21">
        <v>28.82</v>
      </c>
      <c r="D144" s="22">
        <v>2.5757824334853501E-2</v>
      </c>
      <c r="E144" s="22">
        <v>2.2457084100841899E-2</v>
      </c>
      <c r="F144" s="21">
        <v>0</v>
      </c>
      <c r="G144" s="21">
        <v>0.1</v>
      </c>
      <c r="H144" s="21">
        <v>0</v>
      </c>
      <c r="I144" s="21">
        <v>0.1</v>
      </c>
      <c r="J144" s="21">
        <v>0</v>
      </c>
      <c r="K144" s="21">
        <v>0</v>
      </c>
      <c r="L144" s="21">
        <v>32.64</v>
      </c>
      <c r="M144" s="21">
        <v>28.82</v>
      </c>
      <c r="N144" s="23">
        <v>0.882965686274509</v>
      </c>
      <c r="O144" s="23">
        <v>0.87815704628300895</v>
      </c>
      <c r="P144" s="23">
        <v>0.88252390252283097</v>
      </c>
      <c r="Q144" s="23">
        <v>0.88344117272094402</v>
      </c>
      <c r="R144" s="21">
        <v>28.6630459906774</v>
      </c>
      <c r="S144" s="21">
        <v>28.808189148654701</v>
      </c>
      <c r="T144" s="21">
        <v>28.8386595782531</v>
      </c>
      <c r="U144" s="22">
        <v>-5.4608936136169902E-3</v>
      </c>
      <c r="V144" s="22">
        <v>-4.0989840857684798E-4</v>
      </c>
      <c r="W144" s="22">
        <v>6.4724289607150803E-4</v>
      </c>
      <c r="X144" s="23">
        <v>0.882965686274509</v>
      </c>
      <c r="Y144" s="23">
        <v>0.87815704628300895</v>
      </c>
      <c r="Z144" s="23">
        <v>0.88252390252283097</v>
      </c>
      <c r="AA144" s="23">
        <v>0.88344117272094402</v>
      </c>
      <c r="AB144" s="21">
        <v>28.6630459906774</v>
      </c>
      <c r="AC144" s="21">
        <v>28.808189148654701</v>
      </c>
      <c r="AD144" s="21">
        <v>28.8386595782531</v>
      </c>
      <c r="AE144" s="22">
        <v>-5.4608936136169902E-3</v>
      </c>
      <c r="AF144" s="22">
        <v>-4.0989840857684798E-4</v>
      </c>
      <c r="AG144" s="22">
        <v>6.4724289607150803E-4</v>
      </c>
      <c r="AZ144" s="17"/>
      <c r="BB144">
        <f t="shared" si="26"/>
        <v>0</v>
      </c>
      <c r="BC144">
        <f t="shared" si="27"/>
        <v>1</v>
      </c>
      <c r="BD144">
        <f t="shared" si="28"/>
        <v>0</v>
      </c>
      <c r="BE144">
        <f t="shared" si="24"/>
        <v>1</v>
      </c>
      <c r="BF144">
        <f t="shared" si="29"/>
        <v>0</v>
      </c>
      <c r="BG144" s="17">
        <f t="shared" si="30"/>
        <v>0</v>
      </c>
      <c r="BH144" s="17">
        <f t="shared" si="31"/>
        <v>0</v>
      </c>
      <c r="BI144" s="17">
        <f t="shared" si="32"/>
        <v>0</v>
      </c>
      <c r="BJ144" s="11">
        <f t="shared" si="33"/>
        <v>1.215524029734778E-2</v>
      </c>
      <c r="BL144" s="17"/>
      <c r="BN144">
        <f t="shared" si="34"/>
        <v>0</v>
      </c>
      <c r="BO144">
        <f t="shared" si="35"/>
        <v>1</v>
      </c>
      <c r="BP144">
        <f t="shared" si="36"/>
        <v>0</v>
      </c>
      <c r="BQ144">
        <f t="shared" si="25"/>
        <v>1</v>
      </c>
      <c r="BR144">
        <f t="shared" si="37"/>
        <v>0</v>
      </c>
      <c r="BS144" s="17">
        <f t="shared" si="38"/>
        <v>0</v>
      </c>
      <c r="BT144" s="17">
        <f t="shared" si="39"/>
        <v>0</v>
      </c>
      <c r="BU144" s="17">
        <f t="shared" si="40"/>
        <v>0</v>
      </c>
      <c r="BV144" s="11">
        <f t="shared" si="41"/>
        <v>-9.9217261894517742E-3</v>
      </c>
      <c r="BX144" s="11">
        <f t="shared" si="42"/>
        <v>0</v>
      </c>
      <c r="BY144" s="11">
        <f t="shared" si="43"/>
        <v>2.2335141078960053E-3</v>
      </c>
    </row>
    <row r="145" spans="1:77" x14ac:dyDescent="0.3">
      <c r="A145" s="1">
        <v>46233</v>
      </c>
      <c r="B145" s="21">
        <v>31.8</v>
      </c>
      <c r="C145" s="21">
        <v>28.09</v>
      </c>
      <c r="D145" s="22">
        <v>-2.6072240309775101E-2</v>
      </c>
      <c r="E145" s="22">
        <v>-2.5655949455223599E-2</v>
      </c>
      <c r="F145" s="21">
        <v>0</v>
      </c>
      <c r="G145" s="21">
        <v>0.1</v>
      </c>
      <c r="H145" s="21">
        <v>0</v>
      </c>
      <c r="I145" s="21">
        <v>0.1</v>
      </c>
      <c r="J145" s="21">
        <v>0</v>
      </c>
      <c r="K145" s="21">
        <v>0</v>
      </c>
      <c r="L145" s="21">
        <v>31.8</v>
      </c>
      <c r="M145" s="21">
        <v>28.09</v>
      </c>
      <c r="N145" s="23">
        <v>0.88333333333333297</v>
      </c>
      <c r="O145" s="23">
        <v>0.87815704628300895</v>
      </c>
      <c r="P145" s="23">
        <v>0.882688827743073</v>
      </c>
      <c r="Q145" s="23">
        <v>0.88353946331923405</v>
      </c>
      <c r="R145" s="21">
        <v>27.925394071799602</v>
      </c>
      <c r="S145" s="21">
        <v>28.064260100226001</v>
      </c>
      <c r="T145" s="21">
        <v>28.093429292526</v>
      </c>
      <c r="U145" s="22">
        <v>-5.87718446816841E-3</v>
      </c>
      <c r="V145" s="22">
        <v>-9.1675685979126197E-4</v>
      </c>
      <c r="W145" s="22">
        <v>1.22074874156747E-4</v>
      </c>
      <c r="X145" s="23">
        <v>0.88333333333333297</v>
      </c>
      <c r="Y145" s="23">
        <v>0.87815704628300895</v>
      </c>
      <c r="Z145" s="23">
        <v>0.882688827743073</v>
      </c>
      <c r="AA145" s="23">
        <v>0.88353946331923405</v>
      </c>
      <c r="AB145" s="21">
        <v>27.925394071799602</v>
      </c>
      <c r="AC145" s="21">
        <v>28.064260100226001</v>
      </c>
      <c r="AD145" s="21">
        <v>28.093429292526</v>
      </c>
      <c r="AE145" s="22">
        <v>-5.87718446816841E-3</v>
      </c>
      <c r="AF145" s="22">
        <v>-9.1675685979126197E-4</v>
      </c>
      <c r="AG145" s="22">
        <v>1.22074874156747E-4</v>
      </c>
      <c r="AZ145" s="17"/>
      <c r="BB145">
        <f t="shared" si="26"/>
        <v>0</v>
      </c>
      <c r="BC145">
        <f t="shared" si="27"/>
        <v>1</v>
      </c>
      <c r="BD145">
        <f t="shared" si="28"/>
        <v>0</v>
      </c>
      <c r="BE145">
        <f t="shared" si="24"/>
        <v>1</v>
      </c>
      <c r="BF145">
        <f t="shared" si="29"/>
        <v>0</v>
      </c>
      <c r="BG145" s="17">
        <f t="shared" si="30"/>
        <v>0</v>
      </c>
      <c r="BH145" s="17">
        <f t="shared" si="31"/>
        <v>0</v>
      </c>
      <c r="BI145" s="17">
        <f t="shared" si="32"/>
        <v>0</v>
      </c>
      <c r="BJ145" s="11">
        <f t="shared" si="33"/>
        <v>1.215524029734778E-2</v>
      </c>
      <c r="BL145" s="17"/>
      <c r="BN145">
        <f t="shared" si="34"/>
        <v>0</v>
      </c>
      <c r="BO145">
        <f t="shared" si="35"/>
        <v>1</v>
      </c>
      <c r="BP145">
        <f t="shared" si="36"/>
        <v>0</v>
      </c>
      <c r="BQ145">
        <f t="shared" si="25"/>
        <v>1</v>
      </c>
      <c r="BR145">
        <f t="shared" si="37"/>
        <v>0</v>
      </c>
      <c r="BS145" s="17">
        <f t="shared" si="38"/>
        <v>0</v>
      </c>
      <c r="BT145" s="17">
        <f t="shared" si="39"/>
        <v>0</v>
      </c>
      <c r="BU145" s="17">
        <f t="shared" si="40"/>
        <v>0</v>
      </c>
      <c r="BV145" s="11">
        <f t="shared" si="41"/>
        <v>-9.9217261894517742E-3</v>
      </c>
      <c r="BX145" s="11">
        <f t="shared" si="42"/>
        <v>0</v>
      </c>
      <c r="BY145" s="11">
        <f t="shared" si="43"/>
        <v>2.2335141078960053E-3</v>
      </c>
    </row>
    <row r="146" spans="1:77" x14ac:dyDescent="0.3">
      <c r="A146" s="1">
        <v>46234</v>
      </c>
      <c r="B146" s="21">
        <v>31.27</v>
      </c>
      <c r="C146" s="21">
        <v>27.56</v>
      </c>
      <c r="D146" s="22">
        <v>-1.6807118316381198E-2</v>
      </c>
      <c r="E146" s="22">
        <v>-1.9048194970694401E-2</v>
      </c>
      <c r="F146" s="21">
        <v>0</v>
      </c>
      <c r="G146" s="21">
        <v>0.1</v>
      </c>
      <c r="H146" s="21">
        <v>0</v>
      </c>
      <c r="I146" s="21">
        <v>0.1</v>
      </c>
      <c r="J146" s="21">
        <v>0</v>
      </c>
      <c r="K146" s="21">
        <v>0</v>
      </c>
      <c r="L146" s="21">
        <v>31.27</v>
      </c>
      <c r="M146" s="21">
        <v>27.56</v>
      </c>
      <c r="N146" s="23">
        <v>0.88135593220338904</v>
      </c>
      <c r="O146" s="23">
        <v>0.87815704628300895</v>
      </c>
      <c r="P146" s="23">
        <v>0.88313163873022305</v>
      </c>
      <c r="Q146" s="23">
        <v>0.88345744222970202</v>
      </c>
      <c r="R146" s="21">
        <v>27.459970837269701</v>
      </c>
      <c r="S146" s="21">
        <v>27.601679643525902</v>
      </c>
      <c r="T146" s="21">
        <v>27.628279017992401</v>
      </c>
      <c r="U146" s="22">
        <v>-3.63610781385511E-3</v>
      </c>
      <c r="V146" s="22">
        <v>1.5111813754450599E-3</v>
      </c>
      <c r="W146" s="22">
        <v>2.4744041323606601E-3</v>
      </c>
      <c r="X146" s="23">
        <v>0.88135593220338904</v>
      </c>
      <c r="Y146" s="23">
        <v>0.87815704628300895</v>
      </c>
      <c r="Z146" s="23">
        <v>0.88313163873022305</v>
      </c>
      <c r="AA146" s="23">
        <v>0.88345744222970202</v>
      </c>
      <c r="AB146" s="21">
        <v>27.459970837269701</v>
      </c>
      <c r="AC146" s="21">
        <v>27.601679643525902</v>
      </c>
      <c r="AD146" s="21">
        <v>27.628279017992401</v>
      </c>
      <c r="AE146" s="22">
        <v>-3.63610781385511E-3</v>
      </c>
      <c r="AF146" s="22">
        <v>1.5111813754450599E-3</v>
      </c>
      <c r="AG146" s="22">
        <v>2.4744041323606601E-3</v>
      </c>
      <c r="AZ146" s="17"/>
      <c r="BB146">
        <f t="shared" si="26"/>
        <v>0</v>
      </c>
      <c r="BC146">
        <f t="shared" si="27"/>
        <v>1</v>
      </c>
      <c r="BD146">
        <f t="shared" si="28"/>
        <v>0</v>
      </c>
      <c r="BE146">
        <f t="shared" si="24"/>
        <v>1</v>
      </c>
      <c r="BF146">
        <f t="shared" si="29"/>
        <v>0</v>
      </c>
      <c r="BG146" s="17">
        <f t="shared" si="30"/>
        <v>0</v>
      </c>
      <c r="BH146" s="17">
        <f t="shared" si="31"/>
        <v>0</v>
      </c>
      <c r="BI146" s="17">
        <f t="shared" si="32"/>
        <v>0</v>
      </c>
      <c r="BJ146" s="11">
        <f t="shared" si="33"/>
        <v>1.215524029734778E-2</v>
      </c>
      <c r="BL146" s="17"/>
      <c r="BN146">
        <f t="shared" si="34"/>
        <v>0</v>
      </c>
      <c r="BO146">
        <f t="shared" si="35"/>
        <v>1</v>
      </c>
      <c r="BP146">
        <f t="shared" si="36"/>
        <v>0</v>
      </c>
      <c r="BQ146">
        <f t="shared" si="25"/>
        <v>1</v>
      </c>
      <c r="BR146">
        <f t="shared" si="37"/>
        <v>0</v>
      </c>
      <c r="BS146" s="17">
        <f t="shared" si="38"/>
        <v>0</v>
      </c>
      <c r="BT146" s="17">
        <f t="shared" si="39"/>
        <v>0</v>
      </c>
      <c r="BU146" s="17">
        <f t="shared" si="40"/>
        <v>0</v>
      </c>
      <c r="BV146" s="11">
        <f t="shared" si="41"/>
        <v>-9.9217261894517742E-3</v>
      </c>
      <c r="BX146" s="11">
        <f t="shared" si="42"/>
        <v>0</v>
      </c>
      <c r="BY146" s="11">
        <f t="shared" si="43"/>
        <v>2.2335141078960053E-3</v>
      </c>
    </row>
    <row r="147" spans="1:77" x14ac:dyDescent="0.3">
      <c r="A147" s="1">
        <v>46237</v>
      </c>
      <c r="B147" s="21">
        <v>31.79</v>
      </c>
      <c r="C147" s="21">
        <v>27.94</v>
      </c>
      <c r="D147" s="22">
        <v>1.6492603452961399E-2</v>
      </c>
      <c r="E147" s="22">
        <v>1.36939076833579E-2</v>
      </c>
      <c r="F147" s="21">
        <v>0</v>
      </c>
      <c r="G147" s="21">
        <v>0.1</v>
      </c>
      <c r="H147" s="21">
        <v>0</v>
      </c>
      <c r="I147" s="21">
        <v>0.1</v>
      </c>
      <c r="J147" s="21">
        <v>0</v>
      </c>
      <c r="K147" s="21">
        <v>0</v>
      </c>
      <c r="L147" s="21">
        <v>31.79</v>
      </c>
      <c r="M147" s="21">
        <v>27.94</v>
      </c>
      <c r="N147" s="23">
        <v>0.87889273356401298</v>
      </c>
      <c r="O147" s="23">
        <v>0.87815704628300895</v>
      </c>
      <c r="P147" s="23">
        <v>0.88319104558553696</v>
      </c>
      <c r="Q147" s="23">
        <v>0.88303165918771598</v>
      </c>
      <c r="R147" s="21">
        <v>27.9166125013368</v>
      </c>
      <c r="S147" s="21">
        <v>28.074754795233702</v>
      </c>
      <c r="T147" s="21">
        <v>28.085112088482202</v>
      </c>
      <c r="U147" s="22">
        <v>-8.3741204425170598E-4</v>
      </c>
      <c r="V147" s="22">
        <v>4.8114128388964004E-3</v>
      </c>
      <c r="W147" s="22">
        <v>5.1802631920258302E-3</v>
      </c>
      <c r="X147" s="23">
        <v>0.87889273356401298</v>
      </c>
      <c r="Y147" s="23">
        <v>0.87815704628300895</v>
      </c>
      <c r="Z147" s="23">
        <v>0.88319104558553696</v>
      </c>
      <c r="AA147" s="23">
        <v>0.88303165918771598</v>
      </c>
      <c r="AB147" s="21">
        <v>27.9166125013368</v>
      </c>
      <c r="AC147" s="21">
        <v>28.074754795233702</v>
      </c>
      <c r="AD147" s="21">
        <v>28.085112088482202</v>
      </c>
      <c r="AE147" s="22">
        <v>-8.3741204425170598E-4</v>
      </c>
      <c r="AF147" s="22">
        <v>4.8114128388964004E-3</v>
      </c>
      <c r="AG147" s="22">
        <v>5.1802631920258302E-3</v>
      </c>
      <c r="AZ147" s="17"/>
      <c r="BB147">
        <f t="shared" si="26"/>
        <v>0</v>
      </c>
      <c r="BC147">
        <f t="shared" si="27"/>
        <v>1</v>
      </c>
      <c r="BD147">
        <f t="shared" si="28"/>
        <v>0</v>
      </c>
      <c r="BE147">
        <f t="shared" si="24"/>
        <v>1</v>
      </c>
      <c r="BF147">
        <f t="shared" si="29"/>
        <v>0</v>
      </c>
      <c r="BG147" s="17">
        <f t="shared" si="30"/>
        <v>0</v>
      </c>
      <c r="BH147" s="17">
        <f t="shared" si="31"/>
        <v>0</v>
      </c>
      <c r="BI147" s="17">
        <f t="shared" si="32"/>
        <v>0</v>
      </c>
      <c r="BJ147" s="11">
        <f t="shared" si="33"/>
        <v>1.215524029734778E-2</v>
      </c>
      <c r="BL147" s="17"/>
      <c r="BN147">
        <f t="shared" si="34"/>
        <v>0</v>
      </c>
      <c r="BO147">
        <f t="shared" si="35"/>
        <v>0</v>
      </c>
      <c r="BP147">
        <f t="shared" si="36"/>
        <v>0</v>
      </c>
      <c r="BQ147">
        <f t="shared" si="25"/>
        <v>1</v>
      </c>
      <c r="BR147">
        <f t="shared" si="37"/>
        <v>0</v>
      </c>
      <c r="BS147" s="17">
        <f t="shared" si="38"/>
        <v>0</v>
      </c>
      <c r="BT147" s="17">
        <f t="shared" si="39"/>
        <v>0</v>
      </c>
      <c r="BU147" s="17">
        <f t="shared" si="40"/>
        <v>0</v>
      </c>
      <c r="BV147" s="11">
        <f t="shared" si="41"/>
        <v>-9.9217261894517742E-3</v>
      </c>
      <c r="BX147" s="11">
        <f t="shared" si="42"/>
        <v>0</v>
      </c>
      <c r="BY147" s="11">
        <f t="shared" si="43"/>
        <v>2.2335141078960053E-3</v>
      </c>
    </row>
    <row r="148" spans="1:77" x14ac:dyDescent="0.3">
      <c r="A148" s="1">
        <v>46238</v>
      </c>
      <c r="B148" s="21">
        <v>32.72</v>
      </c>
      <c r="C148" s="21">
        <v>28.59</v>
      </c>
      <c r="D148" s="22">
        <v>2.8834736811835002E-2</v>
      </c>
      <c r="E148" s="22">
        <v>2.29976525054045E-2</v>
      </c>
      <c r="F148" s="21">
        <v>0</v>
      </c>
      <c r="G148" s="21">
        <v>0.1</v>
      </c>
      <c r="H148" s="21">
        <v>0</v>
      </c>
      <c r="I148" s="21">
        <v>0.1</v>
      </c>
      <c r="J148" s="21">
        <v>0</v>
      </c>
      <c r="K148" s="21">
        <v>0</v>
      </c>
      <c r="L148" s="21">
        <v>32.72</v>
      </c>
      <c r="M148" s="21">
        <v>28.59</v>
      </c>
      <c r="N148" s="23">
        <v>0.87377750611246896</v>
      </c>
      <c r="O148" s="23">
        <v>0.87815704628300895</v>
      </c>
      <c r="P148" s="23">
        <v>0.88235988879531002</v>
      </c>
      <c r="Q148" s="23">
        <v>0.88254593652812796</v>
      </c>
      <c r="R148" s="21">
        <v>28.733298554379999</v>
      </c>
      <c r="S148" s="21">
        <v>28.898011011558701</v>
      </c>
      <c r="T148" s="21">
        <v>28.892795888622</v>
      </c>
      <c r="U148" s="22">
        <v>4.9996722621786401E-3</v>
      </c>
      <c r="V148" s="22">
        <v>1.0715763286292399E-2</v>
      </c>
      <c r="W148" s="22">
        <v>1.0535280499129799E-2</v>
      </c>
      <c r="X148" s="23">
        <v>0.87377750611246896</v>
      </c>
      <c r="Y148" s="23">
        <v>0.87815704628300895</v>
      </c>
      <c r="Z148" s="23">
        <v>0.88235988879531002</v>
      </c>
      <c r="AA148" s="23">
        <v>0.88254593652812796</v>
      </c>
      <c r="AB148" s="21">
        <v>28.733298554379999</v>
      </c>
      <c r="AC148" s="21">
        <v>28.898011011558701</v>
      </c>
      <c r="AD148" s="21">
        <v>28.892795888622</v>
      </c>
      <c r="AE148" s="22">
        <v>4.9996722621786401E-3</v>
      </c>
      <c r="AF148" s="22">
        <v>1.0715763286292399E-2</v>
      </c>
      <c r="AG148" s="22">
        <v>1.0535280499129799E-2</v>
      </c>
      <c r="AZ148" s="17"/>
      <c r="BB148">
        <f t="shared" si="26"/>
        <v>0</v>
      </c>
      <c r="BC148">
        <f t="shared" si="27"/>
        <v>1</v>
      </c>
      <c r="BD148">
        <f t="shared" si="28"/>
        <v>0</v>
      </c>
      <c r="BE148">
        <f t="shared" si="24"/>
        <v>1</v>
      </c>
      <c r="BF148">
        <f t="shared" si="29"/>
        <v>0</v>
      </c>
      <c r="BG148" s="17">
        <f t="shared" si="30"/>
        <v>0</v>
      </c>
      <c r="BH148" s="17">
        <f t="shared" si="31"/>
        <v>0</v>
      </c>
      <c r="BI148" s="17">
        <f t="shared" si="32"/>
        <v>0</v>
      </c>
      <c r="BJ148" s="11">
        <f t="shared" si="33"/>
        <v>1.215524029734778E-2</v>
      </c>
      <c r="BL148" s="17"/>
      <c r="BN148">
        <f t="shared" si="34"/>
        <v>0</v>
      </c>
      <c r="BO148">
        <f t="shared" si="35"/>
        <v>0</v>
      </c>
      <c r="BP148">
        <f t="shared" si="36"/>
        <v>0</v>
      </c>
      <c r="BQ148">
        <f t="shared" si="25"/>
        <v>1</v>
      </c>
      <c r="BR148">
        <f t="shared" si="37"/>
        <v>0</v>
      </c>
      <c r="BS148" s="17">
        <f t="shared" si="38"/>
        <v>0</v>
      </c>
      <c r="BT148" s="17">
        <f t="shared" si="39"/>
        <v>0</v>
      </c>
      <c r="BU148" s="17">
        <f t="shared" si="40"/>
        <v>0</v>
      </c>
      <c r="BV148" s="11">
        <f t="shared" si="41"/>
        <v>-9.9217261894517742E-3</v>
      </c>
      <c r="BX148" s="11">
        <f t="shared" si="42"/>
        <v>0</v>
      </c>
      <c r="BY148" s="11">
        <f t="shared" si="43"/>
        <v>2.2335141078960053E-3</v>
      </c>
    </row>
    <row r="149" spans="1:77" x14ac:dyDescent="0.3">
      <c r="A149" s="1">
        <v>46239</v>
      </c>
      <c r="B149" s="21">
        <v>33.130000000000003</v>
      </c>
      <c r="C149" s="21">
        <v>29.06</v>
      </c>
      <c r="D149" s="22">
        <v>1.24527045772582E-2</v>
      </c>
      <c r="E149" s="22">
        <v>1.6305651807916301E-2</v>
      </c>
      <c r="F149" s="21">
        <v>0</v>
      </c>
      <c r="G149" s="21">
        <v>0.1</v>
      </c>
      <c r="H149" s="21">
        <v>0</v>
      </c>
      <c r="I149" s="21">
        <v>0.1</v>
      </c>
      <c r="J149" s="21">
        <v>0</v>
      </c>
      <c r="K149" s="21">
        <v>0</v>
      </c>
      <c r="L149" s="21">
        <v>33.130000000000003</v>
      </c>
      <c r="M149" s="21">
        <v>29.06</v>
      </c>
      <c r="N149" s="23">
        <v>0.87715061877452405</v>
      </c>
      <c r="O149" s="23">
        <v>0.87815704628300895</v>
      </c>
      <c r="P149" s="23">
        <v>0.88173892482462102</v>
      </c>
      <c r="Q149" s="23">
        <v>0.88201808540705395</v>
      </c>
      <c r="R149" s="21">
        <v>29.093342943356099</v>
      </c>
      <c r="S149" s="21">
        <v>29.2325831157886</v>
      </c>
      <c r="T149" s="21">
        <v>29.238746877176901</v>
      </c>
      <c r="U149" s="22">
        <v>1.14672503152038E-3</v>
      </c>
      <c r="V149" s="22">
        <v>5.9212891526812398E-3</v>
      </c>
      <c r="W149" s="22">
        <v>6.1321193633784299E-3</v>
      </c>
      <c r="X149" s="23">
        <v>0.87715061877452405</v>
      </c>
      <c r="Y149" s="23">
        <v>0.87815704628300895</v>
      </c>
      <c r="Z149" s="23">
        <v>0.88173892482462102</v>
      </c>
      <c r="AA149" s="23">
        <v>0.88201808540705395</v>
      </c>
      <c r="AB149" s="21">
        <v>29.093342943356099</v>
      </c>
      <c r="AC149" s="21">
        <v>29.2325831157886</v>
      </c>
      <c r="AD149" s="21">
        <v>29.238746877176901</v>
      </c>
      <c r="AE149" s="22">
        <v>1.14672503152038E-3</v>
      </c>
      <c r="AF149" s="22">
        <v>5.9212891526812398E-3</v>
      </c>
      <c r="AG149" s="22">
        <v>6.1321193633784299E-3</v>
      </c>
      <c r="AZ149" s="17"/>
      <c r="BB149">
        <f t="shared" si="26"/>
        <v>0</v>
      </c>
      <c r="BC149">
        <f t="shared" si="27"/>
        <v>1</v>
      </c>
      <c r="BD149">
        <f t="shared" si="28"/>
        <v>0</v>
      </c>
      <c r="BE149">
        <f t="shared" si="24"/>
        <v>1</v>
      </c>
      <c r="BF149">
        <f t="shared" si="29"/>
        <v>0</v>
      </c>
      <c r="BG149" s="17">
        <f t="shared" si="30"/>
        <v>0</v>
      </c>
      <c r="BH149" s="17">
        <f t="shared" si="31"/>
        <v>0</v>
      </c>
      <c r="BI149" s="17">
        <f t="shared" si="32"/>
        <v>0</v>
      </c>
      <c r="BJ149" s="11">
        <f t="shared" si="33"/>
        <v>1.215524029734778E-2</v>
      </c>
      <c r="BL149" s="17"/>
      <c r="BN149">
        <f t="shared" si="34"/>
        <v>0</v>
      </c>
      <c r="BO149">
        <f t="shared" si="35"/>
        <v>0</v>
      </c>
      <c r="BP149">
        <f t="shared" si="36"/>
        <v>0</v>
      </c>
      <c r="BQ149">
        <f t="shared" si="25"/>
        <v>1</v>
      </c>
      <c r="BR149">
        <f t="shared" si="37"/>
        <v>0</v>
      </c>
      <c r="BS149" s="17">
        <f t="shared" si="38"/>
        <v>0</v>
      </c>
      <c r="BT149" s="17">
        <f t="shared" si="39"/>
        <v>0</v>
      </c>
      <c r="BU149" s="17">
        <f t="shared" si="40"/>
        <v>0</v>
      </c>
      <c r="BV149" s="11">
        <f t="shared" si="41"/>
        <v>-9.9217261894517742E-3</v>
      </c>
      <c r="BX149" s="11">
        <f t="shared" si="42"/>
        <v>0</v>
      </c>
      <c r="BY149" s="11">
        <f t="shared" si="43"/>
        <v>2.2335141078960053E-3</v>
      </c>
    </row>
    <row r="150" spans="1:77" x14ac:dyDescent="0.3">
      <c r="A150" s="1">
        <v>46240</v>
      </c>
      <c r="B150" s="21">
        <v>33.869999999999997</v>
      </c>
      <c r="C150" s="21">
        <v>29.67</v>
      </c>
      <c r="D150" s="22">
        <v>2.2090450517875702E-2</v>
      </c>
      <c r="E150" s="22">
        <v>2.0773776160593602E-2</v>
      </c>
      <c r="F150" s="21">
        <v>0</v>
      </c>
      <c r="G150" s="21">
        <v>0.1</v>
      </c>
      <c r="H150" s="21">
        <v>0</v>
      </c>
      <c r="I150" s="21">
        <v>0.1</v>
      </c>
      <c r="J150" s="21">
        <v>0</v>
      </c>
      <c r="K150" s="21">
        <v>0</v>
      </c>
      <c r="L150" s="21">
        <v>33.869999999999997</v>
      </c>
      <c r="M150" s="21">
        <v>29.67</v>
      </c>
      <c r="N150" s="23">
        <v>0.87599645704162898</v>
      </c>
      <c r="O150" s="23">
        <v>0.87815704628300895</v>
      </c>
      <c r="P150" s="23">
        <v>0.88083436884811195</v>
      </c>
      <c r="Q150" s="23">
        <v>0.88166435862855397</v>
      </c>
      <c r="R150" s="21">
        <v>29.7431791576055</v>
      </c>
      <c r="S150" s="21">
        <v>29.864497383809901</v>
      </c>
      <c r="T150" s="21">
        <v>29.873952552736899</v>
      </c>
      <c r="U150" s="22">
        <v>2.4633993888025399E-3</v>
      </c>
      <c r="V150" s="22">
        <v>6.5339621336884699E-3</v>
      </c>
      <c r="W150" s="22">
        <v>6.8505143380395298E-3</v>
      </c>
      <c r="X150" s="23">
        <v>0.87599645704162898</v>
      </c>
      <c r="Y150" s="23">
        <v>0.87815704628300895</v>
      </c>
      <c r="Z150" s="23">
        <v>0.88083436884811195</v>
      </c>
      <c r="AA150" s="23">
        <v>0.88166435862855397</v>
      </c>
      <c r="AB150" s="21">
        <v>29.7431791576055</v>
      </c>
      <c r="AC150" s="21">
        <v>29.864497383809901</v>
      </c>
      <c r="AD150" s="21">
        <v>29.873952552736899</v>
      </c>
      <c r="AE150" s="22">
        <v>2.4633993888025399E-3</v>
      </c>
      <c r="AF150" s="22">
        <v>6.5339621336884699E-3</v>
      </c>
      <c r="AG150" s="22">
        <v>6.8505143380395298E-3</v>
      </c>
      <c r="AZ150" s="17"/>
      <c r="BB150">
        <f t="shared" si="26"/>
        <v>0</v>
      </c>
      <c r="BC150">
        <f t="shared" si="27"/>
        <v>1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17">
        <f t="shared" si="30"/>
        <v>0</v>
      </c>
      <c r="BH150" s="17">
        <f t="shared" si="31"/>
        <v>0</v>
      </c>
      <c r="BI150" s="17">
        <f t="shared" si="32"/>
        <v>0</v>
      </c>
      <c r="BJ150" s="11">
        <f t="shared" si="33"/>
        <v>1.215524029734778E-2</v>
      </c>
      <c r="BL150" s="17"/>
      <c r="BN150">
        <f t="shared" si="34"/>
        <v>0</v>
      </c>
      <c r="BO150">
        <f t="shared" si="35"/>
        <v>0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17">
        <f t="shared" si="38"/>
        <v>0</v>
      </c>
      <c r="BT150" s="17">
        <f t="shared" si="39"/>
        <v>0</v>
      </c>
      <c r="BU150" s="17">
        <f t="shared" si="40"/>
        <v>0</v>
      </c>
      <c r="BV150" s="11">
        <f t="shared" si="41"/>
        <v>-9.9217261894517742E-3</v>
      </c>
      <c r="BX150" s="11">
        <f t="shared" si="42"/>
        <v>0</v>
      </c>
      <c r="BY150" s="11">
        <f t="shared" si="43"/>
        <v>2.2335141078960053E-3</v>
      </c>
    </row>
    <row r="151" spans="1:77" x14ac:dyDescent="0.3">
      <c r="A151" s="1">
        <v>46241</v>
      </c>
      <c r="B151" s="21">
        <v>32.450000000000003</v>
      </c>
      <c r="C151" s="21">
        <v>28.52</v>
      </c>
      <c r="D151" s="22">
        <v>-4.2829223679581099E-2</v>
      </c>
      <c r="E151" s="22">
        <v>-3.9530838756635302E-2</v>
      </c>
      <c r="F151" s="21">
        <v>0</v>
      </c>
      <c r="G151" s="21">
        <v>0.1</v>
      </c>
      <c r="H151" s="21">
        <v>0</v>
      </c>
      <c r="I151" s="21">
        <v>0.1</v>
      </c>
      <c r="J151" s="21">
        <v>0</v>
      </c>
      <c r="K151" s="21">
        <v>0</v>
      </c>
      <c r="L151" s="21">
        <v>32.450000000000003</v>
      </c>
      <c r="M151" s="21">
        <v>28.52</v>
      </c>
      <c r="N151" s="23">
        <v>0.878890600924499</v>
      </c>
      <c r="O151" s="23">
        <v>0.87815704628300895</v>
      </c>
      <c r="P151" s="23">
        <v>0.88008480688027702</v>
      </c>
      <c r="Q151" s="23">
        <v>0.88136381916297801</v>
      </c>
      <c r="R151" s="21">
        <v>28.496196151883598</v>
      </c>
      <c r="S151" s="21">
        <v>28.583075269121199</v>
      </c>
      <c r="T151" s="21">
        <v>28.6100084374965</v>
      </c>
      <c r="U151" s="22">
        <v>-8.3498553414331996E-4</v>
      </c>
      <c r="V151" s="22">
        <v>2.2091733055328599E-3</v>
      </c>
      <c r="W151" s="22">
        <v>3.1510064301264102E-3</v>
      </c>
      <c r="X151" s="23">
        <v>0.878890600924499</v>
      </c>
      <c r="Y151" s="23">
        <v>0.87815704628300895</v>
      </c>
      <c r="Z151" s="23">
        <v>0.88008480688027702</v>
      </c>
      <c r="AA151" s="23">
        <v>0.88136381916297801</v>
      </c>
      <c r="AB151" s="21">
        <v>28.496196151883598</v>
      </c>
      <c r="AC151" s="21">
        <v>28.583075269121199</v>
      </c>
      <c r="AD151" s="21">
        <v>28.6100084374965</v>
      </c>
      <c r="AE151" s="22">
        <v>-8.3498553414331996E-4</v>
      </c>
      <c r="AF151" s="22">
        <v>2.2091733055328599E-3</v>
      </c>
      <c r="AG151" s="22">
        <v>3.1510064301264102E-3</v>
      </c>
      <c r="AZ151" s="17"/>
      <c r="BB151">
        <f t="shared" ref="BB151:BB167" si="46">IF($AG151&lt;BA$20,1,0)</f>
        <v>0</v>
      </c>
      <c r="BC151">
        <f t="shared" ref="BC151:BC167" si="47">IF($AG151&gt;BA$21,1,0)</f>
        <v>1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17">
        <f t="shared" ref="BG151:BG167" si="50">BF151*D151</f>
        <v>0</v>
      </c>
      <c r="BH151" s="17">
        <f t="shared" ref="BH151:BH167" si="51">-BF151*$E151</f>
        <v>0</v>
      </c>
      <c r="BI151" s="17">
        <f t="shared" ref="BI151:BI167" si="52">BG151+BH151</f>
        <v>0</v>
      </c>
      <c r="BJ151" s="11">
        <f t="shared" ref="BJ151:BJ167" si="53">BJ150+BI151</f>
        <v>1.215524029734778E-2</v>
      </c>
      <c r="BL151" s="17"/>
      <c r="BN151">
        <f t="shared" ref="BN151:BN167" si="54">IF($AG151&gt;BM$20,1,0)</f>
        <v>0</v>
      </c>
      <c r="BO151">
        <f t="shared" ref="BO151:BO167" si="55">IF($AG151&lt;BM$21,1,0)</f>
        <v>1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17">
        <f t="shared" ref="BS151:BS167" si="58">-BR151*D151</f>
        <v>0</v>
      </c>
      <c r="BT151" s="17">
        <f t="shared" ref="BT151:BT167" si="59">BR151*$E151</f>
        <v>0</v>
      </c>
      <c r="BU151" s="17">
        <f t="shared" ref="BU151:BU167" si="60">BS151+BT151</f>
        <v>0</v>
      </c>
      <c r="BV151" s="11">
        <f t="shared" ref="BV151:BV167" si="61">BV150+BU151</f>
        <v>-9.9217261894517742E-3</v>
      </c>
      <c r="BX151" s="11">
        <f t="shared" ref="BX151:BX167" si="62">BI151+BU151</f>
        <v>0</v>
      </c>
      <c r="BY151" s="11">
        <f t="shared" ref="BY151:BY167" si="63">BY150+BX151</f>
        <v>2.2335141078960053E-3</v>
      </c>
    </row>
    <row r="152" spans="1:77" x14ac:dyDescent="0.3">
      <c r="A152" s="1">
        <v>46244</v>
      </c>
      <c r="B152" s="21">
        <v>32.5</v>
      </c>
      <c r="C152" s="21">
        <v>28.49</v>
      </c>
      <c r="D152" s="22">
        <v>1.5396461855926101E-3</v>
      </c>
      <c r="E152" s="22">
        <v>-1.0524470362783299E-3</v>
      </c>
      <c r="F152" s="21">
        <v>0</v>
      </c>
      <c r="G152" s="21">
        <v>0.1</v>
      </c>
      <c r="H152" s="21">
        <v>0</v>
      </c>
      <c r="I152" s="21">
        <v>0.1</v>
      </c>
      <c r="J152" s="21">
        <v>0</v>
      </c>
      <c r="K152" s="21">
        <v>0</v>
      </c>
      <c r="L152" s="21">
        <v>32.5</v>
      </c>
      <c r="M152" s="21">
        <v>28.49</v>
      </c>
      <c r="N152" s="23">
        <v>0.87661538461538402</v>
      </c>
      <c r="O152" s="23">
        <v>0.87815704628300895</v>
      </c>
      <c r="P152" s="23">
        <v>0.87948631946859401</v>
      </c>
      <c r="Q152" s="23">
        <v>0.88105259539788605</v>
      </c>
      <c r="R152" s="21">
        <v>28.540104004197801</v>
      </c>
      <c r="S152" s="21">
        <v>28.602756223608999</v>
      </c>
      <c r="T152" s="21">
        <v>28.6443241227967</v>
      </c>
      <c r="U152" s="22">
        <v>1.75710768772761E-3</v>
      </c>
      <c r="V152" s="22">
        <v>3.94993612741989E-3</v>
      </c>
      <c r="W152" s="22">
        <v>5.4021641272307399E-3</v>
      </c>
      <c r="X152" s="23">
        <v>0.87661538461538402</v>
      </c>
      <c r="Y152" s="23">
        <v>0.87815704628300895</v>
      </c>
      <c r="Z152" s="23">
        <v>0.87948631946859401</v>
      </c>
      <c r="AA152" s="23">
        <v>0.88105259539788605</v>
      </c>
      <c r="AB152" s="21">
        <v>28.540104004197801</v>
      </c>
      <c r="AC152" s="21">
        <v>28.602756223608999</v>
      </c>
      <c r="AD152" s="21">
        <v>28.6443241227967</v>
      </c>
      <c r="AE152" s="22">
        <v>1.75710768772761E-3</v>
      </c>
      <c r="AF152" s="22">
        <v>3.94993612741989E-3</v>
      </c>
      <c r="AG152" s="22">
        <v>5.4021641272307399E-3</v>
      </c>
      <c r="AZ152" s="17"/>
      <c r="BB152">
        <f t="shared" si="46"/>
        <v>0</v>
      </c>
      <c r="BC152">
        <f t="shared" si="47"/>
        <v>1</v>
      </c>
      <c r="BD152">
        <f t="shared" si="48"/>
        <v>0</v>
      </c>
      <c r="BE152">
        <f t="shared" si="44"/>
        <v>1</v>
      </c>
      <c r="BF152">
        <f t="shared" si="49"/>
        <v>0</v>
      </c>
      <c r="BG152" s="17">
        <f t="shared" si="50"/>
        <v>0</v>
      </c>
      <c r="BH152" s="17">
        <f t="shared" si="51"/>
        <v>0</v>
      </c>
      <c r="BI152" s="17">
        <f t="shared" si="52"/>
        <v>0</v>
      </c>
      <c r="BJ152" s="11">
        <f t="shared" si="53"/>
        <v>1.215524029734778E-2</v>
      </c>
      <c r="BL152" s="17"/>
      <c r="BN152">
        <f t="shared" si="54"/>
        <v>0</v>
      </c>
      <c r="BO152">
        <f t="shared" si="55"/>
        <v>0</v>
      </c>
      <c r="BP152">
        <f t="shared" si="56"/>
        <v>0</v>
      </c>
      <c r="BQ152">
        <f t="shared" si="45"/>
        <v>1</v>
      </c>
      <c r="BR152">
        <f t="shared" si="57"/>
        <v>0</v>
      </c>
      <c r="BS152" s="17">
        <f t="shared" si="58"/>
        <v>0</v>
      </c>
      <c r="BT152" s="17">
        <f t="shared" si="59"/>
        <v>0</v>
      </c>
      <c r="BU152" s="17">
        <f t="shared" si="60"/>
        <v>0</v>
      </c>
      <c r="BV152" s="11">
        <f t="shared" si="61"/>
        <v>-9.9217261894517742E-3</v>
      </c>
      <c r="BX152" s="11">
        <f t="shared" si="62"/>
        <v>0</v>
      </c>
      <c r="BY152" s="11">
        <f t="shared" si="63"/>
        <v>2.2335141078960053E-3</v>
      </c>
    </row>
    <row r="153" spans="1:77" x14ac:dyDescent="0.3">
      <c r="A153" s="1">
        <v>46245</v>
      </c>
      <c r="B153" s="21">
        <v>32.67</v>
      </c>
      <c r="C153" s="21">
        <v>28.63</v>
      </c>
      <c r="D153" s="22">
        <v>5.2171362772871297E-3</v>
      </c>
      <c r="E153" s="22">
        <v>4.9019706002066798E-3</v>
      </c>
      <c r="F153" s="21">
        <v>0</v>
      </c>
      <c r="G153" s="21">
        <v>0.1</v>
      </c>
      <c r="H153" s="21">
        <v>0</v>
      </c>
      <c r="I153" s="21">
        <v>0.1</v>
      </c>
      <c r="J153" s="21">
        <v>0</v>
      </c>
      <c r="K153" s="21">
        <v>0</v>
      </c>
      <c r="L153" s="21">
        <v>32.67</v>
      </c>
      <c r="M153" s="21">
        <v>28.63</v>
      </c>
      <c r="N153" s="23">
        <v>0.87633914906642096</v>
      </c>
      <c r="O153" s="23">
        <v>0.87815704628300895</v>
      </c>
      <c r="P153" s="23">
        <v>0.87853174019101699</v>
      </c>
      <c r="Q153" s="23">
        <v>0.88056778720112705</v>
      </c>
      <c r="R153" s="21">
        <v>28.6893907020659</v>
      </c>
      <c r="S153" s="21">
        <v>28.732818057038902</v>
      </c>
      <c r="T153" s="21">
        <v>28.7839882916489</v>
      </c>
      <c r="U153" s="22">
        <v>2.0722733648078401E-3</v>
      </c>
      <c r="V153" s="22">
        <v>3.58483668102736E-3</v>
      </c>
      <c r="W153" s="22">
        <v>5.3641513321226802E-3</v>
      </c>
      <c r="X153" s="23">
        <v>0.87633914906642096</v>
      </c>
      <c r="Y153" s="23">
        <v>0.87815704628300895</v>
      </c>
      <c r="Z153" s="23">
        <v>0.87853174019101699</v>
      </c>
      <c r="AA153" s="23">
        <v>0.88056778720112705</v>
      </c>
      <c r="AB153" s="21">
        <v>28.6893907020659</v>
      </c>
      <c r="AC153" s="21">
        <v>28.732818057038902</v>
      </c>
      <c r="AD153" s="21">
        <v>28.7839882916489</v>
      </c>
      <c r="AE153" s="22">
        <v>2.0722733648078401E-3</v>
      </c>
      <c r="AF153" s="22">
        <v>3.58483668102736E-3</v>
      </c>
      <c r="AG153" s="22">
        <v>5.3641513321226802E-3</v>
      </c>
      <c r="AZ153" s="17"/>
      <c r="BB153">
        <f t="shared" si="46"/>
        <v>0</v>
      </c>
      <c r="BC153">
        <f t="shared" si="47"/>
        <v>1</v>
      </c>
      <c r="BD153">
        <f t="shared" si="48"/>
        <v>0</v>
      </c>
      <c r="BE153">
        <f t="shared" si="44"/>
        <v>1</v>
      </c>
      <c r="BF153">
        <f t="shared" si="49"/>
        <v>0</v>
      </c>
      <c r="BG153" s="17">
        <f t="shared" si="50"/>
        <v>0</v>
      </c>
      <c r="BH153" s="17">
        <f t="shared" si="51"/>
        <v>0</v>
      </c>
      <c r="BI153" s="17">
        <f t="shared" si="52"/>
        <v>0</v>
      </c>
      <c r="BJ153" s="11">
        <f t="shared" si="53"/>
        <v>1.215524029734778E-2</v>
      </c>
      <c r="BL153" s="17"/>
      <c r="BN153">
        <f t="shared" si="54"/>
        <v>0</v>
      </c>
      <c r="BO153">
        <f t="shared" si="55"/>
        <v>0</v>
      </c>
      <c r="BP153">
        <f t="shared" si="56"/>
        <v>0</v>
      </c>
      <c r="BQ153">
        <f t="shared" si="45"/>
        <v>1</v>
      </c>
      <c r="BR153">
        <f t="shared" si="57"/>
        <v>0</v>
      </c>
      <c r="BS153" s="17">
        <f t="shared" si="58"/>
        <v>0</v>
      </c>
      <c r="BT153" s="17">
        <f t="shared" si="59"/>
        <v>0</v>
      </c>
      <c r="BU153" s="17">
        <f t="shared" si="60"/>
        <v>0</v>
      </c>
      <c r="BV153" s="11">
        <f t="shared" si="61"/>
        <v>-9.9217261894517742E-3</v>
      </c>
      <c r="BX153" s="11">
        <f t="shared" si="62"/>
        <v>0</v>
      </c>
      <c r="BY153" s="11">
        <f t="shared" si="63"/>
        <v>2.2335141078960053E-3</v>
      </c>
    </row>
    <row r="154" spans="1:77" x14ac:dyDescent="0.3">
      <c r="A154" s="1">
        <v>46246</v>
      </c>
      <c r="B154" s="21">
        <v>32.68</v>
      </c>
      <c r="C154" s="21">
        <v>28.67</v>
      </c>
      <c r="D154" s="22">
        <v>3.0604437882320701E-4</v>
      </c>
      <c r="E154" s="22">
        <v>1.39616078525479E-3</v>
      </c>
      <c r="F154" s="21">
        <v>0</v>
      </c>
      <c r="G154" s="21">
        <v>0.1</v>
      </c>
      <c r="H154" s="21">
        <v>0</v>
      </c>
      <c r="I154" s="21">
        <v>0.1</v>
      </c>
      <c r="J154" s="21">
        <v>0</v>
      </c>
      <c r="K154" s="21">
        <v>0</v>
      </c>
      <c r="L154" s="21">
        <v>32.68</v>
      </c>
      <c r="M154" s="21">
        <v>28.67</v>
      </c>
      <c r="N154" s="23">
        <v>0.87729498164014696</v>
      </c>
      <c r="O154" s="23">
        <v>0.87815704628300895</v>
      </c>
      <c r="P154" s="23">
        <v>0.87796466972758103</v>
      </c>
      <c r="Q154" s="23">
        <v>0.880244286125206</v>
      </c>
      <c r="R154" s="21">
        <v>28.698172272528701</v>
      </c>
      <c r="S154" s="21">
        <v>28.710417269442399</v>
      </c>
      <c r="T154" s="21">
        <v>28.7769552857328</v>
      </c>
      <c r="U154" s="22">
        <v>9.8215695837629595E-4</v>
      </c>
      <c r="V154" s="22">
        <v>1.40874807294993E-3</v>
      </c>
      <c r="W154" s="22">
        <v>3.7236232549503301E-3</v>
      </c>
      <c r="X154" s="23">
        <v>0.87729498164014696</v>
      </c>
      <c r="Y154" s="23">
        <v>0.87815704628300895</v>
      </c>
      <c r="Z154" s="23">
        <v>0.87796466972758103</v>
      </c>
      <c r="AA154" s="23">
        <v>0.880244286125206</v>
      </c>
      <c r="AB154" s="21">
        <v>28.698172272528701</v>
      </c>
      <c r="AC154" s="21">
        <v>28.710417269442399</v>
      </c>
      <c r="AD154" s="21">
        <v>28.7769552857328</v>
      </c>
      <c r="AE154" s="22">
        <v>9.8215695837629595E-4</v>
      </c>
      <c r="AF154" s="22">
        <v>1.40874807294993E-3</v>
      </c>
      <c r="AG154" s="22">
        <v>3.7236232549503301E-3</v>
      </c>
      <c r="AZ154" s="17"/>
      <c r="BB154">
        <f t="shared" si="46"/>
        <v>0</v>
      </c>
      <c r="BC154">
        <f t="shared" si="47"/>
        <v>1</v>
      </c>
      <c r="BD154">
        <f t="shared" si="48"/>
        <v>0</v>
      </c>
      <c r="BE154">
        <f t="shared" si="44"/>
        <v>1</v>
      </c>
      <c r="BF154">
        <f t="shared" si="49"/>
        <v>0</v>
      </c>
      <c r="BG154" s="17">
        <f t="shared" si="50"/>
        <v>0</v>
      </c>
      <c r="BH154" s="17">
        <f t="shared" si="51"/>
        <v>0</v>
      </c>
      <c r="BI154" s="17">
        <f t="shared" si="52"/>
        <v>0</v>
      </c>
      <c r="BJ154" s="11">
        <f t="shared" si="53"/>
        <v>1.215524029734778E-2</v>
      </c>
      <c r="BL154" s="17"/>
      <c r="BN154">
        <f t="shared" si="54"/>
        <v>0</v>
      </c>
      <c r="BO154">
        <f t="shared" si="55"/>
        <v>1</v>
      </c>
      <c r="BP154">
        <f t="shared" si="56"/>
        <v>0</v>
      </c>
      <c r="BQ154">
        <f t="shared" si="45"/>
        <v>1</v>
      </c>
      <c r="BR154">
        <f t="shared" si="57"/>
        <v>0</v>
      </c>
      <c r="BS154" s="17">
        <f t="shared" si="58"/>
        <v>0</v>
      </c>
      <c r="BT154" s="17">
        <f t="shared" si="59"/>
        <v>0</v>
      </c>
      <c r="BU154" s="17">
        <f t="shared" si="60"/>
        <v>0</v>
      </c>
      <c r="BV154" s="11">
        <f t="shared" si="61"/>
        <v>-9.9217261894517742E-3</v>
      </c>
      <c r="BX154" s="11">
        <f t="shared" si="62"/>
        <v>0</v>
      </c>
      <c r="BY154" s="11">
        <f t="shared" si="63"/>
        <v>2.2335141078960053E-3</v>
      </c>
    </row>
    <row r="155" spans="1:77" x14ac:dyDescent="0.3">
      <c r="A155" s="1">
        <v>46247</v>
      </c>
      <c r="B155" s="21">
        <v>32.93</v>
      </c>
      <c r="C155" s="21">
        <v>28.94</v>
      </c>
      <c r="D155" s="22">
        <v>7.6208263964707701E-3</v>
      </c>
      <c r="E155" s="22">
        <v>9.3734413080594301E-3</v>
      </c>
      <c r="F155" s="21">
        <v>0</v>
      </c>
      <c r="G155" s="21">
        <v>0.1</v>
      </c>
      <c r="H155" s="21">
        <v>0</v>
      </c>
      <c r="I155" s="21">
        <v>0.1</v>
      </c>
      <c r="J155" s="21">
        <v>0</v>
      </c>
      <c r="K155" s="21">
        <v>0</v>
      </c>
      <c r="L155" s="21">
        <v>32.93</v>
      </c>
      <c r="M155" s="21">
        <v>28.94</v>
      </c>
      <c r="N155" s="23">
        <v>0.87883389006984503</v>
      </c>
      <c r="O155" s="23">
        <v>0.87815704628300895</v>
      </c>
      <c r="P155" s="23">
        <v>0.87751472540123199</v>
      </c>
      <c r="Q155" s="23">
        <v>0.88010177657215305</v>
      </c>
      <c r="R155" s="21">
        <v>28.9177115340994</v>
      </c>
      <c r="S155" s="21">
        <v>28.9113765741292</v>
      </c>
      <c r="T155" s="21">
        <v>28.986444342102999</v>
      </c>
      <c r="U155" s="22">
        <v>-7.7045795321221695E-4</v>
      </c>
      <c r="V155" s="22">
        <v>-9.8955046194162499E-4</v>
      </c>
      <c r="W155" s="22">
        <v>1.6035630214435101E-3</v>
      </c>
      <c r="X155" s="23">
        <v>0.87883389006984503</v>
      </c>
      <c r="Y155" s="23">
        <v>0.87815704628300895</v>
      </c>
      <c r="Z155" s="23">
        <v>0.87751472540123199</v>
      </c>
      <c r="AA155" s="23">
        <v>0.88010177657215305</v>
      </c>
      <c r="AB155" s="21">
        <v>28.9177115340994</v>
      </c>
      <c r="AC155" s="21">
        <v>28.9113765741292</v>
      </c>
      <c r="AD155" s="21">
        <v>28.986444342102999</v>
      </c>
      <c r="AE155" s="22">
        <v>-7.7045795321221695E-4</v>
      </c>
      <c r="AF155" s="22">
        <v>-9.8955046194162499E-4</v>
      </c>
      <c r="AG155" s="22">
        <v>1.6035630214435101E-3</v>
      </c>
      <c r="AZ155" s="17"/>
      <c r="BB155">
        <f t="shared" si="46"/>
        <v>0</v>
      </c>
      <c r="BC155">
        <f t="shared" si="47"/>
        <v>1</v>
      </c>
      <c r="BD155">
        <f t="shared" si="48"/>
        <v>0</v>
      </c>
      <c r="BE155">
        <f t="shared" si="44"/>
        <v>1</v>
      </c>
      <c r="BF155">
        <f t="shared" si="49"/>
        <v>0</v>
      </c>
      <c r="BG155" s="17">
        <f t="shared" si="50"/>
        <v>0</v>
      </c>
      <c r="BH155" s="17">
        <f t="shared" si="51"/>
        <v>0</v>
      </c>
      <c r="BI155" s="17">
        <f t="shared" si="52"/>
        <v>0</v>
      </c>
      <c r="BJ155" s="11">
        <f t="shared" si="53"/>
        <v>1.215524029734778E-2</v>
      </c>
      <c r="BL155" s="17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17">
        <f t="shared" si="58"/>
        <v>0</v>
      </c>
      <c r="BT155" s="17">
        <f t="shared" si="59"/>
        <v>0</v>
      </c>
      <c r="BU155" s="17">
        <f t="shared" si="60"/>
        <v>0</v>
      </c>
      <c r="BV155" s="11">
        <f t="shared" si="61"/>
        <v>-9.9217261894517742E-3</v>
      </c>
      <c r="BX155" s="11">
        <f t="shared" si="62"/>
        <v>0</v>
      </c>
      <c r="BY155" s="11">
        <f t="shared" si="63"/>
        <v>2.2335141078960053E-3</v>
      </c>
    </row>
    <row r="156" spans="1:77" x14ac:dyDescent="0.3">
      <c r="A156" s="1">
        <v>46248</v>
      </c>
      <c r="B156" s="21">
        <v>33.17</v>
      </c>
      <c r="C156" s="21">
        <v>29.16</v>
      </c>
      <c r="D156" s="22">
        <v>7.2617565706881802E-3</v>
      </c>
      <c r="E156" s="22">
        <v>7.57318593711957E-3</v>
      </c>
      <c r="F156" s="21">
        <v>0</v>
      </c>
      <c r="G156" s="21">
        <v>0.1</v>
      </c>
      <c r="H156" s="21">
        <v>0</v>
      </c>
      <c r="I156" s="21">
        <v>0.1</v>
      </c>
      <c r="J156" s="21">
        <v>0</v>
      </c>
      <c r="K156" s="21">
        <v>0</v>
      </c>
      <c r="L156" s="21">
        <v>33.17</v>
      </c>
      <c r="M156" s="21">
        <v>29.16</v>
      </c>
      <c r="N156" s="23">
        <v>0.87910762737413295</v>
      </c>
      <c r="O156" s="23">
        <v>0.87815704628300895</v>
      </c>
      <c r="P156" s="23">
        <v>0.877289894918306</v>
      </c>
      <c r="Q156" s="23">
        <v>0.88021076682426502</v>
      </c>
      <c r="R156" s="21">
        <v>29.1284692252074</v>
      </c>
      <c r="S156" s="21">
        <v>29.1071634415588</v>
      </c>
      <c r="T156" s="21">
        <v>29.192975928898299</v>
      </c>
      <c r="U156" s="22">
        <v>-1.08188731964358E-3</v>
      </c>
      <c r="V156" s="22">
        <v>-1.81359688038744E-3</v>
      </c>
      <c r="W156" s="22">
        <v>1.1302228167008E-3</v>
      </c>
      <c r="X156" s="23">
        <v>0.87910762737413295</v>
      </c>
      <c r="Y156" s="23">
        <v>0.87815704628300895</v>
      </c>
      <c r="Z156" s="23">
        <v>0.877289894918306</v>
      </c>
      <c r="AA156" s="23">
        <v>0.88021076682426502</v>
      </c>
      <c r="AB156" s="21">
        <v>29.1284692252074</v>
      </c>
      <c r="AC156" s="21">
        <v>29.1071634415588</v>
      </c>
      <c r="AD156" s="21">
        <v>29.192975928898299</v>
      </c>
      <c r="AE156" s="22">
        <v>-1.08188731964358E-3</v>
      </c>
      <c r="AF156" s="22">
        <v>-1.81359688038744E-3</v>
      </c>
      <c r="AG156" s="22">
        <v>1.1302228167008E-3</v>
      </c>
      <c r="AZ156" s="17"/>
      <c r="BB156">
        <f t="shared" si="46"/>
        <v>0</v>
      </c>
      <c r="BC156">
        <f t="shared" si="47"/>
        <v>1</v>
      </c>
      <c r="BD156">
        <f t="shared" si="48"/>
        <v>0</v>
      </c>
      <c r="BE156">
        <f t="shared" si="44"/>
        <v>1</v>
      </c>
      <c r="BF156">
        <f t="shared" si="49"/>
        <v>0</v>
      </c>
      <c r="BG156" s="17">
        <f t="shared" si="50"/>
        <v>0</v>
      </c>
      <c r="BH156" s="17">
        <f t="shared" si="51"/>
        <v>0</v>
      </c>
      <c r="BI156" s="17">
        <f t="shared" si="52"/>
        <v>0</v>
      </c>
      <c r="BJ156" s="11">
        <f t="shared" si="53"/>
        <v>1.215524029734778E-2</v>
      </c>
      <c r="BL156" s="17"/>
      <c r="BN156">
        <f t="shared" si="54"/>
        <v>0</v>
      </c>
      <c r="BO156">
        <f t="shared" si="55"/>
        <v>1</v>
      </c>
      <c r="BP156">
        <f t="shared" si="56"/>
        <v>0</v>
      </c>
      <c r="BQ156">
        <f t="shared" si="45"/>
        <v>1</v>
      </c>
      <c r="BR156">
        <f t="shared" si="57"/>
        <v>0</v>
      </c>
      <c r="BS156" s="17">
        <f t="shared" si="58"/>
        <v>0</v>
      </c>
      <c r="BT156" s="17">
        <f t="shared" si="59"/>
        <v>0</v>
      </c>
      <c r="BU156" s="17">
        <f t="shared" si="60"/>
        <v>0</v>
      </c>
      <c r="BV156" s="11">
        <f t="shared" si="61"/>
        <v>-9.9217261894517742E-3</v>
      </c>
      <c r="BX156" s="11">
        <f t="shared" si="62"/>
        <v>0</v>
      </c>
      <c r="BY156" s="11">
        <f t="shared" si="63"/>
        <v>2.2335141078960053E-3</v>
      </c>
    </row>
    <row r="157" spans="1:77" x14ac:dyDescent="0.3">
      <c r="A157" s="1">
        <v>46251</v>
      </c>
      <c r="B157" s="21">
        <v>32.68</v>
      </c>
      <c r="C157" s="21">
        <v>28.7</v>
      </c>
      <c r="D157" s="22">
        <v>-1.48825829671589E-2</v>
      </c>
      <c r="E157" s="22">
        <v>-1.5900784374882002E-2</v>
      </c>
      <c r="F157" s="21">
        <v>0</v>
      </c>
      <c r="G157" s="21">
        <v>0.1</v>
      </c>
      <c r="H157" s="21">
        <v>0</v>
      </c>
      <c r="I157" s="21">
        <v>0.1</v>
      </c>
      <c r="J157" s="21">
        <v>0</v>
      </c>
      <c r="K157" s="21">
        <v>0</v>
      </c>
      <c r="L157" s="21">
        <v>32.68</v>
      </c>
      <c r="M157" s="21">
        <v>28.7</v>
      </c>
      <c r="N157" s="23">
        <v>0.87821297429620504</v>
      </c>
      <c r="O157" s="23">
        <v>0.87815704628300895</v>
      </c>
      <c r="P157" s="23">
        <v>0.87722191899152602</v>
      </c>
      <c r="Q157" s="23">
        <v>0.88020648228853204</v>
      </c>
      <c r="R157" s="21">
        <v>28.698172272528701</v>
      </c>
      <c r="S157" s="21">
        <v>28.6698337659302</v>
      </c>
      <c r="T157" s="21">
        <v>28.765287859816901</v>
      </c>
      <c r="U157" s="22">
        <v>-6.3685911920535705E-5</v>
      </c>
      <c r="V157" s="22">
        <v>-1.05164107579623E-3</v>
      </c>
      <c r="W157" s="22">
        <v>2.2722547937848799E-3</v>
      </c>
      <c r="X157" s="23">
        <v>0.87821297429620504</v>
      </c>
      <c r="Y157" s="23">
        <v>0.87815704628300895</v>
      </c>
      <c r="Z157" s="23">
        <v>0.87722191899152602</v>
      </c>
      <c r="AA157" s="23">
        <v>0.88020648228853204</v>
      </c>
      <c r="AB157" s="21">
        <v>28.698172272528701</v>
      </c>
      <c r="AC157" s="21">
        <v>28.6698337659302</v>
      </c>
      <c r="AD157" s="21">
        <v>28.765287859816901</v>
      </c>
      <c r="AE157" s="22">
        <v>-6.3685911920535705E-5</v>
      </c>
      <c r="AF157" s="22">
        <v>-1.05164107579623E-3</v>
      </c>
      <c r="AG157" s="22">
        <v>2.2722547937848799E-3</v>
      </c>
      <c r="BB157">
        <f t="shared" si="46"/>
        <v>0</v>
      </c>
      <c r="BC157">
        <f t="shared" si="47"/>
        <v>1</v>
      </c>
      <c r="BD157">
        <f t="shared" si="48"/>
        <v>0</v>
      </c>
      <c r="BE157">
        <f t="shared" si="44"/>
        <v>1</v>
      </c>
      <c r="BF157">
        <f t="shared" si="49"/>
        <v>0</v>
      </c>
      <c r="BG157" s="17">
        <f t="shared" si="50"/>
        <v>0</v>
      </c>
      <c r="BH157" s="17">
        <f t="shared" si="51"/>
        <v>0</v>
      </c>
      <c r="BI157" s="17">
        <f t="shared" si="52"/>
        <v>0</v>
      </c>
      <c r="BJ157" s="11">
        <f t="shared" si="53"/>
        <v>1.215524029734778E-2</v>
      </c>
      <c r="BL157" s="17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17">
        <f t="shared" si="58"/>
        <v>0</v>
      </c>
      <c r="BT157" s="17">
        <f t="shared" si="59"/>
        <v>0</v>
      </c>
      <c r="BU157" s="17">
        <f t="shared" si="60"/>
        <v>0</v>
      </c>
      <c r="BV157" s="11">
        <f t="shared" si="61"/>
        <v>-9.9217261894517742E-3</v>
      </c>
      <c r="BX157" s="11">
        <f t="shared" si="62"/>
        <v>0</v>
      </c>
      <c r="BY157" s="11">
        <f t="shared" si="63"/>
        <v>2.2335141078960053E-3</v>
      </c>
    </row>
    <row r="158" spans="1:77" x14ac:dyDescent="0.3">
      <c r="A158" s="1">
        <v>46252</v>
      </c>
      <c r="B158" s="21">
        <v>33.49</v>
      </c>
      <c r="C158" s="21">
        <v>29.39</v>
      </c>
      <c r="D158" s="22">
        <v>2.4483616814311202E-2</v>
      </c>
      <c r="E158" s="22">
        <v>2.37573576652505E-2</v>
      </c>
      <c r="F158" s="21">
        <v>0</v>
      </c>
      <c r="G158" s="21">
        <v>0.1</v>
      </c>
      <c r="H158" s="21">
        <v>0</v>
      </c>
      <c r="I158" s="21">
        <v>0.1</v>
      </c>
      <c r="J158" s="21">
        <v>0</v>
      </c>
      <c r="K158" s="21">
        <v>0</v>
      </c>
      <c r="L158" s="21">
        <v>33.49</v>
      </c>
      <c r="M158" s="21">
        <v>29.39</v>
      </c>
      <c r="N158" s="23">
        <v>0.87757539564048903</v>
      </c>
      <c r="O158" s="23">
        <v>0.87815704628300895</v>
      </c>
      <c r="P158" s="23">
        <v>0.87760170794432801</v>
      </c>
      <c r="Q158" s="23">
        <v>0.87998079836981902</v>
      </c>
      <c r="R158" s="21">
        <v>29.4094794800179</v>
      </c>
      <c r="S158" s="21">
        <v>29.378162067026199</v>
      </c>
      <c r="T158" s="21">
        <v>29.478115091842898</v>
      </c>
      <c r="U158" s="22">
        <v>6.6257323714003402E-4</v>
      </c>
      <c r="V158" s="22">
        <v>-4.0286892485778798E-4</v>
      </c>
      <c r="W158" s="22">
        <v>2.9936463062269401E-3</v>
      </c>
      <c r="X158" s="23">
        <v>0.87757539564048903</v>
      </c>
      <c r="Y158" s="23">
        <v>0.87815704628300895</v>
      </c>
      <c r="Z158" s="23">
        <v>0.87760170794432801</v>
      </c>
      <c r="AA158" s="23">
        <v>0.87998079836981902</v>
      </c>
      <c r="AB158" s="21">
        <v>29.4094794800179</v>
      </c>
      <c r="AC158" s="21">
        <v>29.378162067026199</v>
      </c>
      <c r="AD158" s="21">
        <v>29.478115091842898</v>
      </c>
      <c r="AE158" s="22">
        <v>6.6257323714003402E-4</v>
      </c>
      <c r="AF158" s="22">
        <v>-4.0286892485778798E-4</v>
      </c>
      <c r="AG158" s="22">
        <v>2.9936463062269401E-3</v>
      </c>
      <c r="BB158">
        <f t="shared" si="46"/>
        <v>0</v>
      </c>
      <c r="BC158">
        <f t="shared" si="47"/>
        <v>1</v>
      </c>
      <c r="BD158">
        <f t="shared" si="48"/>
        <v>0</v>
      </c>
      <c r="BE158">
        <f t="shared" si="44"/>
        <v>1</v>
      </c>
      <c r="BF158">
        <f t="shared" si="49"/>
        <v>0</v>
      </c>
      <c r="BG158" s="17">
        <f t="shared" si="50"/>
        <v>0</v>
      </c>
      <c r="BH158" s="17">
        <f t="shared" si="51"/>
        <v>0</v>
      </c>
      <c r="BI158" s="17">
        <f t="shared" si="52"/>
        <v>0</v>
      </c>
      <c r="BJ158" s="11">
        <f t="shared" si="53"/>
        <v>1.215524029734778E-2</v>
      </c>
      <c r="BL158" s="17"/>
      <c r="BN158">
        <f t="shared" si="54"/>
        <v>0</v>
      </c>
      <c r="BO158">
        <f t="shared" si="55"/>
        <v>1</v>
      </c>
      <c r="BP158">
        <f t="shared" si="56"/>
        <v>0</v>
      </c>
      <c r="BQ158">
        <f t="shared" si="45"/>
        <v>1</v>
      </c>
      <c r="BR158">
        <f t="shared" si="57"/>
        <v>0</v>
      </c>
      <c r="BS158" s="17">
        <f t="shared" si="58"/>
        <v>0</v>
      </c>
      <c r="BT158" s="17">
        <f t="shared" si="59"/>
        <v>0</v>
      </c>
      <c r="BU158" s="17">
        <f t="shared" si="60"/>
        <v>0</v>
      </c>
      <c r="BV158" s="11">
        <f t="shared" si="61"/>
        <v>-9.9217261894517742E-3</v>
      </c>
      <c r="BX158" s="11">
        <f t="shared" si="62"/>
        <v>0</v>
      </c>
      <c r="BY158" s="11">
        <f t="shared" si="63"/>
        <v>2.2335141078960053E-3</v>
      </c>
    </row>
    <row r="159" spans="1:77" x14ac:dyDescent="0.3">
      <c r="A159" s="1">
        <v>46253</v>
      </c>
      <c r="B159" s="21">
        <v>33.53</v>
      </c>
      <c r="C159" s="21">
        <v>29.45</v>
      </c>
      <c r="D159" s="22">
        <v>1.19367367202389E-3</v>
      </c>
      <c r="E159" s="22">
        <v>2.03942966676969E-3</v>
      </c>
      <c r="F159" s="21">
        <v>0</v>
      </c>
      <c r="G159" s="21">
        <v>0.1</v>
      </c>
      <c r="H159" s="21">
        <v>0</v>
      </c>
      <c r="I159" s="21">
        <v>0.1</v>
      </c>
      <c r="J159" s="21">
        <v>0</v>
      </c>
      <c r="K159" s="21">
        <v>0</v>
      </c>
      <c r="L159" s="21">
        <v>33.53</v>
      </c>
      <c r="M159" s="21">
        <v>29.45</v>
      </c>
      <c r="N159" s="23">
        <v>0.87831792424694299</v>
      </c>
      <c r="O159" s="23">
        <v>0.87815704628300895</v>
      </c>
      <c r="P159" s="23">
        <v>0.87771843849156905</v>
      </c>
      <c r="Q159" s="23">
        <v>0.87972868165809504</v>
      </c>
      <c r="R159" s="21">
        <v>29.444605761869301</v>
      </c>
      <c r="S159" s="21">
        <v>29.425985267373299</v>
      </c>
      <c r="T159" s="21">
        <v>29.50575616934</v>
      </c>
      <c r="U159" s="22">
        <v>-1.8318275760583101E-4</v>
      </c>
      <c r="V159" s="22">
        <v>-8.1577348895004397E-4</v>
      </c>
      <c r="W159" s="22">
        <v>1.89145859830001E-3</v>
      </c>
      <c r="X159" s="23">
        <v>0.87831792424694299</v>
      </c>
      <c r="Y159" s="23">
        <v>0.87815704628300895</v>
      </c>
      <c r="Z159" s="23">
        <v>0.87771843849156905</v>
      </c>
      <c r="AA159" s="23">
        <v>0.87972868165809504</v>
      </c>
      <c r="AB159" s="21">
        <v>29.444605761869301</v>
      </c>
      <c r="AC159" s="21">
        <v>29.425985267373299</v>
      </c>
      <c r="AD159" s="21">
        <v>29.50575616934</v>
      </c>
      <c r="AE159" s="22">
        <v>-1.8318275760583101E-4</v>
      </c>
      <c r="AF159" s="22">
        <v>-8.1577348895004397E-4</v>
      </c>
      <c r="AG159" s="22">
        <v>1.89145859830001E-3</v>
      </c>
      <c r="BB159">
        <f t="shared" si="46"/>
        <v>0</v>
      </c>
      <c r="BC159">
        <f t="shared" si="47"/>
        <v>1</v>
      </c>
      <c r="BD159">
        <f t="shared" si="48"/>
        <v>0</v>
      </c>
      <c r="BE159">
        <f t="shared" si="44"/>
        <v>1</v>
      </c>
      <c r="BF159">
        <f t="shared" si="49"/>
        <v>0</v>
      </c>
      <c r="BG159" s="17">
        <f t="shared" si="50"/>
        <v>0</v>
      </c>
      <c r="BH159" s="17">
        <f t="shared" si="51"/>
        <v>0</v>
      </c>
      <c r="BI159" s="17">
        <f t="shared" si="52"/>
        <v>0</v>
      </c>
      <c r="BJ159" s="11">
        <f t="shared" si="53"/>
        <v>1.215524029734778E-2</v>
      </c>
      <c r="BL159" s="17"/>
      <c r="BN159">
        <f t="shared" si="54"/>
        <v>0</v>
      </c>
      <c r="BO159">
        <f t="shared" si="55"/>
        <v>1</v>
      </c>
      <c r="BP159">
        <f t="shared" si="56"/>
        <v>0</v>
      </c>
      <c r="BQ159">
        <f t="shared" si="45"/>
        <v>1</v>
      </c>
      <c r="BR159">
        <f t="shared" si="57"/>
        <v>0</v>
      </c>
      <c r="BS159" s="17">
        <f t="shared" si="58"/>
        <v>0</v>
      </c>
      <c r="BT159" s="17">
        <f t="shared" si="59"/>
        <v>0</v>
      </c>
      <c r="BU159" s="17">
        <f t="shared" si="60"/>
        <v>0</v>
      </c>
      <c r="BV159" s="11">
        <f t="shared" si="61"/>
        <v>-9.9217261894517742E-3</v>
      </c>
      <c r="BX159" s="11">
        <f t="shared" si="62"/>
        <v>0</v>
      </c>
      <c r="BY159" s="11">
        <f t="shared" si="63"/>
        <v>2.2335141078960053E-3</v>
      </c>
    </row>
    <row r="160" spans="1:77" x14ac:dyDescent="0.3">
      <c r="A160" s="1">
        <v>46254</v>
      </c>
      <c r="B160" s="21">
        <v>33.78</v>
      </c>
      <c r="C160" s="21">
        <v>29.65</v>
      </c>
      <c r="D160" s="22">
        <v>7.4283509015168102E-3</v>
      </c>
      <c r="E160" s="22">
        <v>6.7682153461388096E-3</v>
      </c>
      <c r="F160" s="21">
        <v>0</v>
      </c>
      <c r="G160" s="21">
        <v>0.1</v>
      </c>
      <c r="H160" s="21">
        <v>0</v>
      </c>
      <c r="I160" s="21">
        <v>0.1</v>
      </c>
      <c r="J160" s="21">
        <v>0</v>
      </c>
      <c r="K160" s="21">
        <v>0</v>
      </c>
      <c r="L160" s="21">
        <v>33.78</v>
      </c>
      <c r="M160" s="21">
        <v>29.65</v>
      </c>
      <c r="N160" s="23">
        <v>0.87773830669034902</v>
      </c>
      <c r="O160" s="23">
        <v>0.87815704628300895</v>
      </c>
      <c r="P160" s="23">
        <v>0.87789262345644103</v>
      </c>
      <c r="Q160" s="23">
        <v>0.87936349615227605</v>
      </c>
      <c r="R160" s="21">
        <v>29.66414502344</v>
      </c>
      <c r="S160" s="21">
        <v>29.649328852245201</v>
      </c>
      <c r="T160" s="21">
        <v>29.717234866410401</v>
      </c>
      <c r="U160" s="22">
        <v>4.7695279777230302E-4</v>
      </c>
      <c r="V160" s="22">
        <v>-2.2635930887708499E-5</v>
      </c>
      <c r="W160" s="22">
        <v>2.2650505891747101E-3</v>
      </c>
      <c r="X160" s="23">
        <v>0.87773830669034902</v>
      </c>
      <c r="Y160" s="23">
        <v>0.87815704628300895</v>
      </c>
      <c r="Z160" s="23">
        <v>0.87789262345644103</v>
      </c>
      <c r="AA160" s="23">
        <v>0.87936349615227605</v>
      </c>
      <c r="AB160" s="21">
        <v>29.66414502344</v>
      </c>
      <c r="AC160" s="21">
        <v>29.649328852245201</v>
      </c>
      <c r="AD160" s="21">
        <v>29.717234866410401</v>
      </c>
      <c r="AE160" s="22">
        <v>4.7695279777230302E-4</v>
      </c>
      <c r="AF160" s="22">
        <v>-2.2635930887708499E-5</v>
      </c>
      <c r="AG160" s="22">
        <v>2.2650505891747101E-3</v>
      </c>
      <c r="BB160">
        <f t="shared" si="46"/>
        <v>0</v>
      </c>
      <c r="BC160">
        <f t="shared" si="47"/>
        <v>1</v>
      </c>
      <c r="BD160">
        <f t="shared" si="48"/>
        <v>0</v>
      </c>
      <c r="BE160">
        <f t="shared" si="44"/>
        <v>1</v>
      </c>
      <c r="BF160">
        <f t="shared" si="49"/>
        <v>0</v>
      </c>
      <c r="BG160" s="17">
        <f t="shared" si="50"/>
        <v>0</v>
      </c>
      <c r="BH160" s="17">
        <f t="shared" si="51"/>
        <v>0</v>
      </c>
      <c r="BI160" s="17">
        <f t="shared" si="52"/>
        <v>0</v>
      </c>
      <c r="BJ160" s="11">
        <f t="shared" si="53"/>
        <v>1.215524029734778E-2</v>
      </c>
      <c r="BL160" s="17"/>
      <c r="BN160">
        <f t="shared" si="54"/>
        <v>0</v>
      </c>
      <c r="BO160">
        <f t="shared" si="55"/>
        <v>1</v>
      </c>
      <c r="BP160">
        <f t="shared" si="56"/>
        <v>0</v>
      </c>
      <c r="BQ160">
        <f t="shared" si="45"/>
        <v>1</v>
      </c>
      <c r="BR160">
        <f t="shared" si="57"/>
        <v>0</v>
      </c>
      <c r="BS160" s="17">
        <f t="shared" si="58"/>
        <v>0</v>
      </c>
      <c r="BT160" s="17">
        <f t="shared" si="59"/>
        <v>0</v>
      </c>
      <c r="BU160" s="17">
        <f t="shared" si="60"/>
        <v>0</v>
      </c>
      <c r="BV160" s="11">
        <f t="shared" si="61"/>
        <v>-9.9217261894517742E-3</v>
      </c>
      <c r="BX160" s="11">
        <f t="shared" si="62"/>
        <v>0</v>
      </c>
      <c r="BY160" s="11">
        <f t="shared" si="63"/>
        <v>2.2335141078960053E-3</v>
      </c>
    </row>
    <row r="161" spans="1:77" x14ac:dyDescent="0.3">
      <c r="A161" s="1">
        <v>46255</v>
      </c>
      <c r="B161" s="21">
        <v>34.549999999999997</v>
      </c>
      <c r="C161" s="21">
        <v>30.38</v>
      </c>
      <c r="D161" s="22">
        <v>2.25386388340247E-2</v>
      </c>
      <c r="E161" s="22">
        <v>2.4322371723892199E-2</v>
      </c>
      <c r="F161" s="21">
        <v>0</v>
      </c>
      <c r="G161" s="21">
        <v>0.1</v>
      </c>
      <c r="H161" s="21">
        <v>0</v>
      </c>
      <c r="I161" s="21">
        <v>0.1</v>
      </c>
      <c r="J161" s="21">
        <v>0</v>
      </c>
      <c r="K161" s="21">
        <v>0</v>
      </c>
      <c r="L161" s="21">
        <v>34.549999999999997</v>
      </c>
      <c r="M161" s="21">
        <v>30.38</v>
      </c>
      <c r="N161" s="23">
        <v>0.87930535455861003</v>
      </c>
      <c r="O161" s="23">
        <v>0.87815704628300895</v>
      </c>
      <c r="P161" s="23">
        <v>0.87793409881985196</v>
      </c>
      <c r="Q161" s="23">
        <v>0.87900945285006404</v>
      </c>
      <c r="R161" s="21">
        <v>30.340325949077901</v>
      </c>
      <c r="S161" s="21">
        <v>30.331190140419999</v>
      </c>
      <c r="T161" s="21">
        <v>30.3820087920611</v>
      </c>
      <c r="U161" s="22">
        <v>-1.3067800920952E-3</v>
      </c>
      <c r="V161" s="22">
        <v>-1.6079365264746201E-3</v>
      </c>
      <c r="W161" s="22">
        <v>6.6120001686397601E-5</v>
      </c>
      <c r="X161" s="23">
        <v>0.87930535455861003</v>
      </c>
      <c r="Y161" s="23">
        <v>0.87815704628300895</v>
      </c>
      <c r="Z161" s="23">
        <v>0.87793409881985196</v>
      </c>
      <c r="AA161" s="23">
        <v>0.87900945285006404</v>
      </c>
      <c r="AB161" s="21">
        <v>30.340325949077901</v>
      </c>
      <c r="AC161" s="21">
        <v>30.331190140419999</v>
      </c>
      <c r="AD161" s="21">
        <v>30.3820087920611</v>
      </c>
      <c r="AE161" s="22">
        <v>-1.3067800920952E-3</v>
      </c>
      <c r="AF161" s="22">
        <v>-1.6079365264746201E-3</v>
      </c>
      <c r="AG161" s="22">
        <v>6.6120001686397601E-5</v>
      </c>
      <c r="BB161">
        <f t="shared" si="46"/>
        <v>0</v>
      </c>
      <c r="BC161">
        <f t="shared" si="47"/>
        <v>1</v>
      </c>
      <c r="BD161">
        <f t="shared" si="48"/>
        <v>0</v>
      </c>
      <c r="BE161">
        <f t="shared" si="44"/>
        <v>1</v>
      </c>
      <c r="BF161">
        <f t="shared" si="49"/>
        <v>0</v>
      </c>
      <c r="BG161" s="17">
        <f t="shared" si="50"/>
        <v>0</v>
      </c>
      <c r="BH161" s="17">
        <f t="shared" si="51"/>
        <v>0</v>
      </c>
      <c r="BI161" s="17">
        <f t="shared" si="52"/>
        <v>0</v>
      </c>
      <c r="BJ161" s="11">
        <f t="shared" si="53"/>
        <v>1.215524029734778E-2</v>
      </c>
      <c r="BL161" s="17"/>
      <c r="BN161">
        <f t="shared" si="54"/>
        <v>0</v>
      </c>
      <c r="BO161">
        <f t="shared" si="55"/>
        <v>1</v>
      </c>
      <c r="BP161">
        <f t="shared" si="56"/>
        <v>0</v>
      </c>
      <c r="BQ161">
        <f t="shared" si="45"/>
        <v>1</v>
      </c>
      <c r="BR161">
        <f t="shared" si="57"/>
        <v>0</v>
      </c>
      <c r="BS161" s="17">
        <f t="shared" si="58"/>
        <v>0</v>
      </c>
      <c r="BT161" s="17">
        <f t="shared" si="59"/>
        <v>0</v>
      </c>
      <c r="BU161" s="17">
        <f t="shared" si="60"/>
        <v>0</v>
      </c>
      <c r="BV161" s="11">
        <f t="shared" si="61"/>
        <v>-9.9217261894517742E-3</v>
      </c>
      <c r="BX161" s="11">
        <f t="shared" si="62"/>
        <v>0</v>
      </c>
      <c r="BY161" s="11">
        <f t="shared" si="63"/>
        <v>2.2335141078960053E-3</v>
      </c>
    </row>
    <row r="162" spans="1:77" x14ac:dyDescent="0.3">
      <c r="A162" s="1">
        <v>46258</v>
      </c>
      <c r="B162" s="21">
        <v>35.049999999999997</v>
      </c>
      <c r="C162" s="21">
        <v>30.76</v>
      </c>
      <c r="D162" s="22">
        <v>1.4368063266920099E-2</v>
      </c>
      <c r="E162" s="22">
        <v>1.2430647469816401E-2</v>
      </c>
      <c r="F162" s="21">
        <v>0</v>
      </c>
      <c r="G162" s="21">
        <v>0.1</v>
      </c>
      <c r="H162" s="21">
        <v>0</v>
      </c>
      <c r="I162" s="21">
        <v>0.1</v>
      </c>
      <c r="J162" s="21">
        <v>0</v>
      </c>
      <c r="K162" s="21">
        <v>0</v>
      </c>
      <c r="L162" s="21">
        <v>35.049999999999997</v>
      </c>
      <c r="M162" s="21">
        <v>30.76</v>
      </c>
      <c r="N162" s="23">
        <v>0.87760342368045596</v>
      </c>
      <c r="O162" s="23">
        <v>0.87815704628300895</v>
      </c>
      <c r="P162" s="23">
        <v>0.87803290272636003</v>
      </c>
      <c r="Q162" s="23">
        <v>0.87875961109747702</v>
      </c>
      <c r="R162" s="21">
        <v>30.779404472219401</v>
      </c>
      <c r="S162" s="21">
        <v>30.7715901636358</v>
      </c>
      <c r="T162" s="21">
        <v>30.8092813223947</v>
      </c>
      <c r="U162" s="22">
        <v>6.3063570500853001E-4</v>
      </c>
      <c r="V162" s="22">
        <v>3.76722387381437E-4</v>
      </c>
      <c r="W162" s="22">
        <v>1.60084158400789E-3</v>
      </c>
      <c r="X162" s="23">
        <v>0.87760342368045596</v>
      </c>
      <c r="Y162" s="23">
        <v>0.87815704628300895</v>
      </c>
      <c r="Z162" s="23">
        <v>0.87803290272636003</v>
      </c>
      <c r="AA162" s="23">
        <v>0.87875961109747702</v>
      </c>
      <c r="AB162" s="21">
        <v>30.779404472219401</v>
      </c>
      <c r="AC162" s="21">
        <v>30.7715901636358</v>
      </c>
      <c r="AD162" s="21">
        <v>30.8092813223947</v>
      </c>
      <c r="AE162" s="22">
        <v>6.3063570500853001E-4</v>
      </c>
      <c r="AF162" s="22">
        <v>3.76722387381437E-4</v>
      </c>
      <c r="AG162" s="22">
        <v>1.60084158400789E-3</v>
      </c>
      <c r="BB162">
        <f t="shared" si="46"/>
        <v>0</v>
      </c>
      <c r="BC162">
        <f t="shared" si="47"/>
        <v>1</v>
      </c>
      <c r="BD162">
        <f t="shared" si="48"/>
        <v>0</v>
      </c>
      <c r="BE162">
        <f t="shared" si="44"/>
        <v>1</v>
      </c>
      <c r="BF162">
        <f t="shared" si="49"/>
        <v>0</v>
      </c>
      <c r="BG162" s="17">
        <f t="shared" si="50"/>
        <v>0</v>
      </c>
      <c r="BH162" s="17">
        <f t="shared" si="51"/>
        <v>0</v>
      </c>
      <c r="BI162" s="17">
        <f t="shared" si="52"/>
        <v>0</v>
      </c>
      <c r="BJ162" s="11">
        <f t="shared" si="53"/>
        <v>1.215524029734778E-2</v>
      </c>
      <c r="BL162" s="17"/>
      <c r="BN162">
        <f t="shared" si="54"/>
        <v>0</v>
      </c>
      <c r="BO162">
        <f t="shared" si="55"/>
        <v>1</v>
      </c>
      <c r="BP162">
        <f t="shared" si="56"/>
        <v>0</v>
      </c>
      <c r="BQ162">
        <f t="shared" si="45"/>
        <v>1</v>
      </c>
      <c r="BR162">
        <f t="shared" si="57"/>
        <v>0</v>
      </c>
      <c r="BS162" s="17">
        <f t="shared" si="58"/>
        <v>0</v>
      </c>
      <c r="BT162" s="17">
        <f t="shared" si="59"/>
        <v>0</v>
      </c>
      <c r="BU162" s="17">
        <f t="shared" si="60"/>
        <v>0</v>
      </c>
      <c r="BV162" s="11">
        <f t="shared" si="61"/>
        <v>-9.9217261894517742E-3</v>
      </c>
      <c r="BX162" s="11">
        <f t="shared" si="62"/>
        <v>0</v>
      </c>
      <c r="BY162" s="11">
        <f t="shared" si="63"/>
        <v>2.2335141078960053E-3</v>
      </c>
    </row>
    <row r="163" spans="1:77" x14ac:dyDescent="0.3">
      <c r="A163" s="1">
        <v>46259</v>
      </c>
      <c r="B163" s="21">
        <v>35.15</v>
      </c>
      <c r="C163" s="21">
        <v>30.92</v>
      </c>
      <c r="D163" s="22">
        <v>2.8490047760748702E-3</v>
      </c>
      <c r="E163" s="22">
        <v>5.18807908177789E-3</v>
      </c>
      <c r="F163" s="21">
        <v>0</v>
      </c>
      <c r="G163" s="21">
        <v>0.1</v>
      </c>
      <c r="H163" s="21">
        <v>0</v>
      </c>
      <c r="I163" s="21">
        <v>0.1</v>
      </c>
      <c r="J163" s="21">
        <v>0</v>
      </c>
      <c r="K163" s="21">
        <v>0</v>
      </c>
      <c r="L163" s="21">
        <v>35.15</v>
      </c>
      <c r="M163" s="21">
        <v>30.92</v>
      </c>
      <c r="N163" s="23">
        <v>0.87965860597439505</v>
      </c>
      <c r="O163" s="23">
        <v>0.87815704628300895</v>
      </c>
      <c r="P163" s="23">
        <v>0.87836484841715701</v>
      </c>
      <c r="Q163" s="23">
        <v>0.878448294304087</v>
      </c>
      <c r="R163" s="21">
        <v>30.867220176847699</v>
      </c>
      <c r="S163" s="21">
        <v>30.8628565308315</v>
      </c>
      <c r="T163" s="21">
        <v>30.888400330076301</v>
      </c>
      <c r="U163" s="22">
        <v>-1.70843860069469E-3</v>
      </c>
      <c r="V163" s="22">
        <v>-1.8498168803345401E-3</v>
      </c>
      <c r="W163" s="22">
        <v>-1.02250414209368E-3</v>
      </c>
      <c r="X163" s="23">
        <v>0.87965860597439505</v>
      </c>
      <c r="Y163" s="23">
        <v>0.87815704628300895</v>
      </c>
      <c r="Z163" s="23">
        <v>0.87836484841715701</v>
      </c>
      <c r="AA163" s="23">
        <v>0.878448294304087</v>
      </c>
      <c r="AB163" s="21">
        <v>30.867220176847699</v>
      </c>
      <c r="AC163" s="21">
        <v>30.8628565308315</v>
      </c>
      <c r="AD163" s="21">
        <v>30.888400330076301</v>
      </c>
      <c r="AE163" s="22">
        <v>-1.70843860069469E-3</v>
      </c>
      <c r="AF163" s="22">
        <v>-1.8498168803345401E-3</v>
      </c>
      <c r="AG163" s="22">
        <v>-1.02250414209368E-3</v>
      </c>
      <c r="BB163">
        <f t="shared" si="46"/>
        <v>0</v>
      </c>
      <c r="BC163">
        <f t="shared" si="47"/>
        <v>1</v>
      </c>
      <c r="BD163">
        <f t="shared" si="48"/>
        <v>0</v>
      </c>
      <c r="BE163">
        <f t="shared" si="44"/>
        <v>1</v>
      </c>
      <c r="BF163">
        <f t="shared" si="49"/>
        <v>0</v>
      </c>
      <c r="BG163" s="17">
        <f t="shared" si="50"/>
        <v>0</v>
      </c>
      <c r="BH163" s="17">
        <f t="shared" si="51"/>
        <v>0</v>
      </c>
      <c r="BI163" s="17">
        <f t="shared" si="52"/>
        <v>0</v>
      </c>
      <c r="BJ163" s="11">
        <f t="shared" si="53"/>
        <v>1.215524029734778E-2</v>
      </c>
      <c r="BL163" s="17"/>
      <c r="BN163">
        <f t="shared" si="54"/>
        <v>0</v>
      </c>
      <c r="BO163">
        <f t="shared" si="55"/>
        <v>1</v>
      </c>
      <c r="BP163">
        <f t="shared" si="56"/>
        <v>0</v>
      </c>
      <c r="BQ163">
        <f t="shared" si="45"/>
        <v>1</v>
      </c>
      <c r="BR163">
        <f t="shared" si="57"/>
        <v>0</v>
      </c>
      <c r="BS163" s="17">
        <f t="shared" si="58"/>
        <v>0</v>
      </c>
      <c r="BT163" s="17">
        <f t="shared" si="59"/>
        <v>0</v>
      </c>
      <c r="BU163" s="17">
        <f t="shared" si="60"/>
        <v>0</v>
      </c>
      <c r="BV163" s="11">
        <f t="shared" si="61"/>
        <v>-9.9217261894517742E-3</v>
      </c>
      <c r="BX163" s="11">
        <f t="shared" si="62"/>
        <v>0</v>
      </c>
      <c r="BY163" s="11">
        <f t="shared" si="63"/>
        <v>2.2335141078960053E-3</v>
      </c>
    </row>
    <row r="164" spans="1:77" x14ac:dyDescent="0.3">
      <c r="A164" s="1">
        <v>46260</v>
      </c>
      <c r="B164" s="21">
        <v>35.24</v>
      </c>
      <c r="C164" s="21">
        <v>30.96</v>
      </c>
      <c r="D164" s="22">
        <v>2.5571828113048899E-3</v>
      </c>
      <c r="E164" s="22">
        <v>1.29282500230517E-3</v>
      </c>
      <c r="F164" s="21">
        <v>0</v>
      </c>
      <c r="G164" s="21">
        <v>0.1</v>
      </c>
      <c r="H164" s="21">
        <v>0</v>
      </c>
      <c r="I164" s="21">
        <v>0.1</v>
      </c>
      <c r="J164" s="21">
        <v>0</v>
      </c>
      <c r="K164" s="21">
        <v>0</v>
      </c>
      <c r="L164" s="21">
        <v>35.24</v>
      </c>
      <c r="M164" s="21">
        <v>30.96</v>
      </c>
      <c r="N164" s="23">
        <v>0.878547105561861</v>
      </c>
      <c r="O164" s="23">
        <v>0.87815704628300895</v>
      </c>
      <c r="P164" s="23">
        <v>0.87849006080932901</v>
      </c>
      <c r="Q164" s="23">
        <v>0.87822736526845502</v>
      </c>
      <c r="R164" s="21">
        <v>30.946254311013199</v>
      </c>
      <c r="S164" s="21">
        <v>30.953577258220601</v>
      </c>
      <c r="T164" s="21">
        <v>30.956517891276</v>
      </c>
      <c r="U164" s="22">
        <v>-4.4408079169485102E-4</v>
      </c>
      <c r="V164" s="22">
        <v>-2.0747442117967799E-4</v>
      </c>
      <c r="W164" s="22">
        <v>-1.12477537375015E-4</v>
      </c>
      <c r="X164" s="23">
        <v>0.878547105561861</v>
      </c>
      <c r="Y164" s="23">
        <v>0.87815704628300895</v>
      </c>
      <c r="Z164" s="23">
        <v>0.87849006080932901</v>
      </c>
      <c r="AA164" s="23">
        <v>0.87822736526845502</v>
      </c>
      <c r="AB164" s="21">
        <v>30.946254311013199</v>
      </c>
      <c r="AC164" s="21">
        <v>30.953577258220601</v>
      </c>
      <c r="AD164" s="21">
        <v>30.956517891276</v>
      </c>
      <c r="AE164" s="22">
        <v>-4.4408079169485102E-4</v>
      </c>
      <c r="AF164" s="22">
        <v>-2.0747442117967799E-4</v>
      </c>
      <c r="AG164" s="22">
        <v>-1.12477537375015E-4</v>
      </c>
      <c r="BB164">
        <f t="shared" si="46"/>
        <v>0</v>
      </c>
      <c r="BC164">
        <f t="shared" si="47"/>
        <v>1</v>
      </c>
      <c r="BD164">
        <f t="shared" si="48"/>
        <v>0</v>
      </c>
      <c r="BE164">
        <f t="shared" si="44"/>
        <v>1</v>
      </c>
      <c r="BF164">
        <f t="shared" si="49"/>
        <v>0</v>
      </c>
      <c r="BG164" s="17">
        <f t="shared" si="50"/>
        <v>0</v>
      </c>
      <c r="BH164" s="17">
        <f t="shared" si="51"/>
        <v>0</v>
      </c>
      <c r="BI164" s="17">
        <f t="shared" si="52"/>
        <v>0</v>
      </c>
      <c r="BJ164" s="11">
        <f t="shared" si="53"/>
        <v>1.215524029734778E-2</v>
      </c>
      <c r="BL164" s="17"/>
      <c r="BN164">
        <f t="shared" si="54"/>
        <v>0</v>
      </c>
      <c r="BO164">
        <f t="shared" si="55"/>
        <v>1</v>
      </c>
      <c r="BP164">
        <f t="shared" si="56"/>
        <v>0</v>
      </c>
      <c r="BQ164">
        <f t="shared" si="45"/>
        <v>1</v>
      </c>
      <c r="BR164">
        <f t="shared" si="57"/>
        <v>0</v>
      </c>
      <c r="BS164" s="17">
        <f t="shared" si="58"/>
        <v>0</v>
      </c>
      <c r="BT164" s="17">
        <f t="shared" si="59"/>
        <v>0</v>
      </c>
      <c r="BU164" s="17">
        <f t="shared" si="60"/>
        <v>0</v>
      </c>
      <c r="BV164" s="11">
        <f t="shared" si="61"/>
        <v>-9.9217261894517742E-3</v>
      </c>
      <c r="BX164" s="11">
        <f t="shared" si="62"/>
        <v>0</v>
      </c>
      <c r="BY164" s="11">
        <f t="shared" si="63"/>
        <v>2.2335141078960053E-3</v>
      </c>
    </row>
    <row r="165" spans="1:77" x14ac:dyDescent="0.3">
      <c r="A165" s="1">
        <v>46261</v>
      </c>
      <c r="B165" s="21">
        <v>35.32</v>
      </c>
      <c r="C165" s="21">
        <v>31.19</v>
      </c>
      <c r="D165" s="22">
        <v>2.2675746677805601E-3</v>
      </c>
      <c r="E165" s="22">
        <v>7.4014818981856098E-3</v>
      </c>
      <c r="F165" s="21">
        <v>0</v>
      </c>
      <c r="G165" s="21">
        <v>0.1</v>
      </c>
      <c r="H165" s="21">
        <v>0</v>
      </c>
      <c r="I165" s="21">
        <v>0.1</v>
      </c>
      <c r="J165" s="21">
        <v>0</v>
      </c>
      <c r="K165" s="21">
        <v>0</v>
      </c>
      <c r="L165" s="21">
        <v>35.32</v>
      </c>
      <c r="M165" s="21">
        <v>31.19</v>
      </c>
      <c r="N165" s="23">
        <v>0.88306908267270601</v>
      </c>
      <c r="O165" s="23">
        <v>0.87815704628300895</v>
      </c>
      <c r="P165" s="23">
        <v>0.87891358006961495</v>
      </c>
      <c r="Q165" s="23">
        <v>0.87821415273542303</v>
      </c>
      <c r="R165" s="21">
        <v>31.016506874715802</v>
      </c>
      <c r="S165" s="21">
        <v>31.028268947785499</v>
      </c>
      <c r="T165" s="21">
        <v>31.018990541281799</v>
      </c>
      <c r="U165" s="22">
        <v>-5.5779880220999702E-3</v>
      </c>
      <c r="V165" s="22">
        <v>-5.1988401227129897E-3</v>
      </c>
      <c r="W165" s="22">
        <v>-5.4979155903236597E-3</v>
      </c>
      <c r="X165" s="23">
        <v>0.88306908267270601</v>
      </c>
      <c r="Y165" s="23">
        <v>0.87815704628300895</v>
      </c>
      <c r="Z165" s="23">
        <v>0.87891358006961495</v>
      </c>
      <c r="AA165" s="23">
        <v>0.87821415273542303</v>
      </c>
      <c r="AB165" s="21">
        <v>31.016506874715802</v>
      </c>
      <c r="AC165" s="21">
        <v>31.028268947785499</v>
      </c>
      <c r="AD165" s="21">
        <v>31.018990541281799</v>
      </c>
      <c r="AE165" s="22">
        <v>-5.5779880220999702E-3</v>
      </c>
      <c r="AF165" s="22">
        <v>-5.1988401227129897E-3</v>
      </c>
      <c r="AG165" s="22">
        <v>-5.4979155903236597E-3</v>
      </c>
      <c r="BB165">
        <f t="shared" si="46"/>
        <v>0</v>
      </c>
      <c r="BC165">
        <f t="shared" si="47"/>
        <v>0</v>
      </c>
      <c r="BD165">
        <f t="shared" si="48"/>
        <v>0</v>
      </c>
      <c r="BE165">
        <f t="shared" si="44"/>
        <v>1</v>
      </c>
      <c r="BF165">
        <f t="shared" si="49"/>
        <v>0</v>
      </c>
      <c r="BG165" s="17">
        <f t="shared" si="50"/>
        <v>0</v>
      </c>
      <c r="BH165" s="17">
        <f t="shared" si="51"/>
        <v>0</v>
      </c>
      <c r="BI165" s="17">
        <f t="shared" si="52"/>
        <v>0</v>
      </c>
      <c r="BJ165" s="11">
        <f t="shared" si="53"/>
        <v>1.215524029734778E-2</v>
      </c>
      <c r="BL165" s="17"/>
      <c r="BN165">
        <f t="shared" si="54"/>
        <v>0</v>
      </c>
      <c r="BO165">
        <f t="shared" si="55"/>
        <v>1</v>
      </c>
      <c r="BP165">
        <f t="shared" si="56"/>
        <v>0</v>
      </c>
      <c r="BQ165">
        <f t="shared" si="45"/>
        <v>1</v>
      </c>
      <c r="BR165">
        <f t="shared" si="57"/>
        <v>0</v>
      </c>
      <c r="BS165" s="17">
        <f t="shared" si="58"/>
        <v>0</v>
      </c>
      <c r="BT165" s="17">
        <f t="shared" si="59"/>
        <v>0</v>
      </c>
      <c r="BU165" s="17">
        <f t="shared" si="60"/>
        <v>0</v>
      </c>
      <c r="BV165" s="11">
        <f t="shared" si="61"/>
        <v>-9.9217261894517742E-3</v>
      </c>
      <c r="BX165" s="11">
        <f t="shared" si="62"/>
        <v>0</v>
      </c>
      <c r="BY165" s="11">
        <f t="shared" si="63"/>
        <v>2.2335141078960053E-3</v>
      </c>
    </row>
    <row r="166" spans="1:77" x14ac:dyDescent="0.3">
      <c r="A166" s="1">
        <v>46262</v>
      </c>
      <c r="B166" s="21">
        <v>34.85</v>
      </c>
      <c r="C166" s="21">
        <v>30.97</v>
      </c>
      <c r="D166" s="22">
        <v>-1.3396238529226299E-2</v>
      </c>
      <c r="E166" s="22">
        <v>-7.0785366346005699E-3</v>
      </c>
      <c r="F166" s="21">
        <v>0</v>
      </c>
      <c r="G166" s="21">
        <v>0.1</v>
      </c>
      <c r="H166" s="21">
        <v>0</v>
      </c>
      <c r="I166" s="21">
        <v>0.1</v>
      </c>
      <c r="J166" s="21">
        <v>0</v>
      </c>
      <c r="K166" s="21">
        <v>0</v>
      </c>
      <c r="L166" s="21">
        <v>34.85</v>
      </c>
      <c r="M166" s="21">
        <v>30.97</v>
      </c>
      <c r="N166" s="23">
        <v>0.88866571018651297</v>
      </c>
      <c r="O166" s="23">
        <v>0.87815704628300895</v>
      </c>
      <c r="P166" s="23">
        <v>0.87986938835085304</v>
      </c>
      <c r="Q166" s="23">
        <v>0.87857964163458002</v>
      </c>
      <c r="R166" s="21">
        <v>30.603773062962802</v>
      </c>
      <c r="S166" s="21">
        <v>30.630138265426002</v>
      </c>
      <c r="T166" s="21">
        <v>30.605763222829498</v>
      </c>
      <c r="U166" s="22">
        <v>-1.1895689916725599E-2</v>
      </c>
      <c r="V166" s="22">
        <v>-1.10345590981806E-2</v>
      </c>
      <c r="W166" s="22">
        <v>-1.18306621452995E-2</v>
      </c>
      <c r="X166" s="23">
        <v>0.88866571018651297</v>
      </c>
      <c r="Y166" s="23">
        <v>0.87815704628300895</v>
      </c>
      <c r="Z166" s="23">
        <v>0.87986938835085304</v>
      </c>
      <c r="AA166" s="23">
        <v>0.87857964163458002</v>
      </c>
      <c r="AB166" s="21">
        <v>30.603773062962802</v>
      </c>
      <c r="AC166" s="21">
        <v>30.630138265426002</v>
      </c>
      <c r="AD166" s="21">
        <v>30.605763222829498</v>
      </c>
      <c r="AE166" s="22">
        <v>-1.1895689916725599E-2</v>
      </c>
      <c r="AF166" s="22">
        <v>-1.10345590981806E-2</v>
      </c>
      <c r="AG166" s="22">
        <v>-1.18306621452995E-2</v>
      </c>
      <c r="BB166">
        <f t="shared" si="46"/>
        <v>0</v>
      </c>
      <c r="BC166">
        <f t="shared" si="47"/>
        <v>0</v>
      </c>
      <c r="BD166">
        <f t="shared" si="48"/>
        <v>0</v>
      </c>
      <c r="BE166">
        <f t="shared" si="44"/>
        <v>1</v>
      </c>
      <c r="BF166">
        <f t="shared" si="49"/>
        <v>0</v>
      </c>
      <c r="BG166" s="17">
        <f t="shared" si="50"/>
        <v>0</v>
      </c>
      <c r="BH166" s="17">
        <f t="shared" si="51"/>
        <v>0</v>
      </c>
      <c r="BI166" s="17">
        <f t="shared" si="52"/>
        <v>0</v>
      </c>
      <c r="BJ166" s="11">
        <f t="shared" si="53"/>
        <v>1.215524029734778E-2</v>
      </c>
      <c r="BL166" s="17"/>
      <c r="BN166">
        <f t="shared" si="54"/>
        <v>0</v>
      </c>
      <c r="BO166">
        <f t="shared" si="55"/>
        <v>1</v>
      </c>
      <c r="BP166">
        <f t="shared" si="56"/>
        <v>0</v>
      </c>
      <c r="BQ166">
        <f t="shared" si="45"/>
        <v>1</v>
      </c>
      <c r="BR166">
        <f t="shared" si="57"/>
        <v>0</v>
      </c>
      <c r="BS166" s="17">
        <f t="shared" si="58"/>
        <v>0</v>
      </c>
      <c r="BT166" s="17">
        <f t="shared" si="59"/>
        <v>0</v>
      </c>
      <c r="BU166" s="17">
        <f t="shared" si="60"/>
        <v>0</v>
      </c>
      <c r="BV166" s="11">
        <f t="shared" si="61"/>
        <v>-9.9217261894517742E-3</v>
      </c>
      <c r="BX166" s="11">
        <f t="shared" si="62"/>
        <v>0</v>
      </c>
      <c r="BY166" s="11">
        <f t="shared" si="63"/>
        <v>2.2335141078960053E-3</v>
      </c>
    </row>
    <row r="167" spans="1:77" x14ac:dyDescent="0.3">
      <c r="A167" s="1">
        <v>46265</v>
      </c>
      <c r="B167" s="21">
        <v>34.409999999999997</v>
      </c>
      <c r="C167" s="21">
        <v>30.71</v>
      </c>
      <c r="D167" s="22">
        <v>-1.2705917397144001E-2</v>
      </c>
      <c r="E167" s="22">
        <v>-8.4306595323804107E-3</v>
      </c>
      <c r="F167" s="21">
        <v>0</v>
      </c>
      <c r="G167" s="21">
        <v>0.1</v>
      </c>
      <c r="H167" s="21">
        <v>0</v>
      </c>
      <c r="I167" s="21">
        <v>0.1</v>
      </c>
      <c r="J167" s="21">
        <v>0</v>
      </c>
      <c r="K167" s="21">
        <v>0</v>
      </c>
      <c r="L167" s="21">
        <v>34.409999999999997</v>
      </c>
      <c r="M167" s="21">
        <v>30.71</v>
      </c>
      <c r="N167" s="23">
        <v>0.89247311827956999</v>
      </c>
      <c r="O167" s="23">
        <v>0.87815704628300895</v>
      </c>
      <c r="P167" s="23">
        <v>0.88129540274918905</v>
      </c>
      <c r="Q167" s="23">
        <v>0.87925866087035698</v>
      </c>
      <c r="R167" s="21">
        <v>30.217383962598301</v>
      </c>
      <c r="S167" s="21">
        <v>30.2763056531528</v>
      </c>
      <c r="T167" s="21">
        <v>30.231925468645802</v>
      </c>
      <c r="U167" s="22">
        <v>-1.6170947781489298E-2</v>
      </c>
      <c r="V167" s="22">
        <v>-1.4222919497486599E-2</v>
      </c>
      <c r="W167" s="22">
        <v>-1.5689833721962101E-2</v>
      </c>
      <c r="X167" s="23">
        <v>0.89247311827956999</v>
      </c>
      <c r="Y167" s="23">
        <v>0.87815704628300895</v>
      </c>
      <c r="Z167" s="23">
        <v>0.88129540274918905</v>
      </c>
      <c r="AA167" s="23">
        <v>0.87925866087035698</v>
      </c>
      <c r="AB167" s="21">
        <v>30.217383962598301</v>
      </c>
      <c r="AC167" s="21">
        <v>30.2763056531528</v>
      </c>
      <c r="AD167" s="21">
        <v>30.231925468645802</v>
      </c>
      <c r="AE167" s="22">
        <v>-1.6170947781489298E-2</v>
      </c>
      <c r="AF167" s="22">
        <v>-1.4222919497486599E-2</v>
      </c>
      <c r="AG167" s="22">
        <v>-1.5689833721962101E-2</v>
      </c>
      <c r="BB167">
        <f t="shared" si="46"/>
        <v>1</v>
      </c>
      <c r="BC167">
        <f t="shared" si="47"/>
        <v>0</v>
      </c>
      <c r="BD167">
        <f t="shared" si="48"/>
        <v>0</v>
      </c>
      <c r="BE167">
        <f t="shared" si="44"/>
        <v>1</v>
      </c>
      <c r="BF167">
        <f t="shared" si="49"/>
        <v>0</v>
      </c>
      <c r="BG167" s="17">
        <f t="shared" si="50"/>
        <v>0</v>
      </c>
      <c r="BH167" s="17">
        <f t="shared" si="51"/>
        <v>0</v>
      </c>
      <c r="BI167" s="17">
        <f t="shared" si="52"/>
        <v>0</v>
      </c>
      <c r="BJ167" s="11">
        <f t="shared" si="53"/>
        <v>1.215524029734778E-2</v>
      </c>
      <c r="BL167" s="17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17">
        <f t="shared" si="58"/>
        <v>0</v>
      </c>
      <c r="BT167" s="17">
        <f t="shared" si="59"/>
        <v>0</v>
      </c>
      <c r="BU167" s="17">
        <f t="shared" si="60"/>
        <v>0</v>
      </c>
      <c r="BV167" s="11">
        <f t="shared" si="61"/>
        <v>-9.9217261894517742E-3</v>
      </c>
      <c r="BX167" s="11">
        <f t="shared" si="62"/>
        <v>0</v>
      </c>
      <c r="BY167" s="11">
        <f t="shared" si="63"/>
        <v>2.2335141078960053E-3</v>
      </c>
    </row>
    <row r="168" spans="1:77" x14ac:dyDescent="0.3">
      <c r="A168" s="1">
        <v>46266</v>
      </c>
      <c r="B168" s="21">
        <v>34.229999999999997</v>
      </c>
      <c r="C168" s="21">
        <v>30.63</v>
      </c>
      <c r="D168" s="22">
        <v>-5.2447672672950698E-3</v>
      </c>
      <c r="E168" s="22">
        <v>-2.6084136080471998E-3</v>
      </c>
      <c r="F168" s="21">
        <v>0</v>
      </c>
      <c r="G168" s="21">
        <v>0.1</v>
      </c>
      <c r="H168" s="21">
        <v>0</v>
      </c>
      <c r="I168" s="21">
        <v>0.1</v>
      </c>
      <c r="J168" s="21">
        <v>0</v>
      </c>
      <c r="K168" s="21">
        <v>0</v>
      </c>
      <c r="L168" s="21">
        <v>34.229999999999997</v>
      </c>
      <c r="M168" s="21">
        <v>30.63</v>
      </c>
      <c r="N168" s="23">
        <v>0.89482909728308502</v>
      </c>
      <c r="O168" s="23">
        <v>0.87815704628300895</v>
      </c>
      <c r="P168" s="23">
        <v>0.88302077291344905</v>
      </c>
      <c r="Q168" s="23">
        <v>0.88031124042888798</v>
      </c>
      <c r="R168" s="21">
        <v>30.059315694267401</v>
      </c>
      <c r="S168" s="21">
        <v>30.1667416361047</v>
      </c>
      <c r="T168" s="21">
        <v>30.097023961592299</v>
      </c>
      <c r="U168" s="22">
        <v>-1.8807301440737299E-2</v>
      </c>
      <c r="V168" s="22">
        <v>-1.52398736352578E-2</v>
      </c>
      <c r="W168" s="22">
        <v>-1.7553625685878801E-2</v>
      </c>
      <c r="X168" s="23">
        <v>0.89482909728308502</v>
      </c>
      <c r="Y168" s="23">
        <v>0.87815704628300895</v>
      </c>
      <c r="Z168" s="23">
        <v>0.88302077291344905</v>
      </c>
      <c r="AA168" s="23">
        <v>0.88031124042888798</v>
      </c>
      <c r="AB168" s="21">
        <v>30.059315694267401</v>
      </c>
      <c r="AC168" s="21">
        <v>30.1667416361047</v>
      </c>
      <c r="AD168" s="21">
        <v>30.097023961592299</v>
      </c>
      <c r="AE168" s="22">
        <v>-1.8807301440737299E-2</v>
      </c>
      <c r="AF168" s="22">
        <v>-1.52398736352578E-2</v>
      </c>
      <c r="AG168" s="22">
        <v>-1.7553625685878801E-2</v>
      </c>
    </row>
    <row r="169" spans="1:77" x14ac:dyDescent="0.3">
      <c r="A169" s="1">
        <v>46267</v>
      </c>
      <c r="B169" s="21">
        <v>34.409999999999997</v>
      </c>
      <c r="C169" s="21">
        <v>30.65</v>
      </c>
      <c r="D169" s="22">
        <v>5.2447672672950802E-3</v>
      </c>
      <c r="E169" s="22">
        <v>6.5274153753645998E-4</v>
      </c>
      <c r="F169" s="21">
        <v>0</v>
      </c>
      <c r="G169" s="21">
        <v>0.1</v>
      </c>
      <c r="H169" s="21">
        <v>0</v>
      </c>
      <c r="I169" s="21">
        <v>0.1</v>
      </c>
      <c r="J169" s="21">
        <v>0</v>
      </c>
      <c r="K169" s="21">
        <v>0</v>
      </c>
      <c r="L169" s="21">
        <v>34.409999999999997</v>
      </c>
      <c r="M169" s="21">
        <v>30.65</v>
      </c>
      <c r="N169" s="23">
        <v>0.89072943911653502</v>
      </c>
      <c r="O169" s="23">
        <v>0.87815704628300895</v>
      </c>
      <c r="P169" s="23">
        <v>0.88426192440040796</v>
      </c>
      <c r="Q169" s="23">
        <v>0.88099018144598895</v>
      </c>
      <c r="R169" s="21">
        <v>30.217383962598301</v>
      </c>
      <c r="S169" s="21">
        <v>30.384744795951701</v>
      </c>
      <c r="T169" s="21">
        <v>30.291509783157998</v>
      </c>
      <c r="U169" s="22">
        <v>-1.42152757109786E-2</v>
      </c>
      <c r="V169" s="22">
        <v>-8.6919958444313002E-3</v>
      </c>
      <c r="W169" s="22">
        <v>-1.17651943080042E-2</v>
      </c>
      <c r="X169" s="23">
        <v>0.89072943911653502</v>
      </c>
      <c r="Y169" s="23">
        <v>0.87815704628300895</v>
      </c>
      <c r="Z169" s="23">
        <v>0.88426192440040796</v>
      </c>
      <c r="AA169" s="23">
        <v>0.88099018144598895</v>
      </c>
      <c r="AB169" s="21">
        <v>30.217383962598301</v>
      </c>
      <c r="AC169" s="21">
        <v>30.384744795951701</v>
      </c>
      <c r="AD169" s="21">
        <v>30.291509783157998</v>
      </c>
      <c r="AE169" s="22">
        <v>-1.42152757109786E-2</v>
      </c>
      <c r="AF169" s="22">
        <v>-8.6919958444313002E-3</v>
      </c>
      <c r="AG169" s="22">
        <v>-1.17651943080042E-2</v>
      </c>
    </row>
    <row r="170" spans="1:77" x14ac:dyDescent="0.3">
      <c r="A170" s="1">
        <v>46268</v>
      </c>
      <c r="B170" s="21">
        <v>34.72</v>
      </c>
      <c r="C170" s="21">
        <v>30.95</v>
      </c>
      <c r="D170" s="22">
        <v>8.9686699827605295E-3</v>
      </c>
      <c r="E170" s="22">
        <v>9.7403367483848008E-3</v>
      </c>
      <c r="F170" s="21">
        <v>0</v>
      </c>
      <c r="G170" s="21">
        <v>0.1</v>
      </c>
      <c r="H170" s="21">
        <v>0</v>
      </c>
      <c r="I170" s="21">
        <v>0.1</v>
      </c>
      <c r="J170" s="21">
        <v>0</v>
      </c>
      <c r="K170" s="21">
        <v>0</v>
      </c>
      <c r="L170" s="21">
        <v>34.72</v>
      </c>
      <c r="M170" s="21">
        <v>30.95</v>
      </c>
      <c r="N170" s="23">
        <v>0.891417050691244</v>
      </c>
      <c r="O170" s="23">
        <v>0.87815704628300895</v>
      </c>
      <c r="P170" s="23">
        <v>0.88562979880049797</v>
      </c>
      <c r="Q170" s="23">
        <v>0.88176121112846995</v>
      </c>
      <c r="R170" s="21">
        <v>30.489612646946</v>
      </c>
      <c r="S170" s="21">
        <v>30.7015740151821</v>
      </c>
      <c r="T170" s="21">
        <v>30.587979099804699</v>
      </c>
      <c r="U170" s="22">
        <v>-1.49869424766028E-2</v>
      </c>
      <c r="V170" s="22">
        <v>-8.0590749989192106E-3</v>
      </c>
      <c r="W170" s="22">
        <v>-1.17659072297298E-2</v>
      </c>
      <c r="X170" s="23">
        <v>0.891417050691244</v>
      </c>
      <c r="Y170" s="23">
        <v>0.87815704628300895</v>
      </c>
      <c r="Z170" s="23">
        <v>0.88562979880049797</v>
      </c>
      <c r="AA170" s="23">
        <v>0.88176121112846995</v>
      </c>
      <c r="AB170" s="21">
        <v>30.489612646946</v>
      </c>
      <c r="AC170" s="21">
        <v>30.7015740151821</v>
      </c>
      <c r="AD170" s="21">
        <v>30.587979099804699</v>
      </c>
      <c r="AE170" s="22">
        <v>-1.49869424766028E-2</v>
      </c>
      <c r="AF170" s="22">
        <v>-8.0590749989192106E-3</v>
      </c>
      <c r="AG170" s="22">
        <v>-1.17659072297298E-2</v>
      </c>
    </row>
    <row r="171" spans="1:77" x14ac:dyDescent="0.3">
      <c r="A171" s="1">
        <v>46269</v>
      </c>
      <c r="B171" s="21">
        <v>33.9</v>
      </c>
      <c r="C171" s="21">
        <v>30.39</v>
      </c>
      <c r="D171" s="22">
        <v>-2.3900875405744801E-2</v>
      </c>
      <c r="E171" s="22">
        <v>-1.82593922019034E-2</v>
      </c>
      <c r="F171" s="21">
        <v>0</v>
      </c>
      <c r="G171" s="21">
        <v>0.1</v>
      </c>
      <c r="H171" s="21">
        <v>0</v>
      </c>
      <c r="I171" s="21">
        <v>0.1</v>
      </c>
      <c r="J171" s="21">
        <v>0</v>
      </c>
      <c r="K171" s="21">
        <v>0</v>
      </c>
      <c r="L171" s="21">
        <v>33.9</v>
      </c>
      <c r="M171" s="21">
        <v>30.39</v>
      </c>
      <c r="N171" s="23">
        <v>0.89646017699114999</v>
      </c>
      <c r="O171" s="23">
        <v>0.87815704628300895</v>
      </c>
      <c r="P171" s="23">
        <v>0.88734528104375199</v>
      </c>
      <c r="Q171" s="23">
        <v>0.88263968993180197</v>
      </c>
      <c r="R171" s="21">
        <v>29.769523868994</v>
      </c>
      <c r="S171" s="21">
        <v>30.0228501793368</v>
      </c>
      <c r="T171" s="21">
        <v>29.891705057255098</v>
      </c>
      <c r="U171" s="22">
        <v>-2.0628425680444401E-2</v>
      </c>
      <c r="V171" s="22">
        <v>-1.2154842547382701E-2</v>
      </c>
      <c r="W171" s="22">
        <v>-1.6532587855170599E-2</v>
      </c>
      <c r="X171" s="23">
        <v>0.89646017699114999</v>
      </c>
      <c r="Y171" s="23">
        <v>0.87815704628300895</v>
      </c>
      <c r="Z171" s="23">
        <v>0.88734528104375199</v>
      </c>
      <c r="AA171" s="23">
        <v>0.88263968993180197</v>
      </c>
      <c r="AB171" s="21">
        <v>29.769523868994</v>
      </c>
      <c r="AC171" s="21">
        <v>30.0228501793368</v>
      </c>
      <c r="AD171" s="21">
        <v>29.891705057255098</v>
      </c>
      <c r="AE171" s="22">
        <v>-2.0628425680444401E-2</v>
      </c>
      <c r="AF171" s="22">
        <v>-1.2154842547382701E-2</v>
      </c>
      <c r="AG171" s="22">
        <v>-1.6532587855170599E-2</v>
      </c>
    </row>
    <row r="172" spans="1:77" x14ac:dyDescent="0.3">
      <c r="A172" s="1">
        <v>46273</v>
      </c>
      <c r="B172" s="21">
        <v>33.340000000000003</v>
      </c>
      <c r="C172" s="21">
        <v>29.82</v>
      </c>
      <c r="D172" s="22">
        <v>-1.6657137063756398E-2</v>
      </c>
      <c r="E172" s="22">
        <v>-1.8934297592109298E-2</v>
      </c>
      <c r="F172" s="21">
        <v>0</v>
      </c>
      <c r="G172" s="21">
        <v>0.1</v>
      </c>
      <c r="H172" s="21">
        <v>0</v>
      </c>
      <c r="I172" s="21">
        <v>0.1</v>
      </c>
      <c r="J172" s="21">
        <v>0</v>
      </c>
      <c r="K172" s="21">
        <v>0</v>
      </c>
      <c r="L172" s="21">
        <v>33.340000000000003</v>
      </c>
      <c r="M172" s="21">
        <v>29.82</v>
      </c>
      <c r="N172" s="23">
        <v>0.89442111577684402</v>
      </c>
      <c r="O172" s="23">
        <v>0.87815704628300895</v>
      </c>
      <c r="P172" s="23">
        <v>0.88902705025339002</v>
      </c>
      <c r="Q172" s="23">
        <v>0.88352997648987497</v>
      </c>
      <c r="R172" s="21">
        <v>29.2777559230755</v>
      </c>
      <c r="S172" s="21">
        <v>29.5840916699986</v>
      </c>
      <c r="T172" s="21">
        <v>29.427207262326299</v>
      </c>
      <c r="U172" s="22">
        <v>-1.8351265152091598E-2</v>
      </c>
      <c r="V172" s="22">
        <v>-7.9425360622711605E-3</v>
      </c>
      <c r="W172" s="22">
        <v>-1.32596458404279E-2</v>
      </c>
      <c r="X172" s="23">
        <v>0.89442111577684402</v>
      </c>
      <c r="Y172" s="23">
        <v>0.87815704628300895</v>
      </c>
      <c r="Z172" s="23">
        <v>0.88902705025339002</v>
      </c>
      <c r="AA172" s="23">
        <v>0.88352997648987497</v>
      </c>
      <c r="AB172" s="21">
        <v>29.2777559230755</v>
      </c>
      <c r="AC172" s="21">
        <v>29.5840916699986</v>
      </c>
      <c r="AD172" s="21">
        <v>29.427207262326299</v>
      </c>
      <c r="AE172" s="22">
        <v>-1.8351265152091598E-2</v>
      </c>
      <c r="AF172" s="22">
        <v>-7.9425360622711605E-3</v>
      </c>
      <c r="AG172" s="22">
        <v>-1.32596458404279E-2</v>
      </c>
    </row>
    <row r="173" spans="1:77" x14ac:dyDescent="0.3">
      <c r="A173" s="1">
        <v>46274</v>
      </c>
      <c r="B173" s="21">
        <v>33.08</v>
      </c>
      <c r="C173" s="21">
        <v>29.61</v>
      </c>
      <c r="D173" s="22">
        <v>-7.8290071671575298E-3</v>
      </c>
      <c r="E173" s="22">
        <v>-7.0671672230924404E-3</v>
      </c>
      <c r="F173" s="21">
        <v>0.1</v>
      </c>
      <c r="G173" s="21">
        <v>0.2</v>
      </c>
      <c r="H173" s="21">
        <v>0.1</v>
      </c>
      <c r="I173" s="21">
        <v>0.2</v>
      </c>
      <c r="J173" s="21">
        <v>0</v>
      </c>
      <c r="K173" s="21">
        <v>0</v>
      </c>
      <c r="L173" s="21">
        <v>33.08</v>
      </c>
      <c r="M173" s="21">
        <v>29.61</v>
      </c>
      <c r="N173" s="23">
        <v>0.89510278113663799</v>
      </c>
      <c r="O173" s="23">
        <v>0.87815704628300895</v>
      </c>
      <c r="P173" s="23">
        <v>0.89057146776961504</v>
      </c>
      <c r="Q173" s="23">
        <v>0.88446815809338597</v>
      </c>
      <c r="R173" s="21">
        <v>29.0494350910419</v>
      </c>
      <c r="S173" s="21">
        <v>29.409014822382101</v>
      </c>
      <c r="T173" s="21">
        <v>29.227171622284999</v>
      </c>
      <c r="U173" s="22">
        <v>-1.9113105096156598E-2</v>
      </c>
      <c r="V173" s="22">
        <v>-6.8108881575577899E-3</v>
      </c>
      <c r="W173" s="22">
        <v>-1.3013330508808299E-2</v>
      </c>
      <c r="X173" s="23">
        <v>0.89510278113663799</v>
      </c>
      <c r="Y173" s="23">
        <v>0.87815704628300895</v>
      </c>
      <c r="Z173" s="23">
        <v>0.89057146776961504</v>
      </c>
      <c r="AA173" s="23">
        <v>0.88446815809338597</v>
      </c>
      <c r="AB173" s="21">
        <v>29.0494350910419</v>
      </c>
      <c r="AC173" s="21">
        <v>29.409014822382101</v>
      </c>
      <c r="AD173" s="21">
        <v>29.227171622284999</v>
      </c>
      <c r="AE173" s="22">
        <v>-1.9113105096156598E-2</v>
      </c>
      <c r="AF173" s="22">
        <v>-6.8108881575577899E-3</v>
      </c>
      <c r="AG173" s="22">
        <v>-1.3013330508808299E-2</v>
      </c>
    </row>
    <row r="174" spans="1:77" x14ac:dyDescent="0.3">
      <c r="A174" s="1">
        <v>46275</v>
      </c>
      <c r="B174" s="21">
        <v>32.78</v>
      </c>
      <c r="C174" s="21">
        <v>29.38</v>
      </c>
      <c r="D174" s="22">
        <v>-9.1102968398068893E-3</v>
      </c>
      <c r="E174" s="22">
        <v>-7.7979713677686401E-3</v>
      </c>
      <c r="F174" s="21">
        <v>0</v>
      </c>
      <c r="G174" s="21">
        <v>0.2</v>
      </c>
      <c r="H174" s="21">
        <v>0</v>
      </c>
      <c r="I174" s="21">
        <v>0.2</v>
      </c>
      <c r="J174" s="21">
        <v>0</v>
      </c>
      <c r="K174" s="21">
        <v>0</v>
      </c>
      <c r="L174" s="21">
        <v>32.78</v>
      </c>
      <c r="M174" s="21">
        <v>29.38</v>
      </c>
      <c r="N174" s="23">
        <v>0.89627821842586897</v>
      </c>
      <c r="O174" s="23">
        <v>0.87815704628300895</v>
      </c>
      <c r="P174" s="23">
        <v>0.89234457905601505</v>
      </c>
      <c r="Q174" s="23">
        <v>0.88541731993267203</v>
      </c>
      <c r="R174" s="21">
        <v>28.785987977156999</v>
      </c>
      <c r="S174" s="21">
        <v>29.192932713487899</v>
      </c>
      <c r="T174" s="21">
        <v>28.992866222301199</v>
      </c>
      <c r="U174" s="22">
        <v>-2.0425430568194701E-2</v>
      </c>
      <c r="V174" s="22">
        <v>-6.3875211255700901E-3</v>
      </c>
      <c r="W174" s="22">
        <v>-1.32643633547754E-2</v>
      </c>
      <c r="X174" s="23">
        <v>0.89627821842586897</v>
      </c>
      <c r="Y174" s="23">
        <v>0.87815704628300895</v>
      </c>
      <c r="Z174" s="23">
        <v>0.89234457905601505</v>
      </c>
      <c r="AA174" s="23">
        <v>0.88541731993267203</v>
      </c>
      <c r="AB174" s="21">
        <v>28.785987977156999</v>
      </c>
      <c r="AC174" s="21">
        <v>29.192932713487899</v>
      </c>
      <c r="AD174" s="21">
        <v>28.992866222301199</v>
      </c>
      <c r="AE174" s="22">
        <v>-2.0425430568194701E-2</v>
      </c>
      <c r="AF174" s="22">
        <v>-6.3875211255700901E-3</v>
      </c>
      <c r="AG174" s="22">
        <v>-1.32643633547754E-2</v>
      </c>
    </row>
    <row r="175" spans="1:77" x14ac:dyDescent="0.3">
      <c r="A175" s="1">
        <v>46276</v>
      </c>
      <c r="B175" s="21">
        <v>32.71</v>
      </c>
      <c r="C175" s="21">
        <v>29.44</v>
      </c>
      <c r="D175" s="22">
        <v>-2.13773176539104E-3</v>
      </c>
      <c r="E175" s="22">
        <v>2.0401231149442599E-3</v>
      </c>
      <c r="F175" s="21">
        <v>0</v>
      </c>
      <c r="G175" s="21">
        <v>0.2</v>
      </c>
      <c r="H175" s="21">
        <v>0</v>
      </c>
      <c r="I175" s="21">
        <v>0.2</v>
      </c>
      <c r="J175" s="21">
        <v>0</v>
      </c>
      <c r="K175" s="21">
        <v>0</v>
      </c>
      <c r="L175" s="21">
        <v>32.71</v>
      </c>
      <c r="M175" s="21">
        <v>29.44</v>
      </c>
      <c r="N175" s="23">
        <v>0.90003057169061396</v>
      </c>
      <c r="O175" s="23">
        <v>0.87815704628300895</v>
      </c>
      <c r="P175" s="23">
        <v>0.89404072795780598</v>
      </c>
      <c r="Q175" s="23">
        <v>0.88647715401371097</v>
      </c>
      <c r="R175" s="21">
        <v>28.724516983917201</v>
      </c>
      <c r="S175" s="21">
        <v>29.188591180922199</v>
      </c>
      <c r="T175" s="21">
        <v>28.962000534997699</v>
      </c>
      <c r="U175" s="22">
        <v>-2.4603285448530202E-2</v>
      </c>
      <c r="V175" s="22">
        <v>-8.5763739167580896E-3</v>
      </c>
      <c r="W175" s="22">
        <v>-1.6369649481862401E-2</v>
      </c>
      <c r="X175" s="23">
        <v>0.90003057169061396</v>
      </c>
      <c r="Y175" s="23">
        <v>0.87815704628300895</v>
      </c>
      <c r="Z175" s="23">
        <v>0.89404072795780598</v>
      </c>
      <c r="AA175" s="23">
        <v>0.88647715401371097</v>
      </c>
      <c r="AB175" s="21">
        <v>28.724516983917201</v>
      </c>
      <c r="AC175" s="21">
        <v>29.188591180922199</v>
      </c>
      <c r="AD175" s="21">
        <v>28.962000534997699</v>
      </c>
      <c r="AE175" s="22">
        <v>-2.4603285448530202E-2</v>
      </c>
      <c r="AF175" s="22">
        <v>-8.5763739167580896E-3</v>
      </c>
      <c r="AG175" s="22">
        <v>-1.6369649481862401E-2</v>
      </c>
    </row>
    <row r="176" spans="1:77" x14ac:dyDescent="0.3">
      <c r="A176" s="1">
        <v>46279</v>
      </c>
      <c r="B176" s="21">
        <v>33.86</v>
      </c>
      <c r="C176" s="21">
        <v>30.56</v>
      </c>
      <c r="D176" s="22">
        <v>3.4553535154696703E-2</v>
      </c>
      <c r="E176" s="22">
        <v>3.7337670437644098E-2</v>
      </c>
      <c r="F176" s="21">
        <v>0</v>
      </c>
      <c r="G176" s="21">
        <v>0.2</v>
      </c>
      <c r="H176" s="21">
        <v>0</v>
      </c>
      <c r="I176" s="21">
        <v>0.2</v>
      </c>
      <c r="J176" s="21">
        <v>0</v>
      </c>
      <c r="K176" s="21">
        <v>0</v>
      </c>
      <c r="L176" s="21">
        <v>33.86</v>
      </c>
      <c r="M176" s="21">
        <v>30.56</v>
      </c>
      <c r="N176" s="23">
        <v>0.90253987005316005</v>
      </c>
      <c r="O176" s="23">
        <v>0.87815704628300895</v>
      </c>
      <c r="P176" s="23">
        <v>0.89542814394447101</v>
      </c>
      <c r="Q176" s="23">
        <v>0.88764876614766197</v>
      </c>
      <c r="R176" s="21">
        <v>29.734397587142599</v>
      </c>
      <c r="S176" s="21">
        <v>30.272219048651301</v>
      </c>
      <c r="T176" s="21">
        <v>30.016116434904198</v>
      </c>
      <c r="U176" s="22">
        <v>-2.73874207314777E-2</v>
      </c>
      <c r="V176" s="22">
        <v>-9.4615354398581396E-3</v>
      </c>
      <c r="W176" s="22">
        <v>-1.7957512387404499E-2</v>
      </c>
      <c r="X176" s="23">
        <v>0.90253987005316005</v>
      </c>
      <c r="Y176" s="23">
        <v>0.87815704628300895</v>
      </c>
      <c r="Z176" s="23">
        <v>0.89542814394447101</v>
      </c>
      <c r="AA176" s="23">
        <v>0.88764876614766197</v>
      </c>
      <c r="AB176" s="21">
        <v>29.734397587142599</v>
      </c>
      <c r="AC176" s="21">
        <v>30.272219048651301</v>
      </c>
      <c r="AD176" s="21">
        <v>30.016116434904198</v>
      </c>
      <c r="AE176" s="22">
        <v>-2.73874207314777E-2</v>
      </c>
      <c r="AF176" s="22">
        <v>-9.4615354398581396E-3</v>
      </c>
      <c r="AG176" s="22">
        <v>-1.7957512387404499E-2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NWS_NWSA_0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2026-09-19T21:38:55Z</dcterms:created>
  <dcterms:modified xsi:type="dcterms:W3CDTF">2026-09-20T01:49:15Z</dcterms:modified>
</cp:coreProperties>
</file>